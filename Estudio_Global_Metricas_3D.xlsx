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angos Globales 3D"/>
    <sheet r:id="rId2" sheetId="2" name="Por tela"/>
    <sheet r:id="rId3" sheetId="3" name="Umbrales propuestos"/>
    <sheet r:id="rId4" sheetId="4" name="Percentiles profundidad"/>
    <sheet r:id="rId5" sheetId="5" name="Cobertura deteccion"/>
    <sheet r:id="rId6" sheetId="6" name="Material loss - Holes"/>
    <sheet r:id="rId7" sheetId="7" name="Crack (cut)"/>
    <sheet r:id="rId8" sheetId="8" name="Scratch-Friction"/>
    <sheet r:id="rId9" sheetId="9" name="Scratch-Abrasion"/>
    <sheet r:id="rId10" sheetId="10" name="Notas"/>
  </sheets>
  <calcPr fullCalcOnLoad="1"/>
</workbook>
</file>

<file path=xl/sharedStrings.xml><?xml version="1.0" encoding="utf-8"?>
<sst xmlns="http://schemas.openxmlformats.org/spreadsheetml/2006/main" count="14170" uniqueCount="3566">
  <si>
    <t>Notas</t>
  </si>
  <si>
    <t>Profundidad estimada por la red RGB-&gt;normales + Poisson (gs3drecon), no medida.</t>
  </si>
  <si>
    <t>Referencia de cero: mediana de las imagenes without_defect de cada tela.</t>
  </si>
  <si>
    <t>Profundidad en mm relativa al plano local del anillo alrededor de la mascara.</t>
  </si>
  <si>
    <t>Se desconoce la fuerza de contacto de este dataset.</t>
  </si>
  <si>
    <t>Solo imagenes presentes en Estudio_Global_Metricas.xlsx (2D, sin las imagenes malas): thin y hole fabric01.</t>
  </si>
  <si>
    <t>Una region por imagen (la de mayor confianza de YOLO12 distinta de No Defect).</t>
  </si>
  <si>
    <t>Holes: fabric01 = simple, fabric02-06 = multiple. Abrasion/Friction/Crack: thin/thick.</t>
  </si>
  <si>
    <t>Los umbrales de reparabilidad deben salir de un criterio real, no de estas tablas.</t>
  </si>
  <si>
    <t>relative_path</t>
  </si>
  <si>
    <t>defect_type</t>
  </si>
  <si>
    <t>variant</t>
  </si>
  <si>
    <t>fabric</t>
  </si>
  <si>
    <t>detected</t>
  </si>
  <si>
    <t>pred_class</t>
  </si>
  <si>
    <t>conf</t>
  </si>
  <si>
    <t>area_mm2</t>
  </si>
  <si>
    <t>perimeter_mm</t>
  </si>
  <si>
    <t>major_axis_length_mm</t>
  </si>
  <si>
    <t>minor_axis_length_mm</t>
  </si>
  <si>
    <t>eccentricity</t>
  </si>
  <si>
    <t>compactation</t>
  </si>
  <si>
    <t>glcm_homogeneity</t>
  </si>
  <si>
    <t>glcm_energy</t>
  </si>
  <si>
    <t>glcm_entropy</t>
  </si>
  <si>
    <t>depth_mean_mm</t>
  </si>
  <si>
    <t>depth_p95_mm</t>
  </si>
  <si>
    <t>depth_max_mm</t>
  </si>
  <si>
    <t>depth_volume_mm3</t>
  </si>
  <si>
    <t>thin_abrasion/fabric01_thin_abrasion_img/rgb_0083.png</t>
  </si>
  <si>
    <t>Abrasion</t>
  </si>
  <si>
    <t>thin</t>
  </si>
  <si>
    <t>fabric01</t>
  </si>
  <si>
    <t>thin_abrasion/fabric01_thin_abrasion_img/rgb_0084.png</t>
  </si>
  <si>
    <t>thin_abrasion/fabric01_thin_abrasion_img/rgb_0085.png</t>
  </si>
  <si>
    <t>thin_abrasion/fabric01_thin_abrasion_img/rgb_0086.png</t>
  </si>
  <si>
    <t>thin_abrasion/fabric01_thin_abrasion_img/rgb_0087.png</t>
  </si>
  <si>
    <t>thin_abrasion/fabric01_thin_abrasion_img/rgb_0088.png</t>
  </si>
  <si>
    <t>thin_abrasion/fabric01_thin_abrasion_img/rgb_0089.png</t>
  </si>
  <si>
    <t>thin_abrasion/fabric01_thin_abrasion_img/rgb_0090.png</t>
  </si>
  <si>
    <t>thin_abrasion/fabric01_thin_abrasion_img/rgb_0091.png</t>
  </si>
  <si>
    <t>thin_abrasion/fabric01_thin_abrasion_img/rgb_0092.png</t>
  </si>
  <si>
    <t>thin_abrasion/fabric01_thin_abrasion_img/rgb_0093.png</t>
  </si>
  <si>
    <t>thin_abrasion/fabric01_thin_abrasion_img/rgb_0094.png</t>
  </si>
  <si>
    <t>thin_abrasion/fabric01_thin_abrasion_img/rgb_0095.png</t>
  </si>
  <si>
    <t>thin_abrasion/fabric01_thin_abrasion_img/rgb_0096.png</t>
  </si>
  <si>
    <t>thin_abrasion/fabric01_thin_abrasion_img/rgb_0097.png</t>
  </si>
  <si>
    <t>thin_abrasion/fabric01_thin_abrasion_img/rgb_0098.png</t>
  </si>
  <si>
    <t>thin_abrasion/fabric01_thin_abrasion_img/rgb_0099.png</t>
  </si>
  <si>
    <t>thin_abrasion/fabric01_thin_abrasion_img/rgb_0100.png</t>
  </si>
  <si>
    <t>thin_abrasion/fabric01_thin_abrasion_img/rgb_0101.png</t>
  </si>
  <si>
    <t>thin_abrasion/fabric01_thin_abrasion_img/rgb_0102.png</t>
  </si>
  <si>
    <t>thin_abrasion/fabric01_thin_abrasion_img/rgb_0103.png</t>
  </si>
  <si>
    <t>thin_abrasion/fabric01_thin_abrasion_img/rgb_0104.png</t>
  </si>
  <si>
    <t>thin_abrasion/fabric01_thin_abrasion_img/rgb_0105.png</t>
  </si>
  <si>
    <t>thin_abrasion/fabric01_thin_abrasion_img/rgb_0106.png</t>
  </si>
  <si>
    <t>thin_abrasion/fabric01_thin_abrasion_img/rgb_0172.png</t>
  </si>
  <si>
    <t>thin_abrasion/fabric01_thin_abrasion_img/rgb_0173.png</t>
  </si>
  <si>
    <t>thin_abrasion/fabric01_thin_abrasion_img/rgb_0174.png</t>
  </si>
  <si>
    <t>thin_abrasion/fabric01_thin_abrasion_img/rgb_0175.png</t>
  </si>
  <si>
    <t>thin_abrasion/fabric01_thin_abrasion_img/rgb_0176.png</t>
  </si>
  <si>
    <t>thin_abrasion/fabric01_thin_abrasion_img/rgb_0177.png</t>
  </si>
  <si>
    <t>thin_abrasion/fabric01_thin_abrasion_img/rgb_0178.png</t>
  </si>
  <si>
    <t>thin_abrasion/fabric01_thin_abrasion_img/rgb_0179.png</t>
  </si>
  <si>
    <t>thin_abrasion/fabric01_thin_abrasion_img/rgb_0180.png</t>
  </si>
  <si>
    <t>thin_abrasion/fabric01_thin_abrasion_img/rgb_0181.png</t>
  </si>
  <si>
    <t>thin_abrasion/fabric01_thin_abrasion_img/rgb_0182.png</t>
  </si>
  <si>
    <t>thin_abrasion/fabric01_thin_abrasion_img/rgb_0183.png</t>
  </si>
  <si>
    <t>thin_abrasion/fabric01_thin_abrasion_img/rgb_0184.png</t>
  </si>
  <si>
    <t>thin_abrasion/fabric01_thin_abrasion_img/rgb_0185.png</t>
  </si>
  <si>
    <t>thin_abrasion/fabric01_thin_abrasion_img/rgb_0186.png</t>
  </si>
  <si>
    <t>thin_abrasion/fabric01_thin_abrasion_img/rgb_0187.png</t>
  </si>
  <si>
    <t>thin_abrasion/fabric01_thin_abrasion_img/rgb_0188.png</t>
  </si>
  <si>
    <t>thin_abrasion/fabric01_thin_abrasion_img/rgb_0189.png</t>
  </si>
  <si>
    <t>thin_abrasion/fabric01_thin_abrasion_img/rgb_0190.png</t>
  </si>
  <si>
    <t>thin_abrasion/fabric01_thin_abrasion_img/rgb_0191.png</t>
  </si>
  <si>
    <t>thin_abrasion/fabric01_thin_abrasion_img/rgb_0192.png</t>
  </si>
  <si>
    <t>thin_abrasion/fabric01_thin_abrasion_img/rgb_0193.png</t>
  </si>
  <si>
    <t>thin_abrasion/fabric01_thin_abrasion_img/rgb_0194.png</t>
  </si>
  <si>
    <t>thin_abrasion/fabric01_thin_abrasion_img/rgb_0195.png</t>
  </si>
  <si>
    <t>thin_abrasion/fabric01_thin_abrasion_img/rgb_0263.png</t>
  </si>
  <si>
    <t>thin_abrasion/fabric01_thin_abrasion_img/rgb_0264.png</t>
  </si>
  <si>
    <t>thin_abrasion/fabric01_thin_abrasion_img/rgb_0265.png</t>
  </si>
  <si>
    <t>thin_abrasion/fabric01_thin_abrasion_img/rgb_0266.png</t>
  </si>
  <si>
    <t>thin_abrasion/fabric01_thin_abrasion_img/rgb_0267.png</t>
  </si>
  <si>
    <t>thin_abrasion/fabric01_thin_abrasion_img/rgb_0268.png</t>
  </si>
  <si>
    <t>thin_abrasion/fabric01_thin_abrasion_img/rgb_0269.png</t>
  </si>
  <si>
    <t>thin_abrasion/fabric01_thin_abrasion_img/rgb_0270.png</t>
  </si>
  <si>
    <t>thin_abrasion/fabric01_thin_abrasion_img/rgb_0271.png</t>
  </si>
  <si>
    <t>thin_abrasion/fabric01_thin_abrasion_img/rgb_0272.png</t>
  </si>
  <si>
    <t>thin_abrasion/fabric01_thin_abrasion_img/rgb_0273.png</t>
  </si>
  <si>
    <t>thin_abrasion/fabric01_thin_abrasion_img/rgb_0274.png</t>
  </si>
  <si>
    <t>thin_abrasion/fabric01_thin_abrasion_img/rgb_0275.png</t>
  </si>
  <si>
    <t>thin_abrasion/fabric01_thin_abrasion_img/rgb_0276.png</t>
  </si>
  <si>
    <t>thin_abrasion/fabric01_thin_abrasion_img/rgb_0277.png</t>
  </si>
  <si>
    <t>thin_abrasion/fabric01_thin_abrasion_img/rgb_0278.png</t>
  </si>
  <si>
    <t>thin_abrasion/fabric01_thin_abrasion_img/rgb_0279.png</t>
  </si>
  <si>
    <t>thin_abrasion/fabric01_thin_abrasion_img/rgb_0280.png</t>
  </si>
  <si>
    <t>thin_abrasion/fabric01_thin_abrasion_img/rgb_0281.png</t>
  </si>
  <si>
    <t>thin_abrasion/fabric01_thin_abrasion_img/rgb_0282.png</t>
  </si>
  <si>
    <t>thin_abrasion/fabric01_thin_abrasion_img/rgb_0283.png</t>
  </si>
  <si>
    <t>thin_abrasion/fabric01_thin_abrasion_img/rgb_0284.png</t>
  </si>
  <si>
    <t>thin_abrasion/fabric01_thin_abrasion_img/rgb_0285.png</t>
  </si>
  <si>
    <t>thin_abrasion/fabric01_thin_abrasion_img/rgb_0286.png</t>
  </si>
  <si>
    <t>thin_abrasion/fabric01_thin_abrasion_img/rgb_0352.png</t>
  </si>
  <si>
    <t>thin_abrasion/fabric01_thin_abrasion_img/rgb_0353.png</t>
  </si>
  <si>
    <t>thin_abrasion/fabric01_thin_abrasion_img/rgb_0354.png</t>
  </si>
  <si>
    <t>thin_abrasion/fabric01_thin_abrasion_img/rgb_0355.png</t>
  </si>
  <si>
    <t>thin_abrasion/fabric01_thin_abrasion_img/rgb_0356.png</t>
  </si>
  <si>
    <t>thin_abrasion/fabric01_thin_abrasion_img/rgb_0357.png</t>
  </si>
  <si>
    <t>thin_abrasion/fabric01_thin_abrasion_img/rgb_0358.png</t>
  </si>
  <si>
    <t>thin_abrasion/fabric01_thin_abrasion_img/rgb_0359.png</t>
  </si>
  <si>
    <t>thin_abrasion/fabric01_thin_abrasion_img/rgb_0360.png</t>
  </si>
  <si>
    <t>thin_abrasion/fabric01_thin_abrasion_img/rgb_0361.png</t>
  </si>
  <si>
    <t>thin_abrasion/fabric01_thin_abrasion_img/rgb_0362.png</t>
  </si>
  <si>
    <t>thin_abrasion/fabric01_thin_abrasion_img/rgb_0363.png</t>
  </si>
  <si>
    <t>thin_abrasion/fabric01_thin_abrasion_img/rgb_0364.png</t>
  </si>
  <si>
    <t>thin_abrasion/fabric01_thin_abrasion_img/rgb_0365.png</t>
  </si>
  <si>
    <t>thin_abrasion/fabric01_thin_abrasion_img/rgb_0366.png</t>
  </si>
  <si>
    <t>thin_abrasion/fabric01_thin_abrasion_img/rgb_0367.png</t>
  </si>
  <si>
    <t>thin_abrasion/fabric01_thin_abrasion_img/rgb_0368.png</t>
  </si>
  <si>
    <t>thin_abrasion/fabric01_thin_abrasion_img/rgb_0369.png</t>
  </si>
  <si>
    <t>thin_abrasion/fabric01_thin_abrasion_img/rgb_0370.png</t>
  </si>
  <si>
    <t>thin_abrasion/fabric01_thin_abrasion_img/rgb_0371.png</t>
  </si>
  <si>
    <t>thin_abrasion/fabric01_thin_abrasion_img/rgb_0372.png</t>
  </si>
  <si>
    <t>thin_abrasion/fabric01_thin_abrasion_img/rgb_0373.png</t>
  </si>
  <si>
    <t>thin_abrasion/fabric01_thin_abrasion_img/rgb_0374.png</t>
  </si>
  <si>
    <t>thin_abrasion/fabric01_thin_abrasion_img/rgb_0440.png</t>
  </si>
  <si>
    <t>thin_abrasion/fabric01_thin_abrasion_img/rgb_0441.png</t>
  </si>
  <si>
    <t>thin_abrasion/fabric01_thin_abrasion_img/rgb_0442.png</t>
  </si>
  <si>
    <t>thin_abrasion/fabric01_thin_abrasion_img/rgb_0443.png</t>
  </si>
  <si>
    <t>thin_abrasion/fabric01_thin_abrasion_img/rgb_0444.png</t>
  </si>
  <si>
    <t>thin_abrasion/fabric01_thin_abrasion_img/rgb_0445.png</t>
  </si>
  <si>
    <t>thin_abrasion/fabric01_thin_abrasion_img/rgb_0446.png</t>
  </si>
  <si>
    <t>thin_abrasion/fabric01_thin_abrasion_img/rgb_0447.png</t>
  </si>
  <si>
    <t>thin_abrasion/fabric01_thin_abrasion_img/rgb_0448.png</t>
  </si>
  <si>
    <t>thin_abrasion/fabric01_thin_abrasion_img/rgb_0449.png</t>
  </si>
  <si>
    <t>thin_abrasion/fabric01_thin_abrasion_img/rgb_0450.png</t>
  </si>
  <si>
    <t>thin_abrasion/fabric01_thin_abrasion_img/rgb_0451.png</t>
  </si>
  <si>
    <t>thin_abrasion/fabric01_thin_abrasion_img/rgb_0452.png</t>
  </si>
  <si>
    <t>thin_abrasion/fabric01_thin_abrasion_img/rgb_0453.png</t>
  </si>
  <si>
    <t>thin_abrasion/fabric01_thin_abrasion_img/rgb_0454.png</t>
  </si>
  <si>
    <t>thin_abrasion/fabric01_thin_abrasion_img/rgb_0455.png</t>
  </si>
  <si>
    <t>thin_abrasion/fabric01_thin_abrasion_img/rgb_0456.png</t>
  </si>
  <si>
    <t>thin_abrasion/fabric01_thin_abrasion_img/rgb_0457.png</t>
  </si>
  <si>
    <t>thin_abrasion/fabric01_thin_abrasion_img/rgb_0458.png</t>
  </si>
  <si>
    <t>thin_abrasion/fabric01_thin_abrasion_img/rgb_0459.png</t>
  </si>
  <si>
    <t>thin_abrasion/fabric01_thin_abrasion_img/rgb_0460.png</t>
  </si>
  <si>
    <t>thin_abrasion/fabric01_thin_abrasion_img/rgb_0461.png</t>
  </si>
  <si>
    <t>thin_abrasion/fabric01_thin_abrasion_img/rgb_0462.png</t>
  </si>
  <si>
    <t>thin_abrasion/fabric01_thin_abrasion_img/rgb_0463.png</t>
  </si>
  <si>
    <t>thin_abrasion/fabric01_thin_abrasion_img/rgb_0529.png</t>
  </si>
  <si>
    <t>thin_abrasion/fabric01_thin_abrasion_img/rgb_0530.png</t>
  </si>
  <si>
    <t>thin_abrasion/fabric01_thin_abrasion_img/rgb_0531.png</t>
  </si>
  <si>
    <t>thin_abrasion/fabric01_thin_abrasion_img/rgb_0532.png</t>
  </si>
  <si>
    <t>thin_abrasion/fabric01_thin_abrasion_img/rgb_0533.png</t>
  </si>
  <si>
    <t>thin_abrasion/fabric01_thin_abrasion_img/rgb_0534.png</t>
  </si>
  <si>
    <t>thin_abrasion/fabric01_thin_abrasion_img/rgb_0535.png</t>
  </si>
  <si>
    <t>thin_abrasion/fabric01_thin_abrasion_img/rgb_0536.png</t>
  </si>
  <si>
    <t>thin_abrasion/fabric01_thin_abrasion_img/rgb_0537.png</t>
  </si>
  <si>
    <t>thin_abrasion/fabric01_thin_abrasion_img/rgb_0538.png</t>
  </si>
  <si>
    <t>thin_abrasion/fabric01_thin_abrasion_img/rgb_0539.png</t>
  </si>
  <si>
    <t>thin_abrasion/fabric01_thin_abrasion_img/rgb_0540.png</t>
  </si>
  <si>
    <t>thin_abrasion/fabric01_thin_abrasion_img/rgb_0541.png</t>
  </si>
  <si>
    <t>thin_abrasion/fabric01_thin_abrasion_img/rgb_0542.png</t>
  </si>
  <si>
    <t>thin_abrasion/fabric01_thin_abrasion_img/rgb_0543.png</t>
  </si>
  <si>
    <t>thin_abrasion/fabric01_thin_abrasion_img/rgb_0544.png</t>
  </si>
  <si>
    <t>thin_abrasion/fabric01_thin_abrasion_img/rgb_0545.png</t>
  </si>
  <si>
    <t>thin_abrasion/fabric01_thin_abrasion_img/rgb_0546.png</t>
  </si>
  <si>
    <t>thin_abrasion/fabric01_thin_abrasion_img/rgb_0547.png</t>
  </si>
  <si>
    <t>thin_abrasion/fabric01_thin_abrasion_img/rgb_0548.png</t>
  </si>
  <si>
    <t>thin_abrasion/fabric01_thin_abrasion_img/rgb_0549.png</t>
  </si>
  <si>
    <t>thin_abrasion/fabric01_thin_abrasion_img/rgb_0550.png</t>
  </si>
  <si>
    <t>thin_abrasion/fabric01_thin_abrasion_img/rgb_0551.png</t>
  </si>
  <si>
    <t>thin_abrasion/fabric01_thin_abrasion_img/rgb_0552.png</t>
  </si>
  <si>
    <t>thin_abrasion/fabric01_thin_abrasion_img/rgb_0619.png</t>
  </si>
  <si>
    <t>thin_abrasion/fabric01_thin_abrasion_img/rgb_0620.png</t>
  </si>
  <si>
    <t>thin_abrasion/fabric01_thin_abrasion_img/rgb_0621.png</t>
  </si>
  <si>
    <t>thin_abrasion/fabric01_thin_abrasion_img/rgb_0622.png</t>
  </si>
  <si>
    <t>thin_abrasion/fabric01_thin_abrasion_img/rgb_0623.png</t>
  </si>
  <si>
    <t>thin_abrasion/fabric01_thin_abrasion_img/rgb_0624.png</t>
  </si>
  <si>
    <t>thin_abrasion/fabric01_thin_abrasion_img/rgb_0625.png</t>
  </si>
  <si>
    <t>thin_abrasion/fabric01_thin_abrasion_img/rgb_0626.png</t>
  </si>
  <si>
    <t>thin_abrasion/fabric01_thin_abrasion_img/rgb_0627.png</t>
  </si>
  <si>
    <t>thin_abrasion/fabric01_thin_abrasion_img/rgb_0628.png</t>
  </si>
  <si>
    <t>thin_abrasion/fabric01_thin_abrasion_img/rgb_0629.png</t>
  </si>
  <si>
    <t>thin_abrasion/fabric01_thin_abrasion_img/rgb_0630.png</t>
  </si>
  <si>
    <t>thin_abrasion/fabric01_thin_abrasion_img/rgb_0631.png</t>
  </si>
  <si>
    <t>thin_abrasion/fabric01_thin_abrasion_img/rgb_0632.png</t>
  </si>
  <si>
    <t>thin_abrasion/fabric01_thin_abrasion_img/rgb_0633.png</t>
  </si>
  <si>
    <t>thin_abrasion/fabric01_thin_abrasion_img/rgb_0634.png</t>
  </si>
  <si>
    <t>thin_abrasion/fabric01_thin_abrasion_img/rgb_0635.png</t>
  </si>
  <si>
    <t>thin_abrasion/fabric01_thin_abrasion_img/rgb_0636.png</t>
  </si>
  <si>
    <t>thin_abrasion/fabric01_thin_abrasion_img/rgb_0637.png</t>
  </si>
  <si>
    <t>thin_abrasion/fabric01_thin_abrasion_img/rgb_0638.png</t>
  </si>
  <si>
    <t>thin_abrasion/fabric01_thin_abrasion_img/rgb_0639.png</t>
  </si>
  <si>
    <t>thin_abrasion/fabric01_thin_abrasion_img/rgb_0640.png</t>
  </si>
  <si>
    <t>thin_abrasion/fabric01_thin_abrasion_img/rgb_0708.png</t>
  </si>
  <si>
    <t>thin_abrasion/fabric01_thin_abrasion_img/rgb_0709.png</t>
  </si>
  <si>
    <t>thin_abrasion/fabric01_thin_abrasion_img/rgb_0710.png</t>
  </si>
  <si>
    <t>thin_abrasion/fabric01_thin_abrasion_img/rgb_0711.png</t>
  </si>
  <si>
    <t>thin_abrasion/fabric01_thin_abrasion_img/rgb_0712.png</t>
  </si>
  <si>
    <t>thin_abrasion/fabric01_thin_abrasion_img/rgb_0713.png</t>
  </si>
  <si>
    <t>thin_abrasion/fabric01_thin_abrasion_img/rgb_0714.png</t>
  </si>
  <si>
    <t>thin_abrasion/fabric01_thin_abrasion_img/rgb_0715.png</t>
  </si>
  <si>
    <t>thin_abrasion/fabric01_thin_abrasion_img/rgb_0716.png</t>
  </si>
  <si>
    <t>thin_abrasion/fabric01_thin_abrasion_img/rgb_0717.png</t>
  </si>
  <si>
    <t>thin_abrasion/fabric01_thin_abrasion_img/rgb_0718.png</t>
  </si>
  <si>
    <t>thin_abrasion/fabric01_thin_abrasion_img/rgb_0719.png</t>
  </si>
  <si>
    <t>thin_abrasion/fabric01_thin_abrasion_img/rgb_0720.png</t>
  </si>
  <si>
    <t>thin_abrasion/fabric01_thin_abrasion_img/rgb_0721.png</t>
  </si>
  <si>
    <t>thin_abrasion/fabric01_thin_abrasion_img/rgb_0722.png</t>
  </si>
  <si>
    <t>thin_abrasion/fabric01_thin_abrasion_img/rgb_0723.png</t>
  </si>
  <si>
    <t>thin_abrasion/fabric01_thin_abrasion_img/rgb_0724.png</t>
  </si>
  <si>
    <t>thin_abrasion/fabric01_thin_abrasion_img/rgb_0725.png</t>
  </si>
  <si>
    <t>thin_abrasion/fabric01_thin_abrasion_img/rgb_0726.png</t>
  </si>
  <si>
    <t>thin_abrasion/fabric01_thin_abrasion_img/rgb_0727.png</t>
  </si>
  <si>
    <t>thin_abrasion/fabric01_thin_abrasion_img/rgb_0728.png</t>
  </si>
  <si>
    <t>thin_abrasion/fabric01_thin_abrasion_img/rgb_0729.png</t>
  </si>
  <si>
    <t>thin_abrasion/fabric01_thin_abrasion_img/rgb_0730.png</t>
  </si>
  <si>
    <t>thin_abrasion/fabric01_thin_abrasion_img/rgb_0731.png</t>
  </si>
  <si>
    <t>thin_abrasion/fabric01_thin_abrasion_img/rgb_0799.png</t>
  </si>
  <si>
    <t>thin_abrasion/fabric01_thin_abrasion_img/rgb_0800.png</t>
  </si>
  <si>
    <t>thin_abrasion/fabric01_thin_abrasion_img/rgb_0801.png</t>
  </si>
  <si>
    <t>thin_abrasion/fabric01_thin_abrasion_img/rgb_0802.png</t>
  </si>
  <si>
    <t>thin_abrasion/fabric01_thin_abrasion_img/rgb_0803.png</t>
  </si>
  <si>
    <t>thin_abrasion/fabric01_thin_abrasion_img/rgb_0804.png</t>
  </si>
  <si>
    <t>thin_abrasion/fabric01_thin_abrasion_img/rgb_0805.png</t>
  </si>
  <si>
    <t>thin_abrasion/fabric01_thin_abrasion_img/rgb_0806.png</t>
  </si>
  <si>
    <t>thin_abrasion/fabric01_thin_abrasion_img/rgb_0807.png</t>
  </si>
  <si>
    <t>thin_abrasion/fabric01_thin_abrasion_img/rgb_0808.png</t>
  </si>
  <si>
    <t>thin_abrasion/fabric01_thin_abrasion_img/rgb_0809.png</t>
  </si>
  <si>
    <t>thin_abrasion/fabric01_thin_abrasion_img/rgb_0810.png</t>
  </si>
  <si>
    <t>thin_abrasion/fabric01_thin_abrasion_img/rgb_0811.png</t>
  </si>
  <si>
    <t>thin_abrasion/fabric01_thin_abrasion_img/rgb_0812.png</t>
  </si>
  <si>
    <t>thin_abrasion/fabric01_thin_abrasion_img/rgb_0813.png</t>
  </si>
  <si>
    <t>thin_abrasion/fabric01_thin_abrasion_img/rgb_0814.png</t>
  </si>
  <si>
    <t>thin_abrasion/fabric01_thin_abrasion_img/rgb_0815.png</t>
  </si>
  <si>
    <t>thin_abrasion/fabric01_thin_abrasion_img/rgb_0816.png</t>
  </si>
  <si>
    <t>thin_abrasion/fabric01_thin_abrasion_img/rgb_0817.png</t>
  </si>
  <si>
    <t>thin_abrasion/fabric01_thin_abrasion_img/rgb_0818.png</t>
  </si>
  <si>
    <t>thin_abrasion/fabric01_thin_abrasion_img/rgb_0819.png</t>
  </si>
  <si>
    <t>thin_abrasion/fabric01_thin_abrasion_img/rgb_0820.png</t>
  </si>
  <si>
    <t>thin_abrasion/fabric01_thin_abrasion_img/rgb_0821.png</t>
  </si>
  <si>
    <t>thin_abrasion/fabric02_thin_abrasion_img/rgb_0092.png</t>
  </si>
  <si>
    <t>fabric02</t>
  </si>
  <si>
    <t>thin_abrasion/fabric02_thin_abrasion_img/rgb_0093.png</t>
  </si>
  <si>
    <t>thin_abrasion/fabric02_thin_abrasion_img/rgb_0094.png</t>
  </si>
  <si>
    <t>thin_abrasion/fabric02_thin_abrasion_img/rgb_0095.png</t>
  </si>
  <si>
    <t>thin_abrasion/fabric02_thin_abrasion_img/rgb_0096.png</t>
  </si>
  <si>
    <t>thin_abrasion/fabric02_thin_abrasion_img/rgb_0097.png</t>
  </si>
  <si>
    <t>thin_abrasion/fabric02_thin_abrasion_img/rgb_0098.png</t>
  </si>
  <si>
    <t>thin_abrasion/fabric02_thin_abrasion_img/rgb_0099.png</t>
  </si>
  <si>
    <t>thin_abrasion/fabric02_thin_abrasion_img/rgb_0100.png</t>
  </si>
  <si>
    <t>thin_abrasion/fabric02_thin_abrasion_img/rgb_0101.png</t>
  </si>
  <si>
    <t>thin_abrasion/fabric02_thin_abrasion_img/rgb_0102.png</t>
  </si>
  <si>
    <t>thin_abrasion/fabric02_thin_abrasion_img/rgb_0103.png</t>
  </si>
  <si>
    <t>thin_abrasion/fabric02_thin_abrasion_img/rgb_0104.png</t>
  </si>
  <si>
    <t>thin_abrasion/fabric02_thin_abrasion_img/rgb_0105.png</t>
  </si>
  <si>
    <t>thin_abrasion/fabric02_thin_abrasion_img/rgb_0106.png</t>
  </si>
  <si>
    <t>thin_abrasion/fabric02_thin_abrasion_img/rgb_0107.png</t>
  </si>
  <si>
    <t>thin_abrasion/fabric02_thin_abrasion_img/rgb_0108.png</t>
  </si>
  <si>
    <t>thin_abrasion/fabric02_thin_abrasion_img/rgb_0109.png</t>
  </si>
  <si>
    <t>thin_abrasion/fabric02_thin_abrasion_img/rgb_0110.png</t>
  </si>
  <si>
    <t>thin_abrasion/fabric02_thin_abrasion_img/rgb_0111.png</t>
  </si>
  <si>
    <t>thin_abrasion/fabric02_thin_abrasion_img/rgb_0112.png</t>
  </si>
  <si>
    <t>thin_abrasion/fabric02_thin_abrasion_img/rgb_0113.png</t>
  </si>
  <si>
    <t>thin_abrasion/fabric02_thin_abrasion_img/rgb_0114.png</t>
  </si>
  <si>
    <t>thin_abrasion/fabric02_thin_abrasion_img/rgb_0115.png</t>
  </si>
  <si>
    <t>thin_abrasion/fabric02_thin_abrasion_img/rgb_0179.png</t>
  </si>
  <si>
    <t>thin_abrasion/fabric02_thin_abrasion_img/rgb_0180.png</t>
  </si>
  <si>
    <t>thin_abrasion/fabric02_thin_abrasion_img/rgb_0181.png</t>
  </si>
  <si>
    <t>thin_abrasion/fabric02_thin_abrasion_img/rgb_0182.png</t>
  </si>
  <si>
    <t>thin_abrasion/fabric02_thin_abrasion_img/rgb_0183.png</t>
  </si>
  <si>
    <t>thin_abrasion/fabric02_thin_abrasion_img/rgb_0184.png</t>
  </si>
  <si>
    <t>thin_abrasion/fabric02_thin_abrasion_img/rgb_0185.png</t>
  </si>
  <si>
    <t>thin_abrasion/fabric02_thin_abrasion_img/rgb_0186.png</t>
  </si>
  <si>
    <t>thin_abrasion/fabric02_thin_abrasion_img/rgb_0187.png</t>
  </si>
  <si>
    <t>thin_abrasion/fabric02_thin_abrasion_img/rgb_0188.png</t>
  </si>
  <si>
    <t>thin_abrasion/fabric02_thin_abrasion_img/rgb_0189.png</t>
  </si>
  <si>
    <t>thin_abrasion/fabric02_thin_abrasion_img/rgb_0190.png</t>
  </si>
  <si>
    <t>thin_abrasion/fabric02_thin_abrasion_img/rgb_0191.png</t>
  </si>
  <si>
    <t>thin_abrasion/fabric02_thin_abrasion_img/rgb_0192.png</t>
  </si>
  <si>
    <t>thin_abrasion/fabric02_thin_abrasion_img/rgb_0193.png</t>
  </si>
  <si>
    <t>thin_abrasion/fabric02_thin_abrasion_img/rgb_0194.png</t>
  </si>
  <si>
    <t>thin_abrasion/fabric02_thin_abrasion_img/rgb_0195.png</t>
  </si>
  <si>
    <t>thin_abrasion/fabric02_thin_abrasion_img/rgb_0196.png</t>
  </si>
  <si>
    <t>thin_abrasion/fabric02_thin_abrasion_img/rgb_0197.png</t>
  </si>
  <si>
    <t>thin_abrasion/fabric02_thin_abrasion_img/rgb_0198.png</t>
  </si>
  <si>
    <t>thin_abrasion/fabric02_thin_abrasion_img/rgb_0199.png</t>
  </si>
  <si>
    <t>thin_abrasion/fabric02_thin_abrasion_img/rgb_0200.png</t>
  </si>
  <si>
    <t>thin_abrasion/fabric02_thin_abrasion_img/rgb_0201.png</t>
  </si>
  <si>
    <t>thin_abrasion/fabric02_thin_abrasion_img/rgb_0202.png</t>
  </si>
  <si>
    <t>thin_abrasion/fabric02_thin_abrasion_img/rgb_0267.png</t>
  </si>
  <si>
    <t>thin_abrasion/fabric02_thin_abrasion_img/rgb_0276.png</t>
  </si>
  <si>
    <t>thin_abrasion/fabric02_thin_abrasion_img/rgb_0279.png</t>
  </si>
  <si>
    <t>thin_abrasion/fabric02_thin_abrasion_img/rgb_0354.png</t>
  </si>
  <si>
    <t>thin_abrasion/fabric02_thin_abrasion_img/rgb_0359.png</t>
  </si>
  <si>
    <t>thin_abrasion/fabric02_thin_abrasion_img/rgb_0361.png</t>
  </si>
  <si>
    <t>thin_abrasion/fabric02_thin_abrasion_img/rgb_0362.png</t>
  </si>
  <si>
    <t>thin_abrasion/fabric02_thin_abrasion_img/rgb_0364.png</t>
  </si>
  <si>
    <t>thin_abrasion/fabric02_thin_abrasion_img/rgb_0369.png</t>
  </si>
  <si>
    <t>thin_abrasion/fabric02_thin_abrasion_img/rgb_0372.png</t>
  </si>
  <si>
    <t>thin_abrasion/fabric02_thin_abrasion_img/rgb_0373.png</t>
  </si>
  <si>
    <t>thin_abrasion/fabric02_thin_abrasion_img/rgb_0441.png</t>
  </si>
  <si>
    <t>thin_abrasion/fabric02_thin_abrasion_img/rgb_0442.png</t>
  </si>
  <si>
    <t>thin_abrasion/fabric02_thin_abrasion_img/rgb_0443.png</t>
  </si>
  <si>
    <t>thin_abrasion/fabric02_thin_abrasion_img/rgb_0444.png</t>
  </si>
  <si>
    <t>thin_abrasion/fabric02_thin_abrasion_img/rgb_0445.png</t>
  </si>
  <si>
    <t>thin_abrasion/fabric02_thin_abrasion_img/rgb_0446.png</t>
  </si>
  <si>
    <t>thin_abrasion/fabric02_thin_abrasion_img/rgb_0447.png</t>
  </si>
  <si>
    <t>thin_abrasion/fabric02_thin_abrasion_img/rgb_0448.png</t>
  </si>
  <si>
    <t>thin_abrasion/fabric02_thin_abrasion_img/rgb_0449.png</t>
  </si>
  <si>
    <t>thin_abrasion/fabric02_thin_abrasion_img/rgb_0450.png</t>
  </si>
  <si>
    <t>thin_abrasion/fabric02_thin_abrasion_img/rgb_0451.png</t>
  </si>
  <si>
    <t>thin_abrasion/fabric02_thin_abrasion_img/rgb_0452.png</t>
  </si>
  <si>
    <t>thin_abrasion/fabric02_thin_abrasion_img/rgb_0453.png</t>
  </si>
  <si>
    <t>thin_abrasion/fabric02_thin_abrasion_img/rgb_0454.png</t>
  </si>
  <si>
    <t>thin_abrasion/fabric02_thin_abrasion_img/rgb_0455.png</t>
  </si>
  <si>
    <t>thin_abrasion/fabric02_thin_abrasion_img/rgb_0456.png</t>
  </si>
  <si>
    <t>thin_abrasion/fabric02_thin_abrasion_img/rgb_0457.png</t>
  </si>
  <si>
    <t>thin_abrasion/fabric02_thin_abrasion_img/rgb_0458.png</t>
  </si>
  <si>
    <t>thin_abrasion/fabric02_thin_abrasion_img/rgb_0459.png</t>
  </si>
  <si>
    <t>thin_abrasion/fabric02_thin_abrasion_img/rgb_0460.png</t>
  </si>
  <si>
    <t>thin_abrasion/fabric02_thin_abrasion_img/rgb_0461.png</t>
  </si>
  <si>
    <t>thin_abrasion/fabric02_thin_abrasion_img/rgb_0462.png</t>
  </si>
  <si>
    <t>thin_abrasion/fabric02_thin_abrasion_img/rgb_0463.png</t>
  </si>
  <si>
    <t>thin_abrasion/fabric02_thin_abrasion_img/rgb_0464.png</t>
  </si>
  <si>
    <t>thin_abrasion/fabric02_thin_abrasion_img/rgb_0531.png</t>
  </si>
  <si>
    <t>thin_abrasion/fabric02_thin_abrasion_img/rgb_0532.png</t>
  </si>
  <si>
    <t>thin_abrasion/fabric02_thin_abrasion_img/rgb_0533.png</t>
  </si>
  <si>
    <t>thin_abrasion/fabric02_thin_abrasion_img/rgb_0534.png</t>
  </si>
  <si>
    <t>thin_abrasion/fabric02_thin_abrasion_img/rgb_0535.png</t>
  </si>
  <si>
    <t>thin_abrasion/fabric02_thin_abrasion_img/rgb_0536.png</t>
  </si>
  <si>
    <t>thin_abrasion/fabric02_thin_abrasion_img/rgb_0537.png</t>
  </si>
  <si>
    <t>thin_abrasion/fabric02_thin_abrasion_img/rgb_0538.png</t>
  </si>
  <si>
    <t>thin_abrasion/fabric02_thin_abrasion_img/rgb_0539.png</t>
  </si>
  <si>
    <t>thin_abrasion/fabric02_thin_abrasion_img/rgb_0540.png</t>
  </si>
  <si>
    <t>thin_abrasion/fabric02_thin_abrasion_img/rgb_0541.png</t>
  </si>
  <si>
    <t>thin_abrasion/fabric02_thin_abrasion_img/rgb_0542.png</t>
  </si>
  <si>
    <t>thin_abrasion/fabric02_thin_abrasion_img/rgb_0543.png</t>
  </si>
  <si>
    <t>thin_abrasion/fabric02_thin_abrasion_img/rgb_0544.png</t>
  </si>
  <si>
    <t>thin_abrasion/fabric02_thin_abrasion_img/rgb_0545.png</t>
  </si>
  <si>
    <t>thin_abrasion/fabric02_thin_abrasion_img/rgb_0546.png</t>
  </si>
  <si>
    <t>thin_abrasion/fabric02_thin_abrasion_img/rgb_0547.png</t>
  </si>
  <si>
    <t>thin_abrasion/fabric02_thin_abrasion_img/rgb_0548.png</t>
  </si>
  <si>
    <t>thin_abrasion/fabric02_thin_abrasion_img/rgb_0549.png</t>
  </si>
  <si>
    <t>thin_abrasion/fabric02_thin_abrasion_img/rgb_0550.png</t>
  </si>
  <si>
    <t>thin_abrasion/fabric02_thin_abrasion_img/rgb_0551.png</t>
  </si>
  <si>
    <t>thin_abrasion/fabric02_thin_abrasion_img/rgb_0552.png</t>
  </si>
  <si>
    <t>thin_abrasion/fabric02_thin_abrasion_img/rgb_0553.png</t>
  </si>
  <si>
    <t>thin_abrasion/fabric02_thin_abrasion_img/rgb_0619.png</t>
  </si>
  <si>
    <t>thin_abrasion/fabric02_thin_abrasion_img/rgb_0621.png</t>
  </si>
  <si>
    <t>thin_abrasion/fabric02_thin_abrasion_img/rgb_0622.png</t>
  </si>
  <si>
    <t>thin_abrasion/fabric02_thin_abrasion_img/rgb_0623.png</t>
  </si>
  <si>
    <t>thin_abrasion/fabric02_thin_abrasion_img/rgb_0624.png</t>
  </si>
  <si>
    <t>thin_abrasion/fabric02_thin_abrasion_img/rgb_0625.png</t>
  </si>
  <si>
    <t>thin_abrasion/fabric02_thin_abrasion_img/rgb_0626.png</t>
  </si>
  <si>
    <t>thin_abrasion/fabric02_thin_abrasion_img/rgb_0627.png</t>
  </si>
  <si>
    <t>thin_abrasion/fabric02_thin_abrasion_img/rgb_0628.png</t>
  </si>
  <si>
    <t>thin_abrasion/fabric02_thin_abrasion_img/rgb_0629.png</t>
  </si>
  <si>
    <t>thin_abrasion/fabric02_thin_abrasion_img/rgb_0630.png</t>
  </si>
  <si>
    <t>thin_abrasion/fabric02_thin_abrasion_img/rgb_0631.png</t>
  </si>
  <si>
    <t>thin_abrasion/fabric02_thin_abrasion_img/rgb_0632.png</t>
  </si>
  <si>
    <t>thin_abrasion/fabric02_thin_abrasion_img/rgb_0633.png</t>
  </si>
  <si>
    <t>thin_abrasion/fabric02_thin_abrasion_img/rgb_0634.png</t>
  </si>
  <si>
    <t>thin_abrasion/fabric02_thin_abrasion_img/rgb_0635.png</t>
  </si>
  <si>
    <t>thin_abrasion/fabric02_thin_abrasion_img/rgb_0636.png</t>
  </si>
  <si>
    <t>thin_abrasion/fabric02_thin_abrasion_img/rgb_0637.png</t>
  </si>
  <si>
    <t>thin_abrasion/fabric02_thin_abrasion_img/rgb_0638.png</t>
  </si>
  <si>
    <t>thin_abrasion/fabric02_thin_abrasion_img/rgb_0639.png</t>
  </si>
  <si>
    <t>thin_abrasion/fabric02_thin_abrasion_img/rgb_0640.png</t>
  </si>
  <si>
    <t>thin_abrasion/fabric02_thin_abrasion_img/rgb_0641.png</t>
  </si>
  <si>
    <t>thin_abrasion/fabric02_thin_abrasion_img/rgb_0642.png</t>
  </si>
  <si>
    <t>thin_abrasion/fabric02_thin_abrasion_img/rgb_0707.png</t>
  </si>
  <si>
    <t>thin_abrasion/fabric02_thin_abrasion_img/rgb_0708.png</t>
  </si>
  <si>
    <t>thin_abrasion/fabric02_thin_abrasion_img/rgb_0709.png</t>
  </si>
  <si>
    <t>thin_abrasion/fabric02_thin_abrasion_img/rgb_0710.png</t>
  </si>
  <si>
    <t>thin_abrasion/fabric02_thin_abrasion_img/rgb_0711.png</t>
  </si>
  <si>
    <t>thin_abrasion/fabric02_thin_abrasion_img/rgb_0712.png</t>
  </si>
  <si>
    <t>thin_abrasion/fabric02_thin_abrasion_img/rgb_0713.png</t>
  </si>
  <si>
    <t>thin_abrasion/fabric02_thin_abrasion_img/rgb_0714.png</t>
  </si>
  <si>
    <t>thin_abrasion/fabric02_thin_abrasion_img/rgb_0715.png</t>
  </si>
  <si>
    <t>thin_abrasion/fabric02_thin_abrasion_img/rgb_0716.png</t>
  </si>
  <si>
    <t>thin_abrasion/fabric02_thin_abrasion_img/rgb_0717.png</t>
  </si>
  <si>
    <t>thin_abrasion/fabric02_thin_abrasion_img/rgb_0718.png</t>
  </si>
  <si>
    <t>thin_abrasion/fabric02_thin_abrasion_img/rgb_0719.png</t>
  </si>
  <si>
    <t>thin_abrasion/fabric02_thin_abrasion_img/rgb_0720.png</t>
  </si>
  <si>
    <t>thin_abrasion/fabric02_thin_abrasion_img/rgb_0721.png</t>
  </si>
  <si>
    <t>thin_abrasion/fabric02_thin_abrasion_img/rgb_0722.png</t>
  </si>
  <si>
    <t>thin_abrasion/fabric02_thin_abrasion_img/rgb_0723.png</t>
  </si>
  <si>
    <t>thin_abrasion/fabric02_thin_abrasion_img/rgb_0724.png</t>
  </si>
  <si>
    <t>thin_abrasion/fabric02_thin_abrasion_img/rgb_0725.png</t>
  </si>
  <si>
    <t>thin_abrasion/fabric02_thin_abrasion_img/rgb_0726.png</t>
  </si>
  <si>
    <t>thin_abrasion/fabric02_thin_abrasion_img/rgb_0727.png</t>
  </si>
  <si>
    <t>thin_abrasion/fabric02_thin_abrasion_img/rgb_0728.png</t>
  </si>
  <si>
    <t>thin_abrasion/fabric02_thin_abrasion_img/rgb_0729.png</t>
  </si>
  <si>
    <t>thin_abrasion/fabric02_thin_abrasion_img/rgb_0730.png</t>
  </si>
  <si>
    <t>thin_abrasion/fabric02_thin_abrasion_img/rgb_0796.png</t>
  </si>
  <si>
    <t>thin_abrasion/fabric02_thin_abrasion_img/rgb_0797.png</t>
  </si>
  <si>
    <t>thin_abrasion/fabric02_thin_abrasion_img/rgb_0820.png</t>
  </si>
  <si>
    <t>thin_abrasion/fabric03_thin_abrasion_img/rgb_0249.png</t>
  </si>
  <si>
    <t>fabric03</t>
  </si>
  <si>
    <t>thin_abrasion/fabric03_thin_abrasion_img/rgb_0250.png</t>
  </si>
  <si>
    <t>thin_abrasion/fabric03_thin_abrasion_img/rgb_0337.png</t>
  </si>
  <si>
    <t>thin_abrasion/fabric03_thin_abrasion_img/rgb_0338.png</t>
  </si>
  <si>
    <t>thin_abrasion/fabric03_thin_abrasion_img/rgb_0359.png</t>
  </si>
  <si>
    <t>thin_abrasion/fabric03_thin_abrasion_img/rgb_0512.png</t>
  </si>
  <si>
    <t>thin_abrasion/fabric03_thin_abrasion_img/rgb_0780.png</t>
  </si>
  <si>
    <t>thin_abrasion/fabric03_thin_abrasion_img/rgb_0781.png</t>
  </si>
  <si>
    <t>thin_abrasion/fabric03_thin_abrasion_img/rgb_0782.png</t>
  </si>
  <si>
    <t>thin_abrasion/fabric03_thin_abrasion_img/rgb_0783.png</t>
  </si>
  <si>
    <t>thin_abrasion/fabric03_thin_abrasion_img/rgb_0784.png</t>
  </si>
  <si>
    <t>thin_abrasion/fabric03_thin_abrasion_img/rgb_0785.png</t>
  </si>
  <si>
    <t>thin_abrasion/fabric03_thin_abrasion_img/rgb_0786.png</t>
  </si>
  <si>
    <t>thin_abrasion/fabric03_thin_abrasion_img/rgb_0787.png</t>
  </si>
  <si>
    <t>thin_abrasion/fabric03_thin_abrasion_img/rgb_0788.png</t>
  </si>
  <si>
    <t>thin_abrasion/fabric03_thin_abrasion_img/rgb_0789.png</t>
  </si>
  <si>
    <t>thin_abrasion/fabric03_thin_abrasion_img/rgb_0790.png</t>
  </si>
  <si>
    <t>thin_abrasion/fabric03_thin_abrasion_img/rgb_0791.png</t>
  </si>
  <si>
    <t>thin_abrasion/fabric03_thin_abrasion_img/rgb_0792.png</t>
  </si>
  <si>
    <t>thin_abrasion/fabric03_thin_abrasion_img/rgb_0794.png</t>
  </si>
  <si>
    <t>thin_abrasion/fabric03_thin_abrasion_img/rgb_0795.png</t>
  </si>
  <si>
    <t>thin_abrasion/fabric03_thin_abrasion_img/rgb_0796.png</t>
  </si>
  <si>
    <t>thin_abrasion/fabric03_thin_abrasion_img/rgb_0797.png</t>
  </si>
  <si>
    <t>thin_abrasion/fabric03_thin_abrasion_img/rgb_0798.png</t>
  </si>
  <si>
    <t>thin_abrasion/fabric03_thin_abrasion_img/rgb_0799.png</t>
  </si>
  <si>
    <t>thin_abrasion/fabric03_thin_abrasion_img/rgb_0800.png</t>
  </si>
  <si>
    <t>thin_abrasion/fabric03_thin_abrasion_img/rgb_0801.png</t>
  </si>
  <si>
    <t>thin_abrasion/fabric03_thin_abrasion_img/rgb_0802.png</t>
  </si>
  <si>
    <t>thin_abrasion/fabric04_thin_abrasion_img/rgb_0163.png</t>
  </si>
  <si>
    <t>fabric04</t>
  </si>
  <si>
    <t>thin_abrasion/fabric04_thin_abrasion_img/rgb_0164.png</t>
  </si>
  <si>
    <t>thin_abrasion/fabric04_thin_abrasion_img/rgb_0165.png</t>
  </si>
  <si>
    <t>thin_abrasion/fabric04_thin_abrasion_img/rgb_0166.png</t>
  </si>
  <si>
    <t>thin_abrasion/fabric04_thin_abrasion_img/rgb_0167.png</t>
  </si>
  <si>
    <t>thin_abrasion/fabric04_thin_abrasion_img/rgb_0168.png</t>
  </si>
  <si>
    <t>thin_abrasion/fabric04_thin_abrasion_img/rgb_0169.png</t>
  </si>
  <si>
    <t>thin_abrasion/fabric04_thin_abrasion_img/rgb_0170.png</t>
  </si>
  <si>
    <t>thin_abrasion/fabric04_thin_abrasion_img/rgb_0171.png</t>
  </si>
  <si>
    <t>thin_abrasion/fabric04_thin_abrasion_img/rgb_0172.png</t>
  </si>
  <si>
    <t>thin_abrasion/fabric04_thin_abrasion_img/rgb_0173.png</t>
  </si>
  <si>
    <t>thin_abrasion/fabric04_thin_abrasion_img/rgb_0174.png</t>
  </si>
  <si>
    <t>thin_abrasion/fabric04_thin_abrasion_img/rgb_0175.png</t>
  </si>
  <si>
    <t>thin_abrasion/fabric04_thin_abrasion_img/rgb_0176.png</t>
  </si>
  <si>
    <t>thin_abrasion/fabric04_thin_abrasion_img/rgb_0177.png</t>
  </si>
  <si>
    <t>thin_abrasion/fabric04_thin_abrasion_img/rgb_0178.png</t>
  </si>
  <si>
    <t>thin_abrasion/fabric04_thin_abrasion_img/rgb_0179.png</t>
  </si>
  <si>
    <t>thin_abrasion/fabric04_thin_abrasion_img/rgb_0180.png</t>
  </si>
  <si>
    <t>thin_abrasion/fabric04_thin_abrasion_img/rgb_0181.png</t>
  </si>
  <si>
    <t>thin_abrasion/fabric04_thin_abrasion_img/rgb_0182.png</t>
  </si>
  <si>
    <t>thin_abrasion/fabric04_thin_abrasion_img/rgb_0183.png</t>
  </si>
  <si>
    <t>thin_abrasion/fabric04_thin_abrasion_img/rgb_0184.png</t>
  </si>
  <si>
    <t>thin_abrasion/fabric04_thin_abrasion_img/rgb_0185.png</t>
  </si>
  <si>
    <t>thin_abrasion/fabric04_thin_abrasion_img/rgb_0186.png</t>
  </si>
  <si>
    <t>thin_abrasion/fabric04_thin_abrasion_img/rgb_0187.png</t>
  </si>
  <si>
    <t>thin_abrasion/fabric04_thin_abrasion_img/rgb_0188.png</t>
  </si>
  <si>
    <t>thin_abrasion/fabric04_thin_abrasion_img/rgb_0251.png</t>
  </si>
  <si>
    <t>thin_abrasion/fabric04_thin_abrasion_img/rgb_0252.png</t>
  </si>
  <si>
    <t>thin_abrasion/fabric04_thin_abrasion_img/rgb_0253.png</t>
  </si>
  <si>
    <t>thin_abrasion/fabric04_thin_abrasion_img/rgb_0254.png</t>
  </si>
  <si>
    <t>thin_abrasion/fabric04_thin_abrasion_img/rgb_0255.png</t>
  </si>
  <si>
    <t>thin_abrasion/fabric04_thin_abrasion_img/rgb_0256.png</t>
  </si>
  <si>
    <t>thin_abrasion/fabric04_thin_abrasion_img/rgb_0257.png</t>
  </si>
  <si>
    <t>thin_abrasion/fabric04_thin_abrasion_img/rgb_0258.png</t>
  </si>
  <si>
    <t>thin_abrasion/fabric04_thin_abrasion_img/rgb_0259.png</t>
  </si>
  <si>
    <t>thin_abrasion/fabric04_thin_abrasion_img/rgb_0260.png</t>
  </si>
  <si>
    <t>thin_abrasion/fabric04_thin_abrasion_img/rgb_0261.png</t>
  </si>
  <si>
    <t>thin_abrasion/fabric04_thin_abrasion_img/rgb_0262.png</t>
  </si>
  <si>
    <t>thin_abrasion/fabric04_thin_abrasion_img/rgb_0263.png</t>
  </si>
  <si>
    <t>thin_abrasion/fabric04_thin_abrasion_img/rgb_0264.png</t>
  </si>
  <si>
    <t>thin_abrasion/fabric04_thin_abrasion_img/rgb_0265.png</t>
  </si>
  <si>
    <t>thin_abrasion/fabric04_thin_abrasion_img/rgb_0266.png</t>
  </si>
  <si>
    <t>thin_abrasion/fabric04_thin_abrasion_img/rgb_0267.png</t>
  </si>
  <si>
    <t>thin_abrasion/fabric04_thin_abrasion_img/rgb_0268.png</t>
  </si>
  <si>
    <t>thin_abrasion/fabric04_thin_abrasion_img/rgb_0269.png</t>
  </si>
  <si>
    <t>thin_abrasion/fabric04_thin_abrasion_img/rgb_0270.png</t>
  </si>
  <si>
    <t>thin_abrasion/fabric04_thin_abrasion_img/rgb_0271.png</t>
  </si>
  <si>
    <t>thin_abrasion/fabric04_thin_abrasion_img/rgb_0272.png</t>
  </si>
  <si>
    <t>thin_abrasion/fabric04_thin_abrasion_img/rgb_0273.png</t>
  </si>
  <si>
    <t>thin_abrasion/fabric04_thin_abrasion_img/rgb_0274.png</t>
  </si>
  <si>
    <t>thin_abrasion/fabric04_thin_abrasion_img/rgb_0275.png</t>
  </si>
  <si>
    <t>thin_abrasion/fabric04_thin_abrasion_img/rgb_0339.png</t>
  </si>
  <si>
    <t>thin_abrasion/fabric04_thin_abrasion_img/rgb_0340.png</t>
  </si>
  <si>
    <t>thin_abrasion/fabric04_thin_abrasion_img/rgb_0341.png</t>
  </si>
  <si>
    <t>thin_abrasion/fabric04_thin_abrasion_img/rgb_0342.png</t>
  </si>
  <si>
    <t>thin_abrasion/fabric04_thin_abrasion_img/rgb_0343.png</t>
  </si>
  <si>
    <t>thin_abrasion/fabric04_thin_abrasion_img/rgb_0344.png</t>
  </si>
  <si>
    <t>thin_abrasion/fabric04_thin_abrasion_img/rgb_0345.png</t>
  </si>
  <si>
    <t>thin_abrasion/fabric04_thin_abrasion_img/rgb_0346.png</t>
  </si>
  <si>
    <t>thin_abrasion/fabric04_thin_abrasion_img/rgb_0347.png</t>
  </si>
  <si>
    <t>thin_abrasion/fabric04_thin_abrasion_img/rgb_0348.png</t>
  </si>
  <si>
    <t>thin_abrasion/fabric04_thin_abrasion_img/rgb_0349.png</t>
  </si>
  <si>
    <t>thin_abrasion/fabric04_thin_abrasion_img/rgb_0350.png</t>
  </si>
  <si>
    <t>thin_abrasion/fabric04_thin_abrasion_img/rgb_0351.png</t>
  </si>
  <si>
    <t>thin_abrasion/fabric04_thin_abrasion_img/rgb_0352.png</t>
  </si>
  <si>
    <t>thin_abrasion/fabric04_thin_abrasion_img/rgb_0353.png</t>
  </si>
  <si>
    <t>thin_abrasion/fabric04_thin_abrasion_img/rgb_0354.png</t>
  </si>
  <si>
    <t>thin_abrasion/fabric04_thin_abrasion_img/rgb_0355.png</t>
  </si>
  <si>
    <t>thin_abrasion/fabric04_thin_abrasion_img/rgb_0356.png</t>
  </si>
  <si>
    <t>thin_abrasion/fabric04_thin_abrasion_img/rgb_0357.png</t>
  </si>
  <si>
    <t>thin_abrasion/fabric04_thin_abrasion_img/rgb_0358.png</t>
  </si>
  <si>
    <t>thin_abrasion/fabric04_thin_abrasion_img/rgb_0359.png</t>
  </si>
  <si>
    <t>thin_abrasion/fabric04_thin_abrasion_img/rgb_0360.png</t>
  </si>
  <si>
    <t>thin_abrasion/fabric04_thin_abrasion_img/rgb_0424.png</t>
  </si>
  <si>
    <t>thin_abrasion/fabric04_thin_abrasion_img/rgb_0425.png</t>
  </si>
  <si>
    <t>thin_abrasion/fabric04_thin_abrasion_img/rgb_0426.png</t>
  </si>
  <si>
    <t>thin_abrasion/fabric04_thin_abrasion_img/rgb_0427.png</t>
  </si>
  <si>
    <t>thin_abrasion/fabric04_thin_abrasion_img/rgb_0428.png</t>
  </si>
  <si>
    <t>thin_abrasion/fabric04_thin_abrasion_img/rgb_0429.png</t>
  </si>
  <si>
    <t>thin_abrasion/fabric04_thin_abrasion_img/rgb_0430.png</t>
  </si>
  <si>
    <t>thin_abrasion/fabric04_thin_abrasion_img/rgb_0431.png</t>
  </si>
  <si>
    <t>thin_abrasion/fabric04_thin_abrasion_img/rgb_0432.png</t>
  </si>
  <si>
    <t>thin_abrasion/fabric04_thin_abrasion_img/rgb_0433.png</t>
  </si>
  <si>
    <t>thin_abrasion/fabric04_thin_abrasion_img/rgb_0434.png</t>
  </si>
  <si>
    <t>thin_abrasion/fabric04_thin_abrasion_img/rgb_0435.png</t>
  </si>
  <si>
    <t>thin_abrasion/fabric04_thin_abrasion_img/rgb_0436.png</t>
  </si>
  <si>
    <t>thin_abrasion/fabric04_thin_abrasion_img/rgb_0437.png</t>
  </si>
  <si>
    <t>thin_abrasion/fabric04_thin_abrasion_img/rgb_0438.png</t>
  </si>
  <si>
    <t>thin_abrasion/fabric04_thin_abrasion_img/rgb_0439.png</t>
  </si>
  <si>
    <t>thin_abrasion/fabric04_thin_abrasion_img/rgb_0440.png</t>
  </si>
  <si>
    <t>thin_abrasion/fabric04_thin_abrasion_img/rgb_0441.png</t>
  </si>
  <si>
    <t>thin_abrasion/fabric04_thin_abrasion_img/rgb_0442.png</t>
  </si>
  <si>
    <t>thin_abrasion/fabric04_thin_abrasion_img/rgb_0443.png</t>
  </si>
  <si>
    <t>thin_abrasion/fabric04_thin_abrasion_img/rgb_0444.png</t>
  </si>
  <si>
    <t>thin_abrasion/fabric04_thin_abrasion_img/rgb_0445.png</t>
  </si>
  <si>
    <t>thin_abrasion/fabric04_thin_abrasion_img/rgb_0446.png</t>
  </si>
  <si>
    <t>thin_abrasion/fabric04_thin_abrasion_img/rgb_0447.png</t>
  </si>
  <si>
    <t>thin_abrasion/fabric04_thin_abrasion_img/rgb_0513.png</t>
  </si>
  <si>
    <t>thin_abrasion/fabric04_thin_abrasion_img/rgb_0514.png</t>
  </si>
  <si>
    <t>thin_abrasion/fabric04_thin_abrasion_img/rgb_0515.png</t>
  </si>
  <si>
    <t>thin_abrasion/fabric04_thin_abrasion_img/rgb_0516.png</t>
  </si>
  <si>
    <t>thin_abrasion/fabric04_thin_abrasion_img/rgb_0517.png</t>
  </si>
  <si>
    <t>thin_abrasion/fabric04_thin_abrasion_img/rgb_0518.png</t>
  </si>
  <si>
    <t>thin_abrasion/fabric04_thin_abrasion_img/rgb_0519.png</t>
  </si>
  <si>
    <t>thin_abrasion/fabric04_thin_abrasion_img/rgb_0520.png</t>
  </si>
  <si>
    <t>thin_abrasion/fabric04_thin_abrasion_img/rgb_0521.png</t>
  </si>
  <si>
    <t>thin_abrasion/fabric04_thin_abrasion_img/rgb_0522.png</t>
  </si>
  <si>
    <t>thin_abrasion/fabric04_thin_abrasion_img/rgb_0523.png</t>
  </si>
  <si>
    <t>thin_abrasion/fabric04_thin_abrasion_img/rgb_0524.png</t>
  </si>
  <si>
    <t>thin_abrasion/fabric04_thin_abrasion_img/rgb_0525.png</t>
  </si>
  <si>
    <t>thin_abrasion/fabric04_thin_abrasion_img/rgb_0526.png</t>
  </si>
  <si>
    <t>thin_abrasion/fabric04_thin_abrasion_img/rgb_0527.png</t>
  </si>
  <si>
    <t>thin_abrasion/fabric04_thin_abrasion_img/rgb_0528.png</t>
  </si>
  <si>
    <t>thin_abrasion/fabric04_thin_abrasion_img/rgb_0529.png</t>
  </si>
  <si>
    <t>thin_abrasion/fabric04_thin_abrasion_img/rgb_0530.png</t>
  </si>
  <si>
    <t>thin_abrasion/fabric04_thin_abrasion_img/rgb_0531.png</t>
  </si>
  <si>
    <t>thin_abrasion/fabric04_thin_abrasion_img/rgb_0532.png</t>
  </si>
  <si>
    <t>thin_abrasion/fabric04_thin_abrasion_img/rgb_0533.png</t>
  </si>
  <si>
    <t>thin_abrasion/fabric04_thin_abrasion_img/rgb_0534.png</t>
  </si>
  <si>
    <t>thin_abrasion/fabric04_thin_abrasion_img/rgb_0535.png</t>
  </si>
  <si>
    <t>thin_abrasion/fabric04_thin_abrasion_img/rgb_0599.png</t>
  </si>
  <si>
    <t>thin_abrasion/fabric04_thin_abrasion_img/rgb_0600.png</t>
  </si>
  <si>
    <t>thin_abrasion/fabric04_thin_abrasion_img/rgb_0601.png</t>
  </si>
  <si>
    <t>thin_abrasion/fabric04_thin_abrasion_img/rgb_0602.png</t>
  </si>
  <si>
    <t>thin_abrasion/fabric04_thin_abrasion_img/rgb_0603.png</t>
  </si>
  <si>
    <t>thin_abrasion/fabric04_thin_abrasion_img/rgb_0604.png</t>
  </si>
  <si>
    <t>thin_abrasion/fabric04_thin_abrasion_img/rgb_0605.png</t>
  </si>
  <si>
    <t>thin_abrasion/fabric04_thin_abrasion_img/rgb_0606.png</t>
  </si>
  <si>
    <t>thin_abrasion/fabric04_thin_abrasion_img/rgb_0607.png</t>
  </si>
  <si>
    <t>thin_abrasion/fabric04_thin_abrasion_img/rgb_0608.png</t>
  </si>
  <si>
    <t>thin_abrasion/fabric04_thin_abrasion_img/rgb_0609.png</t>
  </si>
  <si>
    <t>thin_abrasion/fabric04_thin_abrasion_img/rgb_0610.png</t>
  </si>
  <si>
    <t>thin_abrasion/fabric04_thin_abrasion_img/rgb_0611.png</t>
  </si>
  <si>
    <t>thin_abrasion/fabric04_thin_abrasion_img/rgb_0612.png</t>
  </si>
  <si>
    <t>thin_abrasion/fabric04_thin_abrasion_img/rgb_0613.png</t>
  </si>
  <si>
    <t>thin_abrasion/fabric04_thin_abrasion_img/rgb_0614.png</t>
  </si>
  <si>
    <t>thin_abrasion/fabric04_thin_abrasion_img/rgb_0615.png</t>
  </si>
  <si>
    <t>thin_abrasion/fabric04_thin_abrasion_img/rgb_0616.png</t>
  </si>
  <si>
    <t>thin_abrasion/fabric04_thin_abrasion_img/rgb_0617.png</t>
  </si>
  <si>
    <t>thin_abrasion/fabric04_thin_abrasion_img/rgb_0618.png</t>
  </si>
  <si>
    <t>thin_abrasion/fabric04_thin_abrasion_img/rgb_0619.png</t>
  </si>
  <si>
    <t>thin_abrasion/fabric04_thin_abrasion_img/rgb_0620.png</t>
  </si>
  <si>
    <t>thin_abrasion/fabric04_thin_abrasion_img/rgb_0621.png</t>
  </si>
  <si>
    <t>thin_abrasion/fabric04_thin_abrasion_img/rgb_0622.png</t>
  </si>
  <si>
    <t>thin_abrasion/fabric04_thin_abrasion_img/rgb_0623.png</t>
  </si>
  <si>
    <t>thin_abrasion/fabric04_thin_abrasion_img/rgb_0689.png</t>
  </si>
  <si>
    <t>thin_abrasion/fabric04_thin_abrasion_img/rgb_0690.png</t>
  </si>
  <si>
    <t>thin_abrasion/fabric04_thin_abrasion_img/rgb_0691.png</t>
  </si>
  <si>
    <t>thin_abrasion/fabric04_thin_abrasion_img/rgb_0692.png</t>
  </si>
  <si>
    <t>thin_abrasion/fabric04_thin_abrasion_img/rgb_0693.png</t>
  </si>
  <si>
    <t>thin_abrasion/fabric04_thin_abrasion_img/rgb_0694.png</t>
  </si>
  <si>
    <t>thin_abrasion/fabric04_thin_abrasion_img/rgb_0695.png</t>
  </si>
  <si>
    <t>thin_abrasion/fabric04_thin_abrasion_img/rgb_0696.png</t>
  </si>
  <si>
    <t>thin_abrasion/fabric04_thin_abrasion_img/rgb_0697.png</t>
  </si>
  <si>
    <t>thin_abrasion/fabric04_thin_abrasion_img/rgb_0698.png</t>
  </si>
  <si>
    <t>thin_abrasion/fabric04_thin_abrasion_img/rgb_0699.png</t>
  </si>
  <si>
    <t>thin_abrasion/fabric04_thin_abrasion_img/rgb_0700.png</t>
  </si>
  <si>
    <t>thin_abrasion/fabric04_thin_abrasion_img/rgb_0701.png</t>
  </si>
  <si>
    <t>thin_abrasion/fabric04_thin_abrasion_img/rgb_0702.png</t>
  </si>
  <si>
    <t>thin_abrasion/fabric04_thin_abrasion_img/rgb_0703.png</t>
  </si>
  <si>
    <t>thin_abrasion/fabric04_thin_abrasion_img/rgb_0704.png</t>
  </si>
  <si>
    <t>thin_abrasion/fabric04_thin_abrasion_img/rgb_0705.png</t>
  </si>
  <si>
    <t>thin_abrasion/fabric04_thin_abrasion_img/rgb_0706.png</t>
  </si>
  <si>
    <t>thin_abrasion/fabric04_thin_abrasion_img/rgb_0707.png</t>
  </si>
  <si>
    <t>thin_abrasion/fabric04_thin_abrasion_img/rgb_0708.png</t>
  </si>
  <si>
    <t>thin_abrasion/fabric04_thin_abrasion_img/rgb_0709.png</t>
  </si>
  <si>
    <t>thin_abrasion/fabric04_thin_abrasion_img/rgb_0710.png</t>
  </si>
  <si>
    <t>thin_abrasion/fabric04_thin_abrasion_img/rgb_0711.png</t>
  </si>
  <si>
    <t>thin_abrasion/fabric04_thin_abrasion_img/rgb_0712.png</t>
  </si>
  <si>
    <t>thin_abrasion/fabric04_thin_abrasion_img/rgb_0713.png</t>
  </si>
  <si>
    <t>thin_abrasion/fabric04_thin_abrasion_img/rgb_0777.png</t>
  </si>
  <si>
    <t>thin_abrasion/fabric04_thin_abrasion_img/rgb_0778.png</t>
  </si>
  <si>
    <t>thin_abrasion/fabric04_thin_abrasion_img/rgb_0779.png</t>
  </si>
  <si>
    <t>thin_abrasion/fabric04_thin_abrasion_img/rgb_0780.png</t>
  </si>
  <si>
    <t>thin_abrasion/fabric04_thin_abrasion_img/rgb_0781.png</t>
  </si>
  <si>
    <t>thin_abrasion/fabric04_thin_abrasion_img/rgb_0782.png</t>
  </si>
  <si>
    <t>thin_abrasion/fabric04_thin_abrasion_img/rgb_0783.png</t>
  </si>
  <si>
    <t>thin_abrasion/fabric04_thin_abrasion_img/rgb_0784.png</t>
  </si>
  <si>
    <t>thin_abrasion/fabric04_thin_abrasion_img/rgb_0785.png</t>
  </si>
  <si>
    <t>thin_abrasion/fabric04_thin_abrasion_img/rgb_0786.png</t>
  </si>
  <si>
    <t>thin_abrasion/fabric04_thin_abrasion_img/rgb_0787.png</t>
  </si>
  <si>
    <t>thin_abrasion/fabric04_thin_abrasion_img/rgb_0788.png</t>
  </si>
  <si>
    <t>thin_abrasion/fabric04_thin_abrasion_img/rgb_0789.png</t>
  </si>
  <si>
    <t>thin_abrasion/fabric04_thin_abrasion_img/rgb_0790.png</t>
  </si>
  <si>
    <t>thin_abrasion/fabric04_thin_abrasion_img/rgb_0791.png</t>
  </si>
  <si>
    <t>thin_abrasion/fabric04_thin_abrasion_img/rgb_0792.png</t>
  </si>
  <si>
    <t>thin_abrasion/fabric04_thin_abrasion_img/rgb_0793.png</t>
  </si>
  <si>
    <t>thin_abrasion/fabric04_thin_abrasion_img/rgb_0794.png</t>
  </si>
  <si>
    <t>thin_abrasion/fabric04_thin_abrasion_img/rgb_0795.png</t>
  </si>
  <si>
    <t>thin_abrasion/fabric04_thin_abrasion_img/rgb_0796.png</t>
  </si>
  <si>
    <t>thin_abrasion/fabric04_thin_abrasion_img/rgb_0797.png</t>
  </si>
  <si>
    <t>thin_abrasion/fabric04_thin_abrasion_img/rgb_0798.png</t>
  </si>
  <si>
    <t>thin_abrasion/fabric04_thin_abrasion_img/rgb_0799.png</t>
  </si>
  <si>
    <t>thin_abrasion/fabric04_thin_abrasion_img/rgb_0800.png</t>
  </si>
  <si>
    <t>thin_abrasion/fabric04_thin_abrasion_img/rgb_0867.png</t>
  </si>
  <si>
    <t>thin_abrasion/fabric04_thin_abrasion_img/rgb_0868.png</t>
  </si>
  <si>
    <t>thin_abrasion/fabric04_thin_abrasion_img/rgb_0869.png</t>
  </si>
  <si>
    <t>thin_abrasion/fabric04_thin_abrasion_img/rgb_0870.png</t>
  </si>
  <si>
    <t>thin_abrasion/fabric04_thin_abrasion_img/rgb_0871.png</t>
  </si>
  <si>
    <t>thin_abrasion/fabric04_thin_abrasion_img/rgb_0872.png</t>
  </si>
  <si>
    <t>thin_abrasion/fabric04_thin_abrasion_img/rgb_0873.png</t>
  </si>
  <si>
    <t>thin_abrasion/fabric04_thin_abrasion_img/rgb_0874.png</t>
  </si>
  <si>
    <t>thin_abrasion/fabric04_thin_abrasion_img/rgb_0875.png</t>
  </si>
  <si>
    <t>thin_abrasion/fabric04_thin_abrasion_img/rgb_0876.png</t>
  </si>
  <si>
    <t>thin_abrasion/fabric04_thin_abrasion_img/rgb_0877.png</t>
  </si>
  <si>
    <t>thin_abrasion/fabric04_thin_abrasion_img/rgb_0878.png</t>
  </si>
  <si>
    <t>thin_abrasion/fabric04_thin_abrasion_img/rgb_0879.png</t>
  </si>
  <si>
    <t>thin_abrasion/fabric04_thin_abrasion_img/rgb_0880.png</t>
  </si>
  <si>
    <t>thin_abrasion/fabric04_thin_abrasion_img/rgb_0881.png</t>
  </si>
  <si>
    <t>thin_abrasion/fabric04_thin_abrasion_img/rgb_0882.png</t>
  </si>
  <si>
    <t>thin_abrasion/fabric04_thin_abrasion_img/rgb_0883.png</t>
  </si>
  <si>
    <t>thin_abrasion/fabric04_thin_abrasion_img/rgb_0884.png</t>
  </si>
  <si>
    <t>thin_abrasion/fabric04_thin_abrasion_img/rgb_0885.png</t>
  </si>
  <si>
    <t>thin_abrasion/fabric04_thin_abrasion_img/rgb_0886.png</t>
  </si>
  <si>
    <t>thin_abrasion/fabric04_thin_abrasion_img/rgb_0887.png</t>
  </si>
  <si>
    <t>thin_abrasion/fabric04_thin_abrasion_img/rgb_0888.png</t>
  </si>
  <si>
    <t>thin_abrasion/fabric04_thin_abrasion_img/rgb_0889.png</t>
  </si>
  <si>
    <t>thin_abrasion/fabric04_thin_abrasion_img/rgb_0890.png</t>
  </si>
  <si>
    <t>thin_abrasion/fabric05_thin_abrasion_img/rgb_0156.png</t>
  </si>
  <si>
    <t>fabric05</t>
  </si>
  <si>
    <t>thin_abrasion/fabric05_thin_abrasion_img/rgb_0157.png</t>
  </si>
  <si>
    <t>thin_abrasion/fabric05_thin_abrasion_img/rgb_0158.png</t>
  </si>
  <si>
    <t>thin_abrasion/fabric05_thin_abrasion_img/rgb_0159.png</t>
  </si>
  <si>
    <t>thin_abrasion/fabric05_thin_abrasion_img/rgb_0160.png</t>
  </si>
  <si>
    <t>thin_abrasion/fabric05_thin_abrasion_img/rgb_0161.png</t>
  </si>
  <si>
    <t>thin_abrasion/fabric05_thin_abrasion_img/rgb_0162.png</t>
  </si>
  <si>
    <t>thin_abrasion/fabric05_thin_abrasion_img/rgb_0163.png</t>
  </si>
  <si>
    <t>thin_abrasion/fabric05_thin_abrasion_img/rgb_0164.png</t>
  </si>
  <si>
    <t>thin_abrasion/fabric05_thin_abrasion_img/rgb_0165.png</t>
  </si>
  <si>
    <t>thin_abrasion/fabric05_thin_abrasion_img/rgb_0166.png</t>
  </si>
  <si>
    <t>thin_abrasion/fabric05_thin_abrasion_img/rgb_0167.png</t>
  </si>
  <si>
    <t>thin_abrasion/fabric05_thin_abrasion_img/rgb_0168.png</t>
  </si>
  <si>
    <t>thin_abrasion/fabric05_thin_abrasion_img/rgb_0169.png</t>
  </si>
  <si>
    <t>thin_abrasion/fabric05_thin_abrasion_img/rgb_0170.png</t>
  </si>
  <si>
    <t>thin_abrasion/fabric05_thin_abrasion_img/rgb_0171.png</t>
  </si>
  <si>
    <t>thin_abrasion/fabric05_thin_abrasion_img/rgb_0172.png</t>
  </si>
  <si>
    <t>thin_abrasion/fabric05_thin_abrasion_img/rgb_0173.png</t>
  </si>
  <si>
    <t>thin_abrasion/fabric05_thin_abrasion_img/rgb_0174.png</t>
  </si>
  <si>
    <t>thin_abrasion/fabric05_thin_abrasion_img/rgb_0175.png</t>
  </si>
  <si>
    <t>thin_abrasion/fabric05_thin_abrasion_img/rgb_0176.png</t>
  </si>
  <si>
    <t>thin_abrasion/fabric05_thin_abrasion_img/rgb_0177.png</t>
  </si>
  <si>
    <t>thin_abrasion/fabric05_thin_abrasion_img/rgb_0178.png</t>
  </si>
  <si>
    <t>thin_abrasion/fabric05_thin_abrasion_img/rgb_0179.png</t>
  </si>
  <si>
    <t>thin_abrasion/fabric05_thin_abrasion_img/rgb_0180.png</t>
  </si>
  <si>
    <t>thin_abrasion/fabric05_thin_abrasion_img/rgb_0244.png</t>
  </si>
  <si>
    <t>thin_abrasion/fabric05_thin_abrasion_img/rgb_0245.png</t>
  </si>
  <si>
    <t>thin_abrasion/fabric05_thin_abrasion_img/rgb_0246.png</t>
  </si>
  <si>
    <t>thin_abrasion/fabric05_thin_abrasion_img/rgb_0247.png</t>
  </si>
  <si>
    <t>thin_abrasion/fabric05_thin_abrasion_img/rgb_0248.png</t>
  </si>
  <si>
    <t>thin_abrasion/fabric05_thin_abrasion_img/rgb_0249.png</t>
  </si>
  <si>
    <t>thin_abrasion/fabric05_thin_abrasion_img/rgb_0250.png</t>
  </si>
  <si>
    <t>thin_abrasion/fabric05_thin_abrasion_img/rgb_0251.png</t>
  </si>
  <si>
    <t>thin_abrasion/fabric05_thin_abrasion_img/rgb_0252.png</t>
  </si>
  <si>
    <t>thin_abrasion/fabric05_thin_abrasion_img/rgb_0253.png</t>
  </si>
  <si>
    <t>thin_abrasion/fabric05_thin_abrasion_img/rgb_0254.png</t>
  </si>
  <si>
    <t>thin_abrasion/fabric05_thin_abrasion_img/rgb_0255.png</t>
  </si>
  <si>
    <t>thin_abrasion/fabric05_thin_abrasion_img/rgb_0256.png</t>
  </si>
  <si>
    <t>thin_abrasion/fabric05_thin_abrasion_img/rgb_0257.png</t>
  </si>
  <si>
    <t>thin_abrasion/fabric05_thin_abrasion_img/rgb_0258.png</t>
  </si>
  <si>
    <t>thin_abrasion/fabric05_thin_abrasion_img/rgb_0259.png</t>
  </si>
  <si>
    <t>thin_abrasion/fabric05_thin_abrasion_img/rgb_0260.png</t>
  </si>
  <si>
    <t>thin_abrasion/fabric05_thin_abrasion_img/rgb_0261.png</t>
  </si>
  <si>
    <t>thin_abrasion/fabric05_thin_abrasion_img/rgb_0262.png</t>
  </si>
  <si>
    <t>thin_abrasion/fabric05_thin_abrasion_img/rgb_0263.png</t>
  </si>
  <si>
    <t>thin_abrasion/fabric05_thin_abrasion_img/rgb_0264.png</t>
  </si>
  <si>
    <t>thin_abrasion/fabric05_thin_abrasion_img/rgb_0265.png</t>
  </si>
  <si>
    <t>thin_abrasion/fabric05_thin_abrasion_img/rgb_0266.png</t>
  </si>
  <si>
    <t>thin_abrasion/fabric05_thin_abrasion_img/rgb_0267.png</t>
  </si>
  <si>
    <t>thin_abrasion/fabric05_thin_abrasion_img/rgb_0330.png</t>
  </si>
  <si>
    <t>thin_abrasion/fabric05_thin_abrasion_img/rgb_0331.png</t>
  </si>
  <si>
    <t>thin_abrasion/fabric05_thin_abrasion_img/rgb_0332.png</t>
  </si>
  <si>
    <t>thin_abrasion/fabric05_thin_abrasion_img/rgb_0333.png</t>
  </si>
  <si>
    <t>thin_abrasion/fabric05_thin_abrasion_img/rgb_0334.png</t>
  </si>
  <si>
    <t>thin_abrasion/fabric05_thin_abrasion_img/rgb_0335.png</t>
  </si>
  <si>
    <t>thin_abrasion/fabric05_thin_abrasion_img/rgb_0336.png</t>
  </si>
  <si>
    <t>thin_abrasion/fabric05_thin_abrasion_img/rgb_0337.png</t>
  </si>
  <si>
    <t>thin_abrasion/fabric05_thin_abrasion_img/rgb_0338.png</t>
  </si>
  <si>
    <t>thin_abrasion/fabric05_thin_abrasion_img/rgb_0339.png</t>
  </si>
  <si>
    <t>thin_abrasion/fabric05_thin_abrasion_img/rgb_0340.png</t>
  </si>
  <si>
    <t>thin_abrasion/fabric05_thin_abrasion_img/rgb_0341.png</t>
  </si>
  <si>
    <t>thin_abrasion/fabric05_thin_abrasion_img/rgb_0342.png</t>
  </si>
  <si>
    <t>thin_abrasion/fabric05_thin_abrasion_img/rgb_0343.png</t>
  </si>
  <si>
    <t>thin_abrasion/fabric05_thin_abrasion_img/rgb_0344.png</t>
  </si>
  <si>
    <t>thin_abrasion/fabric05_thin_abrasion_img/rgb_0345.png</t>
  </si>
  <si>
    <t>thin_abrasion/fabric05_thin_abrasion_img/rgb_0346.png</t>
  </si>
  <si>
    <t>thin_abrasion/fabric05_thin_abrasion_img/rgb_0347.png</t>
  </si>
  <si>
    <t>thin_abrasion/fabric05_thin_abrasion_img/rgb_0348.png</t>
  </si>
  <si>
    <t>thin_abrasion/fabric05_thin_abrasion_img/rgb_0349.png</t>
  </si>
  <si>
    <t>thin_abrasion/fabric05_thin_abrasion_img/rgb_0350.png</t>
  </si>
  <si>
    <t>thin_abrasion/fabric05_thin_abrasion_img/rgb_0351.png</t>
  </si>
  <si>
    <t>thin_abrasion/fabric05_thin_abrasion_img/rgb_0352.png</t>
  </si>
  <si>
    <t>thin_abrasion/fabric05_thin_abrasion_img/rgb_0353.png</t>
  </si>
  <si>
    <t>thin_abrasion/fabric05_thin_abrasion_img/rgb_0354.png</t>
  </si>
  <si>
    <t>thin_abrasion/fabric05_thin_abrasion_img/rgb_0417.png</t>
  </si>
  <si>
    <t>thin_abrasion/fabric05_thin_abrasion_img/rgb_0418.png</t>
  </si>
  <si>
    <t>thin_abrasion/fabric05_thin_abrasion_img/rgb_0419.png</t>
  </si>
  <si>
    <t>thin_abrasion/fabric05_thin_abrasion_img/rgb_0420.png</t>
  </si>
  <si>
    <t>thin_abrasion/fabric05_thin_abrasion_img/rgb_0421.png</t>
  </si>
  <si>
    <t>thin_abrasion/fabric05_thin_abrasion_img/rgb_0422.png</t>
  </si>
  <si>
    <t>thin_abrasion/fabric05_thin_abrasion_img/rgb_0423.png</t>
  </si>
  <si>
    <t>thin_abrasion/fabric05_thin_abrasion_img/rgb_0424.png</t>
  </si>
  <si>
    <t>thin_abrasion/fabric05_thin_abrasion_img/rgb_0425.png</t>
  </si>
  <si>
    <t>thin_abrasion/fabric05_thin_abrasion_img/rgb_0426.png</t>
  </si>
  <si>
    <t>thin_abrasion/fabric05_thin_abrasion_img/rgb_0427.png</t>
  </si>
  <si>
    <t>thin_abrasion/fabric05_thin_abrasion_img/rgb_0428.png</t>
  </si>
  <si>
    <t>thin_abrasion/fabric05_thin_abrasion_img/rgb_0429.png</t>
  </si>
  <si>
    <t>thin_abrasion/fabric05_thin_abrasion_img/rgb_0430.png</t>
  </si>
  <si>
    <t>thin_abrasion/fabric05_thin_abrasion_img/rgb_0431.png</t>
  </si>
  <si>
    <t>thin_abrasion/fabric05_thin_abrasion_img/rgb_0432.png</t>
  </si>
  <si>
    <t>thin_abrasion/fabric05_thin_abrasion_img/rgb_0433.png</t>
  </si>
  <si>
    <t>thin_abrasion/fabric05_thin_abrasion_img/rgb_0434.png</t>
  </si>
  <si>
    <t>thin_abrasion/fabric05_thin_abrasion_img/rgb_0435.png</t>
  </si>
  <si>
    <t>thin_abrasion/fabric05_thin_abrasion_img/rgb_0436.png</t>
  </si>
  <si>
    <t>thin_abrasion/fabric05_thin_abrasion_img/rgb_0437.png</t>
  </si>
  <si>
    <t>thin_abrasion/fabric05_thin_abrasion_img/rgb_0438.png</t>
  </si>
  <si>
    <t>thin_abrasion/fabric05_thin_abrasion_img/rgb_0439.png</t>
  </si>
  <si>
    <t>thin_abrasion/fabric05_thin_abrasion_img/rgb_0440.png</t>
  </si>
  <si>
    <t>thin_abrasion/fabric05_thin_abrasion_img/rgb_0507.png</t>
  </si>
  <si>
    <t>thin_abrasion/fabric05_thin_abrasion_img/rgb_0508.png</t>
  </si>
  <si>
    <t>thin_abrasion/fabric05_thin_abrasion_img/rgb_0509.png</t>
  </si>
  <si>
    <t>thin_abrasion/fabric05_thin_abrasion_img/rgb_0510.png</t>
  </si>
  <si>
    <t>thin_abrasion/fabric05_thin_abrasion_img/rgb_0511.png</t>
  </si>
  <si>
    <t>thin_abrasion/fabric05_thin_abrasion_img/rgb_0512.png</t>
  </si>
  <si>
    <t>thin_abrasion/fabric05_thin_abrasion_img/rgb_0513.png</t>
  </si>
  <si>
    <t>thin_abrasion/fabric05_thin_abrasion_img/rgb_0514.png</t>
  </si>
  <si>
    <t>thin_abrasion/fabric05_thin_abrasion_img/rgb_0515.png</t>
  </si>
  <si>
    <t>thin_abrasion/fabric05_thin_abrasion_img/rgb_0516.png</t>
  </si>
  <si>
    <t>thin_abrasion/fabric05_thin_abrasion_img/rgb_0517.png</t>
  </si>
  <si>
    <t>thin_abrasion/fabric05_thin_abrasion_img/rgb_0518.png</t>
  </si>
  <si>
    <t>thin_abrasion/fabric05_thin_abrasion_img/rgb_0519.png</t>
  </si>
  <si>
    <t>thin_abrasion/fabric05_thin_abrasion_img/rgb_0520.png</t>
  </si>
  <si>
    <t>thin_abrasion/fabric05_thin_abrasion_img/rgb_0521.png</t>
  </si>
  <si>
    <t>thin_abrasion/fabric05_thin_abrasion_img/rgb_0522.png</t>
  </si>
  <si>
    <t>thin_abrasion/fabric05_thin_abrasion_img/rgb_0523.png</t>
  </si>
  <si>
    <t>thin_abrasion/fabric05_thin_abrasion_img/rgb_0524.png</t>
  </si>
  <si>
    <t>thin_abrasion/fabric05_thin_abrasion_img/rgb_0525.png</t>
  </si>
  <si>
    <t>thin_abrasion/fabric05_thin_abrasion_img/rgb_0526.png</t>
  </si>
  <si>
    <t>thin_abrasion/fabric05_thin_abrasion_img/rgb_0527.png</t>
  </si>
  <si>
    <t>thin_abrasion/fabric05_thin_abrasion_img/rgb_0595.png</t>
  </si>
  <si>
    <t>thin_abrasion/fabric05_thin_abrasion_img/rgb_0596.png</t>
  </si>
  <si>
    <t>thin_abrasion/fabric05_thin_abrasion_img/rgb_0597.png</t>
  </si>
  <si>
    <t>thin_abrasion/fabric05_thin_abrasion_img/rgb_0598.png</t>
  </si>
  <si>
    <t>thin_abrasion/fabric05_thin_abrasion_img/rgb_0599.png</t>
  </si>
  <si>
    <t>thin_abrasion/fabric05_thin_abrasion_img/rgb_0600.png</t>
  </si>
  <si>
    <t>thin_abrasion/fabric05_thin_abrasion_img/rgb_0601.png</t>
  </si>
  <si>
    <t>thin_abrasion/fabric05_thin_abrasion_img/rgb_0602.png</t>
  </si>
  <si>
    <t>thin_abrasion/fabric05_thin_abrasion_img/rgb_0603.png</t>
  </si>
  <si>
    <t>thin_abrasion/fabric05_thin_abrasion_img/rgb_0604.png</t>
  </si>
  <si>
    <t>thin_abrasion/fabric05_thin_abrasion_img/rgb_0605.png</t>
  </si>
  <si>
    <t>thin_abrasion/fabric05_thin_abrasion_img/rgb_0606.png</t>
  </si>
  <si>
    <t>thin_abrasion/fabric05_thin_abrasion_img/rgb_0607.png</t>
  </si>
  <si>
    <t>thin_abrasion/fabric05_thin_abrasion_img/rgb_0608.png</t>
  </si>
  <si>
    <t>thin_abrasion/fabric05_thin_abrasion_img/rgb_0609.png</t>
  </si>
  <si>
    <t>thin_abrasion/fabric05_thin_abrasion_img/rgb_0610.png</t>
  </si>
  <si>
    <t>thin_abrasion/fabric05_thin_abrasion_img/rgb_0611.png</t>
  </si>
  <si>
    <t>thin_abrasion/fabric05_thin_abrasion_img/rgb_0612.png</t>
  </si>
  <si>
    <t>thin_abrasion/fabric05_thin_abrasion_img/rgb_0613.png</t>
  </si>
  <si>
    <t>thin_abrasion/fabric05_thin_abrasion_img/rgb_0614.png</t>
  </si>
  <si>
    <t>thin_abrasion/fabric05_thin_abrasion_img/rgb_0615.png</t>
  </si>
  <si>
    <t>thin_abrasion/fabric05_thin_abrasion_img/rgb_0616.png</t>
  </si>
  <si>
    <t>thin_abrasion/fabric05_thin_abrasion_img/rgb_0682.png</t>
  </si>
  <si>
    <t>thin_abrasion/fabric05_thin_abrasion_img/rgb_0683.png</t>
  </si>
  <si>
    <t>thin_abrasion/fabric05_thin_abrasion_img/rgb_0684.png</t>
  </si>
  <si>
    <t>thin_abrasion/fabric05_thin_abrasion_img/rgb_0685.png</t>
  </si>
  <si>
    <t>thin_abrasion/fabric05_thin_abrasion_img/rgb_0686.png</t>
  </si>
  <si>
    <t>thin_abrasion/fabric05_thin_abrasion_img/rgb_0687.png</t>
  </si>
  <si>
    <t>thin_abrasion/fabric05_thin_abrasion_img/rgb_0688.png</t>
  </si>
  <si>
    <t>thin_abrasion/fabric05_thin_abrasion_img/rgb_0689.png</t>
  </si>
  <si>
    <t>thin_abrasion/fabric05_thin_abrasion_img/rgb_0690.png</t>
  </si>
  <si>
    <t>thin_abrasion/fabric05_thin_abrasion_img/rgb_0691.png</t>
  </si>
  <si>
    <t>thin_abrasion/fabric05_thin_abrasion_img/rgb_0692.png</t>
  </si>
  <si>
    <t>thin_abrasion/fabric05_thin_abrasion_img/rgb_0693.png</t>
  </si>
  <si>
    <t>thin_abrasion/fabric05_thin_abrasion_img/rgb_0694.png</t>
  </si>
  <si>
    <t>thin_abrasion/fabric05_thin_abrasion_img/rgb_0695.png</t>
  </si>
  <si>
    <t>thin_abrasion/fabric05_thin_abrasion_img/rgb_0696.png</t>
  </si>
  <si>
    <t>thin_abrasion/fabric05_thin_abrasion_img/rgb_0697.png</t>
  </si>
  <si>
    <t>thin_abrasion/fabric05_thin_abrasion_img/rgb_0698.png</t>
  </si>
  <si>
    <t>thin_abrasion/fabric05_thin_abrasion_img/rgb_0699.png</t>
  </si>
  <si>
    <t>thin_abrasion/fabric05_thin_abrasion_img/rgb_0700.png</t>
  </si>
  <si>
    <t>thin_abrasion/fabric05_thin_abrasion_img/rgb_0701.png</t>
  </si>
  <si>
    <t>thin_abrasion/fabric05_thin_abrasion_img/rgb_0702.png</t>
  </si>
  <si>
    <t>thin_abrasion/fabric05_thin_abrasion_img/rgb_0703.png</t>
  </si>
  <si>
    <t>thin_abrasion/fabric05_thin_abrasion_img/rgb_0704.png</t>
  </si>
  <si>
    <t>thin_abrasion/fabric05_thin_abrasion_img/rgb_0705.png</t>
  </si>
  <si>
    <t>thin_abrasion/fabric05_thin_abrasion_img/rgb_0771.png</t>
  </si>
  <si>
    <t>thin_abrasion/fabric05_thin_abrasion_img/rgb_0772.png</t>
  </si>
  <si>
    <t>thin_abrasion/fabric05_thin_abrasion_img/rgb_0773.png</t>
  </si>
  <si>
    <t>thin_abrasion/fabric05_thin_abrasion_img/rgb_0774.png</t>
  </si>
  <si>
    <t>thin_abrasion/fabric05_thin_abrasion_img/rgb_0775.png</t>
  </si>
  <si>
    <t>thin_abrasion/fabric05_thin_abrasion_img/rgb_0776.png</t>
  </si>
  <si>
    <t>thin_abrasion/fabric05_thin_abrasion_img/rgb_0777.png</t>
  </si>
  <si>
    <t>thin_abrasion/fabric05_thin_abrasion_img/rgb_0778.png</t>
  </si>
  <si>
    <t>thin_abrasion/fabric05_thin_abrasion_img/rgb_0779.png</t>
  </si>
  <si>
    <t>thin_abrasion/fabric05_thin_abrasion_img/rgb_0780.png</t>
  </si>
  <si>
    <t>thin_abrasion/fabric05_thin_abrasion_img/rgb_0781.png</t>
  </si>
  <si>
    <t>thin_abrasion/fabric05_thin_abrasion_img/rgb_0782.png</t>
  </si>
  <si>
    <t>thin_abrasion/fabric05_thin_abrasion_img/rgb_0783.png</t>
  </si>
  <si>
    <t>thin_abrasion/fabric05_thin_abrasion_img/rgb_0784.png</t>
  </si>
  <si>
    <t>thin_abrasion/fabric05_thin_abrasion_img/rgb_0785.png</t>
  </si>
  <si>
    <t>thin_abrasion/fabric05_thin_abrasion_img/rgb_0786.png</t>
  </si>
  <si>
    <t>thin_abrasion/fabric05_thin_abrasion_img/rgb_0787.png</t>
  </si>
  <si>
    <t>thin_abrasion/fabric05_thin_abrasion_img/rgb_0788.png</t>
  </si>
  <si>
    <t>thin_abrasion/fabric05_thin_abrasion_img/rgb_0789.png</t>
  </si>
  <si>
    <t>thin_abrasion/fabric05_thin_abrasion_img/rgb_0790.png</t>
  </si>
  <si>
    <t>thin_abrasion/fabric05_thin_abrasion_img/rgb_0791.png</t>
  </si>
  <si>
    <t>thin_abrasion/fabric05_thin_abrasion_img/rgb_0792.png</t>
  </si>
  <si>
    <t>thin_abrasion/fabric05_thin_abrasion_img/rgb_0793.png</t>
  </si>
  <si>
    <t>thin_abrasion/fabric05_thin_abrasion_img/rgb_0794.png</t>
  </si>
  <si>
    <t>thin_abrasion/fabric06_thin_abrasion_img/rgb_0067.png</t>
  </si>
  <si>
    <t>fabric06</t>
  </si>
  <si>
    <t>thin_abrasion/fabric06_thin_abrasion_img/rgb_0068.png</t>
  </si>
  <si>
    <t>thin_abrasion/fabric06_thin_abrasion_img/rgb_0069.png</t>
  </si>
  <si>
    <t>thin_abrasion/fabric06_thin_abrasion_img/rgb_0070.png</t>
  </si>
  <si>
    <t>thin_abrasion/fabric06_thin_abrasion_img/rgb_0071.png</t>
  </si>
  <si>
    <t>thin_abrasion/fabric06_thin_abrasion_img/rgb_0072.png</t>
  </si>
  <si>
    <t>thin_abrasion/fabric06_thin_abrasion_img/rgb_0073.png</t>
  </si>
  <si>
    <t>thin_abrasion/fabric06_thin_abrasion_img/rgb_0074.png</t>
  </si>
  <si>
    <t>thin_abrasion/fabric06_thin_abrasion_img/rgb_0075.png</t>
  </si>
  <si>
    <t>thin_abrasion/fabric06_thin_abrasion_img/rgb_0076.png</t>
  </si>
  <si>
    <t>thin_abrasion/fabric06_thin_abrasion_img/rgb_0077.png</t>
  </si>
  <si>
    <t>thin_abrasion/fabric06_thin_abrasion_img/rgb_0078.png</t>
  </si>
  <si>
    <t>thin_abrasion/fabric06_thin_abrasion_img/rgb_0079.png</t>
  </si>
  <si>
    <t>thin_abrasion/fabric06_thin_abrasion_img/rgb_0080.png</t>
  </si>
  <si>
    <t>thin_abrasion/fabric06_thin_abrasion_img/rgb_0081.png</t>
  </si>
  <si>
    <t>thin_abrasion/fabric06_thin_abrasion_img/rgb_0082.png</t>
  </si>
  <si>
    <t>thin_abrasion/fabric06_thin_abrasion_img/rgb_0083.png</t>
  </si>
  <si>
    <t>thin_abrasion/fabric06_thin_abrasion_img/rgb_0084.png</t>
  </si>
  <si>
    <t>thin_abrasion/fabric06_thin_abrasion_img/rgb_0085.png</t>
  </si>
  <si>
    <t>thin_abrasion/fabric06_thin_abrasion_img/rgb_0086.png</t>
  </si>
  <si>
    <t>thin_abrasion/fabric06_thin_abrasion_img/rgb_0087.png</t>
  </si>
  <si>
    <t>thin_abrasion/fabric06_thin_abrasion_img/rgb_0088.png</t>
  </si>
  <si>
    <t>thin_abrasion/fabric06_thin_abrasion_img/rgb_0089.png</t>
  </si>
  <si>
    <t>thin_abrasion/fabric06_thin_abrasion_img/rgb_0090.png</t>
  </si>
  <si>
    <t>thin_abrasion/fabric06_thin_abrasion_img/rgb_0091.png</t>
  </si>
  <si>
    <t>thin_abrasion/fabric06_thin_abrasion_img/rgb_0156.png</t>
  </si>
  <si>
    <t>thin_abrasion/fabric06_thin_abrasion_img/rgb_0157.png</t>
  </si>
  <si>
    <t>thin_abrasion/fabric06_thin_abrasion_img/rgb_0158.png</t>
  </si>
  <si>
    <t>thin_abrasion/fabric06_thin_abrasion_img/rgb_0159.png</t>
  </si>
  <si>
    <t>thin_abrasion/fabric06_thin_abrasion_img/rgb_0160.png</t>
  </si>
  <si>
    <t>thin_abrasion/fabric06_thin_abrasion_img/rgb_0161.png</t>
  </si>
  <si>
    <t>thin_abrasion/fabric06_thin_abrasion_img/rgb_0162.png</t>
  </si>
  <si>
    <t>thin_abrasion/fabric06_thin_abrasion_img/rgb_0163.png</t>
  </si>
  <si>
    <t>thin_abrasion/fabric06_thin_abrasion_img/rgb_0164.png</t>
  </si>
  <si>
    <t>thin_abrasion/fabric06_thin_abrasion_img/rgb_0165.png</t>
  </si>
  <si>
    <t>thin_abrasion/fabric06_thin_abrasion_img/rgb_0166.png</t>
  </si>
  <si>
    <t>thin_abrasion/fabric06_thin_abrasion_img/rgb_0167.png</t>
  </si>
  <si>
    <t>thin_abrasion/fabric06_thin_abrasion_img/rgb_0168.png</t>
  </si>
  <si>
    <t>thin_abrasion/fabric06_thin_abrasion_img/rgb_0169.png</t>
  </si>
  <si>
    <t>thin_abrasion/fabric06_thin_abrasion_img/rgb_0170.png</t>
  </si>
  <si>
    <t>thin_abrasion/fabric06_thin_abrasion_img/rgb_0171.png</t>
  </si>
  <si>
    <t>thin_abrasion/fabric06_thin_abrasion_img/rgb_0172.png</t>
  </si>
  <si>
    <t>thin_abrasion/fabric06_thin_abrasion_img/rgb_0173.png</t>
  </si>
  <si>
    <t>thin_abrasion/fabric06_thin_abrasion_img/rgb_0174.png</t>
  </si>
  <si>
    <t>thin_abrasion/fabric06_thin_abrasion_img/rgb_0175.png</t>
  </si>
  <si>
    <t>thin_abrasion/fabric06_thin_abrasion_img/rgb_0176.png</t>
  </si>
  <si>
    <t>thin_abrasion/fabric06_thin_abrasion_img/rgb_0177.png</t>
  </si>
  <si>
    <t>thin_abrasion/fabric06_thin_abrasion_img/rgb_0178.png</t>
  </si>
  <si>
    <t>thin_abrasion/fabric06_thin_abrasion_img/rgb_0179.png</t>
  </si>
  <si>
    <t>thin_abrasion/fabric06_thin_abrasion_img/rgb_0180.png</t>
  </si>
  <si>
    <t>thin_abrasion/fabric06_thin_abrasion_img/rgb_0244.png</t>
  </si>
  <si>
    <t>thin_abrasion/fabric06_thin_abrasion_img/rgb_0245.png</t>
  </si>
  <si>
    <t>thin_abrasion/fabric06_thin_abrasion_img/rgb_0246.png</t>
  </si>
  <si>
    <t>thin_abrasion/fabric06_thin_abrasion_img/rgb_0247.png</t>
  </si>
  <si>
    <t>thin_abrasion/fabric06_thin_abrasion_img/rgb_0248.png</t>
  </si>
  <si>
    <t>thin_abrasion/fabric06_thin_abrasion_img/rgb_0249.png</t>
  </si>
  <si>
    <t>thin_abrasion/fabric06_thin_abrasion_img/rgb_0250.png</t>
  </si>
  <si>
    <t>thin_abrasion/fabric06_thin_abrasion_img/rgb_0251.png</t>
  </si>
  <si>
    <t>thin_abrasion/fabric06_thin_abrasion_img/rgb_0252.png</t>
  </si>
  <si>
    <t>thin_abrasion/fabric06_thin_abrasion_img/rgb_0253.png</t>
  </si>
  <si>
    <t>thin_abrasion/fabric06_thin_abrasion_img/rgb_0254.png</t>
  </si>
  <si>
    <t>thin_abrasion/fabric06_thin_abrasion_img/rgb_0255.png</t>
  </si>
  <si>
    <t>thin_abrasion/fabric06_thin_abrasion_img/rgb_0256.png</t>
  </si>
  <si>
    <t>thin_abrasion/fabric06_thin_abrasion_img/rgb_0257.png</t>
  </si>
  <si>
    <t>thin_abrasion/fabric06_thin_abrasion_img/rgb_0258.png</t>
  </si>
  <si>
    <t>thin_abrasion/fabric06_thin_abrasion_img/rgb_0259.png</t>
  </si>
  <si>
    <t>thin_abrasion/fabric06_thin_abrasion_img/rgb_0260.png</t>
  </si>
  <si>
    <t>thin_abrasion/fabric06_thin_abrasion_img/rgb_0261.png</t>
  </si>
  <si>
    <t>thin_abrasion/fabric06_thin_abrasion_img/rgb_0262.png</t>
  </si>
  <si>
    <t>thin_abrasion/fabric06_thin_abrasion_img/rgb_0263.png</t>
  </si>
  <si>
    <t>thin_abrasion/fabric06_thin_abrasion_img/rgb_0264.png</t>
  </si>
  <si>
    <t>thin_abrasion/fabric06_thin_abrasion_img/rgb_0265.png</t>
  </si>
  <si>
    <t>thin_abrasion/fabric06_thin_abrasion_img/rgb_0266.png</t>
  </si>
  <si>
    <t>thin_abrasion/fabric06_thin_abrasion_img/rgb_0330.png</t>
  </si>
  <si>
    <t>thin_abrasion/fabric06_thin_abrasion_img/rgb_0331.png</t>
  </si>
  <si>
    <t>thin_abrasion/fabric06_thin_abrasion_img/rgb_0332.png</t>
  </si>
  <si>
    <t>thin_abrasion/fabric06_thin_abrasion_img/rgb_0333.png</t>
  </si>
  <si>
    <t>thin_abrasion/fabric06_thin_abrasion_img/rgb_0334.png</t>
  </si>
  <si>
    <t>thin_abrasion/fabric06_thin_abrasion_img/rgb_0335.png</t>
  </si>
  <si>
    <t>thin_abrasion/fabric06_thin_abrasion_img/rgb_0336.png</t>
  </si>
  <si>
    <t>thin_abrasion/fabric06_thin_abrasion_img/rgb_0337.png</t>
  </si>
  <si>
    <t>thin_abrasion/fabric06_thin_abrasion_img/rgb_0338.png</t>
  </si>
  <si>
    <t>thin_abrasion/fabric06_thin_abrasion_img/rgb_0339.png</t>
  </si>
  <si>
    <t>thin_abrasion/fabric06_thin_abrasion_img/rgb_0340.png</t>
  </si>
  <si>
    <t>thin_abrasion/fabric06_thin_abrasion_img/rgb_0341.png</t>
  </si>
  <si>
    <t>thin_abrasion/fabric06_thin_abrasion_img/rgb_0342.png</t>
  </si>
  <si>
    <t>thin_abrasion/fabric06_thin_abrasion_img/rgb_0343.png</t>
  </si>
  <si>
    <t>thin_abrasion/fabric06_thin_abrasion_img/rgb_0344.png</t>
  </si>
  <si>
    <t>thin_abrasion/fabric06_thin_abrasion_img/rgb_0345.png</t>
  </si>
  <si>
    <t>thin_abrasion/fabric06_thin_abrasion_img/rgb_0346.png</t>
  </si>
  <si>
    <t>thin_abrasion/fabric06_thin_abrasion_img/rgb_0347.png</t>
  </si>
  <si>
    <t>thin_abrasion/fabric06_thin_abrasion_img/rgb_0348.png</t>
  </si>
  <si>
    <t>thin_abrasion/fabric06_thin_abrasion_img/rgb_0349.png</t>
  </si>
  <si>
    <t>thin_abrasion/fabric06_thin_abrasion_img/rgb_0350.png</t>
  </si>
  <si>
    <t>thin_abrasion/fabric06_thin_abrasion_img/rgb_0351.png</t>
  </si>
  <si>
    <t>thin_abrasion/fabric06_thin_abrasion_img/rgb_0352.png</t>
  </si>
  <si>
    <t>thin_abrasion/fabric06_thin_abrasion_img/rgb_0353.png</t>
  </si>
  <si>
    <t>thin_abrasion/fabric06_thin_abrasion_img/rgb_0414.png</t>
  </si>
  <si>
    <t>thin_abrasion/fabric06_thin_abrasion_img/rgb_0415.png</t>
  </si>
  <si>
    <t>thin_abrasion/fabric06_thin_abrasion_img/rgb_0416.png</t>
  </si>
  <si>
    <t>thin_abrasion/fabric06_thin_abrasion_img/rgb_0417.png</t>
  </si>
  <si>
    <t>thin_abrasion/fabric06_thin_abrasion_img/rgb_0418.png</t>
  </si>
  <si>
    <t>thin_abrasion/fabric06_thin_abrasion_img/rgb_0419.png</t>
  </si>
  <si>
    <t>thin_abrasion/fabric06_thin_abrasion_img/rgb_0420.png</t>
  </si>
  <si>
    <t>thin_abrasion/fabric06_thin_abrasion_img/rgb_0421.png</t>
  </si>
  <si>
    <t>thin_abrasion/fabric06_thin_abrasion_img/rgb_0422.png</t>
  </si>
  <si>
    <t>thin_abrasion/fabric06_thin_abrasion_img/rgb_0423.png</t>
  </si>
  <si>
    <t>thin_abrasion/fabric06_thin_abrasion_img/rgb_0424.png</t>
  </si>
  <si>
    <t>thin_abrasion/fabric06_thin_abrasion_img/rgb_0425.png</t>
  </si>
  <si>
    <t>thin_abrasion/fabric06_thin_abrasion_img/rgb_0426.png</t>
  </si>
  <si>
    <t>thin_abrasion/fabric06_thin_abrasion_img/rgb_0427.png</t>
  </si>
  <si>
    <t>thin_abrasion/fabric06_thin_abrasion_img/rgb_0428.png</t>
  </si>
  <si>
    <t>thin_abrasion/fabric06_thin_abrasion_img/rgb_0429.png</t>
  </si>
  <si>
    <t>thin_abrasion/fabric06_thin_abrasion_img/rgb_0430.png</t>
  </si>
  <si>
    <t>thin_abrasion/fabric06_thin_abrasion_img/rgb_0431.png</t>
  </si>
  <si>
    <t>thin_abrasion/fabric06_thin_abrasion_img/rgb_0432.png</t>
  </si>
  <si>
    <t>thin_abrasion/fabric06_thin_abrasion_img/rgb_0433.png</t>
  </si>
  <si>
    <t>thin_abrasion/fabric06_thin_abrasion_img/rgb_0434.png</t>
  </si>
  <si>
    <t>thin_abrasion/fabric06_thin_abrasion_img/rgb_0435.png</t>
  </si>
  <si>
    <t>thin_abrasion/fabric06_thin_abrasion_img/rgb_0436.png</t>
  </si>
  <si>
    <t>thin_abrasion/fabric06_thin_abrasion_img/rgb_0437.png</t>
  </si>
  <si>
    <t>thin_abrasion/fabric06_thin_abrasion_img/rgb_0504.png</t>
  </si>
  <si>
    <t>thin_abrasion/fabric06_thin_abrasion_img/rgb_0505.png</t>
  </si>
  <si>
    <t>thin_abrasion/fabric06_thin_abrasion_img/rgb_0506.png</t>
  </si>
  <si>
    <t>thin_abrasion/fabric06_thin_abrasion_img/rgb_0507.png</t>
  </si>
  <si>
    <t>thin_abrasion/fabric06_thin_abrasion_img/rgb_0508.png</t>
  </si>
  <si>
    <t>thin_abrasion/fabric06_thin_abrasion_img/rgb_0509.png</t>
  </si>
  <si>
    <t>thin_abrasion/fabric06_thin_abrasion_img/rgb_0510.png</t>
  </si>
  <si>
    <t>thin_abrasion/fabric06_thin_abrasion_img/rgb_0511.png</t>
  </si>
  <si>
    <t>thin_abrasion/fabric06_thin_abrasion_img/rgb_0512.png</t>
  </si>
  <si>
    <t>thin_abrasion/fabric06_thin_abrasion_img/rgb_0513.png</t>
  </si>
  <si>
    <t>thin_abrasion/fabric06_thin_abrasion_img/rgb_0514.png</t>
  </si>
  <si>
    <t>thin_abrasion/fabric06_thin_abrasion_img/rgb_0515.png</t>
  </si>
  <si>
    <t>thin_abrasion/fabric06_thin_abrasion_img/rgb_0516.png</t>
  </si>
  <si>
    <t>thin_abrasion/fabric06_thin_abrasion_img/rgb_0517.png</t>
  </si>
  <si>
    <t>thin_abrasion/fabric06_thin_abrasion_img/rgb_0518.png</t>
  </si>
  <si>
    <t>thin_abrasion/fabric06_thin_abrasion_img/rgb_0519.png</t>
  </si>
  <si>
    <t>thin_abrasion/fabric06_thin_abrasion_img/rgb_0520.png</t>
  </si>
  <si>
    <t>thin_abrasion/fabric06_thin_abrasion_img/rgb_0521.png</t>
  </si>
  <si>
    <t>thin_abrasion/fabric06_thin_abrasion_img/rgb_0522.png</t>
  </si>
  <si>
    <t>thin_abrasion/fabric06_thin_abrasion_img/rgb_0523.png</t>
  </si>
  <si>
    <t>thin_abrasion/fabric06_thin_abrasion_img/rgb_0524.png</t>
  </si>
  <si>
    <t>thin_abrasion/fabric06_thin_abrasion_img/rgb_0525.png</t>
  </si>
  <si>
    <t>thin_abrasion/fabric06_thin_abrasion_img/rgb_0526.png</t>
  </si>
  <si>
    <t>thin_abrasion/fabric06_thin_abrasion_img/rgb_0527.png</t>
  </si>
  <si>
    <t>thin_abrasion/fabric06_thin_abrasion_img/rgb_0528.png</t>
  </si>
  <si>
    <t>thin_abrasion/fabric06_thin_abrasion_img/rgb_0592.png</t>
  </si>
  <si>
    <t>thin_abrasion/fabric06_thin_abrasion_img/rgb_0593.png</t>
  </si>
  <si>
    <t>thin_abrasion/fabric06_thin_abrasion_img/rgb_0594.png</t>
  </si>
  <si>
    <t>thin_abrasion/fabric06_thin_abrasion_img/rgb_0595.png</t>
  </si>
  <si>
    <t>thin_abrasion/fabric06_thin_abrasion_img/rgb_0596.png</t>
  </si>
  <si>
    <t>thin_abrasion/fabric06_thin_abrasion_img/rgb_0597.png</t>
  </si>
  <si>
    <t>thin_abrasion/fabric06_thin_abrasion_img/rgb_0598.png</t>
  </si>
  <si>
    <t>thin_abrasion/fabric06_thin_abrasion_img/rgb_0599.png</t>
  </si>
  <si>
    <t>thin_abrasion/fabric06_thin_abrasion_img/rgb_0600.png</t>
  </si>
  <si>
    <t>thin_abrasion/fabric06_thin_abrasion_img/rgb_0601.png</t>
  </si>
  <si>
    <t>thin_abrasion/fabric06_thin_abrasion_img/rgb_0602.png</t>
  </si>
  <si>
    <t>thin_abrasion/fabric06_thin_abrasion_img/rgb_0603.png</t>
  </si>
  <si>
    <t>thin_abrasion/fabric06_thin_abrasion_img/rgb_0604.png</t>
  </si>
  <si>
    <t>thin_abrasion/fabric06_thin_abrasion_img/rgb_0605.png</t>
  </si>
  <si>
    <t>thin_abrasion/fabric06_thin_abrasion_img/rgb_0606.png</t>
  </si>
  <si>
    <t>thin_abrasion/fabric06_thin_abrasion_img/rgb_0607.png</t>
  </si>
  <si>
    <t>thin_abrasion/fabric06_thin_abrasion_img/rgb_0608.png</t>
  </si>
  <si>
    <t>thin_abrasion/fabric06_thin_abrasion_img/rgb_0609.png</t>
  </si>
  <si>
    <t>thin_abrasion/fabric06_thin_abrasion_img/rgb_0610.png</t>
  </si>
  <si>
    <t>thin_abrasion/fabric06_thin_abrasion_img/rgb_0611.png</t>
  </si>
  <si>
    <t>thin_abrasion/fabric06_thin_abrasion_img/rgb_0612.png</t>
  </si>
  <si>
    <t>thin_abrasion/fabric06_thin_abrasion_img/rgb_0613.png</t>
  </si>
  <si>
    <t>thin_abrasion/fabric06_thin_abrasion_img/rgb_0614.png</t>
  </si>
  <si>
    <t>thin_abrasion/fabric06_thin_abrasion_img/rgb_0615.png</t>
  </si>
  <si>
    <t>thin_abrasion/fabric06_thin_abrasion_img/rgb_0616.png</t>
  </si>
  <si>
    <t>thin_abrasion/fabric06_thin_abrasion_img/rgb_0683.png</t>
  </si>
  <si>
    <t>thin_abrasion/fabric06_thin_abrasion_img/rgb_0684.png</t>
  </si>
  <si>
    <t>thin_abrasion/fabric06_thin_abrasion_img/rgb_0685.png</t>
  </si>
  <si>
    <t>thin_abrasion/fabric06_thin_abrasion_img/rgb_0686.png</t>
  </si>
  <si>
    <t>thin_abrasion/fabric06_thin_abrasion_img/rgb_0687.png</t>
  </si>
  <si>
    <t>thin_abrasion/fabric06_thin_abrasion_img/rgb_0688.png</t>
  </si>
  <si>
    <t>thin_abrasion/fabric06_thin_abrasion_img/rgb_0689.png</t>
  </si>
  <si>
    <t>thin_abrasion/fabric06_thin_abrasion_img/rgb_0690.png</t>
  </si>
  <si>
    <t>thin_abrasion/fabric06_thin_abrasion_img/rgb_0691.png</t>
  </si>
  <si>
    <t>thin_abrasion/fabric06_thin_abrasion_img/rgb_0692.png</t>
  </si>
  <si>
    <t>thin_abrasion/fabric06_thin_abrasion_img/rgb_0693.png</t>
  </si>
  <si>
    <t>thin_abrasion/fabric06_thin_abrasion_img/rgb_0694.png</t>
  </si>
  <si>
    <t>thin_abrasion/fabric06_thin_abrasion_img/rgb_0695.png</t>
  </si>
  <si>
    <t>thin_abrasion/fabric06_thin_abrasion_img/rgb_0696.png</t>
  </si>
  <si>
    <t>thin_abrasion/fabric06_thin_abrasion_img/rgb_0697.png</t>
  </si>
  <si>
    <t>thin_abrasion/fabric06_thin_abrasion_img/rgb_0698.png</t>
  </si>
  <si>
    <t>thin_abrasion/fabric06_thin_abrasion_img/rgb_0699.png</t>
  </si>
  <si>
    <t>thin_abrasion/fabric06_thin_abrasion_img/rgb_0700.png</t>
  </si>
  <si>
    <t>thin_abrasion/fabric06_thin_abrasion_img/rgb_0701.png</t>
  </si>
  <si>
    <t>thin_abrasion/fabric06_thin_abrasion_img/rgb_0702.png</t>
  </si>
  <si>
    <t>thin_abrasion/fabric06_thin_abrasion_img/rgb_0703.png</t>
  </si>
  <si>
    <t>thin_abrasion/fabric06_thin_abrasion_img/rgb_0704.png</t>
  </si>
  <si>
    <t>thin_abrasion/fabric06_thin_abrasion_img/rgb_0705.png</t>
  </si>
  <si>
    <t>thin_abrasion/fabric06_thin_abrasion_img/rgb_0706.png</t>
  </si>
  <si>
    <t>thin_abrasion/fabric06_thin_abrasion_img/rgb_0773.png</t>
  </si>
  <si>
    <t>thin_abrasion/fabric06_thin_abrasion_img/rgb_0774.png</t>
  </si>
  <si>
    <t>thin_abrasion/fabric06_thin_abrasion_img/rgb_0775.png</t>
  </si>
  <si>
    <t>thin_abrasion/fabric06_thin_abrasion_img/rgb_0776.png</t>
  </si>
  <si>
    <t>thin_abrasion/fabric06_thin_abrasion_img/rgb_0777.png</t>
  </si>
  <si>
    <t>thin_abrasion/fabric06_thin_abrasion_img/rgb_0778.png</t>
  </si>
  <si>
    <t>thin_abrasion/fabric06_thin_abrasion_img/rgb_0779.png</t>
  </si>
  <si>
    <t>thin_abrasion/fabric06_thin_abrasion_img/rgb_0780.png</t>
  </si>
  <si>
    <t>thin_abrasion/fabric06_thin_abrasion_img/rgb_0781.png</t>
  </si>
  <si>
    <t>thin_abrasion/fabric06_thin_abrasion_img/rgb_0782.png</t>
  </si>
  <si>
    <t>thin_abrasion/fabric06_thin_abrasion_img/rgb_0783.png</t>
  </si>
  <si>
    <t>thin_abrasion/fabric06_thin_abrasion_img/rgb_0784.png</t>
  </si>
  <si>
    <t>thin_abrasion/fabric06_thin_abrasion_img/rgb_0785.png</t>
  </si>
  <si>
    <t>thin_abrasion/fabric06_thin_abrasion_img/rgb_0786.png</t>
  </si>
  <si>
    <t>thin_abrasion/fabric06_thin_abrasion_img/rgb_0787.png</t>
  </si>
  <si>
    <t>thin_abrasion/fabric06_thin_abrasion_img/rgb_0788.png</t>
  </si>
  <si>
    <t>thin_abrasion/fabric06_thin_abrasion_img/rgb_0789.png</t>
  </si>
  <si>
    <t>thin_abrasion/fabric06_thin_abrasion_img/rgb_0790.png</t>
  </si>
  <si>
    <t>thin_abrasion/fabric06_thin_abrasion_img/rgb_0791.png</t>
  </si>
  <si>
    <t>thin_abrasion/fabric06_thin_abrasion_img/rgb_0792.png</t>
  </si>
  <si>
    <t>thin_abrasion/fabric06_thin_abrasion_img/rgb_0793.png</t>
  </si>
  <si>
    <t>thin_abrasion/fabric06_thin_abrasion_img/rgb_0794.png</t>
  </si>
  <si>
    <t>thin_abrasion/fabric06_thin_abrasion_img/rgb_0795.png</t>
  </si>
  <si>
    <t>thin_abrasion/fabric06_thin_abrasion_img/rgb_0796.png</t>
  </si>
  <si>
    <t>thin_friction/fabric01_thin_frction_img/rgb_0147.png</t>
  </si>
  <si>
    <t>Friction</t>
  </si>
  <si>
    <t>thin_friction/fabric01_thin_frction_img/rgb_0148.png</t>
  </si>
  <si>
    <t>thin_friction/fabric01_thin_frction_img/rgb_0149.png</t>
  </si>
  <si>
    <t>thin_friction/fabric01_thin_frction_img/rgb_0150.png</t>
  </si>
  <si>
    <t>thin_friction/fabric01_thin_frction_img/rgb_0151.png</t>
  </si>
  <si>
    <t>thin_friction/fabric01_thin_frction_img/rgb_0152.png</t>
  </si>
  <si>
    <t>thin_friction/fabric01_thin_frction_img/rgb_0153.png</t>
  </si>
  <si>
    <t>thin_friction/fabric01_thin_frction_img/rgb_0154.png</t>
  </si>
  <si>
    <t>thin_friction/fabric01_thin_frction_img/rgb_0155.png</t>
  </si>
  <si>
    <t>thin_friction/fabric01_thin_frction_img/rgb_0156.png</t>
  </si>
  <si>
    <t>thin_friction/fabric01_thin_frction_img/rgb_0157.png</t>
  </si>
  <si>
    <t>thin_friction/fabric01_thin_frction_img/rgb_0158.png</t>
  </si>
  <si>
    <t>thin_friction/fabric01_thin_frction_img/rgb_0159.png</t>
  </si>
  <si>
    <t>thin_friction/fabric01_thin_frction_img/rgb_0160.png</t>
  </si>
  <si>
    <t>thin_friction/fabric01_thin_frction_img/rgb_0161.png</t>
  </si>
  <si>
    <t>thin_friction/fabric01_thin_frction_img/rgb_0162.png</t>
  </si>
  <si>
    <t>thin_friction/fabric01_thin_frction_img/rgb_0163.png</t>
  </si>
  <si>
    <t>thin_friction/fabric01_thin_frction_img/rgb_0164.png</t>
  </si>
  <si>
    <t>thin_friction/fabric01_thin_frction_img/rgb_0165.png</t>
  </si>
  <si>
    <t>thin_friction/fabric01_thin_frction_img/rgb_0166.png</t>
  </si>
  <si>
    <t>thin_friction/fabric01_thin_frction_img/rgb_0167.png</t>
  </si>
  <si>
    <t>thin_friction/fabric01_thin_frction_img/rgb_0168.png</t>
  </si>
  <si>
    <t>thin_friction/fabric01_thin_frction_img/rgb_0169.png</t>
  </si>
  <si>
    <t>thin_friction/fabric01_thin_frction_img/rgb_0236.png</t>
  </si>
  <si>
    <t>thin_friction/fabric01_thin_frction_img/rgb_0237.png</t>
  </si>
  <si>
    <t>thin_friction/fabric01_thin_frction_img/rgb_0238.png</t>
  </si>
  <si>
    <t>thin_friction/fabric01_thin_frction_img/rgb_0239.png</t>
  </si>
  <si>
    <t>thin_friction/fabric01_thin_frction_img/rgb_0240.png</t>
  </si>
  <si>
    <t>thin_friction/fabric01_thin_frction_img/rgb_0241.png</t>
  </si>
  <si>
    <t>thin_friction/fabric01_thin_frction_img/rgb_0242.png</t>
  </si>
  <si>
    <t>thin_friction/fabric01_thin_frction_img/rgb_0243.png</t>
  </si>
  <si>
    <t>thin_friction/fabric01_thin_frction_img/rgb_0244.png</t>
  </si>
  <si>
    <t>thin_friction/fabric01_thin_frction_img/rgb_0245.png</t>
  </si>
  <si>
    <t>thin_friction/fabric01_thin_frction_img/rgb_0246.png</t>
  </si>
  <si>
    <t>thin_friction/fabric01_thin_frction_img/rgb_0247.png</t>
  </si>
  <si>
    <t>thin_friction/fabric01_thin_frction_img/rgb_0248.png</t>
  </si>
  <si>
    <t>thin_friction/fabric01_thin_frction_img/rgb_0249.png</t>
  </si>
  <si>
    <t>thin_friction/fabric01_thin_frction_img/rgb_0250.png</t>
  </si>
  <si>
    <t>thin_friction/fabric01_thin_frction_img/rgb_0251.png</t>
  </si>
  <si>
    <t>thin_friction/fabric01_thin_frction_img/rgb_0252.png</t>
  </si>
  <si>
    <t>thin_friction/fabric01_thin_frction_img/rgb_0253.png</t>
  </si>
  <si>
    <t>thin_friction/fabric01_thin_frction_img/rgb_0254.png</t>
  </si>
  <si>
    <t>thin_friction/fabric01_thin_frction_img/rgb_0255.png</t>
  </si>
  <si>
    <t>thin_friction/fabric01_thin_frction_img/rgb_0256.png</t>
  </si>
  <si>
    <t>thin_friction/fabric01_thin_frction_img/rgb_0257.png</t>
  </si>
  <si>
    <t>thin_friction/fabric01_thin_frction_img/rgb_0324.png</t>
  </si>
  <si>
    <t>thin_friction/fabric01_thin_frction_img/rgb_0325.png</t>
  </si>
  <si>
    <t>thin_friction/fabric01_thin_frction_img/rgb_0326.png</t>
  </si>
  <si>
    <t>thin_friction/fabric01_thin_frction_img/rgb_0327.png</t>
  </si>
  <si>
    <t>thin_friction/fabric01_thin_frction_img/rgb_0328.png</t>
  </si>
  <si>
    <t>thin_friction/fabric01_thin_frction_img/rgb_0329.png</t>
  </si>
  <si>
    <t>thin_friction/fabric01_thin_frction_img/rgb_0330.png</t>
  </si>
  <si>
    <t>thin_friction/fabric01_thin_frction_img/rgb_0331.png</t>
  </si>
  <si>
    <t>thin_friction/fabric01_thin_frction_img/rgb_0332.png</t>
  </si>
  <si>
    <t>thin_friction/fabric01_thin_frction_img/rgb_0333.png</t>
  </si>
  <si>
    <t>thin_friction/fabric01_thin_frction_img/rgb_0334.png</t>
  </si>
  <si>
    <t>thin_friction/fabric01_thin_frction_img/rgb_0335.png</t>
  </si>
  <si>
    <t>thin_friction/fabric01_thin_frction_img/rgb_0336.png</t>
  </si>
  <si>
    <t>thin_friction/fabric01_thin_frction_img/rgb_0337.png</t>
  </si>
  <si>
    <t>thin_friction/fabric01_thin_frction_img/rgb_0338.png</t>
  </si>
  <si>
    <t>thin_friction/fabric01_thin_frction_img/rgb_0339.png</t>
  </si>
  <si>
    <t>thin_friction/fabric01_thin_frction_img/rgb_0340.png</t>
  </si>
  <si>
    <t>thin_friction/fabric01_thin_frction_img/rgb_0341.png</t>
  </si>
  <si>
    <t>thin_friction/fabric01_thin_frction_img/rgb_0342.png</t>
  </si>
  <si>
    <t>thin_friction/fabric01_thin_frction_img/rgb_0343.png</t>
  </si>
  <si>
    <t>thin_friction/fabric01_thin_frction_img/rgb_0344.png</t>
  </si>
  <si>
    <t>thin_friction/fabric01_thin_frction_img/rgb_0413.png</t>
  </si>
  <si>
    <t>thin_friction/fabric01_thin_frction_img/rgb_0414.png</t>
  </si>
  <si>
    <t>thin_friction/fabric01_thin_frction_img/rgb_0415.png</t>
  </si>
  <si>
    <t>thin_friction/fabric01_thin_frction_img/rgb_0416.png</t>
  </si>
  <si>
    <t>thin_friction/fabric01_thin_frction_img/rgb_0417.png</t>
  </si>
  <si>
    <t>thin_friction/fabric01_thin_frction_img/rgb_0418.png</t>
  </si>
  <si>
    <t>thin_friction/fabric01_thin_frction_img/rgb_0419.png</t>
  </si>
  <si>
    <t>thin_friction/fabric01_thin_frction_img/rgb_0420.png</t>
  </si>
  <si>
    <t>thin_friction/fabric01_thin_frction_img/rgb_0421.png</t>
  </si>
  <si>
    <t>thin_friction/fabric01_thin_frction_img/rgb_0422.png</t>
  </si>
  <si>
    <t>thin_friction/fabric01_thin_frction_img/rgb_0423.png</t>
  </si>
  <si>
    <t>thin_friction/fabric01_thin_frction_img/rgb_0424.png</t>
  </si>
  <si>
    <t>thin_friction/fabric01_thin_frction_img/rgb_0425.png</t>
  </si>
  <si>
    <t>thin_friction/fabric01_thin_frction_img/rgb_0426.png</t>
  </si>
  <si>
    <t>thin_friction/fabric01_thin_frction_img/rgb_0427.png</t>
  </si>
  <si>
    <t>thin_friction/fabric01_thin_frction_img/rgb_0428.png</t>
  </si>
  <si>
    <t>thin_friction/fabric01_thin_frction_img/rgb_0429.png</t>
  </si>
  <si>
    <t>thin_friction/fabric01_thin_frction_img/rgb_0430.png</t>
  </si>
  <si>
    <t>thin_friction/fabric01_thin_frction_img/rgb_0431.png</t>
  </si>
  <si>
    <t>thin_friction/fabric01_thin_frction_img/rgb_0432.png</t>
  </si>
  <si>
    <t>thin_friction/fabric01_thin_frction_img/rgb_0433.png</t>
  </si>
  <si>
    <t>thin_friction/fabric01_thin_frction_img/rgb_0434.png</t>
  </si>
  <si>
    <t>thin_friction/fabric01_thin_frction_img/rgb_0500.png</t>
  </si>
  <si>
    <t>thin_friction/fabric01_thin_frction_img/rgb_0501.png</t>
  </si>
  <si>
    <t>thin_friction/fabric01_thin_frction_img/rgb_0502.png</t>
  </si>
  <si>
    <t>thin_friction/fabric01_thin_frction_img/rgb_0503.png</t>
  </si>
  <si>
    <t>thin_friction/fabric01_thin_frction_img/rgb_0504.png</t>
  </si>
  <si>
    <t>thin_friction/fabric01_thin_frction_img/rgb_0505.png</t>
  </si>
  <si>
    <t>thin_friction/fabric01_thin_frction_img/rgb_0506.png</t>
  </si>
  <si>
    <t>thin_friction/fabric01_thin_frction_img/rgb_0507.png</t>
  </si>
  <si>
    <t>thin_friction/fabric01_thin_frction_img/rgb_0508.png</t>
  </si>
  <si>
    <t>thin_friction/fabric01_thin_frction_img/rgb_0509.png</t>
  </si>
  <si>
    <t>thin_friction/fabric01_thin_frction_img/rgb_0510.png</t>
  </si>
  <si>
    <t>thin_friction/fabric01_thin_frction_img/rgb_0511.png</t>
  </si>
  <si>
    <t>thin_friction/fabric01_thin_frction_img/rgb_0512.png</t>
  </si>
  <si>
    <t>thin_friction/fabric01_thin_frction_img/rgb_0513.png</t>
  </si>
  <si>
    <t>thin_friction/fabric01_thin_frction_img/rgb_0514.png</t>
  </si>
  <si>
    <t>thin_friction/fabric01_thin_frction_img/rgb_0515.png</t>
  </si>
  <si>
    <t>thin_friction/fabric01_thin_frction_img/rgb_0516.png</t>
  </si>
  <si>
    <t>thin_friction/fabric01_thin_frction_img/rgb_0517.png</t>
  </si>
  <si>
    <t>thin_friction/fabric01_thin_frction_img/rgb_0518.png</t>
  </si>
  <si>
    <t>thin_friction/fabric01_thin_frction_img/rgb_0519.png</t>
  </si>
  <si>
    <t>thin_friction/fabric01_thin_frction_img/rgb_0520.png</t>
  </si>
  <si>
    <t>thin_friction/fabric01_thin_frction_img/rgb_0521.png</t>
  </si>
  <si>
    <t>thin_friction/fabric01_thin_frction_img/rgb_0522.png</t>
  </si>
  <si>
    <t>thin_friction/fabric01_thin_frction_img/rgb_0591.png</t>
  </si>
  <si>
    <t>thin_friction/fabric01_thin_frction_img/rgb_0592.png</t>
  </si>
  <si>
    <t>thin_friction/fabric01_thin_frction_img/rgb_0593.png</t>
  </si>
  <si>
    <t>thin_friction/fabric01_thin_frction_img/rgb_0594.png</t>
  </si>
  <si>
    <t>thin_friction/fabric01_thin_frction_img/rgb_0595.png</t>
  </si>
  <si>
    <t>thin_friction/fabric01_thin_frction_img/rgb_0596.png</t>
  </si>
  <si>
    <t>thin_friction/fabric01_thin_frction_img/rgb_0597.png</t>
  </si>
  <si>
    <t>thin_friction/fabric01_thin_frction_img/rgb_0598.png</t>
  </si>
  <si>
    <t>thin_friction/fabric01_thin_frction_img/rgb_0599.png</t>
  </si>
  <si>
    <t>thin_friction/fabric01_thin_frction_img/rgb_0600.png</t>
  </si>
  <si>
    <t>thin_friction/fabric01_thin_frction_img/rgb_0601.png</t>
  </si>
  <si>
    <t>thin_friction/fabric01_thin_frction_img/rgb_0602.png</t>
  </si>
  <si>
    <t>thin_friction/fabric01_thin_frction_img/rgb_0603.png</t>
  </si>
  <si>
    <t>thin_friction/fabric01_thin_frction_img/rgb_0604.png</t>
  </si>
  <si>
    <t>thin_friction/fabric01_thin_frction_img/rgb_0605.png</t>
  </si>
  <si>
    <t>thin_friction/fabric01_thin_frction_img/rgb_0606.png</t>
  </si>
  <si>
    <t>thin_friction/fabric01_thin_frction_img/rgb_0607.png</t>
  </si>
  <si>
    <t>thin_friction/fabric01_thin_frction_img/rgb_0608.png</t>
  </si>
  <si>
    <t>thin_friction/fabric01_thin_frction_img/rgb_0609.png</t>
  </si>
  <si>
    <t>thin_friction/fabric01_thin_frction_img/rgb_0610.png</t>
  </si>
  <si>
    <t>thin_friction/fabric01_thin_frction_img/rgb_0611.png</t>
  </si>
  <si>
    <t>thin_friction/fabric01_thin_frction_img/rgb_0612.png</t>
  </si>
  <si>
    <t>thin_friction/fabric01_thin_frction_img/rgb_0613.png</t>
  </si>
  <si>
    <t>thin_friction/fabric01_thin_frction_img/rgb_0682.png</t>
  </si>
  <si>
    <t>thin_friction/fabric01_thin_frction_img/rgb_0683.png</t>
  </si>
  <si>
    <t>thin_friction/fabric01_thin_frction_img/rgb_0684.png</t>
  </si>
  <si>
    <t>thin_friction/fabric01_thin_frction_img/rgb_0685.png</t>
  </si>
  <si>
    <t>thin_friction/fabric01_thin_frction_img/rgb_0686.png</t>
  </si>
  <si>
    <t>thin_friction/fabric01_thin_frction_img/rgb_0687.png</t>
  </si>
  <si>
    <t>thin_friction/fabric01_thin_frction_img/rgb_0688.png</t>
  </si>
  <si>
    <t>thin_friction/fabric01_thin_frction_img/rgb_0689.png</t>
  </si>
  <si>
    <t>thin_friction/fabric01_thin_frction_img/rgb_0690.png</t>
  </si>
  <si>
    <t>thin_friction/fabric01_thin_frction_img/rgb_0691.png</t>
  </si>
  <si>
    <t>thin_friction/fabric01_thin_frction_img/rgb_0692.png</t>
  </si>
  <si>
    <t>thin_friction/fabric01_thin_frction_img/rgb_0693.png</t>
  </si>
  <si>
    <t>thin_friction/fabric01_thin_frction_img/rgb_0694.png</t>
  </si>
  <si>
    <t>thin_friction/fabric01_thin_frction_img/rgb_0695.png</t>
  </si>
  <si>
    <t>thin_friction/fabric01_thin_frction_img/rgb_0696.png</t>
  </si>
  <si>
    <t>thin_friction/fabric01_thin_frction_img/rgb_0697.png</t>
  </si>
  <si>
    <t>thin_friction/fabric01_thin_frction_img/rgb_0698.png</t>
  </si>
  <si>
    <t>thin_friction/fabric01_thin_frction_img/rgb_0699.png</t>
  </si>
  <si>
    <t>thin_friction/fabric01_thin_frction_img/rgb_0700.png</t>
  </si>
  <si>
    <t>thin_friction/fabric01_thin_frction_img/rgb_0701.png</t>
  </si>
  <si>
    <t>thin_friction/fabric01_thin_frction_img/rgb_0702.png</t>
  </si>
  <si>
    <t>thin_friction/fabric01_thin_frction_img/rgb_0703.png</t>
  </si>
  <si>
    <t>thin_friction/fabric01_thin_frction_img/rgb_0704.png</t>
  </si>
  <si>
    <t>thin_friction/fabric01_thin_frction_img/rgb_0705.png</t>
  </si>
  <si>
    <t>thin_friction/fabric01_thin_frction_img/rgb_0775.png</t>
  </si>
  <si>
    <t>thin_friction/fabric01_thin_frction_img/rgb_0776.png</t>
  </si>
  <si>
    <t>thin_friction/fabric01_thin_frction_img/rgb_0777.png</t>
  </si>
  <si>
    <t>thin_friction/fabric01_thin_frction_img/rgb_0778.png</t>
  </si>
  <si>
    <t>thin_friction/fabric01_thin_frction_img/rgb_0779.png</t>
  </si>
  <si>
    <t>thin_friction/fabric01_thin_frction_img/rgb_0780.png</t>
  </si>
  <si>
    <t>thin_friction/fabric01_thin_frction_img/rgb_0781.png</t>
  </si>
  <si>
    <t>thin_friction/fabric01_thin_frction_img/rgb_0782.png</t>
  </si>
  <si>
    <t>thin_friction/fabric01_thin_frction_img/rgb_0783.png</t>
  </si>
  <si>
    <t>thin_friction/fabric01_thin_frction_img/rgb_0784.png</t>
  </si>
  <si>
    <t>thin_friction/fabric01_thin_frction_img/rgb_0785.png</t>
  </si>
  <si>
    <t>thin_friction/fabric01_thin_frction_img/rgb_0786.png</t>
  </si>
  <si>
    <t>thin_friction/fabric01_thin_frction_img/rgb_0787.png</t>
  </si>
  <si>
    <t>thin_friction/fabric01_thin_frction_img/rgb_0788.png</t>
  </si>
  <si>
    <t>thin_friction/fabric01_thin_frction_img/rgb_0789.png</t>
  </si>
  <si>
    <t>thin_friction/fabric01_thin_frction_img/rgb_0790.png</t>
  </si>
  <si>
    <t>thin_friction/fabric01_thin_frction_img/rgb_0791.png</t>
  </si>
  <si>
    <t>thin_friction/fabric01_thin_frction_img/rgb_0792.png</t>
  </si>
  <si>
    <t>thin_friction/fabric01_thin_frction_img/rgb_0793.png</t>
  </si>
  <si>
    <t>thin_friction/fabric01_thin_frction_img/rgb_0794.png</t>
  </si>
  <si>
    <t>thin_friction/fabric01_thin_frction_img/rgb_0795.png</t>
  </si>
  <si>
    <t>thin_friction/fabric02_thin_frction_img/rgb_0087.png</t>
  </si>
  <si>
    <t>thin_friction/fabric02_thin_frction_img/rgb_0088.png</t>
  </si>
  <si>
    <t>thin_friction/fabric02_thin_frction_img/rgb_0089.png</t>
  </si>
  <si>
    <t>thin_friction/fabric02_thin_frction_img/rgb_0090.png</t>
  </si>
  <si>
    <t>thin_friction/fabric02_thin_frction_img/rgb_0091.png</t>
  </si>
  <si>
    <t>thin_friction/fabric02_thin_frction_img/rgb_0092.png</t>
  </si>
  <si>
    <t>thin_friction/fabric02_thin_frction_img/rgb_0093.png</t>
  </si>
  <si>
    <t>thin_friction/fabric02_thin_frction_img/rgb_0094.png</t>
  </si>
  <si>
    <t>thin_friction/fabric02_thin_frction_img/rgb_0095.png</t>
  </si>
  <si>
    <t>thin_friction/fabric02_thin_frction_img/rgb_0096.png</t>
  </si>
  <si>
    <t>thin_friction/fabric02_thin_frction_img/rgb_0097.png</t>
  </si>
  <si>
    <t>thin_friction/fabric02_thin_frction_img/rgb_0098.png</t>
  </si>
  <si>
    <t>thin_friction/fabric02_thin_frction_img/rgb_0099.png</t>
  </si>
  <si>
    <t>thin_friction/fabric02_thin_frction_img/rgb_0100.png</t>
  </si>
  <si>
    <t>thin_friction/fabric02_thin_frction_img/rgb_0101.png</t>
  </si>
  <si>
    <t>thin_friction/fabric02_thin_frction_img/rgb_0102.png</t>
  </si>
  <si>
    <t>thin_friction/fabric02_thin_frction_img/rgb_0103.png</t>
  </si>
  <si>
    <t>thin_friction/fabric02_thin_frction_img/rgb_0104.png</t>
  </si>
  <si>
    <t>thin_friction/fabric02_thin_frction_img/rgb_0105.png</t>
  </si>
  <si>
    <t>thin_friction/fabric02_thin_frction_img/rgb_0106.png</t>
  </si>
  <si>
    <t>thin_friction/fabric02_thin_frction_img/rgb_0107.png</t>
  </si>
  <si>
    <t>thin_friction/fabric02_thin_frction_img/rgb_0108.png</t>
  </si>
  <si>
    <t>thin_friction/fabric02_thin_frction_img/rgb_0109.png</t>
  </si>
  <si>
    <t>thin_friction/fabric02_thin_frction_img/rgb_0174.png</t>
  </si>
  <si>
    <t>thin_friction/fabric02_thin_frction_img/rgb_0175.png</t>
  </si>
  <si>
    <t>thin_friction/fabric02_thin_frction_img/rgb_0176.png</t>
  </si>
  <si>
    <t>thin_friction/fabric02_thin_frction_img/rgb_0177.png</t>
  </si>
  <si>
    <t>thin_friction/fabric02_thin_frction_img/rgb_0178.png</t>
  </si>
  <si>
    <t>thin_friction/fabric02_thin_frction_img/rgb_0179.png</t>
  </si>
  <si>
    <t>thin_friction/fabric02_thin_frction_img/rgb_0180.png</t>
  </si>
  <si>
    <t>thin_friction/fabric02_thin_frction_img/rgb_0181.png</t>
  </si>
  <si>
    <t>thin_friction/fabric02_thin_frction_img/rgb_0182.png</t>
  </si>
  <si>
    <t>thin_friction/fabric02_thin_frction_img/rgb_0183.png</t>
  </si>
  <si>
    <t>thin_friction/fabric02_thin_frction_img/rgb_0184.png</t>
  </si>
  <si>
    <t>thin_friction/fabric02_thin_frction_img/rgb_0185.png</t>
  </si>
  <si>
    <t>thin_friction/fabric02_thin_frction_img/rgb_0186.png</t>
  </si>
  <si>
    <t>thin_friction/fabric02_thin_frction_img/rgb_0187.png</t>
  </si>
  <si>
    <t>thin_friction/fabric02_thin_frction_img/rgb_0188.png</t>
  </si>
  <si>
    <t>thin_friction/fabric02_thin_frction_img/rgb_0189.png</t>
  </si>
  <si>
    <t>thin_friction/fabric02_thin_frction_img/rgb_0190.png</t>
  </si>
  <si>
    <t>thin_friction/fabric02_thin_frction_img/rgb_0191.png</t>
  </si>
  <si>
    <t>thin_friction/fabric02_thin_frction_img/rgb_0192.png</t>
  </si>
  <si>
    <t>thin_friction/fabric02_thin_frction_img/rgb_0193.png</t>
  </si>
  <si>
    <t>thin_friction/fabric02_thin_frction_img/rgb_0194.png</t>
  </si>
  <si>
    <t>thin_friction/fabric02_thin_frction_img/rgb_0195.png</t>
  </si>
  <si>
    <t>thin_friction/fabric02_thin_frction_img/rgb_0196.png</t>
  </si>
  <si>
    <t>thin_friction/fabric02_thin_frction_img/rgb_0265.png</t>
  </si>
  <si>
    <t>thin_friction/fabric02_thin_frction_img/rgb_0266.png</t>
  </si>
  <si>
    <t>thin_friction/fabric02_thin_frction_img/rgb_0267.png</t>
  </si>
  <si>
    <t>thin_friction/fabric02_thin_frction_img/rgb_0268.png</t>
  </si>
  <si>
    <t>thin_friction/fabric02_thin_frction_img/rgb_0269.png</t>
  </si>
  <si>
    <t>thin_friction/fabric02_thin_frction_img/rgb_0270.png</t>
  </si>
  <si>
    <t>thin_friction/fabric02_thin_frction_img/rgb_0271.png</t>
  </si>
  <si>
    <t>thin_friction/fabric02_thin_frction_img/rgb_0272.png</t>
  </si>
  <si>
    <t>thin_friction/fabric02_thin_frction_img/rgb_0273.png</t>
  </si>
  <si>
    <t>thin_friction/fabric02_thin_frction_img/rgb_0274.png</t>
  </si>
  <si>
    <t>thin_friction/fabric02_thin_frction_img/rgb_0275.png</t>
  </si>
  <si>
    <t>thin_friction/fabric02_thin_frction_img/rgb_0276.png</t>
  </si>
  <si>
    <t>thin_friction/fabric02_thin_frction_img/rgb_0277.png</t>
  </si>
  <si>
    <t>thin_friction/fabric02_thin_frction_img/rgb_0278.png</t>
  </si>
  <si>
    <t>thin_friction/fabric02_thin_frction_img/rgb_0279.png</t>
  </si>
  <si>
    <t>thin_friction/fabric02_thin_frction_img/rgb_0280.png</t>
  </si>
  <si>
    <t>thin_friction/fabric02_thin_frction_img/rgb_0281.png</t>
  </si>
  <si>
    <t>thin_friction/fabric02_thin_frction_img/rgb_0282.png</t>
  </si>
  <si>
    <t>thin_friction/fabric02_thin_frction_img/rgb_0283.png</t>
  </si>
  <si>
    <t>thin_friction/fabric02_thin_frction_img/rgb_0284.png</t>
  </si>
  <si>
    <t>thin_friction/fabric02_thin_frction_img/rgb_0285.png</t>
  </si>
  <si>
    <t>thin_friction/fabric02_thin_frction_img/rgb_0286.png</t>
  </si>
  <si>
    <t>thin_friction/fabric02_thin_frction_img/rgb_0353.png</t>
  </si>
  <si>
    <t>thin_friction/fabric02_thin_frction_img/rgb_0354.png</t>
  </si>
  <si>
    <t>thin_friction/fabric02_thin_frction_img/rgb_0355.png</t>
  </si>
  <si>
    <t>thin_friction/fabric02_thin_frction_img/rgb_0356.png</t>
  </si>
  <si>
    <t>thin_friction/fabric02_thin_frction_img/rgb_0357.png</t>
  </si>
  <si>
    <t>thin_friction/fabric02_thin_frction_img/rgb_0358.png</t>
  </si>
  <si>
    <t>thin_friction/fabric02_thin_frction_img/rgb_0359.png</t>
  </si>
  <si>
    <t>thin_friction/fabric02_thin_frction_img/rgb_0360.png</t>
  </si>
  <si>
    <t>thin_friction/fabric02_thin_frction_img/rgb_0361.png</t>
  </si>
  <si>
    <t>thin_friction/fabric02_thin_frction_img/rgb_0362.png</t>
  </si>
  <si>
    <t>thin_friction/fabric02_thin_frction_img/rgb_0363.png</t>
  </si>
  <si>
    <t>thin_friction/fabric02_thin_frction_img/rgb_0364.png</t>
  </si>
  <si>
    <t>thin_friction/fabric02_thin_frction_img/rgb_0365.png</t>
  </si>
  <si>
    <t>thin_friction/fabric02_thin_frction_img/rgb_0366.png</t>
  </si>
  <si>
    <t>thin_friction/fabric02_thin_frction_img/rgb_0367.png</t>
  </si>
  <si>
    <t>thin_friction/fabric02_thin_frction_img/rgb_0368.png</t>
  </si>
  <si>
    <t>thin_friction/fabric02_thin_frction_img/rgb_0369.png</t>
  </si>
  <si>
    <t>thin_friction/fabric02_thin_frction_img/rgb_0370.png</t>
  </si>
  <si>
    <t>thin_friction/fabric02_thin_frction_img/rgb_0371.png</t>
  </si>
  <si>
    <t>thin_friction/fabric02_thin_frction_img/rgb_0372.png</t>
  </si>
  <si>
    <t>thin_friction/fabric02_thin_frction_img/rgb_0373.png</t>
  </si>
  <si>
    <t>thin_friction/fabric02_thin_frction_img/rgb_0374.png</t>
  </si>
  <si>
    <t>thin_friction/fabric02_thin_frction_img/rgb_0375.png</t>
  </si>
  <si>
    <t>thin_friction/fabric02_thin_frction_img/rgb_0376.png</t>
  </si>
  <si>
    <t>thin_friction/fabric02_thin_frction_img/rgb_0441.png</t>
  </si>
  <si>
    <t>thin_friction/fabric02_thin_frction_img/rgb_0442.png</t>
  </si>
  <si>
    <t>thin_friction/fabric02_thin_frction_img/rgb_0443.png</t>
  </si>
  <si>
    <t>thin_friction/fabric02_thin_frction_img/rgb_0444.png</t>
  </si>
  <si>
    <t>thin_friction/fabric02_thin_frction_img/rgb_0445.png</t>
  </si>
  <si>
    <t>thin_friction/fabric02_thin_frction_img/rgb_0446.png</t>
  </si>
  <si>
    <t>thin_friction/fabric02_thin_frction_img/rgb_0447.png</t>
  </si>
  <si>
    <t>thin_friction/fabric02_thin_frction_img/rgb_0448.png</t>
  </si>
  <si>
    <t>thin_friction/fabric02_thin_frction_img/rgb_0449.png</t>
  </si>
  <si>
    <t>thin_friction/fabric02_thin_frction_img/rgb_0450.png</t>
  </si>
  <si>
    <t>thin_friction/fabric02_thin_frction_img/rgb_0451.png</t>
  </si>
  <si>
    <t>thin_friction/fabric02_thin_frction_img/rgb_0452.png</t>
  </si>
  <si>
    <t>thin_friction/fabric02_thin_frction_img/rgb_0453.png</t>
  </si>
  <si>
    <t>thin_friction/fabric02_thin_frction_img/rgb_0454.png</t>
  </si>
  <si>
    <t>thin_friction/fabric02_thin_frction_img/rgb_0455.png</t>
  </si>
  <si>
    <t>thin_friction/fabric02_thin_frction_img/rgb_0456.png</t>
  </si>
  <si>
    <t>thin_friction/fabric02_thin_frction_img/rgb_0457.png</t>
  </si>
  <si>
    <t>thin_friction/fabric02_thin_frction_img/rgb_0458.png</t>
  </si>
  <si>
    <t>thin_friction/fabric02_thin_frction_img/rgb_0459.png</t>
  </si>
  <si>
    <t>thin_friction/fabric02_thin_frction_img/rgb_0460.png</t>
  </si>
  <si>
    <t>thin_friction/fabric02_thin_frction_img/rgb_0461.png</t>
  </si>
  <si>
    <t>thin_friction/fabric02_thin_frction_img/rgb_0462.png</t>
  </si>
  <si>
    <t>thin_friction/fabric02_thin_frction_img/rgb_0463.png</t>
  </si>
  <si>
    <t>thin_friction/fabric02_thin_frction_img/rgb_0464.png</t>
  </si>
  <si>
    <t>thin_friction/fabric02_thin_frction_img/rgb_0465.png</t>
  </si>
  <si>
    <t>thin_friction/fabric02_thin_frction_img/rgb_0533.png</t>
  </si>
  <si>
    <t>thin_friction/fabric02_thin_frction_img/rgb_0534.png</t>
  </si>
  <si>
    <t>thin_friction/fabric02_thin_frction_img/rgb_0535.png</t>
  </si>
  <si>
    <t>thin_friction/fabric02_thin_frction_img/rgb_0536.png</t>
  </si>
  <si>
    <t>thin_friction/fabric02_thin_frction_img/rgb_0537.png</t>
  </si>
  <si>
    <t>thin_friction/fabric02_thin_frction_img/rgb_0538.png</t>
  </si>
  <si>
    <t>thin_friction/fabric02_thin_frction_img/rgb_0539.png</t>
  </si>
  <si>
    <t>thin_friction/fabric02_thin_frction_img/rgb_0540.png</t>
  </si>
  <si>
    <t>thin_friction/fabric02_thin_frction_img/rgb_0541.png</t>
  </si>
  <si>
    <t>thin_friction/fabric02_thin_frction_img/rgb_0542.png</t>
  </si>
  <si>
    <t>thin_friction/fabric02_thin_frction_img/rgb_0543.png</t>
  </si>
  <si>
    <t>thin_friction/fabric02_thin_frction_img/rgb_0544.png</t>
  </si>
  <si>
    <t>thin_friction/fabric02_thin_frction_img/rgb_0545.png</t>
  </si>
  <si>
    <t>thin_friction/fabric02_thin_frction_img/rgb_0546.png</t>
  </si>
  <si>
    <t>thin_friction/fabric02_thin_frction_img/rgb_0547.png</t>
  </si>
  <si>
    <t>thin_friction/fabric02_thin_frction_img/rgb_0548.png</t>
  </si>
  <si>
    <t>thin_friction/fabric02_thin_frction_img/rgb_0549.png</t>
  </si>
  <si>
    <t>thin_friction/fabric02_thin_frction_img/rgb_0550.png</t>
  </si>
  <si>
    <t>thin_friction/fabric02_thin_frction_img/rgb_0551.png</t>
  </si>
  <si>
    <t>thin_friction/fabric02_thin_frction_img/rgb_0552.png</t>
  </si>
  <si>
    <t>thin_friction/fabric02_thin_frction_img/rgb_0553.png</t>
  </si>
  <si>
    <t>thin_friction/fabric02_thin_frction_img/rgb_0554.png</t>
  </si>
  <si>
    <t>thin_friction/fabric02_thin_frction_img/rgb_0625.png</t>
  </si>
  <si>
    <t>thin_friction/fabric02_thin_frction_img/rgb_0626.png</t>
  </si>
  <si>
    <t>thin_friction/fabric02_thin_frction_img/rgb_0627.png</t>
  </si>
  <si>
    <t>thin_friction/fabric02_thin_frction_img/rgb_0628.png</t>
  </si>
  <si>
    <t>thin_friction/fabric02_thin_frction_img/rgb_0629.png</t>
  </si>
  <si>
    <t>thin_friction/fabric02_thin_frction_img/rgb_0630.png</t>
  </si>
  <si>
    <t>thin_friction/fabric02_thin_frction_img/rgb_0631.png</t>
  </si>
  <si>
    <t>thin_friction/fabric02_thin_frction_img/rgb_0632.png</t>
  </si>
  <si>
    <t>thin_friction/fabric02_thin_frction_img/rgb_0633.png</t>
  </si>
  <si>
    <t>thin_friction/fabric02_thin_frction_img/rgb_0634.png</t>
  </si>
  <si>
    <t>thin_friction/fabric02_thin_frction_img/rgb_0635.png</t>
  </si>
  <si>
    <t>thin_friction/fabric02_thin_frction_img/rgb_0636.png</t>
  </si>
  <si>
    <t>thin_friction/fabric02_thin_frction_img/rgb_0637.png</t>
  </si>
  <si>
    <t>thin_friction/fabric02_thin_frction_img/rgb_0638.png</t>
  </si>
  <si>
    <t>thin_friction/fabric02_thin_frction_img/rgb_0639.png</t>
  </si>
  <si>
    <t>thin_friction/fabric02_thin_frction_img/rgb_0640.png</t>
  </si>
  <si>
    <t>thin_friction/fabric02_thin_frction_img/rgb_0641.png</t>
  </si>
  <si>
    <t>thin_friction/fabric02_thin_frction_img/rgb_0642.png</t>
  </si>
  <si>
    <t>thin_friction/fabric02_thin_frction_img/rgb_0643.png</t>
  </si>
  <si>
    <t>thin_friction/fabric02_thin_frction_img/rgb_0644.png</t>
  </si>
  <si>
    <t>thin_friction/fabric02_thin_frction_img/rgb_0645.png</t>
  </si>
  <si>
    <t>thin_friction/fabric02_thin_frction_img/rgb_0646.png</t>
  </si>
  <si>
    <t>thin_friction/fabric02_thin_frction_img/rgb_0647.png</t>
  </si>
  <si>
    <t>thin_friction/fabric02_thin_frction_img/rgb_0711.png</t>
  </si>
  <si>
    <t>thin_friction/fabric02_thin_frction_img/rgb_0712.png</t>
  </si>
  <si>
    <t>thin_friction/fabric02_thin_frction_img/rgb_0713.png</t>
  </si>
  <si>
    <t>thin_friction/fabric02_thin_frction_img/rgb_0714.png</t>
  </si>
  <si>
    <t>thin_friction/fabric02_thin_frction_img/rgb_0715.png</t>
  </si>
  <si>
    <t>thin_friction/fabric02_thin_frction_img/rgb_0716.png</t>
  </si>
  <si>
    <t>thin_friction/fabric02_thin_frction_img/rgb_0717.png</t>
  </si>
  <si>
    <t>thin_friction/fabric02_thin_frction_img/rgb_0718.png</t>
  </si>
  <si>
    <t>thin_friction/fabric02_thin_frction_img/rgb_0719.png</t>
  </si>
  <si>
    <t>thin_friction/fabric02_thin_frction_img/rgb_0720.png</t>
  </si>
  <si>
    <t>thin_friction/fabric02_thin_frction_img/rgb_0721.png</t>
  </si>
  <si>
    <t>thin_friction/fabric02_thin_frction_img/rgb_0722.png</t>
  </si>
  <si>
    <t>thin_friction/fabric02_thin_frction_img/rgb_0723.png</t>
  </si>
  <si>
    <t>thin_friction/fabric02_thin_frction_img/rgb_0724.png</t>
  </si>
  <si>
    <t>thin_friction/fabric02_thin_frction_img/rgb_0725.png</t>
  </si>
  <si>
    <t>thin_friction/fabric02_thin_frction_img/rgb_0726.png</t>
  </si>
  <si>
    <t>thin_friction/fabric02_thin_frction_img/rgb_0727.png</t>
  </si>
  <si>
    <t>thin_friction/fabric02_thin_frction_img/rgb_0728.png</t>
  </si>
  <si>
    <t>thin_friction/fabric02_thin_frction_img/rgb_0729.png</t>
  </si>
  <si>
    <t>thin_friction/fabric02_thin_frction_img/rgb_0730.png</t>
  </si>
  <si>
    <t>thin_friction/fabric02_thin_frction_img/rgb_0731.png</t>
  </si>
  <si>
    <t>thin_friction/fabric02_thin_frction_img/rgb_0732.png</t>
  </si>
  <si>
    <t>thin_friction/fabric02_thin_frction_img/rgb_0733.png</t>
  </si>
  <si>
    <t>thin_friction/fabric02_thin_frction_img/rgb_0734.png</t>
  </si>
  <si>
    <t>thin_friction/fabric02_thin_frction_img/rgb_0735.png</t>
  </si>
  <si>
    <t>thin_friction/fabric02_thin_frction_img/rgb_0802.png</t>
  </si>
  <si>
    <t>thin_friction/fabric02_thin_frction_img/rgb_0803.png</t>
  </si>
  <si>
    <t>thin_friction/fabric02_thin_frction_img/rgb_0804.png</t>
  </si>
  <si>
    <t>thin_friction/fabric02_thin_frction_img/rgb_0805.png</t>
  </si>
  <si>
    <t>thin_friction/fabric02_thin_frction_img/rgb_0806.png</t>
  </si>
  <si>
    <t>thin_friction/fabric02_thin_frction_img/rgb_0807.png</t>
  </si>
  <si>
    <t>thin_friction/fabric02_thin_frction_img/rgb_0808.png</t>
  </si>
  <si>
    <t>thin_friction/fabric02_thin_frction_img/rgb_0809.png</t>
  </si>
  <si>
    <t>thin_friction/fabric02_thin_frction_img/rgb_0810.png</t>
  </si>
  <si>
    <t>thin_friction/fabric02_thin_frction_img/rgb_0811.png</t>
  </si>
  <si>
    <t>thin_friction/fabric02_thin_frction_img/rgb_0812.png</t>
  </si>
  <si>
    <t>thin_friction/fabric02_thin_frction_img/rgb_0813.png</t>
  </si>
  <si>
    <t>thin_friction/fabric02_thin_frction_img/rgb_0814.png</t>
  </si>
  <si>
    <t>thin_friction/fabric02_thin_frction_img/rgb_0815.png</t>
  </si>
  <si>
    <t>thin_friction/fabric02_thin_frction_img/rgb_0816.png</t>
  </si>
  <si>
    <t>thin_friction/fabric02_thin_frction_img/rgb_0817.png</t>
  </si>
  <si>
    <t>thin_friction/fabric02_thin_frction_img/rgb_0818.png</t>
  </si>
  <si>
    <t>thin_friction/fabric02_thin_frction_img/rgb_0819.png</t>
  </si>
  <si>
    <t>thin_friction/fabric02_thin_frction_img/rgb_0820.png</t>
  </si>
  <si>
    <t>thin_friction/fabric02_thin_frction_img/rgb_0821.png</t>
  </si>
  <si>
    <t>thin_friction/fabric02_thin_frction_img/rgb_0822.png</t>
  </si>
  <si>
    <t>thin_friction/fabric02_thin_frction_img/rgb_0823.png</t>
  </si>
  <si>
    <t>thin_friction/fabric02_thin_frction_img/rgb_0824.png</t>
  </si>
  <si>
    <t>thin_friction/fabric02_thin_frction_img/rgb_0825.png</t>
  </si>
  <si>
    <t>thin_friction/fabric03_thin_frction_img/rgb_0085.png</t>
  </si>
  <si>
    <t>thin_friction/fabric03_thin_frction_img/rgb_0086.png</t>
  </si>
  <si>
    <t>thin_friction/fabric03_thin_frction_img/rgb_0087.png</t>
  </si>
  <si>
    <t>thin_friction/fabric03_thin_frction_img/rgb_0088.png</t>
  </si>
  <si>
    <t>thin_friction/fabric03_thin_frction_img/rgb_0089.png</t>
  </si>
  <si>
    <t>thin_friction/fabric03_thin_frction_img/rgb_0090.png</t>
  </si>
  <si>
    <t>thin_friction/fabric03_thin_frction_img/rgb_0091.png</t>
  </si>
  <si>
    <t>thin_friction/fabric03_thin_frction_img/rgb_0092.png</t>
  </si>
  <si>
    <t>thin_friction/fabric03_thin_frction_img/rgb_0093.png</t>
  </si>
  <si>
    <t>thin_friction/fabric03_thin_frction_img/rgb_0094.png</t>
  </si>
  <si>
    <t>thin_friction/fabric03_thin_frction_img/rgb_0095.png</t>
  </si>
  <si>
    <t>thin_friction/fabric03_thin_frction_img/rgb_0096.png</t>
  </si>
  <si>
    <t>thin_friction/fabric03_thin_frction_img/rgb_0097.png</t>
  </si>
  <si>
    <t>thin_friction/fabric03_thin_frction_img/rgb_0098.png</t>
  </si>
  <si>
    <t>thin_friction/fabric03_thin_frction_img/rgb_0099.png</t>
  </si>
  <si>
    <t>thin_friction/fabric03_thin_frction_img/rgb_0100.png</t>
  </si>
  <si>
    <t>thin_friction/fabric03_thin_frction_img/rgb_0101.png</t>
  </si>
  <si>
    <t>thin_friction/fabric03_thin_frction_img/rgb_0102.png</t>
  </si>
  <si>
    <t>thin_friction/fabric03_thin_frction_img/rgb_0103.png</t>
  </si>
  <si>
    <t>thin_friction/fabric03_thin_frction_img/rgb_0104.png</t>
  </si>
  <si>
    <t>thin_friction/fabric03_thin_frction_img/rgb_0105.png</t>
  </si>
  <si>
    <t>thin_friction/fabric03_thin_frction_img/rgb_0106.png</t>
  </si>
  <si>
    <t>thin_friction/fabric03_thin_frction_img/rgb_0107.png</t>
  </si>
  <si>
    <t>thin_friction/fabric03_thin_frction_img/rgb_0108.png</t>
  </si>
  <si>
    <t>thin_friction/fabric03_thin_frction_img/rgb_0175.png</t>
  </si>
  <si>
    <t>thin_friction/fabric03_thin_frction_img/rgb_0176.png</t>
  </si>
  <si>
    <t>thin_friction/fabric03_thin_frction_img/rgb_0177.png</t>
  </si>
  <si>
    <t>thin_friction/fabric03_thin_frction_img/rgb_0178.png</t>
  </si>
  <si>
    <t>thin_friction/fabric03_thin_frction_img/rgb_0179.png</t>
  </si>
  <si>
    <t>thin_friction/fabric03_thin_frction_img/rgb_0180.png</t>
  </si>
  <si>
    <t>thin_friction/fabric03_thin_frction_img/rgb_0181.png</t>
  </si>
  <si>
    <t>thin_friction/fabric03_thin_frction_img/rgb_0182.png</t>
  </si>
  <si>
    <t>thin_friction/fabric03_thin_frction_img/rgb_0183.png</t>
  </si>
  <si>
    <t>thin_friction/fabric03_thin_frction_img/rgb_0184.png</t>
  </si>
  <si>
    <t>thin_friction/fabric03_thin_frction_img/rgb_0185.png</t>
  </si>
  <si>
    <t>thin_friction/fabric03_thin_frction_img/rgb_0186.png</t>
  </si>
  <si>
    <t>thin_friction/fabric03_thin_frction_img/rgb_0187.png</t>
  </si>
  <si>
    <t>thin_friction/fabric03_thin_frction_img/rgb_0188.png</t>
  </si>
  <si>
    <t>thin_friction/fabric03_thin_frction_img/rgb_0189.png</t>
  </si>
  <si>
    <t>thin_friction/fabric03_thin_frction_img/rgb_0190.png</t>
  </si>
  <si>
    <t>thin_friction/fabric03_thin_frction_img/rgb_0191.png</t>
  </si>
  <si>
    <t>thin_friction/fabric03_thin_frction_img/rgb_0192.png</t>
  </si>
  <si>
    <t>thin_friction/fabric03_thin_frction_img/rgb_0193.png</t>
  </si>
  <si>
    <t>thin_friction/fabric03_thin_frction_img/rgb_0194.png</t>
  </si>
  <si>
    <t>thin_friction/fabric03_thin_frction_img/rgb_0195.png</t>
  </si>
  <si>
    <t>thin_friction/fabric03_thin_frction_img/rgb_0196.png</t>
  </si>
  <si>
    <t>thin_friction/fabric03_thin_frction_img/rgb_0197.png</t>
  </si>
  <si>
    <t>thin_friction/fabric03_thin_frction_img/rgb_0198.png</t>
  </si>
  <si>
    <t>thin_friction/fabric03_thin_frction_img/rgb_0199.png</t>
  </si>
  <si>
    <t>thin_friction/fabric03_thin_frction_img/rgb_0200.png</t>
  </si>
  <si>
    <t>thin_friction/fabric03_thin_frction_img/rgb_0269.png</t>
  </si>
  <si>
    <t>thin_friction/fabric03_thin_frction_img/rgb_0270.png</t>
  </si>
  <si>
    <t>thin_friction/fabric03_thin_frction_img/rgb_0271.png</t>
  </si>
  <si>
    <t>thin_friction/fabric03_thin_frction_img/rgb_0272.png</t>
  </si>
  <si>
    <t>thin_friction/fabric03_thin_frction_img/rgb_0273.png</t>
  </si>
  <si>
    <t>thin_friction/fabric03_thin_frction_img/rgb_0274.png</t>
  </si>
  <si>
    <t>thin_friction/fabric03_thin_frction_img/rgb_0275.png</t>
  </si>
  <si>
    <t>thin_friction/fabric03_thin_frction_img/rgb_0276.png</t>
  </si>
  <si>
    <t>thin_friction/fabric03_thin_frction_img/rgb_0277.png</t>
  </si>
  <si>
    <t>thin_friction/fabric03_thin_frction_img/rgb_0278.png</t>
  </si>
  <si>
    <t>thin_friction/fabric03_thin_frction_img/rgb_0279.png</t>
  </si>
  <si>
    <t>thin_friction/fabric03_thin_frction_img/rgb_0280.png</t>
  </si>
  <si>
    <t>thin_friction/fabric03_thin_frction_img/rgb_0281.png</t>
  </si>
  <si>
    <t>thin_friction/fabric03_thin_frction_img/rgb_0282.png</t>
  </si>
  <si>
    <t>thin_friction/fabric03_thin_frction_img/rgb_0283.png</t>
  </si>
  <si>
    <t>thin_friction/fabric03_thin_frction_img/rgb_0284.png</t>
  </si>
  <si>
    <t>thin_friction/fabric03_thin_frction_img/rgb_0285.png</t>
  </si>
  <si>
    <t>thin_friction/fabric03_thin_frction_img/rgb_0286.png</t>
  </si>
  <si>
    <t>thin_friction/fabric03_thin_frction_img/rgb_0287.png</t>
  </si>
  <si>
    <t>thin_friction/fabric03_thin_frction_img/rgb_0288.png</t>
  </si>
  <si>
    <t>thin_friction/fabric03_thin_frction_img/rgb_0289.png</t>
  </si>
  <si>
    <t>thin_friction/fabric03_thin_frction_img/rgb_0290.png</t>
  </si>
  <si>
    <t>thin_friction/fabric03_thin_frction_img/rgb_0359.png</t>
  </si>
  <si>
    <t>thin_friction/fabric03_thin_frction_img/rgb_0360.png</t>
  </si>
  <si>
    <t>thin_friction/fabric03_thin_frction_img/rgb_0361.png</t>
  </si>
  <si>
    <t>thin_friction/fabric03_thin_frction_img/rgb_0362.png</t>
  </si>
  <si>
    <t>thin_friction/fabric03_thin_frction_img/rgb_0363.png</t>
  </si>
  <si>
    <t>thin_friction/fabric03_thin_frction_img/rgb_0364.png</t>
  </si>
  <si>
    <t>thin_friction/fabric03_thin_frction_img/rgb_0365.png</t>
  </si>
  <si>
    <t>thin_friction/fabric03_thin_frction_img/rgb_0366.png</t>
  </si>
  <si>
    <t>thin_friction/fabric03_thin_frction_img/rgb_0367.png</t>
  </si>
  <si>
    <t>thin_friction/fabric03_thin_frction_img/rgb_0368.png</t>
  </si>
  <si>
    <t>thin_friction/fabric03_thin_frction_img/rgb_0369.png</t>
  </si>
  <si>
    <t>thin_friction/fabric03_thin_frction_img/rgb_0370.png</t>
  </si>
  <si>
    <t>thin_friction/fabric03_thin_frction_img/rgb_0371.png</t>
  </si>
  <si>
    <t>thin_friction/fabric03_thin_frction_img/rgb_0372.png</t>
  </si>
  <si>
    <t>thin_friction/fabric03_thin_frction_img/rgb_0373.png</t>
  </si>
  <si>
    <t>thin_friction/fabric03_thin_frction_img/rgb_0374.png</t>
  </si>
  <si>
    <t>thin_friction/fabric03_thin_frction_img/rgb_0375.png</t>
  </si>
  <si>
    <t>thin_friction/fabric03_thin_frction_img/rgb_0376.png</t>
  </si>
  <si>
    <t>thin_friction/fabric03_thin_frction_img/rgb_0377.png</t>
  </si>
  <si>
    <t>thin_friction/fabric03_thin_frction_img/rgb_0378.png</t>
  </si>
  <si>
    <t>thin_friction/fabric03_thin_frction_img/rgb_0379.png</t>
  </si>
  <si>
    <t>thin_friction/fabric03_thin_frction_img/rgb_0380.png</t>
  </si>
  <si>
    <t>thin_friction/fabric03_thin_frction_img/rgb_0381.png</t>
  </si>
  <si>
    <t>thin_friction/fabric03_thin_frction_img/rgb_0445.png</t>
  </si>
  <si>
    <t>thin_friction/fabric03_thin_frction_img/rgb_0446.png</t>
  </si>
  <si>
    <t>thin_friction/fabric03_thin_frction_img/rgb_0447.png</t>
  </si>
  <si>
    <t>thin_friction/fabric03_thin_frction_img/rgb_0448.png</t>
  </si>
  <si>
    <t>thin_friction/fabric03_thin_frction_img/rgb_0449.png</t>
  </si>
  <si>
    <t>thin_friction/fabric03_thin_frction_img/rgb_0450.png</t>
  </si>
  <si>
    <t>thin_friction/fabric03_thin_frction_img/rgb_0451.png</t>
  </si>
  <si>
    <t>thin_friction/fabric03_thin_frction_img/rgb_0452.png</t>
  </si>
  <si>
    <t>thin_friction/fabric03_thin_frction_img/rgb_0453.png</t>
  </si>
  <si>
    <t>thin_friction/fabric03_thin_frction_img/rgb_0454.png</t>
  </si>
  <si>
    <t>thin_friction/fabric03_thin_frction_img/rgb_0455.png</t>
  </si>
  <si>
    <t>thin_friction/fabric03_thin_frction_img/rgb_0456.png</t>
  </si>
  <si>
    <t>thin_friction/fabric03_thin_frction_img/rgb_0457.png</t>
  </si>
  <si>
    <t>thin_friction/fabric03_thin_frction_img/rgb_0458.png</t>
  </si>
  <si>
    <t>thin_friction/fabric03_thin_frction_img/rgb_0459.png</t>
  </si>
  <si>
    <t>thin_friction/fabric03_thin_frction_img/rgb_0460.png</t>
  </si>
  <si>
    <t>thin_friction/fabric03_thin_frction_img/rgb_0461.png</t>
  </si>
  <si>
    <t>thin_friction/fabric03_thin_frction_img/rgb_0462.png</t>
  </si>
  <si>
    <t>thin_friction/fabric03_thin_frction_img/rgb_0463.png</t>
  </si>
  <si>
    <t>thin_friction/fabric03_thin_frction_img/rgb_0464.png</t>
  </si>
  <si>
    <t>thin_friction/fabric03_thin_frction_img/rgb_0465.png</t>
  </si>
  <si>
    <t>thin_friction/fabric03_thin_frction_img/rgb_0466.png</t>
  </si>
  <si>
    <t>thin_friction/fabric03_thin_frction_img/rgb_0467.png</t>
  </si>
  <si>
    <t>thin_friction/fabric03_thin_frction_img/rgb_0468.png</t>
  </si>
  <si>
    <t>thin_friction/fabric03_thin_frction_img/rgb_0534.png</t>
  </si>
  <si>
    <t>thin_friction/fabric03_thin_frction_img/rgb_0535.png</t>
  </si>
  <si>
    <t>thin_friction/fabric03_thin_frction_img/rgb_0536.png</t>
  </si>
  <si>
    <t>thin_friction/fabric03_thin_frction_img/rgb_0537.png</t>
  </si>
  <si>
    <t>thin_friction/fabric03_thin_frction_img/rgb_0538.png</t>
  </si>
  <si>
    <t>thin_friction/fabric03_thin_frction_img/rgb_0539.png</t>
  </si>
  <si>
    <t>thin_friction/fabric03_thin_frction_img/rgb_0540.png</t>
  </si>
  <si>
    <t>thin_friction/fabric03_thin_frction_img/rgb_0541.png</t>
  </si>
  <si>
    <t>thin_friction/fabric03_thin_frction_img/rgb_0542.png</t>
  </si>
  <si>
    <t>thin_friction/fabric03_thin_frction_img/rgb_0543.png</t>
  </si>
  <si>
    <t>thin_friction/fabric03_thin_frction_img/rgb_0544.png</t>
  </si>
  <si>
    <t>thin_friction/fabric03_thin_frction_img/rgb_0545.png</t>
  </si>
  <si>
    <t>thin_friction/fabric03_thin_frction_img/rgb_0546.png</t>
  </si>
  <si>
    <t>thin_friction/fabric03_thin_frction_img/rgb_0547.png</t>
  </si>
  <si>
    <t>thin_friction/fabric03_thin_frction_img/rgb_0548.png</t>
  </si>
  <si>
    <t>thin_friction/fabric03_thin_frction_img/rgb_0549.png</t>
  </si>
  <si>
    <t>thin_friction/fabric03_thin_frction_img/rgb_0550.png</t>
  </si>
  <si>
    <t>thin_friction/fabric03_thin_frction_img/rgb_0551.png</t>
  </si>
  <si>
    <t>thin_friction/fabric03_thin_frction_img/rgb_0552.png</t>
  </si>
  <si>
    <t>thin_friction/fabric03_thin_frction_img/rgb_0553.png</t>
  </si>
  <si>
    <t>thin_friction/fabric03_thin_frction_img/rgb_0554.png</t>
  </si>
  <si>
    <t>thin_friction/fabric03_thin_frction_img/rgb_0555.png</t>
  </si>
  <si>
    <t>thin_friction/fabric03_thin_frction_img/rgb_0556.png</t>
  </si>
  <si>
    <t>thin_friction/fabric03_thin_frction_img/rgb_0557.png</t>
  </si>
  <si>
    <t>thin_friction/fabric03_thin_frction_img/rgb_0558.png</t>
  </si>
  <si>
    <t>thin_friction/fabric03_thin_frction_img/rgb_0627.png</t>
  </si>
  <si>
    <t>thin_friction/fabric03_thin_frction_img/rgb_0628.png</t>
  </si>
  <si>
    <t>thin_friction/fabric03_thin_frction_img/rgb_0629.png</t>
  </si>
  <si>
    <t>thin_friction/fabric03_thin_frction_img/rgb_0630.png</t>
  </si>
  <si>
    <t>thin_friction/fabric03_thin_frction_img/rgb_0631.png</t>
  </si>
  <si>
    <t>thin_friction/fabric03_thin_frction_img/rgb_0632.png</t>
  </si>
  <si>
    <t>thin_friction/fabric03_thin_frction_img/rgb_0633.png</t>
  </si>
  <si>
    <t>thin_friction/fabric03_thin_frction_img/rgb_0634.png</t>
  </si>
  <si>
    <t>thin_friction/fabric03_thin_frction_img/rgb_0635.png</t>
  </si>
  <si>
    <t>thin_friction/fabric03_thin_frction_img/rgb_0636.png</t>
  </si>
  <si>
    <t>thin_friction/fabric03_thin_frction_img/rgb_0637.png</t>
  </si>
  <si>
    <t>thin_friction/fabric03_thin_frction_img/rgb_0638.png</t>
  </si>
  <si>
    <t>thin_friction/fabric03_thin_frction_img/rgb_0639.png</t>
  </si>
  <si>
    <t>thin_friction/fabric03_thin_frction_img/rgb_0640.png</t>
  </si>
  <si>
    <t>thin_friction/fabric03_thin_frction_img/rgb_0641.png</t>
  </si>
  <si>
    <t>thin_friction/fabric03_thin_frction_img/rgb_0642.png</t>
  </si>
  <si>
    <t>thin_friction/fabric03_thin_frction_img/rgb_0643.png</t>
  </si>
  <si>
    <t>thin_friction/fabric03_thin_frction_img/rgb_0644.png</t>
  </si>
  <si>
    <t>thin_friction/fabric03_thin_frction_img/rgb_0645.png</t>
  </si>
  <si>
    <t>thin_friction/fabric03_thin_frction_img/rgb_0646.png</t>
  </si>
  <si>
    <t>thin_friction/fabric03_thin_frction_img/rgb_0647.png</t>
  </si>
  <si>
    <t>thin_friction/fabric03_thin_frction_img/rgb_0648.png</t>
  </si>
  <si>
    <t>thin_friction/fabric03_thin_frction_img/rgb_0649.png</t>
  </si>
  <si>
    <t>thin_friction/fabric03_thin_frction_img/rgb_0650.png</t>
  </si>
  <si>
    <t>thin_friction/fabric03_thin_frction_img/rgb_0651.png</t>
  </si>
  <si>
    <t>thin_friction/fabric03_thin_frction_img/rgb_0716.png</t>
  </si>
  <si>
    <t>thin_friction/fabric03_thin_frction_img/rgb_0717.png</t>
  </si>
  <si>
    <t>thin_friction/fabric03_thin_frction_img/rgb_0718.png</t>
  </si>
  <si>
    <t>thin_friction/fabric03_thin_frction_img/rgb_0719.png</t>
  </si>
  <si>
    <t>thin_friction/fabric03_thin_frction_img/rgb_0720.png</t>
  </si>
  <si>
    <t>thin_friction/fabric03_thin_frction_img/rgb_0721.png</t>
  </si>
  <si>
    <t>thin_friction/fabric03_thin_frction_img/rgb_0722.png</t>
  </si>
  <si>
    <t>thin_friction/fabric03_thin_frction_img/rgb_0723.png</t>
  </si>
  <si>
    <t>thin_friction/fabric03_thin_frction_img/rgb_0724.png</t>
  </si>
  <si>
    <t>thin_friction/fabric03_thin_frction_img/rgb_0725.png</t>
  </si>
  <si>
    <t>thin_friction/fabric03_thin_frction_img/rgb_0726.png</t>
  </si>
  <si>
    <t>thin_friction/fabric03_thin_frction_img/rgb_0727.png</t>
  </si>
  <si>
    <t>thin_friction/fabric03_thin_frction_img/rgb_0728.png</t>
  </si>
  <si>
    <t>thin_friction/fabric03_thin_frction_img/rgb_0729.png</t>
  </si>
  <si>
    <t>thin_friction/fabric03_thin_frction_img/rgb_0730.png</t>
  </si>
  <si>
    <t>thin_friction/fabric03_thin_frction_img/rgb_0731.png</t>
  </si>
  <si>
    <t>thin_friction/fabric03_thin_frction_img/rgb_0732.png</t>
  </si>
  <si>
    <t>thin_friction/fabric03_thin_frction_img/rgb_0733.png</t>
  </si>
  <si>
    <t>thin_friction/fabric03_thin_frction_img/rgb_0734.png</t>
  </si>
  <si>
    <t>thin_friction/fabric03_thin_frction_img/rgb_0735.png</t>
  </si>
  <si>
    <t>thin_friction/fabric03_thin_frction_img/rgb_0736.png</t>
  </si>
  <si>
    <t>thin_friction/fabric03_thin_frction_img/rgb_0737.png</t>
  </si>
  <si>
    <t>thin_friction/fabric03_thin_frction_img/rgb_0738.png</t>
  </si>
  <si>
    <t>thin_friction/fabric03_thin_frction_img/rgb_0739.png</t>
  </si>
  <si>
    <t>thin_friction/fabric03_thin_frction_img/rgb_0806.png</t>
  </si>
  <si>
    <t>thin_friction/fabric03_thin_frction_img/rgb_0807.png</t>
  </si>
  <si>
    <t>thin_friction/fabric03_thin_frction_img/rgb_0808.png</t>
  </si>
  <si>
    <t>thin_friction/fabric03_thin_frction_img/rgb_0809.png</t>
  </si>
  <si>
    <t>thin_friction/fabric03_thin_frction_img/rgb_0810.png</t>
  </si>
  <si>
    <t>thin_friction/fabric03_thin_frction_img/rgb_0811.png</t>
  </si>
  <si>
    <t>thin_friction/fabric03_thin_frction_img/rgb_0812.png</t>
  </si>
  <si>
    <t>thin_friction/fabric03_thin_frction_img/rgb_0813.png</t>
  </si>
  <si>
    <t>thin_friction/fabric03_thin_frction_img/rgb_0814.png</t>
  </si>
  <si>
    <t>thin_friction/fabric03_thin_frction_img/rgb_0815.png</t>
  </si>
  <si>
    <t>thin_friction/fabric03_thin_frction_img/rgb_0816.png</t>
  </si>
  <si>
    <t>thin_friction/fabric03_thin_frction_img/rgb_0817.png</t>
  </si>
  <si>
    <t>thin_friction/fabric03_thin_frction_img/rgb_0818.png</t>
  </si>
  <si>
    <t>thin_friction/fabric03_thin_frction_img/rgb_0819.png</t>
  </si>
  <si>
    <t>thin_friction/fabric03_thin_frction_img/rgb_0820.png</t>
  </si>
  <si>
    <t>thin_friction/fabric03_thin_frction_img/rgb_0821.png</t>
  </si>
  <si>
    <t>thin_friction/fabric03_thin_frction_img/rgb_0822.png</t>
  </si>
  <si>
    <t>thin_friction/fabric03_thin_frction_img/rgb_0823.png</t>
  </si>
  <si>
    <t>thin_friction/fabric03_thin_frction_img/rgb_0824.png</t>
  </si>
  <si>
    <t>thin_friction/fabric03_thin_frction_img/rgb_0825.png</t>
  </si>
  <si>
    <t>thin_friction/fabric03_thin_frction_img/rgb_0826.png</t>
  </si>
  <si>
    <t>thin_friction/fabric03_thin_frction_img/rgb_0827.png</t>
  </si>
  <si>
    <t>thin_friction/fabric03_thin_frction_img/rgb_0828.png</t>
  </si>
  <si>
    <t>thin_friction/fabric04_thin_frction_img/rgb_0109.png</t>
  </si>
  <si>
    <t>thin_friction/fabric04_thin_frction_img/rgb_0110.png</t>
  </si>
  <si>
    <t>thin_friction/fabric04_thin_frction_img/rgb_0111.png</t>
  </si>
  <si>
    <t>thin_friction/fabric04_thin_frction_img/rgb_0112.png</t>
  </si>
  <si>
    <t>thin_friction/fabric04_thin_frction_img/rgb_0113.png</t>
  </si>
  <si>
    <t>thin_friction/fabric04_thin_frction_img/rgb_0114.png</t>
  </si>
  <si>
    <t>thin_friction/fabric04_thin_frction_img/rgb_0115.png</t>
  </si>
  <si>
    <t>thin_friction/fabric04_thin_frction_img/rgb_0116.png</t>
  </si>
  <si>
    <t>thin_friction/fabric04_thin_frction_img/rgb_0117.png</t>
  </si>
  <si>
    <t>thin_friction/fabric04_thin_frction_img/rgb_0118.png</t>
  </si>
  <si>
    <t>thin_friction/fabric04_thin_frction_img/rgb_0119.png</t>
  </si>
  <si>
    <t>thin_friction/fabric04_thin_frction_img/rgb_0120.png</t>
  </si>
  <si>
    <t>thin_friction/fabric04_thin_frction_img/rgb_0121.png</t>
  </si>
  <si>
    <t>thin_friction/fabric04_thin_frction_img/rgb_0122.png</t>
  </si>
  <si>
    <t>thin_friction/fabric04_thin_frction_img/rgb_0123.png</t>
  </si>
  <si>
    <t>thin_friction/fabric04_thin_frction_img/rgb_0124.png</t>
  </si>
  <si>
    <t>thin_friction/fabric04_thin_frction_img/rgb_0125.png</t>
  </si>
  <si>
    <t>thin_friction/fabric04_thin_frction_img/rgb_0126.png</t>
  </si>
  <si>
    <t>thin_friction/fabric04_thin_frction_img/rgb_0127.png</t>
  </si>
  <si>
    <t>thin_friction/fabric04_thin_frction_img/rgb_0128.png</t>
  </si>
  <si>
    <t>thin_friction/fabric04_thin_frction_img/rgb_0129.png</t>
  </si>
  <si>
    <t>thin_friction/fabric04_thin_frction_img/rgb_0130.png</t>
  </si>
  <si>
    <t>thin_friction/fabric04_thin_frction_img/rgb_0197.png</t>
  </si>
  <si>
    <t>thin_friction/fabric04_thin_frction_img/rgb_0198.png</t>
  </si>
  <si>
    <t>thin_friction/fabric04_thin_frction_img/rgb_0199.png</t>
  </si>
  <si>
    <t>thin_friction/fabric04_thin_frction_img/rgb_0200.png</t>
  </si>
  <si>
    <t>thin_friction/fabric04_thin_frction_img/rgb_0201.png</t>
  </si>
  <si>
    <t>thin_friction/fabric04_thin_frction_img/rgb_0202.png</t>
  </si>
  <si>
    <t>thin_friction/fabric04_thin_frction_img/rgb_0203.png</t>
  </si>
  <si>
    <t>thin_friction/fabric04_thin_frction_img/rgb_0204.png</t>
  </si>
  <si>
    <t>thin_friction/fabric04_thin_frction_img/rgb_0205.png</t>
  </si>
  <si>
    <t>thin_friction/fabric04_thin_frction_img/rgb_0206.png</t>
  </si>
  <si>
    <t>thin_friction/fabric04_thin_frction_img/rgb_0207.png</t>
  </si>
  <si>
    <t>thin_friction/fabric04_thin_frction_img/rgb_0208.png</t>
  </si>
  <si>
    <t>thin_friction/fabric04_thin_frction_img/rgb_0209.png</t>
  </si>
  <si>
    <t>thin_friction/fabric04_thin_frction_img/rgb_0210.png</t>
  </si>
  <si>
    <t>thin_friction/fabric04_thin_frction_img/rgb_0211.png</t>
  </si>
  <si>
    <t>thin_friction/fabric04_thin_frction_img/rgb_0212.png</t>
  </si>
  <si>
    <t>thin_friction/fabric04_thin_frction_img/rgb_0213.png</t>
  </si>
  <si>
    <t>thin_friction/fabric04_thin_frction_img/rgb_0214.png</t>
  </si>
  <si>
    <t>thin_friction/fabric04_thin_frction_img/rgb_0215.png</t>
  </si>
  <si>
    <t>thin_friction/fabric04_thin_frction_img/rgb_0216.png</t>
  </si>
  <si>
    <t>thin_friction/fabric04_thin_frction_img/rgb_0217.png</t>
  </si>
  <si>
    <t>thin_friction/fabric04_thin_frction_img/rgb_0218.png</t>
  </si>
  <si>
    <t>thin_friction/fabric04_thin_frction_img/rgb_0219.png</t>
  </si>
  <si>
    <t>thin_friction/fabric04_thin_frction_img/rgb_0220.png</t>
  </si>
  <si>
    <t>thin_friction/fabric04_thin_frction_img/rgb_0221.png</t>
  </si>
  <si>
    <t>thin_friction/fabric04_thin_frction_img/rgb_0287.png</t>
  </si>
  <si>
    <t>thin_friction/fabric04_thin_frction_img/rgb_0288.png</t>
  </si>
  <si>
    <t>thin_friction/fabric04_thin_frction_img/rgb_0289.png</t>
  </si>
  <si>
    <t>thin_friction/fabric04_thin_frction_img/rgb_0290.png</t>
  </si>
  <si>
    <t>thin_friction/fabric04_thin_frction_img/rgb_0291.png</t>
  </si>
  <si>
    <t>thin_friction/fabric04_thin_frction_img/rgb_0292.png</t>
  </si>
  <si>
    <t>thin_friction/fabric04_thin_frction_img/rgb_0293.png</t>
  </si>
  <si>
    <t>thin_friction/fabric04_thin_frction_img/rgb_0294.png</t>
  </si>
  <si>
    <t>thin_friction/fabric04_thin_frction_img/rgb_0295.png</t>
  </si>
  <si>
    <t>thin_friction/fabric04_thin_frction_img/rgb_0296.png</t>
  </si>
  <si>
    <t>thin_friction/fabric04_thin_frction_img/rgb_0297.png</t>
  </si>
  <si>
    <t>thin_friction/fabric04_thin_frction_img/rgb_0298.png</t>
  </si>
  <si>
    <t>thin_friction/fabric04_thin_frction_img/rgb_0299.png</t>
  </si>
  <si>
    <t>thin_friction/fabric04_thin_frction_img/rgb_0300.png</t>
  </si>
  <si>
    <t>thin_friction/fabric04_thin_frction_img/rgb_0301.png</t>
  </si>
  <si>
    <t>thin_friction/fabric04_thin_frction_img/rgb_0302.png</t>
  </si>
  <si>
    <t>thin_friction/fabric04_thin_frction_img/rgb_0303.png</t>
  </si>
  <si>
    <t>thin_friction/fabric04_thin_frction_img/rgb_0304.png</t>
  </si>
  <si>
    <t>thin_friction/fabric04_thin_frction_img/rgb_0305.png</t>
  </si>
  <si>
    <t>thin_friction/fabric04_thin_frction_img/rgb_0306.png</t>
  </si>
  <si>
    <t>thin_friction/fabric04_thin_frction_img/rgb_0307.png</t>
  </si>
  <si>
    <t>thin_friction/fabric04_thin_frction_img/rgb_0374.png</t>
  </si>
  <si>
    <t>thin_friction/fabric04_thin_frction_img/rgb_0375.png</t>
  </si>
  <si>
    <t>thin_friction/fabric04_thin_frction_img/rgb_0376.png</t>
  </si>
  <si>
    <t>thin_friction/fabric04_thin_frction_img/rgb_0377.png</t>
  </si>
  <si>
    <t>thin_friction/fabric04_thin_frction_img/rgb_0378.png</t>
  </si>
  <si>
    <t>thin_friction/fabric04_thin_frction_img/rgb_0379.png</t>
  </si>
  <si>
    <t>thin_friction/fabric04_thin_frction_img/rgb_0380.png</t>
  </si>
  <si>
    <t>thin_friction/fabric04_thin_frction_img/rgb_0381.png</t>
  </si>
  <si>
    <t>thin_friction/fabric04_thin_frction_img/rgb_0382.png</t>
  </si>
  <si>
    <t>thin_friction/fabric04_thin_frction_img/rgb_0383.png</t>
  </si>
  <si>
    <t>thin_friction/fabric04_thin_frction_img/rgb_0384.png</t>
  </si>
  <si>
    <t>thin_friction/fabric04_thin_frction_img/rgb_0385.png</t>
  </si>
  <si>
    <t>thin_friction/fabric04_thin_frction_img/rgb_0386.png</t>
  </si>
  <si>
    <t>thin_friction/fabric04_thin_frction_img/rgb_0387.png</t>
  </si>
  <si>
    <t>thin_friction/fabric04_thin_frction_img/rgb_0388.png</t>
  </si>
  <si>
    <t>thin_friction/fabric04_thin_frction_img/rgb_0389.png</t>
  </si>
  <si>
    <t>thin_friction/fabric04_thin_frction_img/rgb_0390.png</t>
  </si>
  <si>
    <t>thin_friction/fabric04_thin_frction_img/rgb_0391.png</t>
  </si>
  <si>
    <t>thin_friction/fabric04_thin_frction_img/rgb_0392.png</t>
  </si>
  <si>
    <t>thin_friction/fabric04_thin_frction_img/rgb_0393.png</t>
  </si>
  <si>
    <t>thin_friction/fabric04_thin_frction_img/rgb_0394.png</t>
  </si>
  <si>
    <t>thin_friction/fabric04_thin_frction_img/rgb_0395.png</t>
  </si>
  <si>
    <t>thin_friction/fabric04_thin_frction_img/rgb_0396.png</t>
  </si>
  <si>
    <t>thin_friction/fabric04_thin_frction_img/rgb_0464.png</t>
  </si>
  <si>
    <t>thin_friction/fabric04_thin_frction_img/rgb_0465.png</t>
  </si>
  <si>
    <t>thin_friction/fabric04_thin_frction_img/rgb_0466.png</t>
  </si>
  <si>
    <t>thin_friction/fabric04_thin_frction_img/rgb_0467.png</t>
  </si>
  <si>
    <t>thin_friction/fabric04_thin_frction_img/rgb_0468.png</t>
  </si>
  <si>
    <t>thin_friction/fabric04_thin_frction_img/rgb_0469.png</t>
  </si>
  <si>
    <t>thin_friction/fabric04_thin_frction_img/rgb_0470.png</t>
  </si>
  <si>
    <t>thin_friction/fabric04_thin_frction_img/rgb_0471.png</t>
  </si>
  <si>
    <t>thin_friction/fabric04_thin_frction_img/rgb_0472.png</t>
  </si>
  <si>
    <t>thin_friction/fabric04_thin_frction_img/rgb_0473.png</t>
  </si>
  <si>
    <t>thin_friction/fabric04_thin_frction_img/rgb_0474.png</t>
  </si>
  <si>
    <t>thin_friction/fabric04_thin_frction_img/rgb_0475.png</t>
  </si>
  <si>
    <t>thin_friction/fabric04_thin_frction_img/rgb_0476.png</t>
  </si>
  <si>
    <t>thin_friction/fabric04_thin_frction_img/rgb_0477.png</t>
  </si>
  <si>
    <t>thin_friction/fabric04_thin_frction_img/rgb_0478.png</t>
  </si>
  <si>
    <t>thin_friction/fabric04_thin_frction_img/rgb_0479.png</t>
  </si>
  <si>
    <t>thin_friction/fabric04_thin_frction_img/rgb_0480.png</t>
  </si>
  <si>
    <t>thin_friction/fabric04_thin_frction_img/rgb_0481.png</t>
  </si>
  <si>
    <t>thin_friction/fabric04_thin_frction_img/rgb_0482.png</t>
  </si>
  <si>
    <t>thin_friction/fabric04_thin_frction_img/rgb_0483.png</t>
  </si>
  <si>
    <t>thin_friction/fabric04_thin_frction_img/rgb_0484.png</t>
  </si>
  <si>
    <t>thin_friction/fabric04_thin_frction_img/rgb_0485.png</t>
  </si>
  <si>
    <t>thin_friction/fabric04_thin_frction_img/rgb_0486.png</t>
  </si>
  <si>
    <t>thin_friction/fabric04_thin_frction_img/rgb_0487.png</t>
  </si>
  <si>
    <t>thin_friction/fabric04_thin_frction_img/rgb_0554.png</t>
  </si>
  <si>
    <t>thin_friction/fabric04_thin_frction_img/rgb_0555.png</t>
  </si>
  <si>
    <t>thin_friction/fabric04_thin_frction_img/rgb_0556.png</t>
  </si>
  <si>
    <t>thin_friction/fabric04_thin_frction_img/rgb_0557.png</t>
  </si>
  <si>
    <t>thin_friction/fabric04_thin_frction_img/rgb_0558.png</t>
  </si>
  <si>
    <t>thin_friction/fabric04_thin_frction_img/rgb_0559.png</t>
  </si>
  <si>
    <t>thin_friction/fabric04_thin_frction_img/rgb_0560.png</t>
  </si>
  <si>
    <t>thin_friction/fabric04_thin_frction_img/rgb_0561.png</t>
  </si>
  <si>
    <t>thin_friction/fabric04_thin_frction_img/rgb_0562.png</t>
  </si>
  <si>
    <t>thin_friction/fabric04_thin_frction_img/rgb_0563.png</t>
  </si>
  <si>
    <t>thin_friction/fabric04_thin_frction_img/rgb_0564.png</t>
  </si>
  <si>
    <t>thin_friction/fabric04_thin_frction_img/rgb_0565.png</t>
  </si>
  <si>
    <t>thin_friction/fabric04_thin_frction_img/rgb_0566.png</t>
  </si>
  <si>
    <t>thin_friction/fabric04_thin_frction_img/rgb_0567.png</t>
  </si>
  <si>
    <t>thin_friction/fabric04_thin_frction_img/rgb_0568.png</t>
  </si>
  <si>
    <t>thin_friction/fabric04_thin_frction_img/rgb_0569.png</t>
  </si>
  <si>
    <t>thin_friction/fabric04_thin_frction_img/rgb_0570.png</t>
  </si>
  <si>
    <t>thin_friction/fabric04_thin_frction_img/rgb_0571.png</t>
  </si>
  <si>
    <t>thin_friction/fabric04_thin_frction_img/rgb_0572.png</t>
  </si>
  <si>
    <t>thin_friction/fabric04_thin_frction_img/rgb_0573.png</t>
  </si>
  <si>
    <t>thin_friction/fabric04_thin_frction_img/rgb_0574.png</t>
  </si>
  <si>
    <t>thin_friction/fabric04_thin_frction_img/rgb_0575.png</t>
  </si>
  <si>
    <t>thin_friction/fabric04_thin_frction_img/rgb_0643.png</t>
  </si>
  <si>
    <t>thin_friction/fabric04_thin_frction_img/rgb_0644.png</t>
  </si>
  <si>
    <t>thin_friction/fabric04_thin_frction_img/rgb_0645.png</t>
  </si>
  <si>
    <t>thin_friction/fabric04_thin_frction_img/rgb_0646.png</t>
  </si>
  <si>
    <t>thin_friction/fabric04_thin_frction_img/rgb_0647.png</t>
  </si>
  <si>
    <t>thin_friction/fabric04_thin_frction_img/rgb_0648.png</t>
  </si>
  <si>
    <t>thin_friction/fabric04_thin_frction_img/rgb_0649.png</t>
  </si>
  <si>
    <t>thin_friction/fabric04_thin_frction_img/rgb_0650.png</t>
  </si>
  <si>
    <t>thin_friction/fabric04_thin_frction_img/rgb_0651.png</t>
  </si>
  <si>
    <t>thin_friction/fabric04_thin_frction_img/rgb_0652.png</t>
  </si>
  <si>
    <t>thin_friction/fabric04_thin_frction_img/rgb_0653.png</t>
  </si>
  <si>
    <t>thin_friction/fabric04_thin_frction_img/rgb_0654.png</t>
  </si>
  <si>
    <t>thin_friction/fabric04_thin_frction_img/rgb_0655.png</t>
  </si>
  <si>
    <t>thin_friction/fabric04_thin_frction_img/rgb_0656.png</t>
  </si>
  <si>
    <t>thin_friction/fabric04_thin_frction_img/rgb_0657.png</t>
  </si>
  <si>
    <t>thin_friction/fabric04_thin_frction_img/rgb_0658.png</t>
  </si>
  <si>
    <t>thin_friction/fabric04_thin_frction_img/rgb_0659.png</t>
  </si>
  <si>
    <t>thin_friction/fabric04_thin_frction_img/rgb_0660.png</t>
  </si>
  <si>
    <t>thin_friction/fabric04_thin_frction_img/rgb_0661.png</t>
  </si>
  <si>
    <t>thin_friction/fabric04_thin_frction_img/rgb_0662.png</t>
  </si>
  <si>
    <t>thin_friction/fabric04_thin_frction_img/rgb_0663.png</t>
  </si>
  <si>
    <t>thin_friction/fabric04_thin_frction_img/rgb_0664.png</t>
  </si>
  <si>
    <t>thin_friction/fabric04_thin_frction_img/rgb_0665.png</t>
  </si>
  <si>
    <t>thin_friction/fabric04_thin_frction_img/rgb_0733.png</t>
  </si>
  <si>
    <t>thin_friction/fabric04_thin_frction_img/rgb_0734.png</t>
  </si>
  <si>
    <t>thin_friction/fabric04_thin_frction_img/rgb_0735.png</t>
  </si>
  <si>
    <t>thin_friction/fabric04_thin_frction_img/rgb_0736.png</t>
  </si>
  <si>
    <t>thin_friction/fabric04_thin_frction_img/rgb_0737.png</t>
  </si>
  <si>
    <t>thin_friction/fabric04_thin_frction_img/rgb_0738.png</t>
  </si>
  <si>
    <t>thin_friction/fabric04_thin_frction_img/rgb_0739.png</t>
  </si>
  <si>
    <t>thin_friction/fabric04_thin_frction_img/rgb_0740.png</t>
  </si>
  <si>
    <t>thin_friction/fabric04_thin_frction_img/rgb_0741.png</t>
  </si>
  <si>
    <t>thin_friction/fabric04_thin_frction_img/rgb_0742.png</t>
  </si>
  <si>
    <t>thin_friction/fabric04_thin_frction_img/rgb_0743.png</t>
  </si>
  <si>
    <t>thin_friction/fabric04_thin_frction_img/rgb_0744.png</t>
  </si>
  <si>
    <t>thin_friction/fabric04_thin_frction_img/rgb_0745.png</t>
  </si>
  <si>
    <t>thin_friction/fabric04_thin_frction_img/rgb_0746.png</t>
  </si>
  <si>
    <t>thin_friction/fabric04_thin_frction_img/rgb_0747.png</t>
  </si>
  <si>
    <t>thin_friction/fabric04_thin_frction_img/rgb_0748.png</t>
  </si>
  <si>
    <t>thin_friction/fabric04_thin_frction_img/rgb_0749.png</t>
  </si>
  <si>
    <t>thin_friction/fabric04_thin_frction_img/rgb_0750.png</t>
  </si>
  <si>
    <t>thin_friction/fabric04_thin_frction_img/rgb_0751.png</t>
  </si>
  <si>
    <t>thin_friction/fabric04_thin_frction_img/rgb_0752.png</t>
  </si>
  <si>
    <t>thin_friction/fabric04_thin_frction_img/rgb_0753.png</t>
  </si>
  <si>
    <t>thin_friction/fabric04_thin_frction_img/rgb_0754.png</t>
  </si>
  <si>
    <t>thin_friction/fabric04_thin_frction_img/rgb_0755.png</t>
  </si>
  <si>
    <t>thin_friction/fabric04_thin_frction_img/rgb_0756.png</t>
  </si>
  <si>
    <t>thin_friction/fabric04_thin_frction_img/rgb_0822.png</t>
  </si>
  <si>
    <t>thin_friction/fabric04_thin_frction_img/rgb_0823.png</t>
  </si>
  <si>
    <t>thin_friction/fabric04_thin_frction_img/rgb_0824.png</t>
  </si>
  <si>
    <t>thin_friction/fabric04_thin_frction_img/rgb_0825.png</t>
  </si>
  <si>
    <t>thin_friction/fabric04_thin_frction_img/rgb_0826.png</t>
  </si>
  <si>
    <t>thin_friction/fabric04_thin_frction_img/rgb_0827.png</t>
  </si>
  <si>
    <t>thin_friction/fabric04_thin_frction_img/rgb_0828.png</t>
  </si>
  <si>
    <t>thin_friction/fabric04_thin_frction_img/rgb_0829.png</t>
  </si>
  <si>
    <t>thin_friction/fabric04_thin_frction_img/rgb_0830.png</t>
  </si>
  <si>
    <t>thin_friction/fabric04_thin_frction_img/rgb_0831.png</t>
  </si>
  <si>
    <t>thin_friction/fabric04_thin_frction_img/rgb_0832.png</t>
  </si>
  <si>
    <t>thin_friction/fabric04_thin_frction_img/rgb_0833.png</t>
  </si>
  <si>
    <t>thin_friction/fabric04_thin_frction_img/rgb_0834.png</t>
  </si>
  <si>
    <t>thin_friction/fabric04_thin_frction_img/rgb_0835.png</t>
  </si>
  <si>
    <t>thin_friction/fabric04_thin_frction_img/rgb_0836.png</t>
  </si>
  <si>
    <t>thin_friction/fabric04_thin_frction_img/rgb_0837.png</t>
  </si>
  <si>
    <t>thin_friction/fabric04_thin_frction_img/rgb_0838.png</t>
  </si>
  <si>
    <t>thin_friction/fabric04_thin_frction_img/rgb_0839.png</t>
  </si>
  <si>
    <t>thin_friction/fabric04_thin_frction_img/rgb_0840.png</t>
  </si>
  <si>
    <t>thin_friction/fabric04_thin_frction_img/rgb_0841.png</t>
  </si>
  <si>
    <t>thin_friction/fabric04_thin_frction_img/rgb_0842.png</t>
  </si>
  <si>
    <t>thin_friction/fabric04_thin_frction_img/rgb_0843.png</t>
  </si>
  <si>
    <t>thin_friction/fabric04_thin_frction_img/rgb_0844.png</t>
  </si>
  <si>
    <t>thin_friction/fabric05_thin_frction_img/rgb_0121.png</t>
  </si>
  <si>
    <t>thin_friction/fabric05_thin_frction_img/rgb_0122.png</t>
  </si>
  <si>
    <t>thin_friction/fabric05_thin_frction_img/rgb_0123.png</t>
  </si>
  <si>
    <t>thin_friction/fabric05_thin_frction_img/rgb_0124.png</t>
  </si>
  <si>
    <t>thin_friction/fabric05_thin_frction_img/rgb_0125.png</t>
  </si>
  <si>
    <t>thin_friction/fabric05_thin_frction_img/rgb_0126.png</t>
  </si>
  <si>
    <t>thin_friction/fabric05_thin_frction_img/rgb_0127.png</t>
  </si>
  <si>
    <t>thin_friction/fabric05_thin_frction_img/rgb_0128.png</t>
  </si>
  <si>
    <t>thin_friction/fabric05_thin_frction_img/rgb_0129.png</t>
  </si>
  <si>
    <t>thin_friction/fabric05_thin_frction_img/rgb_0130.png</t>
  </si>
  <si>
    <t>thin_friction/fabric05_thin_frction_img/rgb_0131.png</t>
  </si>
  <si>
    <t>thin_friction/fabric05_thin_frction_img/rgb_0132.png</t>
  </si>
  <si>
    <t>thin_friction/fabric05_thin_frction_img/rgb_0133.png</t>
  </si>
  <si>
    <t>thin_friction/fabric05_thin_frction_img/rgb_0134.png</t>
  </si>
  <si>
    <t>thin_friction/fabric05_thin_frction_img/rgb_0135.png</t>
  </si>
  <si>
    <t>thin_friction/fabric05_thin_frction_img/rgb_0136.png</t>
  </si>
  <si>
    <t>thin_friction/fabric05_thin_frction_img/rgb_0137.png</t>
  </si>
  <si>
    <t>thin_friction/fabric05_thin_frction_img/rgb_0138.png</t>
  </si>
  <si>
    <t>thin_friction/fabric05_thin_frction_img/rgb_0139.png</t>
  </si>
  <si>
    <t>thin_friction/fabric05_thin_frction_img/rgb_0140.png</t>
  </si>
  <si>
    <t>thin_friction/fabric05_thin_frction_img/rgb_0141.png</t>
  </si>
  <si>
    <t>thin_friction/fabric05_thin_frction_img/rgb_0142.png</t>
  </si>
  <si>
    <t>thin_friction/fabric05_thin_frction_img/rgb_0143.png</t>
  </si>
  <si>
    <t>thin_friction/fabric05_thin_frction_img/rgb_0144.png</t>
  </si>
  <si>
    <t>thin_friction/fabric05_thin_frction_img/rgb_0145.png</t>
  </si>
  <si>
    <t>thin_friction/fabric05_thin_frction_img/rgb_0212.png</t>
  </si>
  <si>
    <t>thin_friction/fabric05_thin_frction_img/rgb_0213.png</t>
  </si>
  <si>
    <t>thin_friction/fabric05_thin_frction_img/rgb_0214.png</t>
  </si>
  <si>
    <t>thin_friction/fabric05_thin_frction_img/rgb_0215.png</t>
  </si>
  <si>
    <t>thin_friction/fabric05_thin_frction_img/rgb_0216.png</t>
  </si>
  <si>
    <t>thin_friction/fabric05_thin_frction_img/rgb_0217.png</t>
  </si>
  <si>
    <t>thin_friction/fabric05_thin_frction_img/rgb_0218.png</t>
  </si>
  <si>
    <t>thin_friction/fabric05_thin_frction_img/rgb_0219.png</t>
  </si>
  <si>
    <t>thin_friction/fabric05_thin_frction_img/rgb_0220.png</t>
  </si>
  <si>
    <t>thin_friction/fabric05_thin_frction_img/rgb_0221.png</t>
  </si>
  <si>
    <t>thin_friction/fabric05_thin_frction_img/rgb_0222.png</t>
  </si>
  <si>
    <t>thin_friction/fabric05_thin_frction_img/rgb_0223.png</t>
  </si>
  <si>
    <t>thin_friction/fabric05_thin_frction_img/rgb_0224.png</t>
  </si>
  <si>
    <t>thin_friction/fabric05_thin_frction_img/rgb_0225.png</t>
  </si>
  <si>
    <t>thin_friction/fabric05_thin_frction_img/rgb_0226.png</t>
  </si>
  <si>
    <t>thin_friction/fabric05_thin_frction_img/rgb_0227.png</t>
  </si>
  <si>
    <t>thin_friction/fabric05_thin_frction_img/rgb_0228.png</t>
  </si>
  <si>
    <t>thin_friction/fabric05_thin_frction_img/rgb_0229.png</t>
  </si>
  <si>
    <t>thin_friction/fabric05_thin_frction_img/rgb_0230.png</t>
  </si>
  <si>
    <t>thin_friction/fabric05_thin_frction_img/rgb_0231.png</t>
  </si>
  <si>
    <t>thin_friction/fabric05_thin_frction_img/rgb_0232.png</t>
  </si>
  <si>
    <t>thin_friction/fabric05_thin_frction_img/rgb_0233.png</t>
  </si>
  <si>
    <t>thin_friction/fabric05_thin_frction_img/rgb_0298.png</t>
  </si>
  <si>
    <t>thin_friction/fabric05_thin_frction_img/rgb_0299.png</t>
  </si>
  <si>
    <t>thin_friction/fabric05_thin_frction_img/rgb_0300.png</t>
  </si>
  <si>
    <t>thin_friction/fabric05_thin_frction_img/rgb_0301.png</t>
  </si>
  <si>
    <t>thin_friction/fabric05_thin_frction_img/rgb_0302.png</t>
  </si>
  <si>
    <t>thin_friction/fabric05_thin_frction_img/rgb_0303.png</t>
  </si>
  <si>
    <t>thin_friction/fabric05_thin_frction_img/rgb_0304.png</t>
  </si>
  <si>
    <t>thin_friction/fabric05_thin_frction_img/rgb_0305.png</t>
  </si>
  <si>
    <t>thin_friction/fabric05_thin_frction_img/rgb_0306.png</t>
  </si>
  <si>
    <t>thin_friction/fabric05_thin_frction_img/rgb_0307.png</t>
  </si>
  <si>
    <t>thin_friction/fabric05_thin_frction_img/rgb_0308.png</t>
  </si>
  <si>
    <t>thin_friction/fabric05_thin_frction_img/rgb_0309.png</t>
  </si>
  <si>
    <t>thin_friction/fabric05_thin_frction_img/rgb_0310.png</t>
  </si>
  <si>
    <t>thin_friction/fabric05_thin_frction_img/rgb_0311.png</t>
  </si>
  <si>
    <t>thin_friction/fabric05_thin_frction_img/rgb_0312.png</t>
  </si>
  <si>
    <t>thin_friction/fabric05_thin_frction_img/rgb_0313.png</t>
  </si>
  <si>
    <t>thin_friction/fabric05_thin_frction_img/rgb_0314.png</t>
  </si>
  <si>
    <t>thin_friction/fabric05_thin_frction_img/rgb_0315.png</t>
  </si>
  <si>
    <t>thin_friction/fabric05_thin_frction_img/rgb_0316.png</t>
  </si>
  <si>
    <t>thin_friction/fabric05_thin_frction_img/rgb_0317.png</t>
  </si>
  <si>
    <t>thin_friction/fabric05_thin_frction_img/rgb_0318.png</t>
  </si>
  <si>
    <t>thin_friction/fabric05_thin_frction_img/rgb_0319.png</t>
  </si>
  <si>
    <t>thin_friction/fabric05_thin_frction_img/rgb_0320.png</t>
  </si>
  <si>
    <t>thin_friction/fabric05_thin_frction_img/rgb_0321.png</t>
  </si>
  <si>
    <t>thin_friction/fabric05_thin_frction_img/rgb_0389.png</t>
  </si>
  <si>
    <t>thin_friction/fabric05_thin_frction_img/rgb_0390.png</t>
  </si>
  <si>
    <t>thin_friction/fabric05_thin_frction_img/rgb_0391.png</t>
  </si>
  <si>
    <t>thin_friction/fabric05_thin_frction_img/rgb_0392.png</t>
  </si>
  <si>
    <t>thin_friction/fabric05_thin_frction_img/rgb_0393.png</t>
  </si>
  <si>
    <t>thin_friction/fabric05_thin_frction_img/rgb_0394.png</t>
  </si>
  <si>
    <t>thin_friction/fabric05_thin_frction_img/rgb_0395.png</t>
  </si>
  <si>
    <t>thin_friction/fabric05_thin_frction_img/rgb_0396.png</t>
  </si>
  <si>
    <t>thin_friction/fabric05_thin_frction_img/rgb_0397.png</t>
  </si>
  <si>
    <t>thin_friction/fabric05_thin_frction_img/rgb_0398.png</t>
  </si>
  <si>
    <t>thin_friction/fabric05_thin_frction_img/rgb_0399.png</t>
  </si>
  <si>
    <t>thin_friction/fabric05_thin_frction_img/rgb_0400.png</t>
  </si>
  <si>
    <t>thin_friction/fabric05_thin_frction_img/rgb_0401.png</t>
  </si>
  <si>
    <t>thin_friction/fabric05_thin_frction_img/rgb_0402.png</t>
  </si>
  <si>
    <t>thin_friction/fabric05_thin_frction_img/rgb_0403.png</t>
  </si>
  <si>
    <t>thin_friction/fabric05_thin_frction_img/rgb_0404.png</t>
  </si>
  <si>
    <t>thin_friction/fabric05_thin_frction_img/rgb_0405.png</t>
  </si>
  <si>
    <t>thin_friction/fabric05_thin_frction_img/rgb_0406.png</t>
  </si>
  <si>
    <t>thin_friction/fabric05_thin_frction_img/rgb_0407.png</t>
  </si>
  <si>
    <t>thin_friction/fabric05_thin_frction_img/rgb_0408.png</t>
  </si>
  <si>
    <t>thin_friction/fabric05_thin_frction_img/rgb_0409.png</t>
  </si>
  <si>
    <t>thin_friction/fabric05_thin_frction_img/rgb_0410.png</t>
  </si>
  <si>
    <t>thin_friction/fabric05_thin_frction_img/rgb_0411.png</t>
  </si>
  <si>
    <t>thin_friction/fabric05_thin_frction_img/rgb_0412.png</t>
  </si>
  <si>
    <t>thin_friction/fabric05_thin_frction_img/rgb_0413.png</t>
  </si>
  <si>
    <t>thin_friction/fabric05_thin_frction_img/rgb_0478.png</t>
  </si>
  <si>
    <t>thin_friction/fabric05_thin_frction_img/rgb_0479.png</t>
  </si>
  <si>
    <t>thin_friction/fabric05_thin_frction_img/rgb_0480.png</t>
  </si>
  <si>
    <t>thin_friction/fabric05_thin_frction_img/rgb_0481.png</t>
  </si>
  <si>
    <t>thin_friction/fabric05_thin_frction_img/rgb_0482.png</t>
  </si>
  <si>
    <t>thin_friction/fabric05_thin_frction_img/rgb_0483.png</t>
  </si>
  <si>
    <t>thin_friction/fabric05_thin_frction_img/rgb_0484.png</t>
  </si>
  <si>
    <t>thin_friction/fabric05_thin_frction_img/rgb_0485.png</t>
  </si>
  <si>
    <t>thin_friction/fabric05_thin_frction_img/rgb_0486.png</t>
  </si>
  <si>
    <t>thin_friction/fabric05_thin_frction_img/rgb_0487.png</t>
  </si>
  <si>
    <t>thin_friction/fabric05_thin_frction_img/rgb_0488.png</t>
  </si>
  <si>
    <t>thin_friction/fabric05_thin_frction_img/rgb_0489.png</t>
  </si>
  <si>
    <t>thin_friction/fabric05_thin_frction_img/rgb_0490.png</t>
  </si>
  <si>
    <t>thin_friction/fabric05_thin_frction_img/rgb_0491.png</t>
  </si>
  <si>
    <t>thin_friction/fabric05_thin_frction_img/rgb_0492.png</t>
  </si>
  <si>
    <t>thin_friction/fabric05_thin_frction_img/rgb_0493.png</t>
  </si>
  <si>
    <t>thin_friction/fabric05_thin_frction_img/rgb_0494.png</t>
  </si>
  <si>
    <t>thin_friction/fabric05_thin_frction_img/rgb_0495.png</t>
  </si>
  <si>
    <t>thin_friction/fabric05_thin_frction_img/rgb_0496.png</t>
  </si>
  <si>
    <t>thin_friction/fabric05_thin_frction_img/rgb_0497.png</t>
  </si>
  <si>
    <t>thin_friction/fabric05_thin_frction_img/rgb_0498.png</t>
  </si>
  <si>
    <t>thin_friction/fabric05_thin_frction_img/rgb_0499.png</t>
  </si>
  <si>
    <t>thin_friction/fabric05_thin_frction_img/rgb_0500.png</t>
  </si>
  <si>
    <t>thin_friction/fabric05_thin_frction_img/rgb_0501.png</t>
  </si>
  <si>
    <t>thin_friction/fabric05_thin_frction_img/rgb_0502.png</t>
  </si>
  <si>
    <t>thin_friction/fabric05_thin_frction_img/rgb_0503.png</t>
  </si>
  <si>
    <t>thin_friction/fabric05_thin_frction_img/rgb_0568.png</t>
  </si>
  <si>
    <t>thin_friction/fabric05_thin_frction_img/rgb_0569.png</t>
  </si>
  <si>
    <t>thin_friction/fabric05_thin_frction_img/rgb_0570.png</t>
  </si>
  <si>
    <t>thin_friction/fabric05_thin_frction_img/rgb_0571.png</t>
  </si>
  <si>
    <t>thin_friction/fabric05_thin_frction_img/rgb_0572.png</t>
  </si>
  <si>
    <t>thin_friction/fabric05_thin_frction_img/rgb_0573.png</t>
  </si>
  <si>
    <t>thin_friction/fabric05_thin_frction_img/rgb_0574.png</t>
  </si>
  <si>
    <t>thin_friction/fabric05_thin_frction_img/rgb_0575.png</t>
  </si>
  <si>
    <t>thin_friction/fabric05_thin_frction_img/rgb_0576.png</t>
  </si>
  <si>
    <t>thin_friction/fabric05_thin_frction_img/rgb_0577.png</t>
  </si>
  <si>
    <t>thin_friction/fabric05_thin_frction_img/rgb_0578.png</t>
  </si>
  <si>
    <t>thin_friction/fabric05_thin_frction_img/rgb_0579.png</t>
  </si>
  <si>
    <t>thin_friction/fabric05_thin_frction_img/rgb_0580.png</t>
  </si>
  <si>
    <t>thin_friction/fabric05_thin_frction_img/rgb_0581.png</t>
  </si>
  <si>
    <t>thin_friction/fabric05_thin_frction_img/rgb_0582.png</t>
  </si>
  <si>
    <t>thin_friction/fabric05_thin_frction_img/rgb_0583.png</t>
  </si>
  <si>
    <t>thin_friction/fabric05_thin_frction_img/rgb_0584.png</t>
  </si>
  <si>
    <t>thin_friction/fabric05_thin_frction_img/rgb_0585.png</t>
  </si>
  <si>
    <t>thin_friction/fabric05_thin_frction_img/rgb_0586.png</t>
  </si>
  <si>
    <t>thin_friction/fabric05_thin_frction_img/rgb_0587.png</t>
  </si>
  <si>
    <t>thin_friction/fabric05_thin_frction_img/rgb_0588.png</t>
  </si>
  <si>
    <t>thin_friction/fabric05_thin_frction_img/rgb_0589.png</t>
  </si>
  <si>
    <t>thin_friction/fabric05_thin_frction_img/rgb_0590.png</t>
  </si>
  <si>
    <t>thin_friction/fabric05_thin_frction_img/rgb_0591.png</t>
  </si>
  <si>
    <t>thin_friction/fabric05_thin_frction_img/rgb_0659.png</t>
  </si>
  <si>
    <t>thin_friction/fabric05_thin_frction_img/rgb_0660.png</t>
  </si>
  <si>
    <t>thin_friction/fabric05_thin_frction_img/rgb_0661.png</t>
  </si>
  <si>
    <t>thin_friction/fabric05_thin_frction_img/rgb_0662.png</t>
  </si>
  <si>
    <t>thin_friction/fabric05_thin_frction_img/rgb_0663.png</t>
  </si>
  <si>
    <t>thin_friction/fabric05_thin_frction_img/rgb_0664.png</t>
  </si>
  <si>
    <t>thin_friction/fabric05_thin_frction_img/rgb_0665.png</t>
  </si>
  <si>
    <t>thin_friction/fabric05_thin_frction_img/rgb_0666.png</t>
  </si>
  <si>
    <t>thin_friction/fabric05_thin_frction_img/rgb_0667.png</t>
  </si>
  <si>
    <t>thin_friction/fabric05_thin_frction_img/rgb_0668.png</t>
  </si>
  <si>
    <t>thin_friction/fabric05_thin_frction_img/rgb_0669.png</t>
  </si>
  <si>
    <t>thin_friction/fabric05_thin_frction_img/rgb_0670.png</t>
  </si>
  <si>
    <t>thin_friction/fabric05_thin_frction_img/rgb_0671.png</t>
  </si>
  <si>
    <t>thin_friction/fabric05_thin_frction_img/rgb_0672.png</t>
  </si>
  <si>
    <t>thin_friction/fabric05_thin_frction_img/rgb_0673.png</t>
  </si>
  <si>
    <t>thin_friction/fabric05_thin_frction_img/rgb_0674.png</t>
  </si>
  <si>
    <t>thin_friction/fabric05_thin_frction_img/rgb_0675.png</t>
  </si>
  <si>
    <t>thin_friction/fabric05_thin_frction_img/rgb_0676.png</t>
  </si>
  <si>
    <t>thin_friction/fabric05_thin_frction_img/rgb_0677.png</t>
  </si>
  <si>
    <t>thin_friction/fabric05_thin_frction_img/rgb_0678.png</t>
  </si>
  <si>
    <t>thin_friction/fabric05_thin_frction_img/rgb_0679.png</t>
  </si>
  <si>
    <t>thin_friction/fabric05_thin_frction_img/rgb_0680.png</t>
  </si>
  <si>
    <t>thin_friction/fabric05_thin_frction_img/rgb_0681.png</t>
  </si>
  <si>
    <t>thin_friction/fabric05_thin_frction_img/rgb_0747.png</t>
  </si>
  <si>
    <t>thin_friction/fabric05_thin_frction_img/rgb_0748.png</t>
  </si>
  <si>
    <t>thin_friction/fabric05_thin_frction_img/rgb_0749.png</t>
  </si>
  <si>
    <t>thin_friction/fabric05_thin_frction_img/rgb_0750.png</t>
  </si>
  <si>
    <t>thin_friction/fabric05_thin_frction_img/rgb_0751.png</t>
  </si>
  <si>
    <t>thin_friction/fabric05_thin_frction_img/rgb_0752.png</t>
  </si>
  <si>
    <t>thin_friction/fabric05_thin_frction_img/rgb_0753.png</t>
  </si>
  <si>
    <t>thin_friction/fabric05_thin_frction_img/rgb_0754.png</t>
  </si>
  <si>
    <t>thin_friction/fabric05_thin_frction_img/rgb_0755.png</t>
  </si>
  <si>
    <t>thin_friction/fabric05_thin_frction_img/rgb_0756.png</t>
  </si>
  <si>
    <t>thin_friction/fabric05_thin_frction_img/rgb_0757.png</t>
  </si>
  <si>
    <t>thin_friction/fabric05_thin_frction_img/rgb_0758.png</t>
  </si>
  <si>
    <t>thin_friction/fabric05_thin_frction_img/rgb_0759.png</t>
  </si>
  <si>
    <t>thin_friction/fabric05_thin_frction_img/rgb_0760.png</t>
  </si>
  <si>
    <t>thin_friction/fabric05_thin_frction_img/rgb_0761.png</t>
  </si>
  <si>
    <t>thin_friction/fabric05_thin_frction_img/rgb_0762.png</t>
  </si>
  <si>
    <t>thin_friction/fabric05_thin_frction_img/rgb_0763.png</t>
  </si>
  <si>
    <t>thin_friction/fabric05_thin_frction_img/rgb_0764.png</t>
  </si>
  <si>
    <t>thin_friction/fabric05_thin_frction_img/rgb_0765.png</t>
  </si>
  <si>
    <t>thin_friction/fabric05_thin_frction_img/rgb_0766.png</t>
  </si>
  <si>
    <t>thin_friction/fabric05_thin_frction_img/rgb_0767.png</t>
  </si>
  <si>
    <t>thin_friction/fabric05_thin_frction_img/rgb_0768.png</t>
  </si>
  <si>
    <t>thin_friction/fabric05_thin_frction_img/rgb_0769.png</t>
  </si>
  <si>
    <t>thin_friction/fabric05_thin_frction_img/rgb_0770.png</t>
  </si>
  <si>
    <t>thin_friction/fabric05_thin_frction_img/rgb_0771.png</t>
  </si>
  <si>
    <t>thin_friction/fabric05_thin_frction_img/rgb_0838.png</t>
  </si>
  <si>
    <t>thin_friction/fabric05_thin_frction_img/rgb_0839.png</t>
  </si>
  <si>
    <t>thin_friction/fabric05_thin_frction_img/rgb_0840.png</t>
  </si>
  <si>
    <t>thin_friction/fabric05_thin_frction_img/rgb_0841.png</t>
  </si>
  <si>
    <t>thin_friction/fabric05_thin_frction_img/rgb_0842.png</t>
  </si>
  <si>
    <t>thin_friction/fabric05_thin_frction_img/rgb_0843.png</t>
  </si>
  <si>
    <t>thin_friction/fabric05_thin_frction_img/rgb_0844.png</t>
  </si>
  <si>
    <t>thin_friction/fabric05_thin_frction_img/rgb_0845.png</t>
  </si>
  <si>
    <t>thin_friction/fabric05_thin_frction_img/rgb_0846.png</t>
  </si>
  <si>
    <t>thin_friction/fabric05_thin_frction_img/rgb_0847.png</t>
  </si>
  <si>
    <t>thin_friction/fabric05_thin_frction_img/rgb_0848.png</t>
  </si>
  <si>
    <t>thin_friction/fabric05_thin_frction_img/rgb_0849.png</t>
  </si>
  <si>
    <t>thin_friction/fabric05_thin_frction_img/rgb_0850.png</t>
  </si>
  <si>
    <t>thin_friction/fabric05_thin_frction_img/rgb_0851.png</t>
  </si>
  <si>
    <t>thin_friction/fabric05_thin_frction_img/rgb_0852.png</t>
  </si>
  <si>
    <t>thin_friction/fabric05_thin_frction_img/rgb_0853.png</t>
  </si>
  <si>
    <t>thin_friction/fabric05_thin_frction_img/rgb_0854.png</t>
  </si>
  <si>
    <t>thin_friction/fabric05_thin_frction_img/rgb_0855.png</t>
  </si>
  <si>
    <t>thin_friction/fabric05_thin_frction_img/rgb_0856.png</t>
  </si>
  <si>
    <t>thin_friction/fabric05_thin_frction_img/rgb_0857.png</t>
  </si>
  <si>
    <t>thin_friction/fabric05_thin_frction_img/rgb_0858.png</t>
  </si>
  <si>
    <t>thin_friction/fabric05_thin_frction_img/rgb_0859.png</t>
  </si>
  <si>
    <t>thin_friction/fabric05_thin_frction_img/rgb_0860.png</t>
  </si>
  <si>
    <t>thin_friction/fabric06_thin_frction_img/rgb_0115.png</t>
  </si>
  <si>
    <t>thin_friction/fabric06_thin_frction_img/rgb_0116.png</t>
  </si>
  <si>
    <t>thin_friction/fabric06_thin_frction_img/rgb_0117.png</t>
  </si>
  <si>
    <t>thin_friction/fabric06_thin_frction_img/rgb_0118.png</t>
  </si>
  <si>
    <t>thin_friction/fabric06_thin_frction_img/rgb_0119.png</t>
  </si>
  <si>
    <t>thin_friction/fabric06_thin_frction_img/rgb_0120.png</t>
  </si>
  <si>
    <t>thin_friction/fabric06_thin_frction_img/rgb_0121.png</t>
  </si>
  <si>
    <t>thin_friction/fabric06_thin_frction_img/rgb_0122.png</t>
  </si>
  <si>
    <t>thin_friction/fabric06_thin_frction_img/rgb_0123.png</t>
  </si>
  <si>
    <t>thin_friction/fabric06_thin_frction_img/rgb_0124.png</t>
  </si>
  <si>
    <t>thin_friction/fabric06_thin_frction_img/rgb_0125.png</t>
  </si>
  <si>
    <t>thin_friction/fabric06_thin_frction_img/rgb_0126.png</t>
  </si>
  <si>
    <t>thin_friction/fabric06_thin_frction_img/rgb_0127.png</t>
  </si>
  <si>
    <t>thin_friction/fabric06_thin_frction_img/rgb_0128.png</t>
  </si>
  <si>
    <t>thin_friction/fabric06_thin_frction_img/rgb_0129.png</t>
  </si>
  <si>
    <t>thin_friction/fabric06_thin_frction_img/rgb_0130.png</t>
  </si>
  <si>
    <t>thin_friction/fabric06_thin_frction_img/rgb_0131.png</t>
  </si>
  <si>
    <t>thin_friction/fabric06_thin_frction_img/rgb_0132.png</t>
  </si>
  <si>
    <t>thin_friction/fabric06_thin_frction_img/rgb_0133.png</t>
  </si>
  <si>
    <t>thin_friction/fabric06_thin_frction_img/rgb_0134.png</t>
  </si>
  <si>
    <t>thin_friction/fabric06_thin_frction_img/rgb_0135.png</t>
  </si>
  <si>
    <t>thin_friction/fabric06_thin_frction_img/rgb_0136.png</t>
  </si>
  <si>
    <t>thin_friction/fabric06_thin_frction_img/rgb_0137.png</t>
  </si>
  <si>
    <t>thin_friction/fabric06_thin_frction_img/rgb_0138.png</t>
  </si>
  <si>
    <t>thin_friction/fabric06_thin_frction_img/rgb_0202.png</t>
  </si>
  <si>
    <t>thin_friction/fabric06_thin_frction_img/rgb_0203.png</t>
  </si>
  <si>
    <t>thin_friction/fabric06_thin_frction_img/rgb_0204.png</t>
  </si>
  <si>
    <t>thin_friction/fabric06_thin_frction_img/rgb_0205.png</t>
  </si>
  <si>
    <t>thin_friction/fabric06_thin_frction_img/rgb_0206.png</t>
  </si>
  <si>
    <t>thin_friction/fabric06_thin_frction_img/rgb_0207.png</t>
  </si>
  <si>
    <t>thin_friction/fabric06_thin_frction_img/rgb_0208.png</t>
  </si>
  <si>
    <t>thin_friction/fabric06_thin_frction_img/rgb_0209.png</t>
  </si>
  <si>
    <t>thin_friction/fabric06_thin_frction_img/rgb_0210.png</t>
  </si>
  <si>
    <t>thin_friction/fabric06_thin_frction_img/rgb_0211.png</t>
  </si>
  <si>
    <t>thin_friction/fabric06_thin_frction_img/rgb_0212.png</t>
  </si>
  <si>
    <t>thin_friction/fabric06_thin_frction_img/rgb_0213.png</t>
  </si>
  <si>
    <t>thin_friction/fabric06_thin_frction_img/rgb_0214.png</t>
  </si>
  <si>
    <t>thin_friction/fabric06_thin_frction_img/rgb_0215.png</t>
  </si>
  <si>
    <t>thin_friction/fabric06_thin_frction_img/rgb_0216.png</t>
  </si>
  <si>
    <t>thin_friction/fabric06_thin_frction_img/rgb_0217.png</t>
  </si>
  <si>
    <t>thin_friction/fabric06_thin_frction_img/rgb_0218.png</t>
  </si>
  <si>
    <t>thin_friction/fabric06_thin_frction_img/rgb_0219.png</t>
  </si>
  <si>
    <t>thin_friction/fabric06_thin_frction_img/rgb_0220.png</t>
  </si>
  <si>
    <t>thin_friction/fabric06_thin_frction_img/rgb_0221.png</t>
  </si>
  <si>
    <t>thin_friction/fabric06_thin_frction_img/rgb_0222.png</t>
  </si>
  <si>
    <t>thin_friction/fabric06_thin_frction_img/rgb_0223.png</t>
  </si>
  <si>
    <t>thin_friction/fabric06_thin_frction_img/rgb_0224.png</t>
  </si>
  <si>
    <t>thin_friction/fabric06_thin_frction_img/rgb_0225.png</t>
  </si>
  <si>
    <t>thin_friction/fabric06_thin_frction_img/rgb_0291.png</t>
  </si>
  <si>
    <t>thin_friction/fabric06_thin_frction_img/rgb_0292.png</t>
  </si>
  <si>
    <t>thin_friction/fabric06_thin_frction_img/rgb_0293.png</t>
  </si>
  <si>
    <t>thin_friction/fabric06_thin_frction_img/rgb_0294.png</t>
  </si>
  <si>
    <t>thin_friction/fabric06_thin_frction_img/rgb_0295.png</t>
  </si>
  <si>
    <t>thin_friction/fabric06_thin_frction_img/rgb_0296.png</t>
  </si>
  <si>
    <t>thin_friction/fabric06_thin_frction_img/rgb_0297.png</t>
  </si>
  <si>
    <t>thin_friction/fabric06_thin_frction_img/rgb_0298.png</t>
  </si>
  <si>
    <t>thin_friction/fabric06_thin_frction_img/rgb_0299.png</t>
  </si>
  <si>
    <t>thin_friction/fabric06_thin_frction_img/rgb_0300.png</t>
  </si>
  <si>
    <t>thin_friction/fabric06_thin_frction_img/rgb_0301.png</t>
  </si>
  <si>
    <t>thin_friction/fabric06_thin_frction_img/rgb_0302.png</t>
  </si>
  <si>
    <t>thin_friction/fabric06_thin_frction_img/rgb_0303.png</t>
  </si>
  <si>
    <t>thin_friction/fabric06_thin_frction_img/rgb_0304.png</t>
  </si>
  <si>
    <t>thin_friction/fabric06_thin_frction_img/rgb_0305.png</t>
  </si>
  <si>
    <t>thin_friction/fabric06_thin_frction_img/rgb_0306.png</t>
  </si>
  <si>
    <t>thin_friction/fabric06_thin_frction_img/rgb_0307.png</t>
  </si>
  <si>
    <t>thin_friction/fabric06_thin_frction_img/rgb_0308.png</t>
  </si>
  <si>
    <t>thin_friction/fabric06_thin_frction_img/rgb_0309.png</t>
  </si>
  <si>
    <t>thin_friction/fabric06_thin_frction_img/rgb_0310.png</t>
  </si>
  <si>
    <t>thin_friction/fabric06_thin_frction_img/rgb_0311.png</t>
  </si>
  <si>
    <t>thin_friction/fabric06_thin_frction_img/rgb_0312.png</t>
  </si>
  <si>
    <t>thin_friction/fabric06_thin_frction_img/rgb_0313.png</t>
  </si>
  <si>
    <t>thin_friction/fabric06_thin_frction_img/rgb_0314.png</t>
  </si>
  <si>
    <t>thin_friction/fabric06_thin_frction_img/rgb_0380.png</t>
  </si>
  <si>
    <t>thin_friction/fabric06_thin_frction_img/rgb_0381.png</t>
  </si>
  <si>
    <t>thin_friction/fabric06_thin_frction_img/rgb_0382.png</t>
  </si>
  <si>
    <t>thin_friction/fabric06_thin_frction_img/rgb_0383.png</t>
  </si>
  <si>
    <t>thin_friction/fabric06_thin_frction_img/rgb_0384.png</t>
  </si>
  <si>
    <t>thin_friction/fabric06_thin_frction_img/rgb_0385.png</t>
  </si>
  <si>
    <t>thin_friction/fabric06_thin_frction_img/rgb_0386.png</t>
  </si>
  <si>
    <t>thin_friction/fabric06_thin_frction_img/rgb_0387.png</t>
  </si>
  <si>
    <t>thin_friction/fabric06_thin_frction_img/rgb_0388.png</t>
  </si>
  <si>
    <t>thin_friction/fabric06_thin_frction_img/rgb_0389.png</t>
  </si>
  <si>
    <t>thin_friction/fabric06_thin_frction_img/rgb_0390.png</t>
  </si>
  <si>
    <t>thin_friction/fabric06_thin_frction_img/rgb_0391.png</t>
  </si>
  <si>
    <t>thin_friction/fabric06_thin_frction_img/rgb_0392.png</t>
  </si>
  <si>
    <t>thin_friction/fabric06_thin_frction_img/rgb_0393.png</t>
  </si>
  <si>
    <t>thin_friction/fabric06_thin_frction_img/rgb_0394.png</t>
  </si>
  <si>
    <t>thin_friction/fabric06_thin_frction_img/rgb_0395.png</t>
  </si>
  <si>
    <t>thin_friction/fabric06_thin_frction_img/rgb_0396.png</t>
  </si>
  <si>
    <t>thin_friction/fabric06_thin_frction_img/rgb_0397.png</t>
  </si>
  <si>
    <t>thin_friction/fabric06_thin_frction_img/rgb_0398.png</t>
  </si>
  <si>
    <t>thin_friction/fabric06_thin_frction_img/rgb_0399.png</t>
  </si>
  <si>
    <t>thin_friction/fabric06_thin_frction_img/rgb_0400.png</t>
  </si>
  <si>
    <t>thin_friction/fabric06_thin_frction_img/rgb_0401.png</t>
  </si>
  <si>
    <t>thin_friction/fabric06_thin_frction_img/rgb_0402.png</t>
  </si>
  <si>
    <t>thin_friction/fabric06_thin_frction_img/rgb_0403.png</t>
  </si>
  <si>
    <t>thin_friction/fabric06_thin_frction_img/rgb_0404.png</t>
  </si>
  <si>
    <t>thin_friction/fabric06_thin_frction_img/rgb_0405.png</t>
  </si>
  <si>
    <t>thin_friction/fabric06_thin_frction_img/rgb_0471.png</t>
  </si>
  <si>
    <t>thin_friction/fabric06_thin_frction_img/rgb_0472.png</t>
  </si>
  <si>
    <t>thin_friction/fabric06_thin_frction_img/rgb_0473.png</t>
  </si>
  <si>
    <t>thin_friction/fabric06_thin_frction_img/rgb_0474.png</t>
  </si>
  <si>
    <t>thin_friction/fabric06_thin_frction_img/rgb_0475.png</t>
  </si>
  <si>
    <t>thin_friction/fabric06_thin_frction_img/rgb_0476.png</t>
  </si>
  <si>
    <t>thin_friction/fabric06_thin_frction_img/rgb_0477.png</t>
  </si>
  <si>
    <t>thin_friction/fabric06_thin_frction_img/rgb_0478.png</t>
  </si>
  <si>
    <t>thin_friction/fabric06_thin_frction_img/rgb_0479.png</t>
  </si>
  <si>
    <t>thin_friction/fabric06_thin_frction_img/rgb_0480.png</t>
  </si>
  <si>
    <t>thin_friction/fabric06_thin_frction_img/rgb_0481.png</t>
  </si>
  <si>
    <t>thin_friction/fabric06_thin_frction_img/rgb_0482.png</t>
  </si>
  <si>
    <t>thin_friction/fabric06_thin_frction_img/rgb_0483.png</t>
  </si>
  <si>
    <t>thin_friction/fabric06_thin_frction_img/rgb_0484.png</t>
  </si>
  <si>
    <t>thin_friction/fabric06_thin_frction_img/rgb_0485.png</t>
  </si>
  <si>
    <t>thin_friction/fabric06_thin_frction_img/rgb_0486.png</t>
  </si>
  <si>
    <t>thin_friction/fabric06_thin_frction_img/rgb_0487.png</t>
  </si>
  <si>
    <t>thin_friction/fabric06_thin_frction_img/rgb_0488.png</t>
  </si>
  <si>
    <t>thin_friction/fabric06_thin_frction_img/rgb_0489.png</t>
  </si>
  <si>
    <t>thin_friction/fabric06_thin_frction_img/rgb_0490.png</t>
  </si>
  <si>
    <t>thin_friction/fabric06_thin_frction_img/rgb_0491.png</t>
  </si>
  <si>
    <t>thin_friction/fabric06_thin_frction_img/rgb_0492.png</t>
  </si>
  <si>
    <t>thin_friction/fabric06_thin_frction_img/rgb_0493.png</t>
  </si>
  <si>
    <t>thin_friction/fabric06_thin_frction_img/rgb_0494.png</t>
  </si>
  <si>
    <t>thin_friction/fabric06_thin_frction_img/rgb_0495.png</t>
  </si>
  <si>
    <t>thin_friction/fabric06_thin_frction_img/rgb_0561.png</t>
  </si>
  <si>
    <t>thin_friction/fabric06_thin_frction_img/rgb_0562.png</t>
  </si>
  <si>
    <t>thin_friction/fabric06_thin_frction_img/rgb_0563.png</t>
  </si>
  <si>
    <t>thin_friction/fabric06_thin_frction_img/rgb_0564.png</t>
  </si>
  <si>
    <t>thin_friction/fabric06_thin_frction_img/rgb_0565.png</t>
  </si>
  <si>
    <t>thin_friction/fabric06_thin_frction_img/rgb_0566.png</t>
  </si>
  <si>
    <t>thin_friction/fabric06_thin_frction_img/rgb_0567.png</t>
  </si>
  <si>
    <t>thin_friction/fabric06_thin_frction_img/rgb_0568.png</t>
  </si>
  <si>
    <t>thin_friction/fabric06_thin_frction_img/rgb_0569.png</t>
  </si>
  <si>
    <t>thin_friction/fabric06_thin_frction_img/rgb_0570.png</t>
  </si>
  <si>
    <t>thin_friction/fabric06_thin_frction_img/rgb_0571.png</t>
  </si>
  <si>
    <t>thin_friction/fabric06_thin_frction_img/rgb_0572.png</t>
  </si>
  <si>
    <t>thin_friction/fabric06_thin_frction_img/rgb_0573.png</t>
  </si>
  <si>
    <t>thin_friction/fabric06_thin_frction_img/rgb_0574.png</t>
  </si>
  <si>
    <t>thin_friction/fabric06_thin_frction_img/rgb_0575.png</t>
  </si>
  <si>
    <t>thin_friction/fabric06_thin_frction_img/rgb_0576.png</t>
  </si>
  <si>
    <t>thin_friction/fabric06_thin_frction_img/rgb_0577.png</t>
  </si>
  <si>
    <t>thin_friction/fabric06_thin_frction_img/rgb_0578.png</t>
  </si>
  <si>
    <t>thin_friction/fabric06_thin_frction_img/rgb_0579.png</t>
  </si>
  <si>
    <t>thin_friction/fabric06_thin_frction_img/rgb_0580.png</t>
  </si>
  <si>
    <t>thin_friction/fabric06_thin_frction_img/rgb_0581.png</t>
  </si>
  <si>
    <t>thin_friction/fabric06_thin_frction_img/rgb_0582.png</t>
  </si>
  <si>
    <t>thin_friction/fabric06_thin_frction_img/rgb_0583.png</t>
  </si>
  <si>
    <t>thin_friction/fabric06_thin_frction_img/rgb_0584.png</t>
  </si>
  <si>
    <t>thin_friction/fabric06_thin_frction_img/rgb_0649.png</t>
  </si>
  <si>
    <t>thin_friction/fabric06_thin_frction_img/rgb_0650.png</t>
  </si>
  <si>
    <t>thin_friction/fabric06_thin_frction_img/rgb_0651.png</t>
  </si>
  <si>
    <t>thin_friction/fabric06_thin_frction_img/rgb_0652.png</t>
  </si>
  <si>
    <t>thin_friction/fabric06_thin_frction_img/rgb_0653.png</t>
  </si>
  <si>
    <t>thin_friction/fabric06_thin_frction_img/rgb_0654.png</t>
  </si>
  <si>
    <t>thin_friction/fabric06_thin_frction_img/rgb_0655.png</t>
  </si>
  <si>
    <t>thin_friction/fabric06_thin_frction_img/rgb_0656.png</t>
  </si>
  <si>
    <t>thin_friction/fabric06_thin_frction_img/rgb_0657.png</t>
  </si>
  <si>
    <t>thin_friction/fabric06_thin_frction_img/rgb_0658.png</t>
  </si>
  <si>
    <t>thin_friction/fabric06_thin_frction_img/rgb_0659.png</t>
  </si>
  <si>
    <t>thin_friction/fabric06_thin_frction_img/rgb_0660.png</t>
  </si>
  <si>
    <t>thin_friction/fabric06_thin_frction_img/rgb_0661.png</t>
  </si>
  <si>
    <t>thin_friction/fabric06_thin_frction_img/rgb_0662.png</t>
  </si>
  <si>
    <t>thin_friction/fabric06_thin_frction_img/rgb_0663.png</t>
  </si>
  <si>
    <t>thin_friction/fabric06_thin_frction_img/rgb_0664.png</t>
  </si>
  <si>
    <t>thin_friction/fabric06_thin_frction_img/rgb_0665.png</t>
  </si>
  <si>
    <t>thin_friction/fabric06_thin_frction_img/rgb_0666.png</t>
  </si>
  <si>
    <t>thin_friction/fabric06_thin_frction_img/rgb_0667.png</t>
  </si>
  <si>
    <t>thin_friction/fabric06_thin_frction_img/rgb_0668.png</t>
  </si>
  <si>
    <t>thin_friction/fabric06_thin_frction_img/rgb_0669.png</t>
  </si>
  <si>
    <t>thin_friction/fabric06_thin_frction_img/rgb_0670.png</t>
  </si>
  <si>
    <t>thin_friction/fabric06_thin_frction_img/rgb_0671.png</t>
  </si>
  <si>
    <t>thin_friction/fabric06_thin_frction_img/rgb_0672.png</t>
  </si>
  <si>
    <t>thin_friction/fabric06_thin_frction_img/rgb_0673.png</t>
  </si>
  <si>
    <t>thin_friction/fabric06_thin_frction_img/rgb_0674.png</t>
  </si>
  <si>
    <t>thin_friction/fabric06_thin_frction_img/rgb_0738.png</t>
  </si>
  <si>
    <t>thin_friction/fabric06_thin_frction_img/rgb_0739.png</t>
  </si>
  <si>
    <t>thin_friction/fabric06_thin_frction_img/rgb_0740.png</t>
  </si>
  <si>
    <t>thin_friction/fabric06_thin_frction_img/rgb_0741.png</t>
  </si>
  <si>
    <t>thin_friction/fabric06_thin_frction_img/rgb_0742.png</t>
  </si>
  <si>
    <t>thin_friction/fabric06_thin_frction_img/rgb_0743.png</t>
  </si>
  <si>
    <t>thin_friction/fabric06_thin_frction_img/rgb_0744.png</t>
  </si>
  <si>
    <t>thin_friction/fabric06_thin_frction_img/rgb_0745.png</t>
  </si>
  <si>
    <t>thin_friction/fabric06_thin_frction_img/rgb_0746.png</t>
  </si>
  <si>
    <t>thin_friction/fabric06_thin_frction_img/rgb_0747.png</t>
  </si>
  <si>
    <t>thin_friction/fabric06_thin_frction_img/rgb_0748.png</t>
  </si>
  <si>
    <t>thin_friction/fabric06_thin_frction_img/rgb_0749.png</t>
  </si>
  <si>
    <t>thin_friction/fabric06_thin_frction_img/rgb_0750.png</t>
  </si>
  <si>
    <t>thin_friction/fabric06_thin_frction_img/rgb_0751.png</t>
  </si>
  <si>
    <t>thin_friction/fabric06_thin_frction_img/rgb_0752.png</t>
  </si>
  <si>
    <t>thin_friction/fabric06_thin_frction_img/rgb_0753.png</t>
  </si>
  <si>
    <t>thin_friction/fabric06_thin_frction_img/rgb_0754.png</t>
  </si>
  <si>
    <t>thin_friction/fabric06_thin_frction_img/rgb_0755.png</t>
  </si>
  <si>
    <t>thin_friction/fabric06_thin_frction_img/rgb_0756.png</t>
  </si>
  <si>
    <t>thin_friction/fabric06_thin_frction_img/rgb_0757.png</t>
  </si>
  <si>
    <t>thin_friction/fabric06_thin_frction_img/rgb_0758.png</t>
  </si>
  <si>
    <t>thin_friction/fabric06_thin_frction_img/rgb_0759.png</t>
  </si>
  <si>
    <t>thin_friction/fabric06_thin_frction_img/rgb_0760.png</t>
  </si>
  <si>
    <t>thin_friction/fabric06_thin_frction_img/rgb_0761.png</t>
  </si>
  <si>
    <t>thin_friction/fabric06_thin_frction_img/rgb_0762.png</t>
  </si>
  <si>
    <t>thin_friction/fabric06_thin_frction_img/rgb_0824.png</t>
  </si>
  <si>
    <t>thin_friction/fabric06_thin_frction_img/rgb_0825.png</t>
  </si>
  <si>
    <t>thin_friction/fabric06_thin_frction_img/rgb_0826.png</t>
  </si>
  <si>
    <t>thin_friction/fabric06_thin_frction_img/rgb_0827.png</t>
  </si>
  <si>
    <t>thin_friction/fabric06_thin_frction_img/rgb_0828.png</t>
  </si>
  <si>
    <t>thin_friction/fabric06_thin_frction_img/rgb_0829.png</t>
  </si>
  <si>
    <t>thin_friction/fabric06_thin_frction_img/rgb_0830.png</t>
  </si>
  <si>
    <t>thin_friction/fabric06_thin_frction_img/rgb_0831.png</t>
  </si>
  <si>
    <t>thin_friction/fabric06_thin_frction_img/rgb_0832.png</t>
  </si>
  <si>
    <t>thin_friction/fabric06_thin_frction_img/rgb_0833.png</t>
  </si>
  <si>
    <t>thin_friction/fabric06_thin_frction_img/rgb_0834.png</t>
  </si>
  <si>
    <t>thin_friction/fabric06_thin_frction_img/rgb_0835.png</t>
  </si>
  <si>
    <t>thin_friction/fabric06_thin_frction_img/rgb_0836.png</t>
  </si>
  <si>
    <t>thin_friction/fabric06_thin_frction_img/rgb_0837.png</t>
  </si>
  <si>
    <t>thin_friction/fabric06_thin_frction_img/rgb_0838.png</t>
  </si>
  <si>
    <t>thin_friction/fabric06_thin_frction_img/rgb_0839.png</t>
  </si>
  <si>
    <t>thin_friction/fabric06_thin_frction_img/rgb_0840.png</t>
  </si>
  <si>
    <t>thin_friction/fabric06_thin_frction_img/rgb_0841.png</t>
  </si>
  <si>
    <t>thin_friction/fabric06_thin_frction_img/rgb_0842.png</t>
  </si>
  <si>
    <t>thin_friction/fabric06_thin_frction_img/rgb_0843.png</t>
  </si>
  <si>
    <t>thin_friction/fabric06_thin_frction_img/rgb_0844.png</t>
  </si>
  <si>
    <t>thin_friction/fabric06_thin_frction_img/rgb_0845.png</t>
  </si>
  <si>
    <t>thin_friction/fabric06_thin_frction_img/rgb_0846.png</t>
  </si>
  <si>
    <t>thin_friction/fabric06_thin_frction_img/rgb_0847.png</t>
  </si>
  <si>
    <t>thin_friction/fabric06_thin_frction_img/rgb_0848.png</t>
  </si>
  <si>
    <t>thin_cut/fabric01_thin_cut_img/rgb_0242.png</t>
  </si>
  <si>
    <t>Crack</t>
  </si>
  <si>
    <t>thin_cut/fabric01_thin_cut_img/rgb_0243.png</t>
  </si>
  <si>
    <t>thin_cut/fabric01_thin_cut_img/rgb_0244.png</t>
  </si>
  <si>
    <t>thin_cut/fabric01_thin_cut_img/rgb_0245.png</t>
  </si>
  <si>
    <t>thin_cut/fabric01_thin_cut_img/rgb_0246.png</t>
  </si>
  <si>
    <t>thin_cut/fabric01_thin_cut_img/rgb_0247.png</t>
  </si>
  <si>
    <t>thin_cut/fabric01_thin_cut_img/rgb_0248.png</t>
  </si>
  <si>
    <t>thin_cut/fabric01_thin_cut_img/rgb_0249.png</t>
  </si>
  <si>
    <t>thin_cut/fabric01_thin_cut_img/rgb_0250.png</t>
  </si>
  <si>
    <t>thin_cut/fabric01_thin_cut_img/rgb_0251.png</t>
  </si>
  <si>
    <t>thin_cut/fabric01_thin_cut_img/rgb_0252.png</t>
  </si>
  <si>
    <t>thin_cut/fabric01_thin_cut_img/rgb_0253.png</t>
  </si>
  <si>
    <t>thin_cut/fabric01_thin_cut_img/rgb_0254.png</t>
  </si>
  <si>
    <t>thin_cut/fabric01_thin_cut_img/rgb_0255.png</t>
  </si>
  <si>
    <t>thin_cut/fabric01_thin_cut_img/rgb_0256.png</t>
  </si>
  <si>
    <t>thin_cut/fabric01_thin_cut_img/rgb_0257.png</t>
  </si>
  <si>
    <t>thin_cut/fabric01_thin_cut_img/rgb_0258.png</t>
  </si>
  <si>
    <t>thin_cut/fabric01_thin_cut_img/rgb_0259.png</t>
  </si>
  <si>
    <t>thin_cut/fabric01_thin_cut_img/rgb_0260.png</t>
  </si>
  <si>
    <t>thin_cut/fabric01_thin_cut_img/rgb_0261.png</t>
  </si>
  <si>
    <t>thin_cut/fabric01_thin_cut_img/rgb_0262.png</t>
  </si>
  <si>
    <t>thin_cut/fabric01_thin_cut_img/rgb_0263.png</t>
  </si>
  <si>
    <t>thin_cut/fabric01_thin_cut_img/rgb_0264.png</t>
  </si>
  <si>
    <t>thin_cut/fabric01_thin_cut_img/rgb_0336.png</t>
  </si>
  <si>
    <t>thin_cut/fabric01_thin_cut_img/rgb_0337.png</t>
  </si>
  <si>
    <t>thin_cut/fabric01_thin_cut_img/rgb_0338.png</t>
  </si>
  <si>
    <t>thin_cut/fabric01_thin_cut_img/rgb_0339.png</t>
  </si>
  <si>
    <t>thin_cut/fabric01_thin_cut_img/rgb_0340.png</t>
  </si>
  <si>
    <t>thin_cut/fabric01_thin_cut_img/rgb_0341.png</t>
  </si>
  <si>
    <t>thin_cut/fabric01_thin_cut_img/rgb_0342.png</t>
  </si>
  <si>
    <t>thin_cut/fabric01_thin_cut_img/rgb_0343.png</t>
  </si>
  <si>
    <t>thin_cut/fabric01_thin_cut_img/rgb_0344.png</t>
  </si>
  <si>
    <t>thin_cut/fabric01_thin_cut_img/rgb_0345.png</t>
  </si>
  <si>
    <t>thin_cut/fabric01_thin_cut_img/rgb_0346.png</t>
  </si>
  <si>
    <t>thin_cut/fabric01_thin_cut_img/rgb_0347.png</t>
  </si>
  <si>
    <t>thin_cut/fabric01_thin_cut_img/rgb_0348.png</t>
  </si>
  <si>
    <t>thin_cut/fabric01_thin_cut_img/rgb_0349.png</t>
  </si>
  <si>
    <t>thin_cut/fabric01_thin_cut_img/rgb_0350.png</t>
  </si>
  <si>
    <t>thin_cut/fabric01_thin_cut_img/rgb_0351.png</t>
  </si>
  <si>
    <t>thin_cut/fabric01_thin_cut_img/rgb_0352.png</t>
  </si>
  <si>
    <t>thin_cut/fabric01_thin_cut_img/rgb_0353.png</t>
  </si>
  <si>
    <t>thin_cut/fabric01_thin_cut_img/rgb_0354.png</t>
  </si>
  <si>
    <t>thin_cut/fabric01_thin_cut_img/rgb_0355.png</t>
  </si>
  <si>
    <t>thin_cut/fabric01_thin_cut_img/rgb_0356.png</t>
  </si>
  <si>
    <t>thin_cut/fabric01_thin_cut_img/rgb_0357.png</t>
  </si>
  <si>
    <t>thin_cut/fabric01_thin_cut_img/rgb_0428.png</t>
  </si>
  <si>
    <t>thin_cut/fabric01_thin_cut_img/rgb_0429.png</t>
  </si>
  <si>
    <t>thin_cut/fabric01_thin_cut_img/rgb_0430.png</t>
  </si>
  <si>
    <t>thin_cut/fabric01_thin_cut_img/rgb_0431.png</t>
  </si>
  <si>
    <t>thin_cut/fabric01_thin_cut_img/rgb_0432.png</t>
  </si>
  <si>
    <t>thin_cut/fabric01_thin_cut_img/rgb_0433.png</t>
  </si>
  <si>
    <t>thin_cut/fabric01_thin_cut_img/rgb_0434.png</t>
  </si>
  <si>
    <t>thin_cut/fabric01_thin_cut_img/rgb_0435.png</t>
  </si>
  <si>
    <t>thin_cut/fabric01_thin_cut_img/rgb_0436.png</t>
  </si>
  <si>
    <t>thin_cut/fabric01_thin_cut_img/rgb_0437.png</t>
  </si>
  <si>
    <t>thin_cut/fabric01_thin_cut_img/rgb_0438.png</t>
  </si>
  <si>
    <t>thin_cut/fabric01_thin_cut_img/rgb_0439.png</t>
  </si>
  <si>
    <t>thin_cut/fabric01_thin_cut_img/rgb_0440.png</t>
  </si>
  <si>
    <t>thin_cut/fabric01_thin_cut_img/rgb_0441.png</t>
  </si>
  <si>
    <t>thin_cut/fabric01_thin_cut_img/rgb_0442.png</t>
  </si>
  <si>
    <t>thin_cut/fabric01_thin_cut_img/rgb_0443.png</t>
  </si>
  <si>
    <t>thin_cut/fabric01_thin_cut_img/rgb_0444.png</t>
  </si>
  <si>
    <t>thin_cut/fabric01_thin_cut_img/rgb_0445.png</t>
  </si>
  <si>
    <t>thin_cut/fabric01_thin_cut_img/rgb_0446.png</t>
  </si>
  <si>
    <t>thin_cut/fabric01_thin_cut_img/rgb_0447.png</t>
  </si>
  <si>
    <t>thin_cut/fabric01_thin_cut_img/rgb_0448.png</t>
  </si>
  <si>
    <t>thin_cut/fabric01_thin_cut_img/rgb_0518.png</t>
  </si>
  <si>
    <t>thin_cut/fabric01_thin_cut_img/rgb_0519.png</t>
  </si>
  <si>
    <t>thin_cut/fabric01_thin_cut_img/rgb_0520.png</t>
  </si>
  <si>
    <t>thin_cut/fabric01_thin_cut_img/rgb_0521.png</t>
  </si>
  <si>
    <t>thin_cut/fabric01_thin_cut_img/rgb_0522.png</t>
  </si>
  <si>
    <t>thin_cut/fabric01_thin_cut_img/rgb_0523.png</t>
  </si>
  <si>
    <t>thin_cut/fabric01_thin_cut_img/rgb_0524.png</t>
  </si>
  <si>
    <t>thin_cut/fabric01_thin_cut_img/rgb_0525.png</t>
  </si>
  <si>
    <t>thin_cut/fabric01_thin_cut_img/rgb_0526.png</t>
  </si>
  <si>
    <t>thin_cut/fabric01_thin_cut_img/rgb_0527.png</t>
  </si>
  <si>
    <t>thin_cut/fabric01_thin_cut_img/rgb_0528.png</t>
  </si>
  <si>
    <t>thin_cut/fabric01_thin_cut_img/rgb_0529.png</t>
  </si>
  <si>
    <t>thin_cut/fabric01_thin_cut_img/rgb_0530.png</t>
  </si>
  <si>
    <t>thin_cut/fabric01_thin_cut_img/rgb_0531.png</t>
  </si>
  <si>
    <t>thin_cut/fabric01_thin_cut_img/rgb_0532.png</t>
  </si>
  <si>
    <t>thin_cut/fabric01_thin_cut_img/rgb_0533.png</t>
  </si>
  <si>
    <t>thin_cut/fabric01_thin_cut_img/rgb_0534.png</t>
  </si>
  <si>
    <t>thin_cut/fabric01_thin_cut_img/rgb_0535.png</t>
  </si>
  <si>
    <t>thin_cut/fabric01_thin_cut_img/rgb_0536.png</t>
  </si>
  <si>
    <t>thin_cut/fabric01_thin_cut_img/rgb_0537.png</t>
  </si>
  <si>
    <t>thin_cut/fabric01_thin_cut_img/rgb_0538.png</t>
  </si>
  <si>
    <t>thin_cut/fabric01_thin_cut_img/rgb_0539.png</t>
  </si>
  <si>
    <t>thin_cut/fabric01_thin_cut_img/rgb_0540.png</t>
  </si>
  <si>
    <t>thin_cut/fabric01_thin_cut_img/rgb_0613.png</t>
  </si>
  <si>
    <t>thin_cut/fabric01_thin_cut_img/rgb_0797.png</t>
  </si>
  <si>
    <t>thin_cut/fabric01_thin_cut_img/rgb_0798.png</t>
  </si>
  <si>
    <t>thin_cut/fabric01_thin_cut_img/rgb_0799.png</t>
  </si>
  <si>
    <t>thin_cut/fabric01_thin_cut_img/rgb_0800.png</t>
  </si>
  <si>
    <t>thin_cut/fabric01_thin_cut_img/rgb_0801.png</t>
  </si>
  <si>
    <t>thin_cut/fabric01_thin_cut_img/rgb_0802.png</t>
  </si>
  <si>
    <t>thin_cut/fabric01_thin_cut_img/rgb_0803.png</t>
  </si>
  <si>
    <t>thin_cut/fabric01_thin_cut_img/rgb_0804.png</t>
  </si>
  <si>
    <t>thin_cut/fabric01_thin_cut_img/rgb_0805.png</t>
  </si>
  <si>
    <t>thin_cut/fabric01_thin_cut_img/rgb_0806.png</t>
  </si>
  <si>
    <t>thin_cut/fabric01_thin_cut_img/rgb_0807.png</t>
  </si>
  <si>
    <t>thin_cut/fabric01_thin_cut_img/rgb_0808.png</t>
  </si>
  <si>
    <t>thin_cut/fabric01_thin_cut_img/rgb_0809.png</t>
  </si>
  <si>
    <t>thin_cut/fabric01_thin_cut_img/rgb_0810.png</t>
  </si>
  <si>
    <t>thin_cut/fabric01_thin_cut_img/rgb_0811.png</t>
  </si>
  <si>
    <t>thin_cut/fabric01_thin_cut_img/rgb_0812.png</t>
  </si>
  <si>
    <t>thin_cut/fabric01_thin_cut_img/rgb_0813.png</t>
  </si>
  <si>
    <t>thin_cut/fabric01_thin_cut_img/rgb_0814.png</t>
  </si>
  <si>
    <t>thin_cut/fabric01_thin_cut_img/rgb_0815.png</t>
  </si>
  <si>
    <t>thin_cut/fabric01_thin_cut_img/rgb_0816.png</t>
  </si>
  <si>
    <t>thin_cut/fabric01_thin_cut_img/rgb_0817.png</t>
  </si>
  <si>
    <t>thin_cut/fabric01_thin_cut_img/rgb_0818.png</t>
  </si>
  <si>
    <t>thin_cut/fabric01_thin_cut_img/rgb_0819.png</t>
  </si>
  <si>
    <t>thin_cut/fabric01_thin_cut_img/rgb_0820.png</t>
  </si>
  <si>
    <t>thin_cut/fabric01_thin_cut_img/rgb_0891.png</t>
  </si>
  <si>
    <t>thin_cut/fabric01_thin_cut_img/rgb_0892.png</t>
  </si>
  <si>
    <t>thin_cut/fabric01_thin_cut_img/rgb_0893.png</t>
  </si>
  <si>
    <t>thin_cut/fabric01_thin_cut_img/rgb_0894.png</t>
  </si>
  <si>
    <t>thin_cut/fabric01_thin_cut_img/rgb_0895.png</t>
  </si>
  <si>
    <t>thin_cut/fabric01_thin_cut_img/rgb_0896.png</t>
  </si>
  <si>
    <t>thin_cut/fabric01_thin_cut_img/rgb_0897.png</t>
  </si>
  <si>
    <t>thin_cut/fabric01_thin_cut_img/rgb_0898.png</t>
  </si>
  <si>
    <t>thin_cut/fabric01_thin_cut_img/rgb_0899.png</t>
  </si>
  <si>
    <t>thin_cut/fabric01_thin_cut_img/rgb_0900.png</t>
  </si>
  <si>
    <t>thin_cut/fabric01_thin_cut_img/rgb_0901.png</t>
  </si>
  <si>
    <t>thin_cut/fabric01_thin_cut_img/rgb_0902.png</t>
  </si>
  <si>
    <t>thin_cut/fabric01_thin_cut_img/rgb_0903.png</t>
  </si>
  <si>
    <t>thin_cut/fabric01_thin_cut_img/rgb_0904.png</t>
  </si>
  <si>
    <t>thin_cut/fabric01_thin_cut_img/rgb_0905.png</t>
  </si>
  <si>
    <t>thin_cut/fabric01_thin_cut_img/rgb_0906.png</t>
  </si>
  <si>
    <t>thin_cut/fabric01_thin_cut_img/rgb_0907.png</t>
  </si>
  <si>
    <t>thin_cut/fabric01_thin_cut_img/rgb_0908.png</t>
  </si>
  <si>
    <t>thin_cut/fabric01_thin_cut_img/rgb_0909.png</t>
  </si>
  <si>
    <t>thin_cut/fabric01_thin_cut_img/rgb_0910.png</t>
  </si>
  <si>
    <t>thin_cut/fabric01_thin_cut_img/rgb_0911.png</t>
  </si>
  <si>
    <t>thin_cut/fabric01_thin_cut_img/rgb_0912.png</t>
  </si>
  <si>
    <t>thin_cut/fabric03_thin_cut_img/rgb_0160.png</t>
  </si>
  <si>
    <t>thin_cut/fabric03_thin_cut_img/rgb_0161.png</t>
  </si>
  <si>
    <t>thin_cut/fabric03_thin_cut_img/rgb_0181.png</t>
  </si>
  <si>
    <t>thin_cut/fabric03_thin_cut_img/rgb_0250.png</t>
  </si>
  <si>
    <t>thin_cut/fabric03_thin_cut_img/rgb_0251.png</t>
  </si>
  <si>
    <t>thin_cut/fabric03_thin_cut_img/rgb_0252.png</t>
  </si>
  <si>
    <t>thin_cut/fabric03_thin_cut_img/rgb_0253.png</t>
  </si>
  <si>
    <t>thin_cut/fabric03_thin_cut_img/rgb_0254.png</t>
  </si>
  <si>
    <t>thin_cut/fabric03_thin_cut_img/rgb_0255.png</t>
  </si>
  <si>
    <t>thin_cut/fabric03_thin_cut_img/rgb_0256.png</t>
  </si>
  <si>
    <t>thin_cut/fabric03_thin_cut_img/rgb_0257.png</t>
  </si>
  <si>
    <t>thin_cut/fabric03_thin_cut_img/rgb_0258.png</t>
  </si>
  <si>
    <t>thin_cut/fabric03_thin_cut_img/rgb_0259.png</t>
  </si>
  <si>
    <t>thin_cut/fabric03_thin_cut_img/rgb_0260.png</t>
  </si>
  <si>
    <t>thin_cut/fabric03_thin_cut_img/rgb_0261.png</t>
  </si>
  <si>
    <t>thin_cut/fabric03_thin_cut_img/rgb_0262.png</t>
  </si>
  <si>
    <t>thin_cut/fabric03_thin_cut_img/rgb_0263.png</t>
  </si>
  <si>
    <t>thin_cut/fabric03_thin_cut_img/rgb_0264.png</t>
  </si>
  <si>
    <t>thin_cut/fabric03_thin_cut_img/rgb_0265.png</t>
  </si>
  <si>
    <t>thin_cut/fabric03_thin_cut_img/rgb_0266.png</t>
  </si>
  <si>
    <t>thin_cut/fabric03_thin_cut_img/rgb_0267.png</t>
  </si>
  <si>
    <t>thin_cut/fabric03_thin_cut_img/rgb_0268.png</t>
  </si>
  <si>
    <t>thin_cut/fabric03_thin_cut_img/rgb_0269.png</t>
  </si>
  <si>
    <t>thin_cut/fabric03_thin_cut_img/rgb_0270.png</t>
  </si>
  <si>
    <t>thin_cut/fabric03_thin_cut_img/rgb_0271.png</t>
  </si>
  <si>
    <t>thin_cut/fabric03_thin_cut_img/rgb_0272.png</t>
  </si>
  <si>
    <t>thin_cut/fabric03_thin_cut_img/rgb_0273.png</t>
  </si>
  <si>
    <t>thin_cut/fabric03_thin_cut_img/rgb_0274.png</t>
  </si>
  <si>
    <t>thin_cut/fabric03_thin_cut_img/rgb_0342.png</t>
  </si>
  <si>
    <t>thin_cut/fabric03_thin_cut_img/rgb_0343.png</t>
  </si>
  <si>
    <t>thin_cut/fabric03_thin_cut_img/rgb_0344.png</t>
  </si>
  <si>
    <t>thin_cut/fabric03_thin_cut_img/rgb_0345.png</t>
  </si>
  <si>
    <t>thin_cut/fabric03_thin_cut_img/rgb_0346.png</t>
  </si>
  <si>
    <t>thin_cut/fabric03_thin_cut_img/rgb_0347.png</t>
  </si>
  <si>
    <t>thin_cut/fabric03_thin_cut_img/rgb_0348.png</t>
  </si>
  <si>
    <t>thin_cut/fabric03_thin_cut_img/rgb_0349.png</t>
  </si>
  <si>
    <t>thin_cut/fabric03_thin_cut_img/rgb_0350.png</t>
  </si>
  <si>
    <t>thin_cut/fabric03_thin_cut_img/rgb_0351.png</t>
  </si>
  <si>
    <t>thin_cut/fabric03_thin_cut_img/rgb_0352.png</t>
  </si>
  <si>
    <t>thin_cut/fabric03_thin_cut_img/rgb_0353.png</t>
  </si>
  <si>
    <t>thin_cut/fabric03_thin_cut_img/rgb_0354.png</t>
  </si>
  <si>
    <t>thin_cut/fabric03_thin_cut_img/rgb_0355.png</t>
  </si>
  <si>
    <t>thin_cut/fabric03_thin_cut_img/rgb_0356.png</t>
  </si>
  <si>
    <t>thin_cut/fabric03_thin_cut_img/rgb_0357.png</t>
  </si>
  <si>
    <t>thin_cut/fabric03_thin_cut_img/rgb_0358.png</t>
  </si>
  <si>
    <t>thin_cut/fabric03_thin_cut_img/rgb_0359.png</t>
  </si>
  <si>
    <t>thin_cut/fabric03_thin_cut_img/rgb_0360.png</t>
  </si>
  <si>
    <t>thin_cut/fabric03_thin_cut_img/rgb_0361.png</t>
  </si>
  <si>
    <t>thin_cut/fabric03_thin_cut_img/rgb_0362.png</t>
  </si>
  <si>
    <t>thin_cut/fabric03_thin_cut_img/rgb_0363.png</t>
  </si>
  <si>
    <t>thin_cut/fabric03_thin_cut_img/rgb_0364.png</t>
  </si>
  <si>
    <t>thin_cut/fabric03_thin_cut_img/rgb_0365.png</t>
  </si>
  <si>
    <t>thin_cut/fabric03_thin_cut_img/rgb_0366.png</t>
  </si>
  <si>
    <t>thin_cut/fabric03_thin_cut_img/rgb_0435.png</t>
  </si>
  <si>
    <t>thin_cut/fabric03_thin_cut_img/rgb_0436.png</t>
  </si>
  <si>
    <t>thin_cut/fabric03_thin_cut_img/rgb_0437.png</t>
  </si>
  <si>
    <t>thin_cut/fabric03_thin_cut_img/rgb_0438.png</t>
  </si>
  <si>
    <t>thin_cut/fabric03_thin_cut_img/rgb_0439.png</t>
  </si>
  <si>
    <t>thin_cut/fabric03_thin_cut_img/rgb_0440.png</t>
  </si>
  <si>
    <t>thin_cut/fabric03_thin_cut_img/rgb_0441.png</t>
  </si>
  <si>
    <t>thin_cut/fabric03_thin_cut_img/rgb_0442.png</t>
  </si>
  <si>
    <t>thin_cut/fabric03_thin_cut_img/rgb_0443.png</t>
  </si>
  <si>
    <t>thin_cut/fabric03_thin_cut_img/rgb_0444.png</t>
  </si>
  <si>
    <t>thin_cut/fabric03_thin_cut_img/rgb_0445.png</t>
  </si>
  <si>
    <t>thin_cut/fabric03_thin_cut_img/rgb_0446.png</t>
  </si>
  <si>
    <t>thin_cut/fabric03_thin_cut_img/rgb_0447.png</t>
  </si>
  <si>
    <t>thin_cut/fabric03_thin_cut_img/rgb_0448.png</t>
  </si>
  <si>
    <t>thin_cut/fabric03_thin_cut_img/rgb_0449.png</t>
  </si>
  <si>
    <t>thin_cut/fabric03_thin_cut_img/rgb_0450.png</t>
  </si>
  <si>
    <t>thin_cut/fabric03_thin_cut_img/rgb_0451.png</t>
  </si>
  <si>
    <t>thin_cut/fabric03_thin_cut_img/rgb_0452.png</t>
  </si>
  <si>
    <t>thin_cut/fabric03_thin_cut_img/rgb_0453.png</t>
  </si>
  <si>
    <t>thin_cut/fabric03_thin_cut_img/rgb_0454.png</t>
  </si>
  <si>
    <t>thin_cut/fabric03_thin_cut_img/rgb_0455.png</t>
  </si>
  <si>
    <t>thin_cut/fabric03_thin_cut_img/rgb_0456.png</t>
  </si>
  <si>
    <t>thin_cut/fabric03_thin_cut_img/rgb_0457.png</t>
  </si>
  <si>
    <t>thin_cut/fabric03_thin_cut_img/rgb_0458.png</t>
  </si>
  <si>
    <t>thin_cut/fabric03_thin_cut_img/rgb_0459.png</t>
  </si>
  <si>
    <t>thin_cut/fabric03_thin_cut_img/rgb_0527.png</t>
  </si>
  <si>
    <t>thin_cut/fabric03_thin_cut_img/rgb_0528.png</t>
  </si>
  <si>
    <t>thin_cut/fabric03_thin_cut_img/rgb_0529.png</t>
  </si>
  <si>
    <t>thin_cut/fabric03_thin_cut_img/rgb_0530.png</t>
  </si>
  <si>
    <t>thin_cut/fabric03_thin_cut_img/rgb_0531.png</t>
  </si>
  <si>
    <t>thin_cut/fabric03_thin_cut_img/rgb_0532.png</t>
  </si>
  <si>
    <t>thin_cut/fabric03_thin_cut_img/rgb_0533.png</t>
  </si>
  <si>
    <t>thin_cut/fabric03_thin_cut_img/rgb_0534.png</t>
  </si>
  <si>
    <t>thin_cut/fabric03_thin_cut_img/rgb_0535.png</t>
  </si>
  <si>
    <t>thin_cut/fabric03_thin_cut_img/rgb_0536.png</t>
  </si>
  <si>
    <t>thin_cut/fabric03_thin_cut_img/rgb_0537.png</t>
  </si>
  <si>
    <t>thin_cut/fabric03_thin_cut_img/rgb_0538.png</t>
  </si>
  <si>
    <t>thin_cut/fabric03_thin_cut_img/rgb_0539.png</t>
  </si>
  <si>
    <t>thin_cut/fabric03_thin_cut_img/rgb_0540.png</t>
  </si>
  <si>
    <t>thin_cut/fabric03_thin_cut_img/rgb_0541.png</t>
  </si>
  <si>
    <t>thin_cut/fabric03_thin_cut_img/rgb_0542.png</t>
  </si>
  <si>
    <t>thin_cut/fabric03_thin_cut_img/rgb_0543.png</t>
  </si>
  <si>
    <t>thin_cut/fabric03_thin_cut_img/rgb_0544.png</t>
  </si>
  <si>
    <t>thin_cut/fabric03_thin_cut_img/rgb_0545.png</t>
  </si>
  <si>
    <t>thin_cut/fabric03_thin_cut_img/rgb_0546.png</t>
  </si>
  <si>
    <t>thin_cut/fabric03_thin_cut_img/rgb_0547.png</t>
  </si>
  <si>
    <t>thin_cut/fabric03_thin_cut_img/rgb_0548.png</t>
  </si>
  <si>
    <t>thin_cut/fabric03_thin_cut_img/rgb_0549.png</t>
  </si>
  <si>
    <t>thin_cut/fabric03_thin_cut_img/rgb_0550.png</t>
  </si>
  <si>
    <t>thin_cut/fabric03_thin_cut_img/rgb_0551.png</t>
  </si>
  <si>
    <t>thin_cut/fabric03_thin_cut_img/rgb_0622.png</t>
  </si>
  <si>
    <t>thin_cut/fabric03_thin_cut_img/rgb_0627.png</t>
  </si>
  <si>
    <t>thin_cut/fabric03_thin_cut_img/rgb_0715.png</t>
  </si>
  <si>
    <t>thin_cut/fabric03_thin_cut_img/rgb_0716.png</t>
  </si>
  <si>
    <t>thin_cut/fabric03_thin_cut_img/rgb_0717.png</t>
  </si>
  <si>
    <t>thin_cut/fabric03_thin_cut_img/rgb_0718.png</t>
  </si>
  <si>
    <t>thin_cut/fabric03_thin_cut_img/rgb_0719.png</t>
  </si>
  <si>
    <t>thin_cut/fabric03_thin_cut_img/rgb_0720.png</t>
  </si>
  <si>
    <t>thin_cut/fabric03_thin_cut_img/rgb_0721.png</t>
  </si>
  <si>
    <t>thin_cut/fabric03_thin_cut_img/rgb_0722.png</t>
  </si>
  <si>
    <t>thin_cut/fabric03_thin_cut_img/rgb_0723.png</t>
  </si>
  <si>
    <t>thin_cut/fabric03_thin_cut_img/rgb_0724.png</t>
  </si>
  <si>
    <t>thin_cut/fabric03_thin_cut_img/rgb_0725.png</t>
  </si>
  <si>
    <t>thin_cut/fabric03_thin_cut_img/rgb_0726.png</t>
  </si>
  <si>
    <t>thin_cut/fabric03_thin_cut_img/rgb_0727.png</t>
  </si>
  <si>
    <t>thin_cut/fabric03_thin_cut_img/rgb_0728.png</t>
  </si>
  <si>
    <t>thin_cut/fabric03_thin_cut_img/rgb_0729.png</t>
  </si>
  <si>
    <t>thin_cut/fabric03_thin_cut_img/rgb_0730.png</t>
  </si>
  <si>
    <t>thin_cut/fabric03_thin_cut_img/rgb_0731.png</t>
  </si>
  <si>
    <t>thin_cut/fabric03_thin_cut_img/rgb_0732.png</t>
  </si>
  <si>
    <t>thin_cut/fabric03_thin_cut_img/rgb_0733.png</t>
  </si>
  <si>
    <t>thin_cut/fabric03_thin_cut_img/rgb_0734.png</t>
  </si>
  <si>
    <t>thin_cut/fabric03_thin_cut_img/rgb_0735.png</t>
  </si>
  <si>
    <t>thin_cut/fabric03_thin_cut_img/rgb_0736.png</t>
  </si>
  <si>
    <t>thin_cut/fabric03_thin_cut_img/rgb_0737.png</t>
  </si>
  <si>
    <t>thin_cut/fabric03_thin_cut_img/rgb_0807.png</t>
  </si>
  <si>
    <t>thin_cut/fabric03_thin_cut_img/rgb_0808.png</t>
  </si>
  <si>
    <t>thin_cut/fabric03_thin_cut_img/rgb_0809.png</t>
  </si>
  <si>
    <t>thin_cut/fabric03_thin_cut_img/rgb_0810.png</t>
  </si>
  <si>
    <t>thin_cut/fabric03_thin_cut_img/rgb_0811.png</t>
  </si>
  <si>
    <t>thin_cut/fabric03_thin_cut_img/rgb_0812.png</t>
  </si>
  <si>
    <t>thin_cut/fabric03_thin_cut_img/rgb_0813.png</t>
  </si>
  <si>
    <t>thin_cut/fabric03_thin_cut_img/rgb_0814.png</t>
  </si>
  <si>
    <t>thin_cut/fabric03_thin_cut_img/rgb_0815.png</t>
  </si>
  <si>
    <t>thin_cut/fabric03_thin_cut_img/rgb_0816.png</t>
  </si>
  <si>
    <t>thin_cut/fabric03_thin_cut_img/rgb_0817.png</t>
  </si>
  <si>
    <t>thin_cut/fabric03_thin_cut_img/rgb_0818.png</t>
  </si>
  <si>
    <t>thin_cut/fabric03_thin_cut_img/rgb_0819.png</t>
  </si>
  <si>
    <t>thin_cut/fabric03_thin_cut_img/rgb_0820.png</t>
  </si>
  <si>
    <t>thin_cut/fabric03_thin_cut_img/rgb_0821.png</t>
  </si>
  <si>
    <t>thin_cut/fabric03_thin_cut_img/rgb_0822.png</t>
  </si>
  <si>
    <t>thin_cut/fabric03_thin_cut_img/rgb_0823.png</t>
  </si>
  <si>
    <t>thin_cut/fabric03_thin_cut_img/rgb_0824.png</t>
  </si>
  <si>
    <t>thin_cut/fabric03_thin_cut_img/rgb_0825.png</t>
  </si>
  <si>
    <t>thin_cut/fabric03_thin_cut_img/rgb_0826.png</t>
  </si>
  <si>
    <t>thin_cut/fabric03_thin_cut_img/rgb_0827.png</t>
  </si>
  <si>
    <t>thin_cut/fabric03_thin_cut_img/rgb_0828.png</t>
  </si>
  <si>
    <t>thin_cut/fabric03_thin_cut_img/rgb_0829.png</t>
  </si>
  <si>
    <t>thin_cut/fabric03_thin_cut_img/rgb_0830.png</t>
  </si>
  <si>
    <t>thin_cut/fabric03_thin_cut_img/rgb_0831.png</t>
  </si>
  <si>
    <t>thin_cut/fabric03_thin_cut_img/rgb_0901.png</t>
  </si>
  <si>
    <t>thin_cut/fabric03_thin_cut_img/rgb_0902.png</t>
  </si>
  <si>
    <t>thin_cut/fabric03_thin_cut_img/rgb_0903.png</t>
  </si>
  <si>
    <t>thin_cut/fabric03_thin_cut_img/rgb_0904.png</t>
  </si>
  <si>
    <t>thin_cut/fabric03_thin_cut_img/rgb_0905.png</t>
  </si>
  <si>
    <t>thin_cut/fabric03_thin_cut_img/rgb_0906.png</t>
  </si>
  <si>
    <t>thin_cut/fabric03_thin_cut_img/rgb_0907.png</t>
  </si>
  <si>
    <t>thin_cut/fabric03_thin_cut_img/rgb_0908.png</t>
  </si>
  <si>
    <t>thin_cut/fabric03_thin_cut_img/rgb_0909.png</t>
  </si>
  <si>
    <t>thin_cut/fabric03_thin_cut_img/rgb_0910.png</t>
  </si>
  <si>
    <t>thin_cut/fabric03_thin_cut_img/rgb_0911.png</t>
  </si>
  <si>
    <t>thin_cut/fabric03_thin_cut_img/rgb_0912.png</t>
  </si>
  <si>
    <t>thin_cut/fabric03_thin_cut_img/rgb_0913.png</t>
  </si>
  <si>
    <t>thin_cut/fabric03_thin_cut_img/rgb_0914.png</t>
  </si>
  <si>
    <t>thin_cut/fabric03_thin_cut_img/rgb_0915.png</t>
  </si>
  <si>
    <t>thin_cut/fabric03_thin_cut_img/rgb_0916.png</t>
  </si>
  <si>
    <t>thin_cut/fabric03_thin_cut_img/rgb_0917.png</t>
  </si>
  <si>
    <t>thin_cut/fabric03_thin_cut_img/rgb_0918.png</t>
  </si>
  <si>
    <t>thin_cut/fabric03_thin_cut_img/rgb_0919.png</t>
  </si>
  <si>
    <t>thin_cut/fabric03_thin_cut_img/rgb_0920.png</t>
  </si>
  <si>
    <t>thin_cut/fabric03_thin_cut_img/rgb_0921.png</t>
  </si>
  <si>
    <t>thin_cut/fabric03_thin_cut_img/rgb_0922.png</t>
  </si>
  <si>
    <t>thin_cut/fabric03_thin_cut_img/rgb_0923.png</t>
  </si>
  <si>
    <t>thin_cut/fabric03_thin_cut_img/rgb_0924.png</t>
  </si>
  <si>
    <t>thin_cut/fabric03_thin_cut_img/rgb_0925.png</t>
  </si>
  <si>
    <t>thin_cut/fabric04_thin_cut_img/rgb_0144.png</t>
  </si>
  <si>
    <t>thin_cut/fabric04_thin_cut_img/rgb_0145.png</t>
  </si>
  <si>
    <t>thin_cut/fabric04_thin_cut_img/rgb_0146.png</t>
  </si>
  <si>
    <t>thin_cut/fabric04_thin_cut_img/rgb_0147.png</t>
  </si>
  <si>
    <t>thin_cut/fabric04_thin_cut_img/rgb_0148.png</t>
  </si>
  <si>
    <t>thin_cut/fabric04_thin_cut_img/rgb_0149.png</t>
  </si>
  <si>
    <t>thin_cut/fabric04_thin_cut_img/rgb_0150.png</t>
  </si>
  <si>
    <t>thin_cut/fabric04_thin_cut_img/rgb_0151.png</t>
  </si>
  <si>
    <t>thin_cut/fabric04_thin_cut_img/rgb_0152.png</t>
  </si>
  <si>
    <t>thin_cut/fabric04_thin_cut_img/rgb_0153.png</t>
  </si>
  <si>
    <t>thin_cut/fabric04_thin_cut_img/rgb_0154.png</t>
  </si>
  <si>
    <t>thin_cut/fabric04_thin_cut_img/rgb_0155.png</t>
  </si>
  <si>
    <t>thin_cut/fabric04_thin_cut_img/rgb_0156.png</t>
  </si>
  <si>
    <t>thin_cut/fabric04_thin_cut_img/rgb_0157.png</t>
  </si>
  <si>
    <t>thin_cut/fabric04_thin_cut_img/rgb_0158.png</t>
  </si>
  <si>
    <t>thin_cut/fabric04_thin_cut_img/rgb_0159.png</t>
  </si>
  <si>
    <t>thin_cut/fabric04_thin_cut_img/rgb_0160.png</t>
  </si>
  <si>
    <t>thin_cut/fabric04_thin_cut_img/rgb_0161.png</t>
  </si>
  <si>
    <t>thin_cut/fabric04_thin_cut_img/rgb_0162.png</t>
  </si>
  <si>
    <t>thin_cut/fabric04_thin_cut_img/rgb_0163.png</t>
  </si>
  <si>
    <t>thin_cut/fabric04_thin_cut_img/rgb_0164.png</t>
  </si>
  <si>
    <t>thin_cut/fabric04_thin_cut_img/rgb_0165.png</t>
  </si>
  <si>
    <t>thin_cut/fabric04_thin_cut_img/rgb_0166.png</t>
  </si>
  <si>
    <t>thin_cut/fabric04_thin_cut_img/rgb_0167.png</t>
  </si>
  <si>
    <t>thin_cut/fabric04_thin_cut_img/rgb_0236.png</t>
  </si>
  <si>
    <t>thin_cut/fabric04_thin_cut_img/rgb_0237.png</t>
  </si>
  <si>
    <t>thin_cut/fabric04_thin_cut_img/rgb_0238.png</t>
  </si>
  <si>
    <t>thin_cut/fabric04_thin_cut_img/rgb_0239.png</t>
  </si>
  <si>
    <t>thin_cut/fabric04_thin_cut_img/rgb_0240.png</t>
  </si>
  <si>
    <t>thin_cut/fabric04_thin_cut_img/rgb_0241.png</t>
  </si>
  <si>
    <t>thin_cut/fabric04_thin_cut_img/rgb_0242.png</t>
  </si>
  <si>
    <t>thin_cut/fabric04_thin_cut_img/rgb_0243.png</t>
  </si>
  <si>
    <t>thin_cut/fabric04_thin_cut_img/rgb_0244.png</t>
  </si>
  <si>
    <t>thin_cut/fabric04_thin_cut_img/rgb_0245.png</t>
  </si>
  <si>
    <t>thin_cut/fabric04_thin_cut_img/rgb_0246.png</t>
  </si>
  <si>
    <t>thin_cut/fabric04_thin_cut_img/rgb_0247.png</t>
  </si>
  <si>
    <t>thin_cut/fabric04_thin_cut_img/rgb_0248.png</t>
  </si>
  <si>
    <t>thin_cut/fabric04_thin_cut_img/rgb_0249.png</t>
  </si>
  <si>
    <t>thin_cut/fabric04_thin_cut_img/rgb_0250.png</t>
  </si>
  <si>
    <t>thin_cut/fabric04_thin_cut_img/rgb_0251.png</t>
  </si>
  <si>
    <t>thin_cut/fabric04_thin_cut_img/rgb_0252.png</t>
  </si>
  <si>
    <t>thin_cut/fabric04_thin_cut_img/rgb_0253.png</t>
  </si>
  <si>
    <t>thin_cut/fabric04_thin_cut_img/rgb_0254.png</t>
  </si>
  <si>
    <t>thin_cut/fabric04_thin_cut_img/rgb_0255.png</t>
  </si>
  <si>
    <t>thin_cut/fabric04_thin_cut_img/rgb_0256.png</t>
  </si>
  <si>
    <t>thin_cut/fabric04_thin_cut_img/rgb_0257.png</t>
  </si>
  <si>
    <t>thin_cut/fabric04_thin_cut_img/rgb_0258.png</t>
  </si>
  <si>
    <t>thin_cut/fabric04_thin_cut_img/rgb_0259.png</t>
  </si>
  <si>
    <t>thin_cut/fabric04_thin_cut_img/rgb_0260.png</t>
  </si>
  <si>
    <t>thin_cut/fabric04_thin_cut_img/rgb_0330.png</t>
  </si>
  <si>
    <t>thin_cut/fabric04_thin_cut_img/rgb_0331.png</t>
  </si>
  <si>
    <t>thin_cut/fabric04_thin_cut_img/rgb_0332.png</t>
  </si>
  <si>
    <t>thin_cut/fabric04_thin_cut_img/rgb_0333.png</t>
  </si>
  <si>
    <t>thin_cut/fabric04_thin_cut_img/rgb_0334.png</t>
  </si>
  <si>
    <t>thin_cut/fabric04_thin_cut_img/rgb_0335.png</t>
  </si>
  <si>
    <t>thin_cut/fabric04_thin_cut_img/rgb_0336.png</t>
  </si>
  <si>
    <t>thin_cut/fabric04_thin_cut_img/rgb_0337.png</t>
  </si>
  <si>
    <t>thin_cut/fabric04_thin_cut_img/rgb_0338.png</t>
  </si>
  <si>
    <t>thin_cut/fabric04_thin_cut_img/rgb_0339.png</t>
  </si>
  <si>
    <t>thin_cut/fabric04_thin_cut_img/rgb_0340.png</t>
  </si>
  <si>
    <t>thin_cut/fabric04_thin_cut_img/rgb_0341.png</t>
  </si>
  <si>
    <t>thin_cut/fabric04_thin_cut_img/rgb_0342.png</t>
  </si>
  <si>
    <t>thin_cut/fabric04_thin_cut_img/rgb_0343.png</t>
  </si>
  <si>
    <t>thin_cut/fabric04_thin_cut_img/rgb_0344.png</t>
  </si>
  <si>
    <t>thin_cut/fabric04_thin_cut_img/rgb_0345.png</t>
  </si>
  <si>
    <t>thin_cut/fabric04_thin_cut_img/rgb_0346.png</t>
  </si>
  <si>
    <t>thin_cut/fabric04_thin_cut_img/rgb_0347.png</t>
  </si>
  <si>
    <t>thin_cut/fabric04_thin_cut_img/rgb_0348.png</t>
  </si>
  <si>
    <t>thin_cut/fabric04_thin_cut_img/rgb_0349.png</t>
  </si>
  <si>
    <t>thin_cut/fabric04_thin_cut_img/rgb_0350.png</t>
  </si>
  <si>
    <t>thin_cut/fabric04_thin_cut_img/rgb_0351.png</t>
  </si>
  <si>
    <t>thin_cut/fabric04_thin_cut_img/rgb_0352.png</t>
  </si>
  <si>
    <t>thin_cut/fabric04_thin_cut_img/rgb_0421.png</t>
  </si>
  <si>
    <t>thin_cut/fabric04_thin_cut_img/rgb_0422.png</t>
  </si>
  <si>
    <t>thin_cut/fabric04_thin_cut_img/rgb_0423.png</t>
  </si>
  <si>
    <t>thin_cut/fabric04_thin_cut_img/rgb_0424.png</t>
  </si>
  <si>
    <t>thin_cut/fabric04_thin_cut_img/rgb_0425.png</t>
  </si>
  <si>
    <t>thin_cut/fabric04_thin_cut_img/rgb_0426.png</t>
  </si>
  <si>
    <t>thin_cut/fabric04_thin_cut_img/rgb_0427.png</t>
  </si>
  <si>
    <t>thin_cut/fabric04_thin_cut_img/rgb_0428.png</t>
  </si>
  <si>
    <t>thin_cut/fabric04_thin_cut_img/rgb_0429.png</t>
  </si>
  <si>
    <t>thin_cut/fabric04_thin_cut_img/rgb_0430.png</t>
  </si>
  <si>
    <t>thin_cut/fabric04_thin_cut_img/rgb_0431.png</t>
  </si>
  <si>
    <t>thin_cut/fabric04_thin_cut_img/rgb_0432.png</t>
  </si>
  <si>
    <t>thin_cut/fabric04_thin_cut_img/rgb_0433.png</t>
  </si>
  <si>
    <t>thin_cut/fabric04_thin_cut_img/rgb_0434.png</t>
  </si>
  <si>
    <t>thin_cut/fabric04_thin_cut_img/rgb_0435.png</t>
  </si>
  <si>
    <t>thin_cut/fabric04_thin_cut_img/rgb_0436.png</t>
  </si>
  <si>
    <t>thin_cut/fabric04_thin_cut_img/rgb_0437.png</t>
  </si>
  <si>
    <t>thin_cut/fabric04_thin_cut_img/rgb_0438.png</t>
  </si>
  <si>
    <t>thin_cut/fabric04_thin_cut_img/rgb_0439.png</t>
  </si>
  <si>
    <t>thin_cut/fabric04_thin_cut_img/rgb_0440.png</t>
  </si>
  <si>
    <t>thin_cut/fabric04_thin_cut_img/rgb_0441.png</t>
  </si>
  <si>
    <t>thin_cut/fabric04_thin_cut_img/rgb_0442.png</t>
  </si>
  <si>
    <t>thin_cut/fabric04_thin_cut_img/rgb_0443.png</t>
  </si>
  <si>
    <t>thin_cut/fabric04_thin_cut_img/rgb_0444.png</t>
  </si>
  <si>
    <t>thin_cut/fabric04_thin_cut_img/rgb_0513.png</t>
  </si>
  <si>
    <t>thin_cut/fabric04_thin_cut_img/rgb_0514.png</t>
  </si>
  <si>
    <t>thin_cut/fabric04_thin_cut_img/rgb_0515.png</t>
  </si>
  <si>
    <t>thin_cut/fabric04_thin_cut_img/rgb_0516.png</t>
  </si>
  <si>
    <t>thin_cut/fabric04_thin_cut_img/rgb_0517.png</t>
  </si>
  <si>
    <t>thin_cut/fabric04_thin_cut_img/rgb_0518.png</t>
  </si>
  <si>
    <t>thin_cut/fabric04_thin_cut_img/rgb_0519.png</t>
  </si>
  <si>
    <t>thin_cut/fabric04_thin_cut_img/rgb_0520.png</t>
  </si>
  <si>
    <t>thin_cut/fabric04_thin_cut_img/rgb_0521.png</t>
  </si>
  <si>
    <t>thin_cut/fabric04_thin_cut_img/rgb_0522.png</t>
  </si>
  <si>
    <t>thin_cut/fabric04_thin_cut_img/rgb_0523.png</t>
  </si>
  <si>
    <t>thin_cut/fabric04_thin_cut_img/rgb_0524.png</t>
  </si>
  <si>
    <t>thin_cut/fabric04_thin_cut_img/rgb_0525.png</t>
  </si>
  <si>
    <t>thin_cut/fabric04_thin_cut_img/rgb_0526.png</t>
  </si>
  <si>
    <t>thin_cut/fabric04_thin_cut_img/rgb_0527.png</t>
  </si>
  <si>
    <t>thin_cut/fabric04_thin_cut_img/rgb_0528.png</t>
  </si>
  <si>
    <t>thin_cut/fabric04_thin_cut_img/rgb_0529.png</t>
  </si>
  <si>
    <t>thin_cut/fabric04_thin_cut_img/rgb_0530.png</t>
  </si>
  <si>
    <t>thin_cut/fabric04_thin_cut_img/rgb_0531.png</t>
  </si>
  <si>
    <t>thin_cut/fabric04_thin_cut_img/rgb_0532.png</t>
  </si>
  <si>
    <t>thin_cut/fabric04_thin_cut_img/rgb_0533.png</t>
  </si>
  <si>
    <t>thin_cut/fabric04_thin_cut_img/rgb_0534.png</t>
  </si>
  <si>
    <t>thin_cut/fabric04_thin_cut_img/rgb_0535.png</t>
  </si>
  <si>
    <t>thin_cut/fabric04_thin_cut_img/rgb_0536.png</t>
  </si>
  <si>
    <t>thin_cut/fabric04_thin_cut_img/rgb_0605.png</t>
  </si>
  <si>
    <t>thin_cut/fabric04_thin_cut_img/rgb_0606.png</t>
  </si>
  <si>
    <t>thin_cut/fabric04_thin_cut_img/rgb_0607.png</t>
  </si>
  <si>
    <t>thin_cut/fabric04_thin_cut_img/rgb_0608.png</t>
  </si>
  <si>
    <t>thin_cut/fabric04_thin_cut_img/rgb_0609.png</t>
  </si>
  <si>
    <t>thin_cut/fabric04_thin_cut_img/rgb_0610.png</t>
  </si>
  <si>
    <t>thin_cut/fabric04_thin_cut_img/rgb_0611.png</t>
  </si>
  <si>
    <t>thin_cut/fabric04_thin_cut_img/rgb_0612.png</t>
  </si>
  <si>
    <t>thin_cut/fabric04_thin_cut_img/rgb_0613.png</t>
  </si>
  <si>
    <t>thin_cut/fabric04_thin_cut_img/rgb_0614.png</t>
  </si>
  <si>
    <t>thin_cut/fabric04_thin_cut_img/rgb_0615.png</t>
  </si>
  <si>
    <t>thin_cut/fabric04_thin_cut_img/rgb_0616.png</t>
  </si>
  <si>
    <t>thin_cut/fabric04_thin_cut_img/rgb_0617.png</t>
  </si>
  <si>
    <t>thin_cut/fabric04_thin_cut_img/rgb_0618.png</t>
  </si>
  <si>
    <t>thin_cut/fabric04_thin_cut_img/rgb_0619.png</t>
  </si>
  <si>
    <t>thin_cut/fabric04_thin_cut_img/rgb_0620.png</t>
  </si>
  <si>
    <t>thin_cut/fabric04_thin_cut_img/rgb_0621.png</t>
  </si>
  <si>
    <t>thin_cut/fabric04_thin_cut_img/rgb_0622.png</t>
  </si>
  <si>
    <t>thin_cut/fabric04_thin_cut_img/rgb_0623.png</t>
  </si>
  <si>
    <t>thin_cut/fabric04_thin_cut_img/rgb_0624.png</t>
  </si>
  <si>
    <t>thin_cut/fabric04_thin_cut_img/rgb_0625.png</t>
  </si>
  <si>
    <t>thin_cut/fabric04_thin_cut_img/rgb_0626.png</t>
  </si>
  <si>
    <t>thin_cut/fabric04_thin_cut_img/rgb_0627.png</t>
  </si>
  <si>
    <t>thin_cut/fabric04_thin_cut_img/rgb_0628.png</t>
  </si>
  <si>
    <t>thin_cut/fabric04_thin_cut_img/rgb_0697.png</t>
  </si>
  <si>
    <t>thin_cut/fabric04_thin_cut_img/rgb_0698.png</t>
  </si>
  <si>
    <t>thin_cut/fabric04_thin_cut_img/rgb_0699.png</t>
  </si>
  <si>
    <t>thin_cut/fabric04_thin_cut_img/rgb_0700.png</t>
  </si>
  <si>
    <t>thin_cut/fabric04_thin_cut_img/rgb_0701.png</t>
  </si>
  <si>
    <t>thin_cut/fabric04_thin_cut_img/rgb_0702.png</t>
  </si>
  <si>
    <t>thin_cut/fabric04_thin_cut_img/rgb_0703.png</t>
  </si>
  <si>
    <t>thin_cut/fabric04_thin_cut_img/rgb_0704.png</t>
  </si>
  <si>
    <t>thin_cut/fabric04_thin_cut_img/rgb_0705.png</t>
  </si>
  <si>
    <t>thin_cut/fabric04_thin_cut_img/rgb_0706.png</t>
  </si>
  <si>
    <t>thin_cut/fabric04_thin_cut_img/rgb_0707.png</t>
  </si>
  <si>
    <t>thin_cut/fabric04_thin_cut_img/rgb_0708.png</t>
  </si>
  <si>
    <t>thin_cut/fabric04_thin_cut_img/rgb_0709.png</t>
  </si>
  <si>
    <t>thin_cut/fabric04_thin_cut_img/rgb_0710.png</t>
  </si>
  <si>
    <t>thin_cut/fabric04_thin_cut_img/rgb_0711.png</t>
  </si>
  <si>
    <t>thin_cut/fabric04_thin_cut_img/rgb_0712.png</t>
  </si>
  <si>
    <t>thin_cut/fabric04_thin_cut_img/rgb_0713.png</t>
  </si>
  <si>
    <t>thin_cut/fabric04_thin_cut_img/rgb_0714.png</t>
  </si>
  <si>
    <t>thin_cut/fabric04_thin_cut_img/rgb_0715.png</t>
  </si>
  <si>
    <t>thin_cut/fabric04_thin_cut_img/rgb_0716.png</t>
  </si>
  <si>
    <t>thin_cut/fabric04_thin_cut_img/rgb_0717.png</t>
  </si>
  <si>
    <t>thin_cut/fabric04_thin_cut_img/rgb_0718.png</t>
  </si>
  <si>
    <t>thin_cut/fabric04_thin_cut_img/rgb_0719.png</t>
  </si>
  <si>
    <t>thin_cut/fabric04_thin_cut_img/rgb_0720.png</t>
  </si>
  <si>
    <t>thin_cut/fabric04_thin_cut_img/rgb_0791.png</t>
  </si>
  <si>
    <t>thin_cut/fabric04_thin_cut_img/rgb_0792.png</t>
  </si>
  <si>
    <t>thin_cut/fabric04_thin_cut_img/rgb_0793.png</t>
  </si>
  <si>
    <t>thin_cut/fabric04_thin_cut_img/rgb_0794.png</t>
  </si>
  <si>
    <t>thin_cut/fabric04_thin_cut_img/rgb_0795.png</t>
  </si>
  <si>
    <t>thin_cut/fabric04_thin_cut_img/rgb_0796.png</t>
  </si>
  <si>
    <t>thin_cut/fabric04_thin_cut_img/rgb_0797.png</t>
  </si>
  <si>
    <t>thin_cut/fabric04_thin_cut_img/rgb_0798.png</t>
  </si>
  <si>
    <t>thin_cut/fabric04_thin_cut_img/rgb_0799.png</t>
  </si>
  <si>
    <t>thin_cut/fabric04_thin_cut_img/rgb_0800.png</t>
  </si>
  <si>
    <t>thin_cut/fabric04_thin_cut_img/rgb_0801.png</t>
  </si>
  <si>
    <t>thin_cut/fabric04_thin_cut_img/rgb_0802.png</t>
  </si>
  <si>
    <t>thin_cut/fabric04_thin_cut_img/rgb_0803.png</t>
  </si>
  <si>
    <t>thin_cut/fabric04_thin_cut_img/rgb_0804.png</t>
  </si>
  <si>
    <t>thin_cut/fabric04_thin_cut_img/rgb_0805.png</t>
  </si>
  <si>
    <t>thin_cut/fabric04_thin_cut_img/rgb_0806.png</t>
  </si>
  <si>
    <t>thin_cut/fabric04_thin_cut_img/rgb_0807.png</t>
  </si>
  <si>
    <t>thin_cut/fabric04_thin_cut_img/rgb_0808.png</t>
  </si>
  <si>
    <t>thin_cut/fabric04_thin_cut_img/rgb_0809.png</t>
  </si>
  <si>
    <t>thin_cut/fabric04_thin_cut_img/rgb_0810.png</t>
  </si>
  <si>
    <t>thin_cut/fabric04_thin_cut_img/rgb_0811.png</t>
  </si>
  <si>
    <t>thin_cut/fabric04_thin_cut_img/rgb_0812.png</t>
  </si>
  <si>
    <t>thin_cut/fabric04_thin_cut_img/rgb_0813.png</t>
  </si>
  <si>
    <t>thin_cut/fabric04_thin_cut_img/rgb_0814.png</t>
  </si>
  <si>
    <t>thin_cut/fabric04_thin_cut_img/rgb_0885.png</t>
  </si>
  <si>
    <t>thin_cut/fabric04_thin_cut_img/rgb_0886.png</t>
  </si>
  <si>
    <t>thin_cut/fabric04_thin_cut_img/rgb_0887.png</t>
  </si>
  <si>
    <t>thin_cut/fabric04_thin_cut_img/rgb_0888.png</t>
  </si>
  <si>
    <t>thin_cut/fabric04_thin_cut_img/rgb_0889.png</t>
  </si>
  <si>
    <t>thin_cut/fabric04_thin_cut_img/rgb_0890.png</t>
  </si>
  <si>
    <t>thin_cut/fabric04_thin_cut_img/rgb_0891.png</t>
  </si>
  <si>
    <t>thin_cut/fabric04_thin_cut_img/rgb_0892.png</t>
  </si>
  <si>
    <t>thin_cut/fabric04_thin_cut_img/rgb_0893.png</t>
  </si>
  <si>
    <t>thin_cut/fabric04_thin_cut_img/rgb_0894.png</t>
  </si>
  <si>
    <t>thin_cut/fabric04_thin_cut_img/rgb_0895.png</t>
  </si>
  <si>
    <t>thin_cut/fabric04_thin_cut_img/rgb_0896.png</t>
  </si>
  <si>
    <t>thin_cut/fabric04_thin_cut_img/rgb_0897.png</t>
  </si>
  <si>
    <t>thin_cut/fabric04_thin_cut_img/rgb_0898.png</t>
  </si>
  <si>
    <t>thin_cut/fabric04_thin_cut_img/rgb_0899.png</t>
  </si>
  <si>
    <t>thin_cut/fabric04_thin_cut_img/rgb_0900.png</t>
  </si>
  <si>
    <t>thin_cut/fabric04_thin_cut_img/rgb_0901.png</t>
  </si>
  <si>
    <t>thin_cut/fabric04_thin_cut_img/rgb_0902.png</t>
  </si>
  <si>
    <t>thin_cut/fabric04_thin_cut_img/rgb_0903.png</t>
  </si>
  <si>
    <t>thin_cut/fabric04_thin_cut_img/rgb_0904.png</t>
  </si>
  <si>
    <t>thin_cut/fabric04_thin_cut_img/rgb_0905.png</t>
  </si>
  <si>
    <t>thin_cut/fabric04_thin_cut_img/rgb_0906.png</t>
  </si>
  <si>
    <t>thin_cut/fabric04_thin_cut_img/rgb_0907.png</t>
  </si>
  <si>
    <t>thin_cut/fabric04_thin_cut_img/rgb_0908.png</t>
  </si>
  <si>
    <t>thin_cut/fabric05_thin_cut_img/rgb_0093.png</t>
  </si>
  <si>
    <t>thin_cut/fabric05_thin_cut_img/rgb_0094.png</t>
  </si>
  <si>
    <t>thin_cut/fabric05_thin_cut_img/rgb_0095.png</t>
  </si>
  <si>
    <t>thin_cut/fabric05_thin_cut_img/rgb_0096.png</t>
  </si>
  <si>
    <t>thin_cut/fabric05_thin_cut_img/rgb_0097.png</t>
  </si>
  <si>
    <t>thin_cut/fabric05_thin_cut_img/rgb_0098.png</t>
  </si>
  <si>
    <t>thin_cut/fabric05_thin_cut_img/rgb_0099.png</t>
  </si>
  <si>
    <t>thin_cut/fabric05_thin_cut_img/rgb_0100.png</t>
  </si>
  <si>
    <t>thin_cut/fabric05_thin_cut_img/rgb_0101.png</t>
  </si>
  <si>
    <t>thin_cut/fabric05_thin_cut_img/rgb_0102.png</t>
  </si>
  <si>
    <t>thin_cut/fabric05_thin_cut_img/rgb_0103.png</t>
  </si>
  <si>
    <t>thin_cut/fabric05_thin_cut_img/rgb_0104.png</t>
  </si>
  <si>
    <t>thin_cut/fabric05_thin_cut_img/rgb_0105.png</t>
  </si>
  <si>
    <t>thin_cut/fabric05_thin_cut_img/rgb_0106.png</t>
  </si>
  <si>
    <t>thin_cut/fabric05_thin_cut_img/rgb_0107.png</t>
  </si>
  <si>
    <t>thin_cut/fabric05_thin_cut_img/rgb_0108.png</t>
  </si>
  <si>
    <t>thin_cut/fabric05_thin_cut_img/rgb_0109.png</t>
  </si>
  <si>
    <t>thin_cut/fabric05_thin_cut_img/rgb_0110.png</t>
  </si>
  <si>
    <t>thin_cut/fabric05_thin_cut_img/rgb_0111.png</t>
  </si>
  <si>
    <t>thin_cut/fabric05_thin_cut_img/rgb_0112.png</t>
  </si>
  <si>
    <t>thin_cut/fabric05_thin_cut_img/rgb_0113.png</t>
  </si>
  <si>
    <t>thin_cut/fabric05_thin_cut_img/rgb_0114.png</t>
  </si>
  <si>
    <t>thin_cut/fabric05_thin_cut_img/rgb_0115.png</t>
  </si>
  <si>
    <t>thin_cut/fabric05_thin_cut_img/rgb_0116.png</t>
  </si>
  <si>
    <t>thin_cut/fabric05_thin_cut_img/rgb_0117.png</t>
  </si>
  <si>
    <t>thin_cut/fabric05_thin_cut_img/rgb_0118.png</t>
  </si>
  <si>
    <t>thin_cut/fabric05_thin_cut_img/rgb_0186.png</t>
  </si>
  <si>
    <t>thin_cut/fabric05_thin_cut_img/rgb_0187.png</t>
  </si>
  <si>
    <t>thin_cut/fabric05_thin_cut_img/rgb_0188.png</t>
  </si>
  <si>
    <t>thin_cut/fabric05_thin_cut_img/rgb_0189.png</t>
  </si>
  <si>
    <t>thin_cut/fabric05_thin_cut_img/rgb_0190.png</t>
  </si>
  <si>
    <t>thin_cut/fabric05_thin_cut_img/rgb_0191.png</t>
  </si>
  <si>
    <t>thin_cut/fabric05_thin_cut_img/rgb_0192.png</t>
  </si>
  <si>
    <t>thin_cut/fabric05_thin_cut_img/rgb_0193.png</t>
  </si>
  <si>
    <t>thin_cut/fabric05_thin_cut_img/rgb_0194.png</t>
  </si>
  <si>
    <t>thin_cut/fabric05_thin_cut_img/rgb_0195.png</t>
  </si>
  <si>
    <t>thin_cut/fabric05_thin_cut_img/rgb_0196.png</t>
  </si>
  <si>
    <t>thin_cut/fabric05_thin_cut_img/rgb_0197.png</t>
  </si>
  <si>
    <t>thin_cut/fabric05_thin_cut_img/rgb_0198.png</t>
  </si>
  <si>
    <t>thin_cut/fabric05_thin_cut_img/rgb_0199.png</t>
  </si>
  <si>
    <t>thin_cut/fabric05_thin_cut_img/rgb_0200.png</t>
  </si>
  <si>
    <t>thin_cut/fabric05_thin_cut_img/rgb_0201.png</t>
  </si>
  <si>
    <t>thin_cut/fabric05_thin_cut_img/rgb_0202.png</t>
  </si>
  <si>
    <t>thin_cut/fabric05_thin_cut_img/rgb_0203.png</t>
  </si>
  <si>
    <t>thin_cut/fabric05_thin_cut_img/rgb_0204.png</t>
  </si>
  <si>
    <t>thin_cut/fabric05_thin_cut_img/rgb_0205.png</t>
  </si>
  <si>
    <t>thin_cut/fabric05_thin_cut_img/rgb_0206.png</t>
  </si>
  <si>
    <t>thin_cut/fabric05_thin_cut_img/rgb_0207.png</t>
  </si>
  <si>
    <t>thin_cut/fabric05_thin_cut_img/rgb_0208.png</t>
  </si>
  <si>
    <t>thin_cut/fabric05_thin_cut_img/rgb_0209.png</t>
  </si>
  <si>
    <t>thin_cut/fabric05_thin_cut_img/rgb_0210.png</t>
  </si>
  <si>
    <t>thin_cut/fabric05_thin_cut_img/rgb_0278.png</t>
  </si>
  <si>
    <t>thin_cut/fabric05_thin_cut_img/rgb_0279.png</t>
  </si>
  <si>
    <t>thin_cut/fabric05_thin_cut_img/rgb_0280.png</t>
  </si>
  <si>
    <t>thin_cut/fabric05_thin_cut_img/rgb_0281.png</t>
  </si>
  <si>
    <t>thin_cut/fabric05_thin_cut_img/rgb_0282.png</t>
  </si>
  <si>
    <t>thin_cut/fabric05_thin_cut_img/rgb_0283.png</t>
  </si>
  <si>
    <t>thin_cut/fabric05_thin_cut_img/rgb_0284.png</t>
  </si>
  <si>
    <t>thin_cut/fabric05_thin_cut_img/rgb_0285.png</t>
  </si>
  <si>
    <t>thin_cut/fabric05_thin_cut_img/rgb_0286.png</t>
  </si>
  <si>
    <t>thin_cut/fabric05_thin_cut_img/rgb_0287.png</t>
  </si>
  <si>
    <t>thin_cut/fabric05_thin_cut_img/rgb_0288.png</t>
  </si>
  <si>
    <t>thin_cut/fabric05_thin_cut_img/rgb_0289.png</t>
  </si>
  <si>
    <t>thin_cut/fabric05_thin_cut_img/rgb_0290.png</t>
  </si>
  <si>
    <t>thin_cut/fabric05_thin_cut_img/rgb_0291.png</t>
  </si>
  <si>
    <t>thin_cut/fabric05_thin_cut_img/rgb_0292.png</t>
  </si>
  <si>
    <t>thin_cut/fabric05_thin_cut_img/rgb_0293.png</t>
  </si>
  <si>
    <t>thin_cut/fabric05_thin_cut_img/rgb_0294.png</t>
  </si>
  <si>
    <t>thin_cut/fabric05_thin_cut_img/rgb_0295.png</t>
  </si>
  <si>
    <t>thin_cut/fabric05_thin_cut_img/rgb_0296.png</t>
  </si>
  <si>
    <t>thin_cut/fabric05_thin_cut_img/rgb_0297.png</t>
  </si>
  <si>
    <t>thin_cut/fabric05_thin_cut_img/rgb_0298.png</t>
  </si>
  <si>
    <t>thin_cut/fabric05_thin_cut_img/rgb_0299.png</t>
  </si>
  <si>
    <t>thin_cut/fabric05_thin_cut_img/rgb_0300.png</t>
  </si>
  <si>
    <t>thin_cut/fabric05_thin_cut_img/rgb_0301.png</t>
  </si>
  <si>
    <t>thin_cut/fabric05_thin_cut_img/rgb_0302.png</t>
  </si>
  <si>
    <t>thin_cut/fabric05_thin_cut_img/rgb_0370.png</t>
  </si>
  <si>
    <t>thin_cut/fabric05_thin_cut_img/rgb_0371.png</t>
  </si>
  <si>
    <t>thin_cut/fabric05_thin_cut_img/rgb_0372.png</t>
  </si>
  <si>
    <t>thin_cut/fabric05_thin_cut_img/rgb_0373.png</t>
  </si>
  <si>
    <t>thin_cut/fabric05_thin_cut_img/rgb_0374.png</t>
  </si>
  <si>
    <t>thin_cut/fabric05_thin_cut_img/rgb_0375.png</t>
  </si>
  <si>
    <t>thin_cut/fabric05_thin_cut_img/rgb_0376.png</t>
  </si>
  <si>
    <t>thin_cut/fabric05_thin_cut_img/rgb_0377.png</t>
  </si>
  <si>
    <t>thin_cut/fabric05_thin_cut_img/rgb_0378.png</t>
  </si>
  <si>
    <t>thin_cut/fabric05_thin_cut_img/rgb_0379.png</t>
  </si>
  <si>
    <t>thin_cut/fabric05_thin_cut_img/rgb_0380.png</t>
  </si>
  <si>
    <t>thin_cut/fabric05_thin_cut_img/rgb_0381.png</t>
  </si>
  <si>
    <t>thin_cut/fabric05_thin_cut_img/rgb_0382.png</t>
  </si>
  <si>
    <t>thin_cut/fabric05_thin_cut_img/rgb_0383.png</t>
  </si>
  <si>
    <t>thin_cut/fabric05_thin_cut_img/rgb_0384.png</t>
  </si>
  <si>
    <t>thin_cut/fabric05_thin_cut_img/rgb_0385.png</t>
  </si>
  <si>
    <t>thin_cut/fabric05_thin_cut_img/rgb_0386.png</t>
  </si>
  <si>
    <t>thin_cut/fabric05_thin_cut_img/rgb_0387.png</t>
  </si>
  <si>
    <t>thin_cut/fabric05_thin_cut_img/rgb_0388.png</t>
  </si>
  <si>
    <t>thin_cut/fabric05_thin_cut_img/rgb_0389.png</t>
  </si>
  <si>
    <t>thin_cut/fabric05_thin_cut_img/rgb_0390.png</t>
  </si>
  <si>
    <t>thin_cut/fabric05_thin_cut_img/rgb_0391.png</t>
  </si>
  <si>
    <t>thin_cut/fabric05_thin_cut_img/rgb_0392.png</t>
  </si>
  <si>
    <t>thin_cut/fabric05_thin_cut_img/rgb_0393.png</t>
  </si>
  <si>
    <t>thin_cut/fabric05_thin_cut_img/rgb_0394.png</t>
  </si>
  <si>
    <t>thin_cut/fabric05_thin_cut_img/rgb_0395.png</t>
  </si>
  <si>
    <t>thin_cut/fabric05_thin_cut_img/rgb_0461.png</t>
  </si>
  <si>
    <t>thin_cut/fabric05_thin_cut_img/rgb_0462.png</t>
  </si>
  <si>
    <t>thin_cut/fabric05_thin_cut_img/rgb_0463.png</t>
  </si>
  <si>
    <t>thin_cut/fabric05_thin_cut_img/rgb_0464.png</t>
  </si>
  <si>
    <t>thin_cut/fabric05_thin_cut_img/rgb_0465.png</t>
  </si>
  <si>
    <t>thin_cut/fabric05_thin_cut_img/rgb_0466.png</t>
  </si>
  <si>
    <t>thin_cut/fabric05_thin_cut_img/rgb_0467.png</t>
  </si>
  <si>
    <t>thin_cut/fabric05_thin_cut_img/rgb_0468.png</t>
  </si>
  <si>
    <t>thin_cut/fabric05_thin_cut_img/rgb_0469.png</t>
  </si>
  <si>
    <t>thin_cut/fabric05_thin_cut_img/rgb_0470.png</t>
  </si>
  <si>
    <t>thin_cut/fabric05_thin_cut_img/rgb_0471.png</t>
  </si>
  <si>
    <t>thin_cut/fabric05_thin_cut_img/rgb_0472.png</t>
  </si>
  <si>
    <t>thin_cut/fabric05_thin_cut_img/rgb_0473.png</t>
  </si>
  <si>
    <t>thin_cut/fabric05_thin_cut_img/rgb_0474.png</t>
  </si>
  <si>
    <t>thin_cut/fabric05_thin_cut_img/rgb_0475.png</t>
  </si>
  <si>
    <t>thin_cut/fabric05_thin_cut_img/rgb_0476.png</t>
  </si>
  <si>
    <t>thin_cut/fabric05_thin_cut_img/rgb_0477.png</t>
  </si>
  <si>
    <t>thin_cut/fabric05_thin_cut_img/rgb_0478.png</t>
  </si>
  <si>
    <t>thin_cut/fabric05_thin_cut_img/rgb_0479.png</t>
  </si>
  <si>
    <t>thin_cut/fabric05_thin_cut_img/rgb_0480.png</t>
  </si>
  <si>
    <t>thin_cut/fabric05_thin_cut_img/rgb_0481.png</t>
  </si>
  <si>
    <t>thin_cut/fabric05_thin_cut_img/rgb_0482.png</t>
  </si>
  <si>
    <t>thin_cut/fabric05_thin_cut_img/rgb_0483.png</t>
  </si>
  <si>
    <t>thin_cut/fabric05_thin_cut_img/rgb_0484.png</t>
  </si>
  <si>
    <t>thin_cut/fabric05_thin_cut_img/rgb_0485.png</t>
  </si>
  <si>
    <t>thin_cut/fabric05_thin_cut_img/rgb_0486.png</t>
  </si>
  <si>
    <t>thin_cut/fabric05_thin_cut_img/rgb_0554.png</t>
  </si>
  <si>
    <t>thin_cut/fabric05_thin_cut_img/rgb_0555.png</t>
  </si>
  <si>
    <t>thin_cut/fabric05_thin_cut_img/rgb_0556.png</t>
  </si>
  <si>
    <t>thin_cut/fabric05_thin_cut_img/rgb_0557.png</t>
  </si>
  <si>
    <t>thin_cut/fabric05_thin_cut_img/rgb_0558.png</t>
  </si>
  <si>
    <t>thin_cut/fabric05_thin_cut_img/rgb_0559.png</t>
  </si>
  <si>
    <t>thin_cut/fabric05_thin_cut_img/rgb_0560.png</t>
  </si>
  <si>
    <t>thin_cut/fabric05_thin_cut_img/rgb_0561.png</t>
  </si>
  <si>
    <t>thin_cut/fabric05_thin_cut_img/rgb_0562.png</t>
  </si>
  <si>
    <t>thin_cut/fabric05_thin_cut_img/rgb_0563.png</t>
  </si>
  <si>
    <t>thin_cut/fabric05_thin_cut_img/rgb_0564.png</t>
  </si>
  <si>
    <t>thin_cut/fabric05_thin_cut_img/rgb_0565.png</t>
  </si>
  <si>
    <t>thin_cut/fabric05_thin_cut_img/rgb_0566.png</t>
  </si>
  <si>
    <t>thin_cut/fabric05_thin_cut_img/rgb_0567.png</t>
  </si>
  <si>
    <t>thin_cut/fabric05_thin_cut_img/rgb_0568.png</t>
  </si>
  <si>
    <t>thin_cut/fabric05_thin_cut_img/rgb_0569.png</t>
  </si>
  <si>
    <t>thin_cut/fabric05_thin_cut_img/rgb_0570.png</t>
  </si>
  <si>
    <t>thin_cut/fabric05_thin_cut_img/rgb_0571.png</t>
  </si>
  <si>
    <t>thin_cut/fabric05_thin_cut_img/rgb_0572.png</t>
  </si>
  <si>
    <t>thin_cut/fabric05_thin_cut_img/rgb_0573.png</t>
  </si>
  <si>
    <t>thin_cut/fabric05_thin_cut_img/rgb_0574.png</t>
  </si>
  <si>
    <t>thin_cut/fabric05_thin_cut_img/rgb_0575.png</t>
  </si>
  <si>
    <t>thin_cut/fabric05_thin_cut_img/rgb_0576.png</t>
  </si>
  <si>
    <t>thin_cut/fabric05_thin_cut_img/rgb_0577.png</t>
  </si>
  <si>
    <t>thin_cut/fabric05_thin_cut_img/rgb_0578.png</t>
  </si>
  <si>
    <t>thin_cut/fabric05_thin_cut_img/rgb_0649.png</t>
  </si>
  <si>
    <t>thin_cut/fabric05_thin_cut_img/rgb_0650.png</t>
  </si>
  <si>
    <t>thin_cut/fabric05_thin_cut_img/rgb_0651.png</t>
  </si>
  <si>
    <t>thin_cut/fabric05_thin_cut_img/rgb_0652.png</t>
  </si>
  <si>
    <t>thin_cut/fabric05_thin_cut_img/rgb_0653.png</t>
  </si>
  <si>
    <t>thin_cut/fabric05_thin_cut_img/rgb_0654.png</t>
  </si>
  <si>
    <t>thin_cut/fabric05_thin_cut_img/rgb_0655.png</t>
  </si>
  <si>
    <t>thin_cut/fabric05_thin_cut_img/rgb_0656.png</t>
  </si>
  <si>
    <t>thin_cut/fabric05_thin_cut_img/rgb_0657.png</t>
  </si>
  <si>
    <t>thin_cut/fabric05_thin_cut_img/rgb_0658.png</t>
  </si>
  <si>
    <t>thin_cut/fabric05_thin_cut_img/rgb_0659.png</t>
  </si>
  <si>
    <t>thin_cut/fabric05_thin_cut_img/rgb_0660.png</t>
  </si>
  <si>
    <t>thin_cut/fabric05_thin_cut_img/rgb_0661.png</t>
  </si>
  <si>
    <t>thin_cut/fabric05_thin_cut_img/rgb_0662.png</t>
  </si>
  <si>
    <t>thin_cut/fabric05_thin_cut_img/rgb_0663.png</t>
  </si>
  <si>
    <t>thin_cut/fabric05_thin_cut_img/rgb_0664.png</t>
  </si>
  <si>
    <t>thin_cut/fabric05_thin_cut_img/rgb_0665.png</t>
  </si>
  <si>
    <t>thin_cut/fabric05_thin_cut_img/rgb_0666.png</t>
  </si>
  <si>
    <t>thin_cut/fabric05_thin_cut_img/rgb_0667.png</t>
  </si>
  <si>
    <t>thin_cut/fabric05_thin_cut_img/rgb_0668.png</t>
  </si>
  <si>
    <t>thin_cut/fabric05_thin_cut_img/rgb_0669.png</t>
  </si>
  <si>
    <t>thin_cut/fabric05_thin_cut_img/rgb_0670.png</t>
  </si>
  <si>
    <t>thin_cut/fabric05_thin_cut_img/rgb_0671.png</t>
  </si>
  <si>
    <t>thin_cut/fabric05_thin_cut_img/rgb_0672.png</t>
  </si>
  <si>
    <t>thin_cut/fabric05_thin_cut_img/rgb_0740.png</t>
  </si>
  <si>
    <t>thin_cut/fabric05_thin_cut_img/rgb_0741.png</t>
  </si>
  <si>
    <t>thin_cut/fabric05_thin_cut_img/rgb_0742.png</t>
  </si>
  <si>
    <t>thin_cut/fabric05_thin_cut_img/rgb_0743.png</t>
  </si>
  <si>
    <t>thin_cut/fabric05_thin_cut_img/rgb_0744.png</t>
  </si>
  <si>
    <t>thin_cut/fabric05_thin_cut_img/rgb_0745.png</t>
  </si>
  <si>
    <t>thin_cut/fabric05_thin_cut_img/rgb_0746.png</t>
  </si>
  <si>
    <t>thin_cut/fabric05_thin_cut_img/rgb_0747.png</t>
  </si>
  <si>
    <t>thin_cut/fabric05_thin_cut_img/rgb_0748.png</t>
  </si>
  <si>
    <t>thin_cut/fabric05_thin_cut_img/rgb_0749.png</t>
  </si>
  <si>
    <t>thin_cut/fabric05_thin_cut_img/rgb_0750.png</t>
  </si>
  <si>
    <t>thin_cut/fabric05_thin_cut_img/rgb_0751.png</t>
  </si>
  <si>
    <t>thin_cut/fabric05_thin_cut_img/rgb_0752.png</t>
  </si>
  <si>
    <t>thin_cut/fabric05_thin_cut_img/rgb_0753.png</t>
  </si>
  <si>
    <t>thin_cut/fabric05_thin_cut_img/rgb_0754.png</t>
  </si>
  <si>
    <t>thin_cut/fabric05_thin_cut_img/rgb_0755.png</t>
  </si>
  <si>
    <t>thin_cut/fabric05_thin_cut_img/rgb_0756.png</t>
  </si>
  <si>
    <t>thin_cut/fabric05_thin_cut_img/rgb_0757.png</t>
  </si>
  <si>
    <t>thin_cut/fabric05_thin_cut_img/rgb_0758.png</t>
  </si>
  <si>
    <t>thin_cut/fabric05_thin_cut_img/rgb_0759.png</t>
  </si>
  <si>
    <t>thin_cut/fabric05_thin_cut_img/rgb_0760.png</t>
  </si>
  <si>
    <t>thin_cut/fabric05_thin_cut_img/rgb_0761.png</t>
  </si>
  <si>
    <t>thin_cut/fabric05_thin_cut_img/rgb_0762.png</t>
  </si>
  <si>
    <t>thin_cut/fabric05_thin_cut_img/rgb_0763.png</t>
  </si>
  <si>
    <t>thin_cut/fabric05_thin_cut_img/rgb_0832.png</t>
  </si>
  <si>
    <t>thin_cut/fabric05_thin_cut_img/rgb_0833.png</t>
  </si>
  <si>
    <t>thin_cut/fabric05_thin_cut_img/rgb_0834.png</t>
  </si>
  <si>
    <t>thin_cut/fabric05_thin_cut_img/rgb_0835.png</t>
  </si>
  <si>
    <t>thin_cut/fabric05_thin_cut_img/rgb_0836.png</t>
  </si>
  <si>
    <t>thin_cut/fabric05_thin_cut_img/rgb_0837.png</t>
  </si>
  <si>
    <t>thin_cut/fabric05_thin_cut_img/rgb_0838.png</t>
  </si>
  <si>
    <t>thin_cut/fabric05_thin_cut_img/rgb_0839.png</t>
  </si>
  <si>
    <t>thin_cut/fabric05_thin_cut_img/rgb_0840.png</t>
  </si>
  <si>
    <t>thin_cut/fabric05_thin_cut_img/rgb_0841.png</t>
  </si>
  <si>
    <t>thin_cut/fabric05_thin_cut_img/rgb_0842.png</t>
  </si>
  <si>
    <t>thin_cut/fabric05_thin_cut_img/rgb_0843.png</t>
  </si>
  <si>
    <t>thin_cut/fabric05_thin_cut_img/rgb_0844.png</t>
  </si>
  <si>
    <t>thin_cut/fabric05_thin_cut_img/rgb_0845.png</t>
  </si>
  <si>
    <t>thin_cut/fabric05_thin_cut_img/rgb_0846.png</t>
  </si>
  <si>
    <t>thin_cut/fabric05_thin_cut_img/rgb_0847.png</t>
  </si>
  <si>
    <t>thin_cut/fabric05_thin_cut_img/rgb_0848.png</t>
  </si>
  <si>
    <t>thin_cut/fabric05_thin_cut_img/rgb_0849.png</t>
  </si>
  <si>
    <t>thin_cut/fabric05_thin_cut_img/rgb_0850.png</t>
  </si>
  <si>
    <t>thin_cut/fabric05_thin_cut_img/rgb_0851.png</t>
  </si>
  <si>
    <t>thin_cut/fabric05_thin_cut_img/rgb_0852.png</t>
  </si>
  <si>
    <t>thin_cut/fabric05_thin_cut_img/rgb_0853.png</t>
  </si>
  <si>
    <t>thin_cut/fabric05_thin_cut_img/rgb_0854.png</t>
  </si>
  <si>
    <t>thin_cut/fabric05_thin_cut_img/rgb_0855.png</t>
  </si>
  <si>
    <t>thin_cut/fabric05_thin_cut_img/rgb_0856.png</t>
  </si>
  <si>
    <t>thin_cut/fabric05_thin_cut_img/rgb_0857.png</t>
  </si>
  <si>
    <t>thin_cut/fabric06_thin_cut_img/rgb_0120.png</t>
  </si>
  <si>
    <t>thin_cut/fabric06_thin_cut_img/rgb_0121.png</t>
  </si>
  <si>
    <t>thin_cut/fabric06_thin_cut_img/rgb_0122.png</t>
  </si>
  <si>
    <t>thin_cut/fabric06_thin_cut_img/rgb_0123.png</t>
  </si>
  <si>
    <t>thin_cut/fabric06_thin_cut_img/rgb_0124.png</t>
  </si>
  <si>
    <t>thin_cut/fabric06_thin_cut_img/rgb_0125.png</t>
  </si>
  <si>
    <t>thin_cut/fabric06_thin_cut_img/rgb_0126.png</t>
  </si>
  <si>
    <t>thin_cut/fabric06_thin_cut_img/rgb_0127.png</t>
  </si>
  <si>
    <t>thin_cut/fabric06_thin_cut_img/rgb_0128.png</t>
  </si>
  <si>
    <t>thin_cut/fabric06_thin_cut_img/rgb_0129.png</t>
  </si>
  <si>
    <t>thin_cut/fabric06_thin_cut_img/rgb_0130.png</t>
  </si>
  <si>
    <t>thin_cut/fabric06_thin_cut_img/rgb_0131.png</t>
  </si>
  <si>
    <t>thin_cut/fabric06_thin_cut_img/rgb_0132.png</t>
  </si>
  <si>
    <t>thin_cut/fabric06_thin_cut_img/rgb_0133.png</t>
  </si>
  <si>
    <t>thin_cut/fabric06_thin_cut_img/rgb_0134.png</t>
  </si>
  <si>
    <t>thin_cut/fabric06_thin_cut_img/rgb_0135.png</t>
  </si>
  <si>
    <t>thin_cut/fabric06_thin_cut_img/rgb_0136.png</t>
  </si>
  <si>
    <t>thin_cut/fabric06_thin_cut_img/rgb_0137.png</t>
  </si>
  <si>
    <t>thin_cut/fabric06_thin_cut_img/rgb_0138.png</t>
  </si>
  <si>
    <t>thin_cut/fabric06_thin_cut_img/rgb_0139.png</t>
  </si>
  <si>
    <t>thin_cut/fabric06_thin_cut_img/rgb_0140.png</t>
  </si>
  <si>
    <t>thin_cut/fabric06_thin_cut_img/rgb_0141.png</t>
  </si>
  <si>
    <t>thin_cut/fabric06_thin_cut_img/rgb_0142.png</t>
  </si>
  <si>
    <t>thin_cut/fabric06_thin_cut_img/rgb_0143.png</t>
  </si>
  <si>
    <t>thin_cut/fabric06_thin_cut_img/rgb_0207.png</t>
  </si>
  <si>
    <t>thin_cut/fabric06_thin_cut_img/rgb_0208.png</t>
  </si>
  <si>
    <t>thin_cut/fabric06_thin_cut_img/rgb_0209.png</t>
  </si>
  <si>
    <t>thin_cut/fabric06_thin_cut_img/rgb_0210.png</t>
  </si>
  <si>
    <t>thin_cut/fabric06_thin_cut_img/rgb_0211.png</t>
  </si>
  <si>
    <t>thin_cut/fabric06_thin_cut_img/rgb_0212.png</t>
  </si>
  <si>
    <t>thin_cut/fabric06_thin_cut_img/rgb_0213.png</t>
  </si>
  <si>
    <t>thin_cut/fabric06_thin_cut_img/rgb_0214.png</t>
  </si>
  <si>
    <t>thin_cut/fabric06_thin_cut_img/rgb_0215.png</t>
  </si>
  <si>
    <t>thin_cut/fabric06_thin_cut_img/rgb_0216.png</t>
  </si>
  <si>
    <t>thin_cut/fabric06_thin_cut_img/rgb_0217.png</t>
  </si>
  <si>
    <t>thin_cut/fabric06_thin_cut_img/rgb_0218.png</t>
  </si>
  <si>
    <t>thin_cut/fabric06_thin_cut_img/rgb_0219.png</t>
  </si>
  <si>
    <t>thin_cut/fabric06_thin_cut_img/rgb_0220.png</t>
  </si>
  <si>
    <t>thin_cut/fabric06_thin_cut_img/rgb_0221.png</t>
  </si>
  <si>
    <t>thin_cut/fabric06_thin_cut_img/rgb_0222.png</t>
  </si>
  <si>
    <t>thin_cut/fabric06_thin_cut_img/rgb_0223.png</t>
  </si>
  <si>
    <t>thin_cut/fabric06_thin_cut_img/rgb_0224.png</t>
  </si>
  <si>
    <t>thin_cut/fabric06_thin_cut_img/rgb_0225.png</t>
  </si>
  <si>
    <t>thin_cut/fabric06_thin_cut_img/rgb_0226.png</t>
  </si>
  <si>
    <t>thin_cut/fabric06_thin_cut_img/rgb_0227.png</t>
  </si>
  <si>
    <t>thin_cut/fabric06_thin_cut_img/rgb_0228.png</t>
  </si>
  <si>
    <t>thin_cut/fabric06_thin_cut_img/rgb_0229.png</t>
  </si>
  <si>
    <t>thin_cut/fabric06_thin_cut_img/rgb_0230.png</t>
  </si>
  <si>
    <t>thin_cut/fabric06_thin_cut_img/rgb_0231.png</t>
  </si>
  <si>
    <t>thin_cut/fabric06_thin_cut_img/rgb_0297.png</t>
  </si>
  <si>
    <t>thin_cut/fabric06_thin_cut_img/rgb_0298.png</t>
  </si>
  <si>
    <t>thin_cut/fabric06_thin_cut_img/rgb_0299.png</t>
  </si>
  <si>
    <t>thin_cut/fabric06_thin_cut_img/rgb_0300.png</t>
  </si>
  <si>
    <t>thin_cut/fabric06_thin_cut_img/rgb_0301.png</t>
  </si>
  <si>
    <t>thin_cut/fabric06_thin_cut_img/rgb_0302.png</t>
  </si>
  <si>
    <t>thin_cut/fabric06_thin_cut_img/rgb_0303.png</t>
  </si>
  <si>
    <t>thin_cut/fabric06_thin_cut_img/rgb_0304.png</t>
  </si>
  <si>
    <t>thin_cut/fabric06_thin_cut_img/rgb_0305.png</t>
  </si>
  <si>
    <t>thin_cut/fabric06_thin_cut_img/rgb_0306.png</t>
  </si>
  <si>
    <t>thin_cut/fabric06_thin_cut_img/rgb_0307.png</t>
  </si>
  <si>
    <t>thin_cut/fabric06_thin_cut_img/rgb_0308.png</t>
  </si>
  <si>
    <t>thin_cut/fabric06_thin_cut_img/rgb_0309.png</t>
  </si>
  <si>
    <t>thin_cut/fabric06_thin_cut_img/rgb_0310.png</t>
  </si>
  <si>
    <t>thin_cut/fabric06_thin_cut_img/rgb_0311.png</t>
  </si>
  <si>
    <t>thin_cut/fabric06_thin_cut_img/rgb_0312.png</t>
  </si>
  <si>
    <t>thin_cut/fabric06_thin_cut_img/rgb_0313.png</t>
  </si>
  <si>
    <t>thin_cut/fabric06_thin_cut_img/rgb_0314.png</t>
  </si>
  <si>
    <t>thin_cut/fabric06_thin_cut_img/rgb_0315.png</t>
  </si>
  <si>
    <t>thin_cut/fabric06_thin_cut_img/rgb_0316.png</t>
  </si>
  <si>
    <t>thin_cut/fabric06_thin_cut_img/rgb_0317.png</t>
  </si>
  <si>
    <t>thin_cut/fabric06_thin_cut_img/rgb_0318.png</t>
  </si>
  <si>
    <t>thin_cut/fabric06_thin_cut_img/rgb_0319.png</t>
  </si>
  <si>
    <t>thin_cut/fabric06_thin_cut_img/rgb_0320.png</t>
  </si>
  <si>
    <t>thin_cut/fabric06_thin_cut_img/rgb_0384.png</t>
  </si>
  <si>
    <t>thin_cut/fabric06_thin_cut_img/rgb_0385.png</t>
  </si>
  <si>
    <t>thin_cut/fabric06_thin_cut_img/rgb_0386.png</t>
  </si>
  <si>
    <t>thin_cut/fabric06_thin_cut_img/rgb_0387.png</t>
  </si>
  <si>
    <t>thin_cut/fabric06_thin_cut_img/rgb_0388.png</t>
  </si>
  <si>
    <t>thin_cut/fabric06_thin_cut_img/rgb_0389.png</t>
  </si>
  <si>
    <t>thin_cut/fabric06_thin_cut_img/rgb_0390.png</t>
  </si>
  <si>
    <t>thin_cut/fabric06_thin_cut_img/rgb_0391.png</t>
  </si>
  <si>
    <t>thin_cut/fabric06_thin_cut_img/rgb_0392.png</t>
  </si>
  <si>
    <t>thin_cut/fabric06_thin_cut_img/rgb_0393.png</t>
  </si>
  <si>
    <t>thin_cut/fabric06_thin_cut_img/rgb_0394.png</t>
  </si>
  <si>
    <t>thin_cut/fabric06_thin_cut_img/rgb_0395.png</t>
  </si>
  <si>
    <t>thin_cut/fabric06_thin_cut_img/rgb_0396.png</t>
  </si>
  <si>
    <t>thin_cut/fabric06_thin_cut_img/rgb_0397.png</t>
  </si>
  <si>
    <t>thin_cut/fabric06_thin_cut_img/rgb_0398.png</t>
  </si>
  <si>
    <t>thin_cut/fabric06_thin_cut_img/rgb_0399.png</t>
  </si>
  <si>
    <t>thin_cut/fabric06_thin_cut_img/rgb_0400.png</t>
  </si>
  <si>
    <t>thin_cut/fabric06_thin_cut_img/rgb_0401.png</t>
  </si>
  <si>
    <t>thin_cut/fabric06_thin_cut_img/rgb_0402.png</t>
  </si>
  <si>
    <t>thin_cut/fabric06_thin_cut_img/rgb_0403.png</t>
  </si>
  <si>
    <t>thin_cut/fabric06_thin_cut_img/rgb_0404.png</t>
  </si>
  <si>
    <t>thin_cut/fabric06_thin_cut_img/rgb_0405.png</t>
  </si>
  <si>
    <t>thin_cut/fabric06_thin_cut_img/rgb_0406.png</t>
  </si>
  <si>
    <t>thin_cut/fabric06_thin_cut_img/rgb_0407.png</t>
  </si>
  <si>
    <t>thin_cut/fabric06_thin_cut_img/rgb_0408.png</t>
  </si>
  <si>
    <t>thin_cut/fabric06_thin_cut_img/rgb_0471.png</t>
  </si>
  <si>
    <t>thin_cut/fabric06_thin_cut_img/rgb_0472.png</t>
  </si>
  <si>
    <t>thin_cut/fabric06_thin_cut_img/rgb_0473.png</t>
  </si>
  <si>
    <t>thin_cut/fabric06_thin_cut_img/rgb_0474.png</t>
  </si>
  <si>
    <t>thin_cut/fabric06_thin_cut_img/rgb_0475.png</t>
  </si>
  <si>
    <t>thin_cut/fabric06_thin_cut_img/rgb_0476.png</t>
  </si>
  <si>
    <t>thin_cut/fabric06_thin_cut_img/rgb_0477.png</t>
  </si>
  <si>
    <t>thin_cut/fabric06_thin_cut_img/rgb_0478.png</t>
  </si>
  <si>
    <t>thin_cut/fabric06_thin_cut_img/rgb_0479.png</t>
  </si>
  <si>
    <t>thin_cut/fabric06_thin_cut_img/rgb_0480.png</t>
  </si>
  <si>
    <t>thin_cut/fabric06_thin_cut_img/rgb_0481.png</t>
  </si>
  <si>
    <t>thin_cut/fabric06_thin_cut_img/rgb_0482.png</t>
  </si>
  <si>
    <t>thin_cut/fabric06_thin_cut_img/rgb_0483.png</t>
  </si>
  <si>
    <t>thin_cut/fabric06_thin_cut_img/rgb_0484.png</t>
  </si>
  <si>
    <t>thin_cut/fabric06_thin_cut_img/rgb_0485.png</t>
  </si>
  <si>
    <t>thin_cut/fabric06_thin_cut_img/rgb_0486.png</t>
  </si>
  <si>
    <t>thin_cut/fabric06_thin_cut_img/rgb_0487.png</t>
  </si>
  <si>
    <t>thin_cut/fabric06_thin_cut_img/rgb_0488.png</t>
  </si>
  <si>
    <t>thin_cut/fabric06_thin_cut_img/rgb_0489.png</t>
  </si>
  <si>
    <t>thin_cut/fabric06_thin_cut_img/rgb_0490.png</t>
  </si>
  <si>
    <t>thin_cut/fabric06_thin_cut_img/rgb_0491.png</t>
  </si>
  <si>
    <t>thin_cut/fabric06_thin_cut_img/rgb_0492.png</t>
  </si>
  <si>
    <t>thin_cut/fabric06_thin_cut_img/rgb_0493.png</t>
  </si>
  <si>
    <t>thin_cut/fabric06_thin_cut_img/rgb_0494.png</t>
  </si>
  <si>
    <t>thin_cut/fabric06_thin_cut_img/rgb_0495.png</t>
  </si>
  <si>
    <t>thin_cut/fabric06_thin_cut_img/rgb_0496.png</t>
  </si>
  <si>
    <t>thin_cut/fabric06_thin_cut_img/rgb_0562.png</t>
  </si>
  <si>
    <t>thin_cut/fabric06_thin_cut_img/rgb_0563.png</t>
  </si>
  <si>
    <t>thin_cut/fabric06_thin_cut_img/rgb_0564.png</t>
  </si>
  <si>
    <t>thin_cut/fabric06_thin_cut_img/rgb_0565.png</t>
  </si>
  <si>
    <t>thin_cut/fabric06_thin_cut_img/rgb_0566.png</t>
  </si>
  <si>
    <t>thin_cut/fabric06_thin_cut_img/rgb_0567.png</t>
  </si>
  <si>
    <t>thin_cut/fabric06_thin_cut_img/rgb_0568.png</t>
  </si>
  <si>
    <t>thin_cut/fabric06_thin_cut_img/rgb_0569.png</t>
  </si>
  <si>
    <t>thin_cut/fabric06_thin_cut_img/rgb_0570.png</t>
  </si>
  <si>
    <t>thin_cut/fabric06_thin_cut_img/rgb_0571.png</t>
  </si>
  <si>
    <t>thin_cut/fabric06_thin_cut_img/rgb_0572.png</t>
  </si>
  <si>
    <t>thin_cut/fabric06_thin_cut_img/rgb_0573.png</t>
  </si>
  <si>
    <t>thin_cut/fabric06_thin_cut_img/rgb_0574.png</t>
  </si>
  <si>
    <t>thin_cut/fabric06_thin_cut_img/rgb_0575.png</t>
  </si>
  <si>
    <t>thin_cut/fabric06_thin_cut_img/rgb_0576.png</t>
  </si>
  <si>
    <t>thin_cut/fabric06_thin_cut_img/rgb_0577.png</t>
  </si>
  <si>
    <t>thin_cut/fabric06_thin_cut_img/rgb_0578.png</t>
  </si>
  <si>
    <t>thin_cut/fabric06_thin_cut_img/rgb_0579.png</t>
  </si>
  <si>
    <t>thin_cut/fabric06_thin_cut_img/rgb_0580.png</t>
  </si>
  <si>
    <t>thin_cut/fabric06_thin_cut_img/rgb_0581.png</t>
  </si>
  <si>
    <t>thin_cut/fabric06_thin_cut_img/rgb_0582.png</t>
  </si>
  <si>
    <t>thin_cut/fabric06_thin_cut_img/rgb_0583.png</t>
  </si>
  <si>
    <t>thin_cut/fabric06_thin_cut_img/rgb_0584.png</t>
  </si>
  <si>
    <t>thin_cut/fabric06_thin_cut_img/rgb_0585.png</t>
  </si>
  <si>
    <t>thin_cut/fabric06_thin_cut_img/rgb_0651.png</t>
  </si>
  <si>
    <t>thin_cut/fabric06_thin_cut_img/rgb_0652.png</t>
  </si>
  <si>
    <t>thin_cut/fabric06_thin_cut_img/rgb_0653.png</t>
  </si>
  <si>
    <t>thin_cut/fabric06_thin_cut_img/rgb_0654.png</t>
  </si>
  <si>
    <t>thin_cut/fabric06_thin_cut_img/rgb_0655.png</t>
  </si>
  <si>
    <t>thin_cut/fabric06_thin_cut_img/rgb_0656.png</t>
  </si>
  <si>
    <t>thin_cut/fabric06_thin_cut_img/rgb_0657.png</t>
  </si>
  <si>
    <t>thin_cut/fabric06_thin_cut_img/rgb_0658.png</t>
  </si>
  <si>
    <t>thin_cut/fabric06_thin_cut_img/rgb_0659.png</t>
  </si>
  <si>
    <t>thin_cut/fabric06_thin_cut_img/rgb_0660.png</t>
  </si>
  <si>
    <t>thin_cut/fabric06_thin_cut_img/rgb_0661.png</t>
  </si>
  <si>
    <t>thin_cut/fabric06_thin_cut_img/rgb_0662.png</t>
  </si>
  <si>
    <t>thin_cut/fabric06_thin_cut_img/rgb_0663.png</t>
  </si>
  <si>
    <t>thin_cut/fabric06_thin_cut_img/rgb_0664.png</t>
  </si>
  <si>
    <t>thin_cut/fabric06_thin_cut_img/rgb_0665.png</t>
  </si>
  <si>
    <t>thin_cut/fabric06_thin_cut_img/rgb_0666.png</t>
  </si>
  <si>
    <t>thin_cut/fabric06_thin_cut_img/rgb_0667.png</t>
  </si>
  <si>
    <t>thin_cut/fabric06_thin_cut_img/rgb_0668.png</t>
  </si>
  <si>
    <t>thin_cut/fabric06_thin_cut_img/rgb_0669.png</t>
  </si>
  <si>
    <t>thin_cut/fabric06_thin_cut_img/rgb_0670.png</t>
  </si>
  <si>
    <t>thin_cut/fabric06_thin_cut_img/rgb_0671.png</t>
  </si>
  <si>
    <t>thin_cut/fabric06_thin_cut_img/rgb_0672.png</t>
  </si>
  <si>
    <t>thin_cut/fabric06_thin_cut_img/rgb_0673.png</t>
  </si>
  <si>
    <t>thin_cut/fabric06_thin_cut_img/rgb_0674.png</t>
  </si>
  <si>
    <t>thin_cut/fabric06_thin_cut_img/rgb_0740.png</t>
  </si>
  <si>
    <t>thin_cut/fabric06_thin_cut_img/rgb_0741.png</t>
  </si>
  <si>
    <t>thin_cut/fabric06_thin_cut_img/rgb_0742.png</t>
  </si>
  <si>
    <t>thin_cut/fabric06_thin_cut_img/rgb_0743.png</t>
  </si>
  <si>
    <t>thin_cut/fabric06_thin_cut_img/rgb_0744.png</t>
  </si>
  <si>
    <t>thin_cut/fabric06_thin_cut_img/rgb_0745.png</t>
  </si>
  <si>
    <t>thin_cut/fabric06_thin_cut_img/rgb_0746.png</t>
  </si>
  <si>
    <t>thin_cut/fabric06_thin_cut_img/rgb_0747.png</t>
  </si>
  <si>
    <t>thin_cut/fabric06_thin_cut_img/rgb_0748.png</t>
  </si>
  <si>
    <t>thin_cut/fabric06_thin_cut_img/rgb_0749.png</t>
  </si>
  <si>
    <t>thin_cut/fabric06_thin_cut_img/rgb_0750.png</t>
  </si>
  <si>
    <t>thin_cut/fabric06_thin_cut_img/rgb_0751.png</t>
  </si>
  <si>
    <t>thin_cut/fabric06_thin_cut_img/rgb_0752.png</t>
  </si>
  <si>
    <t>thin_cut/fabric06_thin_cut_img/rgb_0753.png</t>
  </si>
  <si>
    <t>thin_cut/fabric06_thin_cut_img/rgb_0754.png</t>
  </si>
  <si>
    <t>thin_cut/fabric06_thin_cut_img/rgb_0755.png</t>
  </si>
  <si>
    <t>thin_cut/fabric06_thin_cut_img/rgb_0756.png</t>
  </si>
  <si>
    <t>thin_cut/fabric06_thin_cut_img/rgb_0757.png</t>
  </si>
  <si>
    <t>thin_cut/fabric06_thin_cut_img/rgb_0758.png</t>
  </si>
  <si>
    <t>thin_cut/fabric06_thin_cut_img/rgb_0759.png</t>
  </si>
  <si>
    <t>thin_cut/fabric06_thin_cut_img/rgb_0760.png</t>
  </si>
  <si>
    <t>thin_cut/fabric06_thin_cut_img/rgb_0761.png</t>
  </si>
  <si>
    <t>thin_cut/fabric06_thin_cut_img/rgb_0762.png</t>
  </si>
  <si>
    <t>thin_cut/fabric06_thin_cut_img/rgb_0763.png</t>
  </si>
  <si>
    <t>thin_cut/fabric06_thin_cut_img/rgb_0764.png</t>
  </si>
  <si>
    <t>thin_cut/fabric06_thin_cut_img/rgb_0833.png</t>
  </si>
  <si>
    <t>thin_cut/fabric06_thin_cut_img/rgb_0834.png</t>
  </si>
  <si>
    <t>thin_cut/fabric06_thin_cut_img/rgb_0835.png</t>
  </si>
  <si>
    <t>thin_cut/fabric06_thin_cut_img/rgb_0836.png</t>
  </si>
  <si>
    <t>thin_cut/fabric06_thin_cut_img/rgb_0837.png</t>
  </si>
  <si>
    <t>thin_cut/fabric06_thin_cut_img/rgb_0838.png</t>
  </si>
  <si>
    <t>thin_cut/fabric06_thin_cut_img/rgb_0839.png</t>
  </si>
  <si>
    <t>thin_cut/fabric06_thin_cut_img/rgb_0840.png</t>
  </si>
  <si>
    <t>thin_cut/fabric06_thin_cut_img/rgb_0841.png</t>
  </si>
  <si>
    <t>thin_cut/fabric06_thin_cut_img/rgb_0842.png</t>
  </si>
  <si>
    <t>thin_cut/fabric06_thin_cut_img/rgb_0843.png</t>
  </si>
  <si>
    <t>thin_cut/fabric06_thin_cut_img/rgb_0844.png</t>
  </si>
  <si>
    <t>thin_cut/fabric06_thin_cut_img/rgb_0845.png</t>
  </si>
  <si>
    <t>thin_cut/fabric06_thin_cut_img/rgb_0846.png</t>
  </si>
  <si>
    <t>thin_cut/fabric06_thin_cut_img/rgb_0847.png</t>
  </si>
  <si>
    <t>thin_cut/fabric06_thin_cut_img/rgb_0848.png</t>
  </si>
  <si>
    <t>thin_cut/fabric06_thin_cut_img/rgb_0849.png</t>
  </si>
  <si>
    <t>thin_cut/fabric06_thin_cut_img/rgb_0850.png</t>
  </si>
  <si>
    <t>thin_cut/fabric06_thin_cut_img/rgb_0851.png</t>
  </si>
  <si>
    <t>thin_cut/fabric06_thin_cut_img/rgb_0852.png</t>
  </si>
  <si>
    <t>thin_cut/fabric06_thin_cut_img/rgb_0853.png</t>
  </si>
  <si>
    <t>thin_cut/fabric06_thin_cut_img/rgb_0854.png</t>
  </si>
  <si>
    <t>thin_cut/fabric06_thin_cut_img/rgb_0855.png</t>
  </si>
  <si>
    <t>thin_cut/fabric06_thin_cut_img/rgb_0856.png</t>
  </si>
  <si>
    <t>thin_cut/fabric06_thin_cut_img/rgb_0857.png</t>
  </si>
  <si>
    <t>hole/fabric01_hole_img/rgb_0136.png</t>
  </si>
  <si>
    <t>Holes</t>
  </si>
  <si>
    <t>simple</t>
  </si>
  <si>
    <t>hole/fabric01_hole_img/rgb_0137.png</t>
  </si>
  <si>
    <t>hole/fabric01_hole_img/rgb_0138.png</t>
  </si>
  <si>
    <t>hole/fabric01_hole_img/rgb_0139.png</t>
  </si>
  <si>
    <t>hole/fabric01_hole_img/rgb_0140.png</t>
  </si>
  <si>
    <t>hole/fabric01_hole_img/rgb_0141.png</t>
  </si>
  <si>
    <t>hole/fabric01_hole_img/rgb_0142.png</t>
  </si>
  <si>
    <t>hole/fabric01_hole_img/rgb_0143.png</t>
  </si>
  <si>
    <t>hole/fabric01_hole_img/rgb_0144.png</t>
  </si>
  <si>
    <t>hole/fabric01_hole_img/rgb_0145.png</t>
  </si>
  <si>
    <t>hole/fabric01_hole_img/rgb_0146.png</t>
  </si>
  <si>
    <t>hole/fabric01_hole_img/rgb_0147.png</t>
  </si>
  <si>
    <t>hole/fabric01_hole_img/rgb_0148.png</t>
  </si>
  <si>
    <t>hole/fabric01_hole_img/rgb_0149.png</t>
  </si>
  <si>
    <t>hole/fabric01_hole_img/rgb_0150.png</t>
  </si>
  <si>
    <t>hole/fabric01_hole_img/rgb_0151.png</t>
  </si>
  <si>
    <t>hole/fabric01_hole_img/rgb_0152.png</t>
  </si>
  <si>
    <t>hole/fabric01_hole_img/rgb_0153.png</t>
  </si>
  <si>
    <t>hole/fabric01_hole_img/rgb_0154.png</t>
  </si>
  <si>
    <t>hole/fabric01_hole_img/rgb_0155.png</t>
  </si>
  <si>
    <t>hole/fabric01_hole_img/rgb_0156.png</t>
  </si>
  <si>
    <t>hole/fabric01_hole_img/rgb_0157.png</t>
  </si>
  <si>
    <t>hole/fabric01_hole_img/rgb_0158.png</t>
  </si>
  <si>
    <t>hole/fabric01_hole_img/rgb_0159.png</t>
  </si>
  <si>
    <t>hole/fabric01_hole_img/rgb_0229.png</t>
  </si>
  <si>
    <t>hole/fabric01_hole_img/rgb_0230.png</t>
  </si>
  <si>
    <t>hole/fabric01_hole_img/rgb_0231.png</t>
  </si>
  <si>
    <t>hole/fabric01_hole_img/rgb_0232.png</t>
  </si>
  <si>
    <t>hole/fabric01_hole_img/rgb_0233.png</t>
  </si>
  <si>
    <t>hole/fabric01_hole_img/rgb_0234.png</t>
  </si>
  <si>
    <t>hole/fabric01_hole_img/rgb_0235.png</t>
  </si>
  <si>
    <t>hole/fabric01_hole_img/rgb_0236.png</t>
  </si>
  <si>
    <t>hole/fabric01_hole_img/rgb_0237.png</t>
  </si>
  <si>
    <t>hole/fabric01_hole_img/rgb_0238.png</t>
  </si>
  <si>
    <t>hole/fabric01_hole_img/rgb_0239.png</t>
  </si>
  <si>
    <t>hole/fabric01_hole_img/rgb_0240.png</t>
  </si>
  <si>
    <t>hole/fabric01_hole_img/rgb_0241.png</t>
  </si>
  <si>
    <t>hole/fabric01_hole_img/rgb_0242.png</t>
  </si>
  <si>
    <t>hole/fabric01_hole_img/rgb_0243.png</t>
  </si>
  <si>
    <t>hole/fabric01_hole_img/rgb_0244.png</t>
  </si>
  <si>
    <t>hole/fabric01_hole_img/rgb_0245.png</t>
  </si>
  <si>
    <t>hole/fabric01_hole_img/rgb_0246.png</t>
  </si>
  <si>
    <t>hole/fabric01_hole_img/rgb_0247.png</t>
  </si>
  <si>
    <t>hole/fabric01_hole_img/rgb_0248.png</t>
  </si>
  <si>
    <t>hole/fabric01_hole_img/rgb_0249.png</t>
  </si>
  <si>
    <t>hole/fabric01_hole_img/rgb_0250.png</t>
  </si>
  <si>
    <t>hole/fabric01_hole_img/rgb_0251.png</t>
  </si>
  <si>
    <t>hole/fabric01_hole_img/rgb_0252.png</t>
  </si>
  <si>
    <t>hole/fabric01_hole_img/rgb_0322.png</t>
  </si>
  <si>
    <t>hole/fabric01_hole_img/rgb_0323.png</t>
  </si>
  <si>
    <t>hole/fabric01_hole_img/rgb_0324.png</t>
  </si>
  <si>
    <t>hole/fabric01_hole_img/rgb_0325.png</t>
  </si>
  <si>
    <t>hole/fabric01_hole_img/rgb_0326.png</t>
  </si>
  <si>
    <t>hole/fabric01_hole_img/rgb_0327.png</t>
  </si>
  <si>
    <t>hole/fabric01_hole_img/rgb_0328.png</t>
  </si>
  <si>
    <t>hole/fabric01_hole_img/rgb_0329.png</t>
  </si>
  <si>
    <t>hole/fabric01_hole_img/rgb_0330.png</t>
  </si>
  <si>
    <t>hole/fabric01_hole_img/rgb_0331.png</t>
  </si>
  <si>
    <t>hole/fabric01_hole_img/rgb_0332.png</t>
  </si>
  <si>
    <t>hole/fabric01_hole_img/rgb_0333.png</t>
  </si>
  <si>
    <t>hole/fabric01_hole_img/rgb_0334.png</t>
  </si>
  <si>
    <t>hole/fabric01_hole_img/rgb_0335.png</t>
  </si>
  <si>
    <t>hole/fabric01_hole_img/rgb_0336.png</t>
  </si>
  <si>
    <t>hole/fabric01_hole_img/rgb_0337.png</t>
  </si>
  <si>
    <t>hole/fabric01_hole_img/rgb_0338.png</t>
  </si>
  <si>
    <t>hole/fabric01_hole_img/rgb_0339.png</t>
  </si>
  <si>
    <t>hole/fabric01_hole_img/rgb_0340.png</t>
  </si>
  <si>
    <t>hole/fabric01_hole_img/rgb_0341.png</t>
  </si>
  <si>
    <t>hole/fabric01_hole_img/rgb_0342.png</t>
  </si>
  <si>
    <t>hole/fabric01_hole_img/rgb_0343.png</t>
  </si>
  <si>
    <t>hole/fabric01_hole_img/rgb_0344.png</t>
  </si>
  <si>
    <t>hole/fabric01_hole_img/rgb_0415.png</t>
  </si>
  <si>
    <t>hole/fabric01_hole_img/rgb_0416.png</t>
  </si>
  <si>
    <t>hole/fabric01_hole_img/rgb_0417.png</t>
  </si>
  <si>
    <t>hole/fabric01_hole_img/rgb_0418.png</t>
  </si>
  <si>
    <t>hole/fabric01_hole_img/rgb_0419.png</t>
  </si>
  <si>
    <t>hole/fabric01_hole_img/rgb_0420.png</t>
  </si>
  <si>
    <t>hole/fabric01_hole_img/rgb_0421.png</t>
  </si>
  <si>
    <t>hole/fabric01_hole_img/rgb_0422.png</t>
  </si>
  <si>
    <t>hole/fabric01_hole_img/rgb_0423.png</t>
  </si>
  <si>
    <t>hole/fabric01_hole_img/rgb_0424.png</t>
  </si>
  <si>
    <t>hole/fabric01_hole_img/rgb_0425.png</t>
  </si>
  <si>
    <t>hole/fabric01_hole_img/rgb_0426.png</t>
  </si>
  <si>
    <t>hole/fabric01_hole_img/rgb_0427.png</t>
  </si>
  <si>
    <t>hole/fabric01_hole_img/rgb_0428.png</t>
  </si>
  <si>
    <t>hole/fabric01_hole_img/rgb_0429.png</t>
  </si>
  <si>
    <t>hole/fabric01_hole_img/rgb_0430.png</t>
  </si>
  <si>
    <t>hole/fabric01_hole_img/rgb_0431.png</t>
  </si>
  <si>
    <t>hole/fabric01_hole_img/rgb_0432.png</t>
  </si>
  <si>
    <t>hole/fabric01_hole_img/rgb_0433.png</t>
  </si>
  <si>
    <t>hole/fabric01_hole_img/rgb_0434.png</t>
  </si>
  <si>
    <t>hole/fabric01_hole_img/rgb_0435.png</t>
  </si>
  <si>
    <t>hole/fabric01_hole_img/rgb_0436.png</t>
  </si>
  <si>
    <t>hole/fabric01_hole_img/rgb_0437.png</t>
  </si>
  <si>
    <t>hole/fabric01_hole_img/rgb_0506.png</t>
  </si>
  <si>
    <t>hole/fabric01_hole_img/rgb_0507.png</t>
  </si>
  <si>
    <t>hole/fabric01_hole_img/rgb_0508.png</t>
  </si>
  <si>
    <t>hole/fabric01_hole_img/rgb_0509.png</t>
  </si>
  <si>
    <t>hole/fabric01_hole_img/rgb_0510.png</t>
  </si>
  <si>
    <t>hole/fabric01_hole_img/rgb_0511.png</t>
  </si>
  <si>
    <t>hole/fabric01_hole_img/rgb_0512.png</t>
  </si>
  <si>
    <t>hole/fabric01_hole_img/rgb_0513.png</t>
  </si>
  <si>
    <t>hole/fabric01_hole_img/rgb_0514.png</t>
  </si>
  <si>
    <t>hole/fabric01_hole_img/rgb_0515.png</t>
  </si>
  <si>
    <t>hole/fabric01_hole_img/rgb_0516.png</t>
  </si>
  <si>
    <t>hole/fabric01_hole_img/rgb_0517.png</t>
  </si>
  <si>
    <t>hole/fabric01_hole_img/rgb_0518.png</t>
  </si>
  <si>
    <t>hole/fabric01_hole_img/rgb_0519.png</t>
  </si>
  <si>
    <t>hole/fabric01_hole_img/rgb_0520.png</t>
  </si>
  <si>
    <t>hole/fabric01_hole_img/rgb_0521.png</t>
  </si>
  <si>
    <t>hole/fabric01_hole_img/rgb_0522.png</t>
  </si>
  <si>
    <t>hole/fabric01_hole_img/rgb_0523.png</t>
  </si>
  <si>
    <t>hole/fabric01_hole_img/rgb_0524.png</t>
  </si>
  <si>
    <t>hole/fabric01_hole_img/rgb_0525.png</t>
  </si>
  <si>
    <t>hole/fabric01_hole_img/rgb_0526.png</t>
  </si>
  <si>
    <t>hole/fabric01_hole_img/rgb_0527.png</t>
  </si>
  <si>
    <t>hole/fabric01_hole_img/rgb_0528.png</t>
  </si>
  <si>
    <t>hole/fabric01_hole_img/rgb_0529.png</t>
  </si>
  <si>
    <t>hole/fabric01_hole_img/rgb_0598.png</t>
  </si>
  <si>
    <t>hole/fabric01_hole_img/rgb_0599.png</t>
  </si>
  <si>
    <t>hole/fabric01_hole_img/rgb_0600.png</t>
  </si>
  <si>
    <t>hole/fabric01_hole_img/rgb_0601.png</t>
  </si>
  <si>
    <t>hole/fabric01_hole_img/rgb_0602.png</t>
  </si>
  <si>
    <t>hole/fabric01_hole_img/rgb_0603.png</t>
  </si>
  <si>
    <t>hole/fabric01_hole_img/rgb_0604.png</t>
  </si>
  <si>
    <t>hole/fabric01_hole_img/rgb_0605.png</t>
  </si>
  <si>
    <t>hole/fabric01_hole_img/rgb_0606.png</t>
  </si>
  <si>
    <t>hole/fabric01_hole_img/rgb_0607.png</t>
  </si>
  <si>
    <t>hole/fabric01_hole_img/rgb_0608.png</t>
  </si>
  <si>
    <t>hole/fabric01_hole_img/rgb_0609.png</t>
  </si>
  <si>
    <t>hole/fabric01_hole_img/rgb_0610.png</t>
  </si>
  <si>
    <t>hole/fabric01_hole_img/rgb_0611.png</t>
  </si>
  <si>
    <t>hole/fabric01_hole_img/rgb_0612.png</t>
  </si>
  <si>
    <t>hole/fabric01_hole_img/rgb_0613.png</t>
  </si>
  <si>
    <t>hole/fabric01_hole_img/rgb_0614.png</t>
  </si>
  <si>
    <t>hole/fabric01_hole_img/rgb_0615.png</t>
  </si>
  <si>
    <t>hole/fabric01_hole_img/rgb_0616.png</t>
  </si>
  <si>
    <t>hole/fabric01_hole_img/rgb_0617.png</t>
  </si>
  <si>
    <t>hole/fabric01_hole_img/rgb_0618.png</t>
  </si>
  <si>
    <t>hole/fabric01_hole_img/rgb_0619.png</t>
  </si>
  <si>
    <t>hole/fabric01_hole_img/rgb_0620.png</t>
  </si>
  <si>
    <t>hole/fabric01_hole_img/rgb_0621.png</t>
  </si>
  <si>
    <t>hole/fabric01_hole_img/rgb_0692.png</t>
  </si>
  <si>
    <t>hole/fabric01_hole_img/rgb_0693.png</t>
  </si>
  <si>
    <t>hole/fabric01_hole_img/rgb_0694.png</t>
  </si>
  <si>
    <t>hole/fabric01_hole_img/rgb_0695.png</t>
  </si>
  <si>
    <t>hole/fabric01_hole_img/rgb_0696.png</t>
  </si>
  <si>
    <t>hole/fabric01_hole_img/rgb_0697.png</t>
  </si>
  <si>
    <t>hole/fabric01_hole_img/rgb_0698.png</t>
  </si>
  <si>
    <t>hole/fabric01_hole_img/rgb_0699.png</t>
  </si>
  <si>
    <t>hole/fabric01_hole_img/rgb_0700.png</t>
  </si>
  <si>
    <t>hole/fabric01_hole_img/rgb_0701.png</t>
  </si>
  <si>
    <t>hole/fabric01_hole_img/rgb_0702.png</t>
  </si>
  <si>
    <t>hole/fabric01_hole_img/rgb_0703.png</t>
  </si>
  <si>
    <t>hole/fabric01_hole_img/rgb_0704.png</t>
  </si>
  <si>
    <t>hole/fabric01_hole_img/rgb_0705.png</t>
  </si>
  <si>
    <t>hole/fabric01_hole_img/rgb_0706.png</t>
  </si>
  <si>
    <t>hole/fabric01_hole_img/rgb_0707.png</t>
  </si>
  <si>
    <t>hole/fabric01_hole_img/rgb_0708.png</t>
  </si>
  <si>
    <t>hole/fabric01_hole_img/rgb_0709.png</t>
  </si>
  <si>
    <t>hole/fabric01_hole_img/rgb_0710.png</t>
  </si>
  <si>
    <t>hole/fabric01_hole_img/rgb_0711.png</t>
  </si>
  <si>
    <t>hole/fabric01_hole_img/rgb_0712.png</t>
  </si>
  <si>
    <t>hole/fabric01_hole_img/rgb_0713.png</t>
  </si>
  <si>
    <t>hole/fabric01_hole_img/rgb_0714.png</t>
  </si>
  <si>
    <t>hole/fabric01_hole_img/rgb_0784.png</t>
  </si>
  <si>
    <t>hole/fabric01_hole_img/rgb_0785.png</t>
  </si>
  <si>
    <t>hole/fabric01_hole_img/rgb_0786.png</t>
  </si>
  <si>
    <t>hole/fabric01_hole_img/rgb_0787.png</t>
  </si>
  <si>
    <t>hole/fabric01_hole_img/rgb_0788.png</t>
  </si>
  <si>
    <t>hole/fabric01_hole_img/rgb_0789.png</t>
  </si>
  <si>
    <t>hole/fabric01_hole_img/rgb_0790.png</t>
  </si>
  <si>
    <t>hole/fabric01_hole_img/rgb_0791.png</t>
  </si>
  <si>
    <t>hole/fabric01_hole_img/rgb_0792.png</t>
  </si>
  <si>
    <t>hole/fabric01_hole_img/rgb_0793.png</t>
  </si>
  <si>
    <t>hole/fabric01_hole_img/rgb_0794.png</t>
  </si>
  <si>
    <t>hole/fabric01_hole_img/rgb_0795.png</t>
  </si>
  <si>
    <t>hole/fabric01_hole_img/rgb_0796.png</t>
  </si>
  <si>
    <t>hole/fabric01_hole_img/rgb_0797.png</t>
  </si>
  <si>
    <t>hole/fabric01_hole_img/rgb_0798.png</t>
  </si>
  <si>
    <t>hole/fabric01_hole_img/rgb_0799.png</t>
  </si>
  <si>
    <t>hole/fabric01_hole_img/rgb_0800.png</t>
  </si>
  <si>
    <t>hole/fabric01_hole_img/rgb_0801.png</t>
  </si>
  <si>
    <t>hole/fabric01_hole_img/rgb_0802.png</t>
  </si>
  <si>
    <t>hole/fabric01_hole_img/rgb_0803.png</t>
  </si>
  <si>
    <t>hole/fabric01_hole_img/rgb_0804.png</t>
  </si>
  <si>
    <t>hole/fabric01_hole_img/rgb_0805.png</t>
  </si>
  <si>
    <t>hole/fabric01_hole_img/rgb_0806.png</t>
  </si>
  <si>
    <t>hole/fabric01_hole_img/rgb_0807.png</t>
  </si>
  <si>
    <t>hole/fabric01_hole_img/rgb_0879.png</t>
  </si>
  <si>
    <t>hole/fabric01_hole_img/rgb_0880.png</t>
  </si>
  <si>
    <t>hole/fabric01_hole_img/rgb_0881.png</t>
  </si>
  <si>
    <t>hole/fabric01_hole_img/rgb_0882.png</t>
  </si>
  <si>
    <t>hole/fabric01_hole_img/rgb_0883.png</t>
  </si>
  <si>
    <t>hole/fabric01_hole_img/rgb_0884.png</t>
  </si>
  <si>
    <t>hole/fabric01_hole_img/rgb_0885.png</t>
  </si>
  <si>
    <t>hole/fabric01_hole_img/rgb_0886.png</t>
  </si>
  <si>
    <t>hole/fabric01_hole_img/rgb_0887.png</t>
  </si>
  <si>
    <t>hole/fabric01_hole_img/rgb_0888.png</t>
  </si>
  <si>
    <t>hole/fabric01_hole_img/rgb_0889.png</t>
  </si>
  <si>
    <t>hole/fabric01_hole_img/rgb_0890.png</t>
  </si>
  <si>
    <t>hole/fabric01_hole_img/rgb_0891.png</t>
  </si>
  <si>
    <t>hole/fabric01_hole_img/rgb_0892.png</t>
  </si>
  <si>
    <t>hole/fabric01_hole_img/rgb_0893.png</t>
  </si>
  <si>
    <t>hole/fabric01_hole_img/rgb_0894.png</t>
  </si>
  <si>
    <t>hole/fabric01_hole_img/rgb_0895.png</t>
  </si>
  <si>
    <t>hole/fabric01_hole_img/rgb_0896.png</t>
  </si>
  <si>
    <t>hole/fabric01_hole_img/rgb_0897.png</t>
  </si>
  <si>
    <t>hole/fabric01_hole_img/rgb_0898.png</t>
  </si>
  <si>
    <t>hole/fabric01_hole_img/rgb_0899.png</t>
  </si>
  <si>
    <t>hole/fabric01_hole_img/rgb_0900.png</t>
  </si>
  <si>
    <t>hole/fabric01_hole_img/rgb_0901.png</t>
  </si>
  <si>
    <t>images</t>
  </si>
  <si>
    <t>detection_rate</t>
  </si>
  <si>
    <t>depth_p95_mm_P10</t>
  </si>
  <si>
    <t>depth_p95_mm_P25</t>
  </si>
  <si>
    <t>depth_p95_mm_P50</t>
  </si>
  <si>
    <t>depth_p95_mm_P75</t>
  </si>
  <si>
    <t>depth_p95_mm_P90</t>
  </si>
  <si>
    <t>depth_max_mm_P10</t>
  </si>
  <si>
    <t>depth_max_mm_P25</t>
  </si>
  <si>
    <t>depth_max_mm_P50</t>
  </si>
  <si>
    <t>depth_max_mm_P75</t>
  </si>
  <si>
    <t>depth_max_mm_P90</t>
  </si>
  <si>
    <t>depth_volume_mm3_P10</t>
  </si>
  <si>
    <t>depth_volume_mm3_P25</t>
  </si>
  <si>
    <t>depth_volume_mm3_P50</t>
  </si>
  <si>
    <t>depth_volume_mm3_P75</t>
  </si>
  <si>
    <t>depth_volume_mm3_P90</t>
  </si>
  <si>
    <t>area_mm2_P10</t>
  </si>
  <si>
    <t>area_mm2_P25</t>
  </si>
  <si>
    <t>area_mm2_P50</t>
  </si>
  <si>
    <t>area_mm2_P75</t>
  </si>
  <si>
    <t>area_mm2_P90</t>
  </si>
  <si>
    <t>criterio</t>
  </si>
  <si>
    <t>percentil</t>
  </si>
  <si>
    <t>umbral_depth_p95_mm</t>
  </si>
  <si>
    <t>metrica_tamano</t>
  </si>
  <si>
    <t>umbral_tamano</t>
  </si>
  <si>
    <t>umbral_volumen_mm3</t>
  </si>
  <si>
    <t>%_no_reparable</t>
  </si>
  <si>
    <t>regla</t>
  </si>
  <si>
    <t>P50 de todos</t>
  </si>
  <si>
    <t>NO reparable si depth_p95 &gt; umbral O tamano &gt; umbral O volumen &gt; umbral</t>
  </si>
  <si>
    <t>P75 de todos</t>
  </si>
  <si>
    <t>P90 de todos</t>
  </si>
  <si>
    <t>n_detected</t>
  </si>
  <si>
    <t>area_mm2_min</t>
  </si>
  <si>
    <t>area_mm2_max</t>
  </si>
  <si>
    <t>area_mm2_mean</t>
  </si>
  <si>
    <t>perimeter_mm_min</t>
  </si>
  <si>
    <t>perimeter_mm_max</t>
  </si>
  <si>
    <t>perimeter_mm_mean</t>
  </si>
  <si>
    <t>major_axis_length_mm_min</t>
  </si>
  <si>
    <t>major_axis_length_mm_max</t>
  </si>
  <si>
    <t>major_axis_length_mm_mean</t>
  </si>
  <si>
    <t>minor_axis_length_mm_min</t>
  </si>
  <si>
    <t>minor_axis_length_mm_max</t>
  </si>
  <si>
    <t>minor_axis_length_mm_mean</t>
  </si>
  <si>
    <t>depth_mean_mm_min</t>
  </si>
  <si>
    <t>depth_mean_mm_max</t>
  </si>
  <si>
    <t>depth_mean_mm_mean</t>
  </si>
  <si>
    <t>depth_p95_mm_min</t>
  </si>
  <si>
    <t>depth_p95_mm_max</t>
  </si>
  <si>
    <t>depth_p95_mm_mean</t>
  </si>
  <si>
    <t>depth_max_mm_min</t>
  </si>
  <si>
    <t>depth_max_mm_max</t>
  </si>
  <si>
    <t>depth_max_mm_mean</t>
  </si>
  <si>
    <t>depth_volume_mm3_min</t>
  </si>
  <si>
    <t>depth_volume_mm3_max</t>
  </si>
  <si>
    <t>depth_volume_mm3_mean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</si>
</sst>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6f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3" applyBorder="1" fontId="1" applyFont="1" fillId="2" applyFill="1" applyAlignment="1">
      <alignment horizontal="left"/>
    </xf>
    <xf xfId="0" numFmtId="3" applyNumberFormat="1" borderId="3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164" applyNumberFormat="1" borderId="2" applyBorder="1" fontId="2" applyFont="1" fillId="0" applyAlignment="1">
      <alignment horizontal="right"/>
    </xf>
    <xf xfId="0" numFmtId="4" applyNumberFormat="1" borderId="3" applyBorder="1" fontId="1" applyFont="1" fillId="2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sharedStrings.xml" Type="http://schemas.openxmlformats.org/officeDocument/2006/relationships/sharedStrings" Id="rId11"/><Relationship Target="styles.xml" Type="http://schemas.openxmlformats.org/officeDocument/2006/relationships/styles" Id="rId12"/><Relationship Target="theme/theme1.xml" Type="http://schemas.openxmlformats.org/officeDocument/2006/relationships/theme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5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3" width="13.005" customWidth="1" bestFit="1"/>
    <col min="2" max="2" style="3" width="10.005" customWidth="1" bestFit="1"/>
    <col min="3" max="3" style="3" width="12.005" customWidth="1" bestFit="1"/>
    <col min="4" max="4" style="3" width="14.005" customWidth="1" bestFit="1"/>
    <col min="5" max="5" style="3" width="14.005" customWidth="1" bestFit="1"/>
    <col min="6" max="6" style="3" width="15.005" customWidth="1" bestFit="1"/>
    <col min="7" max="7" style="3" width="18.005" customWidth="1" bestFit="1"/>
    <col min="8" max="8" style="3" width="18.005" customWidth="1" bestFit="1"/>
    <col min="9" max="9" style="3" width="19.005" customWidth="1" bestFit="1"/>
    <col min="10" max="10" style="3" width="26.005" customWidth="1" bestFit="1"/>
    <col min="11" max="11" style="3" width="26.005" customWidth="1" bestFit="1"/>
    <col min="12" max="12" style="3" width="27.005" customWidth="1" bestFit="1"/>
    <col min="13" max="13" style="3" width="26.005" customWidth="1" bestFit="1"/>
    <col min="14" max="14" style="3" width="26.005" customWidth="1" bestFit="1"/>
    <col min="15" max="15" style="3" width="27.005" customWidth="1" bestFit="1"/>
    <col min="16" max="16" style="3" width="19.005" customWidth="1" bestFit="1"/>
    <col min="17" max="17" style="3" width="19.005" customWidth="1" bestFit="1"/>
    <col min="18" max="18" style="3" width="20.005" customWidth="1" bestFit="1"/>
    <col min="19" max="19" style="3" width="18.005" customWidth="1" bestFit="1"/>
    <col min="20" max="20" style="3" width="18.005" customWidth="1" bestFit="1"/>
    <col min="21" max="21" style="3" width="19.005" customWidth="1" bestFit="1"/>
    <col min="22" max="22" style="3" width="18.005" customWidth="1" bestFit="1"/>
    <col min="23" max="23" style="3" width="18.005" customWidth="1" bestFit="1"/>
    <col min="24" max="24" style="3" width="19.005" customWidth="1" bestFit="1"/>
    <col min="25" max="25" style="3" width="22.005" customWidth="1" bestFit="1"/>
    <col min="26" max="26" style="3" width="22.005" customWidth="1" bestFit="1"/>
    <col min="27" max="27" style="3" width="23.005" customWidth="1" bestFit="1"/>
  </cols>
  <sheetData>
    <row x14ac:dyDescent="0.25" r="1" customHeight="1" ht="19.5">
      <c r="A1" s="10" t="s">
        <v>10</v>
      </c>
      <c r="B1" s="10" t="s">
        <v>11</v>
      </c>
      <c r="C1" s="10" t="s">
        <v>3541</v>
      </c>
      <c r="D1" s="10" t="s">
        <v>3542</v>
      </c>
      <c r="E1" s="10" t="s">
        <v>3543</v>
      </c>
      <c r="F1" s="10" t="s">
        <v>3544</v>
      </c>
      <c r="G1" s="10" t="s">
        <v>3545</v>
      </c>
      <c r="H1" s="10" t="s">
        <v>3546</v>
      </c>
      <c r="I1" s="10" t="s">
        <v>3547</v>
      </c>
      <c r="J1" s="10" t="s">
        <v>3548</v>
      </c>
      <c r="K1" s="10" t="s">
        <v>3549</v>
      </c>
      <c r="L1" s="10" t="s">
        <v>3550</v>
      </c>
      <c r="M1" s="10" t="s">
        <v>3551</v>
      </c>
      <c r="N1" s="10" t="s">
        <v>3552</v>
      </c>
      <c r="O1" s="10" t="s">
        <v>3553</v>
      </c>
      <c r="P1" s="10" t="s">
        <v>3554</v>
      </c>
      <c r="Q1" s="10" t="s">
        <v>3555</v>
      </c>
      <c r="R1" s="10" t="s">
        <v>3556</v>
      </c>
      <c r="S1" s="10" t="s">
        <v>3557</v>
      </c>
      <c r="T1" s="10" t="s">
        <v>3558</v>
      </c>
      <c r="U1" s="10" t="s">
        <v>3559</v>
      </c>
      <c r="V1" s="10" t="s">
        <v>3560</v>
      </c>
      <c r="W1" s="10" t="s">
        <v>3561</v>
      </c>
      <c r="X1" s="10" t="s">
        <v>3562</v>
      </c>
      <c r="Y1" s="10" t="s">
        <v>3563</v>
      </c>
      <c r="Z1" s="10" t="s">
        <v>3564</v>
      </c>
      <c r="AA1" s="10" t="s">
        <v>3565</v>
      </c>
    </row>
    <row x14ac:dyDescent="0.25" r="2" customHeight="1" ht="19.5">
      <c r="A2" s="2" t="s">
        <v>30</v>
      </c>
      <c r="B2" s="2" t="s">
        <v>31</v>
      </c>
      <c r="C2" s="12">
        <f>COUNT('Scratch-Abrasion'!$H$2:$H$1023)</f>
      </c>
      <c r="D2" s="12">
        <f>MIN('Scratch-Abrasion'!$H$2:$H$1023)</f>
      </c>
      <c r="E2" s="12">
        <f>MAX('Scratch-Abrasion'!$H$2:$H$1023)</f>
      </c>
      <c r="F2" s="12">
        <f>AVERAGE('Scratch-Abrasion'!$H$2:$H$1023)</f>
      </c>
      <c r="G2" s="12">
        <f>MIN('Scratch-Abrasion'!$I$2:$I$1023)</f>
      </c>
      <c r="H2" s="12">
        <f>MAX('Scratch-Abrasion'!$I$2:$I$1023)</f>
      </c>
      <c r="I2" s="12">
        <f>AVERAGE('Scratch-Abrasion'!$I$2:$I$1023)</f>
      </c>
      <c r="J2" s="12">
        <f>MIN('Scratch-Abrasion'!$J$2:$J$1023)</f>
      </c>
      <c r="K2" s="12">
        <f>MAX('Scratch-Abrasion'!$J$2:$J$1023)</f>
      </c>
      <c r="L2" s="12">
        <f>AVERAGE('Scratch-Abrasion'!$J$2:$J$1023)</f>
      </c>
      <c r="M2" s="12">
        <f>MIN('Scratch-Abrasion'!$K$2:$K$1023)</f>
      </c>
      <c r="N2" s="12">
        <f>MAX('Scratch-Abrasion'!$K$2:$K$1023)</f>
      </c>
      <c r="O2" s="12">
        <f>AVERAGE('Scratch-Abrasion'!$K$2:$K$1023)</f>
      </c>
      <c r="P2" s="12">
        <f>MIN('Scratch-Abrasion'!$Q$2:$Q$1023)</f>
      </c>
      <c r="Q2" s="12">
        <f>MAX('Scratch-Abrasion'!$Q$2:$Q$1023)</f>
      </c>
      <c r="R2" s="12">
        <f>AVERAGE('Scratch-Abrasion'!$Q$2:$Q$1023)</f>
      </c>
      <c r="S2" s="12">
        <f>MIN('Scratch-Abrasion'!$R$2:$R$1023)</f>
      </c>
      <c r="T2" s="12">
        <f>MAX('Scratch-Abrasion'!$R$2:$R$1023)</f>
      </c>
      <c r="U2" s="12">
        <f>AVERAGE('Scratch-Abrasion'!$R$2:$R$1023)</f>
      </c>
      <c r="V2" s="12">
        <f>MIN('Scratch-Abrasion'!$S$2:$S$1023)</f>
      </c>
      <c r="W2" s="12">
        <f>MAX('Scratch-Abrasion'!$S$2:$S$1023)</f>
      </c>
      <c r="X2" s="12">
        <f>AVERAGE('Scratch-Abrasion'!$S$2:$S$1023)</f>
      </c>
      <c r="Y2" s="12">
        <f>MIN('Scratch-Abrasion'!$T$2:$T$1023)</f>
      </c>
      <c r="Z2" s="12">
        <f>MAX('Scratch-Abrasion'!$T$2:$T$1023)</f>
      </c>
      <c r="AA2" s="12">
        <f>AVERAGE('Scratch-Abrasion'!$T$2:$T$1023)</f>
      </c>
    </row>
    <row x14ac:dyDescent="0.25" r="3" customHeight="1" ht="19.5">
      <c r="A3" s="2" t="s">
        <v>2314</v>
      </c>
      <c r="B3" s="2" t="s">
        <v>31</v>
      </c>
      <c r="C3" s="12">
        <f>COUNT('Crack (cut)'!$H$2:$H$980)</f>
      </c>
      <c r="D3" s="12">
        <f>MIN('Crack (cut)'!$H$2:$H$980)</f>
      </c>
      <c r="E3" s="12">
        <f>MAX('Crack (cut)'!$H$2:$H$980)</f>
      </c>
      <c r="F3" s="12">
        <f>AVERAGE('Crack (cut)'!$H$2:$H$980)</f>
      </c>
      <c r="G3" s="12">
        <f>MIN('Crack (cut)'!$I$2:$I$980)</f>
      </c>
      <c r="H3" s="12">
        <f>MAX('Crack (cut)'!$I$2:$I$980)</f>
      </c>
      <c r="I3" s="12">
        <f>AVERAGE('Crack (cut)'!$I$2:$I$980)</f>
      </c>
      <c r="J3" s="12">
        <f>MIN('Crack (cut)'!$J$2:$J$980)</f>
      </c>
      <c r="K3" s="12">
        <f>MAX('Crack (cut)'!$J$2:$J$980)</f>
      </c>
      <c r="L3" s="12">
        <f>AVERAGE('Crack (cut)'!$J$2:$J$980)</f>
      </c>
      <c r="M3" s="12">
        <f>MIN('Crack (cut)'!$K$2:$K$980)</f>
      </c>
      <c r="N3" s="12">
        <f>MAX('Crack (cut)'!$K$2:$K$980)</f>
      </c>
      <c r="O3" s="12">
        <f>AVERAGE('Crack (cut)'!$K$2:$K$980)</f>
      </c>
      <c r="P3" s="12">
        <f>MIN('Crack (cut)'!$Q$2:$Q$980)</f>
      </c>
      <c r="Q3" s="12">
        <f>MAX('Crack (cut)'!$Q$2:$Q$980)</f>
      </c>
      <c r="R3" s="12">
        <f>AVERAGE('Crack (cut)'!$Q$2:$Q$980)</f>
      </c>
      <c r="S3" s="12">
        <f>MIN('Crack (cut)'!$R$2:$R$980)</f>
      </c>
      <c r="T3" s="12">
        <f>MAX('Crack (cut)'!$R$2:$R$980)</f>
      </c>
      <c r="U3" s="12">
        <f>AVERAGE('Crack (cut)'!$R$2:$R$980)</f>
      </c>
      <c r="V3" s="12">
        <f>MIN('Crack (cut)'!$S$2:$S$980)</f>
      </c>
      <c r="W3" s="12">
        <f>MAX('Crack (cut)'!$S$2:$S$980)</f>
      </c>
      <c r="X3" s="12">
        <f>AVERAGE('Crack (cut)'!$S$2:$S$980)</f>
      </c>
      <c r="Y3" s="12">
        <f>MIN('Crack (cut)'!$T$2:$T$980)</f>
      </c>
      <c r="Z3" s="12">
        <f>MAX('Crack (cut)'!$T$2:$T$980)</f>
      </c>
      <c r="AA3" s="12">
        <f>AVERAGE('Crack (cut)'!$T$2:$T$980)</f>
      </c>
    </row>
    <row x14ac:dyDescent="0.25" r="4" customHeight="1" ht="19.5">
      <c r="A4" s="2" t="s">
        <v>1060</v>
      </c>
      <c r="B4" s="2" t="s">
        <v>31</v>
      </c>
      <c r="C4" s="12">
        <f>COUNT('Scratch-Friction'!$H$2:$H$1254)</f>
      </c>
      <c r="D4" s="12">
        <f>MIN('Scratch-Friction'!$H$2:$H$1254)</f>
      </c>
      <c r="E4" s="12">
        <f>MAX('Scratch-Friction'!$H$2:$H$1254)</f>
      </c>
      <c r="F4" s="12">
        <f>AVERAGE('Scratch-Friction'!$H$2:$H$1254)</f>
      </c>
      <c r="G4" s="12">
        <f>MIN('Scratch-Friction'!$I$2:$I$1254)</f>
      </c>
      <c r="H4" s="12">
        <f>MAX('Scratch-Friction'!$I$2:$I$1254)</f>
      </c>
      <c r="I4" s="12">
        <f>AVERAGE('Scratch-Friction'!$I$2:$I$1254)</f>
      </c>
      <c r="J4" s="12">
        <f>MIN('Scratch-Friction'!$J$2:$J$1254)</f>
      </c>
      <c r="K4" s="12">
        <f>MAX('Scratch-Friction'!$J$2:$J$1254)</f>
      </c>
      <c r="L4" s="12">
        <f>AVERAGE('Scratch-Friction'!$J$2:$J$1254)</f>
      </c>
      <c r="M4" s="12">
        <f>MIN('Scratch-Friction'!$K$2:$K$1254)</f>
      </c>
      <c r="N4" s="12">
        <f>MAX('Scratch-Friction'!$K$2:$K$1254)</f>
      </c>
      <c r="O4" s="12">
        <f>AVERAGE('Scratch-Friction'!$K$2:$K$1254)</f>
      </c>
      <c r="P4" s="12">
        <f>MIN('Scratch-Friction'!$Q$2:$Q$1254)</f>
      </c>
      <c r="Q4" s="12">
        <f>MAX('Scratch-Friction'!$Q$2:$Q$1254)</f>
      </c>
      <c r="R4" s="12">
        <f>AVERAGE('Scratch-Friction'!$Q$2:$Q$1254)</f>
      </c>
      <c r="S4" s="12">
        <f>MIN('Scratch-Friction'!$R$2:$R$1254)</f>
      </c>
      <c r="T4" s="12">
        <f>MAX('Scratch-Friction'!$R$2:$R$1254)</f>
      </c>
      <c r="U4" s="12">
        <f>AVERAGE('Scratch-Friction'!$R$2:$R$1254)</f>
      </c>
      <c r="V4" s="12">
        <f>MIN('Scratch-Friction'!$S$2:$S$1254)</f>
      </c>
      <c r="W4" s="12">
        <f>MAX('Scratch-Friction'!$S$2:$S$1254)</f>
      </c>
      <c r="X4" s="12">
        <f>AVERAGE('Scratch-Friction'!$S$2:$S$1254)</f>
      </c>
      <c r="Y4" s="12">
        <f>MIN('Scratch-Friction'!$T$2:$T$1254)</f>
      </c>
      <c r="Z4" s="12">
        <f>MAX('Scratch-Friction'!$T$2:$T$1254)</f>
      </c>
      <c r="AA4" s="12">
        <f>AVERAGE('Scratch-Friction'!$T$2:$T$1254)</f>
      </c>
    </row>
    <row x14ac:dyDescent="0.25" r="5" customHeight="1" ht="19.5">
      <c r="A5" s="2" t="s">
        <v>3294</v>
      </c>
      <c r="B5" s="2" t="s">
        <v>3295</v>
      </c>
      <c r="C5" s="12">
        <f>COUNT('Material loss - Holes'!$H$2:$H$213)</f>
      </c>
      <c r="D5" s="12">
        <f>MIN('Material loss - Holes'!$H$2:$H$213)</f>
      </c>
      <c r="E5" s="12">
        <f>MAX('Material loss - Holes'!$H$2:$H$213)</f>
      </c>
      <c r="F5" s="12">
        <f>AVERAGE('Material loss - Holes'!$H$2:$H$213)</f>
      </c>
      <c r="G5" s="12">
        <f>MIN('Material loss - Holes'!$I$2:$I$213)</f>
      </c>
      <c r="H5" s="12">
        <f>MAX('Material loss - Holes'!$I$2:$I$213)</f>
      </c>
      <c r="I5" s="12">
        <f>AVERAGE('Material loss - Holes'!$I$2:$I$213)</f>
      </c>
      <c r="J5" s="12">
        <f>MIN('Material loss - Holes'!$J$2:$J$213)</f>
      </c>
      <c r="K5" s="12">
        <f>MAX('Material loss - Holes'!$J$2:$J$213)</f>
      </c>
      <c r="L5" s="12">
        <f>AVERAGE('Material loss - Holes'!$J$2:$J$213)</f>
      </c>
      <c r="M5" s="12">
        <f>MIN('Material loss - Holes'!$K$2:$K$213)</f>
      </c>
      <c r="N5" s="12">
        <f>MAX('Material loss - Holes'!$K$2:$K$213)</f>
      </c>
      <c r="O5" s="12">
        <f>AVERAGE('Material loss - Holes'!$K$2:$K$213)</f>
      </c>
      <c r="P5" s="12">
        <f>MIN('Material loss - Holes'!$Q$2:$Q$213)</f>
      </c>
      <c r="Q5" s="12">
        <f>MAX('Material loss - Holes'!$Q$2:$Q$213)</f>
      </c>
      <c r="R5" s="12">
        <f>AVERAGE('Material loss - Holes'!$Q$2:$Q$213)</f>
      </c>
      <c r="S5" s="12">
        <f>MIN('Material loss - Holes'!$R$2:$R$213)</f>
      </c>
      <c r="T5" s="12">
        <f>MAX('Material loss - Holes'!$R$2:$R$213)</f>
      </c>
      <c r="U5" s="12">
        <f>AVERAGE('Material loss - Holes'!$R$2:$R$213)</f>
      </c>
      <c r="V5" s="12">
        <f>MIN('Material loss - Holes'!$S$2:$S$213)</f>
      </c>
      <c r="W5" s="12">
        <f>MAX('Material loss - Holes'!$S$2:$S$213)</f>
      </c>
      <c r="X5" s="12">
        <f>AVERAGE('Material loss - Holes'!$S$2:$S$213)</f>
      </c>
      <c r="Y5" s="12">
        <f>MIN('Material loss - Holes'!$T$2:$T$213)</f>
      </c>
      <c r="Z5" s="12">
        <f>MAX('Material loss - Holes'!$T$2:$T$213)</f>
      </c>
      <c r="AA5" s="12">
        <f>AVERAGE('Material loss - Holes'!$T$2:$T$213)</f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19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" width="13.005" customWidth="1" bestFit="1"/>
    <col min="2" max="2" style="3" width="10.005" customWidth="1" bestFit="1"/>
    <col min="3" max="3" style="3" width="10.005" customWidth="1" bestFit="1"/>
    <col min="4" max="4" style="3" width="12.005" customWidth="1" bestFit="1"/>
    <col min="5" max="5" style="3" width="14.005" customWidth="1" bestFit="1"/>
    <col min="6" max="6" style="3" width="14.005" customWidth="1" bestFit="1"/>
    <col min="7" max="7" style="3" width="15.005" customWidth="1" bestFit="1"/>
    <col min="8" max="8" style="3" width="18.005" customWidth="1" bestFit="1"/>
    <col min="9" max="9" style="3" width="18.005" customWidth="1" bestFit="1"/>
    <col min="10" max="10" style="3" width="19.005" customWidth="1" bestFit="1"/>
    <col min="11" max="11" style="3" width="26.005" customWidth="1" bestFit="1"/>
    <col min="12" max="12" style="3" width="26.005" customWidth="1" bestFit="1"/>
    <col min="13" max="13" style="3" width="27.005" customWidth="1" bestFit="1"/>
    <col min="14" max="14" style="3" width="26.005" customWidth="1" bestFit="1"/>
    <col min="15" max="15" style="3" width="26.005" customWidth="1" bestFit="1"/>
    <col min="16" max="16" style="3" width="27.005" customWidth="1" bestFit="1"/>
    <col min="17" max="17" style="3" width="19.005" customWidth="1" bestFit="1"/>
    <col min="18" max="18" style="3" width="19.005" customWidth="1" bestFit="1"/>
    <col min="19" max="19" style="3" width="20.005" customWidth="1" bestFit="1"/>
    <col min="20" max="20" style="3" width="18.005" customWidth="1" bestFit="1"/>
    <col min="21" max="21" style="3" width="18.005" customWidth="1" bestFit="1"/>
    <col min="22" max="22" style="3" width="19.005" customWidth="1" bestFit="1"/>
    <col min="23" max="23" style="3" width="18.005" customWidth="1" bestFit="1"/>
    <col min="24" max="24" style="3" width="18.005" customWidth="1" bestFit="1"/>
    <col min="25" max="25" style="3" width="19.005" customWidth="1" bestFit="1"/>
    <col min="26" max="26" style="3" width="22.005" customWidth="1" bestFit="1"/>
    <col min="27" max="27" style="3" width="22.005" customWidth="1" bestFit="1"/>
    <col min="28" max="28" style="3" width="23.005" customWidth="1" bestFit="1"/>
  </cols>
  <sheetData>
    <row x14ac:dyDescent="0.25" r="1" customHeight="1" ht="19.5">
      <c r="A1" s="10" t="s">
        <v>10</v>
      </c>
      <c r="B1" s="10" t="s">
        <v>11</v>
      </c>
      <c r="C1" s="10" t="s">
        <v>12</v>
      </c>
      <c r="D1" s="10" t="s">
        <v>3541</v>
      </c>
      <c r="E1" s="10" t="s">
        <v>3542</v>
      </c>
      <c r="F1" s="10" t="s">
        <v>3543</v>
      </c>
      <c r="G1" s="10" t="s">
        <v>3544</v>
      </c>
      <c r="H1" s="10" t="s">
        <v>3545</v>
      </c>
      <c r="I1" s="10" t="s">
        <v>3546</v>
      </c>
      <c r="J1" s="10" t="s">
        <v>3547</v>
      </c>
      <c r="K1" s="10" t="s">
        <v>3548</v>
      </c>
      <c r="L1" s="10" t="s">
        <v>3549</v>
      </c>
      <c r="M1" s="10" t="s">
        <v>3550</v>
      </c>
      <c r="N1" s="10" t="s">
        <v>3551</v>
      </c>
      <c r="O1" s="10" t="s">
        <v>3552</v>
      </c>
      <c r="P1" s="10" t="s">
        <v>3553</v>
      </c>
      <c r="Q1" s="10" t="s">
        <v>3554</v>
      </c>
      <c r="R1" s="10" t="s">
        <v>3555</v>
      </c>
      <c r="S1" s="10" t="s">
        <v>3556</v>
      </c>
      <c r="T1" s="10" t="s">
        <v>3557</v>
      </c>
      <c r="U1" s="10" t="s">
        <v>3558</v>
      </c>
      <c r="V1" s="10" t="s">
        <v>3559</v>
      </c>
      <c r="W1" s="10" t="s">
        <v>3560</v>
      </c>
      <c r="X1" s="10" t="s">
        <v>3561</v>
      </c>
      <c r="Y1" s="10" t="s">
        <v>3562</v>
      </c>
      <c r="Z1" s="10" t="s">
        <v>3563</v>
      </c>
      <c r="AA1" s="10" t="s">
        <v>3564</v>
      </c>
      <c r="AB1" s="10" t="s">
        <v>3565</v>
      </c>
    </row>
    <row x14ac:dyDescent="0.25" r="2" customHeight="1" ht="19.5">
      <c r="A2" s="2" t="s">
        <v>30</v>
      </c>
      <c r="B2" s="2" t="s">
        <v>31</v>
      </c>
      <c r="C2" s="2" t="s">
        <v>32</v>
      </c>
      <c r="D2" s="12">
        <f>COUNT('Scratch-Abrasion'!$H$2:$H$213)</f>
      </c>
      <c r="E2" s="12">
        <f>MIN('Scratch-Abrasion'!$H$2:$H$213)</f>
      </c>
      <c r="F2" s="12">
        <f>MAX('Scratch-Abrasion'!$H$2:$H$213)</f>
      </c>
      <c r="G2" s="12">
        <f>AVERAGE('Scratch-Abrasion'!$H$2:$H$213)</f>
      </c>
      <c r="H2" s="12">
        <f>MIN('Scratch-Abrasion'!$I$2:$I$213)</f>
      </c>
      <c r="I2" s="12">
        <f>MAX('Scratch-Abrasion'!$I$2:$I$213)</f>
      </c>
      <c r="J2" s="12">
        <f>AVERAGE('Scratch-Abrasion'!$I$2:$I$213)</f>
      </c>
      <c r="K2" s="12">
        <f>MIN('Scratch-Abrasion'!$J$2:$J$213)</f>
      </c>
      <c r="L2" s="12">
        <f>MAX('Scratch-Abrasion'!$J$2:$J$213)</f>
      </c>
      <c r="M2" s="12">
        <f>AVERAGE('Scratch-Abrasion'!$J$2:$J$213)</f>
      </c>
      <c r="N2" s="12">
        <f>MIN('Scratch-Abrasion'!$K$2:$K$213)</f>
      </c>
      <c r="O2" s="12">
        <f>MAX('Scratch-Abrasion'!$K$2:$K$213)</f>
      </c>
      <c r="P2" s="12">
        <f>AVERAGE('Scratch-Abrasion'!$K$2:$K$213)</f>
      </c>
      <c r="Q2" s="12">
        <f>MIN('Scratch-Abrasion'!$Q$2:$Q$213)</f>
      </c>
      <c r="R2" s="12">
        <f>MAX('Scratch-Abrasion'!$Q$2:$Q$213)</f>
      </c>
      <c r="S2" s="12">
        <f>AVERAGE('Scratch-Abrasion'!$Q$2:$Q$213)</f>
      </c>
      <c r="T2" s="12">
        <f>MIN('Scratch-Abrasion'!$R$2:$R$213)</f>
      </c>
      <c r="U2" s="12">
        <f>MAX('Scratch-Abrasion'!$R$2:$R$213)</f>
      </c>
      <c r="V2" s="12">
        <f>AVERAGE('Scratch-Abrasion'!$R$2:$R$213)</f>
      </c>
      <c r="W2" s="12">
        <f>MIN('Scratch-Abrasion'!$S$2:$S$213)</f>
      </c>
      <c r="X2" s="12">
        <f>MAX('Scratch-Abrasion'!$S$2:$S$213)</f>
      </c>
      <c r="Y2" s="12">
        <f>AVERAGE('Scratch-Abrasion'!$S$2:$S$213)</f>
      </c>
      <c r="Z2" s="12">
        <f>MIN('Scratch-Abrasion'!$T$2:$T$213)</f>
      </c>
      <c r="AA2" s="12">
        <f>MAX('Scratch-Abrasion'!$T$2:$T$213)</f>
      </c>
      <c r="AB2" s="12">
        <f>AVERAGE('Scratch-Abrasion'!$T$2:$T$213)</f>
      </c>
    </row>
    <row x14ac:dyDescent="0.25" r="3" customHeight="1" ht="19.5">
      <c r="A3" s="2" t="s">
        <v>30</v>
      </c>
      <c r="B3" s="2" t="s">
        <v>31</v>
      </c>
      <c r="C3" s="2" t="s">
        <v>245</v>
      </c>
      <c r="D3" s="12">
        <f>COUNT('Scratch-Abrasion'!$H$214:$H$369)</f>
      </c>
      <c r="E3" s="12">
        <f>MIN('Scratch-Abrasion'!$H$214:$H$369)</f>
      </c>
      <c r="F3" s="12">
        <f>MAX('Scratch-Abrasion'!$H$214:$H$369)</f>
      </c>
      <c r="G3" s="12">
        <f>AVERAGE('Scratch-Abrasion'!$H$214:$H$369)</f>
      </c>
      <c r="H3" s="12">
        <f>MIN('Scratch-Abrasion'!$I$214:$I$369)</f>
      </c>
      <c r="I3" s="12">
        <f>MAX('Scratch-Abrasion'!$I$214:$I$369)</f>
      </c>
      <c r="J3" s="12">
        <f>AVERAGE('Scratch-Abrasion'!$I$214:$I$369)</f>
      </c>
      <c r="K3" s="12">
        <f>MIN('Scratch-Abrasion'!$J$214:$J$369)</f>
      </c>
      <c r="L3" s="12">
        <f>MAX('Scratch-Abrasion'!$J$214:$J$369)</f>
      </c>
      <c r="M3" s="12">
        <f>AVERAGE('Scratch-Abrasion'!$J$214:$J$369)</f>
      </c>
      <c r="N3" s="12">
        <f>MIN('Scratch-Abrasion'!$K$214:$K$369)</f>
      </c>
      <c r="O3" s="12">
        <f>MAX('Scratch-Abrasion'!$K$214:$K$369)</f>
      </c>
      <c r="P3" s="12">
        <f>AVERAGE('Scratch-Abrasion'!$K$214:$K$369)</f>
      </c>
      <c r="Q3" s="12">
        <f>MIN('Scratch-Abrasion'!$Q$214:$Q$369)</f>
      </c>
      <c r="R3" s="12">
        <f>MAX('Scratch-Abrasion'!$Q$214:$Q$369)</f>
      </c>
      <c r="S3" s="12">
        <f>AVERAGE('Scratch-Abrasion'!$Q$214:$Q$369)</f>
      </c>
      <c r="T3" s="12">
        <f>MIN('Scratch-Abrasion'!$R$214:$R$369)</f>
      </c>
      <c r="U3" s="12">
        <f>MAX('Scratch-Abrasion'!$R$214:$R$369)</f>
      </c>
      <c r="V3" s="12">
        <f>AVERAGE('Scratch-Abrasion'!$R$214:$R$369)</f>
      </c>
      <c r="W3" s="12">
        <f>MIN('Scratch-Abrasion'!$S$214:$S$369)</f>
      </c>
      <c r="X3" s="12">
        <f>MAX('Scratch-Abrasion'!$S$214:$S$369)</f>
      </c>
      <c r="Y3" s="12">
        <f>AVERAGE('Scratch-Abrasion'!$S$214:$S$369)</f>
      </c>
      <c r="Z3" s="12">
        <f>MIN('Scratch-Abrasion'!$T$214:$T$369)</f>
      </c>
      <c r="AA3" s="12">
        <f>MAX('Scratch-Abrasion'!$T$214:$T$369)</f>
      </c>
      <c r="AB3" s="12">
        <f>AVERAGE('Scratch-Abrasion'!$T$214:$T$369)</f>
      </c>
    </row>
    <row x14ac:dyDescent="0.25" r="4" customHeight="1" ht="19.5">
      <c r="A4" s="2" t="s">
        <v>30</v>
      </c>
      <c r="B4" s="2" t="s">
        <v>31</v>
      </c>
      <c r="C4" s="2" t="s">
        <v>402</v>
      </c>
      <c r="D4" s="12">
        <f>COUNT('Scratch-Abrasion'!$H$370:$H$397)</f>
      </c>
      <c r="E4" s="12">
        <f>MIN('Scratch-Abrasion'!$H$370:$H$397)</f>
      </c>
      <c r="F4" s="12">
        <f>MAX('Scratch-Abrasion'!$H$370:$H$397)</f>
      </c>
      <c r="G4" s="12">
        <f>AVERAGE('Scratch-Abrasion'!$H$370:$H$397)</f>
      </c>
      <c r="H4" s="12">
        <f>MIN('Scratch-Abrasion'!$I$370:$I$397)</f>
      </c>
      <c r="I4" s="12">
        <f>MAX('Scratch-Abrasion'!$I$370:$I$397)</f>
      </c>
      <c r="J4" s="12">
        <f>AVERAGE('Scratch-Abrasion'!$I$370:$I$397)</f>
      </c>
      <c r="K4" s="12">
        <f>MIN('Scratch-Abrasion'!$J$370:$J$397)</f>
      </c>
      <c r="L4" s="12">
        <f>MAX('Scratch-Abrasion'!$J$370:$J$397)</f>
      </c>
      <c r="M4" s="12">
        <f>AVERAGE('Scratch-Abrasion'!$J$370:$J$397)</f>
      </c>
      <c r="N4" s="12">
        <f>MIN('Scratch-Abrasion'!$K$370:$K$397)</f>
      </c>
      <c r="O4" s="12">
        <f>MAX('Scratch-Abrasion'!$K$370:$K$397)</f>
      </c>
      <c r="P4" s="12">
        <f>AVERAGE('Scratch-Abrasion'!$K$370:$K$397)</f>
      </c>
      <c r="Q4" s="12">
        <f>MIN('Scratch-Abrasion'!$Q$370:$Q$397)</f>
      </c>
      <c r="R4" s="12">
        <f>MAX('Scratch-Abrasion'!$Q$370:$Q$397)</f>
      </c>
      <c r="S4" s="12">
        <f>AVERAGE('Scratch-Abrasion'!$Q$370:$Q$397)</f>
      </c>
      <c r="T4" s="12">
        <f>MIN('Scratch-Abrasion'!$R$370:$R$397)</f>
      </c>
      <c r="U4" s="12">
        <f>MAX('Scratch-Abrasion'!$R$370:$R$397)</f>
      </c>
      <c r="V4" s="12">
        <f>AVERAGE('Scratch-Abrasion'!$R$370:$R$397)</f>
      </c>
      <c r="W4" s="12">
        <f>MIN('Scratch-Abrasion'!$S$370:$S$397)</f>
      </c>
      <c r="X4" s="12">
        <f>MAX('Scratch-Abrasion'!$S$370:$S$397)</f>
      </c>
      <c r="Y4" s="12">
        <f>AVERAGE('Scratch-Abrasion'!$S$370:$S$397)</f>
      </c>
      <c r="Z4" s="12">
        <f>MIN('Scratch-Abrasion'!$T$370:$T$397)</f>
      </c>
      <c r="AA4" s="12">
        <f>MAX('Scratch-Abrasion'!$T$370:$T$397)</f>
      </c>
      <c r="AB4" s="12">
        <f>AVERAGE('Scratch-Abrasion'!$T$370:$T$397)</f>
      </c>
    </row>
    <row x14ac:dyDescent="0.25" r="5" customHeight="1" ht="19.5">
      <c r="A5" s="2" t="s">
        <v>30</v>
      </c>
      <c r="B5" s="2" t="s">
        <v>31</v>
      </c>
      <c r="C5" s="2" t="s">
        <v>431</v>
      </c>
      <c r="D5" s="12">
        <f>COUNT('Scratch-Abrasion'!$H$398:$H$615)</f>
      </c>
      <c r="E5" s="12">
        <f>MIN('Scratch-Abrasion'!$H$398:$H$615)</f>
      </c>
      <c r="F5" s="12">
        <f>MAX('Scratch-Abrasion'!$H$398:$H$615)</f>
      </c>
      <c r="G5" s="12">
        <f>AVERAGE('Scratch-Abrasion'!$H$398:$H$615)</f>
      </c>
      <c r="H5" s="12">
        <f>MIN('Scratch-Abrasion'!$I$398:$I$615)</f>
      </c>
      <c r="I5" s="12">
        <f>MAX('Scratch-Abrasion'!$I$398:$I$615)</f>
      </c>
      <c r="J5" s="12">
        <f>AVERAGE('Scratch-Abrasion'!$I$398:$I$615)</f>
      </c>
      <c r="K5" s="12">
        <f>MIN('Scratch-Abrasion'!$J$398:$J$615)</f>
      </c>
      <c r="L5" s="12">
        <f>MAX('Scratch-Abrasion'!$J$398:$J$615)</f>
      </c>
      <c r="M5" s="12">
        <f>AVERAGE('Scratch-Abrasion'!$J$398:$J$615)</f>
      </c>
      <c r="N5" s="12">
        <f>MIN('Scratch-Abrasion'!$K$398:$K$615)</f>
      </c>
      <c r="O5" s="12">
        <f>MAX('Scratch-Abrasion'!$K$398:$K$615)</f>
      </c>
      <c r="P5" s="12">
        <f>AVERAGE('Scratch-Abrasion'!$K$398:$K$615)</f>
      </c>
      <c r="Q5" s="12">
        <f>MIN('Scratch-Abrasion'!$Q$398:$Q$615)</f>
      </c>
      <c r="R5" s="12">
        <f>MAX('Scratch-Abrasion'!$Q$398:$Q$615)</f>
      </c>
      <c r="S5" s="12">
        <f>AVERAGE('Scratch-Abrasion'!$Q$398:$Q$615)</f>
      </c>
      <c r="T5" s="12">
        <f>MIN('Scratch-Abrasion'!$R$398:$R$615)</f>
      </c>
      <c r="U5" s="12">
        <f>MAX('Scratch-Abrasion'!$R$398:$R$615)</f>
      </c>
      <c r="V5" s="12">
        <f>AVERAGE('Scratch-Abrasion'!$R$398:$R$615)</f>
      </c>
      <c r="W5" s="12">
        <f>MIN('Scratch-Abrasion'!$S$398:$S$615)</f>
      </c>
      <c r="X5" s="12">
        <f>MAX('Scratch-Abrasion'!$S$398:$S$615)</f>
      </c>
      <c r="Y5" s="12">
        <f>AVERAGE('Scratch-Abrasion'!$S$398:$S$615)</f>
      </c>
      <c r="Z5" s="12">
        <f>MIN('Scratch-Abrasion'!$T$398:$T$615)</f>
      </c>
      <c r="AA5" s="12">
        <f>MAX('Scratch-Abrasion'!$T$398:$T$615)</f>
      </c>
      <c r="AB5" s="12">
        <f>AVERAGE('Scratch-Abrasion'!$T$398:$T$615)</f>
      </c>
    </row>
    <row x14ac:dyDescent="0.25" r="6" customHeight="1" ht="19.5">
      <c r="A6" s="2" t="s">
        <v>30</v>
      </c>
      <c r="B6" s="2" t="s">
        <v>31</v>
      </c>
      <c r="C6" s="2" t="s">
        <v>650</v>
      </c>
      <c r="D6" s="12">
        <f>COUNT('Scratch-Abrasion'!$H$616:$H$804)</f>
      </c>
      <c r="E6" s="12">
        <f>MIN('Scratch-Abrasion'!$H$616:$H$804)</f>
      </c>
      <c r="F6" s="12">
        <f>MAX('Scratch-Abrasion'!$H$616:$H$804)</f>
      </c>
      <c r="G6" s="12">
        <f>AVERAGE('Scratch-Abrasion'!$H$616:$H$804)</f>
      </c>
      <c r="H6" s="12">
        <f>MIN('Scratch-Abrasion'!$I$616:$I$804)</f>
      </c>
      <c r="I6" s="12">
        <f>MAX('Scratch-Abrasion'!$I$616:$I$804)</f>
      </c>
      <c r="J6" s="12">
        <f>AVERAGE('Scratch-Abrasion'!$I$616:$I$804)</f>
      </c>
      <c r="K6" s="12">
        <f>MIN('Scratch-Abrasion'!$J$616:$J$804)</f>
      </c>
      <c r="L6" s="12">
        <f>MAX('Scratch-Abrasion'!$J$616:$J$804)</f>
      </c>
      <c r="M6" s="12">
        <f>AVERAGE('Scratch-Abrasion'!$J$616:$J$804)</f>
      </c>
      <c r="N6" s="12">
        <f>MIN('Scratch-Abrasion'!$K$616:$K$804)</f>
      </c>
      <c r="O6" s="12">
        <f>MAX('Scratch-Abrasion'!$K$616:$K$804)</f>
      </c>
      <c r="P6" s="12">
        <f>AVERAGE('Scratch-Abrasion'!$K$616:$K$804)</f>
      </c>
      <c r="Q6" s="12">
        <f>MIN('Scratch-Abrasion'!$Q$616:$Q$804)</f>
      </c>
      <c r="R6" s="12">
        <f>MAX('Scratch-Abrasion'!$Q$616:$Q$804)</f>
      </c>
      <c r="S6" s="12">
        <f>AVERAGE('Scratch-Abrasion'!$Q$616:$Q$804)</f>
      </c>
      <c r="T6" s="12">
        <f>MIN('Scratch-Abrasion'!$R$616:$R$804)</f>
      </c>
      <c r="U6" s="12">
        <f>MAX('Scratch-Abrasion'!$R$616:$R$804)</f>
      </c>
      <c r="V6" s="12">
        <f>AVERAGE('Scratch-Abrasion'!$R$616:$R$804)</f>
      </c>
      <c r="W6" s="12">
        <f>MIN('Scratch-Abrasion'!$S$616:$S$804)</f>
      </c>
      <c r="X6" s="12">
        <f>MAX('Scratch-Abrasion'!$S$616:$S$804)</f>
      </c>
      <c r="Y6" s="12">
        <f>AVERAGE('Scratch-Abrasion'!$S$616:$S$804)</f>
      </c>
      <c r="Z6" s="12">
        <f>MIN('Scratch-Abrasion'!$T$616:$T$804)</f>
      </c>
      <c r="AA6" s="12">
        <f>MAX('Scratch-Abrasion'!$T$616:$T$804)</f>
      </c>
      <c r="AB6" s="12">
        <f>AVERAGE('Scratch-Abrasion'!$T$616:$T$804)</f>
      </c>
    </row>
    <row x14ac:dyDescent="0.25" r="7" customHeight="1" ht="19.5">
      <c r="A7" s="2" t="s">
        <v>30</v>
      </c>
      <c r="B7" s="2" t="s">
        <v>31</v>
      </c>
      <c r="C7" s="2" t="s">
        <v>840</v>
      </c>
      <c r="D7" s="12">
        <f>COUNT('Scratch-Abrasion'!$H$805:$H$1023)</f>
      </c>
      <c r="E7" s="12">
        <f>MIN('Scratch-Abrasion'!$H$805:$H$1023)</f>
      </c>
      <c r="F7" s="12">
        <f>MAX('Scratch-Abrasion'!$H$805:$H$1023)</f>
      </c>
      <c r="G7" s="12">
        <f>AVERAGE('Scratch-Abrasion'!$H$805:$H$1023)</f>
      </c>
      <c r="H7" s="12">
        <f>MIN('Scratch-Abrasion'!$I$805:$I$1023)</f>
      </c>
      <c r="I7" s="12">
        <f>MAX('Scratch-Abrasion'!$I$805:$I$1023)</f>
      </c>
      <c r="J7" s="12">
        <f>AVERAGE('Scratch-Abrasion'!$I$805:$I$1023)</f>
      </c>
      <c r="K7" s="12">
        <f>MIN('Scratch-Abrasion'!$J$805:$J$1023)</f>
      </c>
      <c r="L7" s="12">
        <f>MAX('Scratch-Abrasion'!$J$805:$J$1023)</f>
      </c>
      <c r="M7" s="12">
        <f>AVERAGE('Scratch-Abrasion'!$J$805:$J$1023)</f>
      </c>
      <c r="N7" s="12">
        <f>MIN('Scratch-Abrasion'!$K$805:$K$1023)</f>
      </c>
      <c r="O7" s="12">
        <f>MAX('Scratch-Abrasion'!$K$805:$K$1023)</f>
      </c>
      <c r="P7" s="12">
        <f>AVERAGE('Scratch-Abrasion'!$K$805:$K$1023)</f>
      </c>
      <c r="Q7" s="12">
        <f>MIN('Scratch-Abrasion'!$Q$805:$Q$1023)</f>
      </c>
      <c r="R7" s="12">
        <f>MAX('Scratch-Abrasion'!$Q$805:$Q$1023)</f>
      </c>
      <c r="S7" s="12">
        <f>AVERAGE('Scratch-Abrasion'!$Q$805:$Q$1023)</f>
      </c>
      <c r="T7" s="12">
        <f>MIN('Scratch-Abrasion'!$R$805:$R$1023)</f>
      </c>
      <c r="U7" s="12">
        <f>MAX('Scratch-Abrasion'!$R$805:$R$1023)</f>
      </c>
      <c r="V7" s="12">
        <f>AVERAGE('Scratch-Abrasion'!$R$805:$R$1023)</f>
      </c>
      <c r="W7" s="12">
        <f>MIN('Scratch-Abrasion'!$S$805:$S$1023)</f>
      </c>
      <c r="X7" s="12">
        <f>MAX('Scratch-Abrasion'!$S$805:$S$1023)</f>
      </c>
      <c r="Y7" s="12">
        <f>AVERAGE('Scratch-Abrasion'!$S$805:$S$1023)</f>
      </c>
      <c r="Z7" s="12">
        <f>MIN('Scratch-Abrasion'!$T$805:$T$1023)</f>
      </c>
      <c r="AA7" s="12">
        <f>MAX('Scratch-Abrasion'!$T$805:$T$1023)</f>
      </c>
      <c r="AB7" s="12">
        <f>AVERAGE('Scratch-Abrasion'!$T$805:$T$1023)</f>
      </c>
    </row>
    <row x14ac:dyDescent="0.25" r="8" customHeight="1" ht="19.5">
      <c r="A8" s="2" t="s">
        <v>2314</v>
      </c>
      <c r="B8" s="2" t="s">
        <v>31</v>
      </c>
      <c r="C8" s="2" t="s">
        <v>32</v>
      </c>
      <c r="D8" s="12">
        <f>COUNT('Crack (cut)'!$H$2:$H$137)</f>
      </c>
      <c r="E8" s="12">
        <f>MIN('Crack (cut)'!$H$2:$H$137)</f>
      </c>
      <c r="F8" s="12">
        <f>MAX('Crack (cut)'!$H$2:$H$137)</f>
      </c>
      <c r="G8" s="12">
        <f>AVERAGE('Crack (cut)'!$H$2:$H$137)</f>
      </c>
      <c r="H8" s="12">
        <f>MIN('Crack (cut)'!$I$2:$I$137)</f>
      </c>
      <c r="I8" s="12">
        <f>MAX('Crack (cut)'!$I$2:$I$137)</f>
      </c>
      <c r="J8" s="12">
        <f>AVERAGE('Crack (cut)'!$I$2:$I$137)</f>
      </c>
      <c r="K8" s="12">
        <f>MIN('Crack (cut)'!$J$2:$J$137)</f>
      </c>
      <c r="L8" s="12">
        <f>MAX('Crack (cut)'!$J$2:$J$137)</f>
      </c>
      <c r="M8" s="12">
        <f>AVERAGE('Crack (cut)'!$J$2:$J$137)</f>
      </c>
      <c r="N8" s="12">
        <f>MIN('Crack (cut)'!$K$2:$K$137)</f>
      </c>
      <c r="O8" s="12">
        <f>MAX('Crack (cut)'!$K$2:$K$137)</f>
      </c>
      <c r="P8" s="12">
        <f>AVERAGE('Crack (cut)'!$K$2:$K$137)</f>
      </c>
      <c r="Q8" s="12">
        <f>MIN('Crack (cut)'!$Q$2:$Q$137)</f>
      </c>
      <c r="R8" s="12">
        <f>MAX('Crack (cut)'!$Q$2:$Q$137)</f>
      </c>
      <c r="S8" s="12">
        <f>AVERAGE('Crack (cut)'!$Q$2:$Q$137)</f>
      </c>
      <c r="T8" s="12">
        <f>MIN('Crack (cut)'!$R$2:$R$137)</f>
      </c>
      <c r="U8" s="12">
        <f>MAX('Crack (cut)'!$R$2:$R$137)</f>
      </c>
      <c r="V8" s="12">
        <f>AVERAGE('Crack (cut)'!$R$2:$R$137)</f>
      </c>
      <c r="W8" s="12">
        <f>MIN('Crack (cut)'!$S$2:$S$137)</f>
      </c>
      <c r="X8" s="12">
        <f>MAX('Crack (cut)'!$S$2:$S$137)</f>
      </c>
      <c r="Y8" s="12">
        <f>AVERAGE('Crack (cut)'!$S$2:$S$137)</f>
      </c>
      <c r="Z8" s="12">
        <f>MIN('Crack (cut)'!$T$2:$T$137)</f>
      </c>
      <c r="AA8" s="12">
        <f>MAX('Crack (cut)'!$T$2:$T$137)</f>
      </c>
      <c r="AB8" s="12">
        <f>AVERAGE('Crack (cut)'!$T$2:$T$137)</f>
      </c>
    </row>
    <row x14ac:dyDescent="0.25" r="9" customHeight="1" ht="19.5">
      <c r="A9" s="2" t="s">
        <v>2314</v>
      </c>
      <c r="B9" s="2" t="s">
        <v>31</v>
      </c>
      <c r="C9" s="2" t="s">
        <v>402</v>
      </c>
      <c r="D9" s="12">
        <f>COUNT('Crack (cut)'!$H$138:$H$315)</f>
      </c>
      <c r="E9" s="12">
        <f>MIN('Crack (cut)'!$H$138:$H$315)</f>
      </c>
      <c r="F9" s="12">
        <f>MAX('Crack (cut)'!$H$138:$H$315)</f>
      </c>
      <c r="G9" s="12">
        <f>AVERAGE('Crack (cut)'!$H$138:$H$315)</f>
      </c>
      <c r="H9" s="12">
        <f>MIN('Crack (cut)'!$I$138:$I$315)</f>
      </c>
      <c r="I9" s="12">
        <f>MAX('Crack (cut)'!$I$138:$I$315)</f>
      </c>
      <c r="J9" s="12">
        <f>AVERAGE('Crack (cut)'!$I$138:$I$315)</f>
      </c>
      <c r="K9" s="12">
        <f>MIN('Crack (cut)'!$J$138:$J$315)</f>
      </c>
      <c r="L9" s="12">
        <f>MAX('Crack (cut)'!$J$138:$J$315)</f>
      </c>
      <c r="M9" s="12">
        <f>AVERAGE('Crack (cut)'!$J$138:$J$315)</f>
      </c>
      <c r="N9" s="12">
        <f>MIN('Crack (cut)'!$K$138:$K$315)</f>
      </c>
      <c r="O9" s="12">
        <f>MAX('Crack (cut)'!$K$138:$K$315)</f>
      </c>
      <c r="P9" s="12">
        <f>AVERAGE('Crack (cut)'!$K$138:$K$315)</f>
      </c>
      <c r="Q9" s="12">
        <f>MIN('Crack (cut)'!$Q$138:$Q$315)</f>
      </c>
      <c r="R9" s="12">
        <f>MAX('Crack (cut)'!$Q$138:$Q$315)</f>
      </c>
      <c r="S9" s="12">
        <f>AVERAGE('Crack (cut)'!$Q$138:$Q$315)</f>
      </c>
      <c r="T9" s="12">
        <f>MIN('Crack (cut)'!$R$138:$R$315)</f>
      </c>
      <c r="U9" s="12">
        <f>MAX('Crack (cut)'!$R$138:$R$315)</f>
      </c>
      <c r="V9" s="12">
        <f>AVERAGE('Crack (cut)'!$R$138:$R$315)</f>
      </c>
      <c r="W9" s="12">
        <f>MIN('Crack (cut)'!$S$138:$S$315)</f>
      </c>
      <c r="X9" s="12">
        <f>MAX('Crack (cut)'!$S$138:$S$315)</f>
      </c>
      <c r="Y9" s="12">
        <f>AVERAGE('Crack (cut)'!$S$138:$S$315)</f>
      </c>
      <c r="Z9" s="12">
        <f>MIN('Crack (cut)'!$T$138:$T$315)</f>
      </c>
      <c r="AA9" s="12">
        <f>MAX('Crack (cut)'!$T$138:$T$315)</f>
      </c>
      <c r="AB9" s="12">
        <f>AVERAGE('Crack (cut)'!$T$138:$T$315)</f>
      </c>
    </row>
    <row x14ac:dyDescent="0.25" r="10" customHeight="1" ht="19.5">
      <c r="A10" s="2" t="s">
        <v>2314</v>
      </c>
      <c r="B10" s="2" t="s">
        <v>31</v>
      </c>
      <c r="C10" s="2" t="s">
        <v>431</v>
      </c>
      <c r="D10" s="12">
        <f>COUNT('Crack (cut)'!$H$316:$H$531)</f>
      </c>
      <c r="E10" s="12">
        <f>MIN('Crack (cut)'!$H$316:$H$531)</f>
      </c>
      <c r="F10" s="12">
        <f>MAX('Crack (cut)'!$H$316:$H$531)</f>
      </c>
      <c r="G10" s="12">
        <f>AVERAGE('Crack (cut)'!$H$316:$H$531)</f>
      </c>
      <c r="H10" s="12">
        <f>MIN('Crack (cut)'!$I$316:$I$531)</f>
      </c>
      <c r="I10" s="12">
        <f>MAX('Crack (cut)'!$I$316:$I$531)</f>
      </c>
      <c r="J10" s="12">
        <f>AVERAGE('Crack (cut)'!$I$316:$I$531)</f>
      </c>
      <c r="K10" s="12">
        <f>MIN('Crack (cut)'!$J$316:$J$531)</f>
      </c>
      <c r="L10" s="12">
        <f>MAX('Crack (cut)'!$J$316:$J$531)</f>
      </c>
      <c r="M10" s="12">
        <f>AVERAGE('Crack (cut)'!$J$316:$J$531)</f>
      </c>
      <c r="N10" s="12">
        <f>MIN('Crack (cut)'!$K$316:$K$531)</f>
      </c>
      <c r="O10" s="12">
        <f>MAX('Crack (cut)'!$K$316:$K$531)</f>
      </c>
      <c r="P10" s="12">
        <f>AVERAGE('Crack (cut)'!$K$316:$K$531)</f>
      </c>
      <c r="Q10" s="12">
        <f>MIN('Crack (cut)'!$Q$316:$Q$531)</f>
      </c>
      <c r="R10" s="12">
        <f>MAX('Crack (cut)'!$Q$316:$Q$531)</f>
      </c>
      <c r="S10" s="12">
        <f>AVERAGE('Crack (cut)'!$Q$316:$Q$531)</f>
      </c>
      <c r="T10" s="12">
        <f>MIN('Crack (cut)'!$R$316:$R$531)</f>
      </c>
      <c r="U10" s="12">
        <f>MAX('Crack (cut)'!$R$316:$R$531)</f>
      </c>
      <c r="V10" s="12">
        <f>AVERAGE('Crack (cut)'!$R$316:$R$531)</f>
      </c>
      <c r="W10" s="12">
        <f>MIN('Crack (cut)'!$S$316:$S$531)</f>
      </c>
      <c r="X10" s="12">
        <f>MAX('Crack (cut)'!$S$316:$S$531)</f>
      </c>
      <c r="Y10" s="12">
        <f>AVERAGE('Crack (cut)'!$S$316:$S$531)</f>
      </c>
      <c r="Z10" s="12">
        <f>MIN('Crack (cut)'!$T$316:$T$531)</f>
      </c>
      <c r="AA10" s="12">
        <f>MAX('Crack (cut)'!$T$316:$T$531)</f>
      </c>
      <c r="AB10" s="12">
        <f>AVERAGE('Crack (cut)'!$T$316:$T$531)</f>
      </c>
    </row>
    <row x14ac:dyDescent="0.25" r="11" customHeight="1" ht="19.5">
      <c r="A11" s="2" t="s">
        <v>2314</v>
      </c>
      <c r="B11" s="2" t="s">
        <v>31</v>
      </c>
      <c r="C11" s="2" t="s">
        <v>650</v>
      </c>
      <c r="D11" s="12">
        <f>COUNT('Crack (cut)'!$H$532:$H$758)</f>
      </c>
      <c r="E11" s="12">
        <f>MIN('Crack (cut)'!$H$532:$H$758)</f>
      </c>
      <c r="F11" s="12">
        <f>MAX('Crack (cut)'!$H$532:$H$758)</f>
      </c>
      <c r="G11" s="12">
        <f>AVERAGE('Crack (cut)'!$H$532:$H$758)</f>
      </c>
      <c r="H11" s="12">
        <f>MIN('Crack (cut)'!$I$532:$I$758)</f>
      </c>
      <c r="I11" s="12">
        <f>MAX('Crack (cut)'!$I$532:$I$758)</f>
      </c>
      <c r="J11" s="12">
        <f>AVERAGE('Crack (cut)'!$I$532:$I$758)</f>
      </c>
      <c r="K11" s="12">
        <f>MIN('Crack (cut)'!$J$532:$J$758)</f>
      </c>
      <c r="L11" s="12">
        <f>MAX('Crack (cut)'!$J$532:$J$758)</f>
      </c>
      <c r="M11" s="12">
        <f>AVERAGE('Crack (cut)'!$J$532:$J$758)</f>
      </c>
      <c r="N11" s="12">
        <f>MIN('Crack (cut)'!$K$532:$K$758)</f>
      </c>
      <c r="O11" s="12">
        <f>MAX('Crack (cut)'!$K$532:$K$758)</f>
      </c>
      <c r="P11" s="12">
        <f>AVERAGE('Crack (cut)'!$K$532:$K$758)</f>
      </c>
      <c r="Q11" s="12">
        <f>MIN('Crack (cut)'!$Q$532:$Q$758)</f>
      </c>
      <c r="R11" s="12">
        <f>MAX('Crack (cut)'!$Q$532:$Q$758)</f>
      </c>
      <c r="S11" s="12">
        <f>AVERAGE('Crack (cut)'!$Q$532:$Q$758)</f>
      </c>
      <c r="T11" s="12">
        <f>MIN('Crack (cut)'!$R$532:$R$758)</f>
      </c>
      <c r="U11" s="12">
        <f>MAX('Crack (cut)'!$R$532:$R$758)</f>
      </c>
      <c r="V11" s="12">
        <f>AVERAGE('Crack (cut)'!$R$532:$R$758)</f>
      </c>
      <c r="W11" s="12">
        <f>MIN('Crack (cut)'!$S$532:$S$758)</f>
      </c>
      <c r="X11" s="12">
        <f>MAX('Crack (cut)'!$S$532:$S$758)</f>
      </c>
      <c r="Y11" s="12">
        <f>AVERAGE('Crack (cut)'!$S$532:$S$758)</f>
      </c>
      <c r="Z11" s="12">
        <f>MIN('Crack (cut)'!$T$532:$T$758)</f>
      </c>
      <c r="AA11" s="12">
        <f>MAX('Crack (cut)'!$T$532:$T$758)</f>
      </c>
      <c r="AB11" s="12">
        <f>AVERAGE('Crack (cut)'!$T$532:$T$758)</f>
      </c>
    </row>
    <row x14ac:dyDescent="0.25" r="12" customHeight="1" ht="19.5">
      <c r="A12" s="2" t="s">
        <v>2314</v>
      </c>
      <c r="B12" s="2" t="s">
        <v>31</v>
      </c>
      <c r="C12" s="2" t="s">
        <v>840</v>
      </c>
      <c r="D12" s="12">
        <f>COUNT('Crack (cut)'!$H$759:$H$980)</f>
      </c>
      <c r="E12" s="12">
        <f>MIN('Crack (cut)'!$H$759:$H$980)</f>
      </c>
      <c r="F12" s="12">
        <f>MAX('Crack (cut)'!$H$759:$H$980)</f>
      </c>
      <c r="G12" s="12">
        <f>AVERAGE('Crack (cut)'!$H$759:$H$980)</f>
      </c>
      <c r="H12" s="12">
        <f>MIN('Crack (cut)'!$I$759:$I$980)</f>
      </c>
      <c r="I12" s="12">
        <f>MAX('Crack (cut)'!$I$759:$I$980)</f>
      </c>
      <c r="J12" s="12">
        <f>AVERAGE('Crack (cut)'!$I$759:$I$980)</f>
      </c>
      <c r="K12" s="12">
        <f>MIN('Crack (cut)'!$J$759:$J$980)</f>
      </c>
      <c r="L12" s="12">
        <f>MAX('Crack (cut)'!$J$759:$J$980)</f>
      </c>
      <c r="M12" s="12">
        <f>AVERAGE('Crack (cut)'!$J$759:$J$980)</f>
      </c>
      <c r="N12" s="12">
        <f>MIN('Crack (cut)'!$K$759:$K$980)</f>
      </c>
      <c r="O12" s="12">
        <f>MAX('Crack (cut)'!$K$759:$K$980)</f>
      </c>
      <c r="P12" s="12">
        <f>AVERAGE('Crack (cut)'!$K$759:$K$980)</f>
      </c>
      <c r="Q12" s="12">
        <f>MIN('Crack (cut)'!$Q$759:$Q$980)</f>
      </c>
      <c r="R12" s="12">
        <f>MAX('Crack (cut)'!$Q$759:$Q$980)</f>
      </c>
      <c r="S12" s="12">
        <f>AVERAGE('Crack (cut)'!$Q$759:$Q$980)</f>
      </c>
      <c r="T12" s="12">
        <f>MIN('Crack (cut)'!$R$759:$R$980)</f>
      </c>
      <c r="U12" s="12">
        <f>MAX('Crack (cut)'!$R$759:$R$980)</f>
      </c>
      <c r="V12" s="12">
        <f>AVERAGE('Crack (cut)'!$R$759:$R$980)</f>
      </c>
      <c r="W12" s="12">
        <f>MIN('Crack (cut)'!$S$759:$S$980)</f>
      </c>
      <c r="X12" s="12">
        <f>MAX('Crack (cut)'!$S$759:$S$980)</f>
      </c>
      <c r="Y12" s="12">
        <f>AVERAGE('Crack (cut)'!$S$759:$S$980)</f>
      </c>
      <c r="Z12" s="12">
        <f>MIN('Crack (cut)'!$T$759:$T$980)</f>
      </c>
      <c r="AA12" s="12">
        <f>MAX('Crack (cut)'!$T$759:$T$980)</f>
      </c>
      <c r="AB12" s="12">
        <f>AVERAGE('Crack (cut)'!$T$759:$T$980)</f>
      </c>
    </row>
    <row x14ac:dyDescent="0.25" r="13" customHeight="1" ht="19.5">
      <c r="A13" s="2" t="s">
        <v>1060</v>
      </c>
      <c r="B13" s="2" t="s">
        <v>31</v>
      </c>
      <c r="C13" s="2" t="s">
        <v>32</v>
      </c>
      <c r="D13" s="12">
        <f>COUNT('Scratch-Friction'!$H$2:$H$180)</f>
      </c>
      <c r="E13" s="12">
        <f>MIN('Scratch-Friction'!$H$2:$H$180)</f>
      </c>
      <c r="F13" s="12">
        <f>MAX('Scratch-Friction'!$H$2:$H$180)</f>
      </c>
      <c r="G13" s="12">
        <f>AVERAGE('Scratch-Friction'!$H$2:$H$180)</f>
      </c>
      <c r="H13" s="12">
        <f>MIN('Scratch-Friction'!$I$2:$I$180)</f>
      </c>
      <c r="I13" s="12">
        <f>MAX('Scratch-Friction'!$I$2:$I$180)</f>
      </c>
      <c r="J13" s="12">
        <f>AVERAGE('Scratch-Friction'!$I$2:$I$180)</f>
      </c>
      <c r="K13" s="12">
        <f>MIN('Scratch-Friction'!$J$2:$J$180)</f>
      </c>
      <c r="L13" s="12">
        <f>MAX('Scratch-Friction'!$J$2:$J$180)</f>
      </c>
      <c r="M13" s="12">
        <f>AVERAGE('Scratch-Friction'!$J$2:$J$180)</f>
      </c>
      <c r="N13" s="12">
        <f>MIN('Scratch-Friction'!$K$2:$K$180)</f>
      </c>
      <c r="O13" s="12">
        <f>MAX('Scratch-Friction'!$K$2:$K$180)</f>
      </c>
      <c r="P13" s="12">
        <f>AVERAGE('Scratch-Friction'!$K$2:$K$180)</f>
      </c>
      <c r="Q13" s="12">
        <f>MIN('Scratch-Friction'!$Q$2:$Q$180)</f>
      </c>
      <c r="R13" s="12">
        <f>MAX('Scratch-Friction'!$Q$2:$Q$180)</f>
      </c>
      <c r="S13" s="12">
        <f>AVERAGE('Scratch-Friction'!$Q$2:$Q$180)</f>
      </c>
      <c r="T13" s="12">
        <f>MIN('Scratch-Friction'!$R$2:$R$180)</f>
      </c>
      <c r="U13" s="12">
        <f>MAX('Scratch-Friction'!$R$2:$R$180)</f>
      </c>
      <c r="V13" s="12">
        <f>AVERAGE('Scratch-Friction'!$R$2:$R$180)</f>
      </c>
      <c r="W13" s="12">
        <f>MIN('Scratch-Friction'!$S$2:$S$180)</f>
      </c>
      <c r="X13" s="12">
        <f>MAX('Scratch-Friction'!$S$2:$S$180)</f>
      </c>
      <c r="Y13" s="12">
        <f>AVERAGE('Scratch-Friction'!$S$2:$S$180)</f>
      </c>
      <c r="Z13" s="12">
        <f>MIN('Scratch-Friction'!$T$2:$T$180)</f>
      </c>
      <c r="AA13" s="12">
        <f>MAX('Scratch-Friction'!$T$2:$T$180)</f>
      </c>
      <c r="AB13" s="12">
        <f>AVERAGE('Scratch-Friction'!$T$2:$T$180)</f>
      </c>
    </row>
    <row x14ac:dyDescent="0.25" r="14" customHeight="1" ht="19.5">
      <c r="A14" s="2" t="s">
        <v>1060</v>
      </c>
      <c r="B14" s="2" t="s">
        <v>31</v>
      </c>
      <c r="C14" s="2" t="s">
        <v>245</v>
      </c>
      <c r="D14" s="12">
        <f>COUNT('Scratch-Friction'!$H$181:$H$391)</f>
      </c>
      <c r="E14" s="12">
        <f>MIN('Scratch-Friction'!$H$181:$H$391)</f>
      </c>
      <c r="F14" s="12">
        <f>MAX('Scratch-Friction'!$H$181:$H$391)</f>
      </c>
      <c r="G14" s="12">
        <f>AVERAGE('Scratch-Friction'!$H$181:$H$391)</f>
      </c>
      <c r="H14" s="12">
        <f>MIN('Scratch-Friction'!$I$181:$I$391)</f>
      </c>
      <c r="I14" s="12">
        <f>MAX('Scratch-Friction'!$I$181:$I$391)</f>
      </c>
      <c r="J14" s="12">
        <f>AVERAGE('Scratch-Friction'!$I$181:$I$391)</f>
      </c>
      <c r="K14" s="12">
        <f>MIN('Scratch-Friction'!$J$181:$J$391)</f>
      </c>
      <c r="L14" s="12">
        <f>MAX('Scratch-Friction'!$J$181:$J$391)</f>
      </c>
      <c r="M14" s="12">
        <f>AVERAGE('Scratch-Friction'!$J$181:$J$391)</f>
      </c>
      <c r="N14" s="12">
        <f>MIN('Scratch-Friction'!$K$181:$K$391)</f>
      </c>
      <c r="O14" s="12">
        <f>MAX('Scratch-Friction'!$K$181:$K$391)</f>
      </c>
      <c r="P14" s="12">
        <f>AVERAGE('Scratch-Friction'!$K$181:$K$391)</f>
      </c>
      <c r="Q14" s="12">
        <f>MIN('Scratch-Friction'!$Q$181:$Q$391)</f>
      </c>
      <c r="R14" s="12">
        <f>MAX('Scratch-Friction'!$Q$181:$Q$391)</f>
      </c>
      <c r="S14" s="12">
        <f>AVERAGE('Scratch-Friction'!$Q$181:$Q$391)</f>
      </c>
      <c r="T14" s="12">
        <f>MIN('Scratch-Friction'!$R$181:$R$391)</f>
      </c>
      <c r="U14" s="12">
        <f>MAX('Scratch-Friction'!$R$181:$R$391)</f>
      </c>
      <c r="V14" s="12">
        <f>AVERAGE('Scratch-Friction'!$R$181:$R$391)</f>
      </c>
      <c r="W14" s="12">
        <f>MIN('Scratch-Friction'!$S$181:$S$391)</f>
      </c>
      <c r="X14" s="12">
        <f>MAX('Scratch-Friction'!$S$181:$S$391)</f>
      </c>
      <c r="Y14" s="12">
        <f>AVERAGE('Scratch-Friction'!$S$181:$S$391)</f>
      </c>
      <c r="Z14" s="12">
        <f>MIN('Scratch-Friction'!$T$181:$T$391)</f>
      </c>
      <c r="AA14" s="12">
        <f>MAX('Scratch-Friction'!$T$181:$T$391)</f>
      </c>
      <c r="AB14" s="12">
        <f>AVERAGE('Scratch-Friction'!$T$181:$T$391)</f>
      </c>
    </row>
    <row x14ac:dyDescent="0.25" r="15" customHeight="1" ht="19.5">
      <c r="A15" s="2" t="s">
        <v>1060</v>
      </c>
      <c r="B15" s="2" t="s">
        <v>31</v>
      </c>
      <c r="C15" s="2" t="s">
        <v>402</v>
      </c>
      <c r="D15" s="12">
        <f>COUNT('Scratch-Friction'!$H$392:$H$607)</f>
      </c>
      <c r="E15" s="12">
        <f>MIN('Scratch-Friction'!$H$392:$H$607)</f>
      </c>
      <c r="F15" s="12">
        <f>MAX('Scratch-Friction'!$H$392:$H$607)</f>
      </c>
      <c r="G15" s="12">
        <f>AVERAGE('Scratch-Friction'!$H$392:$H$607)</f>
      </c>
      <c r="H15" s="12">
        <f>MIN('Scratch-Friction'!$I$392:$I$607)</f>
      </c>
      <c r="I15" s="12">
        <f>MAX('Scratch-Friction'!$I$392:$I$607)</f>
      </c>
      <c r="J15" s="12">
        <f>AVERAGE('Scratch-Friction'!$I$392:$I$607)</f>
      </c>
      <c r="K15" s="12">
        <f>MIN('Scratch-Friction'!$J$392:$J$607)</f>
      </c>
      <c r="L15" s="12">
        <f>MAX('Scratch-Friction'!$J$392:$J$607)</f>
      </c>
      <c r="M15" s="12">
        <f>AVERAGE('Scratch-Friction'!$J$392:$J$607)</f>
      </c>
      <c r="N15" s="12">
        <f>MIN('Scratch-Friction'!$K$392:$K$607)</f>
      </c>
      <c r="O15" s="12">
        <f>MAX('Scratch-Friction'!$K$392:$K$607)</f>
      </c>
      <c r="P15" s="12">
        <f>AVERAGE('Scratch-Friction'!$K$392:$K$607)</f>
      </c>
      <c r="Q15" s="12">
        <f>MIN('Scratch-Friction'!$Q$392:$Q$607)</f>
      </c>
      <c r="R15" s="12">
        <f>MAX('Scratch-Friction'!$Q$392:$Q$607)</f>
      </c>
      <c r="S15" s="12">
        <f>AVERAGE('Scratch-Friction'!$Q$392:$Q$607)</f>
      </c>
      <c r="T15" s="12">
        <f>MIN('Scratch-Friction'!$R$392:$R$607)</f>
      </c>
      <c r="U15" s="12">
        <f>MAX('Scratch-Friction'!$R$392:$R$607)</f>
      </c>
      <c r="V15" s="12">
        <f>AVERAGE('Scratch-Friction'!$R$392:$R$607)</f>
      </c>
      <c r="W15" s="12">
        <f>MIN('Scratch-Friction'!$S$392:$S$607)</f>
      </c>
      <c r="X15" s="12">
        <f>MAX('Scratch-Friction'!$S$392:$S$607)</f>
      </c>
      <c r="Y15" s="12">
        <f>AVERAGE('Scratch-Friction'!$S$392:$S$607)</f>
      </c>
      <c r="Z15" s="12">
        <f>MIN('Scratch-Friction'!$T$392:$T$607)</f>
      </c>
      <c r="AA15" s="12">
        <f>MAX('Scratch-Friction'!$T$392:$T$607)</f>
      </c>
      <c r="AB15" s="12">
        <f>AVERAGE('Scratch-Friction'!$T$392:$T$607)</f>
      </c>
    </row>
    <row x14ac:dyDescent="0.25" r="16" customHeight="1" ht="19.5">
      <c r="A16" s="2" t="s">
        <v>1060</v>
      </c>
      <c r="B16" s="2" t="s">
        <v>31</v>
      </c>
      <c r="C16" s="2" t="s">
        <v>431</v>
      </c>
      <c r="D16" s="12">
        <f>COUNT('Scratch-Friction'!$H$608:$H$814)</f>
      </c>
      <c r="E16" s="12">
        <f>MIN('Scratch-Friction'!$H$608:$H$814)</f>
      </c>
      <c r="F16" s="12">
        <f>MAX('Scratch-Friction'!$H$608:$H$814)</f>
      </c>
      <c r="G16" s="12">
        <f>AVERAGE('Scratch-Friction'!$H$608:$H$814)</f>
      </c>
      <c r="H16" s="12">
        <f>MIN('Scratch-Friction'!$I$608:$I$814)</f>
      </c>
      <c r="I16" s="12">
        <f>MAX('Scratch-Friction'!$I$608:$I$814)</f>
      </c>
      <c r="J16" s="12">
        <f>AVERAGE('Scratch-Friction'!$I$608:$I$814)</f>
      </c>
      <c r="K16" s="12">
        <f>MIN('Scratch-Friction'!$J$608:$J$814)</f>
      </c>
      <c r="L16" s="12">
        <f>MAX('Scratch-Friction'!$J$608:$J$814)</f>
      </c>
      <c r="M16" s="12">
        <f>AVERAGE('Scratch-Friction'!$J$608:$J$814)</f>
      </c>
      <c r="N16" s="12">
        <f>MIN('Scratch-Friction'!$K$608:$K$814)</f>
      </c>
      <c r="O16" s="12">
        <f>MAX('Scratch-Friction'!$K$608:$K$814)</f>
      </c>
      <c r="P16" s="12">
        <f>AVERAGE('Scratch-Friction'!$K$608:$K$814)</f>
      </c>
      <c r="Q16" s="12">
        <f>MIN('Scratch-Friction'!$Q$608:$Q$814)</f>
      </c>
      <c r="R16" s="12">
        <f>MAX('Scratch-Friction'!$Q$608:$Q$814)</f>
      </c>
      <c r="S16" s="12">
        <f>AVERAGE('Scratch-Friction'!$Q$608:$Q$814)</f>
      </c>
      <c r="T16" s="12">
        <f>MIN('Scratch-Friction'!$R$608:$R$814)</f>
      </c>
      <c r="U16" s="12">
        <f>MAX('Scratch-Friction'!$R$608:$R$814)</f>
      </c>
      <c r="V16" s="12">
        <f>AVERAGE('Scratch-Friction'!$R$608:$R$814)</f>
      </c>
      <c r="W16" s="12">
        <f>MIN('Scratch-Friction'!$S$608:$S$814)</f>
      </c>
      <c r="X16" s="12">
        <f>MAX('Scratch-Friction'!$S$608:$S$814)</f>
      </c>
      <c r="Y16" s="12">
        <f>AVERAGE('Scratch-Friction'!$S$608:$S$814)</f>
      </c>
      <c r="Z16" s="12">
        <f>MIN('Scratch-Friction'!$T$608:$T$814)</f>
      </c>
      <c r="AA16" s="12">
        <f>MAX('Scratch-Friction'!$T$608:$T$814)</f>
      </c>
      <c r="AB16" s="12">
        <f>AVERAGE('Scratch-Friction'!$T$608:$T$814)</f>
      </c>
    </row>
    <row x14ac:dyDescent="0.25" r="17" customHeight="1" ht="19.5">
      <c r="A17" s="2" t="s">
        <v>1060</v>
      </c>
      <c r="B17" s="2" t="s">
        <v>31</v>
      </c>
      <c r="C17" s="2" t="s">
        <v>650</v>
      </c>
      <c r="D17" s="12">
        <f>COUNT('Scratch-Friction'!$H$815:$H$1031)</f>
      </c>
      <c r="E17" s="12">
        <f>MIN('Scratch-Friction'!$H$815:$H$1031)</f>
      </c>
      <c r="F17" s="12">
        <f>MAX('Scratch-Friction'!$H$815:$H$1031)</f>
      </c>
      <c r="G17" s="12">
        <f>AVERAGE('Scratch-Friction'!$H$815:$H$1031)</f>
      </c>
      <c r="H17" s="12">
        <f>MIN('Scratch-Friction'!$I$815:$I$1031)</f>
      </c>
      <c r="I17" s="12">
        <f>MAX('Scratch-Friction'!$I$815:$I$1031)</f>
      </c>
      <c r="J17" s="12">
        <f>AVERAGE('Scratch-Friction'!$I$815:$I$1031)</f>
      </c>
      <c r="K17" s="12">
        <f>MIN('Scratch-Friction'!$J$815:$J$1031)</f>
      </c>
      <c r="L17" s="12">
        <f>MAX('Scratch-Friction'!$J$815:$J$1031)</f>
      </c>
      <c r="M17" s="12">
        <f>AVERAGE('Scratch-Friction'!$J$815:$J$1031)</f>
      </c>
      <c r="N17" s="12">
        <f>MIN('Scratch-Friction'!$K$815:$K$1031)</f>
      </c>
      <c r="O17" s="12">
        <f>MAX('Scratch-Friction'!$K$815:$K$1031)</f>
      </c>
      <c r="P17" s="12">
        <f>AVERAGE('Scratch-Friction'!$K$815:$K$1031)</f>
      </c>
      <c r="Q17" s="12">
        <f>MIN('Scratch-Friction'!$Q$815:$Q$1031)</f>
      </c>
      <c r="R17" s="12">
        <f>MAX('Scratch-Friction'!$Q$815:$Q$1031)</f>
      </c>
      <c r="S17" s="12">
        <f>AVERAGE('Scratch-Friction'!$Q$815:$Q$1031)</f>
      </c>
      <c r="T17" s="12">
        <f>MIN('Scratch-Friction'!$R$815:$R$1031)</f>
      </c>
      <c r="U17" s="12">
        <f>MAX('Scratch-Friction'!$R$815:$R$1031)</f>
      </c>
      <c r="V17" s="12">
        <f>AVERAGE('Scratch-Friction'!$R$815:$R$1031)</f>
      </c>
      <c r="W17" s="12">
        <f>MIN('Scratch-Friction'!$S$815:$S$1031)</f>
      </c>
      <c r="X17" s="12">
        <f>MAX('Scratch-Friction'!$S$815:$S$1031)</f>
      </c>
      <c r="Y17" s="12">
        <f>AVERAGE('Scratch-Friction'!$S$815:$S$1031)</f>
      </c>
      <c r="Z17" s="12">
        <f>MIN('Scratch-Friction'!$T$815:$T$1031)</f>
      </c>
      <c r="AA17" s="12">
        <f>MAX('Scratch-Friction'!$T$815:$T$1031)</f>
      </c>
      <c r="AB17" s="12">
        <f>AVERAGE('Scratch-Friction'!$T$815:$T$1031)</f>
      </c>
    </row>
    <row x14ac:dyDescent="0.25" r="18" customHeight="1" ht="19.5">
      <c r="A18" s="2" t="s">
        <v>1060</v>
      </c>
      <c r="B18" s="2" t="s">
        <v>31</v>
      </c>
      <c r="C18" s="2" t="s">
        <v>840</v>
      </c>
      <c r="D18" s="12">
        <f>COUNT('Scratch-Friction'!$H$1032:$H$1254)</f>
      </c>
      <c r="E18" s="12">
        <f>MIN('Scratch-Friction'!$H$1032:$H$1254)</f>
      </c>
      <c r="F18" s="12">
        <f>MAX('Scratch-Friction'!$H$1032:$H$1254)</f>
      </c>
      <c r="G18" s="12">
        <f>AVERAGE('Scratch-Friction'!$H$1032:$H$1254)</f>
      </c>
      <c r="H18" s="12">
        <f>MIN('Scratch-Friction'!$I$1032:$I$1254)</f>
      </c>
      <c r="I18" s="12">
        <f>MAX('Scratch-Friction'!$I$1032:$I$1254)</f>
      </c>
      <c r="J18" s="12">
        <f>AVERAGE('Scratch-Friction'!$I$1032:$I$1254)</f>
      </c>
      <c r="K18" s="12">
        <f>MIN('Scratch-Friction'!$J$1032:$J$1254)</f>
      </c>
      <c r="L18" s="12">
        <f>MAX('Scratch-Friction'!$J$1032:$J$1254)</f>
      </c>
      <c r="M18" s="12">
        <f>AVERAGE('Scratch-Friction'!$J$1032:$J$1254)</f>
      </c>
      <c r="N18" s="12">
        <f>MIN('Scratch-Friction'!$K$1032:$K$1254)</f>
      </c>
      <c r="O18" s="12">
        <f>MAX('Scratch-Friction'!$K$1032:$K$1254)</f>
      </c>
      <c r="P18" s="12">
        <f>AVERAGE('Scratch-Friction'!$K$1032:$K$1254)</f>
      </c>
      <c r="Q18" s="12">
        <f>MIN('Scratch-Friction'!$Q$1032:$Q$1254)</f>
      </c>
      <c r="R18" s="12">
        <f>MAX('Scratch-Friction'!$Q$1032:$Q$1254)</f>
      </c>
      <c r="S18" s="12">
        <f>AVERAGE('Scratch-Friction'!$Q$1032:$Q$1254)</f>
      </c>
      <c r="T18" s="12">
        <f>MIN('Scratch-Friction'!$R$1032:$R$1254)</f>
      </c>
      <c r="U18" s="12">
        <f>MAX('Scratch-Friction'!$R$1032:$R$1254)</f>
      </c>
      <c r="V18" s="12">
        <f>AVERAGE('Scratch-Friction'!$R$1032:$R$1254)</f>
      </c>
      <c r="W18" s="12">
        <f>MIN('Scratch-Friction'!$S$1032:$S$1254)</f>
      </c>
      <c r="X18" s="12">
        <f>MAX('Scratch-Friction'!$S$1032:$S$1254)</f>
      </c>
      <c r="Y18" s="12">
        <f>AVERAGE('Scratch-Friction'!$S$1032:$S$1254)</f>
      </c>
      <c r="Z18" s="12">
        <f>MIN('Scratch-Friction'!$T$1032:$T$1254)</f>
      </c>
      <c r="AA18" s="12">
        <f>MAX('Scratch-Friction'!$T$1032:$T$1254)</f>
      </c>
      <c r="AB18" s="12">
        <f>AVERAGE('Scratch-Friction'!$T$1032:$T$1254)</f>
      </c>
    </row>
    <row x14ac:dyDescent="0.25" r="19" customHeight="1" ht="19.5">
      <c r="A19" s="2" t="s">
        <v>3294</v>
      </c>
      <c r="B19" s="2" t="s">
        <v>3295</v>
      </c>
      <c r="C19" s="2" t="s">
        <v>32</v>
      </c>
      <c r="D19" s="12">
        <f>COUNT('Material loss - Holes'!$H$2:$H$213)</f>
      </c>
      <c r="E19" s="12">
        <f>MIN('Material loss - Holes'!$H$2:$H$213)</f>
      </c>
      <c r="F19" s="12">
        <f>MAX('Material loss - Holes'!$H$2:$H$213)</f>
      </c>
      <c r="G19" s="12">
        <f>AVERAGE('Material loss - Holes'!$H$2:$H$213)</f>
      </c>
      <c r="H19" s="12">
        <f>MIN('Material loss - Holes'!$I$2:$I$213)</f>
      </c>
      <c r="I19" s="12">
        <f>MAX('Material loss - Holes'!$I$2:$I$213)</f>
      </c>
      <c r="J19" s="12">
        <f>AVERAGE('Material loss - Holes'!$I$2:$I$213)</f>
      </c>
      <c r="K19" s="12">
        <f>MIN('Material loss - Holes'!$J$2:$J$213)</f>
      </c>
      <c r="L19" s="12">
        <f>MAX('Material loss - Holes'!$J$2:$J$213)</f>
      </c>
      <c r="M19" s="12">
        <f>AVERAGE('Material loss - Holes'!$J$2:$J$213)</f>
      </c>
      <c r="N19" s="12">
        <f>MIN('Material loss - Holes'!$K$2:$K$213)</f>
      </c>
      <c r="O19" s="12">
        <f>MAX('Material loss - Holes'!$K$2:$K$213)</f>
      </c>
      <c r="P19" s="12">
        <f>AVERAGE('Material loss - Holes'!$K$2:$K$213)</f>
      </c>
      <c r="Q19" s="12">
        <f>MIN('Material loss - Holes'!$Q$2:$Q$213)</f>
      </c>
      <c r="R19" s="12">
        <f>MAX('Material loss - Holes'!$Q$2:$Q$213)</f>
      </c>
      <c r="S19" s="12">
        <f>AVERAGE('Material loss - Holes'!$Q$2:$Q$213)</f>
      </c>
      <c r="T19" s="12">
        <f>MIN('Material loss - Holes'!$R$2:$R$213)</f>
      </c>
      <c r="U19" s="12">
        <f>MAX('Material loss - Holes'!$R$2:$R$213)</f>
      </c>
      <c r="V19" s="12">
        <f>AVERAGE('Material loss - Holes'!$R$2:$R$213)</f>
      </c>
      <c r="W19" s="12">
        <f>MIN('Material loss - Holes'!$S$2:$S$213)</f>
      </c>
      <c r="X19" s="12">
        <f>MAX('Material loss - Holes'!$S$2:$S$213)</f>
      </c>
      <c r="Y19" s="12">
        <f>AVERAGE('Material loss - Holes'!$S$2:$S$213)</f>
      </c>
      <c r="Z19" s="12">
        <f>MIN('Material loss - Holes'!$T$2:$T$213)</f>
      </c>
      <c r="AA19" s="12">
        <f>MAX('Material loss - Holes'!$T$2:$T$213)</f>
      </c>
      <c r="AB19" s="12">
        <f>AVERAGE('Material loss - Holes'!$T$2:$T$213)</f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3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" width="13.005" customWidth="1" bestFit="1"/>
    <col min="2" max="2" style="3" width="10.005" customWidth="1" bestFit="1"/>
    <col min="3" max="3" style="9" width="11.005" customWidth="1" bestFit="1"/>
    <col min="4" max="4" style="3" width="21.005" customWidth="1" bestFit="1"/>
    <col min="5" max="5" style="3" width="16.005" customWidth="1" bestFit="1"/>
    <col min="6" max="6" style="3" width="15.005" customWidth="1" bestFit="1"/>
    <col min="7" max="7" style="3" width="20.005" customWidth="1" bestFit="1"/>
    <col min="8" max="8" style="3" width="16.005" customWidth="1" bestFit="1"/>
    <col min="9" max="9" style="3" width="10.005" customWidth="1" bestFit="1"/>
  </cols>
  <sheetData>
    <row x14ac:dyDescent="0.25" r="1" customHeight="1" ht="19.5">
      <c r="A1" s="10" t="s">
        <v>10</v>
      </c>
      <c r="B1" s="10" t="s">
        <v>3529</v>
      </c>
      <c r="C1" s="14" t="s">
        <v>3530</v>
      </c>
      <c r="D1" s="10" t="s">
        <v>3531</v>
      </c>
      <c r="E1" s="10" t="s">
        <v>3532</v>
      </c>
      <c r="F1" s="10" t="s">
        <v>3533</v>
      </c>
      <c r="G1" s="10" t="s">
        <v>3534</v>
      </c>
      <c r="H1" s="10" t="s">
        <v>3535</v>
      </c>
      <c r="I1" s="10" t="s">
        <v>3536</v>
      </c>
    </row>
    <row x14ac:dyDescent="0.25" r="2" customHeight="1" ht="19.5">
      <c r="A2" s="2" t="s">
        <v>30</v>
      </c>
      <c r="B2" s="2" t="s">
        <v>3537</v>
      </c>
      <c r="C2" s="7">
        <v>0.5</v>
      </c>
      <c r="D2" s="12">
        <f>PERCENTILE('Scratch-Abrasion'!$R$2:$R$1023,$C2)</f>
      </c>
      <c r="E2" s="2" t="s">
        <v>16</v>
      </c>
      <c r="F2" s="12">
        <f>PERCENTILE('Scratch-Abrasion'!$H$2:$H$1023,$C2)</f>
      </c>
      <c r="G2" s="12">
        <f>PERCENTILE('Scratch-Abrasion'!$T$2:$T$1023,$C2)</f>
      </c>
      <c r="H2" s="13">
        <f>SUMPRODUCT(--((('Scratch-Abrasion'!$R$2:$R$1023&gt;$D2)+('Scratch-Abrasion'!$H$2:$H$1023&gt;$F2)+('Scratch-Abrasion'!$T$2:$T$1023&gt;$G2))&gt;0))/COUNT('Scratch-Abrasion'!$R$2:$R$1023)</f>
      </c>
      <c r="I2" s="2" t="s">
        <v>3538</v>
      </c>
    </row>
    <row x14ac:dyDescent="0.25" r="3" customHeight="1" ht="19.5">
      <c r="A3" s="2" t="s">
        <v>30</v>
      </c>
      <c r="B3" s="2" t="s">
        <v>3539</v>
      </c>
      <c r="C3" s="7">
        <v>0.75</v>
      </c>
      <c r="D3" s="12">
        <f>PERCENTILE('Scratch-Abrasion'!$R$2:$R$1023,$C3)</f>
      </c>
      <c r="E3" s="2" t="s">
        <v>16</v>
      </c>
      <c r="F3" s="12">
        <f>PERCENTILE('Scratch-Abrasion'!$H$2:$H$1023,$C3)</f>
      </c>
      <c r="G3" s="12">
        <f>PERCENTILE('Scratch-Abrasion'!$T$2:$T$1023,$C3)</f>
      </c>
      <c r="H3" s="13">
        <f>SUMPRODUCT(--((('Scratch-Abrasion'!$R$2:$R$1023&gt;$D3)+('Scratch-Abrasion'!$H$2:$H$1023&gt;$F3)+('Scratch-Abrasion'!$T$2:$T$1023&gt;$G3))&gt;0))/COUNT('Scratch-Abrasion'!$R$2:$R$1023)</f>
      </c>
      <c r="I3" s="2" t="s">
        <v>3538</v>
      </c>
    </row>
    <row x14ac:dyDescent="0.25" r="4" customHeight="1" ht="19.5">
      <c r="A4" s="2" t="s">
        <v>30</v>
      </c>
      <c r="B4" s="2" t="s">
        <v>3540</v>
      </c>
      <c r="C4" s="7">
        <v>0.9</v>
      </c>
      <c r="D4" s="12">
        <f>PERCENTILE('Scratch-Abrasion'!$R$2:$R$1023,$C4)</f>
      </c>
      <c r="E4" s="2" t="s">
        <v>16</v>
      </c>
      <c r="F4" s="12">
        <f>PERCENTILE('Scratch-Abrasion'!$H$2:$H$1023,$C4)</f>
      </c>
      <c r="G4" s="12">
        <f>PERCENTILE('Scratch-Abrasion'!$T$2:$T$1023,$C4)</f>
      </c>
      <c r="H4" s="13">
        <f>SUMPRODUCT(--((('Scratch-Abrasion'!$R$2:$R$1023&gt;$D4)+('Scratch-Abrasion'!$H$2:$H$1023&gt;$F4)+('Scratch-Abrasion'!$T$2:$T$1023&gt;$G4))&gt;0))/COUNT('Scratch-Abrasion'!$R$2:$R$1023)</f>
      </c>
      <c r="I4" s="2" t="s">
        <v>3538</v>
      </c>
    </row>
    <row x14ac:dyDescent="0.25" r="5" customHeight="1" ht="19.5">
      <c r="A5" s="2" t="s">
        <v>2314</v>
      </c>
      <c r="B5" s="2" t="s">
        <v>3537</v>
      </c>
      <c r="C5" s="7">
        <v>0.5</v>
      </c>
      <c r="D5" s="12">
        <f>PERCENTILE('Crack (cut)'!$R$2:$R$980,$C5)</f>
      </c>
      <c r="E5" s="2" t="s">
        <v>18</v>
      </c>
      <c r="F5" s="12">
        <f>PERCENTILE('Crack (cut)'!$J$2:$J$980,$C5)</f>
      </c>
      <c r="G5" s="12">
        <f>PERCENTILE('Crack (cut)'!$T$2:$T$980,$C5)</f>
      </c>
      <c r="H5" s="13">
        <f>SUMPRODUCT(--((('Crack (cut)'!$R$2:$R$980&gt;$D5)+('Crack (cut)'!$J$2:$J$980&gt;$F5)+('Crack (cut)'!$T$2:$T$980&gt;$G5))&gt;0))/COUNT('Crack (cut)'!$R$2:$R$980)</f>
      </c>
      <c r="I5" s="2" t="s">
        <v>3538</v>
      </c>
    </row>
    <row x14ac:dyDescent="0.25" r="6" customHeight="1" ht="19.5">
      <c r="A6" s="2" t="s">
        <v>2314</v>
      </c>
      <c r="B6" s="2" t="s">
        <v>3539</v>
      </c>
      <c r="C6" s="7">
        <v>0.75</v>
      </c>
      <c r="D6" s="12">
        <f>PERCENTILE('Crack (cut)'!$R$2:$R$980,$C6)</f>
      </c>
      <c r="E6" s="2" t="s">
        <v>18</v>
      </c>
      <c r="F6" s="12">
        <f>PERCENTILE('Crack (cut)'!$J$2:$J$980,$C6)</f>
      </c>
      <c r="G6" s="12">
        <f>PERCENTILE('Crack (cut)'!$T$2:$T$980,$C6)</f>
      </c>
      <c r="H6" s="13">
        <f>SUMPRODUCT(--((('Crack (cut)'!$R$2:$R$980&gt;$D6)+('Crack (cut)'!$J$2:$J$980&gt;$F6)+('Crack (cut)'!$T$2:$T$980&gt;$G6))&gt;0))/COUNT('Crack (cut)'!$R$2:$R$980)</f>
      </c>
      <c r="I6" s="2" t="s">
        <v>3538</v>
      </c>
    </row>
    <row x14ac:dyDescent="0.25" r="7" customHeight="1" ht="19.5">
      <c r="A7" s="2" t="s">
        <v>2314</v>
      </c>
      <c r="B7" s="2" t="s">
        <v>3540</v>
      </c>
      <c r="C7" s="7">
        <v>0.9</v>
      </c>
      <c r="D7" s="12">
        <f>PERCENTILE('Crack (cut)'!$R$2:$R$980,$C7)</f>
      </c>
      <c r="E7" s="2" t="s">
        <v>18</v>
      </c>
      <c r="F7" s="12">
        <f>PERCENTILE('Crack (cut)'!$J$2:$J$980,$C7)</f>
      </c>
      <c r="G7" s="12">
        <f>PERCENTILE('Crack (cut)'!$T$2:$T$980,$C7)</f>
      </c>
      <c r="H7" s="13">
        <f>SUMPRODUCT(--((('Crack (cut)'!$R$2:$R$980&gt;$D7)+('Crack (cut)'!$J$2:$J$980&gt;$F7)+('Crack (cut)'!$T$2:$T$980&gt;$G7))&gt;0))/COUNT('Crack (cut)'!$R$2:$R$980)</f>
      </c>
      <c r="I7" s="2" t="s">
        <v>3538</v>
      </c>
    </row>
    <row x14ac:dyDescent="0.25" r="8" customHeight="1" ht="19.5">
      <c r="A8" s="2" t="s">
        <v>1060</v>
      </c>
      <c r="B8" s="2" t="s">
        <v>3537</v>
      </c>
      <c r="C8" s="7">
        <v>0.5</v>
      </c>
      <c r="D8" s="12">
        <f>PERCENTILE('Scratch-Friction'!$R$2:$R$1254,$C8)</f>
      </c>
      <c r="E8" s="2" t="s">
        <v>16</v>
      </c>
      <c r="F8" s="12">
        <f>PERCENTILE('Scratch-Friction'!$H$2:$H$1254,$C8)</f>
      </c>
      <c r="G8" s="12">
        <f>PERCENTILE('Scratch-Friction'!$T$2:$T$1254,$C8)</f>
      </c>
      <c r="H8" s="13">
        <f>SUMPRODUCT(--((('Scratch-Friction'!$R$2:$R$1254&gt;$D8)+('Scratch-Friction'!$H$2:$H$1254&gt;$F8)+('Scratch-Friction'!$T$2:$T$1254&gt;$G8))&gt;0))/COUNT('Scratch-Friction'!$R$2:$R$1254)</f>
      </c>
      <c r="I8" s="2" t="s">
        <v>3538</v>
      </c>
    </row>
    <row x14ac:dyDescent="0.25" r="9" customHeight="1" ht="19.5">
      <c r="A9" s="2" t="s">
        <v>1060</v>
      </c>
      <c r="B9" s="2" t="s">
        <v>3539</v>
      </c>
      <c r="C9" s="7">
        <v>0.75</v>
      </c>
      <c r="D9" s="12">
        <f>PERCENTILE('Scratch-Friction'!$R$2:$R$1254,$C9)</f>
      </c>
      <c r="E9" s="2" t="s">
        <v>16</v>
      </c>
      <c r="F9" s="12">
        <f>PERCENTILE('Scratch-Friction'!$H$2:$H$1254,$C9)</f>
      </c>
      <c r="G9" s="12">
        <f>PERCENTILE('Scratch-Friction'!$T$2:$T$1254,$C9)</f>
      </c>
      <c r="H9" s="13">
        <f>SUMPRODUCT(--((('Scratch-Friction'!$R$2:$R$1254&gt;$D9)+('Scratch-Friction'!$H$2:$H$1254&gt;$F9)+('Scratch-Friction'!$T$2:$T$1254&gt;$G9))&gt;0))/COUNT('Scratch-Friction'!$R$2:$R$1254)</f>
      </c>
      <c r="I9" s="2" t="s">
        <v>3538</v>
      </c>
    </row>
    <row x14ac:dyDescent="0.25" r="10" customHeight="1" ht="19.5">
      <c r="A10" s="2" t="s">
        <v>1060</v>
      </c>
      <c r="B10" s="2" t="s">
        <v>3540</v>
      </c>
      <c r="C10" s="7">
        <v>0.9</v>
      </c>
      <c r="D10" s="12">
        <f>PERCENTILE('Scratch-Friction'!$R$2:$R$1254,$C10)</f>
      </c>
      <c r="E10" s="2" t="s">
        <v>16</v>
      </c>
      <c r="F10" s="12">
        <f>PERCENTILE('Scratch-Friction'!$H$2:$H$1254,$C10)</f>
      </c>
      <c r="G10" s="12">
        <f>PERCENTILE('Scratch-Friction'!$T$2:$T$1254,$C10)</f>
      </c>
      <c r="H10" s="13">
        <f>SUMPRODUCT(--((('Scratch-Friction'!$R$2:$R$1254&gt;$D10)+('Scratch-Friction'!$H$2:$H$1254&gt;$F10)+('Scratch-Friction'!$T$2:$T$1254&gt;$G10))&gt;0))/COUNT('Scratch-Friction'!$R$2:$R$1254)</f>
      </c>
      <c r="I10" s="2" t="s">
        <v>3538</v>
      </c>
    </row>
    <row x14ac:dyDescent="0.25" r="11" customHeight="1" ht="19.5">
      <c r="A11" s="2" t="s">
        <v>3294</v>
      </c>
      <c r="B11" s="2" t="s">
        <v>3537</v>
      </c>
      <c r="C11" s="7">
        <v>0.5</v>
      </c>
      <c r="D11" s="12">
        <f>PERCENTILE('Material loss - Holes'!$R$2:$R$213,$C11)</f>
      </c>
      <c r="E11" s="2" t="s">
        <v>16</v>
      </c>
      <c r="F11" s="12">
        <f>PERCENTILE('Material loss - Holes'!$H$2:$H$213,$C11)</f>
      </c>
      <c r="G11" s="12">
        <f>PERCENTILE('Material loss - Holes'!$T$2:$T$213,$C11)</f>
      </c>
      <c r="H11" s="13">
        <f>SUMPRODUCT(--((('Material loss - Holes'!$R$2:$R$213&gt;$D11)+('Material loss - Holes'!$H$2:$H$213&gt;$F11)+('Material loss - Holes'!$T$2:$T$213&gt;$G11))&gt;0))/COUNT('Material loss - Holes'!$R$2:$R$213)</f>
      </c>
      <c r="I11" s="2" t="s">
        <v>3538</v>
      </c>
    </row>
    <row x14ac:dyDescent="0.25" r="12" customHeight="1" ht="19.5">
      <c r="A12" s="2" t="s">
        <v>3294</v>
      </c>
      <c r="B12" s="2" t="s">
        <v>3539</v>
      </c>
      <c r="C12" s="7">
        <v>0.75</v>
      </c>
      <c r="D12" s="12">
        <f>PERCENTILE('Material loss - Holes'!$R$2:$R$213,$C12)</f>
      </c>
      <c r="E12" s="2" t="s">
        <v>16</v>
      </c>
      <c r="F12" s="12">
        <f>PERCENTILE('Material loss - Holes'!$H$2:$H$213,$C12)</f>
      </c>
      <c r="G12" s="12">
        <f>PERCENTILE('Material loss - Holes'!$T$2:$T$213,$C12)</f>
      </c>
      <c r="H12" s="13">
        <f>SUMPRODUCT(--((('Material loss - Holes'!$R$2:$R$213&gt;$D12)+('Material loss - Holes'!$H$2:$H$213&gt;$F12)+('Material loss - Holes'!$T$2:$T$213&gt;$G12))&gt;0))/COUNT('Material loss - Holes'!$R$2:$R$213)</f>
      </c>
      <c r="I12" s="2" t="s">
        <v>3538</v>
      </c>
    </row>
    <row x14ac:dyDescent="0.25" r="13" customHeight="1" ht="19.5">
      <c r="A13" s="2" t="s">
        <v>3294</v>
      </c>
      <c r="B13" s="2" t="s">
        <v>3540</v>
      </c>
      <c r="C13" s="7">
        <v>0.9</v>
      </c>
      <c r="D13" s="12">
        <f>PERCENTILE('Material loss - Holes'!$R$2:$R$213,$C13)</f>
      </c>
      <c r="E13" s="2" t="s">
        <v>16</v>
      </c>
      <c r="F13" s="12">
        <f>PERCENTILE('Material loss - Holes'!$H$2:$H$213,$C13)</f>
      </c>
      <c r="G13" s="12">
        <f>PERCENTILE('Material loss - Holes'!$T$2:$T$213,$C13)</f>
      </c>
      <c r="H13" s="13">
        <f>SUMPRODUCT(--((('Material loss - Holes'!$R$2:$R$213&gt;$D13)+('Material loss - Holes'!$H$2:$H$213&gt;$F13)+('Material loss - Holes'!$T$2:$T$213&gt;$G13))&gt;0))/COUNT('Material loss - Holes'!$R$2:$R$213)</f>
      </c>
      <c r="I13" s="2" t="s">
        <v>3538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5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" width="13.005" customWidth="1" bestFit="1"/>
    <col min="2" max="2" style="3" width="10.005" customWidth="1" bestFit="1"/>
    <col min="3" max="3" style="3" width="18.005" customWidth="1" bestFit="1"/>
    <col min="4" max="4" style="3" width="18.005" customWidth="1" bestFit="1"/>
    <col min="5" max="5" style="3" width="18.005" customWidth="1" bestFit="1"/>
    <col min="6" max="6" style="3" width="18.005" customWidth="1" bestFit="1"/>
    <col min="7" max="7" style="3" width="18.005" customWidth="1" bestFit="1"/>
    <col min="8" max="8" style="3" width="18.005" customWidth="1" bestFit="1"/>
    <col min="9" max="9" style="3" width="18.005" customWidth="1" bestFit="1"/>
    <col min="10" max="10" style="3" width="18.005" customWidth="1" bestFit="1"/>
    <col min="11" max="11" style="3" width="18.005" customWidth="1" bestFit="1"/>
    <col min="12" max="12" style="3" width="18.005" customWidth="1" bestFit="1"/>
    <col min="13" max="13" style="3" width="22.005" customWidth="1" bestFit="1"/>
    <col min="14" max="14" style="3" width="22.005" customWidth="1" bestFit="1"/>
    <col min="15" max="15" style="3" width="22.005" customWidth="1" bestFit="1"/>
    <col min="16" max="16" style="3" width="22.005" customWidth="1" bestFit="1"/>
    <col min="17" max="17" style="3" width="22.005" customWidth="1" bestFit="1"/>
    <col min="18" max="18" style="3" width="14.005" customWidth="1" bestFit="1"/>
    <col min="19" max="19" style="3" width="14.005" customWidth="1" bestFit="1"/>
    <col min="20" max="20" style="3" width="14.005" customWidth="1" bestFit="1"/>
    <col min="21" max="21" style="3" width="14.005" customWidth="1" bestFit="1"/>
    <col min="22" max="22" style="3" width="14.005" customWidth="1" bestFit="1"/>
  </cols>
  <sheetData>
    <row x14ac:dyDescent="0.25" r="1" customHeight="1" ht="19.5">
      <c r="A1" s="10" t="s">
        <v>10</v>
      </c>
      <c r="B1" s="10" t="s">
        <v>11</v>
      </c>
      <c r="C1" s="10" t="s">
        <v>3509</v>
      </c>
      <c r="D1" s="10" t="s">
        <v>3510</v>
      </c>
      <c r="E1" s="10" t="s">
        <v>3511</v>
      </c>
      <c r="F1" s="10" t="s">
        <v>3512</v>
      </c>
      <c r="G1" s="10" t="s">
        <v>3513</v>
      </c>
      <c r="H1" s="10" t="s">
        <v>3514</v>
      </c>
      <c r="I1" s="10" t="s">
        <v>3515</v>
      </c>
      <c r="J1" s="10" t="s">
        <v>3516</v>
      </c>
      <c r="K1" s="10" t="s">
        <v>3517</v>
      </c>
      <c r="L1" s="10" t="s">
        <v>3518</v>
      </c>
      <c r="M1" s="10" t="s">
        <v>3519</v>
      </c>
      <c r="N1" s="10" t="s">
        <v>3520</v>
      </c>
      <c r="O1" s="10" t="s">
        <v>3521</v>
      </c>
      <c r="P1" s="10" t="s">
        <v>3522</v>
      </c>
      <c r="Q1" s="10" t="s">
        <v>3523</v>
      </c>
      <c r="R1" s="10" t="s">
        <v>3524</v>
      </c>
      <c r="S1" s="10" t="s">
        <v>3525</v>
      </c>
      <c r="T1" s="10" t="s">
        <v>3526</v>
      </c>
      <c r="U1" s="10" t="s">
        <v>3527</v>
      </c>
      <c r="V1" s="10" t="s">
        <v>3528</v>
      </c>
    </row>
    <row x14ac:dyDescent="0.25" r="2" customHeight="1" ht="19.5">
      <c r="A2" s="2" t="s">
        <v>30</v>
      </c>
      <c r="B2" s="2" t="s">
        <v>31</v>
      </c>
      <c r="C2" s="12">
        <f>PERCENTILE('Scratch-Abrasion'!$R$2:$R$1023,0.1)</f>
      </c>
      <c r="D2" s="12">
        <f>PERCENTILE('Scratch-Abrasion'!$R$2:$R$1023,0.25)</f>
      </c>
      <c r="E2" s="12">
        <f>PERCENTILE('Scratch-Abrasion'!$R$2:$R$1023,0.5)</f>
      </c>
      <c r="F2" s="12">
        <f>PERCENTILE('Scratch-Abrasion'!$R$2:$R$1023,0.75)</f>
      </c>
      <c r="G2" s="12">
        <f>PERCENTILE('Scratch-Abrasion'!$R$2:$R$1023,0.9)</f>
      </c>
      <c r="H2" s="12">
        <f>PERCENTILE('Scratch-Abrasion'!$S$2:$S$1023,0.1)</f>
      </c>
      <c r="I2" s="12">
        <f>PERCENTILE('Scratch-Abrasion'!$S$2:$S$1023,0.25)</f>
      </c>
      <c r="J2" s="12">
        <f>PERCENTILE('Scratch-Abrasion'!$S$2:$S$1023,0.5)</f>
      </c>
      <c r="K2" s="12">
        <f>PERCENTILE('Scratch-Abrasion'!$S$2:$S$1023,0.75)</f>
      </c>
      <c r="L2" s="12">
        <f>PERCENTILE('Scratch-Abrasion'!$S$2:$S$1023,0.9)</f>
      </c>
      <c r="M2" s="12">
        <f>PERCENTILE('Scratch-Abrasion'!$T$2:$T$1023,0.1)</f>
      </c>
      <c r="N2" s="12">
        <f>PERCENTILE('Scratch-Abrasion'!$T$2:$T$1023,0.25)</f>
      </c>
      <c r="O2" s="12">
        <f>PERCENTILE('Scratch-Abrasion'!$T$2:$T$1023,0.5)</f>
      </c>
      <c r="P2" s="12">
        <f>PERCENTILE('Scratch-Abrasion'!$T$2:$T$1023,0.75)</f>
      </c>
      <c r="Q2" s="12">
        <f>PERCENTILE('Scratch-Abrasion'!$T$2:$T$1023,0.9)</f>
      </c>
      <c r="R2" s="12">
        <f>PERCENTILE('Scratch-Abrasion'!$H$2:$H$1023,0.1)</f>
      </c>
      <c r="S2" s="12">
        <f>PERCENTILE('Scratch-Abrasion'!$H$2:$H$1023,0.25)</f>
      </c>
      <c r="T2" s="12">
        <f>PERCENTILE('Scratch-Abrasion'!$H$2:$H$1023,0.5)</f>
      </c>
      <c r="U2" s="12">
        <f>PERCENTILE('Scratch-Abrasion'!$H$2:$H$1023,0.75)</f>
      </c>
      <c r="V2" s="12">
        <f>PERCENTILE('Scratch-Abrasion'!$H$2:$H$1023,0.9)</f>
      </c>
    </row>
    <row x14ac:dyDescent="0.25" r="3" customHeight="1" ht="19.5">
      <c r="A3" s="2" t="s">
        <v>2314</v>
      </c>
      <c r="B3" s="2" t="s">
        <v>31</v>
      </c>
      <c r="C3" s="12">
        <f>PERCENTILE('Crack (cut)'!$R$2:$R$980,0.1)</f>
      </c>
      <c r="D3" s="12">
        <f>PERCENTILE('Crack (cut)'!$R$2:$R$980,0.25)</f>
      </c>
      <c r="E3" s="12">
        <f>PERCENTILE('Crack (cut)'!$R$2:$R$980,0.5)</f>
      </c>
      <c r="F3" s="12">
        <f>PERCENTILE('Crack (cut)'!$R$2:$R$980,0.75)</f>
      </c>
      <c r="G3" s="12">
        <f>PERCENTILE('Crack (cut)'!$R$2:$R$980,0.9)</f>
      </c>
      <c r="H3" s="12">
        <f>PERCENTILE('Crack (cut)'!$S$2:$S$980,0.1)</f>
      </c>
      <c r="I3" s="12">
        <f>PERCENTILE('Crack (cut)'!$S$2:$S$980,0.25)</f>
      </c>
      <c r="J3" s="12">
        <f>PERCENTILE('Crack (cut)'!$S$2:$S$980,0.5)</f>
      </c>
      <c r="K3" s="12">
        <f>PERCENTILE('Crack (cut)'!$S$2:$S$980,0.75)</f>
      </c>
      <c r="L3" s="12">
        <f>PERCENTILE('Crack (cut)'!$S$2:$S$980,0.9)</f>
      </c>
      <c r="M3" s="12">
        <f>PERCENTILE('Crack (cut)'!$T$2:$T$980,0.1)</f>
      </c>
      <c r="N3" s="12">
        <f>PERCENTILE('Crack (cut)'!$T$2:$T$980,0.25)</f>
      </c>
      <c r="O3" s="12">
        <f>PERCENTILE('Crack (cut)'!$T$2:$T$980,0.5)</f>
      </c>
      <c r="P3" s="12">
        <f>PERCENTILE('Crack (cut)'!$T$2:$T$980,0.75)</f>
      </c>
      <c r="Q3" s="12">
        <f>PERCENTILE('Crack (cut)'!$T$2:$T$980,0.9)</f>
      </c>
      <c r="R3" s="12">
        <f>PERCENTILE('Crack (cut)'!$H$2:$H$980,0.1)</f>
      </c>
      <c r="S3" s="12">
        <f>PERCENTILE('Crack (cut)'!$H$2:$H$980,0.25)</f>
      </c>
      <c r="T3" s="12">
        <f>PERCENTILE('Crack (cut)'!$H$2:$H$980,0.5)</f>
      </c>
      <c r="U3" s="12">
        <f>PERCENTILE('Crack (cut)'!$H$2:$H$980,0.75)</f>
      </c>
      <c r="V3" s="12">
        <f>PERCENTILE('Crack (cut)'!$H$2:$H$980,0.9)</f>
      </c>
    </row>
    <row x14ac:dyDescent="0.25" r="4" customHeight="1" ht="19.5">
      <c r="A4" s="2" t="s">
        <v>1060</v>
      </c>
      <c r="B4" s="2" t="s">
        <v>31</v>
      </c>
      <c r="C4" s="12">
        <f>PERCENTILE('Scratch-Friction'!$R$2:$R$1254,0.1)</f>
      </c>
      <c r="D4" s="12">
        <f>PERCENTILE('Scratch-Friction'!$R$2:$R$1254,0.25)</f>
      </c>
      <c r="E4" s="12">
        <f>PERCENTILE('Scratch-Friction'!$R$2:$R$1254,0.5)</f>
      </c>
      <c r="F4" s="12">
        <f>PERCENTILE('Scratch-Friction'!$R$2:$R$1254,0.75)</f>
      </c>
      <c r="G4" s="12">
        <f>PERCENTILE('Scratch-Friction'!$R$2:$R$1254,0.9)</f>
      </c>
      <c r="H4" s="12">
        <f>PERCENTILE('Scratch-Friction'!$S$2:$S$1254,0.1)</f>
      </c>
      <c r="I4" s="12">
        <f>PERCENTILE('Scratch-Friction'!$S$2:$S$1254,0.25)</f>
      </c>
      <c r="J4" s="12">
        <f>PERCENTILE('Scratch-Friction'!$S$2:$S$1254,0.5)</f>
      </c>
      <c r="K4" s="12">
        <f>PERCENTILE('Scratch-Friction'!$S$2:$S$1254,0.75)</f>
      </c>
      <c r="L4" s="12">
        <f>PERCENTILE('Scratch-Friction'!$S$2:$S$1254,0.9)</f>
      </c>
      <c r="M4" s="12">
        <f>PERCENTILE('Scratch-Friction'!$T$2:$T$1254,0.1)</f>
      </c>
      <c r="N4" s="12">
        <f>PERCENTILE('Scratch-Friction'!$T$2:$T$1254,0.25)</f>
      </c>
      <c r="O4" s="12">
        <f>PERCENTILE('Scratch-Friction'!$T$2:$T$1254,0.5)</f>
      </c>
      <c r="P4" s="12">
        <f>PERCENTILE('Scratch-Friction'!$T$2:$T$1254,0.75)</f>
      </c>
      <c r="Q4" s="12">
        <f>PERCENTILE('Scratch-Friction'!$T$2:$T$1254,0.9)</f>
      </c>
      <c r="R4" s="12">
        <f>PERCENTILE('Scratch-Friction'!$H$2:$H$1254,0.1)</f>
      </c>
      <c r="S4" s="12">
        <f>PERCENTILE('Scratch-Friction'!$H$2:$H$1254,0.25)</f>
      </c>
      <c r="T4" s="12">
        <f>PERCENTILE('Scratch-Friction'!$H$2:$H$1254,0.5)</f>
      </c>
      <c r="U4" s="12">
        <f>PERCENTILE('Scratch-Friction'!$H$2:$H$1254,0.75)</f>
      </c>
      <c r="V4" s="12">
        <f>PERCENTILE('Scratch-Friction'!$H$2:$H$1254,0.9)</f>
      </c>
    </row>
    <row x14ac:dyDescent="0.25" r="5" customHeight="1" ht="19.5">
      <c r="A5" s="2" t="s">
        <v>3294</v>
      </c>
      <c r="B5" s="2" t="s">
        <v>3295</v>
      </c>
      <c r="C5" s="12">
        <f>PERCENTILE('Material loss - Holes'!$R$2:$R$213,0.1)</f>
      </c>
      <c r="D5" s="12">
        <f>PERCENTILE('Material loss - Holes'!$R$2:$R$213,0.25)</f>
      </c>
      <c r="E5" s="12">
        <f>PERCENTILE('Material loss - Holes'!$R$2:$R$213,0.5)</f>
      </c>
      <c r="F5" s="12">
        <f>PERCENTILE('Material loss - Holes'!$R$2:$R$213,0.75)</f>
      </c>
      <c r="G5" s="12">
        <f>PERCENTILE('Material loss - Holes'!$R$2:$R$213,0.9)</f>
      </c>
      <c r="H5" s="12">
        <f>PERCENTILE('Material loss - Holes'!$S$2:$S$213,0.1)</f>
      </c>
      <c r="I5" s="12">
        <f>PERCENTILE('Material loss - Holes'!$S$2:$S$213,0.25)</f>
      </c>
      <c r="J5" s="12">
        <f>PERCENTILE('Material loss - Holes'!$S$2:$S$213,0.5)</f>
      </c>
      <c r="K5" s="12">
        <f>PERCENTILE('Material loss - Holes'!$S$2:$S$213,0.75)</f>
      </c>
      <c r="L5" s="12">
        <f>PERCENTILE('Material loss - Holes'!$S$2:$S$213,0.9)</f>
      </c>
      <c r="M5" s="12">
        <f>PERCENTILE('Material loss - Holes'!$T$2:$T$213,0.1)</f>
      </c>
      <c r="N5" s="12">
        <f>PERCENTILE('Material loss - Holes'!$T$2:$T$213,0.25)</f>
      </c>
      <c r="O5" s="12">
        <f>PERCENTILE('Material loss - Holes'!$T$2:$T$213,0.5)</f>
      </c>
      <c r="P5" s="12">
        <f>PERCENTILE('Material loss - Holes'!$T$2:$T$213,0.75)</f>
      </c>
      <c r="Q5" s="12">
        <f>PERCENTILE('Material loss - Holes'!$T$2:$T$213,0.9)</f>
      </c>
      <c r="R5" s="12">
        <f>PERCENTILE('Material loss - Holes'!$H$2:$H$213,0.1)</f>
      </c>
      <c r="S5" s="12">
        <f>PERCENTILE('Material loss - Holes'!$H$2:$H$213,0.25)</f>
      </c>
      <c r="T5" s="12">
        <f>PERCENTILE('Material loss - Holes'!$H$2:$H$213,0.5)</f>
      </c>
      <c r="U5" s="12">
        <f>PERCENTILE('Material loss - Holes'!$H$2:$H$213,0.75)</f>
      </c>
      <c r="V5" s="12">
        <f>PERCENTILE('Material loss - Holes'!$H$2:$H$213,0.9)</f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" width="13.005" customWidth="1" bestFit="1"/>
    <col min="2" max="2" style="3" width="10.005" customWidth="1" bestFit="1"/>
    <col min="3" max="3" style="8" width="10.005" customWidth="1" bestFit="1"/>
    <col min="4" max="4" style="3" width="10.005" customWidth="1" bestFit="1"/>
    <col min="5" max="5" style="3" width="16.005" customWidth="1" bestFit="1"/>
  </cols>
  <sheetData>
    <row x14ac:dyDescent="0.25" r="1" customHeight="1" ht="19.5">
      <c r="A1" s="10" t="s">
        <v>10</v>
      </c>
      <c r="B1" s="10" t="s">
        <v>11</v>
      </c>
      <c r="C1" s="11" t="s">
        <v>3507</v>
      </c>
      <c r="D1" s="10" t="s">
        <v>13</v>
      </c>
      <c r="E1" s="10" t="s">
        <v>3508</v>
      </c>
    </row>
    <row x14ac:dyDescent="0.25" r="2" customHeight="1" ht="19.5">
      <c r="A2" s="2" t="s">
        <v>30</v>
      </c>
      <c r="B2" s="2" t="s">
        <v>31</v>
      </c>
      <c r="C2" s="6">
        <v>1022</v>
      </c>
      <c r="D2" s="12">
        <f>COUNT('Scratch-Abrasion'!$H$2:$H$1023)</f>
      </c>
      <c r="E2" s="13">
        <f>D2/C2</f>
      </c>
    </row>
    <row x14ac:dyDescent="0.25" r="3" customHeight="1" ht="19.5">
      <c r="A3" s="2" t="s">
        <v>2314</v>
      </c>
      <c r="B3" s="2" t="s">
        <v>31</v>
      </c>
      <c r="C3" s="6">
        <v>979</v>
      </c>
      <c r="D3" s="12">
        <f>COUNT('Crack (cut)'!$H$2:$H$980)</f>
      </c>
      <c r="E3" s="13">
        <f>D3/C3</f>
      </c>
    </row>
    <row x14ac:dyDescent="0.25" r="4" customHeight="1" ht="19.5">
      <c r="A4" s="2" t="s">
        <v>1060</v>
      </c>
      <c r="B4" s="2" t="s">
        <v>31</v>
      </c>
      <c r="C4" s="6">
        <v>1253</v>
      </c>
      <c r="D4" s="12">
        <f>COUNT('Scratch-Friction'!$H$2:$H$1254)</f>
      </c>
      <c r="E4" s="13">
        <f>D4/C4</f>
      </c>
    </row>
    <row x14ac:dyDescent="0.25" r="5" customHeight="1" ht="19.5">
      <c r="A5" s="2" t="s">
        <v>3294</v>
      </c>
      <c r="B5" s="2" t="s">
        <v>3295</v>
      </c>
      <c r="C5" s="6">
        <v>212</v>
      </c>
      <c r="D5" s="12">
        <f>COUNT('Material loss - Holes'!$H$2:$H$213)</f>
      </c>
      <c r="E5" s="13">
        <f>D5/C5</f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213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" width="15.005" customWidth="1" bestFit="1"/>
    <col min="2" max="2" style="3" width="13.005" customWidth="1" bestFit="1"/>
    <col min="3" max="3" style="3" width="10.005" customWidth="1" bestFit="1"/>
    <col min="4" max="4" style="3" width="10.005" customWidth="1" bestFit="1"/>
    <col min="5" max="5" style="8" width="10.005" customWidth="1" bestFit="1"/>
    <col min="6" max="6" style="8" width="12.005" customWidth="1" bestFit="1"/>
    <col min="7" max="7" style="9" width="10.005" customWidth="1" bestFit="1"/>
    <col min="8" max="8" style="9" width="10.005" customWidth="1" bestFit="1"/>
    <col min="9" max="9" style="9" width="14.005" customWidth="1" bestFit="1"/>
    <col min="10" max="10" style="9" width="22.005" customWidth="1" bestFit="1"/>
    <col min="11" max="11" style="9" width="22.005" customWidth="1" bestFit="1"/>
    <col min="12" max="12" style="9" width="14.005" customWidth="1" bestFit="1"/>
    <col min="13" max="13" style="9" width="14.005" customWidth="1" bestFit="1"/>
    <col min="14" max="14" style="9" width="18.005" customWidth="1" bestFit="1"/>
    <col min="15" max="15" style="9" width="13.005" customWidth="1" bestFit="1"/>
    <col min="16" max="16" style="9" width="14.005" customWidth="1" bestFit="1"/>
    <col min="17" max="17" style="9" width="15.005" customWidth="1" bestFit="1"/>
    <col min="18" max="18" style="9" width="14.005" customWidth="1" bestFit="1"/>
    <col min="19" max="19" style="9" width="14.005" customWidth="1" bestFit="1"/>
    <col min="20" max="20" style="9" width="18.005" customWidth="1" bestFit="1"/>
  </cols>
  <sheetData>
    <row x14ac:dyDescent="0.25" r="1" customHeight="1" ht="19.5">
      <c r="A1" s="1" t="s">
        <v>9</v>
      </c>
      <c r="B1" s="1" t="s">
        <v>10</v>
      </c>
      <c r="C1" s="1" t="s">
        <v>11</v>
      </c>
      <c r="D1" s="1" t="s">
        <v>12</v>
      </c>
      <c r="E1" s="4" t="s">
        <v>13</v>
      </c>
      <c r="F1" s="4" t="s">
        <v>14</v>
      </c>
      <c r="G1" s="5" t="s">
        <v>15</v>
      </c>
      <c r="H1" s="5" t="s">
        <v>16</v>
      </c>
      <c r="I1" s="5" t="s">
        <v>17</v>
      </c>
      <c r="J1" s="5" t="s">
        <v>18</v>
      </c>
      <c r="K1" s="5" t="s">
        <v>19</v>
      </c>
      <c r="L1" s="5" t="s">
        <v>20</v>
      </c>
      <c r="M1" s="5" t="s">
        <v>21</v>
      </c>
      <c r="N1" s="5" t="s">
        <v>22</v>
      </c>
      <c r="O1" s="5" t="s">
        <v>23</v>
      </c>
      <c r="P1" s="5" t="s">
        <v>24</v>
      </c>
      <c r="Q1" s="5" t="s">
        <v>25</v>
      </c>
      <c r="R1" s="5" t="s">
        <v>26</v>
      </c>
      <c r="S1" s="5" t="s">
        <v>27</v>
      </c>
      <c r="T1" s="5" t="s">
        <v>28</v>
      </c>
    </row>
    <row x14ac:dyDescent="0.25" r="2" customHeight="1" ht="19.5">
      <c r="A2" s="2" t="s">
        <v>3293</v>
      </c>
      <c r="B2" s="2" t="s">
        <v>3294</v>
      </c>
      <c r="C2" s="2" t="s">
        <v>3295</v>
      </c>
      <c r="D2" s="2" t="s">
        <v>32</v>
      </c>
      <c r="E2" s="6">
        <v>1</v>
      </c>
      <c r="F2" s="6">
        <v>3</v>
      </c>
      <c r="G2" s="7">
        <v>0.6251264214515686</v>
      </c>
      <c r="H2" s="7">
        <v>20.184003125</v>
      </c>
      <c r="I2" s="7">
        <v>18.06654517818773</v>
      </c>
      <c r="J2" s="7">
        <v>5.895242643523446</v>
      </c>
      <c r="K2" s="7">
        <v>4.753324126159413</v>
      </c>
      <c r="L2" s="7">
        <v>0.6227115475353665</v>
      </c>
      <c r="M2" s="7">
        <v>0.7770821729864541</v>
      </c>
      <c r="N2" s="7">
        <v>0.5607350322669716</v>
      </c>
      <c r="O2" s="7">
        <v>0.2087595208467568</v>
      </c>
      <c r="P2" s="7">
        <v>7.143022648074217</v>
      </c>
      <c r="Q2" s="7">
        <v>0.0174385826000149</v>
      </c>
      <c r="R2" s="7">
        <v>0.0471010442708593</v>
      </c>
      <c r="S2" s="7">
        <v>0.0544682487242032</v>
      </c>
      <c r="T2" s="7">
        <v>0.4085161850662433</v>
      </c>
    </row>
    <row x14ac:dyDescent="0.25" r="3" customHeight="1" ht="19.5">
      <c r="A3" s="2" t="s">
        <v>3296</v>
      </c>
      <c r="B3" s="2" t="s">
        <v>3294</v>
      </c>
      <c r="C3" s="2" t="s">
        <v>3295</v>
      </c>
      <c r="D3" s="2" t="s">
        <v>32</v>
      </c>
      <c r="E3" s="6">
        <v>1</v>
      </c>
      <c r="F3" s="6">
        <v>3</v>
      </c>
      <c r="G3" s="7">
        <v>0.8953699469566345</v>
      </c>
      <c r="H3" s="7">
        <v>14.25140234375</v>
      </c>
      <c r="I3" s="7">
        <v>14.44051085826602</v>
      </c>
      <c r="J3" s="7">
        <v>4.386039533094468</v>
      </c>
      <c r="K3" s="7">
        <v>4.032040482964545</v>
      </c>
      <c r="L3" s="7">
        <v>0.4559890628327396</v>
      </c>
      <c r="M3" s="7">
        <v>0.8588203969456778</v>
      </c>
      <c r="N3" s="7">
        <v>0.5580675635917417</v>
      </c>
      <c r="O3" s="7">
        <v>0.2438122230947596</v>
      </c>
      <c r="P3" s="7">
        <v>6.835941467818233</v>
      </c>
      <c r="Q3" s="7">
        <v>0.04265282294667</v>
      </c>
      <c r="R3" s="7">
        <v>0.0914968561293197</v>
      </c>
      <c r="S3" s="7">
        <v>0.103527544620875</v>
      </c>
      <c r="T3" s="7">
        <v>0.7054986079901413</v>
      </c>
    </row>
    <row x14ac:dyDescent="0.25" r="4" customHeight="1" ht="19.5">
      <c r="A4" s="2" t="s">
        <v>3297</v>
      </c>
      <c r="B4" s="2" t="s">
        <v>3294</v>
      </c>
      <c r="C4" s="2" t="s">
        <v>3295</v>
      </c>
      <c r="D4" s="2" t="s">
        <v>32</v>
      </c>
      <c r="E4" s="6">
        <v>1</v>
      </c>
      <c r="F4" s="6">
        <v>3</v>
      </c>
      <c r="G4" s="7">
        <v>0.9238536953926086</v>
      </c>
      <c r="H4" s="7">
        <v>12.85223671875</v>
      </c>
      <c r="I4" s="7">
        <v>13.55603374335572</v>
      </c>
      <c r="J4" s="7">
        <v>4.195829929156456</v>
      </c>
      <c r="K4" s="7">
        <v>3.882118984772348</v>
      </c>
      <c r="L4" s="7">
        <v>0.4645908200968134</v>
      </c>
      <c r="M4" s="7">
        <v>0.8788672830665553</v>
      </c>
      <c r="N4" s="7">
        <v>0.5598037766799171</v>
      </c>
      <c r="O4" s="7">
        <v>0.2730427408687195</v>
      </c>
      <c r="P4" s="7">
        <v>6.929622496785677</v>
      </c>
      <c r="Q4" s="7">
        <v>0.070771697560736</v>
      </c>
      <c r="R4" s="7">
        <v>0.147098395961962</v>
      </c>
      <c r="S4" s="7">
        <v>0.1652442291373036</v>
      </c>
      <c r="T4" s="7">
        <v>1.05567225821296</v>
      </c>
    </row>
    <row x14ac:dyDescent="0.25" r="5" customHeight="1" ht="19.5">
      <c r="A5" s="2" t="s">
        <v>3298</v>
      </c>
      <c r="B5" s="2" t="s">
        <v>3294</v>
      </c>
      <c r="C5" s="2" t="s">
        <v>3295</v>
      </c>
      <c r="D5" s="2" t="s">
        <v>32</v>
      </c>
      <c r="E5" s="6">
        <v>1</v>
      </c>
      <c r="F5" s="6">
        <v>3</v>
      </c>
      <c r="G5" s="7">
        <v>0.9302868843078612</v>
      </c>
      <c r="H5" s="7">
        <v>12.87301640625</v>
      </c>
      <c r="I5" s="7">
        <v>13.52156041680098</v>
      </c>
      <c r="J5" s="7">
        <v>4.263057862781814</v>
      </c>
      <c r="K5" s="7">
        <v>3.92183243077781</v>
      </c>
      <c r="L5" s="7">
        <v>0.4550127535257302</v>
      </c>
      <c r="M5" s="7">
        <v>0.8847825745064913</v>
      </c>
      <c r="N5" s="7">
        <v>0.5330283174135446</v>
      </c>
      <c r="O5" s="7">
        <v>0.2710464271789362</v>
      </c>
      <c r="P5" s="7">
        <v>7.187149417528939</v>
      </c>
      <c r="Q5" s="7">
        <v>0.083548365292217</v>
      </c>
      <c r="R5" s="7">
        <v>0.176429149924508</v>
      </c>
      <c r="S5" s="7">
        <v>0.1954054451401315</v>
      </c>
      <c r="T5" s="7">
        <v>1.248271513556872</v>
      </c>
    </row>
    <row x14ac:dyDescent="0.25" r="6" customHeight="1" ht="19.5">
      <c r="A6" s="2" t="s">
        <v>3299</v>
      </c>
      <c r="B6" s="2" t="s">
        <v>3294</v>
      </c>
      <c r="C6" s="2" t="s">
        <v>3295</v>
      </c>
      <c r="D6" s="2" t="s">
        <v>32</v>
      </c>
      <c r="E6" s="6">
        <v>1</v>
      </c>
      <c r="F6" s="6">
        <v>3</v>
      </c>
      <c r="G6" s="7">
        <v>0.9286551475524902</v>
      </c>
      <c r="H6" s="7">
        <v>13.008084375</v>
      </c>
      <c r="I6" s="7">
        <v>13.65945372301996</v>
      </c>
      <c r="J6" s="7">
        <v>4.305243089569602</v>
      </c>
      <c r="K6" s="7">
        <v>3.830634799100544</v>
      </c>
      <c r="L6" s="7">
        <v>0.4801813178915906</v>
      </c>
      <c r="M6" s="7">
        <v>0.8761057829439084</v>
      </c>
      <c r="N6" s="7">
        <v>0.5276507945103833</v>
      </c>
      <c r="O6" s="7">
        <v>0.2641750488593578</v>
      </c>
      <c r="P6" s="7">
        <v>7.251009965854092</v>
      </c>
      <c r="Q6" s="7">
        <v>0.0837826218855136</v>
      </c>
      <c r="R6" s="7">
        <v>0.1777138145487301</v>
      </c>
      <c r="S6" s="7">
        <v>0.1964990322316386</v>
      </c>
      <c r="T6" s="7">
        <v>1.264905474842643</v>
      </c>
    </row>
    <row x14ac:dyDescent="0.25" r="7" customHeight="1" ht="19.5">
      <c r="A7" s="2" t="s">
        <v>3300</v>
      </c>
      <c r="B7" s="2" t="s">
        <v>3294</v>
      </c>
      <c r="C7" s="2" t="s">
        <v>3295</v>
      </c>
      <c r="D7" s="2" t="s">
        <v>32</v>
      </c>
      <c r="E7" s="6">
        <v>1</v>
      </c>
      <c r="F7" s="6">
        <v>3</v>
      </c>
      <c r="G7" s="7">
        <v>0.9296626448631288</v>
      </c>
      <c r="H7" s="7">
        <v>12.8903328125</v>
      </c>
      <c r="I7" s="7">
        <v>13.55603374335572</v>
      </c>
      <c r="J7" s="7">
        <v>4.276621033881781</v>
      </c>
      <c r="K7" s="7">
        <v>3.858561751232618</v>
      </c>
      <c r="L7" s="7">
        <v>0.4806193726082807</v>
      </c>
      <c r="M7" s="7">
        <v>0.8814723868428237</v>
      </c>
      <c r="N7" s="7">
        <v>0.5323449607194206</v>
      </c>
      <c r="O7" s="7">
        <v>0.2693735954925219</v>
      </c>
      <c r="P7" s="7">
        <v>7.201180447744747</v>
      </c>
      <c r="Q7" s="7">
        <v>0.0831601585444559</v>
      </c>
      <c r="R7" s="7">
        <v>0.1769325340621386</v>
      </c>
      <c r="S7" s="7">
        <v>0.1949512776373197</v>
      </c>
      <c r="T7" s="7">
        <v>1.244142767233562</v>
      </c>
    </row>
    <row x14ac:dyDescent="0.25" r="8" customHeight="1" ht="19.5">
      <c r="A8" s="2" t="s">
        <v>3301</v>
      </c>
      <c r="B8" s="2" t="s">
        <v>3294</v>
      </c>
      <c r="C8" s="2" t="s">
        <v>3295</v>
      </c>
      <c r="D8" s="2" t="s">
        <v>32</v>
      </c>
      <c r="E8" s="6">
        <v>1</v>
      </c>
      <c r="F8" s="6">
        <v>3</v>
      </c>
      <c r="G8" s="7">
        <v>0.928511381149292</v>
      </c>
      <c r="H8" s="7">
        <v>13.01154765625</v>
      </c>
      <c r="I8" s="7">
        <v>13.62498039646522</v>
      </c>
      <c r="J8" s="7">
        <v>4.228035209970719</v>
      </c>
      <c r="K8" s="7">
        <v>3.883627292377828</v>
      </c>
      <c r="L8" s="7">
        <v>0.4615604673859139</v>
      </c>
      <c r="M8" s="7">
        <v>0.8807791970292267</v>
      </c>
      <c r="N8" s="7">
        <v>0.5258156096854538</v>
      </c>
      <c r="O8" s="7">
        <v>0.2632159341731053</v>
      </c>
      <c r="P8" s="7">
        <v>7.253329619218504</v>
      </c>
      <c r="Q8" s="7">
        <v>0.0838061542678977</v>
      </c>
      <c r="R8" s="7">
        <v>0.1778163155253758</v>
      </c>
      <c r="S8" s="7">
        <v>0.198441218354302</v>
      </c>
      <c r="T8" s="7">
        <v>1.265597618124403</v>
      </c>
    </row>
    <row x14ac:dyDescent="0.25" r="9" customHeight="1" ht="19.5">
      <c r="A9" s="2" t="s">
        <v>3302</v>
      </c>
      <c r="B9" s="2" t="s">
        <v>3294</v>
      </c>
      <c r="C9" s="2" t="s">
        <v>3295</v>
      </c>
      <c r="D9" s="2" t="s">
        <v>32</v>
      </c>
      <c r="E9" s="6">
        <v>1</v>
      </c>
      <c r="F9" s="6">
        <v>3</v>
      </c>
      <c r="G9" s="7">
        <v>0.9273741245269777</v>
      </c>
      <c r="H9" s="7">
        <v>13.091203125</v>
      </c>
      <c r="I9" s="7">
        <v>13.62498039646522</v>
      </c>
      <c r="J9" s="7">
        <v>4.279017006246033</v>
      </c>
      <c r="K9" s="7">
        <v>3.902370631431602</v>
      </c>
      <c r="L9" s="7">
        <v>0.4688436763051377</v>
      </c>
      <c r="M9" s="7">
        <v>0.8861712442827991</v>
      </c>
      <c r="N9" s="7">
        <v>0.5325943878362775</v>
      </c>
      <c r="O9" s="7">
        <v>0.2605490085939294</v>
      </c>
      <c r="P9" s="7">
        <v>7.231722526774783</v>
      </c>
      <c r="Q9" s="7">
        <v>0.0827482187050624</v>
      </c>
      <c r="R9" s="7">
        <v>0.1756831727204986</v>
      </c>
      <c r="S9" s="7">
        <v>0.1943189824831528</v>
      </c>
      <c r="T9" s="7">
        <v>1.257271280451957</v>
      </c>
    </row>
    <row x14ac:dyDescent="0.25" r="10" customHeight="1" ht="19.5">
      <c r="A10" s="2" t="s">
        <v>3303</v>
      </c>
      <c r="B10" s="2" t="s">
        <v>3294</v>
      </c>
      <c r="C10" s="2" t="s">
        <v>3295</v>
      </c>
      <c r="D10" s="2" t="s">
        <v>32</v>
      </c>
      <c r="E10" s="6">
        <v>1</v>
      </c>
      <c r="F10" s="6">
        <v>3</v>
      </c>
      <c r="G10" s="7">
        <v>0.9279800057411194</v>
      </c>
      <c r="H10" s="7">
        <v>12.94228203125</v>
      </c>
      <c r="I10" s="7">
        <v>13.55603374335572</v>
      </c>
      <c r="J10" s="7">
        <v>4.187502039477829</v>
      </c>
      <c r="K10" s="7">
        <v>3.866628185706848</v>
      </c>
      <c r="L10" s="7">
        <v>0.4683888071411228</v>
      </c>
      <c r="M10" s="7">
        <v>0.8850248010831897</v>
      </c>
      <c r="N10" s="7">
        <v>0.5433594678468078</v>
      </c>
      <c r="O10" s="7">
        <v>0.2685161488449054</v>
      </c>
      <c r="P10" s="7">
        <v>7.155886556535617</v>
      </c>
      <c r="Q10" s="7">
        <v>0.0838633361970544</v>
      </c>
      <c r="R10" s="7">
        <v>0.1741525083606672</v>
      </c>
      <c r="S10" s="7">
        <v>0.1954877574458611</v>
      </c>
      <c r="T10" s="7">
        <v>1.259719275695449</v>
      </c>
    </row>
    <row x14ac:dyDescent="0.25" r="11" customHeight="1" ht="19.5">
      <c r="A11" s="2" t="s">
        <v>3304</v>
      </c>
      <c r="B11" s="2" t="s">
        <v>3294</v>
      </c>
      <c r="C11" s="2" t="s">
        <v>3295</v>
      </c>
      <c r="D11" s="2" t="s">
        <v>32</v>
      </c>
      <c r="E11" s="6">
        <v>1</v>
      </c>
      <c r="F11" s="6">
        <v>3</v>
      </c>
      <c r="G11" s="7">
        <v>0.927834153175354</v>
      </c>
      <c r="H11" s="7">
        <v>13.08773984375</v>
      </c>
      <c r="I11" s="7">
        <v>13.63925971586431</v>
      </c>
      <c r="J11" s="7">
        <v>4.263995860542165</v>
      </c>
      <c r="K11" s="7">
        <v>3.90872200151315</v>
      </c>
      <c r="L11" s="7">
        <v>0.4601219329621902</v>
      </c>
      <c r="M11" s="7">
        <v>0.8840827548379139</v>
      </c>
      <c r="N11" s="7">
        <v>0.5440980747942225</v>
      </c>
      <c r="O11" s="7">
        <v>0.2699399716066257</v>
      </c>
      <c r="P11" s="7">
        <v>7.137497081160417</v>
      </c>
      <c r="Q11" s="7">
        <v>0.0813060135016095</v>
      </c>
      <c r="R11" s="7">
        <v>0.1721626107813091</v>
      </c>
      <c r="S11" s="7">
        <v>0.1915588224094982</v>
      </c>
      <c r="T11" s="7">
        <v>1.235031690009391</v>
      </c>
    </row>
    <row x14ac:dyDescent="0.25" r="12" customHeight="1" ht="19.5">
      <c r="A12" s="2" t="s">
        <v>3305</v>
      </c>
      <c r="B12" s="2" t="s">
        <v>3294</v>
      </c>
      <c r="C12" s="2" t="s">
        <v>3295</v>
      </c>
      <c r="D12" s="2" t="s">
        <v>32</v>
      </c>
      <c r="E12" s="6">
        <v>1</v>
      </c>
      <c r="F12" s="6">
        <v>3</v>
      </c>
      <c r="G12" s="7">
        <v>0.9303426742553712</v>
      </c>
      <c r="H12" s="7">
        <v>12.9595984375</v>
      </c>
      <c r="I12" s="7">
        <v>13.55603374335572</v>
      </c>
      <c r="J12" s="7">
        <v>4.24166280802179</v>
      </c>
      <c r="K12" s="7">
        <v>3.859451135606801</v>
      </c>
      <c r="L12" s="7">
        <v>0.4699455450007826</v>
      </c>
      <c r="M12" s="7">
        <v>0.8862089391633117</v>
      </c>
      <c r="N12" s="7">
        <v>0.5455196398001964</v>
      </c>
      <c r="O12" s="7">
        <v>0.2679284254501433</v>
      </c>
      <c r="P12" s="7">
        <v>7.149197851548445</v>
      </c>
      <c r="Q12" s="7">
        <v>0.0811837708308232</v>
      </c>
      <c r="R12" s="7">
        <v>0.1701994819773414</v>
      </c>
      <c r="S12" s="7">
        <v>0.1908517910213599</v>
      </c>
      <c r="T12" s="7">
        <v>1.221100880722856</v>
      </c>
    </row>
    <row x14ac:dyDescent="0.25" r="13" customHeight="1" ht="19.5">
      <c r="A13" s="2" t="s">
        <v>3306</v>
      </c>
      <c r="B13" s="2" t="s">
        <v>3294</v>
      </c>
      <c r="C13" s="2" t="s">
        <v>3295</v>
      </c>
      <c r="D13" s="2" t="s">
        <v>32</v>
      </c>
      <c r="E13" s="6">
        <v>1</v>
      </c>
      <c r="F13" s="6">
        <v>3</v>
      </c>
      <c r="G13" s="7">
        <v>0.9288156628608704</v>
      </c>
      <c r="H13" s="7">
        <v>13.10505625</v>
      </c>
      <c r="I13" s="7">
        <v>13.7771530220833</v>
      </c>
      <c r="J13" s="7">
        <v>4.241814081477158</v>
      </c>
      <c r="K13" s="7">
        <v>3.842869660816984</v>
      </c>
      <c r="L13" s="7">
        <v>0.4814733863471793</v>
      </c>
      <c r="M13" s="7">
        <v>0.8676204685574785</v>
      </c>
      <c r="N13" s="7">
        <v>0.5407389212816761</v>
      </c>
      <c r="O13" s="7">
        <v>0.2694342480263479</v>
      </c>
      <c r="P13" s="7">
        <v>7.149321819386793</v>
      </c>
      <c r="Q13" s="7">
        <v>0.0819632376752934</v>
      </c>
      <c r="R13" s="7">
        <v>0.1732658311556235</v>
      </c>
      <c r="S13" s="7">
        <v>0.192996298649515</v>
      </c>
      <c r="T13" s="7">
        <v>1.246662152268966</v>
      </c>
    </row>
    <row x14ac:dyDescent="0.25" r="14" customHeight="1" ht="19.5">
      <c r="A14" s="2" t="s">
        <v>3307</v>
      </c>
      <c r="B14" s="2" t="s">
        <v>3294</v>
      </c>
      <c r="C14" s="2" t="s">
        <v>3295</v>
      </c>
      <c r="D14" s="2" t="s">
        <v>32</v>
      </c>
      <c r="E14" s="6">
        <v>1</v>
      </c>
      <c r="F14" s="6">
        <v>3</v>
      </c>
      <c r="G14" s="7">
        <v>0.9274305105209352</v>
      </c>
      <c r="H14" s="7">
        <v>13.1812484375</v>
      </c>
      <c r="I14" s="7">
        <v>13.65945372301997</v>
      </c>
      <c r="J14" s="7">
        <v>4.308401577804448</v>
      </c>
      <c r="K14" s="7">
        <v>3.90366148476139</v>
      </c>
      <c r="L14" s="7">
        <v>0.4643425776627156</v>
      </c>
      <c r="M14" s="7">
        <v>0.8877685329830977</v>
      </c>
      <c r="N14" s="7">
        <v>0.5368799357532738</v>
      </c>
      <c r="O14" s="7">
        <v>0.2558774479098165</v>
      </c>
      <c r="P14" s="7">
        <v>7.239301344341401</v>
      </c>
      <c r="Q14" s="7">
        <v>0.0816511839095609</v>
      </c>
      <c r="R14" s="7">
        <v>0.172286654727858</v>
      </c>
      <c r="S14" s="7">
        <v>0.1925004771484539</v>
      </c>
      <c r="T14" s="7">
        <v>1.249136250268239</v>
      </c>
    </row>
    <row x14ac:dyDescent="0.25" r="15" customHeight="1" ht="19.5">
      <c r="A15" s="2" t="s">
        <v>3308</v>
      </c>
      <c r="B15" s="2" t="s">
        <v>3294</v>
      </c>
      <c r="C15" s="2" t="s">
        <v>3295</v>
      </c>
      <c r="D15" s="2" t="s">
        <v>32</v>
      </c>
      <c r="E15" s="6">
        <v>1</v>
      </c>
      <c r="F15" s="6">
        <v>3</v>
      </c>
      <c r="G15" s="7">
        <v>0.9277987480163574</v>
      </c>
      <c r="H15" s="7">
        <v>13.07388671875</v>
      </c>
      <c r="I15" s="7">
        <v>13.74267969552855</v>
      </c>
      <c r="J15" s="7">
        <v>4.263824177341386</v>
      </c>
      <c r="K15" s="7">
        <v>3.854531465527645</v>
      </c>
      <c r="L15" s="7">
        <v>0.4748018920927836</v>
      </c>
      <c r="M15" s="7">
        <v>0.8699048112909262</v>
      </c>
      <c r="N15" s="7">
        <v>0.5440937052414854</v>
      </c>
      <c r="O15" s="7">
        <v>0.269500184167097</v>
      </c>
      <c r="P15" s="7">
        <v>7.147423911645411</v>
      </c>
      <c r="Q15" s="7">
        <v>0.081425616501762</v>
      </c>
      <c r="R15" s="7">
        <v>0.1705316448685802</v>
      </c>
      <c r="S15" s="7">
        <v>0.1890321626270022</v>
      </c>
      <c r="T15" s="7">
        <v>1.235539269109433</v>
      </c>
    </row>
    <row x14ac:dyDescent="0.25" r="16" customHeight="1" ht="19.5">
      <c r="A16" s="2" t="s">
        <v>3309</v>
      </c>
      <c r="B16" s="2" t="s">
        <v>3294</v>
      </c>
      <c r="C16" s="2" t="s">
        <v>3295</v>
      </c>
      <c r="D16" s="2" t="s">
        <v>32</v>
      </c>
      <c r="E16" s="6">
        <v>1</v>
      </c>
      <c r="F16" s="6">
        <v>3</v>
      </c>
      <c r="G16" s="7">
        <v>0.9294775128364564</v>
      </c>
      <c r="H16" s="7">
        <v>13.03232734375</v>
      </c>
      <c r="I16" s="7">
        <v>13.70820636897381</v>
      </c>
      <c r="J16" s="7">
        <v>4.223023447016208</v>
      </c>
      <c r="K16" s="7">
        <v>3.872385716523411</v>
      </c>
      <c r="L16" s="7">
        <v>0.4744825685432233</v>
      </c>
      <c r="M16" s="7">
        <v>0.871506391047133</v>
      </c>
      <c r="N16" s="7">
        <v>0.5411884904677079</v>
      </c>
      <c r="O16" s="7">
        <v>0.2724626930657315</v>
      </c>
      <c r="P16" s="7">
        <v>7.129441998913239</v>
      </c>
      <c r="Q16" s="7">
        <v>0.0808825294242084</v>
      </c>
      <c r="R16" s="7">
        <v>0.1702888920594535</v>
      </c>
      <c r="S16" s="7">
        <v>0.1903993877875385</v>
      </c>
      <c r="T16" s="7">
        <v>1.223397206346375</v>
      </c>
    </row>
    <row x14ac:dyDescent="0.25" r="17" customHeight="1" ht="19.5">
      <c r="A17" s="2" t="s">
        <v>3310</v>
      </c>
      <c r="B17" s="2" t="s">
        <v>3294</v>
      </c>
      <c r="C17" s="2" t="s">
        <v>3295</v>
      </c>
      <c r="D17" s="2" t="s">
        <v>32</v>
      </c>
      <c r="E17" s="6">
        <v>1</v>
      </c>
      <c r="F17" s="6">
        <v>3</v>
      </c>
      <c r="G17" s="7">
        <v>0.9300920367240906</v>
      </c>
      <c r="H17" s="7">
        <v>13.08081328125</v>
      </c>
      <c r="I17" s="7">
        <v>13.74267969552855</v>
      </c>
      <c r="J17" s="7">
        <v>4.230747915361789</v>
      </c>
      <c r="K17" s="7">
        <v>3.852085679842314</v>
      </c>
      <c r="L17" s="7">
        <v>0.476239736939321</v>
      </c>
      <c r="M17" s="7">
        <v>0.8703656880121398</v>
      </c>
      <c r="N17" s="7">
        <v>0.5447964835637549</v>
      </c>
      <c r="O17" s="7">
        <v>0.2707074727598467</v>
      </c>
      <c r="P17" s="7">
        <v>7.132759764154081</v>
      </c>
      <c r="Q17" s="7">
        <v>0.0806756205142623</v>
      </c>
      <c r="R17" s="7">
        <v>0.170583290950534</v>
      </c>
      <c r="S17" s="7">
        <v>0.1883652688818686</v>
      </c>
      <c r="T17" s="7">
        <v>1.224807511097525</v>
      </c>
    </row>
    <row x14ac:dyDescent="0.25" r="18" customHeight="1" ht="19.5">
      <c r="A18" s="2" t="s">
        <v>3311</v>
      </c>
      <c r="B18" s="2" t="s">
        <v>3294</v>
      </c>
      <c r="C18" s="2" t="s">
        <v>3295</v>
      </c>
      <c r="D18" s="2" t="s">
        <v>32</v>
      </c>
      <c r="E18" s="6">
        <v>1</v>
      </c>
      <c r="F18" s="6">
        <v>3</v>
      </c>
      <c r="G18" s="7">
        <v>0.9273204803466796</v>
      </c>
      <c r="H18" s="7">
        <v>12.952671875</v>
      </c>
      <c r="I18" s="7">
        <v>13.69392704957471</v>
      </c>
      <c r="J18" s="7">
        <v>4.24658300739404</v>
      </c>
      <c r="K18" s="7">
        <v>3.824245624434028</v>
      </c>
      <c r="L18" s="7">
        <v>0.4834684840586796</v>
      </c>
      <c r="M18" s="7">
        <v>0.8679869744928946</v>
      </c>
      <c r="N18" s="7">
        <v>0.542421099221688</v>
      </c>
      <c r="O18" s="7">
        <v>0.2670260290835908</v>
      </c>
      <c r="P18" s="7">
        <v>7.14843700197581</v>
      </c>
      <c r="Q18" s="7">
        <v>0.0814929048176279</v>
      </c>
      <c r="R18" s="7">
        <v>0.173090300024929</v>
      </c>
      <c r="S18" s="7">
        <v>0.1919109793708743</v>
      </c>
      <c r="T18" s="7">
        <v>1.225095493839736</v>
      </c>
    </row>
    <row x14ac:dyDescent="0.25" r="19" customHeight="1" ht="19.5">
      <c r="A19" s="2" t="s">
        <v>3312</v>
      </c>
      <c r="B19" s="2" t="s">
        <v>3294</v>
      </c>
      <c r="C19" s="2" t="s">
        <v>3295</v>
      </c>
      <c r="D19" s="2" t="s">
        <v>32</v>
      </c>
      <c r="E19" s="6">
        <v>1</v>
      </c>
      <c r="F19" s="6">
        <v>3</v>
      </c>
      <c r="G19" s="7">
        <v>0.9285547137260436</v>
      </c>
      <c r="H19" s="7">
        <v>13.04964375</v>
      </c>
      <c r="I19" s="7">
        <v>13.59050706991047</v>
      </c>
      <c r="J19" s="7">
        <v>4.287302184712919</v>
      </c>
      <c r="K19" s="7">
        <v>3.909800496434793</v>
      </c>
      <c r="L19" s="7">
        <v>0.4554268452466932</v>
      </c>
      <c r="M19" s="7">
        <v>0.8878450917861794</v>
      </c>
      <c r="N19" s="7">
        <v>0.5390713145421266</v>
      </c>
      <c r="O19" s="7">
        <v>0.2629113088826493</v>
      </c>
      <c r="P19" s="7">
        <v>7.194224459268121</v>
      </c>
      <c r="Q19" s="7">
        <v>0.0819450815838106</v>
      </c>
      <c r="R19" s="7">
        <v>0.172592976008042</v>
      </c>
      <c r="S19" s="7">
        <v>0.1909426675180756</v>
      </c>
      <c r="T19" s="7">
        <v>1.241115866758902</v>
      </c>
    </row>
    <row x14ac:dyDescent="0.25" r="20" customHeight="1" ht="19.5">
      <c r="A20" s="2" t="s">
        <v>3313</v>
      </c>
      <c r="B20" s="2" t="s">
        <v>3294</v>
      </c>
      <c r="C20" s="2" t="s">
        <v>3295</v>
      </c>
      <c r="D20" s="2" t="s">
        <v>32</v>
      </c>
      <c r="E20" s="6">
        <v>1</v>
      </c>
      <c r="F20" s="6">
        <v>3</v>
      </c>
      <c r="G20" s="7">
        <v>0.9276371598243712</v>
      </c>
      <c r="H20" s="7">
        <v>13.063496875</v>
      </c>
      <c r="I20" s="7">
        <v>13.7224856883729</v>
      </c>
      <c r="J20" s="7">
        <v>4.351656353130538</v>
      </c>
      <c r="K20" s="7">
        <v>3.926107766222777</v>
      </c>
      <c r="L20" s="7">
        <v>0.4500421048367259</v>
      </c>
      <c r="M20" s="7">
        <v>0.8717736473924705</v>
      </c>
      <c r="N20" s="7">
        <v>0.5472799501085694</v>
      </c>
      <c r="O20" s="7">
        <v>0.2721366429929054</v>
      </c>
      <c r="P20" s="7">
        <v>7.112030843170594</v>
      </c>
      <c r="Q20" s="7">
        <v>0.0808229697282515</v>
      </c>
      <c r="R20" s="7">
        <v>0.1720789670810218</v>
      </c>
      <c r="S20" s="7">
        <v>0.1919408293052493</v>
      </c>
      <c r="T20" s="7">
        <v>1.225420185060996</v>
      </c>
    </row>
    <row x14ac:dyDescent="0.25" r="21" customHeight="1" ht="19.5">
      <c r="A21" s="2" t="s">
        <v>3314</v>
      </c>
      <c r="B21" s="2" t="s">
        <v>3294</v>
      </c>
      <c r="C21" s="2" t="s">
        <v>3295</v>
      </c>
      <c r="D21" s="2" t="s">
        <v>32</v>
      </c>
      <c r="E21" s="6">
        <v>1</v>
      </c>
      <c r="F21" s="6">
        <v>3</v>
      </c>
      <c r="G21" s="7">
        <v>0.9282788634300232</v>
      </c>
      <c r="H21" s="7">
        <v>13.07735</v>
      </c>
      <c r="I21" s="7">
        <v>13.77123833432674</v>
      </c>
      <c r="J21" s="7">
        <v>4.294065727938696</v>
      </c>
      <c r="K21" s="7">
        <v>3.909921884413246</v>
      </c>
      <c r="L21" s="7">
        <v>0.4667316056436992</v>
      </c>
      <c r="M21" s="7">
        <v>0.8665300384135919</v>
      </c>
      <c r="N21" s="7">
        <v>0.5520740837102108</v>
      </c>
      <c r="O21" s="7">
        <v>0.2798898521282116</v>
      </c>
      <c r="P21" s="7">
        <v>7.057307890532302</v>
      </c>
      <c r="Q21" s="7">
        <v>0.0808307640942766</v>
      </c>
      <c r="R21" s="7">
        <v>0.1708461332775953</v>
      </c>
      <c r="S21" s="7">
        <v>0.1905965541909435</v>
      </c>
      <c r="T21" s="7">
        <v>1.226837978035621</v>
      </c>
    </row>
    <row x14ac:dyDescent="0.25" r="22" customHeight="1" ht="19.5">
      <c r="A22" s="2" t="s">
        <v>3315</v>
      </c>
      <c r="B22" s="2" t="s">
        <v>3294</v>
      </c>
      <c r="C22" s="2" t="s">
        <v>3295</v>
      </c>
      <c r="D22" s="2" t="s">
        <v>32</v>
      </c>
      <c r="E22" s="6">
        <v>1</v>
      </c>
      <c r="F22" s="6">
        <v>3</v>
      </c>
      <c r="G22" s="7">
        <v>0.9275801181793212</v>
      </c>
      <c r="H22" s="7">
        <v>12.90072265625</v>
      </c>
      <c r="I22" s="7">
        <v>13.59050706991047</v>
      </c>
      <c r="J22" s="7">
        <v>4.255881951824669</v>
      </c>
      <c r="K22" s="7">
        <v>3.843377824862041</v>
      </c>
      <c r="L22" s="7">
        <v>0.4762238340284891</v>
      </c>
      <c r="M22" s="7">
        <v>0.8777131016198296</v>
      </c>
      <c r="N22" s="7">
        <v>0.5463234429830733</v>
      </c>
      <c r="O22" s="7">
        <v>0.2706471181814091</v>
      </c>
      <c r="P22" s="7">
        <v>7.122565191347597</v>
      </c>
      <c r="Q22" s="7">
        <v>0.081686121223477</v>
      </c>
      <c r="R22" s="7">
        <v>0.1719295812349365</v>
      </c>
      <c r="S22" s="7">
        <v>0.1932056001022216</v>
      </c>
      <c r="T22" s="7">
        <v>1.22307501179936</v>
      </c>
    </row>
    <row x14ac:dyDescent="0.25" r="23" customHeight="1" ht="19.5">
      <c r="A23" s="2" t="s">
        <v>3316</v>
      </c>
      <c r="B23" s="2" t="s">
        <v>3294</v>
      </c>
      <c r="C23" s="2" t="s">
        <v>3295</v>
      </c>
      <c r="D23" s="2" t="s">
        <v>32</v>
      </c>
      <c r="E23" s="6">
        <v>1</v>
      </c>
      <c r="F23" s="6">
        <v>3</v>
      </c>
      <c r="G23" s="7">
        <v>0.9281418323516846</v>
      </c>
      <c r="H23" s="7">
        <v>13.12237265625</v>
      </c>
      <c r="I23" s="7">
        <v>13.6535390352634</v>
      </c>
      <c r="J23" s="7">
        <v>4.240028249130177</v>
      </c>
      <c r="K23" s="7">
        <v>3.898227897857061</v>
      </c>
      <c r="L23" s="7">
        <v>0.4517360057796288</v>
      </c>
      <c r="M23" s="7">
        <v>0.8845690876332585</v>
      </c>
      <c r="N23" s="7">
        <v>0.5476071339887001</v>
      </c>
      <c r="O23" s="7">
        <v>0.2770537286351195</v>
      </c>
      <c r="P23" s="7">
        <v>7.090862859884492</v>
      </c>
      <c r="Q23" s="7">
        <v>0.0812264957833401</v>
      </c>
      <c r="R23" s="7">
        <v>0.1714545192016889</v>
      </c>
      <c r="S23" s="7">
        <v>0.193289894611769</v>
      </c>
      <c r="T23" s="7">
        <v>1.237088770306605</v>
      </c>
    </row>
    <row x14ac:dyDescent="0.25" r="24" customHeight="1" ht="19.5">
      <c r="A24" s="2" t="s">
        <v>3317</v>
      </c>
      <c r="B24" s="2" t="s">
        <v>3294</v>
      </c>
      <c r="C24" s="2" t="s">
        <v>3295</v>
      </c>
      <c r="D24" s="2" t="s">
        <v>32</v>
      </c>
      <c r="E24" s="6">
        <v>1</v>
      </c>
      <c r="F24" s="6">
        <v>3</v>
      </c>
      <c r="G24" s="7">
        <v>0.926576554775238</v>
      </c>
      <c r="H24" s="7">
        <v>13.285146875</v>
      </c>
      <c r="I24" s="7">
        <v>13.89485232114663</v>
      </c>
      <c r="J24" s="7">
        <v>4.395359071973328</v>
      </c>
      <c r="K24" s="7">
        <v>3.928616732818417</v>
      </c>
      <c r="L24" s="7">
        <v>0.4566325949887376</v>
      </c>
      <c r="M24" s="7">
        <v>0.864705763213334</v>
      </c>
      <c r="N24" s="7">
        <v>0.5566384744026571</v>
      </c>
      <c r="O24" s="7">
        <v>0.269616460994408</v>
      </c>
      <c r="P24" s="7">
        <v>7.03183661053263</v>
      </c>
      <c r="Q24" s="7">
        <v>0.0750864198094177</v>
      </c>
      <c r="R24" s="7">
        <v>0.1596111259229775</v>
      </c>
      <c r="S24" s="7">
        <v>0.1781249795673726</v>
      </c>
      <c r="T24" s="7">
        <v>1.157759991008528</v>
      </c>
    </row>
    <row x14ac:dyDescent="0.25" r="25" customHeight="1" ht="19.5">
      <c r="A25" s="2" t="s">
        <v>3318</v>
      </c>
      <c r="B25" s="2" t="s">
        <v>3294</v>
      </c>
      <c r="C25" s="2" t="s">
        <v>3295</v>
      </c>
      <c r="D25" s="2" t="s">
        <v>32</v>
      </c>
      <c r="E25" s="6">
        <v>1</v>
      </c>
      <c r="F25" s="6">
        <v>3</v>
      </c>
      <c r="G25" s="7">
        <v>0.8378880023956299</v>
      </c>
      <c r="H25" s="7">
        <v>17.43069453125</v>
      </c>
      <c r="I25" s="7">
        <v>16.20355040033006</v>
      </c>
      <c r="J25" s="7">
        <v>4.91793804531283</v>
      </c>
      <c r="K25" s="7">
        <v>4.809180503132033</v>
      </c>
      <c r="L25" s="7">
        <v>0.3128841082721586</v>
      </c>
      <c r="M25" s="7">
        <v>0.8342653140213098</v>
      </c>
      <c r="N25" s="7">
        <v>0.6128461491671826</v>
      </c>
      <c r="O25" s="7">
        <v>0.2042621585025649</v>
      </c>
      <c r="P25" s="7">
        <v>6.84176336810576</v>
      </c>
      <c r="Q25" s="7">
        <v>0.0237712497582891</v>
      </c>
      <c r="R25" s="7">
        <v>0.0566436774220672</v>
      </c>
      <c r="S25" s="7">
        <v>0.0692342241278031</v>
      </c>
      <c r="T25" s="7">
        <v>0.4809030009653447</v>
      </c>
    </row>
    <row x14ac:dyDescent="0.25" r="26" customHeight="1" ht="19.5">
      <c r="A26" s="2" t="s">
        <v>3319</v>
      </c>
      <c r="B26" s="2" t="s">
        <v>3294</v>
      </c>
      <c r="C26" s="2" t="s">
        <v>3295</v>
      </c>
      <c r="D26" s="2" t="s">
        <v>32</v>
      </c>
      <c r="E26" s="6">
        <v>1</v>
      </c>
      <c r="F26" s="6">
        <v>3</v>
      </c>
      <c r="G26" s="7">
        <v>0.9009597301483154</v>
      </c>
      <c r="H26" s="7">
        <v>11.88598125</v>
      </c>
      <c r="I26" s="7">
        <v>13.43588450040642</v>
      </c>
      <c r="J26" s="7">
        <v>4.335308184043837</v>
      </c>
      <c r="K26" s="7">
        <v>3.389297136318977</v>
      </c>
      <c r="L26" s="7">
        <v>0.6537261020265084</v>
      </c>
      <c r="M26" s="7">
        <v>0.8273940266166784</v>
      </c>
      <c r="N26" s="7">
        <v>0.5973574851471013</v>
      </c>
      <c r="O26" s="7">
        <v>0.2751781771694735</v>
      </c>
      <c r="P26" s="7">
        <v>6.067849623206597</v>
      </c>
      <c r="Q26" s="7">
        <v>0.0557747769726411</v>
      </c>
      <c r="R26" s="7">
        <v>0.112994681023746</v>
      </c>
      <c r="S26" s="7">
        <v>0.1352790158734564</v>
      </c>
      <c r="T26" s="7">
        <v>0.7694203405772475</v>
      </c>
    </row>
    <row x14ac:dyDescent="0.25" r="27" customHeight="1" ht="19.5">
      <c r="A27" s="2" t="s">
        <v>3320</v>
      </c>
      <c r="B27" s="2" t="s">
        <v>3294</v>
      </c>
      <c r="C27" s="2" t="s">
        <v>3295</v>
      </c>
      <c r="D27" s="2" t="s">
        <v>32</v>
      </c>
      <c r="E27" s="6">
        <v>1</v>
      </c>
      <c r="F27" s="6">
        <v>3</v>
      </c>
      <c r="G27" s="7">
        <v>0.9191727638244628</v>
      </c>
      <c r="H27" s="7">
        <v>11.73013359375</v>
      </c>
      <c r="I27" s="7">
        <v>13.29207650643087</v>
      </c>
      <c r="J27" s="7">
        <v>4.209438860919436</v>
      </c>
      <c r="K27" s="7">
        <v>3.369785777277746</v>
      </c>
      <c r="L27" s="7">
        <v>0.6239109991706215</v>
      </c>
      <c r="M27" s="7">
        <v>0.8343094402481048</v>
      </c>
      <c r="N27" s="7">
        <v>0.5851602229443121</v>
      </c>
      <c r="O27" s="7">
        <v>0.2878058129467383</v>
      </c>
      <c r="P27" s="7">
        <v>6.388989145627692</v>
      </c>
      <c r="Q27" s="7">
        <v>0.0892340012929018</v>
      </c>
      <c r="R27" s="7">
        <v>0.1792890194650161</v>
      </c>
      <c r="S27" s="7">
        <v>0.2044307871764936</v>
      </c>
      <c r="T27" s="7">
        <v>1.214854049716171</v>
      </c>
    </row>
    <row x14ac:dyDescent="0.25" r="28" customHeight="1" ht="19.5">
      <c r="A28" s="2" t="s">
        <v>3321</v>
      </c>
      <c r="B28" s="2" t="s">
        <v>3294</v>
      </c>
      <c r="C28" s="2" t="s">
        <v>3295</v>
      </c>
      <c r="D28" s="2" t="s">
        <v>32</v>
      </c>
      <c r="E28" s="6">
        <v>1</v>
      </c>
      <c r="F28" s="6">
        <v>3</v>
      </c>
      <c r="G28" s="7">
        <v>0.945524036884308</v>
      </c>
      <c r="H28" s="7">
        <v>11.2002515625</v>
      </c>
      <c r="I28" s="7">
        <v>12.7725266642237</v>
      </c>
      <c r="J28" s="7">
        <v>4.063249427674036</v>
      </c>
      <c r="K28" s="7">
        <v>3.393239981911975</v>
      </c>
      <c r="L28" s="7">
        <v>0.5959956750331002</v>
      </c>
      <c r="M28" s="7">
        <v>0.8627480875123756</v>
      </c>
      <c r="N28" s="7">
        <v>0.5690943088001645</v>
      </c>
      <c r="O28" s="7">
        <v>0.2788132883981837</v>
      </c>
      <c r="P28" s="7">
        <v>6.820903802785426</v>
      </c>
      <c r="Q28" s="7">
        <v>0.136124920413727</v>
      </c>
      <c r="R28" s="7">
        <v>0.2627661620011188</v>
      </c>
      <c r="S28" s="7">
        <v>0.2829260795920328</v>
      </c>
      <c r="T28" s="7">
        <v>1.769522935754452</v>
      </c>
    </row>
    <row x14ac:dyDescent="0.25" r="29" customHeight="1" ht="19.5">
      <c r="A29" s="2" t="s">
        <v>3322</v>
      </c>
      <c r="B29" s="2" t="s">
        <v>3294</v>
      </c>
      <c r="C29" s="2" t="s">
        <v>3295</v>
      </c>
      <c r="D29" s="2" t="s">
        <v>32</v>
      </c>
      <c r="E29" s="6">
        <v>1</v>
      </c>
      <c r="F29" s="6">
        <v>3</v>
      </c>
      <c r="G29" s="7">
        <v>0.9476361870765686</v>
      </c>
      <c r="H29" s="7">
        <v>11.373415625</v>
      </c>
      <c r="I29" s="7">
        <v>12.92469928984178</v>
      </c>
      <c r="J29" s="7">
        <v>4.091922333331848</v>
      </c>
      <c r="K29" s="7">
        <v>3.451919427327454</v>
      </c>
      <c r="L29" s="7">
        <v>0.5758338705297411</v>
      </c>
      <c r="M29" s="7">
        <v>0.8555785328115006</v>
      </c>
      <c r="N29" s="7">
        <v>0.5484456150067819</v>
      </c>
      <c r="O29" s="7">
        <v>0.2672171721458363</v>
      </c>
      <c r="P29" s="7">
        <v>7.079525484306071</v>
      </c>
      <c r="Q29" s="7">
        <v>0.1494011257765112</v>
      </c>
      <c r="R29" s="7">
        <v>0.2926306347449323</v>
      </c>
      <c r="S29" s="7">
        <v>0.3109535412327703</v>
      </c>
      <c r="T29" s="7">
        <v>1.972130093345246</v>
      </c>
    </row>
    <row x14ac:dyDescent="0.25" r="30" customHeight="1" ht="19.5">
      <c r="A30" s="2" t="s">
        <v>3323</v>
      </c>
      <c r="B30" s="2" t="s">
        <v>3294</v>
      </c>
      <c r="C30" s="2" t="s">
        <v>3295</v>
      </c>
      <c r="D30" s="2" t="s">
        <v>32</v>
      </c>
      <c r="E30" s="6">
        <v>1</v>
      </c>
      <c r="F30" s="6">
        <v>3</v>
      </c>
      <c r="G30" s="7">
        <v>0.9447763562202454</v>
      </c>
      <c r="H30" s="7">
        <v>11.3803421875</v>
      </c>
      <c r="I30" s="7">
        <v>12.93897860924087</v>
      </c>
      <c r="J30" s="7">
        <v>4.080829411228304</v>
      </c>
      <c r="K30" s="7">
        <v>3.490708849876547</v>
      </c>
      <c r="L30" s="7">
        <v>0.5744951917393492</v>
      </c>
      <c r="M30" s="7">
        <v>0.8542110694157276</v>
      </c>
      <c r="N30" s="7">
        <v>0.547208934668606</v>
      </c>
      <c r="O30" s="7">
        <v>0.2662377584256384</v>
      </c>
      <c r="P30" s="7">
        <v>7.121195347874881</v>
      </c>
      <c r="Q30" s="7">
        <v>0.1504011393638616</v>
      </c>
      <c r="R30" s="7">
        <v>0.2949189099458518</v>
      </c>
      <c r="S30" s="7">
        <v>0.3127155701963694</v>
      </c>
      <c r="T30" s="7">
        <v>1.986539601410062</v>
      </c>
    </row>
    <row x14ac:dyDescent="0.25" r="31" customHeight="1" ht="19.5">
      <c r="A31" s="2" t="s">
        <v>3324</v>
      </c>
      <c r="B31" s="2" t="s">
        <v>3294</v>
      </c>
      <c r="C31" s="2" t="s">
        <v>3295</v>
      </c>
      <c r="D31" s="2" t="s">
        <v>32</v>
      </c>
      <c r="E31" s="6">
        <v>1</v>
      </c>
      <c r="F31" s="6">
        <v>3</v>
      </c>
      <c r="G31" s="7">
        <v>0.9462128281593324</v>
      </c>
      <c r="H31" s="7">
        <v>11.38380546875</v>
      </c>
      <c r="I31" s="7">
        <v>12.93897860924087</v>
      </c>
      <c r="J31" s="7">
        <v>4.091975175762522</v>
      </c>
      <c r="K31" s="7">
        <v>3.495204065605752</v>
      </c>
      <c r="L31" s="7">
        <v>0.5729049211677802</v>
      </c>
      <c r="M31" s="7">
        <v>0.8544710240929688</v>
      </c>
      <c r="N31" s="7">
        <v>0.5446385397710309</v>
      </c>
      <c r="O31" s="7">
        <v>0.2665205447494218</v>
      </c>
      <c r="P31" s="7">
        <v>7.113260774465273</v>
      </c>
      <c r="Q31" s="7">
        <v>0.1490715654400702</v>
      </c>
      <c r="R31" s="7">
        <v>0.2934631322363412</v>
      </c>
      <c r="S31" s="7">
        <v>0.3113533064759219</v>
      </c>
      <c r="T31" s="7">
        <v>1.969577425596557</v>
      </c>
    </row>
    <row x14ac:dyDescent="0.25" r="32" customHeight="1" ht="19.5">
      <c r="A32" s="2" t="s">
        <v>3325</v>
      </c>
      <c r="B32" s="2" t="s">
        <v>3294</v>
      </c>
      <c r="C32" s="2" t="s">
        <v>3295</v>
      </c>
      <c r="D32" s="2" t="s">
        <v>32</v>
      </c>
      <c r="E32" s="6">
        <v>1</v>
      </c>
      <c r="F32" s="6">
        <v>3</v>
      </c>
      <c r="G32" s="7">
        <v>0.9471608996391296</v>
      </c>
      <c r="H32" s="7">
        <v>11.3249296875</v>
      </c>
      <c r="I32" s="7">
        <v>12.97345193579562</v>
      </c>
      <c r="J32" s="7">
        <v>4.077020950525247</v>
      </c>
      <c r="K32" s="7">
        <v>3.421462559058347</v>
      </c>
      <c r="L32" s="7">
        <v>0.5855676331562844</v>
      </c>
      <c r="M32" s="7">
        <v>0.845540245996163</v>
      </c>
      <c r="N32" s="7">
        <v>0.5454650949636786</v>
      </c>
      <c r="O32" s="7">
        <v>0.2698824460566578</v>
      </c>
      <c r="P32" s="7">
        <v>7.090396055336624</v>
      </c>
      <c r="Q32" s="7">
        <v>0.1509596138002134</v>
      </c>
      <c r="R32" s="7">
        <v>0.294325684569973</v>
      </c>
      <c r="S32" s="7">
        <v>0.3132448193393962</v>
      </c>
      <c r="T32" s="7">
        <v>1.984207425133429</v>
      </c>
    </row>
    <row x14ac:dyDescent="0.25" r="33" customHeight="1" ht="19.5">
      <c r="A33" s="2" t="s">
        <v>3326</v>
      </c>
      <c r="B33" s="2" t="s">
        <v>3294</v>
      </c>
      <c r="C33" s="2" t="s">
        <v>3295</v>
      </c>
      <c r="D33" s="2" t="s">
        <v>32</v>
      </c>
      <c r="E33" s="6">
        <v>1</v>
      </c>
      <c r="F33" s="6">
        <v>3</v>
      </c>
      <c r="G33" s="7">
        <v>0.9392699003219604</v>
      </c>
      <c r="H33" s="7">
        <v>11.37687890625</v>
      </c>
      <c r="I33" s="7">
        <v>12.82127931017754</v>
      </c>
      <c r="J33" s="7">
        <v>4.103149276340537</v>
      </c>
      <c r="K33" s="7">
        <v>3.44440445543005</v>
      </c>
      <c r="L33" s="7">
        <v>0.5762494008950961</v>
      </c>
      <c r="M33" s="7">
        <v>0.8697016156650484</v>
      </c>
      <c r="N33" s="7">
        <v>0.5471124843979016</v>
      </c>
      <c r="O33" s="7">
        <v>0.2668404040610901</v>
      </c>
      <c r="P33" s="7">
        <v>7.094884119202179</v>
      </c>
      <c r="Q33" s="7">
        <v>0.1488078695135204</v>
      </c>
      <c r="R33" s="7">
        <v>0.2903296341673524</v>
      </c>
      <c r="S33" s="7">
        <v>0.3119283707546121</v>
      </c>
      <c r="T33" s="7">
        <v>1.964897112962554</v>
      </c>
    </row>
    <row x14ac:dyDescent="0.25" r="34" customHeight="1" ht="19.5">
      <c r="A34" s="2" t="s">
        <v>3327</v>
      </c>
      <c r="B34" s="2" t="s">
        <v>3294</v>
      </c>
      <c r="C34" s="2" t="s">
        <v>3295</v>
      </c>
      <c r="D34" s="2" t="s">
        <v>32</v>
      </c>
      <c r="E34" s="6">
        <v>1</v>
      </c>
      <c r="F34" s="6">
        <v>3</v>
      </c>
      <c r="G34" s="7">
        <v>0.9460548758506776</v>
      </c>
      <c r="H34" s="7">
        <v>11.3387828125</v>
      </c>
      <c r="I34" s="7">
        <v>12.92469928984178</v>
      </c>
      <c r="J34" s="7">
        <v>4.07829374433481</v>
      </c>
      <c r="K34" s="7">
        <v>3.451712670180962</v>
      </c>
      <c r="L34" s="7">
        <v>0.5787177697577006</v>
      </c>
      <c r="M34" s="7">
        <v>0.8529732388626228</v>
      </c>
      <c r="N34" s="7">
        <v>0.5498680059049791</v>
      </c>
      <c r="O34" s="7">
        <v>0.2692667869490078</v>
      </c>
      <c r="P34" s="7">
        <v>7.067970468458635</v>
      </c>
      <c r="Q34" s="7">
        <v>0.1498448315052747</v>
      </c>
      <c r="R34" s="7">
        <v>0.2928091528080833</v>
      </c>
      <c r="S34" s="7">
        <v>0.3097194508077761</v>
      </c>
      <c r="T34" s="7">
        <v>1.97196401033434</v>
      </c>
    </row>
    <row x14ac:dyDescent="0.25" r="35" customHeight="1" ht="19.5">
      <c r="A35" s="2" t="s">
        <v>3328</v>
      </c>
      <c r="B35" s="2" t="s">
        <v>3294</v>
      </c>
      <c r="C35" s="2" t="s">
        <v>3295</v>
      </c>
      <c r="D35" s="2" t="s">
        <v>32</v>
      </c>
      <c r="E35" s="6">
        <v>1</v>
      </c>
      <c r="F35" s="6">
        <v>3</v>
      </c>
      <c r="G35" s="7">
        <v>0.9456523656845092</v>
      </c>
      <c r="H35" s="7">
        <v>11.43229140625</v>
      </c>
      <c r="I35" s="7">
        <v>12.97345193579562</v>
      </c>
      <c r="J35" s="7">
        <v>4.062269270886802</v>
      </c>
      <c r="K35" s="7">
        <v>3.48106055642636</v>
      </c>
      <c r="L35" s="7">
        <v>0.5604325061471457</v>
      </c>
      <c r="M35" s="7">
        <v>0.8535560709582063</v>
      </c>
      <c r="N35" s="7">
        <v>0.5520105718035202</v>
      </c>
      <c r="O35" s="7">
        <v>0.2741912836518767</v>
      </c>
      <c r="P35" s="7">
        <v>7.043377909987989</v>
      </c>
      <c r="Q35" s="7">
        <v>0.1480525369529121</v>
      </c>
      <c r="R35" s="7">
        <v>0.2920855184649609</v>
      </c>
      <c r="S35" s="7">
        <v>0.3133954795195559</v>
      </c>
      <c r="T35" s="7">
        <v>1.964445206384557</v>
      </c>
    </row>
    <row x14ac:dyDescent="0.25" r="36" customHeight="1" ht="19.5">
      <c r="A36" s="2" t="s">
        <v>3329</v>
      </c>
      <c r="B36" s="2" t="s">
        <v>3294</v>
      </c>
      <c r="C36" s="2" t="s">
        <v>3295</v>
      </c>
      <c r="D36" s="2" t="s">
        <v>32</v>
      </c>
      <c r="E36" s="6">
        <v>1</v>
      </c>
      <c r="F36" s="6">
        <v>3</v>
      </c>
      <c r="G36" s="7">
        <v>0.9476287961006165</v>
      </c>
      <c r="H36" s="7">
        <v>11.3249296875</v>
      </c>
      <c r="I36" s="7">
        <v>12.97345193579562</v>
      </c>
      <c r="J36" s="7">
        <v>4.096317846048413</v>
      </c>
      <c r="K36" s="7">
        <v>3.474775734037506</v>
      </c>
      <c r="L36" s="7">
        <v>0.5713027621332756</v>
      </c>
      <c r="M36" s="7">
        <v>0.845540245996163</v>
      </c>
      <c r="N36" s="7">
        <v>0.5478982129397598</v>
      </c>
      <c r="O36" s="7">
        <v>0.2695216535906733</v>
      </c>
      <c r="P36" s="7">
        <v>7.086825165967813</v>
      </c>
      <c r="Q36" s="7">
        <v>0.1491086980846441</v>
      </c>
      <c r="R36" s="7">
        <v>0.2922217207777159</v>
      </c>
      <c r="S36" s="7">
        <v>0.3103321878414407</v>
      </c>
      <c r="T36" s="7">
        <v>1.959879059329649</v>
      </c>
    </row>
    <row x14ac:dyDescent="0.25" r="37" customHeight="1" ht="19.5">
      <c r="A37" s="2" t="s">
        <v>3330</v>
      </c>
      <c r="B37" s="2" t="s">
        <v>3294</v>
      </c>
      <c r="C37" s="2" t="s">
        <v>3295</v>
      </c>
      <c r="D37" s="2" t="s">
        <v>32</v>
      </c>
      <c r="E37" s="6">
        <v>1</v>
      </c>
      <c r="F37" s="6">
        <v>3</v>
      </c>
      <c r="G37" s="7">
        <v>0.9475210905075072</v>
      </c>
      <c r="H37" s="7">
        <v>11.4219015625</v>
      </c>
      <c r="I37" s="7">
        <v>12.92469928984178</v>
      </c>
      <c r="J37" s="7">
        <v>4.087353376182321</v>
      </c>
      <c r="K37" s="7">
        <v>3.45126264242433</v>
      </c>
      <c r="L37" s="7">
        <v>0.5819962922922363</v>
      </c>
      <c r="M37" s="7">
        <v>0.8592259443399298</v>
      </c>
      <c r="N37" s="7">
        <v>0.5484178321844471</v>
      </c>
      <c r="O37" s="7">
        <v>0.2644959036229418</v>
      </c>
      <c r="P37" s="7">
        <v>7.089944568936609</v>
      </c>
      <c r="Q37" s="7">
        <v>0.1481522864075097</v>
      </c>
      <c r="R37" s="7">
        <v>0.2896829918779697</v>
      </c>
      <c r="S37" s="7">
        <v>0.3112893638324494</v>
      </c>
      <c r="T37" s="7">
        <v>1.963982217721234</v>
      </c>
    </row>
    <row x14ac:dyDescent="0.25" r="38" customHeight="1" ht="19.5">
      <c r="A38" s="2" t="s">
        <v>3331</v>
      </c>
      <c r="B38" s="2" t="s">
        <v>3294</v>
      </c>
      <c r="C38" s="2" t="s">
        <v>3295</v>
      </c>
      <c r="D38" s="2" t="s">
        <v>32</v>
      </c>
      <c r="E38" s="6">
        <v>1</v>
      </c>
      <c r="F38" s="6">
        <v>3</v>
      </c>
      <c r="G38" s="7">
        <v>0.9399070143699646</v>
      </c>
      <c r="H38" s="7">
        <v>11.30761328125</v>
      </c>
      <c r="I38" s="7">
        <v>12.85575263673228</v>
      </c>
      <c r="J38" s="7">
        <v>4.07220425331057</v>
      </c>
      <c r="K38" s="7">
        <v>3.443842657366693</v>
      </c>
      <c r="L38" s="7">
        <v>0.5785305980365923</v>
      </c>
      <c r="M38" s="7">
        <v>0.8597769474374244</v>
      </c>
      <c r="N38" s="7">
        <v>0.5499192047068691</v>
      </c>
      <c r="O38" s="7">
        <v>0.2709038850652924</v>
      </c>
      <c r="P38" s="7">
        <v>7.03904160160033</v>
      </c>
      <c r="Q38" s="7">
        <v>0.1494083733954383</v>
      </c>
      <c r="R38" s="7">
        <v>0.2912307418573484</v>
      </c>
      <c r="S38" s="7">
        <v>0.3113714742739121</v>
      </c>
      <c r="T38" s="7">
        <v>1.960815200436444</v>
      </c>
    </row>
    <row x14ac:dyDescent="0.25" r="39" customHeight="1" ht="19.5">
      <c r="A39" s="2" t="s">
        <v>3332</v>
      </c>
      <c r="B39" s="2" t="s">
        <v>3294</v>
      </c>
      <c r="C39" s="2" t="s">
        <v>3295</v>
      </c>
      <c r="D39" s="2" t="s">
        <v>32</v>
      </c>
      <c r="E39" s="6">
        <v>1</v>
      </c>
      <c r="F39" s="6">
        <v>3</v>
      </c>
      <c r="G39" s="7">
        <v>0.9467118382453918</v>
      </c>
      <c r="H39" s="7">
        <v>11.35609921875</v>
      </c>
      <c r="I39" s="7">
        <v>12.95917261639653</v>
      </c>
      <c r="J39" s="7">
        <v>4.096477273205817</v>
      </c>
      <c r="K39" s="7">
        <v>3.451648674141963</v>
      </c>
      <c r="L39" s="7">
        <v>0.5800796106815594</v>
      </c>
      <c r="M39" s="7">
        <v>0.849736929204894</v>
      </c>
      <c r="N39" s="7">
        <v>0.5511578833883348</v>
      </c>
      <c r="O39" s="7">
        <v>0.267522059191249</v>
      </c>
      <c r="P39" s="7">
        <v>7.076446086002752</v>
      </c>
      <c r="Q39" s="7">
        <v>0.1483710671846793</v>
      </c>
      <c r="R39" s="7">
        <v>0.2891710899956956</v>
      </c>
      <c r="S39" s="7">
        <v>0.3109220434631636</v>
      </c>
      <c r="T39" s="7">
        <v>1.95555114480327</v>
      </c>
    </row>
    <row x14ac:dyDescent="0.25" r="40" customHeight="1" ht="19.5">
      <c r="A40" s="2" t="s">
        <v>3333</v>
      </c>
      <c r="B40" s="2" t="s">
        <v>3294</v>
      </c>
      <c r="C40" s="2" t="s">
        <v>3295</v>
      </c>
      <c r="D40" s="2" t="s">
        <v>32</v>
      </c>
      <c r="E40" s="6">
        <v>1</v>
      </c>
      <c r="F40" s="6">
        <v>3</v>
      </c>
      <c r="G40" s="7">
        <v>0.9471498727798462</v>
      </c>
      <c r="H40" s="7">
        <v>11.34224609375</v>
      </c>
      <c r="I40" s="7">
        <v>12.92469928984178</v>
      </c>
      <c r="J40" s="7">
        <v>4.086826446208079</v>
      </c>
      <c r="K40" s="7">
        <v>3.420703143273689</v>
      </c>
      <c r="L40" s="7">
        <v>0.5882231598139626</v>
      </c>
      <c r="M40" s="7">
        <v>0.8532337682575106</v>
      </c>
      <c r="N40" s="7">
        <v>0.5451255656627448</v>
      </c>
      <c r="O40" s="7">
        <v>0.2689127237607006</v>
      </c>
      <c r="P40" s="7">
        <v>7.086032381111002</v>
      </c>
      <c r="Q40" s="7">
        <v>0.1486717723885992</v>
      </c>
      <c r="R40" s="7">
        <v>0.2891357842049459</v>
      </c>
      <c r="S40" s="7">
        <v>0.3082566930262615</v>
      </c>
      <c r="T40" s="7">
        <v>1.957124100316026</v>
      </c>
    </row>
    <row x14ac:dyDescent="0.25" r="41" customHeight="1" ht="19.5">
      <c r="A41" s="2" t="s">
        <v>3334</v>
      </c>
      <c r="B41" s="2" t="s">
        <v>3294</v>
      </c>
      <c r="C41" s="2" t="s">
        <v>3295</v>
      </c>
      <c r="D41" s="2" t="s">
        <v>32</v>
      </c>
      <c r="E41" s="6">
        <v>1</v>
      </c>
      <c r="F41" s="6">
        <v>3</v>
      </c>
      <c r="G41" s="7">
        <v>0.947807788848877</v>
      </c>
      <c r="H41" s="7">
        <v>11.53618984375</v>
      </c>
      <c r="I41" s="7">
        <v>12.93897860924087</v>
      </c>
      <c r="J41" s="7">
        <v>4.114973944798804</v>
      </c>
      <c r="K41" s="7">
        <v>3.496809202052264</v>
      </c>
      <c r="L41" s="7">
        <v>0.5748490108436911</v>
      </c>
      <c r="M41" s="7">
        <v>0.8659090298915972</v>
      </c>
      <c r="N41" s="7">
        <v>0.5475751025723724</v>
      </c>
      <c r="O41" s="7">
        <v>0.2668652138192703</v>
      </c>
      <c r="P41" s="7">
        <v>7.082131246925719</v>
      </c>
      <c r="Q41" s="7">
        <v>0.1472010597095207</v>
      </c>
      <c r="R41" s="7">
        <v>0.2907173707789617</v>
      </c>
      <c r="S41" s="7">
        <v>0.3089469484168044</v>
      </c>
      <c r="T41" s="7">
        <v>1.970897828187405</v>
      </c>
    </row>
    <row x14ac:dyDescent="0.25" r="42" customHeight="1" ht="19.5">
      <c r="A42" s="2" t="s">
        <v>3335</v>
      </c>
      <c r="B42" s="2" t="s">
        <v>3294</v>
      </c>
      <c r="C42" s="2" t="s">
        <v>3295</v>
      </c>
      <c r="D42" s="2" t="s">
        <v>32</v>
      </c>
      <c r="E42" s="6">
        <v>1</v>
      </c>
      <c r="F42" s="6">
        <v>3</v>
      </c>
      <c r="G42" s="7">
        <v>0.9446969032287598</v>
      </c>
      <c r="H42" s="7">
        <v>11.32146640625</v>
      </c>
      <c r="I42" s="7">
        <v>12.82127931017754</v>
      </c>
      <c r="J42" s="7">
        <v>4.07924912970061</v>
      </c>
      <c r="K42" s="7">
        <v>3.473053589380021</v>
      </c>
      <c r="L42" s="7">
        <v>0.5713949691679613</v>
      </c>
      <c r="M42" s="7">
        <v>0.8654656260605919</v>
      </c>
      <c r="N42" s="7">
        <v>0.5483689222556902</v>
      </c>
      <c r="O42" s="7">
        <v>0.270196683352179</v>
      </c>
      <c r="P42" s="7">
        <v>7.053631700517874</v>
      </c>
      <c r="Q42" s="7">
        <v>0.1490620931462552</v>
      </c>
      <c r="R42" s="7">
        <v>0.2893113937105867</v>
      </c>
      <c r="S42" s="7">
        <v>0.3095709532135655</v>
      </c>
      <c r="T42" s="7">
        <v>1.958667321728196</v>
      </c>
    </row>
    <row x14ac:dyDescent="0.25" r="43" customHeight="1" ht="19.5">
      <c r="A43" s="2" t="s">
        <v>3336</v>
      </c>
      <c r="B43" s="2" t="s">
        <v>3294</v>
      </c>
      <c r="C43" s="2" t="s">
        <v>3295</v>
      </c>
      <c r="D43" s="2" t="s">
        <v>32</v>
      </c>
      <c r="E43" s="6">
        <v>1</v>
      </c>
      <c r="F43" s="6">
        <v>3</v>
      </c>
      <c r="G43" s="7">
        <v>0.9388984441757202</v>
      </c>
      <c r="H43" s="7">
        <v>11.4634609375</v>
      </c>
      <c r="I43" s="7">
        <v>12.98773125519471</v>
      </c>
      <c r="J43" s="7">
        <v>4.11919735548061</v>
      </c>
      <c r="K43" s="7">
        <v>3.503315776804409</v>
      </c>
      <c r="L43" s="7">
        <v>0.5735299331499346</v>
      </c>
      <c r="M43" s="7">
        <v>0.8540022843548801</v>
      </c>
      <c r="N43" s="7">
        <v>0.5509595323303805</v>
      </c>
      <c r="O43" s="7">
        <v>0.2706825888011894</v>
      </c>
      <c r="P43" s="7">
        <v>7.060838241795701</v>
      </c>
      <c r="Q43" s="7">
        <v>0.147251329663804</v>
      </c>
      <c r="R43" s="7">
        <v>0.2893234294070084</v>
      </c>
      <c r="S43" s="7">
        <v>0.311191218559211</v>
      </c>
      <c r="T43" s="7">
        <v>1.959141303014472</v>
      </c>
    </row>
    <row x14ac:dyDescent="0.25" r="44" customHeight="1" ht="19.5">
      <c r="A44" s="2" t="s">
        <v>3337</v>
      </c>
      <c r="B44" s="2" t="s">
        <v>3294</v>
      </c>
      <c r="C44" s="2" t="s">
        <v>3295</v>
      </c>
      <c r="D44" s="2" t="s">
        <v>32</v>
      </c>
      <c r="E44" s="6">
        <v>1</v>
      </c>
      <c r="F44" s="6">
        <v>3</v>
      </c>
      <c r="G44" s="7">
        <v>0.9453631639480592</v>
      </c>
      <c r="H44" s="7">
        <v>11.41151171875</v>
      </c>
      <c r="I44" s="7">
        <v>12.91041997044269</v>
      </c>
      <c r="J44" s="7">
        <v>4.104042290912698</v>
      </c>
      <c r="K44" s="7">
        <v>3.422839919578646</v>
      </c>
      <c r="L44" s="7">
        <v>0.5833788053658547</v>
      </c>
      <c r="M44" s="7">
        <v>0.860344337726444</v>
      </c>
      <c r="N44" s="7">
        <v>0.5510163086905419</v>
      </c>
      <c r="O44" s="7">
        <v>0.2651424225057731</v>
      </c>
      <c r="P44" s="7">
        <v>7.083779632209052</v>
      </c>
      <c r="Q44" s="7">
        <v>0.1474026906187248</v>
      </c>
      <c r="R44" s="7">
        <v>0.2906435289968325</v>
      </c>
      <c r="S44" s="7">
        <v>0.3092282297971372</v>
      </c>
      <c r="T44" s="7">
        <v>1.952267711913426</v>
      </c>
    </row>
    <row x14ac:dyDescent="0.25" r="45" customHeight="1" ht="19.5">
      <c r="A45" s="2" t="s">
        <v>3338</v>
      </c>
      <c r="B45" s="2" t="s">
        <v>3294</v>
      </c>
      <c r="C45" s="2" t="s">
        <v>3295</v>
      </c>
      <c r="D45" s="2" t="s">
        <v>32</v>
      </c>
      <c r="E45" s="6">
        <v>1</v>
      </c>
      <c r="F45" s="6">
        <v>3</v>
      </c>
      <c r="G45" s="7">
        <v>0.9466704726219176</v>
      </c>
      <c r="H45" s="7">
        <v>11.2833703125</v>
      </c>
      <c r="I45" s="7">
        <v>12.90450528268613</v>
      </c>
      <c r="J45" s="7">
        <v>4.053679876810395</v>
      </c>
      <c r="K45" s="7">
        <v>3.445312373148256</v>
      </c>
      <c r="L45" s="7">
        <v>0.5746515103345029</v>
      </c>
      <c r="M45" s="7">
        <v>0.8514634030012957</v>
      </c>
      <c r="N45" s="7">
        <v>0.5521472514457425</v>
      </c>
      <c r="O45" s="7">
        <v>0.2724047945776018</v>
      </c>
      <c r="P45" s="7">
        <v>7.021301572546416</v>
      </c>
      <c r="Q45" s="7">
        <v>0.1478282224518079</v>
      </c>
      <c r="R45" s="7">
        <v>0.2878000680124743</v>
      </c>
      <c r="S45" s="7">
        <v>0.3091133658967698</v>
      </c>
      <c r="T45" s="7">
        <v>1.935918082944133</v>
      </c>
    </row>
    <row x14ac:dyDescent="0.25" r="46" customHeight="1" ht="19.5">
      <c r="A46" s="2" t="s">
        <v>3339</v>
      </c>
      <c r="B46" s="2" t="s">
        <v>3294</v>
      </c>
      <c r="C46" s="2" t="s">
        <v>3295</v>
      </c>
      <c r="D46" s="2" t="s">
        <v>32</v>
      </c>
      <c r="E46" s="6">
        <v>1</v>
      </c>
      <c r="F46" s="6">
        <v>3</v>
      </c>
      <c r="G46" s="7">
        <v>0.9387933611869812</v>
      </c>
      <c r="H46" s="7">
        <v>11.414975</v>
      </c>
      <c r="I46" s="7">
        <v>13.00792526235037</v>
      </c>
      <c r="J46" s="7">
        <v>4.076664830193034</v>
      </c>
      <c r="K46" s="7">
        <v>3.447374211701407</v>
      </c>
      <c r="L46" s="7">
        <v>0.5737825418242224</v>
      </c>
      <c r="M46" s="7">
        <v>0.8477518822401687</v>
      </c>
      <c r="N46" s="7">
        <v>0.5499809567786422</v>
      </c>
      <c r="O46" s="7">
        <v>0.2747488163395954</v>
      </c>
      <c r="P46" s="7">
        <v>7.036637639996229</v>
      </c>
      <c r="Q46" s="7">
        <v>0.1481483749735478</v>
      </c>
      <c r="R46" s="7">
        <v>0.2893340324870211</v>
      </c>
      <c r="S46" s="7">
        <v>0.3110301986311564</v>
      </c>
      <c r="T46" s="7">
        <v>1.962739383123695</v>
      </c>
    </row>
    <row x14ac:dyDescent="0.25" r="47" customHeight="1" ht="19.5">
      <c r="A47" s="2" t="s">
        <v>3340</v>
      </c>
      <c r="B47" s="2" t="s">
        <v>3294</v>
      </c>
      <c r="C47" s="2" t="s">
        <v>3295</v>
      </c>
      <c r="D47" s="2" t="s">
        <v>32</v>
      </c>
      <c r="E47" s="6">
        <v>1</v>
      </c>
      <c r="F47" s="6">
        <v>3</v>
      </c>
      <c r="G47" s="7">
        <v>0.9459861516952516</v>
      </c>
      <c r="H47" s="7">
        <v>11.27644375</v>
      </c>
      <c r="I47" s="7">
        <v>12.85575263673229</v>
      </c>
      <c r="J47" s="7">
        <v>4.064101078418483</v>
      </c>
      <c r="K47" s="7">
        <v>3.445015499801717</v>
      </c>
      <c r="L47" s="7">
        <v>0.566980881019486</v>
      </c>
      <c r="M47" s="7">
        <v>0.8574069650402001</v>
      </c>
      <c r="N47" s="7">
        <v>0.5499606904264508</v>
      </c>
      <c r="O47" s="7">
        <v>0.2722994909219215</v>
      </c>
      <c r="P47" s="7">
        <v>7.044379177447944</v>
      </c>
      <c r="Q47" s="7">
        <v>0.1485272776132701</v>
      </c>
      <c r="R47" s="7">
        <v>0.2894980394034863</v>
      </c>
      <c r="S47" s="7">
        <v>0.3081874584554017</v>
      </c>
      <c r="T47" s="7">
        <v>1.943878690000795</v>
      </c>
    </row>
    <row x14ac:dyDescent="0.25" r="48" customHeight="1" ht="19.5">
      <c r="A48" s="2" t="s">
        <v>3341</v>
      </c>
      <c r="B48" s="2" t="s">
        <v>3294</v>
      </c>
      <c r="C48" s="2" t="s">
        <v>3295</v>
      </c>
      <c r="D48" s="2" t="s">
        <v>32</v>
      </c>
      <c r="E48" s="6">
        <v>1</v>
      </c>
      <c r="F48" s="6">
        <v>3</v>
      </c>
      <c r="G48" s="7">
        <v>0.9370854496955872</v>
      </c>
      <c r="H48" s="7">
        <v>11.88251796875</v>
      </c>
      <c r="I48" s="7">
        <v>13.32654983298562</v>
      </c>
      <c r="J48" s="7">
        <v>4.118110252332039</v>
      </c>
      <c r="K48" s="7">
        <v>3.495913622540026</v>
      </c>
      <c r="L48" s="7">
        <v>0.5849724685635969</v>
      </c>
      <c r="M48" s="7">
        <v>0.8407809991302293</v>
      </c>
      <c r="N48" s="7">
        <v>0.5506983820902587</v>
      </c>
      <c r="O48" s="7">
        <v>0.268419331880943</v>
      </c>
      <c r="P48" s="7">
        <v>6.937882154687323</v>
      </c>
      <c r="Q48" s="7">
        <v>0.1303743590888874</v>
      </c>
      <c r="R48" s="7">
        <v>0.258265512745818</v>
      </c>
      <c r="S48" s="7">
        <v>0.2780633229865661</v>
      </c>
      <c r="T48" s="7">
        <v>1.798007281758214</v>
      </c>
    </row>
    <row x14ac:dyDescent="0.25" r="49" customHeight="1" ht="19.5">
      <c r="A49" s="2" t="s">
        <v>3342</v>
      </c>
      <c r="B49" s="2" t="s">
        <v>3294</v>
      </c>
      <c r="C49" s="2" t="s">
        <v>3295</v>
      </c>
      <c r="D49" s="2" t="s">
        <v>32</v>
      </c>
      <c r="E49" s="6">
        <v>1</v>
      </c>
      <c r="F49" s="6">
        <v>3</v>
      </c>
      <c r="G49" s="7">
        <v>0.8276380300521851</v>
      </c>
      <c r="H49" s="7">
        <v>16.8661796875</v>
      </c>
      <c r="I49" s="7">
        <v>16.80632621504581</v>
      </c>
      <c r="J49" s="7">
        <v>5.037628589044743</v>
      </c>
      <c r="K49" s="7">
        <v>4.959188090260241</v>
      </c>
      <c r="L49" s="7">
        <v>0.4925065138812214</v>
      </c>
      <c r="M49" s="7">
        <v>0.7503795828619675</v>
      </c>
      <c r="N49" s="7">
        <v>0.6001817563945847</v>
      </c>
      <c r="O49" s="7">
        <v>0.2146574492862185</v>
      </c>
      <c r="P49" s="7">
        <v>6.155218105065877</v>
      </c>
      <c r="Q49" s="7">
        <v>0.0354162734354608</v>
      </c>
      <c r="R49" s="7">
        <v>0.0779852845590896</v>
      </c>
      <c r="S49" s="7">
        <v>0.0969333565490292</v>
      </c>
      <c r="T49" s="7">
        <v>0.6932827029953194</v>
      </c>
    </row>
    <row x14ac:dyDescent="0.25" r="50" customHeight="1" ht="19.5">
      <c r="A50" s="2" t="s">
        <v>3343</v>
      </c>
      <c r="B50" s="2" t="s">
        <v>3294</v>
      </c>
      <c r="C50" s="2" t="s">
        <v>3295</v>
      </c>
      <c r="D50" s="2" t="s">
        <v>32</v>
      </c>
      <c r="E50" s="6">
        <v>1</v>
      </c>
      <c r="F50" s="6">
        <v>3</v>
      </c>
      <c r="G50" s="7">
        <v>0.6814827919006348</v>
      </c>
      <c r="H50" s="7">
        <v>13.631475</v>
      </c>
      <c r="I50" s="7">
        <v>14.64490087370853</v>
      </c>
      <c r="J50" s="7">
        <v>5.084993728942468</v>
      </c>
      <c r="K50" s="7">
        <v>3.612290477950327</v>
      </c>
      <c r="L50" s="7">
        <v>0.7360137170085203</v>
      </c>
      <c r="M50" s="7">
        <v>0.7986929345358749</v>
      </c>
      <c r="N50" s="7">
        <v>0.5907269184535155</v>
      </c>
      <c r="O50" s="7">
        <v>0.2203239652234479</v>
      </c>
      <c r="P50" s="7">
        <v>6.844306241316348</v>
      </c>
      <c r="Q50" s="7">
        <v>0.0278702999703062</v>
      </c>
      <c r="R50" s="7">
        <v>0.0650120764408168</v>
      </c>
      <c r="S50" s="7">
        <v>0.0768373349193267</v>
      </c>
      <c r="T50" s="7">
        <v>0.4409357121962259</v>
      </c>
    </row>
    <row x14ac:dyDescent="0.25" r="51" customHeight="1" ht="19.5">
      <c r="A51" s="2" t="s">
        <v>3344</v>
      </c>
      <c r="B51" s="2" t="s">
        <v>3294</v>
      </c>
      <c r="C51" s="2" t="s">
        <v>3295</v>
      </c>
      <c r="D51" s="2" t="s">
        <v>32</v>
      </c>
      <c r="E51" s="6">
        <v>1</v>
      </c>
      <c r="F51" s="6">
        <v>3</v>
      </c>
      <c r="G51" s="7">
        <v>0.8961082100868225</v>
      </c>
      <c r="H51" s="7">
        <v>12.13880078125</v>
      </c>
      <c r="I51" s="7">
        <v>13.93279039157197</v>
      </c>
      <c r="J51" s="7">
        <v>4.935725472556078</v>
      </c>
      <c r="K51" s="7">
        <v>3.29356767008996</v>
      </c>
      <c r="L51" s="7">
        <v>0.7291240600238242</v>
      </c>
      <c r="M51" s="7">
        <v>0.7857953254173219</v>
      </c>
      <c r="N51" s="7">
        <v>0.599203073592951</v>
      </c>
      <c r="O51" s="7">
        <v>0.2673324076965911</v>
      </c>
      <c r="P51" s="7">
        <v>6.661978307638936</v>
      </c>
      <c r="Q51" s="7">
        <v>0.058013554144074</v>
      </c>
      <c r="R51" s="7">
        <v>0.1233242261004956</v>
      </c>
      <c r="S51" s="7">
        <v>0.139178477542708</v>
      </c>
      <c r="T51" s="7">
        <v>0.8173273595857836</v>
      </c>
    </row>
    <row x14ac:dyDescent="0.25" r="52" customHeight="1" ht="19.5">
      <c r="A52" s="2" t="s">
        <v>3345</v>
      </c>
      <c r="B52" s="2" t="s">
        <v>3294</v>
      </c>
      <c r="C52" s="2" t="s">
        <v>3295</v>
      </c>
      <c r="D52" s="2" t="s">
        <v>32</v>
      </c>
      <c r="E52" s="6">
        <v>1</v>
      </c>
      <c r="F52" s="6">
        <v>3</v>
      </c>
      <c r="G52" s="7">
        <v>0.9268816709518432</v>
      </c>
      <c r="H52" s="7">
        <v>10.79504765625</v>
      </c>
      <c r="I52" s="7">
        <v>13.04831327666168</v>
      </c>
      <c r="J52" s="7">
        <v>4.185181205472778</v>
      </c>
      <c r="K52" s="7">
        <v>3.313281857164479</v>
      </c>
      <c r="L52" s="7">
        <v>0.6762154246705449</v>
      </c>
      <c r="M52" s="7">
        <v>0.796756614726773</v>
      </c>
      <c r="N52" s="7">
        <v>0.5957551034334547</v>
      </c>
      <c r="O52" s="7">
        <v>0.301679906726104</v>
      </c>
      <c r="P52" s="7">
        <v>6.551791976912176</v>
      </c>
      <c r="Q52" s="7">
        <v>0.1081045122535333</v>
      </c>
      <c r="R52" s="7">
        <v>0.2024541642258679</v>
      </c>
      <c r="S52" s="7">
        <v>0.2150290971498215</v>
      </c>
      <c r="T52" s="7">
        <v>1.354438111835834</v>
      </c>
    </row>
    <row x14ac:dyDescent="0.25" r="53" customHeight="1" ht="19.5">
      <c r="A53" s="2" t="s">
        <v>3346</v>
      </c>
      <c r="B53" s="2" t="s">
        <v>3294</v>
      </c>
      <c r="C53" s="2" t="s">
        <v>3295</v>
      </c>
      <c r="D53" s="2" t="s">
        <v>32</v>
      </c>
      <c r="E53" s="6">
        <v>1</v>
      </c>
      <c r="F53" s="6">
        <v>3</v>
      </c>
      <c r="G53" s="7">
        <v>0.9300279021263124</v>
      </c>
      <c r="H53" s="7">
        <v>10.84353359375</v>
      </c>
      <c r="I53" s="7">
        <v>13.03403395726258</v>
      </c>
      <c r="J53" s="7">
        <v>4.174958073319701</v>
      </c>
      <c r="K53" s="7">
        <v>3.312584561793821</v>
      </c>
      <c r="L53" s="7">
        <v>0.6665391075154772</v>
      </c>
      <c r="M53" s="7">
        <v>0.802089806475867</v>
      </c>
      <c r="N53" s="7">
        <v>0.5784854904785445</v>
      </c>
      <c r="O53" s="7">
        <v>0.2888930317130495</v>
      </c>
      <c r="P53" s="7">
        <v>6.738275369036883</v>
      </c>
      <c r="Q53" s="7">
        <v>0.1198877648481195</v>
      </c>
      <c r="R53" s="7">
        <v>0.2229834574139388</v>
      </c>
      <c r="S53" s="7">
        <v>0.2354567688486123</v>
      </c>
      <c r="T53" s="7">
        <v>1.508816666779311</v>
      </c>
    </row>
    <row x14ac:dyDescent="0.25" r="54" customHeight="1" ht="19.5">
      <c r="A54" s="2" t="s">
        <v>3347</v>
      </c>
      <c r="B54" s="2" t="s">
        <v>3294</v>
      </c>
      <c r="C54" s="2" t="s">
        <v>3295</v>
      </c>
      <c r="D54" s="2" t="s">
        <v>32</v>
      </c>
      <c r="E54" s="6">
        <v>1</v>
      </c>
      <c r="F54" s="6">
        <v>3</v>
      </c>
      <c r="G54" s="7">
        <v>0.9295024275779724</v>
      </c>
      <c r="H54" s="7">
        <v>10.736171875</v>
      </c>
      <c r="I54" s="7">
        <v>13.01975463786349</v>
      </c>
      <c r="J54" s="7">
        <v>4.141170537534103</v>
      </c>
      <c r="K54" s="7">
        <v>3.282908803624554</v>
      </c>
      <c r="L54" s="7">
        <v>0.6666690208119795</v>
      </c>
      <c r="M54" s="7">
        <v>0.7958912310550978</v>
      </c>
      <c r="N54" s="7">
        <v>0.5754080176937153</v>
      </c>
      <c r="O54" s="7">
        <v>0.286217449188741</v>
      </c>
      <c r="P54" s="7">
        <v>6.757694299569005</v>
      </c>
      <c r="Q54" s="7">
        <v>0.1218389119299493</v>
      </c>
      <c r="R54" s="7">
        <v>0.2240372954931027</v>
      </c>
      <c r="S54" s="7">
        <v>0.2347504077615603</v>
      </c>
      <c r="T54" s="7">
        <v>1.518190422922371</v>
      </c>
    </row>
    <row x14ac:dyDescent="0.25" r="55" customHeight="1" ht="19.5">
      <c r="A55" s="2" t="s">
        <v>3348</v>
      </c>
      <c r="B55" s="2" t="s">
        <v>3294</v>
      </c>
      <c r="C55" s="2" t="s">
        <v>3295</v>
      </c>
      <c r="D55" s="2" t="s">
        <v>32</v>
      </c>
      <c r="E55" s="6">
        <v>1</v>
      </c>
      <c r="F55" s="6">
        <v>3</v>
      </c>
      <c r="G55" s="7">
        <v>0.9289072155952454</v>
      </c>
      <c r="H55" s="7">
        <v>10.8054375</v>
      </c>
      <c r="I55" s="7">
        <v>13.03403395726258</v>
      </c>
      <c r="J55" s="7">
        <v>4.204339483601782</v>
      </c>
      <c r="K55" s="7">
        <v>3.287283201066283</v>
      </c>
      <c r="L55" s="7">
        <v>0.6776610878048654</v>
      </c>
      <c r="M55" s="7">
        <v>0.7992718608127453</v>
      </c>
      <c r="N55" s="7">
        <v>0.5796500536894338</v>
      </c>
      <c r="O55" s="7">
        <v>0.2916049838287456</v>
      </c>
      <c r="P55" s="7">
        <v>6.722310142346742</v>
      </c>
      <c r="Q55" s="7">
        <v>0.1198300697791698</v>
      </c>
      <c r="R55" s="7">
        <v>0.2231466160831067</v>
      </c>
      <c r="S55" s="7">
        <v>0.2372806427306067</v>
      </c>
      <c r="T55" s="7">
        <v>1.502792254285486</v>
      </c>
    </row>
    <row x14ac:dyDescent="0.25" r="56" customHeight="1" ht="19.5">
      <c r="A56" s="2" t="s">
        <v>3349</v>
      </c>
      <c r="B56" s="2" t="s">
        <v>3294</v>
      </c>
      <c r="C56" s="2" t="s">
        <v>3295</v>
      </c>
      <c r="D56" s="2" t="s">
        <v>32</v>
      </c>
      <c r="E56" s="6">
        <v>1</v>
      </c>
      <c r="F56" s="6">
        <v>3</v>
      </c>
      <c r="G56" s="7">
        <v>0.9293444752693176</v>
      </c>
      <c r="H56" s="7">
        <v>10.77773125</v>
      </c>
      <c r="I56" s="7">
        <v>13.01383995010693</v>
      </c>
      <c r="J56" s="7">
        <v>4.177035901683277</v>
      </c>
      <c r="K56" s="7">
        <v>3.297058546368727</v>
      </c>
      <c r="L56" s="7">
        <v>0.6699384609982943</v>
      </c>
      <c r="M56" s="7">
        <v>0.7996985184280835</v>
      </c>
      <c r="N56" s="7">
        <v>0.5930428592099011</v>
      </c>
      <c r="O56" s="7">
        <v>0.3025756711664574</v>
      </c>
      <c r="P56" s="7">
        <v>6.621398877827849</v>
      </c>
      <c r="Q56" s="7">
        <v>0.1197475356024003</v>
      </c>
      <c r="R56" s="7">
        <v>0.2221105913634694</v>
      </c>
      <c r="S56" s="7">
        <v>0.2343381122412556</v>
      </c>
      <c r="T56" s="7">
        <v>1.49790653140407</v>
      </c>
    </row>
    <row x14ac:dyDescent="0.25" r="57" customHeight="1" ht="19.5">
      <c r="A57" s="2" t="s">
        <v>3350</v>
      </c>
      <c r="B57" s="2" t="s">
        <v>3294</v>
      </c>
      <c r="C57" s="2" t="s">
        <v>3295</v>
      </c>
      <c r="D57" s="2" t="s">
        <v>32</v>
      </c>
      <c r="E57" s="6">
        <v>1</v>
      </c>
      <c r="F57" s="6">
        <v>3</v>
      </c>
      <c r="G57" s="7">
        <v>0.9286515712738036</v>
      </c>
      <c r="H57" s="7">
        <v>10.8123640625</v>
      </c>
      <c r="I57" s="7">
        <v>13.15173325632591</v>
      </c>
      <c r="J57" s="7">
        <v>4.152405733261979</v>
      </c>
      <c r="K57" s="7">
        <v>3.254112359127912</v>
      </c>
      <c r="L57" s="7">
        <v>0.6712263949513879</v>
      </c>
      <c r="M57" s="7">
        <v>0.78553319214112</v>
      </c>
      <c r="N57" s="7">
        <v>0.5855775020263814</v>
      </c>
      <c r="O57" s="7">
        <v>0.3006047777443715</v>
      </c>
      <c r="P57" s="7">
        <v>6.657585370566535</v>
      </c>
      <c r="Q57" s="7">
        <v>0.1202643440964099</v>
      </c>
      <c r="R57" s="7">
        <v>0.2225797534234333</v>
      </c>
      <c r="S57" s="7">
        <v>0.2341826505203043</v>
      </c>
      <c r="T57" s="7">
        <v>1.509205320187413</v>
      </c>
    </row>
    <row x14ac:dyDescent="0.25" r="58" customHeight="1" ht="19.5">
      <c r="A58" s="2" t="s">
        <v>3351</v>
      </c>
      <c r="B58" s="2" t="s">
        <v>3294</v>
      </c>
      <c r="C58" s="2" t="s">
        <v>3295</v>
      </c>
      <c r="D58" s="2" t="s">
        <v>32</v>
      </c>
      <c r="E58" s="6">
        <v>1</v>
      </c>
      <c r="F58" s="6">
        <v>3</v>
      </c>
      <c r="G58" s="7">
        <v>0.9283798336982728</v>
      </c>
      <c r="H58" s="7">
        <v>10.7569515625</v>
      </c>
      <c r="I58" s="7">
        <v>13.01383995010693</v>
      </c>
      <c r="J58" s="7">
        <v>4.176518812402803</v>
      </c>
      <c r="K58" s="7">
        <v>3.298845644048144</v>
      </c>
      <c r="L58" s="7">
        <v>0.6718229650982543</v>
      </c>
      <c r="M58" s="7">
        <v>0.7981566832383123</v>
      </c>
      <c r="N58" s="7">
        <v>0.5853040478862552</v>
      </c>
      <c r="O58" s="7">
        <v>0.3035742885038022</v>
      </c>
      <c r="P58" s="7">
        <v>6.643632384364611</v>
      </c>
      <c r="Q58" s="7">
        <v>0.1199814384875492</v>
      </c>
      <c r="R58" s="7">
        <v>0.2210803089138805</v>
      </c>
      <c r="S58" s="7">
        <v>0.2324853742874511</v>
      </c>
      <c r="T58" s="7">
        <v>1.497938756812036</v>
      </c>
    </row>
    <row x14ac:dyDescent="0.25" r="59" customHeight="1" ht="19.5">
      <c r="A59" s="2" t="s">
        <v>3352</v>
      </c>
      <c r="B59" s="2" t="s">
        <v>3294</v>
      </c>
      <c r="C59" s="2" t="s">
        <v>3295</v>
      </c>
      <c r="D59" s="2" t="s">
        <v>32</v>
      </c>
      <c r="E59" s="6">
        <v>1</v>
      </c>
      <c r="F59" s="6">
        <v>3</v>
      </c>
      <c r="G59" s="7">
        <v>0.9281575083732604</v>
      </c>
      <c r="H59" s="7">
        <v>10.89201953125</v>
      </c>
      <c r="I59" s="7">
        <v>13.11725992977117</v>
      </c>
      <c r="J59" s="7">
        <v>4.188449889690034</v>
      </c>
      <c r="K59" s="7">
        <v>3.262832004340662</v>
      </c>
      <c r="L59" s="7">
        <v>0.6749229402200806</v>
      </c>
      <c r="M59" s="7">
        <v>0.7954850577714246</v>
      </c>
      <c r="N59" s="7">
        <v>0.5810316620722205</v>
      </c>
      <c r="O59" s="7">
        <v>0.2970562886520621</v>
      </c>
      <c r="P59" s="7">
        <v>6.692423113122186</v>
      </c>
      <c r="Q59" s="7">
        <v>0.1185254269434536</v>
      </c>
      <c r="R59" s="7">
        <v>0.2199320639578182</v>
      </c>
      <c r="S59" s="7">
        <v>0.2310383775158756</v>
      </c>
      <c r="T59" s="7">
        <v>1.498341194358609</v>
      </c>
    </row>
    <row x14ac:dyDescent="0.25" r="60" customHeight="1" ht="19.5">
      <c r="A60" s="2" t="s">
        <v>3353</v>
      </c>
      <c r="B60" s="2" t="s">
        <v>3294</v>
      </c>
      <c r="C60" s="2" t="s">
        <v>3295</v>
      </c>
      <c r="D60" s="2" t="s">
        <v>32</v>
      </c>
      <c r="E60" s="6">
        <v>1</v>
      </c>
      <c r="F60" s="6">
        <v>3</v>
      </c>
      <c r="G60" s="7">
        <v>0.9287380576133728</v>
      </c>
      <c r="H60" s="7">
        <v>10.77773125</v>
      </c>
      <c r="I60" s="7">
        <v>13.01383995010693</v>
      </c>
      <c r="J60" s="7">
        <v>4.175019563292404</v>
      </c>
      <c r="K60" s="7">
        <v>3.283886420903634</v>
      </c>
      <c r="L60" s="7">
        <v>0.6731052357018708</v>
      </c>
      <c r="M60" s="7">
        <v>0.7996985184280835</v>
      </c>
      <c r="N60" s="7">
        <v>0.5840871317855456</v>
      </c>
      <c r="O60" s="7">
        <v>0.3020158138278311</v>
      </c>
      <c r="P60" s="7">
        <v>6.658198909628569</v>
      </c>
      <c r="Q60" s="7">
        <v>0.1191892940220671</v>
      </c>
      <c r="R60" s="7">
        <v>0.2204706811421653</v>
      </c>
      <c r="S60" s="7">
        <v>0.2343283864178197</v>
      </c>
      <c r="T60" s="7">
        <v>1.49092355922785</v>
      </c>
    </row>
    <row x14ac:dyDescent="0.25" r="61" customHeight="1" ht="19.5">
      <c r="A61" s="2" t="s">
        <v>3354</v>
      </c>
      <c r="B61" s="2" t="s">
        <v>3294</v>
      </c>
      <c r="C61" s="2" t="s">
        <v>3295</v>
      </c>
      <c r="D61" s="2" t="s">
        <v>32</v>
      </c>
      <c r="E61" s="6">
        <v>1</v>
      </c>
      <c r="F61" s="6">
        <v>3</v>
      </c>
      <c r="G61" s="7">
        <v>0.92899888753891</v>
      </c>
      <c r="H61" s="7">
        <v>10.9162625</v>
      </c>
      <c r="I61" s="7">
        <v>13.21476522167885</v>
      </c>
      <c r="J61" s="7">
        <v>4.138776676227481</v>
      </c>
      <c r="K61" s="7">
        <v>3.307998528293663</v>
      </c>
      <c r="L61" s="7">
        <v>0.6656829589014507</v>
      </c>
      <c r="M61" s="7">
        <v>0.78553389849804</v>
      </c>
      <c r="N61" s="7">
        <v>0.5869601711744826</v>
      </c>
      <c r="O61" s="7">
        <v>0.3047071434145322</v>
      </c>
      <c r="P61" s="7">
        <v>6.645782105282104</v>
      </c>
      <c r="Q61" s="7">
        <v>0.1179954695880508</v>
      </c>
      <c r="R61" s="7">
        <v>0.2204647466083903</v>
      </c>
      <c r="S61" s="7">
        <v>0.2338524034805471</v>
      </c>
      <c r="T61" s="7">
        <v>1.49496175875118</v>
      </c>
    </row>
    <row x14ac:dyDescent="0.25" r="62" customHeight="1" ht="19.5">
      <c r="A62" s="2" t="s">
        <v>3355</v>
      </c>
      <c r="B62" s="2" t="s">
        <v>3294</v>
      </c>
      <c r="C62" s="2" t="s">
        <v>3295</v>
      </c>
      <c r="D62" s="2" t="s">
        <v>32</v>
      </c>
      <c r="E62" s="6">
        <v>1</v>
      </c>
      <c r="F62" s="6">
        <v>3</v>
      </c>
      <c r="G62" s="7">
        <v>0.9294815063476562</v>
      </c>
      <c r="H62" s="7">
        <v>10.73963515625</v>
      </c>
      <c r="I62" s="7">
        <v>13.08278660321642</v>
      </c>
      <c r="J62" s="7">
        <v>4.164025095486949</v>
      </c>
      <c r="K62" s="7">
        <v>3.344934102283869</v>
      </c>
      <c r="L62" s="7">
        <v>0.6659135474817227</v>
      </c>
      <c r="M62" s="7">
        <v>0.7884948784742494</v>
      </c>
      <c r="N62" s="7">
        <v>0.5901572739438887</v>
      </c>
      <c r="O62" s="7">
        <v>0.3048349994974592</v>
      </c>
      <c r="P62" s="7">
        <v>6.634239519571857</v>
      </c>
      <c r="Q62" s="7">
        <v>0.1197201221277416</v>
      </c>
      <c r="R62" s="7">
        <v>0.2214375422124473</v>
      </c>
      <c r="S62" s="7">
        <v>0.2333917380460972</v>
      </c>
      <c r="T62" s="7">
        <v>1.492270175101652</v>
      </c>
    </row>
    <row x14ac:dyDescent="0.25" r="63" customHeight="1" ht="19.5">
      <c r="A63" s="2" t="s">
        <v>3356</v>
      </c>
      <c r="B63" s="2" t="s">
        <v>3294</v>
      </c>
      <c r="C63" s="2" t="s">
        <v>3295</v>
      </c>
      <c r="D63" s="2" t="s">
        <v>32</v>
      </c>
      <c r="E63" s="6">
        <v>1</v>
      </c>
      <c r="F63" s="6">
        <v>3</v>
      </c>
      <c r="G63" s="7">
        <v>0.929157018661499</v>
      </c>
      <c r="H63" s="7">
        <v>10.80890078125</v>
      </c>
      <c r="I63" s="7">
        <v>13.04831327666167</v>
      </c>
      <c r="J63" s="7">
        <v>4.147657203972642</v>
      </c>
      <c r="K63" s="7">
        <v>3.296116779304242</v>
      </c>
      <c r="L63" s="7">
        <v>0.6698445612290406</v>
      </c>
      <c r="M63" s="7">
        <v>0.7977790807065316</v>
      </c>
      <c r="N63" s="7">
        <v>0.579538999748763</v>
      </c>
      <c r="O63" s="7">
        <v>0.3000095620124361</v>
      </c>
      <c r="P63" s="7">
        <v>6.679585661096535</v>
      </c>
      <c r="Q63" s="7">
        <v>0.1185856653042761</v>
      </c>
      <c r="R63" s="7">
        <v>0.2189164824278507</v>
      </c>
      <c r="S63" s="7">
        <v>0.2304635767099386</v>
      </c>
      <c r="T63" s="7">
        <v>1.487662805210735</v>
      </c>
    </row>
    <row x14ac:dyDescent="0.25" r="64" customHeight="1" ht="19.5">
      <c r="A64" s="2" t="s">
        <v>3357</v>
      </c>
      <c r="B64" s="2" t="s">
        <v>3294</v>
      </c>
      <c r="C64" s="2" t="s">
        <v>3295</v>
      </c>
      <c r="D64" s="2" t="s">
        <v>32</v>
      </c>
      <c r="E64" s="6">
        <v>1</v>
      </c>
      <c r="F64" s="6">
        <v>3</v>
      </c>
      <c r="G64" s="7">
        <v>0.9295787811279296</v>
      </c>
      <c r="H64" s="7">
        <v>10.70500234375</v>
      </c>
      <c r="I64" s="7">
        <v>13.01383995010693</v>
      </c>
      <c r="J64" s="7">
        <v>4.176018108652322</v>
      </c>
      <c r="K64" s="7">
        <v>3.267081192230412</v>
      </c>
      <c r="L64" s="7">
        <v>0.6689548565005894</v>
      </c>
      <c r="M64" s="7">
        <v>0.7943020952638837</v>
      </c>
      <c r="N64" s="7">
        <v>0.5885002562486645</v>
      </c>
      <c r="O64" s="7">
        <v>0.3066277852212802</v>
      </c>
      <c r="P64" s="7">
        <v>6.621438877795042</v>
      </c>
      <c r="Q64" s="7">
        <v>0.1195075200049991</v>
      </c>
      <c r="R64" s="7">
        <v>0.2193812397484234</v>
      </c>
      <c r="S64" s="7">
        <v>0.2308328135459628</v>
      </c>
      <c r="T64" s="7">
        <v>1.484816485953796</v>
      </c>
    </row>
    <row x14ac:dyDescent="0.25" r="65" customHeight="1" ht="19.5">
      <c r="A65" s="2" t="s">
        <v>3358</v>
      </c>
      <c r="B65" s="2" t="s">
        <v>3294</v>
      </c>
      <c r="C65" s="2" t="s">
        <v>3295</v>
      </c>
      <c r="D65" s="2" t="s">
        <v>32</v>
      </c>
      <c r="E65" s="6">
        <v>1</v>
      </c>
      <c r="F65" s="6">
        <v>3</v>
      </c>
      <c r="G65" s="7">
        <v>0.9289343357086182</v>
      </c>
      <c r="H65" s="7">
        <v>10.87816640625</v>
      </c>
      <c r="I65" s="7">
        <v>13.04831327666168</v>
      </c>
      <c r="J65" s="7">
        <v>4.176078033155365</v>
      </c>
      <c r="K65" s="7">
        <v>3.290443062047096</v>
      </c>
      <c r="L65" s="7">
        <v>0.6746187635104808</v>
      </c>
      <c r="M65" s="7">
        <v>0.8028914106053235</v>
      </c>
      <c r="N65" s="7">
        <v>0.5811010388890867</v>
      </c>
      <c r="O65" s="7">
        <v>0.2963142034565778</v>
      </c>
      <c r="P65" s="7">
        <v>6.69990038535895</v>
      </c>
      <c r="Q65" s="7">
        <v>0.1165968329057366</v>
      </c>
      <c r="R65" s="7">
        <v>0.2169042869883508</v>
      </c>
      <c r="S65" s="7">
        <v>0.230216947509535</v>
      </c>
      <c r="T65" s="7">
        <v>1.472086168155885</v>
      </c>
    </row>
    <row x14ac:dyDescent="0.25" r="66" customHeight="1" ht="19.5">
      <c r="A66" s="2" t="s">
        <v>3359</v>
      </c>
      <c r="B66" s="2" t="s">
        <v>3294</v>
      </c>
      <c r="C66" s="2" t="s">
        <v>3295</v>
      </c>
      <c r="D66" s="2" t="s">
        <v>32</v>
      </c>
      <c r="E66" s="6">
        <v>1</v>
      </c>
      <c r="F66" s="6">
        <v>3</v>
      </c>
      <c r="G66" s="7">
        <v>0.9276600480079652</v>
      </c>
      <c r="H66" s="7">
        <v>10.82275390625</v>
      </c>
      <c r="I66" s="7">
        <v>12.97936662355218</v>
      </c>
      <c r="J66" s="7">
        <v>4.199179090526496</v>
      </c>
      <c r="K66" s="7">
        <v>3.30518440776572</v>
      </c>
      <c r="L66" s="7">
        <v>0.6736883650913016</v>
      </c>
      <c r="M66" s="7">
        <v>0.8073105862528327</v>
      </c>
      <c r="N66" s="7">
        <v>0.5788323320017689</v>
      </c>
      <c r="O66" s="7">
        <v>0.2992796177622731</v>
      </c>
      <c r="P66" s="7">
        <v>6.670234383220434</v>
      </c>
      <c r="Q66" s="7">
        <v>0.1169732269689789</v>
      </c>
      <c r="R66" s="7">
        <v>0.2170451328561</v>
      </c>
      <c r="S66" s="7">
        <v>0.2300209494579764</v>
      </c>
      <c r="T66" s="7">
        <v>1.469315413417154</v>
      </c>
    </row>
    <row x14ac:dyDescent="0.25" r="67" customHeight="1" ht="19.5">
      <c r="A67" s="2" t="s">
        <v>3360</v>
      </c>
      <c r="B67" s="2" t="s">
        <v>3294</v>
      </c>
      <c r="C67" s="2" t="s">
        <v>3295</v>
      </c>
      <c r="D67" s="2" t="s">
        <v>32</v>
      </c>
      <c r="E67" s="6">
        <v>1</v>
      </c>
      <c r="F67" s="6">
        <v>3</v>
      </c>
      <c r="G67" s="7">
        <v>0.9292197823524476</v>
      </c>
      <c r="H67" s="7">
        <v>10.83660703125</v>
      </c>
      <c r="I67" s="7">
        <v>13.04831327666168</v>
      </c>
      <c r="J67" s="7">
        <v>4.161916093490241</v>
      </c>
      <c r="K67" s="7">
        <v>3.30009206537144</v>
      </c>
      <c r="L67" s="7">
        <v>0.6675241759440109</v>
      </c>
      <c r="M67" s="7">
        <v>0.7998240126660483</v>
      </c>
      <c r="N67" s="7">
        <v>0.5909031568209178</v>
      </c>
      <c r="O67" s="7">
        <v>0.2989950277452456</v>
      </c>
      <c r="P67" s="7">
        <v>6.661877021235952</v>
      </c>
      <c r="Q67" s="7">
        <v>0.1175359308432733</v>
      </c>
      <c r="R67" s="7">
        <v>0.2185784909513222</v>
      </c>
      <c r="S67" s="7">
        <v>0.2319858387893469</v>
      </c>
      <c r="T67" s="7">
        <v>1.478273378560201</v>
      </c>
    </row>
    <row x14ac:dyDescent="0.25" r="68" customHeight="1" ht="19.5">
      <c r="A68" s="2" t="s">
        <v>3361</v>
      </c>
      <c r="B68" s="2" t="s">
        <v>3294</v>
      </c>
      <c r="C68" s="2" t="s">
        <v>3295</v>
      </c>
      <c r="D68" s="2" t="s">
        <v>32</v>
      </c>
      <c r="E68" s="6">
        <v>1</v>
      </c>
      <c r="F68" s="6">
        <v>3</v>
      </c>
      <c r="G68" s="7">
        <v>0.9299811720848083</v>
      </c>
      <c r="H68" s="7">
        <v>10.91972578125</v>
      </c>
      <c r="I68" s="7">
        <v>13.16601257572501</v>
      </c>
      <c r="J68" s="7">
        <v>4.170339814003889</v>
      </c>
      <c r="K68" s="7">
        <v>3.290102965045537</v>
      </c>
      <c r="L68" s="7">
        <v>0.669712073193781</v>
      </c>
      <c r="M68" s="7">
        <v>0.7916132690635348</v>
      </c>
      <c r="N68" s="7">
        <v>0.5885971218115694</v>
      </c>
      <c r="O68" s="7">
        <v>0.3045930467365566</v>
      </c>
      <c r="P68" s="7">
        <v>6.635908302943878</v>
      </c>
      <c r="Q68" s="7">
        <v>0.1177417338427073</v>
      </c>
      <c r="R68" s="7">
        <v>0.2186698206565294</v>
      </c>
      <c r="S68" s="7">
        <v>0.2314943784756848</v>
      </c>
      <c r="T68" s="7">
        <v>1.492220284673388</v>
      </c>
    </row>
    <row x14ac:dyDescent="0.25" r="69" customHeight="1" ht="19.5">
      <c r="A69" s="2" t="s">
        <v>3362</v>
      </c>
      <c r="B69" s="2" t="s">
        <v>3294</v>
      </c>
      <c r="C69" s="2" t="s">
        <v>3295</v>
      </c>
      <c r="D69" s="2" t="s">
        <v>32</v>
      </c>
      <c r="E69" s="6">
        <v>1</v>
      </c>
      <c r="F69" s="6">
        <v>3</v>
      </c>
      <c r="G69" s="7">
        <v>0.9302024841308594</v>
      </c>
      <c r="H69" s="7">
        <v>10.72578203125</v>
      </c>
      <c r="I69" s="7">
        <v>13.01383995010693</v>
      </c>
      <c r="J69" s="7">
        <v>4.155991218419132</v>
      </c>
      <c r="K69" s="7">
        <v>3.332241657422956</v>
      </c>
      <c r="L69" s="7">
        <v>0.6686645005984496</v>
      </c>
      <c r="M69" s="7">
        <v>0.795843930453655</v>
      </c>
      <c r="N69" s="7">
        <v>0.5888131895826946</v>
      </c>
      <c r="O69" s="7">
        <v>0.3050790440132341</v>
      </c>
      <c r="P69" s="7">
        <v>6.618957147303756</v>
      </c>
      <c r="Q69" s="7">
        <v>0.1180391742236043</v>
      </c>
      <c r="R69" s="7">
        <v>0.2179372708154692</v>
      </c>
      <c r="S69" s="7">
        <v>0.2287473793066094</v>
      </c>
      <c r="T69" s="7">
        <v>1.469419874924171</v>
      </c>
    </row>
    <row x14ac:dyDescent="0.25" r="70" customHeight="1" ht="19.5">
      <c r="A70" s="2" t="s">
        <v>3363</v>
      </c>
      <c r="B70" s="2" t="s">
        <v>3294</v>
      </c>
      <c r="C70" s="2" t="s">
        <v>3295</v>
      </c>
      <c r="D70" s="2" t="s">
        <v>32</v>
      </c>
      <c r="E70" s="6">
        <v>1</v>
      </c>
      <c r="F70" s="6">
        <v>3</v>
      </c>
      <c r="G70" s="7">
        <v>0.9287739992141724</v>
      </c>
      <c r="H70" s="7">
        <v>10.77426796875</v>
      </c>
      <c r="I70" s="7">
        <v>13.01383995010693</v>
      </c>
      <c r="J70" s="7">
        <v>4.155037874850307</v>
      </c>
      <c r="K70" s="7">
        <v>3.311923732357567</v>
      </c>
      <c r="L70" s="7">
        <v>0.6672786286777818</v>
      </c>
      <c r="M70" s="7">
        <v>0.7994415458964549</v>
      </c>
      <c r="N70" s="7">
        <v>0.5879023727109917</v>
      </c>
      <c r="O70" s="7">
        <v>0.3027808404941614</v>
      </c>
      <c r="P70" s="7">
        <v>6.619133856161877</v>
      </c>
      <c r="Q70" s="7">
        <v>0.1172371863762462</v>
      </c>
      <c r="R70" s="7">
        <v>0.2172890331563467</v>
      </c>
      <c r="S70" s="7">
        <v>0.2285757680752193</v>
      </c>
      <c r="T70" s="7">
        <v>1.46603365366246</v>
      </c>
    </row>
    <row x14ac:dyDescent="0.25" r="71" customHeight="1" ht="19.5">
      <c r="A71" s="2" t="s">
        <v>3364</v>
      </c>
      <c r="B71" s="2" t="s">
        <v>3294</v>
      </c>
      <c r="C71" s="2" t="s">
        <v>3295</v>
      </c>
      <c r="D71" s="2" t="s">
        <v>32</v>
      </c>
      <c r="E71" s="6">
        <v>1</v>
      </c>
      <c r="F71" s="6">
        <v>3</v>
      </c>
      <c r="G71" s="7">
        <v>0.928318977355957</v>
      </c>
      <c r="H71" s="7">
        <v>10.93357890625</v>
      </c>
      <c r="I71" s="7">
        <v>13.11725992977117</v>
      </c>
      <c r="J71" s="7">
        <v>4.208713233802166</v>
      </c>
      <c r="K71" s="7">
        <v>3.260427164076242</v>
      </c>
      <c r="L71" s="7">
        <v>0.6699163077767504</v>
      </c>
      <c r="M71" s="7">
        <v>0.798520294875799</v>
      </c>
      <c r="N71" s="7">
        <v>0.5805339125557558</v>
      </c>
      <c r="O71" s="7">
        <v>0.2944785384006889</v>
      </c>
      <c r="P71" s="7">
        <v>6.717808788351467</v>
      </c>
      <c r="Q71" s="7">
        <v>0.1180472279507464</v>
      </c>
      <c r="R71" s="7">
        <v>0.2210576429088663</v>
      </c>
      <c r="S71" s="7">
        <v>0.2335908461293062</v>
      </c>
      <c r="T71" s="7">
        <v>1.497990009011471</v>
      </c>
    </row>
    <row x14ac:dyDescent="0.25" r="72" customHeight="1" ht="19.5">
      <c r="A72" s="2" t="s">
        <v>3365</v>
      </c>
      <c r="B72" s="2" t="s">
        <v>3294</v>
      </c>
      <c r="C72" s="2" t="s">
        <v>3295</v>
      </c>
      <c r="D72" s="2" t="s">
        <v>32</v>
      </c>
      <c r="E72" s="6">
        <v>1</v>
      </c>
      <c r="F72" s="6">
        <v>3</v>
      </c>
      <c r="G72" s="7">
        <v>0.9251853227615356</v>
      </c>
      <c r="H72" s="7">
        <v>11.37687890625</v>
      </c>
      <c r="I72" s="7">
        <v>13.38713185445258</v>
      </c>
      <c r="J72" s="7">
        <v>4.335835299816003</v>
      </c>
      <c r="K72" s="7">
        <v>3.312901368146941</v>
      </c>
      <c r="L72" s="7">
        <v>0.6820158651132932</v>
      </c>
      <c r="M72" s="7">
        <v>0.7977336607879517</v>
      </c>
      <c r="N72" s="7">
        <v>0.5867478669065238</v>
      </c>
      <c r="O72" s="7">
        <v>0.2872312656360326</v>
      </c>
      <c r="P72" s="7">
        <v>6.668176888194663</v>
      </c>
      <c r="Q72" s="7">
        <v>0.0920323217601893</v>
      </c>
      <c r="R72" s="7">
        <v>0.1741252624223054</v>
      </c>
      <c r="S72" s="7">
        <v>0.1860523566111531</v>
      </c>
      <c r="T72" s="7">
        <v>1.215218280572229</v>
      </c>
    </row>
    <row x14ac:dyDescent="0.25" r="73" customHeight="1" ht="19.5">
      <c r="A73" s="2" t="s">
        <v>3366</v>
      </c>
      <c r="B73" s="2" t="s">
        <v>3294</v>
      </c>
      <c r="C73" s="2" t="s">
        <v>3295</v>
      </c>
      <c r="D73" s="2" t="s">
        <v>32</v>
      </c>
      <c r="E73" s="6">
        <v>1</v>
      </c>
      <c r="F73" s="6">
        <v>3</v>
      </c>
      <c r="G73" s="7">
        <v>0.8232372403144836</v>
      </c>
      <c r="H73" s="7">
        <v>12.37430390625</v>
      </c>
      <c r="I73" s="7">
        <v>13.86975842621904</v>
      </c>
      <c r="J73" s="7">
        <v>4.988276674407863</v>
      </c>
      <c r="K73" s="7">
        <v>3.291764630484511</v>
      </c>
      <c r="L73" s="7">
        <v>0.7426927667000726</v>
      </c>
      <c r="M73" s="7">
        <v>0.8083377256420278</v>
      </c>
      <c r="N73" s="7">
        <v>0.5786464630112396</v>
      </c>
      <c r="O73" s="7">
        <v>0.2313480199666913</v>
      </c>
      <c r="P73" s="7">
        <v>6.812332120318374</v>
      </c>
      <c r="Q73" s="7">
        <v>0.0475401638453633</v>
      </c>
      <c r="R73" s="7">
        <v>0.1012733911913262</v>
      </c>
      <c r="S73" s="7">
        <v>0.1131032059782903</v>
      </c>
      <c r="T73" s="7">
        <v>0.6827665437461357</v>
      </c>
    </row>
    <row x14ac:dyDescent="0.25" r="74" customHeight="1" ht="19.5">
      <c r="A74" s="2" t="s">
        <v>3367</v>
      </c>
      <c r="B74" s="2" t="s">
        <v>3294</v>
      </c>
      <c r="C74" s="2" t="s">
        <v>3295</v>
      </c>
      <c r="D74" s="2" t="s">
        <v>32</v>
      </c>
      <c r="E74" s="6">
        <v>1</v>
      </c>
      <c r="F74" s="6">
        <v>3</v>
      </c>
      <c r="G74" s="7">
        <v>0.9185840487480164</v>
      </c>
      <c r="H74" s="7">
        <v>10.72578203125</v>
      </c>
      <c r="I74" s="7">
        <v>12.83310868569066</v>
      </c>
      <c r="J74" s="7">
        <v>4.174076963243372</v>
      </c>
      <c r="K74" s="7">
        <v>3.24289644412892</v>
      </c>
      <c r="L74" s="7">
        <v>0.662223919808788</v>
      </c>
      <c r="M74" s="7">
        <v>0.8184178373974181</v>
      </c>
      <c r="N74" s="7">
        <v>0.5901054720400838</v>
      </c>
      <c r="O74" s="7">
        <v>0.2787614745017472</v>
      </c>
      <c r="P74" s="7">
        <v>6.677785622298648</v>
      </c>
      <c r="Q74" s="7">
        <v>0.0916136294215885</v>
      </c>
      <c r="R74" s="7">
        <v>0.1741352486555844</v>
      </c>
      <c r="S74" s="7">
        <v>0.1885584925283172</v>
      </c>
      <c r="T74" s="7">
        <v>1.140459417574443</v>
      </c>
    </row>
    <row x14ac:dyDescent="0.25" r="75" customHeight="1" ht="19.5">
      <c r="A75" s="2" t="s">
        <v>3368</v>
      </c>
      <c r="B75" s="2" t="s">
        <v>3294</v>
      </c>
      <c r="C75" s="2" t="s">
        <v>3295</v>
      </c>
      <c r="D75" s="2" t="s">
        <v>32</v>
      </c>
      <c r="E75" s="6">
        <v>1</v>
      </c>
      <c r="F75" s="6">
        <v>3</v>
      </c>
      <c r="G75" s="7">
        <v>0.9280165433883668</v>
      </c>
      <c r="H75" s="7">
        <v>10.61149375</v>
      </c>
      <c r="I75" s="7">
        <v>12.81291467853501</v>
      </c>
      <c r="J75" s="7">
        <v>4.125250720191923</v>
      </c>
      <c r="K75" s="7">
        <v>3.239555940197063</v>
      </c>
      <c r="L75" s="7">
        <v>0.6531959775238384</v>
      </c>
      <c r="M75" s="7">
        <v>0.8122514929609584</v>
      </c>
      <c r="N75" s="7">
        <v>0.5839704128743217</v>
      </c>
      <c r="O75" s="7">
        <v>0.2841522232990767</v>
      </c>
      <c r="P75" s="7">
        <v>6.779891857052158</v>
      </c>
      <c r="Q75" s="7">
        <v>0.1193311301619169</v>
      </c>
      <c r="R75" s="7">
        <v>0.2239431345326578</v>
      </c>
      <c r="S75" s="7">
        <v>0.2373224922289148</v>
      </c>
      <c r="T75" s="7">
        <v>1.469674153292215</v>
      </c>
    </row>
    <row x14ac:dyDescent="0.25" r="76" customHeight="1" ht="19.5">
      <c r="A76" s="2" t="s">
        <v>3369</v>
      </c>
      <c r="B76" s="2" t="s">
        <v>3294</v>
      </c>
      <c r="C76" s="2" t="s">
        <v>3295</v>
      </c>
      <c r="D76" s="2" t="s">
        <v>32</v>
      </c>
      <c r="E76" s="6">
        <v>1</v>
      </c>
      <c r="F76" s="6">
        <v>3</v>
      </c>
      <c r="G76" s="7">
        <v>0.9275120496749878</v>
      </c>
      <c r="H76" s="7">
        <v>10.58725078125</v>
      </c>
      <c r="I76" s="7">
        <v>12.79863535913592</v>
      </c>
      <c r="J76" s="7">
        <v>4.110991253469299</v>
      </c>
      <c r="K76" s="7">
        <v>3.271582061959092</v>
      </c>
      <c r="L76" s="7">
        <v>0.644644530698248</v>
      </c>
      <c r="M76" s="7">
        <v>0.8122051380667419</v>
      </c>
      <c r="N76" s="7">
        <v>0.5803895528939604</v>
      </c>
      <c r="O76" s="7">
        <v>0.2859098449846722</v>
      </c>
      <c r="P76" s="7">
        <v>6.792141936969134</v>
      </c>
      <c r="Q76" s="7">
        <v>0.1216550167929259</v>
      </c>
      <c r="R76" s="7">
        <v>0.2267612629448344</v>
      </c>
      <c r="S76" s="7">
        <v>0.2440785747886195</v>
      </c>
      <c r="T76" s="7">
        <v>1.494871986674332</v>
      </c>
    </row>
    <row x14ac:dyDescent="0.25" r="77" customHeight="1" ht="19.5">
      <c r="A77" s="2" t="s">
        <v>3370</v>
      </c>
      <c r="B77" s="2" t="s">
        <v>3294</v>
      </c>
      <c r="C77" s="2" t="s">
        <v>3295</v>
      </c>
      <c r="D77" s="2" t="s">
        <v>32</v>
      </c>
      <c r="E77" s="6">
        <v>1</v>
      </c>
      <c r="F77" s="6">
        <v>3</v>
      </c>
      <c r="G77" s="7">
        <v>0.926516592502594</v>
      </c>
      <c r="H77" s="7">
        <v>10.5837875</v>
      </c>
      <c r="I77" s="7">
        <v>12.86758201224541</v>
      </c>
      <c r="J77" s="7">
        <v>4.09426944624968</v>
      </c>
      <c r="K77" s="7">
        <v>3.307139485060612</v>
      </c>
      <c r="L77" s="7">
        <v>0.6374727975456294</v>
      </c>
      <c r="M77" s="7">
        <v>0.8032617474969675</v>
      </c>
      <c r="N77" s="7">
        <v>0.5820087370386386</v>
      </c>
      <c r="O77" s="7">
        <v>0.2861548965770328</v>
      </c>
      <c r="P77" s="7">
        <v>6.791627596589002</v>
      </c>
      <c r="Q77" s="7">
        <v>0.1203347026610021</v>
      </c>
      <c r="R77" s="7">
        <v>0.225277117155697</v>
      </c>
      <c r="S77" s="7">
        <v>0.2405830777234907</v>
      </c>
      <c r="T77" s="7">
        <v>1.478164543835408</v>
      </c>
    </row>
    <row x14ac:dyDescent="0.25" r="78" customHeight="1" ht="19.5">
      <c r="A78" s="2" t="s">
        <v>3371</v>
      </c>
      <c r="B78" s="2" t="s">
        <v>3294</v>
      </c>
      <c r="C78" s="2" t="s">
        <v>3295</v>
      </c>
      <c r="D78" s="2" t="s">
        <v>32</v>
      </c>
      <c r="E78" s="6">
        <v>1</v>
      </c>
      <c r="F78" s="6">
        <v>3</v>
      </c>
      <c r="G78" s="7">
        <v>0.9269110560417176</v>
      </c>
      <c r="H78" s="7">
        <v>10.61495703125</v>
      </c>
      <c r="I78" s="7">
        <v>12.76416203258117</v>
      </c>
      <c r="J78" s="7">
        <v>4.14204747103496</v>
      </c>
      <c r="K78" s="7">
        <v>3.26161994048334</v>
      </c>
      <c r="L78" s="7">
        <v>0.6533208890292267</v>
      </c>
      <c r="M78" s="7">
        <v>0.8187352467109575</v>
      </c>
      <c r="N78" s="7">
        <v>0.5805306594156044</v>
      </c>
      <c r="O78" s="7">
        <v>0.2843235595028143</v>
      </c>
      <c r="P78" s="7">
        <v>6.797070537709402</v>
      </c>
      <c r="Q78" s="7">
        <v>0.1213158554126264</v>
      </c>
      <c r="R78" s="7">
        <v>0.2249386812667902</v>
      </c>
      <c r="S78" s="7">
        <v>0.239743358860125</v>
      </c>
      <c r="T78" s="7">
        <v>1.494605532050764</v>
      </c>
    </row>
    <row x14ac:dyDescent="0.25" r="79" customHeight="1" ht="19.5">
      <c r="A79" s="2" t="s">
        <v>3372</v>
      </c>
      <c r="B79" s="2" t="s">
        <v>3294</v>
      </c>
      <c r="C79" s="2" t="s">
        <v>3295</v>
      </c>
      <c r="D79" s="2" t="s">
        <v>32</v>
      </c>
      <c r="E79" s="6">
        <v>1</v>
      </c>
      <c r="F79" s="6">
        <v>3</v>
      </c>
      <c r="G79" s="7">
        <v>0.9268184900283812</v>
      </c>
      <c r="H79" s="7">
        <v>10.55608125</v>
      </c>
      <c r="I79" s="7">
        <v>12.79863535913592</v>
      </c>
      <c r="J79" s="7">
        <v>4.132147049642731</v>
      </c>
      <c r="K79" s="7">
        <v>3.289026000355637</v>
      </c>
      <c r="L79" s="7">
        <v>0.6454485345410208</v>
      </c>
      <c r="M79" s="7">
        <v>0.8098139551283706</v>
      </c>
      <c r="N79" s="7">
        <v>0.5853318901168612</v>
      </c>
      <c r="O79" s="7">
        <v>0.287811072858348</v>
      </c>
      <c r="P79" s="7">
        <v>6.760957751617293</v>
      </c>
      <c r="Q79" s="7">
        <v>0.1198038352436518</v>
      </c>
      <c r="R79" s="7">
        <v>0.2219968773465309</v>
      </c>
      <c r="S79" s="7">
        <v>0.2361874693699085</v>
      </c>
      <c r="T79" s="7">
        <v>1.467791017482875</v>
      </c>
    </row>
    <row x14ac:dyDescent="0.25" r="80" customHeight="1" ht="19.5">
      <c r="A80" s="2" t="s">
        <v>3373</v>
      </c>
      <c r="B80" s="2" t="s">
        <v>3294</v>
      </c>
      <c r="C80" s="2" t="s">
        <v>3295</v>
      </c>
      <c r="D80" s="2" t="s">
        <v>32</v>
      </c>
      <c r="E80" s="6">
        <v>1</v>
      </c>
      <c r="F80" s="6">
        <v>3</v>
      </c>
      <c r="G80" s="7">
        <v>0.9266566038131714</v>
      </c>
      <c r="H80" s="7">
        <v>10.58032421875</v>
      </c>
      <c r="I80" s="7">
        <v>12.76416203258117</v>
      </c>
      <c r="J80" s="7">
        <v>4.112712413737943</v>
      </c>
      <c r="K80" s="7">
        <v>3.279707343004093</v>
      </c>
      <c r="L80" s="7">
        <v>0.6454640708186562</v>
      </c>
      <c r="M80" s="7">
        <v>0.8160640061017862</v>
      </c>
      <c r="N80" s="7">
        <v>0.5801359335441725</v>
      </c>
      <c r="O80" s="7">
        <v>0.2860926453162865</v>
      </c>
      <c r="P80" s="7">
        <v>6.779681363381118</v>
      </c>
      <c r="Q80" s="7">
        <v>0.1189743211151648</v>
      </c>
      <c r="R80" s="7">
        <v>0.2203476096865808</v>
      </c>
      <c r="S80" s="7">
        <v>0.2364778003988318</v>
      </c>
      <c r="T80" s="7">
        <v>1.460975697073065</v>
      </c>
    </row>
    <row x14ac:dyDescent="0.25" r="81" customHeight="1" ht="19.5">
      <c r="A81" s="2" t="s">
        <v>3374</v>
      </c>
      <c r="B81" s="2" t="s">
        <v>3294</v>
      </c>
      <c r="C81" s="2" t="s">
        <v>3295</v>
      </c>
      <c r="D81" s="2" t="s">
        <v>32</v>
      </c>
      <c r="E81" s="6">
        <v>1</v>
      </c>
      <c r="F81" s="6">
        <v>3</v>
      </c>
      <c r="G81" s="7">
        <v>0.9253146052360536</v>
      </c>
      <c r="H81" s="7">
        <v>10.62881015625</v>
      </c>
      <c r="I81" s="7">
        <v>12.79863535913592</v>
      </c>
      <c r="J81" s="7">
        <v>4.118227082363446</v>
      </c>
      <c r="K81" s="7">
        <v>3.28955534095626</v>
      </c>
      <c r="L81" s="7">
        <v>0.6440054264590312</v>
      </c>
      <c r="M81" s="7">
        <v>0.8153933819845701</v>
      </c>
      <c r="N81" s="7">
        <v>0.5779282786253697</v>
      </c>
      <c r="O81" s="7">
        <v>0.2831937587478507</v>
      </c>
      <c r="P81" s="7">
        <v>6.809678131285125</v>
      </c>
      <c r="Q81" s="7">
        <v>0.1186007994944204</v>
      </c>
      <c r="R81" s="7">
        <v>0.2208214635543053</v>
      </c>
      <c r="S81" s="7">
        <v>0.2343564125891121</v>
      </c>
      <c r="T81" s="7">
        <v>1.463063065323666</v>
      </c>
    </row>
    <row x14ac:dyDescent="0.25" r="82" customHeight="1" ht="19.5">
      <c r="A82" s="2" t="s">
        <v>3375</v>
      </c>
      <c r="B82" s="2" t="s">
        <v>3294</v>
      </c>
      <c r="C82" s="2" t="s">
        <v>3295</v>
      </c>
      <c r="D82" s="2" t="s">
        <v>32</v>
      </c>
      <c r="E82" s="6">
        <v>1</v>
      </c>
      <c r="F82" s="6">
        <v>3</v>
      </c>
      <c r="G82" s="7">
        <v>0.926470160484314</v>
      </c>
      <c r="H82" s="7">
        <v>10.53876484375</v>
      </c>
      <c r="I82" s="7">
        <v>12.59179539980743</v>
      </c>
      <c r="J82" s="7">
        <v>4.093011588894194</v>
      </c>
      <c r="K82" s="7">
        <v>3.245183867801357</v>
      </c>
      <c r="L82" s="7">
        <v>0.6473124286920563</v>
      </c>
      <c r="M82" s="7">
        <v>0.835264957146668</v>
      </c>
      <c r="N82" s="7">
        <v>0.5791826303660252</v>
      </c>
      <c r="O82" s="7">
        <v>0.2882690957398593</v>
      </c>
      <c r="P82" s="7">
        <v>6.77564747512704</v>
      </c>
      <c r="Q82" s="7">
        <v>0.120849330834325</v>
      </c>
      <c r="R82" s="7">
        <v>0.2212698130402456</v>
      </c>
      <c r="S82" s="7">
        <v>0.233476498387335</v>
      </c>
      <c r="T82" s="7">
        <v>1.478171225939604</v>
      </c>
    </row>
    <row x14ac:dyDescent="0.25" r="83" customHeight="1" ht="19.5">
      <c r="A83" s="2" t="s">
        <v>3376</v>
      </c>
      <c r="B83" s="2" t="s">
        <v>3294</v>
      </c>
      <c r="C83" s="2" t="s">
        <v>3295</v>
      </c>
      <c r="D83" s="2" t="s">
        <v>32</v>
      </c>
      <c r="E83" s="6">
        <v>1</v>
      </c>
      <c r="F83" s="6">
        <v>3</v>
      </c>
      <c r="G83" s="7">
        <v>0.9254164695739746</v>
      </c>
      <c r="H83" s="7">
        <v>10.56647109375</v>
      </c>
      <c r="I83" s="7">
        <v>12.79863535913592</v>
      </c>
      <c r="J83" s="7">
        <v>4.113321335656559</v>
      </c>
      <c r="K83" s="7">
        <v>3.289595026278758</v>
      </c>
      <c r="L83" s="7">
        <v>0.65211485542968</v>
      </c>
      <c r="M83" s="7">
        <v>0.810611016107828</v>
      </c>
      <c r="N83" s="7">
        <v>0.5803982122336258</v>
      </c>
      <c r="O83" s="7">
        <v>0.2858836263202247</v>
      </c>
      <c r="P83" s="7">
        <v>6.78078343342767</v>
      </c>
      <c r="Q83" s="7">
        <v>0.119160533166044</v>
      </c>
      <c r="R83" s="7">
        <v>0.2198148770862961</v>
      </c>
      <c r="S83" s="7">
        <v>0.238113086603505</v>
      </c>
      <c r="T83" s="7">
        <v>1.461346443956262</v>
      </c>
    </row>
    <row x14ac:dyDescent="0.25" r="84" customHeight="1" ht="19.5">
      <c r="A84" s="2" t="s">
        <v>3377</v>
      </c>
      <c r="B84" s="2" t="s">
        <v>3294</v>
      </c>
      <c r="C84" s="2" t="s">
        <v>3295</v>
      </c>
      <c r="D84" s="2" t="s">
        <v>32</v>
      </c>
      <c r="E84" s="6">
        <v>1</v>
      </c>
      <c r="F84" s="6">
        <v>3</v>
      </c>
      <c r="G84" s="7">
        <v>0.9242703318595886</v>
      </c>
      <c r="H84" s="7">
        <v>10.62188359375</v>
      </c>
      <c r="I84" s="7">
        <v>12.81291467853501</v>
      </c>
      <c r="J84" s="7">
        <v>4.139564438266188</v>
      </c>
      <c r="K84" s="7">
        <v>3.227067624342208</v>
      </c>
      <c r="L84" s="7">
        <v>0.6569568510436611</v>
      </c>
      <c r="M84" s="7">
        <v>0.8130467783652936</v>
      </c>
      <c r="N84" s="7">
        <v>0.5780299131542341</v>
      </c>
      <c r="O84" s="7">
        <v>0.2835292464014471</v>
      </c>
      <c r="P84" s="7">
        <v>6.780901013356297</v>
      </c>
      <c r="Q84" s="7">
        <v>0.1191325573600908</v>
      </c>
      <c r="R84" s="7">
        <v>0.2204833260949152</v>
      </c>
      <c r="S84" s="7">
        <v>0.2336644420182285</v>
      </c>
      <c r="T84" s="7">
        <v>1.468665125526134</v>
      </c>
    </row>
    <row x14ac:dyDescent="0.25" r="85" customHeight="1" ht="19.5">
      <c r="A85" s="2" t="s">
        <v>3378</v>
      </c>
      <c r="B85" s="2" t="s">
        <v>3294</v>
      </c>
      <c r="C85" s="2" t="s">
        <v>3295</v>
      </c>
      <c r="D85" s="2" t="s">
        <v>32</v>
      </c>
      <c r="E85" s="6">
        <v>1</v>
      </c>
      <c r="F85" s="6">
        <v>3</v>
      </c>
      <c r="G85" s="7">
        <v>0.9248167872428894</v>
      </c>
      <c r="H85" s="7">
        <v>10.66690625</v>
      </c>
      <c r="I85" s="7">
        <v>12.81291467853501</v>
      </c>
      <c r="J85" s="7">
        <v>4.112378684483557</v>
      </c>
      <c r="K85" s="7">
        <v>3.274757361799698</v>
      </c>
      <c r="L85" s="7">
        <v>0.6513360471207036</v>
      </c>
      <c r="M85" s="7">
        <v>0.8164930151174125</v>
      </c>
      <c r="N85" s="7">
        <v>0.5833730391884993</v>
      </c>
      <c r="O85" s="7">
        <v>0.2905053075453219</v>
      </c>
      <c r="P85" s="7">
        <v>6.759639378032899</v>
      </c>
      <c r="Q85" s="7">
        <v>0.1177274685551819</v>
      </c>
      <c r="R85" s="7">
        <v>0.2190130346619138</v>
      </c>
      <c r="S85" s="7">
        <v>0.2343388873280174</v>
      </c>
      <c r="T85" s="7">
        <v>1.457494967497503</v>
      </c>
    </row>
    <row x14ac:dyDescent="0.25" r="86" customHeight="1" ht="19.5">
      <c r="A86" s="2" t="s">
        <v>3379</v>
      </c>
      <c r="B86" s="2" t="s">
        <v>3294</v>
      </c>
      <c r="C86" s="2" t="s">
        <v>3295</v>
      </c>
      <c r="D86" s="2" t="s">
        <v>32</v>
      </c>
      <c r="E86" s="6">
        <v>1</v>
      </c>
      <c r="F86" s="6">
        <v>3</v>
      </c>
      <c r="G86" s="7">
        <v>0.9257131814956664</v>
      </c>
      <c r="H86" s="7">
        <v>10.63573671875</v>
      </c>
      <c r="I86" s="7">
        <v>12.84738800508975</v>
      </c>
      <c r="J86" s="7">
        <v>4.121582151834382</v>
      </c>
      <c r="K86" s="7">
        <v>3.295211709483722</v>
      </c>
      <c r="L86" s="7">
        <v>0.6453303860043444</v>
      </c>
      <c r="M86" s="7">
        <v>0.8097440418845969</v>
      </c>
      <c r="N86" s="7">
        <v>0.5822269927805229</v>
      </c>
      <c r="O86" s="7">
        <v>0.2920407542687906</v>
      </c>
      <c r="P86" s="7">
        <v>6.750763549918334</v>
      </c>
      <c r="Q86" s="7">
        <v>0.1173625051560646</v>
      </c>
      <c r="R86" s="7">
        <v>0.2190246451962363</v>
      </c>
      <c r="S86" s="7">
        <v>0.2366330222245463</v>
      </c>
      <c r="T86" s="7">
        <v>1.448730920068624</v>
      </c>
    </row>
    <row x14ac:dyDescent="0.25" r="87" customHeight="1" ht="19.5">
      <c r="A87" s="2" t="s">
        <v>3380</v>
      </c>
      <c r="B87" s="2" t="s">
        <v>3294</v>
      </c>
      <c r="C87" s="2" t="s">
        <v>3295</v>
      </c>
      <c r="D87" s="2" t="s">
        <v>32</v>
      </c>
      <c r="E87" s="6">
        <v>1</v>
      </c>
      <c r="F87" s="6">
        <v>3</v>
      </c>
      <c r="G87" s="7">
        <v>0.9248858094215392</v>
      </c>
      <c r="H87" s="7">
        <v>10.653053125</v>
      </c>
      <c r="I87" s="7">
        <v>12.86758201224541</v>
      </c>
      <c r="J87" s="7">
        <v>4.110517498933872</v>
      </c>
      <c r="K87" s="7">
        <v>3.249854727279531</v>
      </c>
      <c r="L87" s="7">
        <v>0.6475713974394627</v>
      </c>
      <c r="M87" s="7">
        <v>0.8085186961062406</v>
      </c>
      <c r="N87" s="7">
        <v>0.5834974699292939</v>
      </c>
      <c r="O87" s="7">
        <v>0.2819407338112663</v>
      </c>
      <c r="P87" s="7">
        <v>6.801297505064572</v>
      </c>
      <c r="Q87" s="7">
        <v>0.1176103469603885</v>
      </c>
      <c r="R87" s="7">
        <v>0.2200540237582205</v>
      </c>
      <c r="S87" s="7">
        <v>0.2400873789179715</v>
      </c>
      <c r="T87" s="7">
        <v>1.454154005898026</v>
      </c>
    </row>
    <row x14ac:dyDescent="0.25" r="88" customHeight="1" ht="19.5">
      <c r="A88" s="2" t="s">
        <v>3381</v>
      </c>
      <c r="B88" s="2" t="s">
        <v>3294</v>
      </c>
      <c r="C88" s="2" t="s">
        <v>3295</v>
      </c>
      <c r="D88" s="2" t="s">
        <v>32</v>
      </c>
      <c r="E88" s="6">
        <v>1</v>
      </c>
      <c r="F88" s="6">
        <v>3</v>
      </c>
      <c r="G88" s="7">
        <v>0.924341320991516</v>
      </c>
      <c r="H88" s="7">
        <v>10.6322734375</v>
      </c>
      <c r="I88" s="7">
        <v>12.79863535913592</v>
      </c>
      <c r="J88" s="7">
        <v>4.108540091310671</v>
      </c>
      <c r="K88" s="7">
        <v>3.240380427174736</v>
      </c>
      <c r="L88" s="7">
        <v>0.6516350423910149</v>
      </c>
      <c r="M88" s="7">
        <v>0.8156590689777227</v>
      </c>
      <c r="N88" s="7">
        <v>0.5782725899037399</v>
      </c>
      <c r="O88" s="7">
        <v>0.2830309105898921</v>
      </c>
      <c r="P88" s="7">
        <v>6.810001557877255</v>
      </c>
      <c r="Q88" s="7">
        <v>0.1184318592113909</v>
      </c>
      <c r="R88" s="7">
        <v>0.2220840226733541</v>
      </c>
      <c r="S88" s="7">
        <v>0.2387493636526717</v>
      </c>
      <c r="T88" s="7">
        <v>1.461455056852741</v>
      </c>
    </row>
    <row x14ac:dyDescent="0.25" r="89" customHeight="1" ht="19.5">
      <c r="A89" s="2" t="s">
        <v>3382</v>
      </c>
      <c r="B89" s="2" t="s">
        <v>3294</v>
      </c>
      <c r="C89" s="2" t="s">
        <v>3295</v>
      </c>
      <c r="D89" s="2" t="s">
        <v>32</v>
      </c>
      <c r="E89" s="6">
        <v>1</v>
      </c>
      <c r="F89" s="6">
        <v>3</v>
      </c>
      <c r="G89" s="7">
        <v>0.9252594709396362</v>
      </c>
      <c r="H89" s="7">
        <v>10.6322734375</v>
      </c>
      <c r="I89" s="7">
        <v>12.83310868569066</v>
      </c>
      <c r="J89" s="7">
        <v>4.123990251623667</v>
      </c>
      <c r="K89" s="7">
        <v>3.238116292908864</v>
      </c>
      <c r="L89" s="7">
        <v>0.6574542944385012</v>
      </c>
      <c r="M89" s="7">
        <v>0.8112827771424199</v>
      </c>
      <c r="N89" s="7">
        <v>0.5802897477693142</v>
      </c>
      <c r="O89" s="7">
        <v>0.2834160164042927</v>
      </c>
      <c r="P89" s="7">
        <v>6.809557981899157</v>
      </c>
      <c r="Q89" s="7">
        <v>0.1200508795555062</v>
      </c>
      <c r="R89" s="7">
        <v>0.2216814254930247</v>
      </c>
      <c r="S89" s="7">
        <v>0.2370536505366809</v>
      </c>
      <c r="T89" s="7">
        <v>1.481433848748858</v>
      </c>
    </row>
    <row x14ac:dyDescent="0.25" r="90" customHeight="1" ht="19.5">
      <c r="A90" s="2" t="s">
        <v>3383</v>
      </c>
      <c r="B90" s="2" t="s">
        <v>3294</v>
      </c>
      <c r="C90" s="2" t="s">
        <v>3295</v>
      </c>
      <c r="D90" s="2" t="s">
        <v>32</v>
      </c>
      <c r="E90" s="6">
        <v>1</v>
      </c>
      <c r="F90" s="6">
        <v>3</v>
      </c>
      <c r="G90" s="7">
        <v>0.9249075651168824</v>
      </c>
      <c r="H90" s="7">
        <v>10.6738328125</v>
      </c>
      <c r="I90" s="7">
        <v>12.8818613316445</v>
      </c>
      <c r="J90" s="7">
        <v>4.12260700978565</v>
      </c>
      <c r="K90" s="7">
        <v>3.322356783048403</v>
      </c>
      <c r="L90" s="7">
        <v>0.6430370155542583</v>
      </c>
      <c r="M90" s="7">
        <v>0.8083008218942016</v>
      </c>
      <c r="N90" s="7">
        <v>0.5821671428080704</v>
      </c>
      <c r="O90" s="7">
        <v>0.2899298801774344</v>
      </c>
      <c r="P90" s="7">
        <v>6.773630121210365</v>
      </c>
      <c r="Q90" s="7">
        <v>0.1164318282384516</v>
      </c>
      <c r="R90" s="7">
        <v>0.2196729464519541</v>
      </c>
      <c r="S90" s="7">
        <v>0.2342418272280637</v>
      </c>
      <c r="T90" s="7">
        <v>1.442390631740024</v>
      </c>
    </row>
    <row x14ac:dyDescent="0.25" r="91" customHeight="1" ht="19.5">
      <c r="A91" s="2" t="s">
        <v>3384</v>
      </c>
      <c r="B91" s="2" t="s">
        <v>3294</v>
      </c>
      <c r="C91" s="2" t="s">
        <v>3295</v>
      </c>
      <c r="D91" s="2" t="s">
        <v>32</v>
      </c>
      <c r="E91" s="6">
        <v>1</v>
      </c>
      <c r="F91" s="6">
        <v>3</v>
      </c>
      <c r="G91" s="7">
        <v>0.9231541752815248</v>
      </c>
      <c r="H91" s="7">
        <v>10.680759375</v>
      </c>
      <c r="I91" s="7">
        <v>12.91633465819925</v>
      </c>
      <c r="J91" s="7">
        <v>4.193682935176112</v>
      </c>
      <c r="K91" s="7">
        <v>3.296328973144008</v>
      </c>
      <c r="L91" s="7">
        <v>0.6553133361474954</v>
      </c>
      <c r="M91" s="7">
        <v>0.8045136502381537</v>
      </c>
      <c r="N91" s="7">
        <v>0.5832820367449092</v>
      </c>
      <c r="O91" s="7">
        <v>0.2894663744109996</v>
      </c>
      <c r="P91" s="7">
        <v>6.755833985734842</v>
      </c>
      <c r="Q91" s="7">
        <v>0.1175123237248789</v>
      </c>
      <c r="R91" s="7">
        <v>0.2190869845422797</v>
      </c>
      <c r="S91" s="7">
        <v>0.2373907760846471</v>
      </c>
      <c r="T91" s="7">
        <v>1.45672081312844</v>
      </c>
    </row>
    <row x14ac:dyDescent="0.25" r="92" customHeight="1" ht="19.5">
      <c r="A92" s="2" t="s">
        <v>3385</v>
      </c>
      <c r="B92" s="2" t="s">
        <v>3294</v>
      </c>
      <c r="C92" s="2" t="s">
        <v>3295</v>
      </c>
      <c r="D92" s="2" t="s">
        <v>32</v>
      </c>
      <c r="E92" s="6">
        <v>1</v>
      </c>
      <c r="F92" s="6">
        <v>3</v>
      </c>
      <c r="G92" s="7">
        <v>0.9242861866950988</v>
      </c>
      <c r="H92" s="7">
        <v>10.58725078125</v>
      </c>
      <c r="I92" s="7">
        <v>12.72968870602642</v>
      </c>
      <c r="J92" s="7">
        <v>4.136036824529223</v>
      </c>
      <c r="K92" s="7">
        <v>3.257425018188676</v>
      </c>
      <c r="L92" s="7">
        <v>0.6505165231195243</v>
      </c>
      <c r="M92" s="7">
        <v>0.8210271097384845</v>
      </c>
      <c r="N92" s="7">
        <v>0.5827899754937823</v>
      </c>
      <c r="O92" s="7">
        <v>0.286013178538086</v>
      </c>
      <c r="P92" s="7">
        <v>6.787464071633869</v>
      </c>
      <c r="Q92" s="7">
        <v>0.1180659937188017</v>
      </c>
      <c r="R92" s="7">
        <v>0.2204081999083376</v>
      </c>
      <c r="S92" s="7">
        <v>0.2346673297172545</v>
      </c>
      <c r="T92" s="7">
        <v>1.450770804540855</v>
      </c>
    </row>
    <row x14ac:dyDescent="0.25" r="93" customHeight="1" ht="19.5">
      <c r="A93" s="2" t="s">
        <v>3386</v>
      </c>
      <c r="B93" s="2" t="s">
        <v>3294</v>
      </c>
      <c r="C93" s="2" t="s">
        <v>3295</v>
      </c>
      <c r="D93" s="2" t="s">
        <v>32</v>
      </c>
      <c r="E93" s="6">
        <v>1</v>
      </c>
      <c r="F93" s="6">
        <v>3</v>
      </c>
      <c r="G93" s="7">
        <v>0.926424205303192</v>
      </c>
      <c r="H93" s="7">
        <v>10.53876484375</v>
      </c>
      <c r="I93" s="7">
        <v>12.69521537947167</v>
      </c>
      <c r="J93" s="7">
        <v>4.094546061714938</v>
      </c>
      <c r="K93" s="7">
        <v>3.220748633358196</v>
      </c>
      <c r="L93" s="7">
        <v>0.6482919663154043</v>
      </c>
      <c r="M93" s="7">
        <v>0.8217116257807884</v>
      </c>
      <c r="N93" s="7">
        <v>0.5835985640489787</v>
      </c>
      <c r="O93" s="7">
        <v>0.2885292225421594</v>
      </c>
      <c r="P93" s="7">
        <v>6.760977670638798</v>
      </c>
      <c r="Q93" s="7">
        <v>0.1190724902841514</v>
      </c>
      <c r="R93" s="7">
        <v>0.2189876398208717</v>
      </c>
      <c r="S93" s="7">
        <v>0.2325161458949497</v>
      </c>
      <c r="T93" s="7">
        <v>1.456437761995562</v>
      </c>
    </row>
    <row x14ac:dyDescent="0.25" r="94" customHeight="1" ht="19.5">
      <c r="A94" s="2" t="s">
        <v>3387</v>
      </c>
      <c r="B94" s="2" t="s">
        <v>3294</v>
      </c>
      <c r="C94" s="2" t="s">
        <v>3295</v>
      </c>
      <c r="D94" s="2" t="s">
        <v>32</v>
      </c>
      <c r="E94" s="6">
        <v>1</v>
      </c>
      <c r="F94" s="6">
        <v>3</v>
      </c>
      <c r="G94" s="7">
        <v>0.9248490333557128</v>
      </c>
      <c r="H94" s="7">
        <v>10.66690625</v>
      </c>
      <c r="I94" s="7">
        <v>12.76416203258117</v>
      </c>
      <c r="J94" s="7">
        <v>4.079408778148949</v>
      </c>
      <c r="K94" s="7">
        <v>3.253639356732492</v>
      </c>
      <c r="L94" s="7">
        <v>0.6456558658542897</v>
      </c>
      <c r="M94" s="7">
        <v>0.8227421076247141</v>
      </c>
      <c r="N94" s="7">
        <v>0.5788027335141597</v>
      </c>
      <c r="O94" s="7">
        <v>0.2811740334112102</v>
      </c>
      <c r="P94" s="7">
        <v>6.814090510913983</v>
      </c>
      <c r="Q94" s="7">
        <v>0.1153083215556914</v>
      </c>
      <c r="R94" s="7">
        <v>0.2142539660700903</v>
      </c>
      <c r="S94" s="7">
        <v>0.2352997419723106</v>
      </c>
      <c r="T94" s="7">
        <v>1.427545333646832</v>
      </c>
    </row>
    <row x14ac:dyDescent="0.25" r="95" customHeight="1" ht="19.5">
      <c r="A95" s="2" t="s">
        <v>3388</v>
      </c>
      <c r="B95" s="2" t="s">
        <v>3294</v>
      </c>
      <c r="C95" s="2" t="s">
        <v>3295</v>
      </c>
      <c r="D95" s="2" t="s">
        <v>32</v>
      </c>
      <c r="E95" s="6">
        <v>1</v>
      </c>
      <c r="F95" s="6">
        <v>3</v>
      </c>
      <c r="G95" s="7">
        <v>0.7983733415603638</v>
      </c>
      <c r="H95" s="7">
        <v>13.1396890625</v>
      </c>
      <c r="I95" s="7">
        <v>14.34055562247237</v>
      </c>
      <c r="J95" s="7">
        <v>5.2066104150852</v>
      </c>
      <c r="K95" s="7">
        <v>3.481924298938571</v>
      </c>
      <c r="L95" s="7">
        <v>0.7319822973635194</v>
      </c>
      <c r="M95" s="7">
        <v>0.8029028427441999</v>
      </c>
      <c r="N95" s="7">
        <v>0.5894202597974221</v>
      </c>
      <c r="O95" s="7">
        <v>0.2313137100834824</v>
      </c>
      <c r="P95" s="7">
        <v>6.821912233660092</v>
      </c>
      <c r="Q95" s="7">
        <v>0.0463701436852115</v>
      </c>
      <c r="R95" s="7">
        <v>0.0940294417263408</v>
      </c>
      <c r="S95" s="7">
        <v>0.1064382432255357</v>
      </c>
      <c r="T95" s="7">
        <v>0.7071545008661663</v>
      </c>
    </row>
    <row x14ac:dyDescent="0.25" r="96" customHeight="1" ht="19.5">
      <c r="A96" s="2" t="s">
        <v>3389</v>
      </c>
      <c r="B96" s="2" t="s">
        <v>3294</v>
      </c>
      <c r="C96" s="2" t="s">
        <v>3295</v>
      </c>
      <c r="D96" s="2" t="s">
        <v>32</v>
      </c>
      <c r="E96" s="6">
        <v>1</v>
      </c>
      <c r="F96" s="6">
        <v>3</v>
      </c>
      <c r="G96" s="7">
        <v>0.8656141757965088</v>
      </c>
      <c r="H96" s="7">
        <v>13.64879140625</v>
      </c>
      <c r="I96" s="7">
        <v>14.86010546467954</v>
      </c>
      <c r="J96" s="7">
        <v>4.891827869056389</v>
      </c>
      <c r="K96" s="7">
        <v>3.818004788340246</v>
      </c>
      <c r="L96" s="7">
        <v>0.6899749032129383</v>
      </c>
      <c r="M96" s="7">
        <v>0.7767124689331681</v>
      </c>
      <c r="N96" s="7">
        <v>0.586358318738335</v>
      </c>
      <c r="O96" s="7">
        <v>0.2457236564255175</v>
      </c>
      <c r="P96" s="7">
        <v>6.039244392288824</v>
      </c>
      <c r="Q96" s="7">
        <v>0.0420423627845447</v>
      </c>
      <c r="R96" s="7">
        <v>0.0926780033130599</v>
      </c>
      <c r="S96" s="7">
        <v>0.1032431935464013</v>
      </c>
      <c r="T96" s="7">
        <v>0.6659967226315108</v>
      </c>
    </row>
    <row x14ac:dyDescent="0.25" r="97" customHeight="1" ht="19.5">
      <c r="A97" s="2" t="s">
        <v>3390</v>
      </c>
      <c r="B97" s="2" t="s">
        <v>3294</v>
      </c>
      <c r="C97" s="2" t="s">
        <v>3295</v>
      </c>
      <c r="D97" s="2" t="s">
        <v>32</v>
      </c>
      <c r="E97" s="6">
        <v>1</v>
      </c>
      <c r="F97" s="6">
        <v>3</v>
      </c>
      <c r="G97" s="7">
        <v>0.9398743510246276</v>
      </c>
      <c r="H97" s="7">
        <v>11.401121875</v>
      </c>
      <c r="I97" s="7">
        <v>13.1802918951241</v>
      </c>
      <c r="J97" s="7">
        <v>4.253780050610645</v>
      </c>
      <c r="K97" s="7">
        <v>3.402178516315944</v>
      </c>
      <c r="L97" s="7">
        <v>0.6377440649686702</v>
      </c>
      <c r="M97" s="7">
        <v>0.8247216498587326</v>
      </c>
      <c r="N97" s="7">
        <v>0.5949931375645174</v>
      </c>
      <c r="O97" s="7">
        <v>0.2802273261051657</v>
      </c>
      <c r="P97" s="7">
        <v>6.357173582287491</v>
      </c>
      <c r="Q97" s="7">
        <v>0.0815753119470645</v>
      </c>
      <c r="R97" s="7">
        <v>0.1616780610482008</v>
      </c>
      <c r="S97" s="7">
        <v>0.1709709854960818</v>
      </c>
      <c r="T97" s="7">
        <v>1.079436530556929</v>
      </c>
    </row>
    <row x14ac:dyDescent="0.25" r="98" customHeight="1" ht="19.5">
      <c r="A98" s="2" t="s">
        <v>3391</v>
      </c>
      <c r="B98" s="2" t="s">
        <v>3294</v>
      </c>
      <c r="C98" s="2" t="s">
        <v>3295</v>
      </c>
      <c r="D98" s="2" t="s">
        <v>32</v>
      </c>
      <c r="E98" s="6">
        <v>1</v>
      </c>
      <c r="F98" s="6">
        <v>3</v>
      </c>
      <c r="G98" s="7">
        <v>0.9417828917503356</v>
      </c>
      <c r="H98" s="7">
        <v>11.1032796875</v>
      </c>
      <c r="I98" s="7">
        <v>12.85575263673229</v>
      </c>
      <c r="J98" s="7">
        <v>4.071732785889322</v>
      </c>
      <c r="K98" s="7">
        <v>3.399064556676944</v>
      </c>
      <c r="L98" s="7">
        <v>0.600220490961921</v>
      </c>
      <c r="M98" s="7">
        <v>0.8442403961667326</v>
      </c>
      <c r="N98" s="7">
        <v>0.5753007020301205</v>
      </c>
      <c r="O98" s="7">
        <v>0.2847020798932836</v>
      </c>
      <c r="P98" s="7">
        <v>6.795072890606663</v>
      </c>
      <c r="Q98" s="7">
        <v>0.1224662053553446</v>
      </c>
      <c r="R98" s="7">
        <v>0.2424763892657244</v>
      </c>
      <c r="S98" s="7">
        <v>0.2548851955427816</v>
      </c>
      <c r="T98" s="7">
        <v>1.578186489148988</v>
      </c>
    </row>
    <row x14ac:dyDescent="0.25" r="99" customHeight="1" ht="19.5">
      <c r="A99" s="2" t="s">
        <v>3392</v>
      </c>
      <c r="B99" s="2" t="s">
        <v>3294</v>
      </c>
      <c r="C99" s="2" t="s">
        <v>3295</v>
      </c>
      <c r="D99" s="2" t="s">
        <v>32</v>
      </c>
      <c r="E99" s="6">
        <v>1</v>
      </c>
      <c r="F99" s="6">
        <v>3</v>
      </c>
      <c r="G99" s="7">
        <v>0.9261966943740844</v>
      </c>
      <c r="H99" s="7">
        <v>10.9647484375</v>
      </c>
      <c r="I99" s="7">
        <v>12.62035403860562</v>
      </c>
      <c r="J99" s="7">
        <v>4.04481700919232</v>
      </c>
      <c r="K99" s="7">
        <v>3.359855531543819</v>
      </c>
      <c r="L99" s="7">
        <v>0.5846850636367298</v>
      </c>
      <c r="M99" s="7">
        <v>0.8650983018723972</v>
      </c>
      <c r="N99" s="7">
        <v>0.5657241150911873</v>
      </c>
      <c r="O99" s="7">
        <v>0.2824535671942043</v>
      </c>
      <c r="P99" s="7">
        <v>7.024124401328479</v>
      </c>
      <c r="Q99" s="7">
        <v>0.1488231120010744</v>
      </c>
      <c r="R99" s="7">
        <v>0.2907818373113146</v>
      </c>
      <c r="S99" s="7">
        <v>0.3050221727380687</v>
      </c>
      <c r="T99" s="7">
        <v>1.893912166465957</v>
      </c>
    </row>
    <row x14ac:dyDescent="0.25" r="100" customHeight="1" ht="19.5">
      <c r="A100" s="2" t="s">
        <v>3393</v>
      </c>
      <c r="B100" s="2" t="s">
        <v>3294</v>
      </c>
      <c r="C100" s="2" t="s">
        <v>3295</v>
      </c>
      <c r="D100" s="2" t="s">
        <v>32</v>
      </c>
      <c r="E100" s="6">
        <v>1</v>
      </c>
      <c r="F100" s="6">
        <v>3</v>
      </c>
      <c r="G100" s="7">
        <v>0.92638498544693</v>
      </c>
      <c r="H100" s="7">
        <v>10.94050546875</v>
      </c>
      <c r="I100" s="7">
        <v>12.60607471920653</v>
      </c>
      <c r="J100" s="7">
        <v>4.025030482633864</v>
      </c>
      <c r="K100" s="7">
        <v>3.372109201924969</v>
      </c>
      <c r="L100" s="7">
        <v>0.5713760598218353</v>
      </c>
      <c r="M100" s="7">
        <v>0.8651422020981153</v>
      </c>
      <c r="N100" s="7">
        <v>0.5536224753172558</v>
      </c>
      <c r="O100" s="7">
        <v>0.2736580739474925</v>
      </c>
      <c r="P100" s="7">
        <v>7.115013980891371</v>
      </c>
      <c r="Q100" s="7">
        <v>0.1491949032111536</v>
      </c>
      <c r="R100" s="7">
        <v>0.2912672024335009</v>
      </c>
      <c r="S100" s="7">
        <v>0.3060811316681281</v>
      </c>
      <c r="T100" s="7">
        <v>1.894445669225617</v>
      </c>
    </row>
    <row x14ac:dyDescent="0.25" r="101" customHeight="1" ht="19.5">
      <c r="A101" s="2" t="s">
        <v>3394</v>
      </c>
      <c r="B101" s="2" t="s">
        <v>3294</v>
      </c>
      <c r="C101" s="2" t="s">
        <v>3295</v>
      </c>
      <c r="D101" s="2" t="s">
        <v>32</v>
      </c>
      <c r="E101" s="6">
        <v>1</v>
      </c>
      <c r="F101" s="6">
        <v>3</v>
      </c>
      <c r="G101" s="7">
        <v>0.928533971309662</v>
      </c>
      <c r="H101" s="7">
        <v>11.0063078125</v>
      </c>
      <c r="I101" s="7">
        <v>12.65482736516037</v>
      </c>
      <c r="J101" s="7">
        <v>4.044780349176009</v>
      </c>
      <c r="K101" s="7">
        <v>3.365934749862285</v>
      </c>
      <c r="L101" s="7">
        <v>0.5769948846112815</v>
      </c>
      <c r="M101" s="7">
        <v>0.8636525678182438</v>
      </c>
      <c r="N101" s="7">
        <v>0.5614688154872441</v>
      </c>
      <c r="O101" s="7">
        <v>0.2791165520834335</v>
      </c>
      <c r="P101" s="7">
        <v>7.052022760116167</v>
      </c>
      <c r="Q101" s="7">
        <v>0.1490076733546538</v>
      </c>
      <c r="R101" s="7">
        <v>0.2917083916973787</v>
      </c>
      <c r="S101" s="7">
        <v>0.3050865607064597</v>
      </c>
      <c r="T101" s="7">
        <v>1.903448224743236</v>
      </c>
    </row>
    <row x14ac:dyDescent="0.25" r="102" customHeight="1" ht="19.5">
      <c r="A102" s="2" t="s">
        <v>3395</v>
      </c>
      <c r="B102" s="2" t="s">
        <v>3294</v>
      </c>
      <c r="C102" s="2" t="s">
        <v>3295</v>
      </c>
      <c r="D102" s="2" t="s">
        <v>32</v>
      </c>
      <c r="E102" s="6">
        <v>1</v>
      </c>
      <c r="F102" s="6">
        <v>3</v>
      </c>
      <c r="G102" s="7">
        <v>0.9301947355270386</v>
      </c>
      <c r="H102" s="7">
        <v>11.10674296875</v>
      </c>
      <c r="I102" s="7">
        <v>12.78680598362279</v>
      </c>
      <c r="J102" s="7">
        <v>4.083495212199098</v>
      </c>
      <c r="K102" s="7">
        <v>3.394269979594402</v>
      </c>
      <c r="L102" s="7">
        <v>0.5991597256028529</v>
      </c>
      <c r="M102" s="7">
        <v>0.8536354344887107</v>
      </c>
      <c r="N102" s="7">
        <v>0.5656305198342247</v>
      </c>
      <c r="O102" s="7">
        <v>0.2927244646983666</v>
      </c>
      <c r="P102" s="7">
        <v>6.971094763899865</v>
      </c>
      <c r="Q102" s="7">
        <v>0.1488926867933165</v>
      </c>
      <c r="R102" s="7">
        <v>0.2925804871339661</v>
      </c>
      <c r="S102" s="7">
        <v>0.3077268752840563</v>
      </c>
      <c r="T102" s="7">
        <v>1.919335378322786</v>
      </c>
    </row>
    <row x14ac:dyDescent="0.25" r="103" customHeight="1" ht="19.5">
      <c r="A103" s="2" t="s">
        <v>3396</v>
      </c>
      <c r="B103" s="2" t="s">
        <v>3294</v>
      </c>
      <c r="C103" s="2" t="s">
        <v>3295</v>
      </c>
      <c r="D103" s="2" t="s">
        <v>32</v>
      </c>
      <c r="E103" s="6">
        <v>1</v>
      </c>
      <c r="F103" s="6">
        <v>3</v>
      </c>
      <c r="G103" s="7">
        <v>0.926027774810791</v>
      </c>
      <c r="H103" s="7">
        <v>11.04440390625</v>
      </c>
      <c r="I103" s="7">
        <v>12.66910668455946</v>
      </c>
      <c r="J103" s="7">
        <v>4.06006902671632</v>
      </c>
      <c r="K103" s="7">
        <v>3.370828077100866</v>
      </c>
      <c r="L103" s="7">
        <v>0.5764782505918784</v>
      </c>
      <c r="M103" s="7">
        <v>0.864689446268982</v>
      </c>
      <c r="N103" s="7">
        <v>0.5640417234242339</v>
      </c>
      <c r="O103" s="7">
        <v>0.2877763006945492</v>
      </c>
      <c r="P103" s="7">
        <v>6.98216936954987</v>
      </c>
      <c r="Q103" s="7">
        <v>0.1490722819923972</v>
      </c>
      <c r="R103" s="7">
        <v>0.2918597962787837</v>
      </c>
      <c r="S103" s="7">
        <v>0.3071798295643401</v>
      </c>
      <c r="T103" s="7">
        <v>1.910864801170769</v>
      </c>
    </row>
    <row x14ac:dyDescent="0.25" r="104" customHeight="1" ht="19.5">
      <c r="A104" s="2" t="s">
        <v>3397</v>
      </c>
      <c r="B104" s="2" t="s">
        <v>3294</v>
      </c>
      <c r="C104" s="2" t="s">
        <v>3295</v>
      </c>
      <c r="D104" s="2" t="s">
        <v>32</v>
      </c>
      <c r="E104" s="6">
        <v>1</v>
      </c>
      <c r="F104" s="6">
        <v>3</v>
      </c>
      <c r="G104" s="7">
        <v>0.9304778575897216</v>
      </c>
      <c r="H104" s="7">
        <v>11.04440390625</v>
      </c>
      <c r="I104" s="7">
        <v>12.73805333766895</v>
      </c>
      <c r="J104" s="7">
        <v>4.039229386759509</v>
      </c>
      <c r="K104" s="7">
        <v>3.358424661877635</v>
      </c>
      <c r="L104" s="7">
        <v>0.5892394094093534</v>
      </c>
      <c r="M104" s="7">
        <v>0.8553542523458887</v>
      </c>
      <c r="N104" s="7">
        <v>0.5678240053551056</v>
      </c>
      <c r="O104" s="7">
        <v>0.2877864992498045</v>
      </c>
      <c r="P104" s="7">
        <v>6.978460032652909</v>
      </c>
      <c r="Q104" s="7">
        <v>0.1482713644293274</v>
      </c>
      <c r="R104" s="7">
        <v>0.2882083185383809</v>
      </c>
      <c r="S104" s="7">
        <v>0.3018633850663586</v>
      </c>
      <c r="T104" s="7">
        <v>1.900598337416042</v>
      </c>
    </row>
    <row x14ac:dyDescent="0.25" r="105" customHeight="1" ht="19.5">
      <c r="A105" s="2" t="s">
        <v>3398</v>
      </c>
      <c r="B105" s="2" t="s">
        <v>3294</v>
      </c>
      <c r="C105" s="2" t="s">
        <v>3295</v>
      </c>
      <c r="D105" s="2" t="s">
        <v>32</v>
      </c>
      <c r="E105" s="6">
        <v>1</v>
      </c>
      <c r="F105" s="6">
        <v>3</v>
      </c>
      <c r="G105" s="7">
        <v>0.9326387643814088</v>
      </c>
      <c r="H105" s="7">
        <v>11.05133046875</v>
      </c>
      <c r="I105" s="7">
        <v>12.65482736516037</v>
      </c>
      <c r="J105" s="7">
        <v>4.068965965676008</v>
      </c>
      <c r="K105" s="7">
        <v>3.361878414685267</v>
      </c>
      <c r="L105" s="7">
        <v>0.5833939727177943</v>
      </c>
      <c r="M105" s="7">
        <v>0.8671854449049767</v>
      </c>
      <c r="N105" s="7">
        <v>0.5551863972807534</v>
      </c>
      <c r="O105" s="7">
        <v>0.2769859872915898</v>
      </c>
      <c r="P105" s="7">
        <v>7.075378290417432</v>
      </c>
      <c r="Q105" s="7">
        <v>0.1472680232217947</v>
      </c>
      <c r="R105" s="7">
        <v>0.2882102842017188</v>
      </c>
      <c r="S105" s="7">
        <v>0.3030066038296634</v>
      </c>
      <c r="T105" s="7">
        <v>1.888921036331792</v>
      </c>
    </row>
    <row x14ac:dyDescent="0.25" r="106" customHeight="1" ht="19.5">
      <c r="A106" s="2" t="s">
        <v>3399</v>
      </c>
      <c r="B106" s="2" t="s">
        <v>3294</v>
      </c>
      <c r="C106" s="2" t="s">
        <v>3295</v>
      </c>
      <c r="D106" s="2" t="s">
        <v>32</v>
      </c>
      <c r="E106" s="6">
        <v>1</v>
      </c>
      <c r="F106" s="6">
        <v>3</v>
      </c>
      <c r="G106" s="7">
        <v>0.9323431253433228</v>
      </c>
      <c r="H106" s="7">
        <v>11.00284453125</v>
      </c>
      <c r="I106" s="7">
        <v>12.65482736516036</v>
      </c>
      <c r="J106" s="7">
        <v>4.046648081499274</v>
      </c>
      <c r="K106" s="7">
        <v>3.373641211523692</v>
      </c>
      <c r="L106" s="7">
        <v>0.5806426794076466</v>
      </c>
      <c r="M106" s="7">
        <v>0.8633808080423414</v>
      </c>
      <c r="N106" s="7">
        <v>0.5595630655130877</v>
      </c>
      <c r="O106" s="7">
        <v>0.2796627878766164</v>
      </c>
      <c r="P106" s="7">
        <v>7.05708186085104</v>
      </c>
      <c r="Q106" s="7">
        <v>0.1469770200445816</v>
      </c>
      <c r="R106" s="7">
        <v>0.2868731697884043</v>
      </c>
      <c r="S106" s="7">
        <v>0.3053142706383124</v>
      </c>
      <c r="T106" s="7">
        <v>1.87691754650818</v>
      </c>
    </row>
    <row x14ac:dyDescent="0.25" r="107" customHeight="1" ht="19.5">
      <c r="A107" s="2" t="s">
        <v>3400</v>
      </c>
      <c r="B107" s="2" t="s">
        <v>3294</v>
      </c>
      <c r="C107" s="2" t="s">
        <v>3295</v>
      </c>
      <c r="D107" s="2" t="s">
        <v>32</v>
      </c>
      <c r="E107" s="6">
        <v>1</v>
      </c>
      <c r="F107" s="6">
        <v>3</v>
      </c>
      <c r="G107" s="7">
        <v>0.9307697415351868</v>
      </c>
      <c r="H107" s="7">
        <v>11.01669765625</v>
      </c>
      <c r="I107" s="7">
        <v>12.58588071205087</v>
      </c>
      <c r="J107" s="7">
        <v>4.045551833425547</v>
      </c>
      <c r="K107" s="7">
        <v>3.348205354540047</v>
      </c>
      <c r="L107" s="7">
        <v>0.586486360085298</v>
      </c>
      <c r="M107" s="7">
        <v>0.8739650637994653</v>
      </c>
      <c r="N107" s="7">
        <v>0.5648005042516949</v>
      </c>
      <c r="O107" s="7">
        <v>0.2791207220958143</v>
      </c>
      <c r="P107" s="7">
        <v>7.021863382359262</v>
      </c>
      <c r="Q107" s="7">
        <v>0.1480021583300713</v>
      </c>
      <c r="R107" s="7">
        <v>0.2882132248305408</v>
      </c>
      <c r="S107" s="7">
        <v>0.3028164464346641</v>
      </c>
      <c r="T107" s="7">
        <v>1.892388323253221</v>
      </c>
    </row>
    <row x14ac:dyDescent="0.25" r="108" customHeight="1" ht="19.5">
      <c r="A108" s="2" t="s">
        <v>3401</v>
      </c>
      <c r="B108" s="2" t="s">
        <v>3294</v>
      </c>
      <c r="C108" s="2" t="s">
        <v>3295</v>
      </c>
      <c r="D108" s="2" t="s">
        <v>32</v>
      </c>
      <c r="E108" s="6">
        <v>1</v>
      </c>
      <c r="F108" s="6">
        <v>3</v>
      </c>
      <c r="G108" s="7">
        <v>0.9286000728607178</v>
      </c>
      <c r="H108" s="7">
        <v>11.0201609375</v>
      </c>
      <c r="I108" s="7">
        <v>12.73805333766895</v>
      </c>
      <c r="J108" s="7">
        <v>4.073493197412345</v>
      </c>
      <c r="K108" s="7">
        <v>3.380393429351701</v>
      </c>
      <c r="L108" s="7">
        <v>0.5865619428724319</v>
      </c>
      <c r="M108" s="7">
        <v>0.8534767108700589</v>
      </c>
      <c r="N108" s="7">
        <v>0.5659947209795408</v>
      </c>
      <c r="O108" s="7">
        <v>0.2890923078159104</v>
      </c>
      <c r="P108" s="7">
        <v>6.965554078995629</v>
      </c>
      <c r="Q108" s="7">
        <v>0.1490724548907427</v>
      </c>
      <c r="R108" s="7">
        <v>0.2906802022481771</v>
      </c>
      <c r="S108" s="7">
        <v>0.3043736420761589</v>
      </c>
      <c r="T108" s="7">
        <v>1.906672577458924</v>
      </c>
    </row>
    <row x14ac:dyDescent="0.25" r="109" customHeight="1" ht="19.5">
      <c r="A109" s="2" t="s">
        <v>3402</v>
      </c>
      <c r="B109" s="2" t="s">
        <v>3294</v>
      </c>
      <c r="C109" s="2" t="s">
        <v>3295</v>
      </c>
      <c r="D109" s="2" t="s">
        <v>32</v>
      </c>
      <c r="E109" s="6">
        <v>1</v>
      </c>
      <c r="F109" s="6">
        <v>3</v>
      </c>
      <c r="G109" s="7">
        <v>0.9324368834495544</v>
      </c>
      <c r="H109" s="7">
        <v>11.13444921875</v>
      </c>
      <c r="I109" s="7">
        <v>12.75233265706804</v>
      </c>
      <c r="J109" s="7">
        <v>4.054260599620178</v>
      </c>
      <c r="K109" s="7">
        <v>3.396037211025763</v>
      </c>
      <c r="L109" s="7">
        <v>0.5902335855164172</v>
      </c>
      <c r="M109" s="7">
        <v>0.8603978897397656</v>
      </c>
      <c r="N109" s="7">
        <v>0.5674354782295296</v>
      </c>
      <c r="O109" s="7">
        <v>0.2914073833156976</v>
      </c>
      <c r="P109" s="7">
        <v>6.954534550370029</v>
      </c>
      <c r="Q109" s="7">
        <v>0.1468716282165474</v>
      </c>
      <c r="R109" s="7">
        <v>0.2868252132868883</v>
      </c>
      <c r="S109" s="7">
        <v>0.3037464519854654</v>
      </c>
      <c r="T109" s="7">
        <v>1.898005333378841</v>
      </c>
    </row>
    <row x14ac:dyDescent="0.25" r="110" customHeight="1" ht="19.5">
      <c r="A110" s="2" t="s">
        <v>3403</v>
      </c>
      <c r="B110" s="2" t="s">
        <v>3294</v>
      </c>
      <c r="C110" s="2" t="s">
        <v>3295</v>
      </c>
      <c r="D110" s="2" t="s">
        <v>32</v>
      </c>
      <c r="E110" s="6">
        <v>1</v>
      </c>
      <c r="F110" s="6">
        <v>3</v>
      </c>
      <c r="G110" s="7">
        <v>0.9309836030006408</v>
      </c>
      <c r="H110" s="7">
        <v>11.12059609375</v>
      </c>
      <c r="I110" s="7">
        <v>12.7725266642237</v>
      </c>
      <c r="J110" s="7">
        <v>4.07485940343048</v>
      </c>
      <c r="K110" s="7">
        <v>3.397922141832661</v>
      </c>
      <c r="L110" s="7">
        <v>0.5828429613930541</v>
      </c>
      <c r="M110" s="7">
        <v>0.8566122786030423</v>
      </c>
      <c r="N110" s="7">
        <v>0.5657808785624383</v>
      </c>
      <c r="O110" s="7">
        <v>0.28315222023398</v>
      </c>
      <c r="P110" s="7">
        <v>7.006534377176552</v>
      </c>
      <c r="Q110" s="7">
        <v>0.1468014339998862</v>
      </c>
      <c r="R110" s="7">
        <v>0.2876291104806953</v>
      </c>
      <c r="S110" s="7">
        <v>0.3027456389217037</v>
      </c>
      <c r="T110" s="7">
        <v>1.89473791267773</v>
      </c>
    </row>
    <row x14ac:dyDescent="0.25" r="111" customHeight="1" ht="19.5">
      <c r="A111" s="2" t="s">
        <v>3404</v>
      </c>
      <c r="B111" s="2" t="s">
        <v>3294</v>
      </c>
      <c r="C111" s="2" t="s">
        <v>3295</v>
      </c>
      <c r="D111" s="2" t="s">
        <v>32</v>
      </c>
      <c r="E111" s="6">
        <v>1</v>
      </c>
      <c r="F111" s="6">
        <v>3</v>
      </c>
      <c r="G111" s="7">
        <v>0.9303276538848876</v>
      </c>
      <c r="H111" s="7">
        <v>11.03055078125</v>
      </c>
      <c r="I111" s="7">
        <v>12.7035800111142</v>
      </c>
      <c r="J111" s="7">
        <v>4.055301051625454</v>
      </c>
      <c r="K111" s="7">
        <v>3.379140096799946</v>
      </c>
      <c r="L111" s="7">
        <v>0.5825767778587218</v>
      </c>
      <c r="M111" s="7">
        <v>0.8589241382422922</v>
      </c>
      <c r="N111" s="7">
        <v>0.5664049329536143</v>
      </c>
      <c r="O111" s="7">
        <v>0.2885732916875645</v>
      </c>
      <c r="P111" s="7">
        <v>6.978705605787072</v>
      </c>
      <c r="Q111" s="7">
        <v>0.1474119749556253</v>
      </c>
      <c r="R111" s="7">
        <v>0.2883203143591296</v>
      </c>
      <c r="S111" s="7">
        <v>0.3023685840208539</v>
      </c>
      <c r="T111" s="7">
        <v>1.887212233377633</v>
      </c>
    </row>
    <row x14ac:dyDescent="0.25" r="112" customHeight="1" ht="19.5">
      <c r="A112" s="2" t="s">
        <v>3405</v>
      </c>
      <c r="B112" s="2" t="s">
        <v>3294</v>
      </c>
      <c r="C112" s="2" t="s">
        <v>3295</v>
      </c>
      <c r="D112" s="2" t="s">
        <v>32</v>
      </c>
      <c r="E112" s="6">
        <v>1</v>
      </c>
      <c r="F112" s="6">
        <v>3</v>
      </c>
      <c r="G112" s="7">
        <v>0.9305163025856018</v>
      </c>
      <c r="H112" s="7">
        <v>11.03055078125</v>
      </c>
      <c r="I112" s="7">
        <v>12.72377401826986</v>
      </c>
      <c r="J112" s="7">
        <v>4.075075364151004</v>
      </c>
      <c r="K112" s="7">
        <v>3.365263147942662</v>
      </c>
      <c r="L112" s="7">
        <v>0.5911096061155692</v>
      </c>
      <c r="M112" s="7">
        <v>0.8561998905659399</v>
      </c>
      <c r="N112" s="7">
        <v>0.5603467526184648</v>
      </c>
      <c r="O112" s="7">
        <v>0.2778434795834361</v>
      </c>
      <c r="P112" s="7">
        <v>7.050289263038403</v>
      </c>
      <c r="Q112" s="7">
        <v>0.1484998063564639</v>
      </c>
      <c r="R112" s="7">
        <v>0.2890499315995578</v>
      </c>
      <c r="S112" s="7">
        <v>0.3030367258466717</v>
      </c>
      <c r="T112" s="7">
        <v>1.901138976629889</v>
      </c>
    </row>
    <row x14ac:dyDescent="0.25" r="113" customHeight="1" ht="19.5">
      <c r="A113" s="2" t="s">
        <v>3406</v>
      </c>
      <c r="B113" s="2" t="s">
        <v>3294</v>
      </c>
      <c r="C113" s="2" t="s">
        <v>3295</v>
      </c>
      <c r="D113" s="2" t="s">
        <v>32</v>
      </c>
      <c r="E113" s="6">
        <v>1</v>
      </c>
      <c r="F113" s="6">
        <v>3</v>
      </c>
      <c r="G113" s="7">
        <v>0.9288886189460754</v>
      </c>
      <c r="H113" s="7">
        <v>11.0825</v>
      </c>
      <c r="I113" s="7">
        <v>12.70358001111421</v>
      </c>
      <c r="J113" s="7">
        <v>4.076443430745336</v>
      </c>
      <c r="K113" s="7">
        <v>3.359024600551886</v>
      </c>
      <c r="L113" s="7">
        <v>0.5981014392700064</v>
      </c>
      <c r="M113" s="7">
        <v>0.8629693068682369</v>
      </c>
      <c r="N113" s="7">
        <v>0.5643256711105652</v>
      </c>
      <c r="O113" s="7">
        <v>0.2842776884428165</v>
      </c>
      <c r="P113" s="7">
        <v>6.990464423163416</v>
      </c>
      <c r="Q113" s="7">
        <v>0.1469253607754517</v>
      </c>
      <c r="R113" s="7">
        <v>0.2855870050014649</v>
      </c>
      <c r="S113" s="7">
        <v>0.2992295379163182</v>
      </c>
      <c r="T113" s="7">
        <v>1.889841083044536</v>
      </c>
    </row>
    <row x14ac:dyDescent="0.25" r="114" customHeight="1" ht="19.5">
      <c r="A114" s="2" t="s">
        <v>3407</v>
      </c>
      <c r="B114" s="2" t="s">
        <v>3294</v>
      </c>
      <c r="C114" s="2" t="s">
        <v>3295</v>
      </c>
      <c r="D114" s="2" t="s">
        <v>32</v>
      </c>
      <c r="E114" s="6">
        <v>1</v>
      </c>
      <c r="F114" s="6">
        <v>3</v>
      </c>
      <c r="G114" s="7">
        <v>0.9330361485481262</v>
      </c>
      <c r="H114" s="7">
        <v>11.096353125</v>
      </c>
      <c r="I114" s="7">
        <v>12.7035800111142</v>
      </c>
      <c r="J114" s="7">
        <v>4.053633596684118</v>
      </c>
      <c r="K114" s="7">
        <v>3.386987882133098</v>
      </c>
      <c r="L114" s="7">
        <v>0.57949066474964</v>
      </c>
      <c r="M114" s="7">
        <v>0.8640480185018224</v>
      </c>
      <c r="N114" s="7">
        <v>0.5643666654701383</v>
      </c>
      <c r="O114" s="7">
        <v>0.2847519358362085</v>
      </c>
      <c r="P114" s="7">
        <v>6.99418055147491</v>
      </c>
      <c r="Q114" s="7">
        <v>0.1462227688432317</v>
      </c>
      <c r="R114" s="7">
        <v>0.2868195677078223</v>
      </c>
      <c r="S114" s="7">
        <v>0.3006955868276519</v>
      </c>
      <c r="T114" s="7">
        <v>1.883154934049258</v>
      </c>
    </row>
    <row x14ac:dyDescent="0.25" r="115" customHeight="1" ht="19.5">
      <c r="A115" s="2" t="s">
        <v>3408</v>
      </c>
      <c r="B115" s="2" t="s">
        <v>3294</v>
      </c>
      <c r="C115" s="2" t="s">
        <v>3295</v>
      </c>
      <c r="D115" s="2" t="s">
        <v>32</v>
      </c>
      <c r="E115" s="6">
        <v>1</v>
      </c>
      <c r="F115" s="6">
        <v>3</v>
      </c>
      <c r="G115" s="7">
        <v>0.9309840202331544</v>
      </c>
      <c r="H115" s="7">
        <v>11.1379125</v>
      </c>
      <c r="I115" s="7">
        <v>12.7725266642237</v>
      </c>
      <c r="J115" s="7">
        <v>4.053574201356926</v>
      </c>
      <c r="K115" s="7">
        <v>3.407196425073763</v>
      </c>
      <c r="L115" s="7">
        <v>0.5710681958314802</v>
      </c>
      <c r="M115" s="7">
        <v>0.8579461501050711</v>
      </c>
      <c r="N115" s="7">
        <v>0.5630127053592016</v>
      </c>
      <c r="O115" s="7">
        <v>0.2819928019116015</v>
      </c>
      <c r="P115" s="7">
        <v>7.019061403623784</v>
      </c>
      <c r="Q115" s="7">
        <v>0.1454986010405919</v>
      </c>
      <c r="R115" s="7">
        <v>0.2864154736124608</v>
      </c>
      <c r="S115" s="7">
        <v>0.3004710362797057</v>
      </c>
      <c r="T115" s="7">
        <v>1.88084669986428</v>
      </c>
    </row>
    <row x14ac:dyDescent="0.25" r="116" customHeight="1" ht="19.5">
      <c r="A116" s="2" t="s">
        <v>3409</v>
      </c>
      <c r="B116" s="2" t="s">
        <v>3294</v>
      </c>
      <c r="C116" s="2" t="s">
        <v>3295</v>
      </c>
      <c r="D116" s="2" t="s">
        <v>32</v>
      </c>
      <c r="E116" s="6">
        <v>1</v>
      </c>
      <c r="F116" s="6">
        <v>3</v>
      </c>
      <c r="G116" s="7">
        <v>0.931195855140686</v>
      </c>
      <c r="H116" s="7">
        <v>11.09288984375</v>
      </c>
      <c r="I116" s="7">
        <v>12.7178593305133</v>
      </c>
      <c r="J116" s="7">
        <v>4.064257403371206</v>
      </c>
      <c r="K116" s="7">
        <v>3.390099786086964</v>
      </c>
      <c r="L116" s="7">
        <v>0.5915610724163608</v>
      </c>
      <c r="M116" s="7">
        <v>0.8618397686630643</v>
      </c>
      <c r="N116" s="7">
        <v>0.5661124097300629</v>
      </c>
      <c r="O116" s="7">
        <v>0.2936139726385643</v>
      </c>
      <c r="P116" s="7">
        <v>6.94289502896873</v>
      </c>
      <c r="Q116" s="7">
        <v>0.147739916151969</v>
      </c>
      <c r="R116" s="7">
        <v>0.2880611976101759</v>
      </c>
      <c r="S116" s="7">
        <v>0.3027585320305682</v>
      </c>
      <c r="T116" s="7">
        <v>1.902099925618777</v>
      </c>
    </row>
    <row x14ac:dyDescent="0.25" r="117" customHeight="1" ht="19.5">
      <c r="A117" s="2" t="s">
        <v>3410</v>
      </c>
      <c r="B117" s="2" t="s">
        <v>3294</v>
      </c>
      <c r="C117" s="2" t="s">
        <v>3295</v>
      </c>
      <c r="D117" s="2" t="s">
        <v>32</v>
      </c>
      <c r="E117" s="6">
        <v>1</v>
      </c>
      <c r="F117" s="6">
        <v>3</v>
      </c>
      <c r="G117" s="7">
        <v>0.9363425970077516</v>
      </c>
      <c r="H117" s="7">
        <v>11.124059375</v>
      </c>
      <c r="I117" s="7">
        <v>12.78680598362279</v>
      </c>
      <c r="J117" s="7">
        <v>4.053602197344702</v>
      </c>
      <c r="K117" s="7">
        <v>3.371000148870094</v>
      </c>
      <c r="L117" s="7">
        <v>0.5871322018601329</v>
      </c>
      <c r="M117" s="7">
        <v>0.8549663285243965</v>
      </c>
      <c r="N117" s="7">
        <v>0.5685951111479393</v>
      </c>
      <c r="O117" s="7">
        <v>0.2922964388701956</v>
      </c>
      <c r="P117" s="7">
        <v>6.943692403597951</v>
      </c>
      <c r="Q117" s="7">
        <v>0.1455186296876816</v>
      </c>
      <c r="R117" s="7">
        <v>0.2851996735695071</v>
      </c>
      <c r="S117" s="7">
        <v>0.2990909271530934</v>
      </c>
      <c r="T117" s="7">
        <v>1.878765924704749</v>
      </c>
    </row>
    <row x14ac:dyDescent="0.25" r="118" customHeight="1" ht="19.5">
      <c r="A118" s="2" t="s">
        <v>3411</v>
      </c>
      <c r="B118" s="2" t="s">
        <v>3294</v>
      </c>
      <c r="C118" s="2" t="s">
        <v>3295</v>
      </c>
      <c r="D118" s="2" t="s">
        <v>32</v>
      </c>
      <c r="E118" s="6">
        <v>1</v>
      </c>
      <c r="F118" s="6">
        <v>3</v>
      </c>
      <c r="G118" s="7">
        <v>0.931595742702484</v>
      </c>
      <c r="H118" s="7">
        <v>11.09288984375</v>
      </c>
      <c r="I118" s="7">
        <v>12.73805333766895</v>
      </c>
      <c r="J118" s="7">
        <v>4.069321219696638</v>
      </c>
      <c r="K118" s="7">
        <v>3.389697910612585</v>
      </c>
      <c r="L118" s="7">
        <v>0.5837715944531496</v>
      </c>
      <c r="M118" s="7">
        <v>0.8591093352975482</v>
      </c>
      <c r="N118" s="7">
        <v>0.5663342325405761</v>
      </c>
      <c r="O118" s="7">
        <v>0.284868149142472</v>
      </c>
      <c r="P118" s="7">
        <v>6.960778652661547</v>
      </c>
      <c r="Q118" s="7">
        <v>0.1438449517253975</v>
      </c>
      <c r="R118" s="7">
        <v>0.2800310291854321</v>
      </c>
      <c r="S118" s="7">
        <v>0.2932148114687623</v>
      </c>
      <c r="T118" s="7">
        <v>1.851953616218893</v>
      </c>
    </row>
    <row x14ac:dyDescent="0.25" r="119" customHeight="1" ht="19.5">
      <c r="A119" s="2" t="s">
        <v>3412</v>
      </c>
      <c r="B119" s="2" t="s">
        <v>3294</v>
      </c>
      <c r="C119" s="2" t="s">
        <v>3295</v>
      </c>
      <c r="D119" s="2" t="s">
        <v>32</v>
      </c>
      <c r="E119" s="6">
        <v>1</v>
      </c>
      <c r="F119" s="6">
        <v>3</v>
      </c>
      <c r="G119" s="7">
        <v>0.9317953586578368</v>
      </c>
      <c r="H119" s="7">
        <v>12.731021875</v>
      </c>
      <c r="I119" s="7">
        <v>13.85792905070592</v>
      </c>
      <c r="J119" s="7">
        <v>4.609672924358025</v>
      </c>
      <c r="K119" s="7">
        <v>3.447271771941375</v>
      </c>
      <c r="L119" s="7">
        <v>0.6511850699445747</v>
      </c>
      <c r="M119" s="7">
        <v>0.8330603440360289</v>
      </c>
      <c r="N119" s="7">
        <v>0.6050730636066217</v>
      </c>
      <c r="O119" s="7">
        <v>0.2617852293608998</v>
      </c>
      <c r="P119" s="7">
        <v>6.154360901169129</v>
      </c>
      <c r="Q119" s="7">
        <v>0.0704458740855999</v>
      </c>
      <c r="R119" s="7">
        <v>0.1414527174097681</v>
      </c>
      <c r="S119" s="7">
        <v>0.1534328749348904</v>
      </c>
      <c r="T119" s="7">
        <v>1.04090143344723</v>
      </c>
    </row>
    <row x14ac:dyDescent="0.25" r="120" customHeight="1" ht="19.5">
      <c r="A120" s="2" t="s">
        <v>3413</v>
      </c>
      <c r="B120" s="2" t="s">
        <v>3294</v>
      </c>
      <c r="C120" s="2" t="s">
        <v>3295</v>
      </c>
      <c r="D120" s="2" t="s">
        <v>32</v>
      </c>
      <c r="E120" s="6">
        <v>1</v>
      </c>
      <c r="F120" s="6">
        <v>3</v>
      </c>
      <c r="G120" s="7">
        <v>0.9023084044456482</v>
      </c>
      <c r="H120" s="7">
        <v>15.252290625</v>
      </c>
      <c r="I120" s="7">
        <v>15.12023917175847</v>
      </c>
      <c r="J120" s="7">
        <v>4.617280980378968</v>
      </c>
      <c r="K120" s="7">
        <v>4.236941593166892</v>
      </c>
      <c r="L120" s="7">
        <v>0.5085655683358239</v>
      </c>
      <c r="M120" s="7">
        <v>0.8383543347257759</v>
      </c>
      <c r="N120" s="7">
        <v>0.5661942876571735</v>
      </c>
      <c r="O120" s="7">
        <v>0.2325754658311051</v>
      </c>
      <c r="P120" s="7">
        <v>6.885435234741514</v>
      </c>
      <c r="Q120" s="7">
        <v>0.0227240418219996</v>
      </c>
      <c r="R120" s="7">
        <v>0.0523382781496002</v>
      </c>
      <c r="S120" s="7">
        <v>0.060007514386394</v>
      </c>
      <c r="T120" s="7">
        <v>0.4022642446400985</v>
      </c>
    </row>
    <row x14ac:dyDescent="0.25" r="121" customHeight="1" ht="19.5">
      <c r="A121" s="2" t="s">
        <v>3414</v>
      </c>
      <c r="B121" s="2" t="s">
        <v>3294</v>
      </c>
      <c r="C121" s="2" t="s">
        <v>3295</v>
      </c>
      <c r="D121" s="2" t="s">
        <v>32</v>
      </c>
      <c r="E121" s="6">
        <v>1</v>
      </c>
      <c r="F121" s="6">
        <v>3</v>
      </c>
      <c r="G121" s="7">
        <v>0.9329915046691896</v>
      </c>
      <c r="H121" s="7">
        <v>13.118909375</v>
      </c>
      <c r="I121" s="7">
        <v>13.62498039646522</v>
      </c>
      <c r="J121" s="7">
        <v>4.318836366802439</v>
      </c>
      <c r="K121" s="7">
        <v>3.672031495096725</v>
      </c>
      <c r="L121" s="7">
        <v>0.5297867125871942</v>
      </c>
      <c r="M121" s="7">
        <v>0.888046738979694</v>
      </c>
      <c r="N121" s="7">
        <v>0.5738477351652126</v>
      </c>
      <c r="O121" s="7">
        <v>0.2610939095993273</v>
      </c>
      <c r="P121" s="7">
        <v>6.878300291569253</v>
      </c>
      <c r="Q121" s="7">
        <v>0.0455272964782796</v>
      </c>
      <c r="R121" s="7">
        <v>0.0968696611845724</v>
      </c>
      <c r="S121" s="7">
        <v>0.107278569511598</v>
      </c>
      <c r="T121" s="7">
        <v>0.6932029043903781</v>
      </c>
    </row>
    <row x14ac:dyDescent="0.25" r="122" customHeight="1" ht="19.5">
      <c r="A122" s="2" t="s">
        <v>3415</v>
      </c>
      <c r="B122" s="2" t="s">
        <v>3294</v>
      </c>
      <c r="C122" s="2" t="s">
        <v>3295</v>
      </c>
      <c r="D122" s="2" t="s">
        <v>32</v>
      </c>
      <c r="E122" s="6">
        <v>1</v>
      </c>
      <c r="F122" s="6">
        <v>3</v>
      </c>
      <c r="G122" s="7">
        <v>0.9393017292022704</v>
      </c>
      <c r="H122" s="7">
        <v>12.7379484375</v>
      </c>
      <c r="I122" s="7">
        <v>13.59050706991047</v>
      </c>
      <c r="J122" s="7">
        <v>4.182606679553726</v>
      </c>
      <c r="K122" s="7">
        <v>3.703774638726521</v>
      </c>
      <c r="L122" s="7">
        <v>0.4716674594149072</v>
      </c>
      <c r="M122" s="7">
        <v>0.8666386007403309</v>
      </c>
      <c r="N122" s="7">
        <v>0.5536994821750314</v>
      </c>
      <c r="O122" s="7">
        <v>0.2773195515667938</v>
      </c>
      <c r="P122" s="7">
        <v>7.065635087511666</v>
      </c>
      <c r="Q122" s="7">
        <v>0.0716885028270746</v>
      </c>
      <c r="R122" s="7">
        <v>0.1532909934358643</v>
      </c>
      <c r="S122" s="7">
        <v>0.1683314429806603</v>
      </c>
      <c r="T122" s="7">
        <v>1.059838708258055</v>
      </c>
    </row>
    <row x14ac:dyDescent="0.25" r="123" customHeight="1" ht="19.5">
      <c r="A123" s="2" t="s">
        <v>3416</v>
      </c>
      <c r="B123" s="2" t="s">
        <v>3294</v>
      </c>
      <c r="C123" s="2" t="s">
        <v>3295</v>
      </c>
      <c r="D123" s="2" t="s">
        <v>32</v>
      </c>
      <c r="E123" s="6">
        <v>1</v>
      </c>
      <c r="F123" s="6">
        <v>3</v>
      </c>
      <c r="G123" s="7">
        <v>0.9408003687858582</v>
      </c>
      <c r="H123" s="7">
        <v>12.5855640625</v>
      </c>
      <c r="I123" s="7">
        <v>13.50728109740189</v>
      </c>
      <c r="J123" s="7">
        <v>4.186452680780572</v>
      </c>
      <c r="K123" s="7">
        <v>3.716239016394995</v>
      </c>
      <c r="L123" s="7">
        <v>0.5044192274358789</v>
      </c>
      <c r="M123" s="7">
        <v>0.8668554274716679</v>
      </c>
      <c r="N123" s="7">
        <v>0.5450463629126241</v>
      </c>
      <c r="O123" s="7">
        <v>0.2757870976838208</v>
      </c>
      <c r="P123" s="7">
        <v>7.174359419909971</v>
      </c>
      <c r="Q123" s="7">
        <v>0.0801304068624527</v>
      </c>
      <c r="R123" s="7">
        <v>0.1711457772819738</v>
      </c>
      <c r="S123" s="7">
        <v>0.1880025100151786</v>
      </c>
      <c r="T123" s="7">
        <v>1.17047141675551</v>
      </c>
    </row>
    <row x14ac:dyDescent="0.25" r="124" customHeight="1" ht="19.5">
      <c r="A124" s="2" t="s">
        <v>3417</v>
      </c>
      <c r="B124" s="2" t="s">
        <v>3294</v>
      </c>
      <c r="C124" s="2" t="s">
        <v>3295</v>
      </c>
      <c r="D124" s="2" t="s">
        <v>32</v>
      </c>
      <c r="E124" s="6">
        <v>1</v>
      </c>
      <c r="F124" s="6">
        <v>3</v>
      </c>
      <c r="G124" s="7">
        <v>0.9394629001617432</v>
      </c>
      <c r="H124" s="7">
        <v>12.6963890625</v>
      </c>
      <c r="I124" s="7">
        <v>13.54175442395663</v>
      </c>
      <c r="J124" s="7">
        <v>4.256772588352154</v>
      </c>
      <c r="K124" s="7">
        <v>3.685743109708278</v>
      </c>
      <c r="L124" s="7">
        <v>0.5054016280039808</v>
      </c>
      <c r="M124" s="7">
        <v>0.8700420016153346</v>
      </c>
      <c r="N124" s="7">
        <v>0.5479777130322645</v>
      </c>
      <c r="O124" s="7">
        <v>0.271263008913263</v>
      </c>
      <c r="P124" s="7">
        <v>7.176864989827562</v>
      </c>
      <c r="Q124" s="7">
        <v>0.0810869791981899</v>
      </c>
      <c r="R124" s="7">
        <v>0.1717873748550039</v>
      </c>
      <c r="S124" s="7">
        <v>0.1884414848591365</v>
      </c>
      <c r="T124" s="7">
        <v>1.194874035141937</v>
      </c>
    </row>
    <row x14ac:dyDescent="0.25" r="125" customHeight="1" ht="19.5">
      <c r="A125" s="2" t="s">
        <v>3418</v>
      </c>
      <c r="B125" s="2" t="s">
        <v>3294</v>
      </c>
      <c r="C125" s="2" t="s">
        <v>3295</v>
      </c>
      <c r="D125" s="2" t="s">
        <v>32</v>
      </c>
      <c r="E125" s="6">
        <v>1</v>
      </c>
      <c r="F125" s="6">
        <v>3</v>
      </c>
      <c r="G125" s="7">
        <v>0.9407016038894652</v>
      </c>
      <c r="H125" s="7">
        <v>12.66521953125</v>
      </c>
      <c r="I125" s="7">
        <v>13.54175442395663</v>
      </c>
      <c r="J125" s="7">
        <v>4.216772310286966</v>
      </c>
      <c r="K125" s="7">
        <v>3.689521340666789</v>
      </c>
      <c r="L125" s="7">
        <v>0.4977706364304934</v>
      </c>
      <c r="M125" s="7">
        <v>0.8679060556211892</v>
      </c>
      <c r="N125" s="7">
        <v>0.5497762554885395</v>
      </c>
      <c r="O125" s="7">
        <v>0.2716404906576462</v>
      </c>
      <c r="P125" s="7">
        <v>7.170597306123954</v>
      </c>
      <c r="Q125" s="7">
        <v>0.0815201376085807</v>
      </c>
      <c r="R125" s="7">
        <v>0.172713720630652</v>
      </c>
      <c r="S125" s="7">
        <v>0.187986854797629</v>
      </c>
      <c r="T125" s="7">
        <v>1.198307854990987</v>
      </c>
    </row>
    <row x14ac:dyDescent="0.25" r="126" customHeight="1" ht="19.5">
      <c r="A126" s="2" t="s">
        <v>3419</v>
      </c>
      <c r="B126" s="2" t="s">
        <v>3294</v>
      </c>
      <c r="C126" s="2" t="s">
        <v>3295</v>
      </c>
      <c r="D126" s="2" t="s">
        <v>32</v>
      </c>
      <c r="E126" s="6">
        <v>1</v>
      </c>
      <c r="F126" s="6">
        <v>3</v>
      </c>
      <c r="G126" s="7">
        <v>0.9419163465499878</v>
      </c>
      <c r="H126" s="7">
        <v>12.55093125</v>
      </c>
      <c r="I126" s="7">
        <v>13.40386111773765</v>
      </c>
      <c r="J126" s="7">
        <v>4.142514429494713</v>
      </c>
      <c r="K126" s="7">
        <v>3.675067439773946</v>
      </c>
      <c r="L126" s="7">
        <v>0.5024403630540655</v>
      </c>
      <c r="M126" s="7">
        <v>0.8778614460233353</v>
      </c>
      <c r="N126" s="7">
        <v>0.5555479955935024</v>
      </c>
      <c r="O126" s="7">
        <v>0.2783300730496943</v>
      </c>
      <c r="P126" s="7">
        <v>7.109504662670153</v>
      </c>
      <c r="Q126" s="7">
        <v>0.0803597903415245</v>
      </c>
      <c r="R126" s="7">
        <v>0.1706956629722399</v>
      </c>
      <c r="S126" s="7">
        <v>0.186845030461622</v>
      </c>
      <c r="T126" s="7">
        <v>1.1705919298421</v>
      </c>
    </row>
    <row x14ac:dyDescent="0.25" r="127" customHeight="1" ht="19.5">
      <c r="A127" s="2" t="s">
        <v>3420</v>
      </c>
      <c r="B127" s="2" t="s">
        <v>3294</v>
      </c>
      <c r="C127" s="2" t="s">
        <v>3295</v>
      </c>
      <c r="D127" s="2" t="s">
        <v>32</v>
      </c>
      <c r="E127" s="6">
        <v>1</v>
      </c>
      <c r="F127" s="6">
        <v>3</v>
      </c>
      <c r="G127" s="7">
        <v>0.9422452449798584</v>
      </c>
      <c r="H127" s="7">
        <v>12.675609375</v>
      </c>
      <c r="I127" s="7">
        <v>13.45852845144805</v>
      </c>
      <c r="J127" s="7">
        <v>4.253392107323343</v>
      </c>
      <c r="K127" s="7">
        <v>3.673685650450195</v>
      </c>
      <c r="L127" s="7">
        <v>0.4982095803728559</v>
      </c>
      <c r="M127" s="7">
        <v>0.8793941194976505</v>
      </c>
      <c r="N127" s="7">
        <v>0.5428401668515273</v>
      </c>
      <c r="O127" s="7">
        <v>0.2624144443685691</v>
      </c>
      <c r="P127" s="7">
        <v>7.23711903050297</v>
      </c>
      <c r="Q127" s="7">
        <v>0.0802097429379473</v>
      </c>
      <c r="R127" s="7">
        <v>0.1717426373627185</v>
      </c>
      <c r="S127" s="7">
        <v>0.1892363008777538</v>
      </c>
      <c r="T127" s="7">
        <v>1.180012890542271</v>
      </c>
    </row>
    <row x14ac:dyDescent="0.25" r="128" customHeight="1" ht="19.5">
      <c r="A128" s="2" t="s">
        <v>3421</v>
      </c>
      <c r="B128" s="2" t="s">
        <v>3294</v>
      </c>
      <c r="C128" s="2" t="s">
        <v>3295</v>
      </c>
      <c r="D128" s="2" t="s">
        <v>32</v>
      </c>
      <c r="E128" s="6">
        <v>1</v>
      </c>
      <c r="F128" s="6">
        <v>3</v>
      </c>
      <c r="G128" s="7">
        <v>0.9421131014823914</v>
      </c>
      <c r="H128" s="7">
        <v>12.6686828125</v>
      </c>
      <c r="I128" s="7">
        <v>13.50728109740189</v>
      </c>
      <c r="J128" s="7">
        <v>4.201408395956287</v>
      </c>
      <c r="K128" s="7">
        <v>3.694872333865572</v>
      </c>
      <c r="L128" s="7">
        <v>0.4934527364080477</v>
      </c>
      <c r="M128" s="7">
        <v>0.8725803945215631</v>
      </c>
      <c r="N128" s="7">
        <v>0.5508083450408409</v>
      </c>
      <c r="O128" s="7">
        <v>0.2721053004013287</v>
      </c>
      <c r="P128" s="7">
        <v>7.163606489206183</v>
      </c>
      <c r="Q128" s="7">
        <v>0.0805513638139305</v>
      </c>
      <c r="R128" s="7">
        <v>0.1717472555631285</v>
      </c>
      <c r="S128" s="7">
        <v>0.1891952929845019</v>
      </c>
      <c r="T128" s="7">
        <v>1.184391114850306</v>
      </c>
    </row>
    <row x14ac:dyDescent="0.25" r="129" customHeight="1" ht="19.5">
      <c r="A129" s="2" t="s">
        <v>3422</v>
      </c>
      <c r="B129" s="2" t="s">
        <v>3294</v>
      </c>
      <c r="C129" s="2" t="s">
        <v>3295</v>
      </c>
      <c r="D129" s="2" t="s">
        <v>32</v>
      </c>
      <c r="E129" s="6">
        <v>1</v>
      </c>
      <c r="F129" s="6">
        <v>3</v>
      </c>
      <c r="G129" s="7">
        <v>0.9417820572853088</v>
      </c>
      <c r="H129" s="7">
        <v>12.61673359375</v>
      </c>
      <c r="I129" s="7">
        <v>13.47280777084714</v>
      </c>
      <c r="J129" s="7">
        <v>4.116657043093602</v>
      </c>
      <c r="K129" s="7">
        <v>3.730617717115493</v>
      </c>
      <c r="L129" s="7">
        <v>0.4899657212211206</v>
      </c>
      <c r="M129" s="7">
        <v>0.8734550703728381</v>
      </c>
      <c r="N129" s="7">
        <v>0.5529132462947776</v>
      </c>
      <c r="O129" s="7">
        <v>0.2749175291582247</v>
      </c>
      <c r="P129" s="7">
        <v>7.141045921820371</v>
      </c>
      <c r="Q129" s="7">
        <v>0.0799389308496829</v>
      </c>
      <c r="R129" s="7">
        <v>0.1695286573372356</v>
      </c>
      <c r="S129" s="7">
        <v>0.1864290780220873</v>
      </c>
      <c r="T129" s="7">
        <v>1.170566385085416</v>
      </c>
    </row>
    <row x14ac:dyDescent="0.25" r="130" customHeight="1" ht="19.5">
      <c r="A130" s="2" t="s">
        <v>3423</v>
      </c>
      <c r="B130" s="2" t="s">
        <v>3294</v>
      </c>
      <c r="C130" s="2" t="s">
        <v>3295</v>
      </c>
      <c r="D130" s="2" t="s">
        <v>32</v>
      </c>
      <c r="E130" s="6">
        <v>1</v>
      </c>
      <c r="F130" s="6">
        <v>3</v>
      </c>
      <c r="G130" s="7">
        <v>0.9409648776054382</v>
      </c>
      <c r="H130" s="7">
        <v>12.744875</v>
      </c>
      <c r="I130" s="7">
        <v>13.61070107706613</v>
      </c>
      <c r="J130" s="7">
        <v>4.239476520516142</v>
      </c>
      <c r="K130" s="7">
        <v>3.742633876925492</v>
      </c>
      <c r="L130" s="7">
        <v>0.4943428979764673</v>
      </c>
      <c r="M130" s="7">
        <v>0.864538727313033</v>
      </c>
      <c r="N130" s="7">
        <v>0.546060588369906</v>
      </c>
      <c r="O130" s="7">
        <v>0.2677671680661666</v>
      </c>
      <c r="P130" s="7">
        <v>7.189450785841341</v>
      </c>
      <c r="Q130" s="7">
        <v>0.0804519279479251</v>
      </c>
      <c r="R130" s="7">
        <v>0.1707849458688175</v>
      </c>
      <c r="S130" s="7">
        <v>0.186577590268201</v>
      </c>
      <c r="T130" s="7">
        <v>1.19004344464581</v>
      </c>
    </row>
    <row x14ac:dyDescent="0.25" r="131" customHeight="1" ht="19.5">
      <c r="A131" s="2" t="s">
        <v>3424</v>
      </c>
      <c r="B131" s="2" t="s">
        <v>3294</v>
      </c>
      <c r="C131" s="2" t="s">
        <v>3295</v>
      </c>
      <c r="D131" s="2" t="s">
        <v>32</v>
      </c>
      <c r="E131" s="6">
        <v>1</v>
      </c>
      <c r="F131" s="6">
        <v>3</v>
      </c>
      <c r="G131" s="7">
        <v>0.9430896639823914</v>
      </c>
      <c r="H131" s="7">
        <v>12.64443984375</v>
      </c>
      <c r="I131" s="7">
        <v>13.57622775051138</v>
      </c>
      <c r="J131" s="7">
        <v>4.151327712211247</v>
      </c>
      <c r="K131" s="7">
        <v>3.714752944233777</v>
      </c>
      <c r="L131" s="7">
        <v>0.4959878629764156</v>
      </c>
      <c r="M131" s="7">
        <v>0.8620872631928752</v>
      </c>
      <c r="N131" s="7">
        <v>0.5531653964957732</v>
      </c>
      <c r="O131" s="7">
        <v>0.2730571821751943</v>
      </c>
      <c r="P131" s="7">
        <v>7.137169531383142</v>
      </c>
      <c r="Q131" s="7">
        <v>0.0801093562584759</v>
      </c>
      <c r="R131" s="7">
        <v>0.1703969700299639</v>
      </c>
      <c r="S131" s="7">
        <v>0.1885212336014781</v>
      </c>
      <c r="T131" s="7">
        <v>1.175638003374755</v>
      </c>
    </row>
    <row x14ac:dyDescent="0.25" r="132" customHeight="1" ht="19.5">
      <c r="A132" s="2" t="s">
        <v>3425</v>
      </c>
      <c r="B132" s="2" t="s">
        <v>3294</v>
      </c>
      <c r="C132" s="2" t="s">
        <v>3295</v>
      </c>
      <c r="D132" s="2" t="s">
        <v>32</v>
      </c>
      <c r="E132" s="6">
        <v>1</v>
      </c>
      <c r="F132" s="6">
        <v>3</v>
      </c>
      <c r="G132" s="7">
        <v>0.9402142763137816</v>
      </c>
      <c r="H132" s="7">
        <v>12.69985234375</v>
      </c>
      <c r="I132" s="7">
        <v>13.47280777084714</v>
      </c>
      <c r="J132" s="7">
        <v>4.223483450048672</v>
      </c>
      <c r="K132" s="7">
        <v>3.692778323869831</v>
      </c>
      <c r="L132" s="7">
        <v>0.4999589000389824</v>
      </c>
      <c r="M132" s="7">
        <v>0.8792093722363978</v>
      </c>
      <c r="N132" s="7">
        <v>0.5475779345476262</v>
      </c>
      <c r="O132" s="7">
        <v>0.2706592443819589</v>
      </c>
      <c r="P132" s="7">
        <v>7.165918657470535</v>
      </c>
      <c r="Q132" s="7">
        <v>0.0797469320788368</v>
      </c>
      <c r="R132" s="7">
        <v>0.1688821880253697</v>
      </c>
      <c r="S132" s="7">
        <v>0.1852967350911622</v>
      </c>
      <c r="T132" s="7">
        <v>1.175448039895965</v>
      </c>
    </row>
    <row x14ac:dyDescent="0.25" r="133" customHeight="1" ht="19.5">
      <c r="A133" s="2" t="s">
        <v>3426</v>
      </c>
      <c r="B133" s="2" t="s">
        <v>3294</v>
      </c>
      <c r="C133" s="2" t="s">
        <v>3295</v>
      </c>
      <c r="D133" s="2" t="s">
        <v>32</v>
      </c>
      <c r="E133" s="6">
        <v>1</v>
      </c>
      <c r="F133" s="6">
        <v>3</v>
      </c>
      <c r="G133" s="7">
        <v>0.9409334659576416</v>
      </c>
      <c r="H133" s="7">
        <v>12.675609375</v>
      </c>
      <c r="I133" s="7">
        <v>13.54175442395663</v>
      </c>
      <c r="J133" s="7">
        <v>4.22636190796341</v>
      </c>
      <c r="K133" s="7">
        <v>3.684442562015462</v>
      </c>
      <c r="L133" s="7">
        <v>0.5096175201823794</v>
      </c>
      <c r="M133" s="7">
        <v>0.8686180376192377</v>
      </c>
      <c r="N133" s="7">
        <v>0.5516725571008476</v>
      </c>
      <c r="O133" s="7">
        <v>0.2714598098757197</v>
      </c>
      <c r="P133" s="7">
        <v>7.150031150946807</v>
      </c>
      <c r="Q133" s="7">
        <v>0.0798716441141173</v>
      </c>
      <c r="R133" s="7">
        <v>0.1707497342918837</v>
      </c>
      <c r="S133" s="7">
        <v>0.1878558178251076</v>
      </c>
      <c r="T133" s="7">
        <v>1.175038919104595</v>
      </c>
    </row>
    <row x14ac:dyDescent="0.25" r="134" customHeight="1" ht="19.5">
      <c r="A134" s="2" t="s">
        <v>3427</v>
      </c>
      <c r="B134" s="2" t="s">
        <v>3294</v>
      </c>
      <c r="C134" s="2" t="s">
        <v>3295</v>
      </c>
      <c r="D134" s="2" t="s">
        <v>32</v>
      </c>
      <c r="E134" s="6">
        <v>1</v>
      </c>
      <c r="F134" s="6">
        <v>3</v>
      </c>
      <c r="G134" s="7">
        <v>0.942116379737854</v>
      </c>
      <c r="H134" s="7">
        <v>12.7795078125</v>
      </c>
      <c r="I134" s="7">
        <v>13.57622775051138</v>
      </c>
      <c r="J134" s="7">
        <v>4.18556041528624</v>
      </c>
      <c r="K134" s="7">
        <v>3.751241249884576</v>
      </c>
      <c r="L134" s="7">
        <v>0.4787446351090749</v>
      </c>
      <c r="M134" s="7">
        <v>0.8712960835885263</v>
      </c>
      <c r="N134" s="7">
        <v>0.5484780573187237</v>
      </c>
      <c r="O134" s="7">
        <v>0.2655746857947959</v>
      </c>
      <c r="P134" s="7">
        <v>7.213815917966293</v>
      </c>
      <c r="Q134" s="7">
        <v>0.0798163942820572</v>
      </c>
      <c r="R134" s="7">
        <v>0.1707195782197627</v>
      </c>
      <c r="S134" s="7">
        <v>0.1862163292800543</v>
      </c>
      <c r="T134" s="7">
        <v>1.183850910350476</v>
      </c>
    </row>
    <row x14ac:dyDescent="0.25" r="135" customHeight="1" ht="19.5">
      <c r="A135" s="2" t="s">
        <v>3428</v>
      </c>
      <c r="B135" s="2" t="s">
        <v>3294</v>
      </c>
      <c r="C135" s="2" t="s">
        <v>3295</v>
      </c>
      <c r="D135" s="2" t="s">
        <v>32</v>
      </c>
      <c r="E135" s="6">
        <v>1</v>
      </c>
      <c r="F135" s="6">
        <v>3</v>
      </c>
      <c r="G135" s="7">
        <v>0.9419163465499878</v>
      </c>
      <c r="H135" s="7">
        <v>12.71716875</v>
      </c>
      <c r="I135" s="7">
        <v>13.43833444429239</v>
      </c>
      <c r="J135" s="7">
        <v>4.228172671555066</v>
      </c>
      <c r="K135" s="7">
        <v>3.681406586445248</v>
      </c>
      <c r="L135" s="7">
        <v>0.5100580197130418</v>
      </c>
      <c r="M135" s="7">
        <v>0.8849309968096519</v>
      </c>
      <c r="N135" s="7">
        <v>0.5493381621381386</v>
      </c>
      <c r="O135" s="7">
        <v>0.2692924820467741</v>
      </c>
      <c r="P135" s="7">
        <v>7.174918001149855</v>
      </c>
      <c r="Q135" s="7">
        <v>0.0798016737652604</v>
      </c>
      <c r="R135" s="7">
        <v>0.1699081048523201</v>
      </c>
      <c r="S135" s="7">
        <v>0.1883875474419306</v>
      </c>
      <c r="T135" s="7">
        <v>1.177858755606157</v>
      </c>
    </row>
    <row x14ac:dyDescent="0.25" r="136" customHeight="1" ht="19.5">
      <c r="A136" s="2" t="s">
        <v>3429</v>
      </c>
      <c r="B136" s="2" t="s">
        <v>3294</v>
      </c>
      <c r="C136" s="2" t="s">
        <v>3295</v>
      </c>
      <c r="D136" s="2" t="s">
        <v>32</v>
      </c>
      <c r="E136" s="6">
        <v>1</v>
      </c>
      <c r="F136" s="6">
        <v>3</v>
      </c>
      <c r="G136" s="7">
        <v>0.941367506980896</v>
      </c>
      <c r="H136" s="7">
        <v>12.65136640625</v>
      </c>
      <c r="I136" s="7">
        <v>13.50728109740188</v>
      </c>
      <c r="J136" s="7">
        <v>4.16460924857236</v>
      </c>
      <c r="K136" s="7">
        <v>3.686272471390722</v>
      </c>
      <c r="L136" s="7">
        <v>0.5004229467302486</v>
      </c>
      <c r="M136" s="7">
        <v>0.8713876930528351</v>
      </c>
      <c r="N136" s="7">
        <v>0.55275674206574</v>
      </c>
      <c r="O136" s="7">
        <v>0.2731596419956414</v>
      </c>
      <c r="P136" s="7">
        <v>7.147485463741964</v>
      </c>
      <c r="Q136" s="7">
        <v>0.0796835786833917</v>
      </c>
      <c r="R136" s="7">
        <v>0.1684168474808566</v>
      </c>
      <c r="S136" s="7">
        <v>0.1864779526510171</v>
      </c>
      <c r="T136" s="7">
        <v>1.170030126891759</v>
      </c>
    </row>
    <row x14ac:dyDescent="0.25" r="137" customHeight="1" ht="19.5">
      <c r="A137" s="2" t="s">
        <v>3430</v>
      </c>
      <c r="B137" s="2" t="s">
        <v>3294</v>
      </c>
      <c r="C137" s="2" t="s">
        <v>3295</v>
      </c>
      <c r="D137" s="2" t="s">
        <v>32</v>
      </c>
      <c r="E137" s="6">
        <v>1</v>
      </c>
      <c r="F137" s="6">
        <v>3</v>
      </c>
      <c r="G137" s="7">
        <v>0.9427287578582764</v>
      </c>
      <c r="H137" s="7">
        <v>12.70677890625</v>
      </c>
      <c r="I137" s="7">
        <v>13.50728109740188</v>
      </c>
      <c r="J137" s="7">
        <v>4.22696259666923</v>
      </c>
      <c r="K137" s="7">
        <v>3.708493364772914</v>
      </c>
      <c r="L137" s="7">
        <v>0.5047869349915203</v>
      </c>
      <c r="M137" s="7">
        <v>0.8752043377527655</v>
      </c>
      <c r="N137" s="7">
        <v>0.5487472769902677</v>
      </c>
      <c r="O137" s="7">
        <v>0.2693028800504992</v>
      </c>
      <c r="P137" s="7">
        <v>7.182032967761165</v>
      </c>
      <c r="Q137" s="7">
        <v>0.0798580487240712</v>
      </c>
      <c r="R137" s="7">
        <v>0.1701049774034342</v>
      </c>
      <c r="S137" s="7">
        <v>0.1859394519449576</v>
      </c>
      <c r="T137" s="7">
        <v>1.177727857431441</v>
      </c>
    </row>
    <row x14ac:dyDescent="0.25" r="138" customHeight="1" ht="19.5">
      <c r="A138" s="2" t="s">
        <v>3431</v>
      </c>
      <c r="B138" s="2" t="s">
        <v>3294</v>
      </c>
      <c r="C138" s="2" t="s">
        <v>3295</v>
      </c>
      <c r="D138" s="2" t="s">
        <v>32</v>
      </c>
      <c r="E138" s="6">
        <v>1</v>
      </c>
      <c r="F138" s="6">
        <v>3</v>
      </c>
      <c r="G138" s="7">
        <v>0.9415870904922484</v>
      </c>
      <c r="H138" s="7">
        <v>12.786434375</v>
      </c>
      <c r="I138" s="7">
        <v>13.47280777084714</v>
      </c>
      <c r="J138" s="7">
        <v>4.223845130880455</v>
      </c>
      <c r="K138" s="7">
        <v>3.693215307615744</v>
      </c>
      <c r="L138" s="7">
        <v>0.5109784318839002</v>
      </c>
      <c r="M138" s="7">
        <v>0.8852034366776056</v>
      </c>
      <c r="N138" s="7">
        <v>0.5504465465420357</v>
      </c>
      <c r="O138" s="7">
        <v>0.2656877371476088</v>
      </c>
      <c r="P138" s="7">
        <v>7.205151738819326</v>
      </c>
      <c r="Q138" s="7">
        <v>0.0798211158882841</v>
      </c>
      <c r="R138" s="7">
        <v>0.1702460861205139</v>
      </c>
      <c r="S138" s="7">
        <v>0.1879657950896907</v>
      </c>
      <c r="T138" s="7">
        <v>1.184562633618617</v>
      </c>
    </row>
    <row x14ac:dyDescent="0.25" r="139" customHeight="1" ht="19.5">
      <c r="A139" s="2" t="s">
        <v>3432</v>
      </c>
      <c r="B139" s="2" t="s">
        <v>3294</v>
      </c>
      <c r="C139" s="2" t="s">
        <v>3295</v>
      </c>
      <c r="D139" s="2" t="s">
        <v>32</v>
      </c>
      <c r="E139" s="6">
        <v>1</v>
      </c>
      <c r="F139" s="6">
        <v>3</v>
      </c>
      <c r="G139" s="7">
        <v>0.938986837863922</v>
      </c>
      <c r="H139" s="7">
        <v>12.77258125</v>
      </c>
      <c r="I139" s="7">
        <v>13.57622775051138</v>
      </c>
      <c r="J139" s="7">
        <v>4.197804675562694</v>
      </c>
      <c r="K139" s="7">
        <v>3.714887328714695</v>
      </c>
      <c r="L139" s="7">
        <v>0.4918687132666778</v>
      </c>
      <c r="M139" s="7">
        <v>0.870823836388749</v>
      </c>
      <c r="N139" s="7">
        <v>0.5496393251008418</v>
      </c>
      <c r="O139" s="7">
        <v>0.2658591604766689</v>
      </c>
      <c r="P139" s="7">
        <v>7.200729117566454</v>
      </c>
      <c r="Q139" s="7">
        <v>0.0795105791525894</v>
      </c>
      <c r="R139" s="7">
        <v>0.1687318749754309</v>
      </c>
      <c r="S139" s="7">
        <v>0.1856424592942344</v>
      </c>
      <c r="T139" s="7">
        <v>1.178675811008078</v>
      </c>
    </row>
    <row x14ac:dyDescent="0.25" r="140" customHeight="1" ht="19.5">
      <c r="A140" s="2" t="s">
        <v>3433</v>
      </c>
      <c r="B140" s="2" t="s">
        <v>3294</v>
      </c>
      <c r="C140" s="2" t="s">
        <v>3295</v>
      </c>
      <c r="D140" s="2" t="s">
        <v>32</v>
      </c>
      <c r="E140" s="6">
        <v>1</v>
      </c>
      <c r="F140" s="6">
        <v>3</v>
      </c>
      <c r="G140" s="7">
        <v>0.9425014853477478</v>
      </c>
      <c r="H140" s="7">
        <v>12.65136640625</v>
      </c>
      <c r="I140" s="7">
        <v>13.47280777084714</v>
      </c>
      <c r="J140" s="7">
        <v>4.235081718899803</v>
      </c>
      <c r="K140" s="7">
        <v>3.686854415784172</v>
      </c>
      <c r="L140" s="7">
        <v>0.5069020435973414</v>
      </c>
      <c r="M140" s="7">
        <v>0.8758526961493213</v>
      </c>
      <c r="N140" s="7">
        <v>0.5532350210575183</v>
      </c>
      <c r="O140" s="7">
        <v>0.272752271975492</v>
      </c>
      <c r="P140" s="7">
        <v>7.161871416068442</v>
      </c>
      <c r="Q140" s="7">
        <v>0.0793098901691668</v>
      </c>
      <c r="R140" s="7">
        <v>0.1695549012157414</v>
      </c>
      <c r="S140" s="7">
        <v>0.184758954265703</v>
      </c>
      <c r="T140" s="7">
        <v>1.164543088948172</v>
      </c>
    </row>
    <row x14ac:dyDescent="0.25" r="141" customHeight="1" ht="19.5">
      <c r="A141" s="2" t="s">
        <v>3434</v>
      </c>
      <c r="B141" s="2" t="s">
        <v>3294</v>
      </c>
      <c r="C141" s="2" t="s">
        <v>3295</v>
      </c>
      <c r="D141" s="2" t="s">
        <v>32</v>
      </c>
      <c r="E141" s="6">
        <v>1</v>
      </c>
      <c r="F141" s="6">
        <v>3</v>
      </c>
      <c r="G141" s="7">
        <v>0.939385712146759</v>
      </c>
      <c r="H141" s="7">
        <v>12.63751328125</v>
      </c>
      <c r="I141" s="7">
        <v>13.50728109740188</v>
      </c>
      <c r="J141" s="7">
        <v>4.172496743254342</v>
      </c>
      <c r="K141" s="7">
        <v>3.71955183722524</v>
      </c>
      <c r="L141" s="7">
        <v>0.5012098380155463</v>
      </c>
      <c r="M141" s="7">
        <v>0.8704335318778526</v>
      </c>
      <c r="N141" s="7">
        <v>0.5538785526111526</v>
      </c>
      <c r="O141" s="7">
        <v>0.2735902873742454</v>
      </c>
      <c r="P141" s="7">
        <v>7.131982249023757</v>
      </c>
      <c r="Q141" s="7">
        <v>0.0798228481268789</v>
      </c>
      <c r="R141" s="7">
        <v>0.1690041125415864</v>
      </c>
      <c r="S141" s="7">
        <v>0.1864219675074455</v>
      </c>
      <c r="T141" s="7">
        <v>1.170791672310815</v>
      </c>
    </row>
    <row x14ac:dyDescent="0.25" r="142" customHeight="1" ht="19.5">
      <c r="A142" s="2" t="s">
        <v>3435</v>
      </c>
      <c r="B142" s="2" t="s">
        <v>3294</v>
      </c>
      <c r="C142" s="2" t="s">
        <v>3295</v>
      </c>
      <c r="D142" s="2" t="s">
        <v>32</v>
      </c>
      <c r="E142" s="6">
        <v>1</v>
      </c>
      <c r="F142" s="6">
        <v>3</v>
      </c>
      <c r="G142" s="7">
        <v>0.9420294165611268</v>
      </c>
      <c r="H142" s="7">
        <v>12.83145703125</v>
      </c>
      <c r="I142" s="7">
        <v>13.52747510455754</v>
      </c>
      <c r="J142" s="7">
        <v>4.315670677075373</v>
      </c>
      <c r="K142" s="7">
        <v>3.686352696078339</v>
      </c>
      <c r="L142" s="7">
        <v>0.5077959825999713</v>
      </c>
      <c r="M142" s="7">
        <v>0.8811550839596636</v>
      </c>
      <c r="N142" s="7">
        <v>0.543997120150179</v>
      </c>
      <c r="O142" s="7">
        <v>0.2541091693339355</v>
      </c>
      <c r="P142" s="7">
        <v>7.220794742188083</v>
      </c>
      <c r="Q142" s="7">
        <v>0.0721558478287376</v>
      </c>
      <c r="R142" s="7">
        <v>0.1562542566368767</v>
      </c>
      <c r="S142" s="7">
        <v>0.169940123181632</v>
      </c>
      <c r="T142" s="7">
        <v>1.074578848899812</v>
      </c>
    </row>
    <row x14ac:dyDescent="0.25" r="143" customHeight="1" ht="19.5">
      <c r="A143" s="2" t="s">
        <v>3436</v>
      </c>
      <c r="B143" s="2" t="s">
        <v>3294</v>
      </c>
      <c r="C143" s="2" t="s">
        <v>3295</v>
      </c>
      <c r="D143" s="2" t="s">
        <v>32</v>
      </c>
      <c r="E143" s="6">
        <v>1</v>
      </c>
      <c r="F143" s="6">
        <v>3</v>
      </c>
      <c r="G143" s="7">
        <v>0.8476017713546753</v>
      </c>
      <c r="H143" s="7">
        <v>17.82550859375</v>
      </c>
      <c r="I143" s="7">
        <v>16.50789565156621</v>
      </c>
      <c r="J143" s="7">
        <v>5.215431785121854</v>
      </c>
      <c r="K143" s="7">
        <v>4.86379861406887</v>
      </c>
      <c r="L143" s="7">
        <v>0.3772582999195188</v>
      </c>
      <c r="M143" s="7">
        <v>0.8219934633356837</v>
      </c>
      <c r="N143" s="7">
        <v>0.6234490063004857</v>
      </c>
      <c r="O143" s="7">
        <v>0.2035131246801411</v>
      </c>
      <c r="P143" s="7">
        <v>6.784799721904278</v>
      </c>
      <c r="Q143" s="7">
        <v>0.0176295988865315</v>
      </c>
      <c r="R143" s="7">
        <v>0.0445457388125681</v>
      </c>
      <c r="S143" s="7">
        <v>0.0524006643437474</v>
      </c>
      <c r="T143" s="7">
        <v>0.3647330691817697</v>
      </c>
    </row>
    <row x14ac:dyDescent="0.25" r="144" customHeight="1" ht="19.5">
      <c r="A144" s="2" t="s">
        <v>3437</v>
      </c>
      <c r="B144" s="2" t="s">
        <v>3294</v>
      </c>
      <c r="C144" s="2" t="s">
        <v>3295</v>
      </c>
      <c r="D144" s="2" t="s">
        <v>32</v>
      </c>
      <c r="E144" s="6">
        <v>1</v>
      </c>
      <c r="F144" s="6">
        <v>3</v>
      </c>
      <c r="G144" s="7">
        <v>0.8817163705825806</v>
      </c>
      <c r="H144" s="7">
        <v>15.626325</v>
      </c>
      <c r="I144" s="7">
        <v>16.56292177125195</v>
      </c>
      <c r="J144" s="7">
        <v>5.084222460145395</v>
      </c>
      <c r="K144" s="7">
        <v>4.637294982959287</v>
      </c>
      <c r="L144" s="7">
        <v>0.5535667861332219</v>
      </c>
      <c r="M144" s="7">
        <v>0.7158018481508045</v>
      </c>
      <c r="N144" s="7">
        <v>0.5847596500099995</v>
      </c>
      <c r="O144" s="7">
        <v>0.1976157642561972</v>
      </c>
      <c r="P144" s="7">
        <v>7.282837249918384</v>
      </c>
      <c r="Q144" s="7">
        <v>0.0183210893463866</v>
      </c>
      <c r="R144" s="7">
        <v>0.0448732240925463</v>
      </c>
      <c r="S144" s="7">
        <v>0.0550441559989497</v>
      </c>
      <c r="T144" s="7">
        <v>0.332275962990792</v>
      </c>
    </row>
    <row x14ac:dyDescent="0.25" r="145" customHeight="1" ht="19.5">
      <c r="A145" s="2" t="s">
        <v>3438</v>
      </c>
      <c r="B145" s="2" t="s">
        <v>3294</v>
      </c>
      <c r="C145" s="2" t="s">
        <v>3295</v>
      </c>
      <c r="D145" s="2" t="s">
        <v>32</v>
      </c>
      <c r="E145" s="6">
        <v>1</v>
      </c>
      <c r="F145" s="6">
        <v>3</v>
      </c>
      <c r="G145" s="7">
        <v>0.9233944416046144</v>
      </c>
      <c r="H145" s="7">
        <v>12.61673359375</v>
      </c>
      <c r="I145" s="7">
        <v>13.82590566803714</v>
      </c>
      <c r="J145" s="7">
        <v>4.474646747522433</v>
      </c>
      <c r="K145" s="7">
        <v>3.449669878106591</v>
      </c>
      <c r="L145" s="7">
        <v>0.6718433318792628</v>
      </c>
      <c r="M145" s="7">
        <v>0.829410669957299</v>
      </c>
      <c r="N145" s="7">
        <v>0.6285054045161415</v>
      </c>
      <c r="O145" s="7">
        <v>0.3056226892204333</v>
      </c>
      <c r="P145" s="7">
        <v>6.632603019285496</v>
      </c>
      <c r="Q145" s="7">
        <v>0.0362482162533993</v>
      </c>
      <c r="R145" s="7">
        <v>0.0796127167582253</v>
      </c>
      <c r="S145" s="7">
        <v>0.0876080800721089</v>
      </c>
      <c r="T145" s="7">
        <v>0.530791981010144</v>
      </c>
    </row>
    <row x14ac:dyDescent="0.25" r="146" customHeight="1" ht="19.5">
      <c r="A146" s="2" t="s">
        <v>3439</v>
      </c>
      <c r="B146" s="2" t="s">
        <v>3294</v>
      </c>
      <c r="C146" s="2" t="s">
        <v>3295</v>
      </c>
      <c r="D146" s="2" t="s">
        <v>32</v>
      </c>
      <c r="E146" s="6">
        <v>1</v>
      </c>
      <c r="F146" s="6">
        <v>3</v>
      </c>
      <c r="G146" s="7">
        <v>0.9313369989395142</v>
      </c>
      <c r="H146" s="7">
        <v>12.066071875</v>
      </c>
      <c r="I146" s="7">
        <v>13.4240551248933</v>
      </c>
      <c r="J146" s="7">
        <v>4.317929822549164</v>
      </c>
      <c r="K146" s="7">
        <v>3.345767353117274</v>
      </c>
      <c r="L146" s="7">
        <v>0.6604662672242951</v>
      </c>
      <c r="M146" s="7">
        <v>0.8414112574161814</v>
      </c>
      <c r="N146" s="7">
        <v>0.6120301314308112</v>
      </c>
      <c r="O146" s="7">
        <v>0.2963585996772691</v>
      </c>
      <c r="P146" s="7">
        <v>6.804612412890236</v>
      </c>
      <c r="Q146" s="7">
        <v>0.0489200086085178</v>
      </c>
      <c r="R146" s="7">
        <v>0.1073099190996512</v>
      </c>
      <c r="S146" s="7">
        <v>0.1187860435786168</v>
      </c>
      <c r="T146" s="7">
        <v>0.6850830346923816</v>
      </c>
    </row>
    <row x14ac:dyDescent="0.25" r="147" customHeight="1" ht="19.5">
      <c r="A147" s="2" t="s">
        <v>3440</v>
      </c>
      <c r="B147" s="2" t="s">
        <v>3294</v>
      </c>
      <c r="C147" s="2" t="s">
        <v>3295</v>
      </c>
      <c r="D147" s="2" t="s">
        <v>32</v>
      </c>
      <c r="E147" s="6">
        <v>1</v>
      </c>
      <c r="F147" s="6">
        <v>3</v>
      </c>
      <c r="G147" s="7">
        <v>0.9320279955863952</v>
      </c>
      <c r="H147" s="7">
        <v>12.13880078125</v>
      </c>
      <c r="I147" s="7">
        <v>13.59642175766703</v>
      </c>
      <c r="J147" s="7">
        <v>4.401418721688071</v>
      </c>
      <c r="K147" s="7">
        <v>3.38008226398571</v>
      </c>
      <c r="L147" s="7">
        <v>0.6748502325175119</v>
      </c>
      <c r="M147" s="7">
        <v>0.8251566277473612</v>
      </c>
      <c r="N147" s="7">
        <v>0.6066005651728746</v>
      </c>
      <c r="O147" s="7">
        <v>0.2938969640598839</v>
      </c>
      <c r="P147" s="7">
        <v>6.820520420588842</v>
      </c>
      <c r="Q147" s="7">
        <v>0.0527322262800934</v>
      </c>
      <c r="R147" s="7">
        <v>0.1145075148552209</v>
      </c>
      <c r="S147" s="7">
        <v>0.1235987405918537</v>
      </c>
      <c r="T147" s="7">
        <v>0.7429210622668145</v>
      </c>
    </row>
    <row x14ac:dyDescent="0.25" r="148" customHeight="1" ht="19.5">
      <c r="A148" s="2" t="s">
        <v>3441</v>
      </c>
      <c r="B148" s="2" t="s">
        <v>3294</v>
      </c>
      <c r="C148" s="2" t="s">
        <v>3295</v>
      </c>
      <c r="D148" s="2" t="s">
        <v>32</v>
      </c>
      <c r="E148" s="6">
        <v>1</v>
      </c>
      <c r="F148" s="6">
        <v>3</v>
      </c>
      <c r="G148" s="7">
        <v>0.9342477917671204</v>
      </c>
      <c r="H148" s="7">
        <v>12.0729984375</v>
      </c>
      <c r="I148" s="7">
        <v>13.38958179833855</v>
      </c>
      <c r="J148" s="7">
        <v>4.391409921602936</v>
      </c>
      <c r="K148" s="7">
        <v>3.307991686332385</v>
      </c>
      <c r="L148" s="7">
        <v>0.6625179083302655</v>
      </c>
      <c r="M148" s="7">
        <v>0.8462349986570241</v>
      </c>
      <c r="N148" s="7">
        <v>0.6059267493176773</v>
      </c>
      <c r="O148" s="7">
        <v>0.2966479386816586</v>
      </c>
      <c r="P148" s="7">
        <v>6.82495497323106</v>
      </c>
      <c r="Q148" s="7">
        <v>0.0520281654761367</v>
      </c>
      <c r="R148" s="7">
        <v>0.1111327534263808</v>
      </c>
      <c r="S148" s="7">
        <v>0.1240753013167833</v>
      </c>
      <c r="T148" s="7">
        <v>0.7290283837817244</v>
      </c>
    </row>
    <row x14ac:dyDescent="0.25" r="149" customHeight="1" ht="19.5">
      <c r="A149" s="2" t="s">
        <v>3442</v>
      </c>
      <c r="B149" s="2" t="s">
        <v>3294</v>
      </c>
      <c r="C149" s="2" t="s">
        <v>3295</v>
      </c>
      <c r="D149" s="2" t="s">
        <v>32</v>
      </c>
      <c r="E149" s="6">
        <v>1</v>
      </c>
      <c r="F149" s="6">
        <v>3</v>
      </c>
      <c r="G149" s="7">
        <v>0.9321651458740234</v>
      </c>
      <c r="H149" s="7">
        <v>12.1561171875</v>
      </c>
      <c r="I149" s="7">
        <v>13.47280777084714</v>
      </c>
      <c r="J149" s="7">
        <v>4.356479657578826</v>
      </c>
      <c r="K149" s="7">
        <v>3.343152656751684</v>
      </c>
      <c r="L149" s="7">
        <v>0.6544420069305574</v>
      </c>
      <c r="M149" s="7">
        <v>0.8415666475456112</v>
      </c>
      <c r="N149" s="7">
        <v>0.6008242134169013</v>
      </c>
      <c r="O149" s="7">
        <v>0.2999929956101368</v>
      </c>
      <c r="P149" s="7">
        <v>6.808715215483505</v>
      </c>
      <c r="Q149" s="7">
        <v>0.0512248975547775</v>
      </c>
      <c r="R149" s="7">
        <v>0.111209572734804</v>
      </c>
      <c r="S149" s="7">
        <v>0.1212309740465973</v>
      </c>
      <c r="T149" s="7">
        <v>0.7227144809351299</v>
      </c>
    </row>
    <row x14ac:dyDescent="0.25" r="150" customHeight="1" ht="19.5">
      <c r="A150" s="2" t="s">
        <v>3443</v>
      </c>
      <c r="B150" s="2" t="s">
        <v>3294</v>
      </c>
      <c r="C150" s="2" t="s">
        <v>3295</v>
      </c>
      <c r="D150" s="2" t="s">
        <v>32</v>
      </c>
      <c r="E150" s="6">
        <v>1</v>
      </c>
      <c r="F150" s="6">
        <v>3</v>
      </c>
      <c r="G150" s="7">
        <v>0.9306307435035706</v>
      </c>
      <c r="H150" s="7">
        <v>12.18036015625</v>
      </c>
      <c r="I150" s="7">
        <v>13.34082915238471</v>
      </c>
      <c r="J150" s="7">
        <v>4.3973062559081</v>
      </c>
      <c r="K150" s="7">
        <v>3.363832687870542</v>
      </c>
      <c r="L150" s="7">
        <v>0.6460693983343329</v>
      </c>
      <c r="M150" s="7">
        <v>0.8600116790624192</v>
      </c>
      <c r="N150" s="7">
        <v>0.5903289230623614</v>
      </c>
      <c r="O150" s="7">
        <v>0.2808668185948758</v>
      </c>
      <c r="P150" s="7">
        <v>6.95767399133964</v>
      </c>
      <c r="Q150" s="7">
        <v>0.0495847805248208</v>
      </c>
      <c r="R150" s="7">
        <v>0.1086740721103704</v>
      </c>
      <c r="S150" s="7">
        <v>0.1191018866632288</v>
      </c>
      <c r="T150" s="7">
        <v>0.7009697963191557</v>
      </c>
    </row>
    <row x14ac:dyDescent="0.25" r="151" customHeight="1" ht="19.5">
      <c r="A151" s="2" t="s">
        <v>3444</v>
      </c>
      <c r="B151" s="2" t="s">
        <v>3294</v>
      </c>
      <c r="C151" s="2" t="s">
        <v>3295</v>
      </c>
      <c r="D151" s="2" t="s">
        <v>32</v>
      </c>
      <c r="E151" s="6">
        <v>1</v>
      </c>
      <c r="F151" s="6">
        <v>3</v>
      </c>
      <c r="G151" s="7">
        <v>0.931383490562439</v>
      </c>
      <c r="H151" s="7">
        <v>12.29118515625</v>
      </c>
      <c r="I151" s="7">
        <v>13.61070107706613</v>
      </c>
      <c r="J151" s="7">
        <v>4.425168715107989</v>
      </c>
      <c r="K151" s="7">
        <v>3.340917226650912</v>
      </c>
      <c r="L151" s="7">
        <v>0.6612194728022583</v>
      </c>
      <c r="M151" s="7">
        <v>0.8337630280527049</v>
      </c>
      <c r="N151" s="7">
        <v>0.5968086564943501</v>
      </c>
      <c r="O151" s="7">
        <v>0.2943526849977411</v>
      </c>
      <c r="P151" s="7">
        <v>6.849221613386485</v>
      </c>
      <c r="Q151" s="7">
        <v>0.0500646605452883</v>
      </c>
      <c r="R151" s="7">
        <v>0.1086352876998153</v>
      </c>
      <c r="S151" s="7">
        <v>0.1196808726246088</v>
      </c>
      <c r="T151" s="7">
        <v>0.714193374415366</v>
      </c>
    </row>
    <row x14ac:dyDescent="0.25" r="152" customHeight="1" ht="19.5">
      <c r="A152" s="2" t="s">
        <v>3445</v>
      </c>
      <c r="B152" s="2" t="s">
        <v>3294</v>
      </c>
      <c r="C152" s="2" t="s">
        <v>3295</v>
      </c>
      <c r="D152" s="2" t="s">
        <v>32</v>
      </c>
      <c r="E152" s="6">
        <v>1</v>
      </c>
      <c r="F152" s="6">
        <v>3</v>
      </c>
      <c r="G152" s="7">
        <v>0.9308862686157228</v>
      </c>
      <c r="H152" s="7">
        <v>12.29811171875</v>
      </c>
      <c r="I152" s="7">
        <v>13.57622775051138</v>
      </c>
      <c r="J152" s="7">
        <v>4.398549159980371</v>
      </c>
      <c r="K152" s="7">
        <v>3.359110061958978</v>
      </c>
      <c r="L152" s="7">
        <v>0.667065203791175</v>
      </c>
      <c r="M152" s="7">
        <v>0.838474903204026</v>
      </c>
      <c r="N152" s="7">
        <v>0.598945733990072</v>
      </c>
      <c r="O152" s="7">
        <v>0.2936834826610179</v>
      </c>
      <c r="P152" s="7">
        <v>6.852363192025324</v>
      </c>
      <c r="Q152" s="7">
        <v>0.0501639899872594</v>
      </c>
      <c r="R152" s="7">
        <v>0.1082526085461807</v>
      </c>
      <c r="S152" s="7">
        <v>0.1193454461142924</v>
      </c>
      <c r="T152" s="7">
        <v>0.7160136249124601</v>
      </c>
    </row>
    <row x14ac:dyDescent="0.25" r="153" customHeight="1" ht="19.5">
      <c r="A153" s="2" t="s">
        <v>3446</v>
      </c>
      <c r="B153" s="2" t="s">
        <v>3294</v>
      </c>
      <c r="C153" s="2" t="s">
        <v>3295</v>
      </c>
      <c r="D153" s="2" t="s">
        <v>32</v>
      </c>
      <c r="E153" s="6">
        <v>1</v>
      </c>
      <c r="F153" s="6">
        <v>3</v>
      </c>
      <c r="G153" s="7">
        <v>0.9322457313537598</v>
      </c>
      <c r="H153" s="7">
        <v>12.287721875</v>
      </c>
      <c r="I153" s="7">
        <v>13.54175442395663</v>
      </c>
      <c r="J153" s="7">
        <v>4.449502905809545</v>
      </c>
      <c r="K153" s="7">
        <v>3.370488505329043</v>
      </c>
      <c r="L153" s="7">
        <v>0.6679532907200113</v>
      </c>
      <c r="M153" s="7">
        <v>0.8420373763587584</v>
      </c>
      <c r="N153" s="7">
        <v>0.6011217427693758</v>
      </c>
      <c r="O153" s="7">
        <v>0.294015899543701</v>
      </c>
      <c r="P153" s="7">
        <v>6.862299872513368</v>
      </c>
      <c r="Q153" s="7">
        <v>0.0498360974891325</v>
      </c>
      <c r="R153" s="7">
        <v>0.1096868774849988</v>
      </c>
      <c r="S153" s="7">
        <v>0.1209333288337897</v>
      </c>
      <c r="T153" s="7">
        <v>0.7107325073885329</v>
      </c>
    </row>
    <row x14ac:dyDescent="0.25" r="154" customHeight="1" ht="19.5">
      <c r="A154" s="2" t="s">
        <v>3447</v>
      </c>
      <c r="B154" s="2" t="s">
        <v>3294</v>
      </c>
      <c r="C154" s="2" t="s">
        <v>3295</v>
      </c>
      <c r="D154" s="2" t="s">
        <v>32</v>
      </c>
      <c r="E154" s="6">
        <v>1</v>
      </c>
      <c r="F154" s="6">
        <v>3</v>
      </c>
      <c r="G154" s="7">
        <v>0.9317957758903505</v>
      </c>
      <c r="H154" s="7">
        <v>12.63058671875</v>
      </c>
      <c r="I154" s="7">
        <v>13.8318203557937</v>
      </c>
      <c r="J154" s="7">
        <v>4.622534258919947</v>
      </c>
      <c r="K154" s="7">
        <v>3.364618998032837</v>
      </c>
      <c r="L154" s="7">
        <v>0.6907193565705281</v>
      </c>
      <c r="M154" s="7">
        <v>0.8296113965097605</v>
      </c>
      <c r="N154" s="7">
        <v>0.5905298916016437</v>
      </c>
      <c r="O154" s="7">
        <v>0.2856527068781573</v>
      </c>
      <c r="P154" s="7">
        <v>6.932765628335821</v>
      </c>
      <c r="Q154" s="7">
        <v>0.0497579729946608</v>
      </c>
      <c r="R154" s="7">
        <v>0.1098505561848696</v>
      </c>
      <c r="S154" s="7">
        <v>0.1201958100407141</v>
      </c>
      <c r="T154" s="7">
        <v>0.7294188545623838</v>
      </c>
    </row>
    <row x14ac:dyDescent="0.25" r="155" customHeight="1" ht="19.5">
      <c r="A155" s="2" t="s">
        <v>3448</v>
      </c>
      <c r="B155" s="2" t="s">
        <v>3294</v>
      </c>
      <c r="C155" s="2" t="s">
        <v>3295</v>
      </c>
      <c r="D155" s="2" t="s">
        <v>32</v>
      </c>
      <c r="E155" s="6">
        <v>1</v>
      </c>
      <c r="F155" s="6">
        <v>3</v>
      </c>
      <c r="G155" s="7">
        <v>0.9323530793190002</v>
      </c>
      <c r="H155" s="7">
        <v>12.23577265625</v>
      </c>
      <c r="I155" s="7">
        <v>13.45852845144805</v>
      </c>
      <c r="J155" s="7">
        <v>4.435696729752619</v>
      </c>
      <c r="K155" s="7">
        <v>3.324935343735752</v>
      </c>
      <c r="L155" s="7">
        <v>0.6722404712816932</v>
      </c>
      <c r="M155" s="7">
        <v>0.8488796240943167</v>
      </c>
      <c r="N155" s="7">
        <v>0.5945069903717188</v>
      </c>
      <c r="O155" s="7">
        <v>0.2884637240683529</v>
      </c>
      <c r="P155" s="7">
        <v>6.886240703344631</v>
      </c>
      <c r="Q155" s="7">
        <v>0.0503110030223601</v>
      </c>
      <c r="R155" s="7">
        <v>0.1099441913349742</v>
      </c>
      <c r="S155" s="7">
        <v>0.1186908302093077</v>
      </c>
      <c r="T155" s="7">
        <v>0.7144719034220497</v>
      </c>
    </row>
    <row x14ac:dyDescent="0.25" r="156" customHeight="1" ht="19.5">
      <c r="A156" s="2" t="s">
        <v>3449</v>
      </c>
      <c r="B156" s="2" t="s">
        <v>3294</v>
      </c>
      <c r="C156" s="2" t="s">
        <v>3295</v>
      </c>
      <c r="D156" s="2" t="s">
        <v>32</v>
      </c>
      <c r="E156" s="6">
        <v>1</v>
      </c>
      <c r="F156" s="6">
        <v>3</v>
      </c>
      <c r="G156" s="7">
        <v>0.9315102100372314</v>
      </c>
      <c r="H156" s="7">
        <v>12.1561171875</v>
      </c>
      <c r="I156" s="7">
        <v>13.4240551248933</v>
      </c>
      <c r="J156" s="7">
        <v>4.433867942116748</v>
      </c>
      <c r="K156" s="7">
        <v>3.348863341297958</v>
      </c>
      <c r="L156" s="7">
        <v>0.655135079438548</v>
      </c>
      <c r="M156" s="7">
        <v>0.847690445904362</v>
      </c>
      <c r="N156" s="7">
        <v>0.5950516910598711</v>
      </c>
      <c r="O156" s="7">
        <v>0.2913406473543057</v>
      </c>
      <c r="P156" s="7">
        <v>6.881053923101325</v>
      </c>
      <c r="Q156" s="7">
        <v>0.0488543380930368</v>
      </c>
      <c r="R156" s="7">
        <v>0.1069651755318139</v>
      </c>
      <c r="S156" s="7">
        <v>0.1168095666014832</v>
      </c>
      <c r="T156" s="7">
        <v>0.689269071911408</v>
      </c>
    </row>
    <row x14ac:dyDescent="0.25" r="157" customHeight="1" ht="19.5">
      <c r="A157" s="2" t="s">
        <v>3450</v>
      </c>
      <c r="B157" s="2" t="s">
        <v>3294</v>
      </c>
      <c r="C157" s="2" t="s">
        <v>3295</v>
      </c>
      <c r="D157" s="2" t="s">
        <v>32</v>
      </c>
      <c r="E157" s="6">
        <v>1</v>
      </c>
      <c r="F157" s="6">
        <v>3</v>
      </c>
      <c r="G157" s="7">
        <v>0.9311551451683044</v>
      </c>
      <c r="H157" s="7">
        <v>12.2530890625</v>
      </c>
      <c r="I157" s="7">
        <v>13.57622775051138</v>
      </c>
      <c r="J157" s="7">
        <v>4.347876296474444</v>
      </c>
      <c r="K157" s="7">
        <v>3.448775617870642</v>
      </c>
      <c r="L157" s="7">
        <v>0.6592368541788617</v>
      </c>
      <c r="M157" s="7">
        <v>0.8354052964054756</v>
      </c>
      <c r="N157" s="7">
        <v>0.5997519253103387</v>
      </c>
      <c r="O157" s="7">
        <v>0.2969905971804288</v>
      </c>
      <c r="P157" s="7">
        <v>6.829177058866076</v>
      </c>
      <c r="Q157" s="7">
        <v>0.0504983900046716</v>
      </c>
      <c r="R157" s="7">
        <v>0.1091011365439799</v>
      </c>
      <c r="S157" s="7">
        <v>0.1202644644999271</v>
      </c>
      <c r="T157" s="7">
        <v>0.7181479124857487</v>
      </c>
    </row>
    <row x14ac:dyDescent="0.25" r="158" customHeight="1" ht="19.5">
      <c r="A158" s="2" t="s">
        <v>3451</v>
      </c>
      <c r="B158" s="2" t="s">
        <v>3294</v>
      </c>
      <c r="C158" s="2" t="s">
        <v>3295</v>
      </c>
      <c r="D158" s="2" t="s">
        <v>32</v>
      </c>
      <c r="E158" s="6">
        <v>1</v>
      </c>
      <c r="F158" s="6">
        <v>3</v>
      </c>
      <c r="G158" s="7">
        <v>0.928397297859192</v>
      </c>
      <c r="H158" s="7">
        <v>12.1561171875</v>
      </c>
      <c r="I158" s="7">
        <v>13.4240551248933</v>
      </c>
      <c r="J158" s="7">
        <v>4.340537084515345</v>
      </c>
      <c r="K158" s="7">
        <v>3.333170755733308</v>
      </c>
      <c r="L158" s="7">
        <v>0.6641291329276966</v>
      </c>
      <c r="M158" s="7">
        <v>0.847690445904362</v>
      </c>
      <c r="N158" s="7">
        <v>0.5969611595026443</v>
      </c>
      <c r="O158" s="7">
        <v>0.2916887732847928</v>
      </c>
      <c r="P158" s="7">
        <v>6.87644346707587</v>
      </c>
      <c r="Q158" s="7">
        <v>0.0496734521819103</v>
      </c>
      <c r="R158" s="7">
        <v>0.1085500480303323</v>
      </c>
      <c r="S158" s="7">
        <v>0.1196397971971742</v>
      </c>
      <c r="T158" s="7">
        <v>0.7008256711790549</v>
      </c>
    </row>
    <row x14ac:dyDescent="0.25" r="159" customHeight="1" ht="19.5">
      <c r="A159" s="2" t="s">
        <v>3452</v>
      </c>
      <c r="B159" s="2" t="s">
        <v>3294</v>
      </c>
      <c r="C159" s="2" t="s">
        <v>3295</v>
      </c>
      <c r="D159" s="2" t="s">
        <v>32</v>
      </c>
      <c r="E159" s="6">
        <v>1</v>
      </c>
      <c r="F159" s="6">
        <v>3</v>
      </c>
      <c r="G159" s="7">
        <v>0.931360363960266</v>
      </c>
      <c r="H159" s="7">
        <v>12.32581796875</v>
      </c>
      <c r="I159" s="7">
        <v>13.45852845144805</v>
      </c>
      <c r="J159" s="7">
        <v>4.468760214594869</v>
      </c>
      <c r="K159" s="7">
        <v>3.371398741909799</v>
      </c>
      <c r="L159" s="7">
        <v>0.6612564305943102</v>
      </c>
      <c r="M159" s="7">
        <v>0.855126686145393</v>
      </c>
      <c r="N159" s="7">
        <v>0.5941789155004285</v>
      </c>
      <c r="O159" s="7">
        <v>0.2834742850869315</v>
      </c>
      <c r="P159" s="7">
        <v>6.924331843438353</v>
      </c>
      <c r="Q159" s="7">
        <v>0.0492068386381394</v>
      </c>
      <c r="R159" s="7">
        <v>0.10772131785287</v>
      </c>
      <c r="S159" s="7">
        <v>0.1191547283763318</v>
      </c>
      <c r="T159" s="7">
        <v>0.7039340837529551</v>
      </c>
    </row>
    <row x14ac:dyDescent="0.25" r="160" customHeight="1" ht="19.5">
      <c r="A160" s="2" t="s">
        <v>3453</v>
      </c>
      <c r="B160" s="2" t="s">
        <v>3294</v>
      </c>
      <c r="C160" s="2" t="s">
        <v>3295</v>
      </c>
      <c r="D160" s="2" t="s">
        <v>32</v>
      </c>
      <c r="E160" s="6">
        <v>1</v>
      </c>
      <c r="F160" s="6">
        <v>3</v>
      </c>
      <c r="G160" s="7">
        <v>0.9299520254135132</v>
      </c>
      <c r="H160" s="7">
        <v>12.40201015625</v>
      </c>
      <c r="I160" s="7">
        <v>13.64517440362087</v>
      </c>
      <c r="J160" s="7">
        <v>4.46951674509322</v>
      </c>
      <c r="K160" s="7">
        <v>3.386222131039142</v>
      </c>
      <c r="L160" s="7">
        <v>0.6766151973980706</v>
      </c>
      <c r="M160" s="7">
        <v>0.8370352829256493</v>
      </c>
      <c r="N160" s="7">
        <v>0.5951309800473943</v>
      </c>
      <c r="O160" s="7">
        <v>0.2892781116446422</v>
      </c>
      <c r="P160" s="7">
        <v>6.901071868149728</v>
      </c>
      <c r="Q160" s="7">
        <v>0.0499821486265114</v>
      </c>
      <c r="R160" s="7">
        <v>0.1087426808553391</v>
      </c>
      <c r="S160" s="7">
        <v>0.1186620951457955</v>
      </c>
      <c r="T160" s="7">
        <v>0.7194453075322438</v>
      </c>
    </row>
    <row x14ac:dyDescent="0.25" r="161" customHeight="1" ht="19.5">
      <c r="A161" s="2" t="s">
        <v>3454</v>
      </c>
      <c r="B161" s="2" t="s">
        <v>3294</v>
      </c>
      <c r="C161" s="2" t="s">
        <v>3295</v>
      </c>
      <c r="D161" s="2" t="s">
        <v>32</v>
      </c>
      <c r="E161" s="6">
        <v>1</v>
      </c>
      <c r="F161" s="6">
        <v>3</v>
      </c>
      <c r="G161" s="7">
        <v>0.9329653978347778</v>
      </c>
      <c r="H161" s="7">
        <v>12.27386875</v>
      </c>
      <c r="I161" s="7">
        <v>13.49300177800279</v>
      </c>
      <c r="J161" s="7">
        <v>4.432099874233366</v>
      </c>
      <c r="K161" s="7">
        <v>3.361680036951594</v>
      </c>
      <c r="L161" s="7">
        <v>0.6636036138344866</v>
      </c>
      <c r="M161" s="7">
        <v>0.8471770528793402</v>
      </c>
      <c r="N161" s="7">
        <v>0.5890012868975574</v>
      </c>
      <c r="O161" s="7">
        <v>0.2848259070265792</v>
      </c>
      <c r="P161" s="7">
        <v>6.939106763003801</v>
      </c>
      <c r="Q161" s="7">
        <v>0.0500723139220267</v>
      </c>
      <c r="R161" s="7">
        <v>0.1091075662891963</v>
      </c>
      <c r="S161" s="7">
        <v>0.1184843763985373</v>
      </c>
      <c r="T161" s="7">
        <v>0.7132962096326613</v>
      </c>
    </row>
    <row x14ac:dyDescent="0.25" r="162" customHeight="1" ht="19.5">
      <c r="A162" s="2" t="s">
        <v>3455</v>
      </c>
      <c r="B162" s="2" t="s">
        <v>3294</v>
      </c>
      <c r="C162" s="2" t="s">
        <v>3295</v>
      </c>
      <c r="D162" s="2" t="s">
        <v>32</v>
      </c>
      <c r="E162" s="6">
        <v>1</v>
      </c>
      <c r="F162" s="6">
        <v>3</v>
      </c>
      <c r="G162" s="7">
        <v>0.933579444885254</v>
      </c>
      <c r="H162" s="7">
        <v>12.22884609375</v>
      </c>
      <c r="I162" s="7">
        <v>13.49300177800279</v>
      </c>
      <c r="J162" s="7">
        <v>4.4030213735796</v>
      </c>
      <c r="K162" s="7">
        <v>3.361851616119372</v>
      </c>
      <c r="L162" s="7">
        <v>0.663459233805662</v>
      </c>
      <c r="M162" s="7">
        <v>0.8440694621097491</v>
      </c>
      <c r="N162" s="7">
        <v>0.5979209334377356</v>
      </c>
      <c r="O162" s="7">
        <v>0.2880592808125456</v>
      </c>
      <c r="P162" s="7">
        <v>6.89642326535394</v>
      </c>
      <c r="Q162" s="7">
        <v>0.0502989356636926</v>
      </c>
      <c r="R162" s="7">
        <v>0.1087967351126687</v>
      </c>
      <c r="S162" s="7">
        <v>0.1188165947802797</v>
      </c>
      <c r="T162" s="7">
        <v>0.7138961743746692</v>
      </c>
    </row>
    <row x14ac:dyDescent="0.25" r="163" customHeight="1" ht="19.5">
      <c r="A163" s="2" t="s">
        <v>3456</v>
      </c>
      <c r="B163" s="2" t="s">
        <v>3294</v>
      </c>
      <c r="C163" s="2" t="s">
        <v>3295</v>
      </c>
      <c r="D163" s="2" t="s">
        <v>32</v>
      </c>
      <c r="E163" s="6">
        <v>1</v>
      </c>
      <c r="F163" s="6">
        <v>3</v>
      </c>
      <c r="G163" s="7">
        <v>0.9317294359207152</v>
      </c>
      <c r="H163" s="7">
        <v>12.19421328125</v>
      </c>
      <c r="I163" s="7">
        <v>13.52747510455754</v>
      </c>
      <c r="J163" s="7">
        <v>4.395118132882636</v>
      </c>
      <c r="K163" s="7">
        <v>3.372474777895513</v>
      </c>
      <c r="L163" s="7">
        <v>0.6644944890887676</v>
      </c>
      <c r="M163" s="7">
        <v>0.8373946155524898</v>
      </c>
      <c r="N163" s="7">
        <v>0.5947830579434795</v>
      </c>
      <c r="O163" s="7">
        <v>0.2898632726358267</v>
      </c>
      <c r="P163" s="7">
        <v>6.902129542936485</v>
      </c>
      <c r="Q163" s="7">
        <v>0.051108667245743</v>
      </c>
      <c r="R163" s="7">
        <v>0.1095824745631156</v>
      </c>
      <c r="S163" s="7">
        <v>0.1211984800671964</v>
      </c>
      <c r="T163" s="7">
        <v>0.7233344054713851</v>
      </c>
    </row>
    <row x14ac:dyDescent="0.25" r="164" customHeight="1" ht="19.5">
      <c r="A164" s="2" t="s">
        <v>3457</v>
      </c>
      <c r="B164" s="2" t="s">
        <v>3294</v>
      </c>
      <c r="C164" s="2" t="s">
        <v>3295</v>
      </c>
      <c r="D164" s="2" t="s">
        <v>32</v>
      </c>
      <c r="E164" s="6">
        <v>1</v>
      </c>
      <c r="F164" s="6">
        <v>3</v>
      </c>
      <c r="G164" s="7">
        <v>0.9304765462875366</v>
      </c>
      <c r="H164" s="7">
        <v>12.39508359375</v>
      </c>
      <c r="I164" s="7">
        <v>13.54175442395663</v>
      </c>
      <c r="J164" s="7">
        <v>4.448158710067045</v>
      </c>
      <c r="K164" s="7">
        <v>3.380642086707337</v>
      </c>
      <c r="L164" s="7">
        <v>0.6718712255814194</v>
      </c>
      <c r="M164" s="7">
        <v>0.8493945236719267</v>
      </c>
      <c r="N164" s="7">
        <v>0.5910935008692833</v>
      </c>
      <c r="O164" s="7">
        <v>0.2898602691235842</v>
      </c>
      <c r="P164" s="7">
        <v>6.910873991447429</v>
      </c>
      <c r="Q164" s="7">
        <v>0.0496719744866805</v>
      </c>
      <c r="R164" s="7">
        <v>0.1086182316193133</v>
      </c>
      <c r="S164" s="7">
        <v>0.1191747666825273</v>
      </c>
      <c r="T164" s="7">
        <v>0.7145813279499859</v>
      </c>
    </row>
    <row x14ac:dyDescent="0.25" r="165" customHeight="1" ht="19.5">
      <c r="A165" s="2" t="s">
        <v>3458</v>
      </c>
      <c r="B165" s="2" t="s">
        <v>3294</v>
      </c>
      <c r="C165" s="2" t="s">
        <v>3295</v>
      </c>
      <c r="D165" s="2" t="s">
        <v>32</v>
      </c>
      <c r="E165" s="6">
        <v>1</v>
      </c>
      <c r="F165" s="6">
        <v>3</v>
      </c>
      <c r="G165" s="7">
        <v>0.9339132905006408</v>
      </c>
      <c r="H165" s="7">
        <v>12.24962578125</v>
      </c>
      <c r="I165" s="7">
        <v>13.57622775051138</v>
      </c>
      <c r="J165" s="7">
        <v>4.402181505191868</v>
      </c>
      <c r="K165" s="7">
        <v>3.343683507549363</v>
      </c>
      <c r="L165" s="7">
        <v>0.6668693957577507</v>
      </c>
      <c r="M165" s="7">
        <v>0.8351691728055872</v>
      </c>
      <c r="N165" s="7">
        <v>0.600348829649924</v>
      </c>
      <c r="O165" s="7">
        <v>0.2969618036090253</v>
      </c>
      <c r="P165" s="7">
        <v>6.842402188087528</v>
      </c>
      <c r="Q165" s="7">
        <v>0.050214312077865</v>
      </c>
      <c r="R165" s="7">
        <v>0.1093346386312166</v>
      </c>
      <c r="S165" s="7">
        <v>0.1190208718913982</v>
      </c>
      <c r="T165" s="7">
        <v>0.7139061428475265</v>
      </c>
    </row>
    <row x14ac:dyDescent="0.25" r="166" customHeight="1" ht="19.5">
      <c r="A166" s="2" t="s">
        <v>3459</v>
      </c>
      <c r="B166" s="2" t="s">
        <v>3294</v>
      </c>
      <c r="C166" s="2" t="s">
        <v>3295</v>
      </c>
      <c r="D166" s="2" t="s">
        <v>32</v>
      </c>
      <c r="E166" s="6">
        <v>1</v>
      </c>
      <c r="F166" s="6">
        <v>3</v>
      </c>
      <c r="G166" s="7">
        <v>0.9086352586746216</v>
      </c>
      <c r="H166" s="7">
        <v>13.9431703125</v>
      </c>
      <c r="I166" s="7">
        <v>14.83399676976733</v>
      </c>
      <c r="J166" s="7">
        <v>5.06982394095483</v>
      </c>
      <c r="K166" s="7">
        <v>3.770541392486734</v>
      </c>
      <c r="L166" s="7">
        <v>0.6685732560592356</v>
      </c>
      <c r="M166" s="7">
        <v>0.7962602501944351</v>
      </c>
      <c r="N166" s="7">
        <v>0.5984128154572228</v>
      </c>
      <c r="O166" s="7">
        <v>0.2666032008697486</v>
      </c>
      <c r="P166" s="7">
        <v>6.958470913105386</v>
      </c>
      <c r="Q166" s="7">
        <v>0.032384306814284</v>
      </c>
      <c r="R166" s="7">
        <v>0.0741700615983822</v>
      </c>
      <c r="S166" s="7">
        <v>0.0828319312338515</v>
      </c>
      <c r="T166" s="7">
        <v>0.524067125783758</v>
      </c>
    </row>
    <row x14ac:dyDescent="0.25" r="167" customHeight="1" ht="19.5">
      <c r="A167" s="2" t="s">
        <v>3460</v>
      </c>
      <c r="B167" s="2" t="s">
        <v>3294</v>
      </c>
      <c r="C167" s="2" t="s">
        <v>3295</v>
      </c>
      <c r="D167" s="2" t="s">
        <v>32</v>
      </c>
      <c r="E167" s="6">
        <v>1</v>
      </c>
      <c r="F167" s="6">
        <v>3</v>
      </c>
      <c r="G167" s="7">
        <v>0.4117109477519989</v>
      </c>
      <c r="H167" s="7">
        <v>17.03588046875</v>
      </c>
      <c r="I167" s="7">
        <v>17.70125911950927</v>
      </c>
      <c r="J167" s="7">
        <v>5.834503329630199</v>
      </c>
      <c r="K167" s="7">
        <v>4.372081923153148</v>
      </c>
      <c r="L167" s="7">
        <v>0.6881026912790457</v>
      </c>
      <c r="M167" s="7">
        <v>0.6832287439432243</v>
      </c>
      <c r="N167" s="7">
        <v>0.5804132515866046</v>
      </c>
      <c r="O167" s="7">
        <v>0.2278350943468821</v>
      </c>
      <c r="P167" s="7">
        <v>6.912670271309588</v>
      </c>
      <c r="Q167" s="7">
        <v>0.0284352149629108</v>
      </c>
      <c r="R167" s="7">
        <v>0.0681762832756206</v>
      </c>
      <c r="S167" s="7">
        <v>0.0840959480073989</v>
      </c>
      <c r="T167" s="7">
        <v>0.5622272356151853</v>
      </c>
    </row>
    <row x14ac:dyDescent="0.25" r="168" customHeight="1" ht="19.5">
      <c r="A168" s="2" t="s">
        <v>3461</v>
      </c>
      <c r="B168" s="2" t="s">
        <v>3294</v>
      </c>
      <c r="C168" s="2" t="s">
        <v>3295</v>
      </c>
      <c r="D168" s="2" t="s">
        <v>32</v>
      </c>
      <c r="E168" s="6">
        <v>1</v>
      </c>
      <c r="F168" s="6">
        <v>3</v>
      </c>
      <c r="G168" s="7">
        <v>0.9201796650886536</v>
      </c>
      <c r="H168" s="7">
        <v>11.68164765625</v>
      </c>
      <c r="I168" s="7">
        <v>13.26351786763269</v>
      </c>
      <c r="J168" s="7">
        <v>4.385418994709363</v>
      </c>
      <c r="K168" s="7">
        <v>3.332335729033669</v>
      </c>
      <c r="L168" s="7">
        <v>0.6762447272686776</v>
      </c>
      <c r="M168" s="7">
        <v>0.8344426878238023</v>
      </c>
      <c r="N168" s="7">
        <v>0.5995985340339249</v>
      </c>
      <c r="O168" s="7">
        <v>0.2805762389852528</v>
      </c>
      <c r="P168" s="7">
        <v>6.755757966261736</v>
      </c>
      <c r="Q168" s="7">
        <v>0.0572471043655468</v>
      </c>
      <c r="R168" s="7">
        <v>0.1117548069247977</v>
      </c>
      <c r="S168" s="7">
        <v>0.1259916447919788</v>
      </c>
      <c r="T168" s="7">
        <v>0.7761549065710228</v>
      </c>
    </row>
    <row x14ac:dyDescent="0.25" r="169" customHeight="1" ht="19.5">
      <c r="A169" s="2" t="s">
        <v>3462</v>
      </c>
      <c r="B169" s="2" t="s">
        <v>3294</v>
      </c>
      <c r="C169" s="2" t="s">
        <v>3295</v>
      </c>
      <c r="D169" s="2" t="s">
        <v>32</v>
      </c>
      <c r="E169" s="6">
        <v>1</v>
      </c>
      <c r="F169" s="6">
        <v>3</v>
      </c>
      <c r="G169" s="7">
        <v>0.9318979382514954</v>
      </c>
      <c r="H169" s="7">
        <v>11.151765625</v>
      </c>
      <c r="I169" s="7">
        <v>12.91041997044268</v>
      </c>
      <c r="J169" s="7">
        <v>4.200696154951462</v>
      </c>
      <c r="K169" s="7">
        <v>3.288078787823669</v>
      </c>
      <c r="L169" s="7">
        <v>0.651703287705802</v>
      </c>
      <c r="M169" s="7">
        <v>0.8407613861848712</v>
      </c>
      <c r="N169" s="7">
        <v>0.5779912635912002</v>
      </c>
      <c r="O169" s="7">
        <v>0.280176665061255</v>
      </c>
      <c r="P169" s="7">
        <v>6.978015579636139</v>
      </c>
      <c r="Q169" s="7">
        <v>0.0870151011835819</v>
      </c>
      <c r="R169" s="7">
        <v>0.1664875242898223</v>
      </c>
      <c r="S169" s="7">
        <v>0.1814974413185147</v>
      </c>
      <c r="T169" s="7">
        <v>1.126235060069323</v>
      </c>
    </row>
    <row x14ac:dyDescent="0.25" r="170" customHeight="1" ht="19.5">
      <c r="A170" s="2" t="s">
        <v>3463</v>
      </c>
      <c r="B170" s="2" t="s">
        <v>3294</v>
      </c>
      <c r="C170" s="2" t="s">
        <v>3295</v>
      </c>
      <c r="D170" s="2" t="s">
        <v>32</v>
      </c>
      <c r="E170" s="6">
        <v>1</v>
      </c>
      <c r="F170" s="6">
        <v>3</v>
      </c>
      <c r="G170" s="7">
        <v>0.9385441541671752</v>
      </c>
      <c r="H170" s="7">
        <v>11.05133046875</v>
      </c>
      <c r="I170" s="7">
        <v>12.94489329699744</v>
      </c>
      <c r="J170" s="7">
        <v>4.184427381599985</v>
      </c>
      <c r="K170" s="7">
        <v>3.368163046821723</v>
      </c>
      <c r="L170" s="7">
        <v>0.6433717753221414</v>
      </c>
      <c r="M170" s="7">
        <v>0.8287575158294983</v>
      </c>
      <c r="N170" s="7">
        <v>0.5685616285370507</v>
      </c>
      <c r="O170" s="7">
        <v>0.2863947940204372</v>
      </c>
      <c r="P170" s="7">
        <v>7.057856558034997</v>
      </c>
      <c r="Q170" s="7">
        <v>0.1087071126444777</v>
      </c>
      <c r="R170" s="7">
        <v>0.210555940834216</v>
      </c>
      <c r="S170" s="7">
        <v>0.2218723395781547</v>
      </c>
      <c r="T170" s="7">
        <v>1.394322727913516</v>
      </c>
    </row>
    <row x14ac:dyDescent="0.25" r="171" customHeight="1" ht="19.5">
      <c r="A171" s="2" t="s">
        <v>3464</v>
      </c>
      <c r="B171" s="2" t="s">
        <v>3294</v>
      </c>
      <c r="C171" s="2" t="s">
        <v>3295</v>
      </c>
      <c r="D171" s="2" t="s">
        <v>32</v>
      </c>
      <c r="E171" s="6">
        <v>1</v>
      </c>
      <c r="F171" s="6">
        <v>3</v>
      </c>
      <c r="G171" s="7">
        <v>0.937467873096466</v>
      </c>
      <c r="H171" s="7">
        <v>11.01669765625</v>
      </c>
      <c r="I171" s="7">
        <v>12.91041997044268</v>
      </c>
      <c r="J171" s="7">
        <v>4.174980547255704</v>
      </c>
      <c r="K171" s="7">
        <v>3.33526193743019</v>
      </c>
      <c r="L171" s="7">
        <v>0.6482610817211818</v>
      </c>
      <c r="M171" s="7">
        <v>0.8305782513832531</v>
      </c>
      <c r="N171" s="7">
        <v>0.5711008207630315</v>
      </c>
      <c r="O171" s="7">
        <v>0.2891028779186116</v>
      </c>
      <c r="P171" s="7">
        <v>7.052061703275904</v>
      </c>
      <c r="Q171" s="7">
        <v>0.1118289514540256</v>
      </c>
      <c r="R171" s="7">
        <v>0.2152605286033307</v>
      </c>
      <c r="S171" s="7">
        <v>0.2288801663033185</v>
      </c>
      <c r="T171" s="7">
        <v>1.429869701368074</v>
      </c>
    </row>
    <row x14ac:dyDescent="0.25" r="172" customHeight="1" ht="19.5">
      <c r="A172" s="2" t="s">
        <v>3465</v>
      </c>
      <c r="B172" s="2" t="s">
        <v>3294</v>
      </c>
      <c r="C172" s="2" t="s">
        <v>3295</v>
      </c>
      <c r="D172" s="2" t="s">
        <v>32</v>
      </c>
      <c r="E172" s="6">
        <v>1</v>
      </c>
      <c r="F172" s="6">
        <v>3</v>
      </c>
      <c r="G172" s="7">
        <v>0.9382849335670472</v>
      </c>
      <c r="H172" s="7">
        <v>11.040940625</v>
      </c>
      <c r="I172" s="7">
        <v>12.82127931017754</v>
      </c>
      <c r="J172" s="7">
        <v>4.24434595229447</v>
      </c>
      <c r="K172" s="7">
        <v>3.360763086106921</v>
      </c>
      <c r="L172" s="7">
        <v>0.6530292234228097</v>
      </c>
      <c r="M172" s="7">
        <v>0.844020928688029</v>
      </c>
      <c r="N172" s="7">
        <v>0.5764781386614983</v>
      </c>
      <c r="O172" s="7">
        <v>0.2965145370113184</v>
      </c>
      <c r="P172" s="7">
        <v>6.993356725038391</v>
      </c>
      <c r="Q172" s="7">
        <v>0.1115042527448219</v>
      </c>
      <c r="R172" s="7">
        <v>0.2145385629690497</v>
      </c>
      <c r="S172" s="7">
        <v>0.2298155987915465</v>
      </c>
      <c r="T172" s="7">
        <v>1.428855418300114</v>
      </c>
    </row>
    <row x14ac:dyDescent="0.25" r="173" customHeight="1" ht="19.5">
      <c r="A173" s="2" t="s">
        <v>3466</v>
      </c>
      <c r="B173" s="2" t="s">
        <v>3294</v>
      </c>
      <c r="C173" s="2" t="s">
        <v>3295</v>
      </c>
      <c r="D173" s="2" t="s">
        <v>32</v>
      </c>
      <c r="E173" s="6">
        <v>1</v>
      </c>
      <c r="F173" s="6">
        <v>3</v>
      </c>
      <c r="G173" s="7">
        <v>0.938988208770752</v>
      </c>
      <c r="H173" s="7">
        <v>11.0270875</v>
      </c>
      <c r="I173" s="7">
        <v>12.97936662355218</v>
      </c>
      <c r="J173" s="7">
        <v>4.201456866805119</v>
      </c>
      <c r="K173" s="7">
        <v>3.366408161002082</v>
      </c>
      <c r="L173" s="7">
        <v>0.6471942471258574</v>
      </c>
      <c r="M173" s="7">
        <v>0.8225526101212863</v>
      </c>
      <c r="N173" s="7">
        <v>0.5803630752744806</v>
      </c>
      <c r="O173" s="7">
        <v>0.2881477497735186</v>
      </c>
      <c r="P173" s="7">
        <v>7.035837137352397</v>
      </c>
      <c r="Q173" s="7">
        <v>0.1101850915601327</v>
      </c>
      <c r="R173" s="7">
        <v>0.2131352933863676</v>
      </c>
      <c r="S173" s="7">
        <v>0.2276461974670817</v>
      </c>
      <c r="T173" s="7">
        <v>1.410179632107007</v>
      </c>
    </row>
    <row x14ac:dyDescent="0.25" r="174" customHeight="1" ht="19.5">
      <c r="A174" s="2" t="s">
        <v>3467</v>
      </c>
      <c r="B174" s="2" t="s">
        <v>3294</v>
      </c>
      <c r="C174" s="2" t="s">
        <v>3295</v>
      </c>
      <c r="D174" s="2" t="s">
        <v>32</v>
      </c>
      <c r="E174" s="6">
        <v>1</v>
      </c>
      <c r="F174" s="6">
        <v>3</v>
      </c>
      <c r="G174" s="7">
        <v>0.9371664524078368</v>
      </c>
      <c r="H174" s="7">
        <v>11.0201609375</v>
      </c>
      <c r="I174" s="7">
        <v>12.87594664388794</v>
      </c>
      <c r="J174" s="7">
        <v>4.136029744293177</v>
      </c>
      <c r="K174" s="7">
        <v>3.226497289609245</v>
      </c>
      <c r="L174" s="7">
        <v>0.6426221771690639</v>
      </c>
      <c r="M174" s="7">
        <v>0.835294196994749</v>
      </c>
      <c r="N174" s="7">
        <v>0.5832125318331661</v>
      </c>
      <c r="O174" s="7">
        <v>0.2890448299189251</v>
      </c>
      <c r="P174" s="7">
        <v>7.015042925763661</v>
      </c>
      <c r="Q174" s="7">
        <v>0.1117860437822817</v>
      </c>
      <c r="R174" s="7">
        <v>0.2143055483453101</v>
      </c>
      <c r="S174" s="7">
        <v>0.2296561052450079</v>
      </c>
      <c r="T174" s="7">
        <v>1.429770405126232</v>
      </c>
    </row>
    <row x14ac:dyDescent="0.25" r="175" customHeight="1" ht="19.5">
      <c r="A175" s="2" t="s">
        <v>3468</v>
      </c>
      <c r="B175" s="2" t="s">
        <v>3294</v>
      </c>
      <c r="C175" s="2" t="s">
        <v>3295</v>
      </c>
      <c r="D175" s="2" t="s">
        <v>32</v>
      </c>
      <c r="E175" s="6">
        <v>1</v>
      </c>
      <c r="F175" s="6">
        <v>3</v>
      </c>
      <c r="G175" s="7">
        <v>0.9353275895118712</v>
      </c>
      <c r="H175" s="7">
        <v>11.03747734375</v>
      </c>
      <c r="I175" s="7">
        <v>12.79272067137935</v>
      </c>
      <c r="J175" s="7">
        <v>4.184939448438618</v>
      </c>
      <c r="K175" s="7">
        <v>3.285560156882018</v>
      </c>
      <c r="L175" s="7">
        <v>0.6499960952652766</v>
      </c>
      <c r="M175" s="7">
        <v>0.8475276092443298</v>
      </c>
      <c r="N175" s="7">
        <v>0.5777361843295756</v>
      </c>
      <c r="O175" s="7">
        <v>0.2786707066926792</v>
      </c>
      <c r="P175" s="7">
        <v>7.076203171856014</v>
      </c>
      <c r="Q175" s="7">
        <v>0.1118593152765182</v>
      </c>
      <c r="R175" s="7">
        <v>0.2137188212067488</v>
      </c>
      <c r="S175" s="7">
        <v>0.2283716314432163</v>
      </c>
      <c r="T175" s="7">
        <v>1.432955691453732</v>
      </c>
    </row>
    <row x14ac:dyDescent="0.25" r="176" customHeight="1" ht="19.5">
      <c r="A176" s="2" t="s">
        <v>3469</v>
      </c>
      <c r="B176" s="2" t="s">
        <v>3294</v>
      </c>
      <c r="C176" s="2" t="s">
        <v>3295</v>
      </c>
      <c r="D176" s="2" t="s">
        <v>32</v>
      </c>
      <c r="E176" s="6">
        <v>1</v>
      </c>
      <c r="F176" s="6">
        <v>3</v>
      </c>
      <c r="G176" s="7">
        <v>0.9371074438095092</v>
      </c>
      <c r="H176" s="7">
        <v>10.930115625</v>
      </c>
      <c r="I176" s="7">
        <v>12.75824734482461</v>
      </c>
      <c r="J176" s="7">
        <v>4.125787378098372</v>
      </c>
      <c r="K176" s="7">
        <v>3.296329380620464</v>
      </c>
      <c r="L176" s="7">
        <v>0.6427744805732044</v>
      </c>
      <c r="M176" s="7">
        <v>0.843825382690496</v>
      </c>
      <c r="N176" s="7">
        <v>0.5806934934506706</v>
      </c>
      <c r="O176" s="7">
        <v>0.2850134278397946</v>
      </c>
      <c r="P176" s="7">
        <v>7.016147967500836</v>
      </c>
      <c r="Q176" s="7">
        <v>0.1124905404025229</v>
      </c>
      <c r="R176" s="7">
        <v>0.2127201627787943</v>
      </c>
      <c r="S176" s="7">
        <v>0.2273364107633876</v>
      </c>
      <c r="T176" s="7">
        <v>1.427024861366784</v>
      </c>
    </row>
    <row x14ac:dyDescent="0.25" r="177" customHeight="1" ht="19.5">
      <c r="A177" s="2" t="s">
        <v>3470</v>
      </c>
      <c r="B177" s="2" t="s">
        <v>3294</v>
      </c>
      <c r="C177" s="2" t="s">
        <v>3295</v>
      </c>
      <c r="D177" s="2" t="s">
        <v>32</v>
      </c>
      <c r="E177" s="6">
        <v>1</v>
      </c>
      <c r="F177" s="6">
        <v>3</v>
      </c>
      <c r="G177" s="7">
        <v>0.938723921775818</v>
      </c>
      <c r="H177" s="7">
        <v>11.00977109375</v>
      </c>
      <c r="I177" s="7">
        <v>12.79272067137935</v>
      </c>
      <c r="J177" s="7">
        <v>4.179150753448438</v>
      </c>
      <c r="K177" s="7">
        <v>3.321114193269632</v>
      </c>
      <c r="L177" s="7">
        <v>0.6465565350033269</v>
      </c>
      <c r="M177" s="7">
        <v>0.8454001474075069</v>
      </c>
      <c r="N177" s="7">
        <v>0.5824121122978035</v>
      </c>
      <c r="O177" s="7">
        <v>0.2800057992114296</v>
      </c>
      <c r="P177" s="7">
        <v>7.059201646350997</v>
      </c>
      <c r="Q177" s="7">
        <v>0.1112657761768159</v>
      </c>
      <c r="R177" s="7">
        <v>0.213177409080556</v>
      </c>
      <c r="S177" s="7">
        <v>0.2284176268732185</v>
      </c>
      <c r="T177" s="7">
        <v>1.421774338762008</v>
      </c>
    </row>
    <row x14ac:dyDescent="0.25" r="178" customHeight="1" ht="19.5">
      <c r="A178" s="2" t="s">
        <v>3471</v>
      </c>
      <c r="B178" s="2" t="s">
        <v>3294</v>
      </c>
      <c r="C178" s="2" t="s">
        <v>3295</v>
      </c>
      <c r="D178" s="2" t="s">
        <v>32</v>
      </c>
      <c r="E178" s="6">
        <v>1</v>
      </c>
      <c r="F178" s="6">
        <v>3</v>
      </c>
      <c r="G178" s="7">
        <v>0.9389888644218444</v>
      </c>
      <c r="H178" s="7">
        <v>11.09981640625</v>
      </c>
      <c r="I178" s="7">
        <v>12.92469928984178</v>
      </c>
      <c r="J178" s="7">
        <v>4.161956923265597</v>
      </c>
      <c r="K178" s="7">
        <v>3.306395335568739</v>
      </c>
      <c r="L178" s="7">
        <v>0.6449850234068625</v>
      </c>
      <c r="M178" s="7">
        <v>0.8349967106153654</v>
      </c>
      <c r="N178" s="7">
        <v>0.5890487620874361</v>
      </c>
      <c r="O178" s="7">
        <v>0.2934667251054585</v>
      </c>
      <c r="P178" s="7">
        <v>6.957487768937053</v>
      </c>
      <c r="Q178" s="7">
        <v>0.1108008415456989</v>
      </c>
      <c r="R178" s="7">
        <v>0.2126851997176698</v>
      </c>
      <c r="S178" s="7">
        <v>0.2260447749207486</v>
      </c>
      <c r="T178" s="7">
        <v>1.427412956514536</v>
      </c>
    </row>
    <row x14ac:dyDescent="0.25" r="179" customHeight="1" ht="19.5">
      <c r="A179" s="2" t="s">
        <v>3472</v>
      </c>
      <c r="B179" s="2" t="s">
        <v>3294</v>
      </c>
      <c r="C179" s="2" t="s">
        <v>3295</v>
      </c>
      <c r="D179" s="2" t="s">
        <v>32</v>
      </c>
      <c r="E179" s="6">
        <v>1</v>
      </c>
      <c r="F179" s="6">
        <v>3</v>
      </c>
      <c r="G179" s="7">
        <v>0.9361551403999328</v>
      </c>
      <c r="H179" s="7">
        <v>11.0617203125</v>
      </c>
      <c r="I179" s="7">
        <v>12.8271939979341</v>
      </c>
      <c r="J179" s="7">
        <v>4.181189632314018</v>
      </c>
      <c r="K179" s="7">
        <v>3.334537518543296</v>
      </c>
      <c r="L179" s="7">
        <v>0.6420078327642821</v>
      </c>
      <c r="M179" s="7">
        <v>0.8448297745248614</v>
      </c>
      <c r="N179" s="7">
        <v>0.5788890734087129</v>
      </c>
      <c r="O179" s="7">
        <v>0.2766960744118416</v>
      </c>
      <c r="P179" s="7">
        <v>7.069379496154942</v>
      </c>
      <c r="Q179" s="7">
        <v>0.1105748690166739</v>
      </c>
      <c r="R179" s="7">
        <v>0.2130382713044006</v>
      </c>
      <c r="S179" s="7">
        <v>0.2272963719193746</v>
      </c>
      <c r="T179" s="7">
        <v>1.419612736528092</v>
      </c>
    </row>
    <row x14ac:dyDescent="0.25" r="180" customHeight="1" ht="19.5">
      <c r="A180" s="2" t="s">
        <v>3473</v>
      </c>
      <c r="B180" s="2" t="s">
        <v>3294</v>
      </c>
      <c r="C180" s="2" t="s">
        <v>3295</v>
      </c>
      <c r="D180" s="2" t="s">
        <v>32</v>
      </c>
      <c r="E180" s="6">
        <v>1</v>
      </c>
      <c r="F180" s="6">
        <v>3</v>
      </c>
      <c r="G180" s="7">
        <v>0.9336895942687988</v>
      </c>
      <c r="H180" s="7">
        <v>10.971675</v>
      </c>
      <c r="I180" s="7">
        <v>12.8271939979341</v>
      </c>
      <c r="J180" s="7">
        <v>4.160166548912613</v>
      </c>
      <c r="K180" s="7">
        <v>3.289870507648692</v>
      </c>
      <c r="L180" s="7">
        <v>0.6513623846058553</v>
      </c>
      <c r="M180" s="7">
        <v>0.8379526379758173</v>
      </c>
      <c r="N180" s="7">
        <v>0.583190852787126</v>
      </c>
      <c r="O180" s="7">
        <v>0.2828001825938704</v>
      </c>
      <c r="P180" s="7">
        <v>7.033438489467066</v>
      </c>
      <c r="Q180" s="7">
        <v>0.1113966688178229</v>
      </c>
      <c r="R180" s="7">
        <v>0.2129108075020122</v>
      </c>
      <c r="S180" s="7">
        <v>0.231203602409048</v>
      </c>
      <c r="T180" s="7">
        <v>1.41852148692214</v>
      </c>
    </row>
    <row x14ac:dyDescent="0.25" r="181" customHeight="1" ht="19.5">
      <c r="A181" s="2" t="s">
        <v>3474</v>
      </c>
      <c r="B181" s="2" t="s">
        <v>3294</v>
      </c>
      <c r="C181" s="2" t="s">
        <v>3295</v>
      </c>
      <c r="D181" s="2" t="s">
        <v>32</v>
      </c>
      <c r="E181" s="6">
        <v>1</v>
      </c>
      <c r="F181" s="6">
        <v>3</v>
      </c>
      <c r="G181" s="7">
        <v>0.9376330375671388</v>
      </c>
      <c r="H181" s="7">
        <v>10.9508953125</v>
      </c>
      <c r="I181" s="7">
        <v>12.8271939979341</v>
      </c>
      <c r="J181" s="7">
        <v>4.169753445668967</v>
      </c>
      <c r="K181" s="7">
        <v>3.320150719642036</v>
      </c>
      <c r="L181" s="7">
        <v>0.6437541547277665</v>
      </c>
      <c r="M181" s="7">
        <v>0.8363656064644996</v>
      </c>
      <c r="N181" s="7">
        <v>0.5815101985085288</v>
      </c>
      <c r="O181" s="7">
        <v>0.2836407642460312</v>
      </c>
      <c r="P181" s="7">
        <v>7.031168995130946</v>
      </c>
      <c r="Q181" s="7">
        <v>0.1110846412272755</v>
      </c>
      <c r="R181" s="7">
        <v>0.2135034744425515</v>
      </c>
      <c r="S181" s="7">
        <v>0.2276413661361573</v>
      </c>
      <c r="T181" s="7">
        <v>1.411869069487587</v>
      </c>
    </row>
    <row x14ac:dyDescent="0.25" r="182" customHeight="1" ht="19.5">
      <c r="A182" s="2" t="s">
        <v>3475</v>
      </c>
      <c r="B182" s="2" t="s">
        <v>3294</v>
      </c>
      <c r="C182" s="2" t="s">
        <v>3295</v>
      </c>
      <c r="D182" s="2" t="s">
        <v>32</v>
      </c>
      <c r="E182" s="6">
        <v>1</v>
      </c>
      <c r="F182" s="6">
        <v>3</v>
      </c>
      <c r="G182" s="7">
        <v>0.9396808743476868</v>
      </c>
      <c r="H182" s="7">
        <v>10.94050546875</v>
      </c>
      <c r="I182" s="7">
        <v>12.75824734482461</v>
      </c>
      <c r="J182" s="7">
        <v>4.189947172796672</v>
      </c>
      <c r="K182" s="7">
        <v>3.335746835236269</v>
      </c>
      <c r="L182" s="7">
        <v>0.6516946803991939</v>
      </c>
      <c r="M182" s="7">
        <v>0.8446274980732819</v>
      </c>
      <c r="N182" s="7">
        <v>0.5779966688764963</v>
      </c>
      <c r="O182" s="7">
        <v>0.2829299618280581</v>
      </c>
      <c r="P182" s="7">
        <v>7.037925680283778</v>
      </c>
      <c r="Q182" s="7">
        <v>0.1113647881995365</v>
      </c>
      <c r="R182" s="7">
        <v>0.2115448574025774</v>
      </c>
      <c r="S182" s="7">
        <v>0.2250346449768678</v>
      </c>
      <c r="T182" s="7">
        <v>1.414086782912755</v>
      </c>
    </row>
    <row x14ac:dyDescent="0.25" r="183" customHeight="1" ht="19.5">
      <c r="A183" s="2" t="s">
        <v>3476</v>
      </c>
      <c r="B183" s="2" t="s">
        <v>3294</v>
      </c>
      <c r="C183" s="2" t="s">
        <v>3295</v>
      </c>
      <c r="D183" s="2" t="s">
        <v>32</v>
      </c>
      <c r="E183" s="6">
        <v>1</v>
      </c>
      <c r="F183" s="6">
        <v>3</v>
      </c>
      <c r="G183" s="7">
        <v>0.9393706321716307</v>
      </c>
      <c r="H183" s="7">
        <v>11.05133046875</v>
      </c>
      <c r="I183" s="7">
        <v>12.91041997044269</v>
      </c>
      <c r="J183" s="7">
        <v>4.160773840916022</v>
      </c>
      <c r="K183" s="7">
        <v>3.32413816996842</v>
      </c>
      <c r="L183" s="7">
        <v>0.643474059536657</v>
      </c>
      <c r="M183" s="7">
        <v>0.8331893115887957</v>
      </c>
      <c r="N183" s="7">
        <v>0.5825204787845449</v>
      </c>
      <c r="O183" s="7">
        <v>0.2867797001116695</v>
      </c>
      <c r="P183" s="7">
        <v>7.001968474345271</v>
      </c>
      <c r="Q183" s="7">
        <v>0.1094847829276675</v>
      </c>
      <c r="R183" s="7">
        <v>0.2110797684310844</v>
      </c>
      <c r="S183" s="7">
        <v>0.22517391197563</v>
      </c>
      <c r="T183" s="7">
        <v>1.404297451041529</v>
      </c>
    </row>
    <row x14ac:dyDescent="0.25" r="184" customHeight="1" ht="19.5">
      <c r="A184" s="2" t="s">
        <v>3477</v>
      </c>
      <c r="B184" s="2" t="s">
        <v>3294</v>
      </c>
      <c r="C184" s="2" t="s">
        <v>3295</v>
      </c>
      <c r="D184" s="2" t="s">
        <v>32</v>
      </c>
      <c r="E184" s="6">
        <v>1</v>
      </c>
      <c r="F184" s="6">
        <v>3</v>
      </c>
      <c r="G184" s="7">
        <v>0.9383116960525512</v>
      </c>
      <c r="H184" s="7">
        <v>10.94050546875</v>
      </c>
      <c r="I184" s="7">
        <v>12.8271939979341</v>
      </c>
      <c r="J184" s="7">
        <v>4.120602303893341</v>
      </c>
      <c r="K184" s="7">
        <v>3.332465735328035</v>
      </c>
      <c r="L184" s="7">
        <v>0.6322583313820853</v>
      </c>
      <c r="M184" s="7">
        <v>0.8355720907088406</v>
      </c>
      <c r="N184" s="7">
        <v>0.5781848033147886</v>
      </c>
      <c r="O184" s="7">
        <v>0.2839436561650417</v>
      </c>
      <c r="P184" s="7">
        <v>7.043292131290104</v>
      </c>
      <c r="Q184" s="7">
        <v>0.1106043123097697</v>
      </c>
      <c r="R184" s="7">
        <v>0.210774883044594</v>
      </c>
      <c r="S184" s="7">
        <v>0.226412064121316</v>
      </c>
      <c r="T184" s="7">
        <v>1.404430419156949</v>
      </c>
    </row>
    <row x14ac:dyDescent="0.25" r="185" customHeight="1" ht="19.5">
      <c r="A185" s="2" t="s">
        <v>3478</v>
      </c>
      <c r="B185" s="2" t="s">
        <v>3294</v>
      </c>
      <c r="C185" s="2" t="s">
        <v>3295</v>
      </c>
      <c r="D185" s="2" t="s">
        <v>32</v>
      </c>
      <c r="E185" s="6">
        <v>1</v>
      </c>
      <c r="F185" s="6">
        <v>3</v>
      </c>
      <c r="G185" s="7">
        <v>0.9395257234573364</v>
      </c>
      <c r="H185" s="7">
        <v>11.02362421875</v>
      </c>
      <c r="I185" s="7">
        <v>12.8271939979341</v>
      </c>
      <c r="J185" s="7">
        <v>4.164166491353926</v>
      </c>
      <c r="K185" s="7">
        <v>3.305137005216956</v>
      </c>
      <c r="L185" s="7">
        <v>0.6492405328374792</v>
      </c>
      <c r="M185" s="7">
        <v>0.8419202167541119</v>
      </c>
      <c r="N185" s="7">
        <v>0.5786194959505806</v>
      </c>
      <c r="O185" s="7">
        <v>0.2794034972052359</v>
      </c>
      <c r="P185" s="7">
        <v>7.053570180105755</v>
      </c>
      <c r="Q185" s="7">
        <v>0.1106222481891022</v>
      </c>
      <c r="R185" s="7">
        <v>0.2122934877516869</v>
      </c>
      <c r="S185" s="7">
        <v>0.2275471870122987</v>
      </c>
      <c r="T185" s="7">
        <v>1.41532983217259</v>
      </c>
    </row>
    <row x14ac:dyDescent="0.25" r="186" customHeight="1" ht="19.5">
      <c r="A186" s="2" t="s">
        <v>3479</v>
      </c>
      <c r="B186" s="2" t="s">
        <v>3294</v>
      </c>
      <c r="C186" s="2" t="s">
        <v>3295</v>
      </c>
      <c r="D186" s="2" t="s">
        <v>32</v>
      </c>
      <c r="E186" s="6">
        <v>1</v>
      </c>
      <c r="F186" s="6">
        <v>3</v>
      </c>
      <c r="G186" s="7">
        <v>0.9385990500450134</v>
      </c>
      <c r="H186" s="7">
        <v>10.9162625</v>
      </c>
      <c r="I186" s="7">
        <v>12.7582473448246</v>
      </c>
      <c r="J186" s="7">
        <v>4.150630476693859</v>
      </c>
      <c r="K186" s="7">
        <v>3.306982143582361</v>
      </c>
      <c r="L186" s="7">
        <v>0.6430288047590133</v>
      </c>
      <c r="M186" s="7">
        <v>0.8427558955134489</v>
      </c>
      <c r="N186" s="7">
        <v>0.5796074851956285</v>
      </c>
      <c r="O186" s="7">
        <v>0.2853153363889862</v>
      </c>
      <c r="P186" s="7">
        <v>7.024801523854335</v>
      </c>
      <c r="Q186" s="7">
        <v>0.1116265407209697</v>
      </c>
      <c r="R186" s="7">
        <v>0.2120321942149323</v>
      </c>
      <c r="S186" s="7">
        <v>0.2252370853229447</v>
      </c>
      <c r="T186" s="7">
        <v>1.414269634437139</v>
      </c>
    </row>
    <row x14ac:dyDescent="0.25" r="187" customHeight="1" ht="19.5">
      <c r="A187" s="2" t="s">
        <v>3480</v>
      </c>
      <c r="B187" s="2" t="s">
        <v>3294</v>
      </c>
      <c r="C187" s="2" t="s">
        <v>3295</v>
      </c>
      <c r="D187" s="2" t="s">
        <v>32</v>
      </c>
      <c r="E187" s="6">
        <v>1</v>
      </c>
      <c r="F187" s="6">
        <v>3</v>
      </c>
      <c r="G187" s="7">
        <v>0.9360294342041016</v>
      </c>
      <c r="H187" s="7">
        <v>11.05133046875</v>
      </c>
      <c r="I187" s="7">
        <v>12.91041997044268</v>
      </c>
      <c r="J187" s="7">
        <v>4.158616507252996</v>
      </c>
      <c r="K187" s="7">
        <v>3.265910075134783</v>
      </c>
      <c r="L187" s="7">
        <v>0.6476047980585835</v>
      </c>
      <c r="M187" s="7">
        <v>0.8331893115887963</v>
      </c>
      <c r="N187" s="7">
        <v>0.5828749289393531</v>
      </c>
      <c r="O187" s="7">
        <v>0.2871169309012919</v>
      </c>
      <c r="P187" s="7">
        <v>7.00198803923969</v>
      </c>
      <c r="Q187" s="7">
        <v>0.1101726270292892</v>
      </c>
      <c r="R187" s="7">
        <v>0.2116038673280254</v>
      </c>
      <c r="S187" s="7">
        <v>0.2247973267693312</v>
      </c>
      <c r="T187" s="7">
        <v>1.4131200261318</v>
      </c>
    </row>
    <row x14ac:dyDescent="0.25" r="188" customHeight="1" ht="19.5">
      <c r="A188" s="2" t="s">
        <v>3481</v>
      </c>
      <c r="B188" s="2" t="s">
        <v>3294</v>
      </c>
      <c r="C188" s="2" t="s">
        <v>3295</v>
      </c>
      <c r="D188" s="2" t="s">
        <v>32</v>
      </c>
      <c r="E188" s="6">
        <v>1</v>
      </c>
      <c r="F188" s="6">
        <v>3</v>
      </c>
      <c r="G188" s="7">
        <v>0.9398305416107178</v>
      </c>
      <c r="H188" s="7">
        <v>11.0340140625</v>
      </c>
      <c r="I188" s="7">
        <v>12.89022596328704</v>
      </c>
      <c r="J188" s="7">
        <v>4.148976432456804</v>
      </c>
      <c r="K188" s="7">
        <v>3.300995736042898</v>
      </c>
      <c r="L188" s="7">
        <v>0.6350445229001214</v>
      </c>
      <c r="M188" s="7">
        <v>0.8344923045499085</v>
      </c>
      <c r="N188" s="7">
        <v>0.5901859217167073</v>
      </c>
      <c r="O188" s="7">
        <v>0.2972681106621929</v>
      </c>
      <c r="P188" s="7">
        <v>6.924820332387749</v>
      </c>
      <c r="Q188" s="7">
        <v>0.1095755324121113</v>
      </c>
      <c r="R188" s="7">
        <v>0.2105295092410453</v>
      </c>
      <c r="S188" s="7">
        <v>0.2224544277063578</v>
      </c>
      <c r="T188" s="7">
        <v>1.403259214479804</v>
      </c>
    </row>
    <row x14ac:dyDescent="0.25" r="189" customHeight="1" ht="19.5">
      <c r="A189" s="2" t="s">
        <v>3482</v>
      </c>
      <c r="B189" s="2" t="s">
        <v>3294</v>
      </c>
      <c r="C189" s="2" t="s">
        <v>3295</v>
      </c>
      <c r="D189" s="2" t="s">
        <v>32</v>
      </c>
      <c r="E189" s="6">
        <v>1</v>
      </c>
      <c r="F189" s="6">
        <v>3</v>
      </c>
      <c r="G189" s="7">
        <v>0.937800109386444</v>
      </c>
      <c r="H189" s="7">
        <v>10.96128515625</v>
      </c>
      <c r="I189" s="7">
        <v>12.8271939979341</v>
      </c>
      <c r="J189" s="7">
        <v>4.14611454302611</v>
      </c>
      <c r="K189" s="7">
        <v>3.321709508022786</v>
      </c>
      <c r="L189" s="7">
        <v>0.6454110643746644</v>
      </c>
      <c r="M189" s="7">
        <v>0.8371591222201585</v>
      </c>
      <c r="N189" s="7">
        <v>0.5860032238207158</v>
      </c>
      <c r="O189" s="7">
        <v>0.2830850848699351</v>
      </c>
      <c r="P189" s="7">
        <v>7.023761598587072</v>
      </c>
      <c r="Q189" s="7">
        <v>0.1107748853500928</v>
      </c>
      <c r="R189" s="7">
        <v>0.2105427437235345</v>
      </c>
      <c r="S189" s="7">
        <v>0.223518422436195</v>
      </c>
      <c r="T189" s="7">
        <v>1.409267917887492</v>
      </c>
    </row>
    <row x14ac:dyDescent="0.25" r="190" customHeight="1" ht="19.5">
      <c r="A190" s="2" t="s">
        <v>3483</v>
      </c>
      <c r="B190" s="2" t="s">
        <v>3294</v>
      </c>
      <c r="C190" s="2" t="s">
        <v>3295</v>
      </c>
      <c r="D190" s="2" t="s">
        <v>32</v>
      </c>
      <c r="E190" s="6">
        <v>1</v>
      </c>
      <c r="F190" s="6">
        <v>3</v>
      </c>
      <c r="G190" s="7">
        <v>0.9238495230674744</v>
      </c>
      <c r="H190" s="7">
        <v>12.0037328125</v>
      </c>
      <c r="I190" s="7">
        <v>13.27779718703178</v>
      </c>
      <c r="J190" s="7">
        <v>4.377220428946507</v>
      </c>
      <c r="K190" s="7">
        <v>3.292323457653472</v>
      </c>
      <c r="L190" s="7">
        <v>0.6866062489081575</v>
      </c>
      <c r="M190" s="7">
        <v>0.8556065934756107</v>
      </c>
      <c r="N190" s="7">
        <v>0.5988191577459211</v>
      </c>
      <c r="O190" s="7">
        <v>0.2729304636423958</v>
      </c>
      <c r="P190" s="7">
        <v>6.853855111841087</v>
      </c>
      <c r="Q190" s="7">
        <v>0.0702188005307918</v>
      </c>
      <c r="R190" s="7">
        <v>0.13579468630633</v>
      </c>
      <c r="S190" s="7">
        <v>0.1497759694600891</v>
      </c>
      <c r="T190" s="7">
        <v>0.978273989793884</v>
      </c>
    </row>
    <row x14ac:dyDescent="0.25" r="191" customHeight="1" ht="19.5">
      <c r="A191" s="2" t="s">
        <v>3484</v>
      </c>
      <c r="B191" s="2" t="s">
        <v>3294</v>
      </c>
      <c r="C191" s="2" t="s">
        <v>3295</v>
      </c>
      <c r="D191" s="2" t="s">
        <v>32</v>
      </c>
      <c r="E191" s="6">
        <v>1</v>
      </c>
      <c r="F191" s="6">
        <v>3</v>
      </c>
      <c r="G191" s="7">
        <v>0.7896447777748108</v>
      </c>
      <c r="H191" s="7">
        <v>12.95613515625</v>
      </c>
      <c r="I191" s="7">
        <v>14.27752365711944</v>
      </c>
      <c r="J191" s="7">
        <v>5.048140251776804</v>
      </c>
      <c r="K191" s="7">
        <v>3.503331769950324</v>
      </c>
      <c r="L191" s="7">
        <v>0.7364663417901045</v>
      </c>
      <c r="M191" s="7">
        <v>0.7986924093607963</v>
      </c>
      <c r="N191" s="7">
        <v>0.5913581310321088</v>
      </c>
      <c r="O191" s="7">
        <v>0.2206703608910633</v>
      </c>
      <c r="P191" s="7">
        <v>6.833481472811843</v>
      </c>
      <c r="Q191" s="7">
        <v>0.0342546288809778</v>
      </c>
      <c r="R191" s="7">
        <v>0.0740036679414234</v>
      </c>
      <c r="S191" s="7">
        <v>0.0878979381510438</v>
      </c>
      <c r="T191" s="7">
        <v>0.5150928442005049</v>
      </c>
    </row>
    <row x14ac:dyDescent="0.25" r="192" customHeight="1" ht="19.5">
      <c r="A192" s="2" t="s">
        <v>3485</v>
      </c>
      <c r="B192" s="2" t="s">
        <v>3294</v>
      </c>
      <c r="C192" s="2" t="s">
        <v>3295</v>
      </c>
      <c r="D192" s="2" t="s">
        <v>32</v>
      </c>
      <c r="E192" s="6">
        <v>1</v>
      </c>
      <c r="F192" s="6">
        <v>3</v>
      </c>
      <c r="G192" s="7">
        <v>0.9156150817871094</v>
      </c>
      <c r="H192" s="7">
        <v>11.18293515625</v>
      </c>
      <c r="I192" s="7">
        <v>13.24087391659106</v>
      </c>
      <c r="J192" s="7">
        <v>4.450234137963931</v>
      </c>
      <c r="K192" s="7">
        <v>3.283403570639442</v>
      </c>
      <c r="L192" s="7">
        <v>0.6953150234024316</v>
      </c>
      <c r="M192" s="7">
        <v>0.8015532336135007</v>
      </c>
      <c r="N192" s="7">
        <v>0.6041131422126318</v>
      </c>
      <c r="O192" s="7">
        <v>0.2706577867668628</v>
      </c>
      <c r="P192" s="7">
        <v>6.63297709897676</v>
      </c>
      <c r="Q192" s="7">
        <v>0.0645359075443919</v>
      </c>
      <c r="R192" s="7">
        <v>0.1240720944021006</v>
      </c>
      <c r="S192" s="7">
        <v>0.1433623998230583</v>
      </c>
      <c r="T192" s="7">
        <v>0.8376218707729488</v>
      </c>
    </row>
    <row x14ac:dyDescent="0.25" r="193" customHeight="1" ht="19.5">
      <c r="A193" s="2" t="s">
        <v>3486</v>
      </c>
      <c r="B193" s="2" t="s">
        <v>3294</v>
      </c>
      <c r="C193" s="2" t="s">
        <v>3295</v>
      </c>
      <c r="D193" s="2" t="s">
        <v>32</v>
      </c>
      <c r="E193" s="6">
        <v>1</v>
      </c>
      <c r="F193" s="6">
        <v>3</v>
      </c>
      <c r="G193" s="7">
        <v>0.9248006939888</v>
      </c>
      <c r="H193" s="7">
        <v>10.846996875</v>
      </c>
      <c r="I193" s="7">
        <v>13.03403395726258</v>
      </c>
      <c r="J193" s="7">
        <v>4.152515661485064</v>
      </c>
      <c r="K193" s="7">
        <v>3.249527978016266</v>
      </c>
      <c r="L193" s="7">
        <v>0.6607891543428851</v>
      </c>
      <c r="M193" s="7">
        <v>0.8023459833543327</v>
      </c>
      <c r="N193" s="7">
        <v>0.601637975395962</v>
      </c>
      <c r="O193" s="7">
        <v>0.2901187108397206</v>
      </c>
      <c r="P193" s="7">
        <v>6.659975266192087</v>
      </c>
      <c r="Q193" s="7">
        <v>0.0923154035050931</v>
      </c>
      <c r="R193" s="7">
        <v>0.169991490228592</v>
      </c>
      <c r="S193" s="7">
        <v>0.1884601577628996</v>
      </c>
      <c r="T193" s="7">
        <v>1.16218286342827</v>
      </c>
    </row>
    <row x14ac:dyDescent="0.25" r="194" customHeight="1" ht="19.5">
      <c r="A194" s="2" t="s">
        <v>3487</v>
      </c>
      <c r="B194" s="2" t="s">
        <v>3294</v>
      </c>
      <c r="C194" s="2" t="s">
        <v>3295</v>
      </c>
      <c r="D194" s="2" t="s">
        <v>32</v>
      </c>
      <c r="E194" s="6">
        <v>1</v>
      </c>
      <c r="F194" s="6">
        <v>3</v>
      </c>
      <c r="G194" s="7">
        <v>0.9162696599960328</v>
      </c>
      <c r="H194" s="7">
        <v>10.750025</v>
      </c>
      <c r="I194" s="7">
        <v>12.83310868569066</v>
      </c>
      <c r="J194" s="7">
        <v>4.145431133418312</v>
      </c>
      <c r="K194" s="7">
        <v>3.275371153389261</v>
      </c>
      <c r="L194" s="7">
        <v>0.6593852519218247</v>
      </c>
      <c r="M194" s="7">
        <v>0.8202676678338993</v>
      </c>
      <c r="N194" s="7">
        <v>0.596158087557752</v>
      </c>
      <c r="O194" s="7">
        <v>0.2759106195093946</v>
      </c>
      <c r="P194" s="7">
        <v>6.763712659088919</v>
      </c>
      <c r="Q194" s="7">
        <v>0.0942314615294046</v>
      </c>
      <c r="R194" s="7">
        <v>0.1725268525911081</v>
      </c>
      <c r="S194" s="7">
        <v>0.1922391118518951</v>
      </c>
      <c r="T194" s="7">
        <v>1.175699088179833</v>
      </c>
    </row>
    <row x14ac:dyDescent="0.25" r="195" customHeight="1" ht="19.5">
      <c r="A195" s="2" t="s">
        <v>3488</v>
      </c>
      <c r="B195" s="2" t="s">
        <v>3294</v>
      </c>
      <c r="C195" s="2" t="s">
        <v>3295</v>
      </c>
      <c r="D195" s="2" t="s">
        <v>32</v>
      </c>
      <c r="E195" s="6">
        <v>1</v>
      </c>
      <c r="F195" s="6">
        <v>3</v>
      </c>
      <c r="G195" s="7">
        <v>0.9168939590454102</v>
      </c>
      <c r="H195" s="7">
        <v>10.6876859375</v>
      </c>
      <c r="I195" s="7">
        <v>12.71540938662733</v>
      </c>
      <c r="J195" s="7">
        <v>4.198541728685788</v>
      </c>
      <c r="K195" s="7">
        <v>3.287914652120572</v>
      </c>
      <c r="L195" s="7">
        <v>0.6611110882607101</v>
      </c>
      <c r="M195" s="7">
        <v>0.830678275725006</v>
      </c>
      <c r="N195" s="7">
        <v>0.5885205019069737</v>
      </c>
      <c r="O195" s="7">
        <v>0.2694381542243096</v>
      </c>
      <c r="P195" s="7">
        <v>6.803785450505067</v>
      </c>
      <c r="Q195" s="7">
        <v>0.0936624251854476</v>
      </c>
      <c r="R195" s="7">
        <v>0.1717782651156293</v>
      </c>
      <c r="S195" s="7">
        <v>0.1932397288476991</v>
      </c>
      <c r="T195" s="7">
        <v>1.161822712214842</v>
      </c>
    </row>
    <row x14ac:dyDescent="0.25" r="196" customHeight="1" ht="19.5">
      <c r="A196" s="2" t="s">
        <v>3489</v>
      </c>
      <c r="B196" s="2" t="s">
        <v>3294</v>
      </c>
      <c r="C196" s="2" t="s">
        <v>3295</v>
      </c>
      <c r="D196" s="2" t="s">
        <v>32</v>
      </c>
      <c r="E196" s="6">
        <v>1</v>
      </c>
      <c r="F196" s="6">
        <v>3</v>
      </c>
      <c r="G196" s="7">
        <v>0.928881585597992</v>
      </c>
      <c r="H196" s="7">
        <v>10.79504765625</v>
      </c>
      <c r="I196" s="7">
        <v>12.95080798475399</v>
      </c>
      <c r="J196" s="7">
        <v>4.157739969568629</v>
      </c>
      <c r="K196" s="7">
        <v>3.248340352915458</v>
      </c>
      <c r="L196" s="7">
        <v>0.6633135227564623</v>
      </c>
      <c r="M196" s="7">
        <v>0.8087991743556665</v>
      </c>
      <c r="N196" s="7">
        <v>0.5992197167290966</v>
      </c>
      <c r="O196" s="7">
        <v>0.282656161065714</v>
      </c>
      <c r="P196" s="7">
        <v>6.71457738021966</v>
      </c>
      <c r="Q196" s="7">
        <v>0.0937623489001848</v>
      </c>
      <c r="R196" s="7">
        <v>0.1708762477863809</v>
      </c>
      <c r="S196" s="7">
        <v>0.1905431370392548</v>
      </c>
      <c r="T196" s="7">
        <v>1.174745587934589</v>
      </c>
    </row>
    <row x14ac:dyDescent="0.25" r="197" customHeight="1" ht="19.5">
      <c r="A197" s="2" t="s">
        <v>3490</v>
      </c>
      <c r="B197" s="2" t="s">
        <v>3294</v>
      </c>
      <c r="C197" s="2" t="s">
        <v>3295</v>
      </c>
      <c r="D197" s="2" t="s">
        <v>32</v>
      </c>
      <c r="E197" s="6">
        <v>1</v>
      </c>
      <c r="F197" s="6">
        <v>3</v>
      </c>
      <c r="G197" s="7">
        <v>0.9276472926139832</v>
      </c>
      <c r="H197" s="7">
        <v>10.7846578125</v>
      </c>
      <c r="I197" s="7">
        <v>12.84738800508976</v>
      </c>
      <c r="J197" s="7">
        <v>4.15782553399694</v>
      </c>
      <c r="K197" s="7">
        <v>3.262654587529942</v>
      </c>
      <c r="L197" s="7">
        <v>0.6661827010918037</v>
      </c>
      <c r="M197" s="7">
        <v>0.8210820405173019</v>
      </c>
      <c r="N197" s="7">
        <v>0.5963397330147219</v>
      </c>
      <c r="O197" s="7">
        <v>0.283569531285072</v>
      </c>
      <c r="P197" s="7">
        <v>6.706927297294035</v>
      </c>
      <c r="Q197" s="7">
        <v>0.0929219196256121</v>
      </c>
      <c r="R197" s="7">
        <v>0.1710671773339322</v>
      </c>
      <c r="S197" s="7">
        <v>0.1919989447268969</v>
      </c>
      <c r="T197" s="7">
        <v>1.163095359620212</v>
      </c>
    </row>
    <row x14ac:dyDescent="0.25" r="198" customHeight="1" ht="19.5">
      <c r="A198" s="2" t="s">
        <v>3491</v>
      </c>
      <c r="B198" s="2" t="s">
        <v>3294</v>
      </c>
      <c r="C198" s="2" t="s">
        <v>3295</v>
      </c>
      <c r="D198" s="2" t="s">
        <v>32</v>
      </c>
      <c r="E198" s="6">
        <v>1</v>
      </c>
      <c r="F198" s="6">
        <v>3</v>
      </c>
      <c r="G198" s="7">
        <v>0.921595573425293</v>
      </c>
      <c r="H198" s="7">
        <v>10.84353359375</v>
      </c>
      <c r="I198" s="7">
        <v>12.98528131130874</v>
      </c>
      <c r="J198" s="7">
        <v>4.197511349232644</v>
      </c>
      <c r="K198" s="7">
        <v>3.237381078663826</v>
      </c>
      <c r="L198" s="7">
        <v>0.6593185269097781</v>
      </c>
      <c r="M198" s="7">
        <v>0.808123931807658</v>
      </c>
      <c r="N198" s="7">
        <v>0.593591080885205</v>
      </c>
      <c r="O198" s="7">
        <v>0.2812574222410255</v>
      </c>
      <c r="P198" s="7">
        <v>6.723222517237017</v>
      </c>
      <c r="Q198" s="7">
        <v>0.0921430323449226</v>
      </c>
      <c r="R198" s="7">
        <v>0.1700764955179826</v>
      </c>
      <c r="S198" s="7">
        <v>0.1883001388038418</v>
      </c>
      <c r="T198" s="7">
        <v>1.159642463146522</v>
      </c>
    </row>
    <row x14ac:dyDescent="0.25" r="199" customHeight="1" ht="19.5">
      <c r="A199" s="2" t="s">
        <v>3492</v>
      </c>
      <c r="B199" s="2" t="s">
        <v>3294</v>
      </c>
      <c r="C199" s="2" t="s">
        <v>3295</v>
      </c>
      <c r="D199" s="2" t="s">
        <v>32</v>
      </c>
      <c r="E199" s="6">
        <v>1</v>
      </c>
      <c r="F199" s="6">
        <v>3</v>
      </c>
      <c r="G199" s="7">
        <v>0.9277284741401672</v>
      </c>
      <c r="H199" s="7">
        <v>10.7985109375</v>
      </c>
      <c r="I199" s="7">
        <v>12.96508730415309</v>
      </c>
      <c r="J199" s="7">
        <v>4.157367693246844</v>
      </c>
      <c r="K199" s="7">
        <v>3.291556785412493</v>
      </c>
      <c r="L199" s="7">
        <v>0.6680430740396704</v>
      </c>
      <c r="M199" s="7">
        <v>0.8072774947387225</v>
      </c>
      <c r="N199" s="7">
        <v>0.6050607788400805</v>
      </c>
      <c r="O199" s="7">
        <v>0.292689933693907</v>
      </c>
      <c r="P199" s="7">
        <v>6.643691305717338</v>
      </c>
      <c r="Q199" s="7">
        <v>0.0936008880974531</v>
      </c>
      <c r="R199" s="7">
        <v>0.1730074061415321</v>
      </c>
      <c r="S199" s="7">
        <v>0.1927001818112204</v>
      </c>
      <c r="T199" s="7">
        <v>1.173098884907304</v>
      </c>
    </row>
    <row x14ac:dyDescent="0.25" r="200" customHeight="1" ht="19.5">
      <c r="A200" s="2" t="s">
        <v>3493</v>
      </c>
      <c r="B200" s="2" t="s">
        <v>3294</v>
      </c>
      <c r="C200" s="2" t="s">
        <v>3295</v>
      </c>
      <c r="D200" s="2" t="s">
        <v>32</v>
      </c>
      <c r="E200" s="6">
        <v>1</v>
      </c>
      <c r="F200" s="6">
        <v>3</v>
      </c>
      <c r="G200" s="7">
        <v>0.9279508590698242</v>
      </c>
      <c r="H200" s="7">
        <v>10.78119453125</v>
      </c>
      <c r="I200" s="7">
        <v>12.8818613316445</v>
      </c>
      <c r="J200" s="7">
        <v>4.156820326705331</v>
      </c>
      <c r="K200" s="7">
        <v>3.256343791629893</v>
      </c>
      <c r="L200" s="7">
        <v>0.6624894560875914</v>
      </c>
      <c r="M200" s="7">
        <v>0.8164310378185105</v>
      </c>
      <c r="N200" s="7">
        <v>0.5962717889423625</v>
      </c>
      <c r="O200" s="7">
        <v>0.2837743837454942</v>
      </c>
      <c r="P200" s="7">
        <v>6.706446395833773</v>
      </c>
      <c r="Q200" s="7">
        <v>0.093106249594555</v>
      </c>
      <c r="R200" s="7">
        <v>0.1700117211142196</v>
      </c>
      <c r="S200" s="7">
        <v>0.1902286161290166</v>
      </c>
      <c r="T200" s="7">
        <v>1.165028355181175</v>
      </c>
    </row>
    <row x14ac:dyDescent="0.25" r="201" customHeight="1" ht="19.5">
      <c r="A201" s="2" t="s">
        <v>3494</v>
      </c>
      <c r="B201" s="2" t="s">
        <v>3294</v>
      </c>
      <c r="C201" s="2" t="s">
        <v>3295</v>
      </c>
      <c r="D201" s="2" t="s">
        <v>32</v>
      </c>
      <c r="E201" s="6">
        <v>1</v>
      </c>
      <c r="F201" s="6">
        <v>3</v>
      </c>
      <c r="G201" s="7">
        <v>0.927596926689148</v>
      </c>
      <c r="H201" s="7">
        <v>10.79504765625</v>
      </c>
      <c r="I201" s="7">
        <v>12.93061397759834</v>
      </c>
      <c r="J201" s="7">
        <v>4.138988104799788</v>
      </c>
      <c r="K201" s="7">
        <v>3.256820830456814</v>
      </c>
      <c r="L201" s="7">
        <v>0.6599031815529501</v>
      </c>
      <c r="M201" s="7">
        <v>0.8113273837745926</v>
      </c>
      <c r="N201" s="7">
        <v>0.6046737580769185</v>
      </c>
      <c r="O201" s="7">
        <v>0.2929837887422733</v>
      </c>
      <c r="P201" s="7">
        <v>6.640534607982625</v>
      </c>
      <c r="Q201" s="7">
        <v>0.0927162575682715</v>
      </c>
      <c r="R201" s="7">
        <v>0.1705849538020826</v>
      </c>
      <c r="S201" s="7">
        <v>0.1877900803183097</v>
      </c>
      <c r="T201" s="7">
        <v>1.16163914178476</v>
      </c>
    </row>
    <row x14ac:dyDescent="0.25" r="202" customHeight="1" ht="19.5">
      <c r="A202" s="2" t="s">
        <v>3495</v>
      </c>
      <c r="B202" s="2" t="s">
        <v>3294</v>
      </c>
      <c r="C202" s="2" t="s">
        <v>3295</v>
      </c>
      <c r="D202" s="2" t="s">
        <v>32</v>
      </c>
      <c r="E202" s="6">
        <v>1</v>
      </c>
      <c r="F202" s="6">
        <v>3</v>
      </c>
      <c r="G202" s="7">
        <v>0.9298595786094666</v>
      </c>
      <c r="H202" s="7">
        <v>10.73963515625</v>
      </c>
      <c r="I202" s="7">
        <v>12.91633465819925</v>
      </c>
      <c r="J202" s="7">
        <v>4.164891531427301</v>
      </c>
      <c r="K202" s="7">
        <v>3.274718296334353</v>
      </c>
      <c r="L202" s="7">
        <v>0.6539204544890322</v>
      </c>
      <c r="M202" s="7">
        <v>0.8089483882582735</v>
      </c>
      <c r="N202" s="7">
        <v>0.5961410700003132</v>
      </c>
      <c r="O202" s="7">
        <v>0.286867734645377</v>
      </c>
      <c r="P202" s="7">
        <v>6.691180324467468</v>
      </c>
      <c r="Q202" s="7">
        <v>0.0921048655646622</v>
      </c>
      <c r="R202" s="7">
        <v>0.16739627664948</v>
      </c>
      <c r="S202" s="7">
        <v>0.1833229728855988</v>
      </c>
      <c r="T202" s="7">
        <v>1.148055493271533</v>
      </c>
    </row>
    <row x14ac:dyDescent="0.25" r="203" customHeight="1" ht="19.5">
      <c r="A203" s="2" t="s">
        <v>3496</v>
      </c>
      <c r="B203" s="2" t="s">
        <v>3294</v>
      </c>
      <c r="C203" s="2" t="s">
        <v>3295</v>
      </c>
      <c r="D203" s="2" t="s">
        <v>32</v>
      </c>
      <c r="E203" s="6">
        <v>1</v>
      </c>
      <c r="F203" s="6">
        <v>3</v>
      </c>
      <c r="G203" s="7">
        <v>0.9249605536460876</v>
      </c>
      <c r="H203" s="7">
        <v>10.76734140625</v>
      </c>
      <c r="I203" s="7">
        <v>12.83310868569066</v>
      </c>
      <c r="J203" s="7">
        <v>4.230403254574194</v>
      </c>
      <c r="K203" s="7">
        <v>3.311512644866568</v>
      </c>
      <c r="L203" s="7">
        <v>0.6736609807458566</v>
      </c>
      <c r="M203" s="7">
        <v>0.8215889752885286</v>
      </c>
      <c r="N203" s="7">
        <v>0.5909195399050834</v>
      </c>
      <c r="O203" s="7">
        <v>0.2738129039787799</v>
      </c>
      <c r="P203" s="7">
        <v>6.766366957119405</v>
      </c>
      <c r="Q203" s="7">
        <v>0.091479384835738</v>
      </c>
      <c r="R203" s="7">
        <v>0.1675696027225347</v>
      </c>
      <c r="S203" s="7">
        <v>0.1863783052301579</v>
      </c>
      <c r="T203" s="7">
        <v>1.143200746144838</v>
      </c>
    </row>
    <row x14ac:dyDescent="0.25" r="204" customHeight="1" ht="19.5">
      <c r="A204" s="2" t="s">
        <v>3497</v>
      </c>
      <c r="B204" s="2" t="s">
        <v>3294</v>
      </c>
      <c r="C204" s="2" t="s">
        <v>3295</v>
      </c>
      <c r="D204" s="2" t="s">
        <v>32</v>
      </c>
      <c r="E204" s="6">
        <v>1</v>
      </c>
      <c r="F204" s="6">
        <v>3</v>
      </c>
      <c r="G204" s="7">
        <v>0.917825162410736</v>
      </c>
      <c r="H204" s="7">
        <v>10.6738328125</v>
      </c>
      <c r="I204" s="7">
        <v>12.79863535913592</v>
      </c>
      <c r="J204" s="7">
        <v>4.175967046771518</v>
      </c>
      <c r="K204" s="7">
        <v>3.285045868177376</v>
      </c>
      <c r="L204" s="7">
        <v>0.6615549175175446</v>
      </c>
      <c r="M204" s="7">
        <v>0.8188473128955509</v>
      </c>
      <c r="N204" s="7">
        <v>0.5919133944002684</v>
      </c>
      <c r="O204" s="7">
        <v>0.2793923686893004</v>
      </c>
      <c r="P204" s="7">
        <v>6.772925348037418</v>
      </c>
      <c r="Q204" s="7">
        <v>0.0948843494857762</v>
      </c>
      <c r="R204" s="7">
        <v>0.1723781665282837</v>
      </c>
      <c r="S204" s="7">
        <v>0.1921613623433004</v>
      </c>
      <c r="T204" s="7">
        <v>1.175454331239573</v>
      </c>
    </row>
    <row x14ac:dyDescent="0.25" r="205" customHeight="1" ht="19.5">
      <c r="A205" s="2" t="s">
        <v>3498</v>
      </c>
      <c r="B205" s="2" t="s">
        <v>3294</v>
      </c>
      <c r="C205" s="2" t="s">
        <v>3295</v>
      </c>
      <c r="D205" s="2" t="s">
        <v>32</v>
      </c>
      <c r="E205" s="6">
        <v>1</v>
      </c>
      <c r="F205" s="6">
        <v>3</v>
      </c>
      <c r="G205" s="7">
        <v>0.9276134371757508</v>
      </c>
      <c r="H205" s="7">
        <v>10.8054375</v>
      </c>
      <c r="I205" s="7">
        <v>13.01383995010693</v>
      </c>
      <c r="J205" s="7">
        <v>4.157812085054284</v>
      </c>
      <c r="K205" s="7">
        <v>3.31248609598535</v>
      </c>
      <c r="L205" s="7">
        <v>0.6652035658609355</v>
      </c>
      <c r="M205" s="7">
        <v>0.8017542986811121</v>
      </c>
      <c r="N205" s="7">
        <v>0.6041185168418672</v>
      </c>
      <c r="O205" s="7">
        <v>0.3014037233316796</v>
      </c>
      <c r="P205" s="7">
        <v>6.611427423609698</v>
      </c>
      <c r="Q205" s="7">
        <v>0.091392154395535</v>
      </c>
      <c r="R205" s="7">
        <v>0.168182108427923</v>
      </c>
      <c r="S205" s="7">
        <v>0.1863199990410994</v>
      </c>
      <c r="T205" s="7">
        <v>1.146151562635139</v>
      </c>
    </row>
    <row x14ac:dyDescent="0.25" r="206" customHeight="1" ht="19.5">
      <c r="A206" s="2" t="s">
        <v>3499</v>
      </c>
      <c r="B206" s="2" t="s">
        <v>3294</v>
      </c>
      <c r="C206" s="2" t="s">
        <v>3295</v>
      </c>
      <c r="D206" s="2" t="s">
        <v>32</v>
      </c>
      <c r="E206" s="6">
        <v>1</v>
      </c>
      <c r="F206" s="6">
        <v>3</v>
      </c>
      <c r="G206" s="7">
        <v>0.9253357648849488</v>
      </c>
      <c r="H206" s="7">
        <v>10.85738671875</v>
      </c>
      <c r="I206" s="7">
        <v>12.8961406510436</v>
      </c>
      <c r="J206" s="7">
        <v>4.185648803502673</v>
      </c>
      <c r="K206" s="7">
        <v>3.261526990031766</v>
      </c>
      <c r="L206" s="7">
        <v>0.6656670196094955</v>
      </c>
      <c r="M206" s="7">
        <v>0.8203811040533443</v>
      </c>
      <c r="N206" s="7">
        <v>0.6020720577133062</v>
      </c>
      <c r="O206" s="7">
        <v>0.2886274191290116</v>
      </c>
      <c r="P206" s="7">
        <v>6.670078972422616</v>
      </c>
      <c r="Q206" s="7">
        <v>0.0913442162633299</v>
      </c>
      <c r="R206" s="7">
        <v>0.1656515160128112</v>
      </c>
      <c r="S206" s="7">
        <v>0.183203093091678</v>
      </c>
      <c r="T206" s="7">
        <v>1.151057822877287</v>
      </c>
    </row>
    <row x14ac:dyDescent="0.25" r="207" customHeight="1" ht="19.5">
      <c r="A207" s="2" t="s">
        <v>3500</v>
      </c>
      <c r="B207" s="2" t="s">
        <v>3294</v>
      </c>
      <c r="C207" s="2" t="s">
        <v>3295</v>
      </c>
      <c r="D207" s="2" t="s">
        <v>32</v>
      </c>
      <c r="E207" s="6">
        <v>1</v>
      </c>
      <c r="F207" s="6">
        <v>3</v>
      </c>
      <c r="G207" s="7">
        <v>0.9289172887802124</v>
      </c>
      <c r="H207" s="7">
        <v>10.81582734375</v>
      </c>
      <c r="I207" s="7">
        <v>12.93061397759834</v>
      </c>
      <c r="J207" s="7">
        <v>4.152324693114267</v>
      </c>
      <c r="K207" s="7">
        <v>3.27809273328607</v>
      </c>
      <c r="L207" s="7">
        <v>0.6594459305059986</v>
      </c>
      <c r="M207" s="7">
        <v>0.8128891304228595</v>
      </c>
      <c r="N207" s="7">
        <v>0.6011680358465971</v>
      </c>
      <c r="O207" s="7">
        <v>0.2917742959513706</v>
      </c>
      <c r="P207" s="7">
        <v>6.670374445270469</v>
      </c>
      <c r="Q207" s="7">
        <v>0.0919090543584246</v>
      </c>
      <c r="R207" s="7">
        <v>0.1676191928029622</v>
      </c>
      <c r="S207" s="7">
        <v>0.1849310587031445</v>
      </c>
      <c r="T207" s="7">
        <v>1.153742321458651</v>
      </c>
    </row>
    <row x14ac:dyDescent="0.25" r="208" customHeight="1" ht="19.5">
      <c r="A208" s="2" t="s">
        <v>3501</v>
      </c>
      <c r="B208" s="2" t="s">
        <v>3294</v>
      </c>
      <c r="C208" s="2" t="s">
        <v>3295</v>
      </c>
      <c r="D208" s="2" t="s">
        <v>32</v>
      </c>
      <c r="E208" s="6">
        <v>1</v>
      </c>
      <c r="F208" s="6">
        <v>3</v>
      </c>
      <c r="G208" s="7">
        <v>0.9287161231040956</v>
      </c>
      <c r="H208" s="7">
        <v>10.7153921875</v>
      </c>
      <c r="I208" s="7">
        <v>12.93270513550897</v>
      </c>
      <c r="J208" s="7">
        <v>4.139381630722684</v>
      </c>
      <c r="K208" s="7">
        <v>3.254380814300208</v>
      </c>
      <c r="L208" s="7">
        <v>0.6594401762883377</v>
      </c>
      <c r="M208" s="7">
        <v>0.8050802697029987</v>
      </c>
      <c r="N208" s="7">
        <v>0.5993684611622992</v>
      </c>
      <c r="O208" s="7">
        <v>0.2971262473003312</v>
      </c>
      <c r="P208" s="7">
        <v>6.642162107903493</v>
      </c>
      <c r="Q208" s="7">
        <v>0.0927550484215709</v>
      </c>
      <c r="R208" s="7">
        <v>0.1680922976664234</v>
      </c>
      <c r="S208" s="7">
        <v>0.1866937161622482</v>
      </c>
      <c r="T208" s="7">
        <v>1.153549957585232</v>
      </c>
    </row>
    <row x14ac:dyDescent="0.25" r="209" customHeight="1" ht="19.5">
      <c r="A209" s="2" t="s">
        <v>3502</v>
      </c>
      <c r="B209" s="2" t="s">
        <v>3294</v>
      </c>
      <c r="C209" s="2" t="s">
        <v>3295</v>
      </c>
      <c r="D209" s="2" t="s">
        <v>32</v>
      </c>
      <c r="E209" s="6">
        <v>1</v>
      </c>
      <c r="F209" s="6">
        <v>3</v>
      </c>
      <c r="G209" s="7">
        <v>0.9264538884162904</v>
      </c>
      <c r="H209" s="7">
        <v>10.68422265625</v>
      </c>
      <c r="I209" s="7">
        <v>12.79272067137935</v>
      </c>
      <c r="J209" s="7">
        <v>4.137395649071596</v>
      </c>
      <c r="K209" s="7">
        <v>3.264179490183096</v>
      </c>
      <c r="L209" s="7">
        <v>0.6541235666167748</v>
      </c>
      <c r="M209" s="7">
        <v>0.8204024708248376</v>
      </c>
      <c r="N209" s="7">
        <v>0.6035968133755055</v>
      </c>
      <c r="O209" s="7">
        <v>0.2991818182176405</v>
      </c>
      <c r="P209" s="7">
        <v>6.608917109805746</v>
      </c>
      <c r="Q209" s="7">
        <v>0.0925824156865393</v>
      </c>
      <c r="R209" s="7">
        <v>0.1694380987270329</v>
      </c>
      <c r="S209" s="7">
        <v>0.1868170574130639</v>
      </c>
      <c r="T209" s="7">
        <v>1.148053741856511</v>
      </c>
    </row>
    <row x14ac:dyDescent="0.25" r="210" customHeight="1" ht="19.5">
      <c r="A210" s="2" t="s">
        <v>3503</v>
      </c>
      <c r="B210" s="2" t="s">
        <v>3294</v>
      </c>
      <c r="C210" s="2" t="s">
        <v>3295</v>
      </c>
      <c r="D210" s="2" t="s">
        <v>32</v>
      </c>
      <c r="E210" s="6">
        <v>1</v>
      </c>
      <c r="F210" s="6">
        <v>3</v>
      </c>
      <c r="G210" s="7">
        <v>0.9268923997879028</v>
      </c>
      <c r="H210" s="7">
        <v>10.88855625</v>
      </c>
      <c r="I210" s="7">
        <v>13.06259259606077</v>
      </c>
      <c r="J210" s="7">
        <v>4.131653210651671</v>
      </c>
      <c r="K210" s="7">
        <v>3.29255854717507</v>
      </c>
      <c r="L210" s="7">
        <v>0.6576204105128298</v>
      </c>
      <c r="M210" s="7">
        <v>0.801902188989265</v>
      </c>
      <c r="N210" s="7">
        <v>0.6118992502770485</v>
      </c>
      <c r="O210" s="7">
        <v>0.3074118598834049</v>
      </c>
      <c r="P210" s="7">
        <v>6.53958808011348</v>
      </c>
      <c r="Q210" s="7">
        <v>0.0920782517033399</v>
      </c>
      <c r="R210" s="7">
        <v>0.1693610917285158</v>
      </c>
      <c r="S210" s="7">
        <v>0.1848422316124941</v>
      </c>
      <c r="T210" s="7">
        <v>1.163638666057199</v>
      </c>
    </row>
    <row x14ac:dyDescent="0.25" r="211" customHeight="1" ht="19.5">
      <c r="A211" s="2" t="s">
        <v>3504</v>
      </c>
      <c r="B211" s="2" t="s">
        <v>3294</v>
      </c>
      <c r="C211" s="2" t="s">
        <v>3295</v>
      </c>
      <c r="D211" s="2" t="s">
        <v>32</v>
      </c>
      <c r="E211" s="6">
        <v>1</v>
      </c>
      <c r="F211" s="6">
        <v>3</v>
      </c>
      <c r="G211" s="7">
        <v>0.9295068383216858</v>
      </c>
      <c r="H211" s="7">
        <v>10.71192890625</v>
      </c>
      <c r="I211" s="7">
        <v>12.77844135198026</v>
      </c>
      <c r="J211" s="7">
        <v>4.185502087462256</v>
      </c>
      <c r="K211" s="7">
        <v>3.328325036144695</v>
      </c>
      <c r="L211" s="7">
        <v>0.6571128199599119</v>
      </c>
      <c r="M211" s="7">
        <v>0.8243692383550393</v>
      </c>
      <c r="N211" s="7">
        <v>0.6027015435096144</v>
      </c>
      <c r="O211" s="7">
        <v>0.2875930582927971</v>
      </c>
      <c r="P211" s="7">
        <v>6.681978120578961</v>
      </c>
      <c r="Q211" s="7">
        <v>0.09199574010702</v>
      </c>
      <c r="R211" s="7">
        <v>0.1676688466760222</v>
      </c>
      <c r="S211" s="7">
        <v>0.1861000765628775</v>
      </c>
      <c r="T211" s="7">
        <v>1.143737022594287</v>
      </c>
    </row>
    <row x14ac:dyDescent="0.25" r="212" customHeight="1" ht="19.5">
      <c r="A212" s="2" t="s">
        <v>3505</v>
      </c>
      <c r="B212" s="2" t="s">
        <v>3294</v>
      </c>
      <c r="C212" s="2" t="s">
        <v>3295</v>
      </c>
      <c r="D212" s="2" t="s">
        <v>32</v>
      </c>
      <c r="E212" s="6">
        <v>1</v>
      </c>
      <c r="F212" s="6">
        <v>3</v>
      </c>
      <c r="G212" s="7">
        <v>0.916874349117279</v>
      </c>
      <c r="H212" s="7">
        <v>10.77426796875</v>
      </c>
      <c r="I212" s="7">
        <v>12.99956063070784</v>
      </c>
      <c r="J212" s="7">
        <v>4.164498557877943</v>
      </c>
      <c r="K212" s="7">
        <v>3.273436514795818</v>
      </c>
      <c r="L212" s="7">
        <v>0.661049955666914</v>
      </c>
      <c r="M212" s="7">
        <v>0.8011987977214683</v>
      </c>
      <c r="N212" s="7">
        <v>0.5957120115719567</v>
      </c>
      <c r="O212" s="7">
        <v>0.2844364201015713</v>
      </c>
      <c r="P212" s="7">
        <v>6.708616912060537</v>
      </c>
      <c r="Q212" s="7">
        <v>0.0926246478259783</v>
      </c>
      <c r="R212" s="7">
        <v>0.1695001955319163</v>
      </c>
      <c r="S212" s="7">
        <v>0.1845448979222703</v>
      </c>
      <c r="T212" s="7">
        <v>1.158257504028864</v>
      </c>
    </row>
    <row x14ac:dyDescent="0.25" r="213" customHeight="1" ht="19.5">
      <c r="A213" s="2" t="s">
        <v>3506</v>
      </c>
      <c r="B213" s="2" t="s">
        <v>3294</v>
      </c>
      <c r="C213" s="2" t="s">
        <v>3295</v>
      </c>
      <c r="D213" s="2" t="s">
        <v>32</v>
      </c>
      <c r="E213" s="6">
        <v>1</v>
      </c>
      <c r="F213" s="6">
        <v>3</v>
      </c>
      <c r="G213" s="7">
        <v>0.8599335551261902</v>
      </c>
      <c r="H213" s="7">
        <v>12.50590859375</v>
      </c>
      <c r="I213" s="7">
        <v>13.98745772528237</v>
      </c>
      <c r="J213" s="7">
        <v>5.051922490955189</v>
      </c>
      <c r="K213" s="7">
        <v>3.342461765485537</v>
      </c>
      <c r="L213" s="7">
        <v>0.7384423001752448</v>
      </c>
      <c r="M213" s="7">
        <v>0.8032440924855377</v>
      </c>
      <c r="N213" s="7">
        <v>0.590699627665692</v>
      </c>
      <c r="O213" s="7">
        <v>0.2380851690564132</v>
      </c>
      <c r="P213" s="7">
        <v>6.795631789750435</v>
      </c>
      <c r="Q213" s="7">
        <v>0.0484297873459745</v>
      </c>
      <c r="R213" s="7">
        <v>0.0939436652822255</v>
      </c>
      <c r="S213" s="7">
        <v>0.1106475907127342</v>
      </c>
      <c r="T213" s="7">
        <v>0.7029405424918538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98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" width="15.005" customWidth="1" bestFit="1"/>
    <col min="2" max="2" style="3" width="13.005" customWidth="1" bestFit="1"/>
    <col min="3" max="3" style="3" width="10.005" customWidth="1" bestFit="1"/>
    <col min="4" max="4" style="3" width="10.005" customWidth="1" bestFit="1"/>
    <col min="5" max="5" style="8" width="10.005" customWidth="1" bestFit="1"/>
    <col min="6" max="6" style="8" width="12.005" customWidth="1" bestFit="1"/>
    <col min="7" max="7" style="9" width="10.005" customWidth="1" bestFit="1"/>
    <col min="8" max="8" style="9" width="10.005" customWidth="1" bestFit="1"/>
    <col min="9" max="9" style="9" width="14.005" customWidth="1" bestFit="1"/>
    <col min="10" max="10" style="9" width="22.005" customWidth="1" bestFit="1"/>
    <col min="11" max="11" style="9" width="22.005" customWidth="1" bestFit="1"/>
    <col min="12" max="12" style="9" width="14.005" customWidth="1" bestFit="1"/>
    <col min="13" max="13" style="9" width="14.005" customWidth="1" bestFit="1"/>
    <col min="14" max="14" style="9" width="18.005" customWidth="1" bestFit="1"/>
    <col min="15" max="15" style="9" width="13.005" customWidth="1" bestFit="1"/>
    <col min="16" max="16" style="9" width="14.005" customWidth="1" bestFit="1"/>
    <col min="17" max="17" style="9" width="15.005" customWidth="1" bestFit="1"/>
    <col min="18" max="18" style="9" width="14.005" customWidth="1" bestFit="1"/>
    <col min="19" max="19" style="9" width="14.005" customWidth="1" bestFit="1"/>
    <col min="20" max="20" style="9" width="18.005" customWidth="1" bestFit="1"/>
  </cols>
  <sheetData>
    <row x14ac:dyDescent="0.25" r="1" customHeight="1" ht="19.5">
      <c r="A1" s="1" t="s">
        <v>9</v>
      </c>
      <c r="B1" s="1" t="s">
        <v>10</v>
      </c>
      <c r="C1" s="1" t="s">
        <v>11</v>
      </c>
      <c r="D1" s="1" t="s">
        <v>12</v>
      </c>
      <c r="E1" s="4" t="s">
        <v>13</v>
      </c>
      <c r="F1" s="4" t="s">
        <v>14</v>
      </c>
      <c r="G1" s="5" t="s">
        <v>15</v>
      </c>
      <c r="H1" s="5" t="s">
        <v>16</v>
      </c>
      <c r="I1" s="5" t="s">
        <v>17</v>
      </c>
      <c r="J1" s="5" t="s">
        <v>18</v>
      </c>
      <c r="K1" s="5" t="s">
        <v>19</v>
      </c>
      <c r="L1" s="5" t="s">
        <v>20</v>
      </c>
      <c r="M1" s="5" t="s">
        <v>21</v>
      </c>
      <c r="N1" s="5" t="s">
        <v>22</v>
      </c>
      <c r="O1" s="5" t="s">
        <v>23</v>
      </c>
      <c r="P1" s="5" t="s">
        <v>24</v>
      </c>
      <c r="Q1" s="5" t="s">
        <v>25</v>
      </c>
      <c r="R1" s="5" t="s">
        <v>26</v>
      </c>
      <c r="S1" s="5" t="s">
        <v>27</v>
      </c>
      <c r="T1" s="5" t="s">
        <v>28</v>
      </c>
    </row>
    <row x14ac:dyDescent="0.25" r="2" customHeight="1" ht="19.5">
      <c r="A2" s="2" t="s">
        <v>2313</v>
      </c>
      <c r="B2" s="2" t="s">
        <v>2314</v>
      </c>
      <c r="C2" s="2" t="s">
        <v>31</v>
      </c>
      <c r="D2" s="2" t="s">
        <v>32</v>
      </c>
      <c r="E2" s="6">
        <v>1</v>
      </c>
      <c r="F2" s="6">
        <v>1</v>
      </c>
      <c r="G2" s="7">
        <v>0.2832361757755279</v>
      </c>
      <c r="H2" s="7">
        <v>5.26072421875</v>
      </c>
      <c r="I2" s="7">
        <v>12.67950091617123</v>
      </c>
      <c r="J2" s="7">
        <v>5.567473630245242</v>
      </c>
      <c r="K2" s="7">
        <v>1.055120573668482</v>
      </c>
      <c r="L2" s="7">
        <v>0.9835914337679368</v>
      </c>
      <c r="M2" s="7">
        <v>0.411198082428122</v>
      </c>
      <c r="N2" s="7">
        <v>0.4407310869258428</v>
      </c>
      <c r="O2" s="7">
        <v>0.1235709303730408</v>
      </c>
      <c r="P2" s="7">
        <v>7.727328395074255</v>
      </c>
      <c r="Q2" s="7">
        <v>0.0023265664044786</v>
      </c>
      <c r="R2" s="7">
        <v>0.0149404340633112</v>
      </c>
      <c r="S2" s="7">
        <v>0.0258964684188658</v>
      </c>
      <c r="T2" s="7">
        <v>0.0142053444259708</v>
      </c>
    </row>
    <row x14ac:dyDescent="0.25" r="3" customHeight="1" ht="19.5">
      <c r="A3" s="2" t="s">
        <v>2315</v>
      </c>
      <c r="B3" s="2" t="s">
        <v>2314</v>
      </c>
      <c r="C3" s="2" t="s">
        <v>31</v>
      </c>
      <c r="D3" s="2" t="s">
        <v>32</v>
      </c>
      <c r="E3" s="6">
        <v>1</v>
      </c>
      <c r="F3" s="6">
        <v>1</v>
      </c>
      <c r="G3" s="7">
        <v>0.4418230652809143</v>
      </c>
      <c r="H3" s="7">
        <v>5.1741421875</v>
      </c>
      <c r="I3" s="7">
        <v>12.88042618774315</v>
      </c>
      <c r="J3" s="7">
        <v>5.688931479981132</v>
      </c>
      <c r="K3" s="7">
        <v>0.988669942542192</v>
      </c>
      <c r="L3" s="7">
        <v>0.9861104816895634</v>
      </c>
      <c r="M3" s="7">
        <v>0.391911273874729</v>
      </c>
      <c r="N3" s="7">
        <v>0.3845111495946324</v>
      </c>
      <c r="O3" s="7">
        <v>0.1390590335823131</v>
      </c>
      <c r="P3" s="7">
        <v>8.051152886805015</v>
      </c>
      <c r="Q3" s="7">
        <v>0.0078410192200646</v>
      </c>
      <c r="R3" s="7">
        <v>0.0280702032386445</v>
      </c>
      <c r="S3" s="7">
        <v>0.0387994362300672</v>
      </c>
      <c r="T3" s="7">
        <v>0.0470870689549351</v>
      </c>
    </row>
    <row x14ac:dyDescent="0.25" r="4" customHeight="1" ht="19.5">
      <c r="A4" s="2" t="s">
        <v>2316</v>
      </c>
      <c r="B4" s="2" t="s">
        <v>2314</v>
      </c>
      <c r="C4" s="2" t="s">
        <v>31</v>
      </c>
      <c r="D4" s="2" t="s">
        <v>32</v>
      </c>
      <c r="E4" s="6">
        <v>1</v>
      </c>
      <c r="F4" s="6">
        <v>1</v>
      </c>
      <c r="G4" s="7">
        <v>0.468504935503006</v>
      </c>
      <c r="H4" s="7">
        <v>4.7585484375</v>
      </c>
      <c r="I4" s="7">
        <v>12.74844756928073</v>
      </c>
      <c r="J4" s="7">
        <v>5.624458569742549</v>
      </c>
      <c r="K4" s="7">
        <v>0.9073050177122616</v>
      </c>
      <c r="L4" s="7">
        <v>0.9876784501686696</v>
      </c>
      <c r="M4" s="7">
        <v>0.3679338577886539</v>
      </c>
      <c r="N4" s="7">
        <v>0.3139880392028468</v>
      </c>
      <c r="O4" s="7">
        <v>0.1050439299587041</v>
      </c>
      <c r="P4" s="7">
        <v>8.589552926512647</v>
      </c>
      <c r="Q4" s="7">
        <v>0.0197134384688138</v>
      </c>
      <c r="R4" s="7">
        <v>0.0539820399839557</v>
      </c>
      <c r="S4" s="7">
        <v>0.0661982007314128</v>
      </c>
      <c r="T4" s="7">
        <v>0.1088748716637366</v>
      </c>
    </row>
    <row x14ac:dyDescent="0.25" r="5" customHeight="1" ht="19.5">
      <c r="A5" s="2" t="s">
        <v>2317</v>
      </c>
      <c r="B5" s="2" t="s">
        <v>2314</v>
      </c>
      <c r="C5" s="2" t="s">
        <v>31</v>
      </c>
      <c r="D5" s="2" t="s">
        <v>32</v>
      </c>
      <c r="E5" s="6">
        <v>1</v>
      </c>
      <c r="F5" s="6">
        <v>1</v>
      </c>
      <c r="G5" s="7">
        <v>0.4476569592952728</v>
      </c>
      <c r="H5" s="7">
        <v>4.682356250000001</v>
      </c>
      <c r="I5" s="7">
        <v>12.79720021523457</v>
      </c>
      <c r="J5" s="7">
        <v>5.734566577299485</v>
      </c>
      <c r="K5" s="7">
        <v>0.8897385293606959</v>
      </c>
      <c r="L5" s="7">
        <v>0.9885481413381692</v>
      </c>
      <c r="M5" s="7">
        <v>0.359289386310362</v>
      </c>
      <c r="N5" s="7">
        <v>0.3055907514699587</v>
      </c>
      <c r="O5" s="7">
        <v>0.0932028527021525</v>
      </c>
      <c r="P5" s="7">
        <v>8.636776534570483</v>
      </c>
      <c r="Q5" s="7">
        <v>0.0215460703189027</v>
      </c>
      <c r="R5" s="7">
        <v>0.0559948768860658</v>
      </c>
      <c r="S5" s="7">
        <v>0.0704313245466196</v>
      </c>
      <c r="T5" s="7">
        <v>0.1170909436971044</v>
      </c>
    </row>
    <row x14ac:dyDescent="0.25" r="6" customHeight="1" ht="19.5">
      <c r="A6" s="2" t="s">
        <v>2318</v>
      </c>
      <c r="B6" s="2" t="s">
        <v>2314</v>
      </c>
      <c r="C6" s="2" t="s">
        <v>31</v>
      </c>
      <c r="D6" s="2" t="s">
        <v>32</v>
      </c>
      <c r="E6" s="6">
        <v>1</v>
      </c>
      <c r="F6" s="6">
        <v>1</v>
      </c>
      <c r="G6" s="7">
        <v>0.4507202208042145</v>
      </c>
      <c r="H6" s="7">
        <v>4.699672656250001</v>
      </c>
      <c r="I6" s="7">
        <v>12.74844756928073</v>
      </c>
      <c r="J6" s="7">
        <v>5.732546514386795</v>
      </c>
      <c r="K6" s="7">
        <v>0.8896852778025117</v>
      </c>
      <c r="L6" s="7">
        <v>0.9884568210060332</v>
      </c>
      <c r="M6" s="7">
        <v>0.3633815465933067</v>
      </c>
      <c r="N6" s="7">
        <v>0.3102487674737791</v>
      </c>
      <c r="O6" s="7">
        <v>0.091613289633444</v>
      </c>
      <c r="P6" s="7">
        <v>8.684754006390571</v>
      </c>
      <c r="Q6" s="7">
        <v>0.0216657841400793</v>
      </c>
      <c r="R6" s="7">
        <v>0.0563307020990443</v>
      </c>
      <c r="S6" s="7">
        <v>0.0680891518438295</v>
      </c>
      <c r="T6" s="7">
        <v>0.1181769565497853</v>
      </c>
    </row>
    <row x14ac:dyDescent="0.25" r="7" customHeight="1" ht="19.5">
      <c r="A7" s="2" t="s">
        <v>2319</v>
      </c>
      <c r="B7" s="2" t="s">
        <v>2314</v>
      </c>
      <c r="C7" s="2" t="s">
        <v>31</v>
      </c>
      <c r="D7" s="2" t="s">
        <v>32</v>
      </c>
      <c r="E7" s="6">
        <v>1</v>
      </c>
      <c r="F7" s="6">
        <v>1</v>
      </c>
      <c r="G7" s="7">
        <v>0.4760716557502746</v>
      </c>
      <c r="H7" s="7">
        <v>4.768938281250001</v>
      </c>
      <c r="I7" s="7">
        <v>12.83167354178931</v>
      </c>
      <c r="J7" s="7">
        <v>5.790735224191807</v>
      </c>
      <c r="K7" s="7">
        <v>0.8907230959226335</v>
      </c>
      <c r="L7" s="7">
        <v>0.9884287031688196</v>
      </c>
      <c r="M7" s="7">
        <v>0.3639694748503251</v>
      </c>
      <c r="N7" s="7">
        <v>0.3028830099640215</v>
      </c>
      <c r="O7" s="7">
        <v>0.0873265133274869</v>
      </c>
      <c r="P7" s="7">
        <v>8.714237205095047</v>
      </c>
      <c r="Q7" s="7">
        <v>0.0206107194295731</v>
      </c>
      <c r="R7" s="7">
        <v>0.0555855947550198</v>
      </c>
      <c r="S7" s="7">
        <v>0.0660169429108862</v>
      </c>
      <c r="T7" s="7">
        <v>0.114078981025863</v>
      </c>
    </row>
    <row x14ac:dyDescent="0.25" r="8" customHeight="1" ht="19.5">
      <c r="A8" s="2" t="s">
        <v>2320</v>
      </c>
      <c r="B8" s="2" t="s">
        <v>2314</v>
      </c>
      <c r="C8" s="2" t="s">
        <v>31</v>
      </c>
      <c r="D8" s="2" t="s">
        <v>32</v>
      </c>
      <c r="E8" s="6">
        <v>1</v>
      </c>
      <c r="F8" s="6">
        <v>1</v>
      </c>
      <c r="G8" s="7">
        <v>0.4632596373558044</v>
      </c>
      <c r="H8" s="7">
        <v>4.70659921875</v>
      </c>
      <c r="I8" s="7">
        <v>12.74844756928073</v>
      </c>
      <c r="J8" s="7">
        <v>5.734286639215378</v>
      </c>
      <c r="K8" s="7">
        <v>0.8952812371867558</v>
      </c>
      <c r="L8" s="7">
        <v>0.988446729494071</v>
      </c>
      <c r="M8" s="7">
        <v>0.3639171126162887</v>
      </c>
      <c r="N8" s="7">
        <v>0.3093700007284683</v>
      </c>
      <c r="O8" s="7">
        <v>0.0908768463956939</v>
      </c>
      <c r="P8" s="7">
        <v>8.68446729226007</v>
      </c>
      <c r="Q8" s="7">
        <v>0.0213670728705108</v>
      </c>
      <c r="R8" s="7">
        <v>0.0555842046553141</v>
      </c>
      <c r="S8" s="7">
        <v>0.0665715212906478</v>
      </c>
      <c r="T8" s="7">
        <v>0.116719395484987</v>
      </c>
    </row>
    <row x14ac:dyDescent="0.25" r="9" customHeight="1" ht="19.5">
      <c r="A9" s="2" t="s">
        <v>2321</v>
      </c>
      <c r="B9" s="2" t="s">
        <v>2314</v>
      </c>
      <c r="C9" s="2" t="s">
        <v>31</v>
      </c>
      <c r="D9" s="2" t="s">
        <v>32</v>
      </c>
      <c r="E9" s="6">
        <v>1</v>
      </c>
      <c r="F9" s="6">
        <v>1</v>
      </c>
      <c r="G9" s="7">
        <v>0.4682120978832245</v>
      </c>
      <c r="H9" s="7">
        <v>4.76201171875</v>
      </c>
      <c r="I9" s="7">
        <v>12.72825356212507</v>
      </c>
      <c r="J9" s="7">
        <v>5.675650081868113</v>
      </c>
      <c r="K9" s="7">
        <v>0.8972001329768088</v>
      </c>
      <c r="L9" s="7">
        <v>0.9879051250590128</v>
      </c>
      <c r="M9" s="7">
        <v>0.3693709080372301</v>
      </c>
      <c r="N9" s="7">
        <v>0.3123686415286051</v>
      </c>
      <c r="O9" s="7">
        <v>0.1073732726800741</v>
      </c>
      <c r="P9" s="7">
        <v>8.572550188093048</v>
      </c>
      <c r="Q9" s="7">
        <v>0.0207138006844672</v>
      </c>
      <c r="R9" s="7">
        <v>0.0555798874078385</v>
      </c>
      <c r="S9" s="7">
        <v>0.068530464096476</v>
      </c>
      <c r="T9" s="7">
        <v>0.114483008275495</v>
      </c>
    </row>
    <row x14ac:dyDescent="0.25" r="10" customHeight="1" ht="19.5">
      <c r="A10" s="2" t="s">
        <v>2322</v>
      </c>
      <c r="B10" s="2" t="s">
        <v>2314</v>
      </c>
      <c r="C10" s="2" t="s">
        <v>31</v>
      </c>
      <c r="D10" s="2" t="s">
        <v>32</v>
      </c>
      <c r="E10" s="6">
        <v>1</v>
      </c>
      <c r="F10" s="6">
        <v>1</v>
      </c>
      <c r="G10" s="7">
        <v>0.4592128992080688</v>
      </c>
      <c r="H10" s="7">
        <v>4.72737890625</v>
      </c>
      <c r="I10" s="7">
        <v>12.76272688867982</v>
      </c>
      <c r="J10" s="7">
        <v>5.733130848394262</v>
      </c>
      <c r="K10" s="7">
        <v>0.8893765012552335</v>
      </c>
      <c r="L10" s="7">
        <v>0.9884012395063052</v>
      </c>
      <c r="M10" s="7">
        <v>0.3647063503636913</v>
      </c>
      <c r="N10" s="7">
        <v>0.3016397526232002</v>
      </c>
      <c r="O10" s="7">
        <v>0.0852208531332913</v>
      </c>
      <c r="P10" s="7">
        <v>8.721303606344776</v>
      </c>
      <c r="Q10" s="7">
        <v>0.0207832595702497</v>
      </c>
      <c r="R10" s="7">
        <v>0.0544426239865749</v>
      </c>
      <c r="S10" s="7">
        <v>0.0649713444784363</v>
      </c>
      <c r="T10" s="7">
        <v>0.114031504628668</v>
      </c>
    </row>
    <row x14ac:dyDescent="0.25" r="11" customHeight="1" ht="19.5">
      <c r="A11" s="2" t="s">
        <v>2323</v>
      </c>
      <c r="B11" s="2" t="s">
        <v>2314</v>
      </c>
      <c r="C11" s="2" t="s">
        <v>31</v>
      </c>
      <c r="D11" s="2" t="s">
        <v>32</v>
      </c>
      <c r="E11" s="6">
        <v>1</v>
      </c>
      <c r="F11" s="6">
        <v>1</v>
      </c>
      <c r="G11" s="7">
        <v>0.4500539600849151</v>
      </c>
      <c r="H11" s="7">
        <v>4.6892828125</v>
      </c>
      <c r="I11" s="7">
        <v>12.74844756928073</v>
      </c>
      <c r="J11" s="7">
        <v>5.732103839593492</v>
      </c>
      <c r="K11" s="7">
        <v>0.8927447206077603</v>
      </c>
      <c r="L11" s="7">
        <v>0.9885611449611814</v>
      </c>
      <c r="M11" s="7">
        <v>0.3625781975588336</v>
      </c>
      <c r="N11" s="7">
        <v>0.3103644400741098</v>
      </c>
      <c r="O11" s="7">
        <v>0.0914255979273017</v>
      </c>
      <c r="P11" s="7">
        <v>8.677872223032344</v>
      </c>
      <c r="Q11" s="7">
        <v>0.0209920138553828</v>
      </c>
      <c r="R11" s="7">
        <v>0.0559968166509818</v>
      </c>
      <c r="S11" s="7">
        <v>0.0644436220359643</v>
      </c>
      <c r="T11" s="7">
        <v>0.1142487114012971</v>
      </c>
    </row>
    <row x14ac:dyDescent="0.25" r="12" customHeight="1" ht="19.5">
      <c r="A12" s="2" t="s">
        <v>2324</v>
      </c>
      <c r="B12" s="2" t="s">
        <v>2314</v>
      </c>
      <c r="C12" s="2" t="s">
        <v>31</v>
      </c>
      <c r="D12" s="2" t="s">
        <v>32</v>
      </c>
      <c r="E12" s="6">
        <v>1</v>
      </c>
      <c r="F12" s="6">
        <v>1</v>
      </c>
      <c r="G12" s="7">
        <v>0.4400849938392639</v>
      </c>
      <c r="H12" s="7">
        <v>4.772401562500001</v>
      </c>
      <c r="I12" s="7">
        <v>12.86614686834406</v>
      </c>
      <c r="J12" s="7">
        <v>5.794645706099445</v>
      </c>
      <c r="K12" s="7">
        <v>0.8914954746110446</v>
      </c>
      <c r="L12" s="7">
        <v>0.9887140379586102</v>
      </c>
      <c r="M12" s="7">
        <v>0.3622845671337151</v>
      </c>
      <c r="N12" s="7">
        <v>0.2995712059980064</v>
      </c>
      <c r="O12" s="7">
        <v>0.0870591618653622</v>
      </c>
      <c r="P12" s="7">
        <v>8.694072137443435</v>
      </c>
      <c r="Q12" s="7">
        <v>0.0202078741395623</v>
      </c>
      <c r="R12" s="7">
        <v>0.0547396535173963</v>
      </c>
      <c r="S12" s="7">
        <v>0.0646167264039752</v>
      </c>
      <c r="T12" s="7">
        <v>0.1119304855192828</v>
      </c>
    </row>
    <row x14ac:dyDescent="0.25" r="13" customHeight="1" ht="19.5">
      <c r="A13" s="2" t="s">
        <v>2325</v>
      </c>
      <c r="B13" s="2" t="s">
        <v>2314</v>
      </c>
      <c r="C13" s="2" t="s">
        <v>31</v>
      </c>
      <c r="D13" s="2" t="s">
        <v>32</v>
      </c>
      <c r="E13" s="6">
        <v>1</v>
      </c>
      <c r="F13" s="6">
        <v>1</v>
      </c>
      <c r="G13" s="7">
        <v>0.4753701984882355</v>
      </c>
      <c r="H13" s="7">
        <v>4.7031359375</v>
      </c>
      <c r="I13" s="7">
        <v>12.74844756928073</v>
      </c>
      <c r="J13" s="7">
        <v>5.733979543589816</v>
      </c>
      <c r="K13" s="7">
        <v>0.8927148178557671</v>
      </c>
      <c r="L13" s="7">
        <v>0.9885966125374208</v>
      </c>
      <c r="M13" s="7">
        <v>0.3636493296047977</v>
      </c>
      <c r="N13" s="7">
        <v>0.3026116890102297</v>
      </c>
      <c r="O13" s="7">
        <v>0.0894293786531009</v>
      </c>
      <c r="P13" s="7">
        <v>8.697231894750935</v>
      </c>
      <c r="Q13" s="7">
        <v>0.0215496272243794</v>
      </c>
      <c r="R13" s="7">
        <v>0.0565399636586244</v>
      </c>
      <c r="S13" s="7">
        <v>0.0653862177955483</v>
      </c>
      <c r="T13" s="7">
        <v>0.1176299936545646</v>
      </c>
    </row>
    <row x14ac:dyDescent="0.25" r="14" customHeight="1" ht="19.5">
      <c r="A14" s="2" t="s">
        <v>2326</v>
      </c>
      <c r="B14" s="2" t="s">
        <v>2314</v>
      </c>
      <c r="C14" s="2" t="s">
        <v>31</v>
      </c>
      <c r="D14" s="2" t="s">
        <v>32</v>
      </c>
      <c r="E14" s="6">
        <v>1</v>
      </c>
      <c r="F14" s="6">
        <v>1</v>
      </c>
      <c r="G14" s="7">
        <v>0.4642342925071716</v>
      </c>
      <c r="H14" s="7">
        <v>4.8001078125</v>
      </c>
      <c r="I14" s="7">
        <v>12.79720021523457</v>
      </c>
      <c r="J14" s="7">
        <v>5.735847186435951</v>
      </c>
      <c r="K14" s="7">
        <v>0.8973451731792408</v>
      </c>
      <c r="L14" s="7">
        <v>0.9881466568678624</v>
      </c>
      <c r="M14" s="7">
        <v>0.3683247702856225</v>
      </c>
      <c r="N14" s="7">
        <v>0.3210382647420873</v>
      </c>
      <c r="O14" s="7">
        <v>0.1107812520890256</v>
      </c>
      <c r="P14" s="7">
        <v>8.5509993627618</v>
      </c>
      <c r="Q14" s="7">
        <v>0.0205375021988667</v>
      </c>
      <c r="R14" s="7">
        <v>0.0552294790662802</v>
      </c>
      <c r="S14" s="7">
        <v>0.0646506371581034</v>
      </c>
      <c r="T14" s="7">
        <v>0.1144166939986821</v>
      </c>
    </row>
    <row x14ac:dyDescent="0.25" r="15" customHeight="1" ht="19.5">
      <c r="A15" s="2" t="s">
        <v>2327</v>
      </c>
      <c r="B15" s="2" t="s">
        <v>2314</v>
      </c>
      <c r="C15" s="2" t="s">
        <v>31</v>
      </c>
      <c r="D15" s="2" t="s">
        <v>32</v>
      </c>
      <c r="E15" s="6">
        <v>1</v>
      </c>
      <c r="F15" s="6">
        <v>1</v>
      </c>
      <c r="G15" s="7">
        <v>0.461507111787796</v>
      </c>
      <c r="H15" s="7">
        <v>4.768938281250001</v>
      </c>
      <c r="I15" s="7">
        <v>12.73416824988164</v>
      </c>
      <c r="J15" s="7">
        <v>5.735805509507916</v>
      </c>
      <c r="K15" s="7">
        <v>0.8666879237680435</v>
      </c>
      <c r="L15" s="7">
        <v>0.9884390939465828</v>
      </c>
      <c r="M15" s="7">
        <v>0.3695646292899021</v>
      </c>
      <c r="N15" s="7">
        <v>0.3261684439313743</v>
      </c>
      <c r="O15" s="7">
        <v>0.1143315988661277</v>
      </c>
      <c r="P15" s="7">
        <v>8.497667919327466</v>
      </c>
      <c r="Q15" s="7">
        <v>0.020776496570096</v>
      </c>
      <c r="R15" s="7">
        <v>0.0559308726508647</v>
      </c>
      <c r="S15" s="7">
        <v>0.0659284964204752</v>
      </c>
      <c r="T15" s="7">
        <v>0.114996546632093</v>
      </c>
    </row>
    <row x14ac:dyDescent="0.25" r="16" customHeight="1" ht="19.5">
      <c r="A16" s="2" t="s">
        <v>2328</v>
      </c>
      <c r="B16" s="2" t="s">
        <v>2314</v>
      </c>
      <c r="C16" s="2" t="s">
        <v>31</v>
      </c>
      <c r="D16" s="2" t="s">
        <v>32</v>
      </c>
      <c r="E16" s="6">
        <v>1</v>
      </c>
      <c r="F16" s="6">
        <v>1</v>
      </c>
      <c r="G16" s="7">
        <v>0.4339841306209564</v>
      </c>
      <c r="H16" s="7">
        <v>4.789717968750001</v>
      </c>
      <c r="I16" s="7">
        <v>12.94937284085265</v>
      </c>
      <c r="J16" s="7">
        <v>5.85139004606564</v>
      </c>
      <c r="K16" s="7">
        <v>0.8951433677106468</v>
      </c>
      <c r="L16" s="7">
        <v>0.9888925452361677</v>
      </c>
      <c r="M16" s="7">
        <v>0.3589403939276278</v>
      </c>
      <c r="N16" s="7">
        <v>0.3163678765162609</v>
      </c>
      <c r="O16" s="7">
        <v>0.09344994569137</v>
      </c>
      <c r="P16" s="7">
        <v>8.652928956033529</v>
      </c>
      <c r="Q16" s="7">
        <v>0.0212893461637042</v>
      </c>
      <c r="R16" s="7">
        <v>0.0551954994913917</v>
      </c>
      <c r="S16" s="7">
        <v>0.0674126386815806</v>
      </c>
      <c r="T16" s="7">
        <v>0.1183485783720955</v>
      </c>
    </row>
    <row x14ac:dyDescent="0.25" r="17" customHeight="1" ht="19.5">
      <c r="A17" s="2" t="s">
        <v>2329</v>
      </c>
      <c r="B17" s="2" t="s">
        <v>2314</v>
      </c>
      <c r="C17" s="2" t="s">
        <v>31</v>
      </c>
      <c r="D17" s="2" t="s">
        <v>32</v>
      </c>
      <c r="E17" s="6">
        <v>1</v>
      </c>
      <c r="F17" s="6">
        <v>1</v>
      </c>
      <c r="G17" s="7">
        <v>0.4464069604873657</v>
      </c>
      <c r="H17" s="7">
        <v>4.74123203125</v>
      </c>
      <c r="I17" s="7">
        <v>12.86614686834406</v>
      </c>
      <c r="J17" s="7">
        <v>5.793234072099946</v>
      </c>
      <c r="K17" s="7">
        <v>0.8902785002675313</v>
      </c>
      <c r="L17" s="7">
        <v>0.988741178483198</v>
      </c>
      <c r="M17" s="7">
        <v>0.3599184124862525</v>
      </c>
      <c r="N17" s="7">
        <v>0.307644697256805</v>
      </c>
      <c r="O17" s="7">
        <v>0.0917308316022402</v>
      </c>
      <c r="P17" s="7">
        <v>8.657984439331997</v>
      </c>
      <c r="Q17" s="7">
        <v>0.0210561307756266</v>
      </c>
      <c r="R17" s="7">
        <v>0.0547600896019015</v>
      </c>
      <c r="S17" s="7">
        <v>0.0679054792802955</v>
      </c>
      <c r="T17" s="7">
        <v>0.1158672125412705</v>
      </c>
    </row>
    <row x14ac:dyDescent="0.25" r="18" customHeight="1" ht="19.5">
      <c r="A18" s="2" t="s">
        <v>2330</v>
      </c>
      <c r="B18" s="2" t="s">
        <v>2314</v>
      </c>
      <c r="C18" s="2" t="s">
        <v>31</v>
      </c>
      <c r="D18" s="2" t="s">
        <v>32</v>
      </c>
      <c r="E18" s="6">
        <v>1</v>
      </c>
      <c r="F18" s="6">
        <v>1</v>
      </c>
      <c r="G18" s="7">
        <v>0.4815659821033478</v>
      </c>
      <c r="H18" s="7">
        <v>4.79318125</v>
      </c>
      <c r="I18" s="7">
        <v>12.83167354178931</v>
      </c>
      <c r="J18" s="7">
        <v>5.735973195611002</v>
      </c>
      <c r="K18" s="7">
        <v>0.8985533296732424</v>
      </c>
      <c r="L18" s="7">
        <v>0.988369677184496</v>
      </c>
      <c r="M18" s="7">
        <v>0.3658197190942993</v>
      </c>
      <c r="N18" s="7">
        <v>0.3222945650318681</v>
      </c>
      <c r="O18" s="7">
        <v>0.1105774659801715</v>
      </c>
      <c r="P18" s="7">
        <v>8.531430878114733</v>
      </c>
      <c r="Q18" s="7">
        <v>0.0204824437880221</v>
      </c>
      <c r="R18" s="7">
        <v>0.0549989586870233</v>
      </c>
      <c r="S18" s="7">
        <v>0.0634706051163398</v>
      </c>
      <c r="T18" s="7">
        <v>0.1139452966749561</v>
      </c>
    </row>
    <row x14ac:dyDescent="0.25" r="19" customHeight="1" ht="19.5">
      <c r="A19" s="2" t="s">
        <v>2331</v>
      </c>
      <c r="B19" s="2" t="s">
        <v>2314</v>
      </c>
      <c r="C19" s="2" t="s">
        <v>31</v>
      </c>
      <c r="D19" s="2" t="s">
        <v>32</v>
      </c>
      <c r="E19" s="6">
        <v>1</v>
      </c>
      <c r="F19" s="6">
        <v>1</v>
      </c>
      <c r="G19" s="7">
        <v>0.4660584330558777</v>
      </c>
      <c r="H19" s="7">
        <v>4.8208875</v>
      </c>
      <c r="I19" s="7">
        <v>12.83167354178931</v>
      </c>
      <c r="J19" s="7">
        <v>5.738359800731594</v>
      </c>
      <c r="K19" s="7">
        <v>0.8991781061119428</v>
      </c>
      <c r="L19" s="7">
        <v>0.9882131477942968</v>
      </c>
      <c r="M19" s="7">
        <v>0.3679342839445552</v>
      </c>
      <c r="N19" s="7">
        <v>0.3179113589523171</v>
      </c>
      <c r="O19" s="7">
        <v>0.1084517755373649</v>
      </c>
      <c r="P19" s="7">
        <v>8.556649657774344</v>
      </c>
      <c r="Q19" s="7">
        <v>0.0201984011120184</v>
      </c>
      <c r="R19" s="7">
        <v>0.0542223272106526</v>
      </c>
      <c r="S19" s="7">
        <v>0.0654478336400876</v>
      </c>
      <c r="T19" s="7">
        <v>0.1130146565157316</v>
      </c>
    </row>
    <row x14ac:dyDescent="0.25" r="20" customHeight="1" ht="19.5">
      <c r="A20" s="2" t="s">
        <v>2332</v>
      </c>
      <c r="B20" s="2" t="s">
        <v>2314</v>
      </c>
      <c r="C20" s="2" t="s">
        <v>31</v>
      </c>
      <c r="D20" s="2" t="s">
        <v>32</v>
      </c>
      <c r="E20" s="6">
        <v>1</v>
      </c>
      <c r="F20" s="6">
        <v>1</v>
      </c>
      <c r="G20" s="7">
        <v>0.4784387350082397</v>
      </c>
      <c r="H20" s="7">
        <v>4.79318125</v>
      </c>
      <c r="I20" s="7">
        <v>12.79720021523457</v>
      </c>
      <c r="J20" s="7">
        <v>5.73323783285592</v>
      </c>
      <c r="K20" s="7">
        <v>0.8987152546619016</v>
      </c>
      <c r="L20" s="7">
        <v>0.98818814251893</v>
      </c>
      <c r="M20" s="7">
        <v>0.3677932771106072</v>
      </c>
      <c r="N20" s="7">
        <v>0.3190183056519837</v>
      </c>
      <c r="O20" s="7">
        <v>0.1100136688820746</v>
      </c>
      <c r="P20" s="7">
        <v>8.54901793188888</v>
      </c>
      <c r="Q20" s="7">
        <v>0.0202410081069986</v>
      </c>
      <c r="R20" s="7">
        <v>0.0547849210922251</v>
      </c>
      <c r="S20" s="7">
        <v>0.0655816294816921</v>
      </c>
      <c r="T20" s="7">
        <v>0.1126021727495669</v>
      </c>
    </row>
    <row x14ac:dyDescent="0.25" r="21" customHeight="1" ht="19.5">
      <c r="A21" s="2" t="s">
        <v>2333</v>
      </c>
      <c r="B21" s="2" t="s">
        <v>2314</v>
      </c>
      <c r="C21" s="2" t="s">
        <v>31</v>
      </c>
      <c r="D21" s="2" t="s">
        <v>32</v>
      </c>
      <c r="E21" s="6">
        <v>1</v>
      </c>
      <c r="F21" s="6">
        <v>1</v>
      </c>
      <c r="G21" s="7">
        <v>0.4511725604534149</v>
      </c>
      <c r="H21" s="7">
        <v>4.789717968750001</v>
      </c>
      <c r="I21" s="7">
        <v>12.79720021523457</v>
      </c>
      <c r="J21" s="7">
        <v>5.735358029296574</v>
      </c>
      <c r="K21" s="7">
        <v>0.896387710647441</v>
      </c>
      <c r="L21" s="7">
        <v>0.9883810430854496</v>
      </c>
      <c r="M21" s="7">
        <v>0.3675275305230996</v>
      </c>
      <c r="N21" s="7">
        <v>0.3206600087030245</v>
      </c>
      <c r="O21" s="7">
        <v>0.1093090447649012</v>
      </c>
      <c r="P21" s="7">
        <v>8.54811634322785</v>
      </c>
      <c r="Q21" s="7">
        <v>0.0203285008744673</v>
      </c>
      <c r="R21" s="7">
        <v>0.0551295925399197</v>
      </c>
      <c r="S21" s="7">
        <v>0.0644673843528924</v>
      </c>
      <c r="T21" s="7">
        <v>0.1130071896257102</v>
      </c>
    </row>
    <row x14ac:dyDescent="0.25" r="22" customHeight="1" ht="19.5">
      <c r="A22" s="2" t="s">
        <v>2334</v>
      </c>
      <c r="B22" s="2" t="s">
        <v>2314</v>
      </c>
      <c r="C22" s="2" t="s">
        <v>31</v>
      </c>
      <c r="D22" s="2" t="s">
        <v>32</v>
      </c>
      <c r="E22" s="6">
        <v>1</v>
      </c>
      <c r="F22" s="6">
        <v>1</v>
      </c>
      <c r="G22" s="7">
        <v>0.4616612792015075</v>
      </c>
      <c r="H22" s="7">
        <v>4.84513046875</v>
      </c>
      <c r="I22" s="7">
        <v>12.83167354178931</v>
      </c>
      <c r="J22" s="7">
        <v>5.737240253396115</v>
      </c>
      <c r="K22" s="7">
        <v>0.8992404490372141</v>
      </c>
      <c r="L22" s="7">
        <v>0.9881354849335168</v>
      </c>
      <c r="M22" s="7">
        <v>0.3697845281885294</v>
      </c>
      <c r="N22" s="7">
        <v>0.3099266133926705</v>
      </c>
      <c r="O22" s="7">
        <v>0.1035853521038343</v>
      </c>
      <c r="P22" s="7">
        <v>8.583640018279262</v>
      </c>
      <c r="Q22" s="7">
        <v>0.0197608709934922</v>
      </c>
      <c r="R22" s="7">
        <v>0.0546229366367016</v>
      </c>
      <c r="S22" s="7">
        <v>0.0627925397012146</v>
      </c>
      <c r="T22" s="7">
        <v>0.1111225858889288</v>
      </c>
    </row>
    <row x14ac:dyDescent="0.25" r="23" customHeight="1" ht="19.5">
      <c r="A23" s="2" t="s">
        <v>2335</v>
      </c>
      <c r="B23" s="2" t="s">
        <v>2314</v>
      </c>
      <c r="C23" s="2" t="s">
        <v>31</v>
      </c>
      <c r="D23" s="2" t="s">
        <v>32</v>
      </c>
      <c r="E23" s="6">
        <v>1</v>
      </c>
      <c r="F23" s="6">
        <v>1</v>
      </c>
      <c r="G23" s="7">
        <v>0.4649914801120758</v>
      </c>
      <c r="H23" s="7">
        <v>4.67196640625</v>
      </c>
      <c r="I23" s="7">
        <v>12.71397424272598</v>
      </c>
      <c r="J23" s="7">
        <v>5.731870402296224</v>
      </c>
      <c r="K23" s="7">
        <v>0.8922237357410974</v>
      </c>
      <c r="L23" s="7">
        <v>0.98857731707421</v>
      </c>
      <c r="M23" s="7">
        <v>0.3632009040255549</v>
      </c>
      <c r="N23" s="7">
        <v>0.3158758243591556</v>
      </c>
      <c r="O23" s="7">
        <v>0.0938889636960439</v>
      </c>
      <c r="P23" s="7">
        <v>8.646812018324297</v>
      </c>
      <c r="Q23" s="7">
        <v>0.0213281372592318</v>
      </c>
      <c r="R23" s="7">
        <v>0.0547673223428173</v>
      </c>
      <c r="S23" s="7">
        <v>0.065011218959665</v>
      </c>
      <c r="T23" s="7">
        <v>0.1156494091761382</v>
      </c>
    </row>
    <row x14ac:dyDescent="0.25" r="24" customHeight="1" ht="19.5">
      <c r="A24" s="2" t="s">
        <v>2336</v>
      </c>
      <c r="B24" s="2" t="s">
        <v>2314</v>
      </c>
      <c r="C24" s="2" t="s">
        <v>31</v>
      </c>
      <c r="D24" s="2" t="s">
        <v>32</v>
      </c>
      <c r="E24" s="6">
        <v>1</v>
      </c>
      <c r="F24" s="6">
        <v>1</v>
      </c>
      <c r="G24" s="7">
        <v>0.4765482246875763</v>
      </c>
      <c r="H24" s="7">
        <v>4.862446875000001</v>
      </c>
      <c r="I24" s="7">
        <v>12.78292089583547</v>
      </c>
      <c r="J24" s="7">
        <v>5.787221069236049</v>
      </c>
      <c r="K24" s="7">
        <v>0.8729871346638303</v>
      </c>
      <c r="L24" s="7">
        <v>0.9882112997571822</v>
      </c>
      <c r="M24" s="7">
        <v>0.3739422446859285</v>
      </c>
      <c r="N24" s="7">
        <v>0.3448797827792371</v>
      </c>
      <c r="O24" s="7">
        <v>0.0799261524560376</v>
      </c>
      <c r="P24" s="7">
        <v>8.357316135634633</v>
      </c>
      <c r="Q24" s="7">
        <v>0.0122255290185045</v>
      </c>
      <c r="R24" s="7">
        <v>0.0380635283235402</v>
      </c>
      <c r="S24" s="7">
        <v>0.0522317656627865</v>
      </c>
      <c r="T24" s="7">
        <v>0.0689943155030618</v>
      </c>
    </row>
    <row x14ac:dyDescent="0.25" r="25" customHeight="1" ht="19.5">
      <c r="A25" s="2" t="s">
        <v>2337</v>
      </c>
      <c r="B25" s="2" t="s">
        <v>2314</v>
      </c>
      <c r="C25" s="2" t="s">
        <v>31</v>
      </c>
      <c r="D25" s="2" t="s">
        <v>32</v>
      </c>
      <c r="E25" s="6">
        <v>1</v>
      </c>
      <c r="F25" s="6">
        <v>1</v>
      </c>
      <c r="G25" s="7">
        <v>0.3635460436344147</v>
      </c>
      <c r="H25" s="7">
        <v>5.288430468750001</v>
      </c>
      <c r="I25" s="7">
        <v>12.8602321805875</v>
      </c>
      <c r="J25" s="7">
        <v>5.603005231452633</v>
      </c>
      <c r="K25" s="7">
        <v>1.032085321878284</v>
      </c>
      <c r="L25" s="7">
        <v>0.9840018938897948</v>
      </c>
      <c r="M25" s="7">
        <v>0.4018269341149777</v>
      </c>
      <c r="N25" s="7">
        <v>0.354583297330853</v>
      </c>
      <c r="O25" s="7">
        <v>0.0926202388415086</v>
      </c>
      <c r="P25" s="7">
        <v>8.196384935465703</v>
      </c>
      <c r="Q25" s="7">
        <v>0.0060021726750708</v>
      </c>
      <c r="R25" s="7">
        <v>0.0244497696456619</v>
      </c>
      <c r="S25" s="7">
        <v>0.0384193669828396</v>
      </c>
      <c r="T25" s="7">
        <v>0.0368405465146475</v>
      </c>
    </row>
    <row x14ac:dyDescent="0.25" r="26" customHeight="1" ht="19.5">
      <c r="A26" s="2" t="s">
        <v>2338</v>
      </c>
      <c r="B26" s="2" t="s">
        <v>2314</v>
      </c>
      <c r="C26" s="2" t="s">
        <v>31</v>
      </c>
      <c r="D26" s="2" t="s">
        <v>32</v>
      </c>
      <c r="E26" s="6">
        <v>1</v>
      </c>
      <c r="F26" s="6">
        <v>1</v>
      </c>
      <c r="G26" s="7">
        <v>0.4148944318294525</v>
      </c>
      <c r="H26" s="7">
        <v>5.1187296875</v>
      </c>
      <c r="I26" s="7">
        <v>12.86614686834406</v>
      </c>
      <c r="J26" s="7">
        <v>5.604260776065553</v>
      </c>
      <c r="K26" s="7">
        <v>1.010784243572484</v>
      </c>
      <c r="L26" s="7">
        <v>0.9853573256984328</v>
      </c>
      <c r="M26" s="7">
        <v>0.3885751743277438</v>
      </c>
      <c r="N26" s="7">
        <v>0.3222194113112363</v>
      </c>
      <c r="O26" s="7">
        <v>0.1096230804713024</v>
      </c>
      <c r="P26" s="7">
        <v>8.498957471384657</v>
      </c>
      <c r="Q26" s="7">
        <v>0.0135266643023384</v>
      </c>
      <c r="R26" s="7">
        <v>0.0459841088737187</v>
      </c>
      <c r="S26" s="7">
        <v>0.056384380364874</v>
      </c>
      <c r="T26" s="7">
        <v>0.080360695694236</v>
      </c>
    </row>
    <row x14ac:dyDescent="0.25" r="27" customHeight="1" ht="19.5">
      <c r="A27" s="2" t="s">
        <v>2339</v>
      </c>
      <c r="B27" s="2" t="s">
        <v>2314</v>
      </c>
      <c r="C27" s="2" t="s">
        <v>31</v>
      </c>
      <c r="D27" s="2" t="s">
        <v>32</v>
      </c>
      <c r="E27" s="6">
        <v>1</v>
      </c>
      <c r="F27" s="6">
        <v>1</v>
      </c>
      <c r="G27" s="7">
        <v>0.4264078736305237</v>
      </c>
      <c r="H27" s="7">
        <v>5.1325828125</v>
      </c>
      <c r="I27" s="7">
        <v>12.92917883369699</v>
      </c>
      <c r="J27" s="7">
        <v>5.613340872755442</v>
      </c>
      <c r="K27" s="7">
        <v>1.013642939573175</v>
      </c>
      <c r="L27" s="7">
        <v>0.9856050726916415</v>
      </c>
      <c r="M27" s="7">
        <v>0.3858370639918717</v>
      </c>
      <c r="N27" s="7">
        <v>0.3141744235331394</v>
      </c>
      <c r="O27" s="7">
        <v>0.1049878395718472</v>
      </c>
      <c r="P27" s="7">
        <v>8.52015827342415</v>
      </c>
      <c r="Q27" s="7">
        <v>0.0136598230937073</v>
      </c>
      <c r="R27" s="7">
        <v>0.0458415950383319</v>
      </c>
      <c r="S27" s="7">
        <v>0.0579707077260944</v>
      </c>
      <c r="T27" s="7">
        <v>0.0813714060213149</v>
      </c>
    </row>
    <row x14ac:dyDescent="0.25" r="28" customHeight="1" ht="19.5">
      <c r="A28" s="2" t="s">
        <v>2340</v>
      </c>
      <c r="B28" s="2" t="s">
        <v>2314</v>
      </c>
      <c r="C28" s="2" t="s">
        <v>31</v>
      </c>
      <c r="D28" s="2" t="s">
        <v>32</v>
      </c>
      <c r="E28" s="6">
        <v>1</v>
      </c>
      <c r="F28" s="6">
        <v>1</v>
      </c>
      <c r="G28" s="7">
        <v>0.3995519280433655</v>
      </c>
      <c r="H28" s="7">
        <v>5.184532031250001</v>
      </c>
      <c r="I28" s="7">
        <v>12.83167354178931</v>
      </c>
      <c r="J28" s="7">
        <v>5.610457462611649</v>
      </c>
      <c r="K28" s="7">
        <v>1.015033332345297</v>
      </c>
      <c r="L28" s="7">
        <v>0.985397462582812</v>
      </c>
      <c r="M28" s="7">
        <v>0.3956879476041661</v>
      </c>
      <c r="N28" s="7">
        <v>0.3142884827208763</v>
      </c>
      <c r="O28" s="7">
        <v>0.1024117563777699</v>
      </c>
      <c r="P28" s="7">
        <v>8.53123894977729</v>
      </c>
      <c r="Q28" s="7">
        <v>0.0133685382803264</v>
      </c>
      <c r="R28" s="7">
        <v>0.0455363613518421</v>
      </c>
      <c r="S28" s="7">
        <v>0.0581837070087464</v>
      </c>
      <c r="T28" s="7">
        <v>0.0804422604771509</v>
      </c>
    </row>
    <row x14ac:dyDescent="0.25" r="29" customHeight="1" ht="19.5">
      <c r="A29" s="2" t="s">
        <v>2341</v>
      </c>
      <c r="B29" s="2" t="s">
        <v>2314</v>
      </c>
      <c r="C29" s="2" t="s">
        <v>31</v>
      </c>
      <c r="D29" s="2" t="s">
        <v>32</v>
      </c>
      <c r="E29" s="6">
        <v>1</v>
      </c>
      <c r="F29" s="6">
        <v>1</v>
      </c>
      <c r="G29" s="7">
        <v>0.4286538660526275</v>
      </c>
      <c r="H29" s="7">
        <v>5.139509375</v>
      </c>
      <c r="I29" s="7">
        <v>12.74844756928073</v>
      </c>
      <c r="J29" s="7">
        <v>5.544311197608481</v>
      </c>
      <c r="K29" s="7">
        <v>1.006506589416704</v>
      </c>
      <c r="L29" s="7">
        <v>0.9848991608908696</v>
      </c>
      <c r="M29" s="7">
        <v>0.3973899890526656</v>
      </c>
      <c r="N29" s="7">
        <v>0.3113921391508982</v>
      </c>
      <c r="O29" s="7">
        <v>0.0966233733600384</v>
      </c>
      <c r="P29" s="7">
        <v>8.595286545459166</v>
      </c>
      <c r="Q29" s="7">
        <v>0.0137002198848421</v>
      </c>
      <c r="R29" s="7">
        <v>0.0459983906071964</v>
      </c>
      <c r="S29" s="7">
        <v>0.0623017463937771</v>
      </c>
      <c r="T29" s="7">
        <v>0.0817221869507551</v>
      </c>
    </row>
    <row x14ac:dyDescent="0.25" r="30" customHeight="1" ht="19.5">
      <c r="A30" s="2" t="s">
        <v>2342</v>
      </c>
      <c r="B30" s="2" t="s">
        <v>2314</v>
      </c>
      <c r="C30" s="2" t="s">
        <v>31</v>
      </c>
      <c r="D30" s="2" t="s">
        <v>32</v>
      </c>
      <c r="E30" s="6">
        <v>1</v>
      </c>
      <c r="F30" s="6">
        <v>1</v>
      </c>
      <c r="G30" s="7">
        <v>0.4223960936069488</v>
      </c>
      <c r="H30" s="7">
        <v>5.091023437500001</v>
      </c>
      <c r="I30" s="7">
        <v>12.71397424272598</v>
      </c>
      <c r="J30" s="7">
        <v>5.552259985262879</v>
      </c>
      <c r="K30" s="7">
        <v>1.012996888290286</v>
      </c>
      <c r="L30" s="7">
        <v>0.9853642330393868</v>
      </c>
      <c r="M30" s="7">
        <v>0.3957785981597966</v>
      </c>
      <c r="N30" s="7">
        <v>0.3226995559589105</v>
      </c>
      <c r="O30" s="7">
        <v>0.1080873474690371</v>
      </c>
      <c r="P30" s="7">
        <v>8.492758578142439</v>
      </c>
      <c r="Q30" s="7">
        <v>0.0139809146883924</v>
      </c>
      <c r="R30" s="7">
        <v>0.0468305612499524</v>
      </c>
      <c r="S30" s="7">
        <v>0.0577222385713771</v>
      </c>
      <c r="T30" s="7">
        <v>0.0826097793407348</v>
      </c>
    </row>
    <row x14ac:dyDescent="0.25" r="31" customHeight="1" ht="19.5">
      <c r="A31" s="2" t="s">
        <v>2343</v>
      </c>
      <c r="B31" s="2" t="s">
        <v>2314</v>
      </c>
      <c r="C31" s="2" t="s">
        <v>31</v>
      </c>
      <c r="D31" s="2" t="s">
        <v>32</v>
      </c>
      <c r="E31" s="6">
        <v>1</v>
      </c>
      <c r="F31" s="6">
        <v>1</v>
      </c>
      <c r="G31" s="7">
        <v>0.4348317086696625</v>
      </c>
      <c r="H31" s="7">
        <v>5.1602890625</v>
      </c>
      <c r="I31" s="7">
        <v>12.79720021523457</v>
      </c>
      <c r="J31" s="7">
        <v>5.602991315994132</v>
      </c>
      <c r="K31" s="7">
        <v>1.009300098384995</v>
      </c>
      <c r="L31" s="7">
        <v>0.9851111584492508</v>
      </c>
      <c r="M31" s="7">
        <v>0.3959624153864196</v>
      </c>
      <c r="N31" s="7">
        <v>0.3152004959574637</v>
      </c>
      <c r="O31" s="7">
        <v>0.1026197796926039</v>
      </c>
      <c r="P31" s="7">
        <v>8.553306983719445</v>
      </c>
      <c r="Q31" s="7">
        <v>0.0128651379674849</v>
      </c>
      <c r="R31" s="7">
        <v>0.0433578635463046</v>
      </c>
      <c r="S31" s="7">
        <v>0.0577231160188546</v>
      </c>
      <c r="T31" s="7">
        <v>0.0770511736177758</v>
      </c>
    </row>
    <row x14ac:dyDescent="0.25" r="32" customHeight="1" ht="19.5">
      <c r="A32" s="2" t="s">
        <v>2344</v>
      </c>
      <c r="B32" s="2" t="s">
        <v>2314</v>
      </c>
      <c r="C32" s="2" t="s">
        <v>31</v>
      </c>
      <c r="D32" s="2" t="s">
        <v>32</v>
      </c>
      <c r="E32" s="6">
        <v>1</v>
      </c>
      <c r="F32" s="6">
        <v>1</v>
      </c>
      <c r="G32" s="7">
        <v>0.3824633955955505</v>
      </c>
      <c r="H32" s="7">
        <v>5.14297265625</v>
      </c>
      <c r="I32" s="7">
        <v>12.79720021523457</v>
      </c>
      <c r="J32" s="7">
        <v>5.610627332265255</v>
      </c>
      <c r="K32" s="7">
        <v>1.011800133523222</v>
      </c>
      <c r="L32" s="7">
        <v>0.9856740971531542</v>
      </c>
      <c r="M32" s="7">
        <v>0.3946336824488813</v>
      </c>
      <c r="N32" s="7">
        <v>0.3232503482903837</v>
      </c>
      <c r="O32" s="7">
        <v>0.1072893550096099</v>
      </c>
      <c r="P32" s="7">
        <v>8.502184734160885</v>
      </c>
      <c r="Q32" s="7">
        <v>0.0134060005084575</v>
      </c>
      <c r="R32" s="7">
        <v>0.0446061336211173</v>
      </c>
      <c r="S32" s="7">
        <v>0.0561475315549941</v>
      </c>
      <c r="T32" s="7">
        <v>0.0800210465366724</v>
      </c>
    </row>
    <row x14ac:dyDescent="0.25" r="33" customHeight="1" ht="19.5">
      <c r="A33" s="2" t="s">
        <v>2345</v>
      </c>
      <c r="B33" s="2" t="s">
        <v>2314</v>
      </c>
      <c r="C33" s="2" t="s">
        <v>31</v>
      </c>
      <c r="D33" s="2" t="s">
        <v>32</v>
      </c>
      <c r="E33" s="6">
        <v>1</v>
      </c>
      <c r="F33" s="6">
        <v>1</v>
      </c>
      <c r="G33" s="7">
        <v>0.4179023802280426</v>
      </c>
      <c r="H33" s="7">
        <v>5.194921875</v>
      </c>
      <c r="I33" s="7">
        <v>12.79720021523457</v>
      </c>
      <c r="J33" s="7">
        <v>5.60719291056251</v>
      </c>
      <c r="K33" s="7">
        <v>1.010259001546632</v>
      </c>
      <c r="L33" s="7">
        <v>0.9853011595550272</v>
      </c>
      <c r="M33" s="7">
        <v>0.3986198812614963</v>
      </c>
      <c r="N33" s="7">
        <v>0.3183273143563649</v>
      </c>
      <c r="O33" s="7">
        <v>0.0994163902623943</v>
      </c>
      <c r="P33" s="7">
        <v>8.556820565098036</v>
      </c>
      <c r="Q33" s="7">
        <v>0.0132581545394183</v>
      </c>
      <c r="R33" s="7">
        <v>0.0450935995089241</v>
      </c>
      <c r="S33" s="7">
        <v>0.0610084694334471</v>
      </c>
      <c r="T33" s="7">
        <v>0.079937926267795</v>
      </c>
    </row>
    <row x14ac:dyDescent="0.25" r="34" customHeight="1" ht="19.5">
      <c r="A34" s="2" t="s">
        <v>2346</v>
      </c>
      <c r="B34" s="2" t="s">
        <v>2314</v>
      </c>
      <c r="C34" s="2" t="s">
        <v>31</v>
      </c>
      <c r="D34" s="2" t="s">
        <v>32</v>
      </c>
      <c r="E34" s="6">
        <v>1</v>
      </c>
      <c r="F34" s="6">
        <v>1</v>
      </c>
      <c r="G34" s="7">
        <v>0.4044217467308044</v>
      </c>
      <c r="H34" s="7">
        <v>5.094486718750001</v>
      </c>
      <c r="I34" s="7">
        <v>12.79720021523457</v>
      </c>
      <c r="J34" s="7">
        <v>5.603189763772386</v>
      </c>
      <c r="K34" s="7">
        <v>1.012740794354224</v>
      </c>
      <c r="L34" s="7">
        <v>0.9854082154537166</v>
      </c>
      <c r="M34" s="7">
        <v>0.390913230223774</v>
      </c>
      <c r="N34" s="7">
        <v>0.3302909951619855</v>
      </c>
      <c r="O34" s="7">
        <v>0.113346740703099</v>
      </c>
      <c r="P34" s="7">
        <v>8.452823578689173</v>
      </c>
      <c r="Q34" s="7">
        <v>0.013017330583638</v>
      </c>
      <c r="R34" s="7">
        <v>0.0439379036528626</v>
      </c>
      <c r="S34" s="7">
        <v>0.0565106131076264</v>
      </c>
      <c r="T34" s="7">
        <v>0.0769685222824968</v>
      </c>
    </row>
    <row x14ac:dyDescent="0.25" r="35" customHeight="1" ht="19.5">
      <c r="A35" s="2" t="s">
        <v>2347</v>
      </c>
      <c r="B35" s="2" t="s">
        <v>2314</v>
      </c>
      <c r="C35" s="2" t="s">
        <v>31</v>
      </c>
      <c r="D35" s="2" t="s">
        <v>32</v>
      </c>
      <c r="E35" s="6">
        <v>1</v>
      </c>
      <c r="F35" s="6">
        <v>1</v>
      </c>
      <c r="G35" s="7">
        <v>0.377494603395462</v>
      </c>
      <c r="H35" s="7">
        <v>5.08063359375</v>
      </c>
      <c r="I35" s="7">
        <v>12.74844756928073</v>
      </c>
      <c r="J35" s="7">
        <v>5.551097417101762</v>
      </c>
      <c r="K35" s="7">
        <v>1.015700657416527</v>
      </c>
      <c r="L35" s="7">
        <v>0.985379193152</v>
      </c>
      <c r="M35" s="7">
        <v>0.3928376778573183</v>
      </c>
      <c r="N35" s="7">
        <v>0.3287962053298378</v>
      </c>
      <c r="O35" s="7">
        <v>0.1102244828301462</v>
      </c>
      <c r="P35" s="7">
        <v>8.505484913928228</v>
      </c>
      <c r="Q35" s="7">
        <v>0.0141105971051348</v>
      </c>
      <c r="R35" s="7">
        <v>0.046483123631531</v>
      </c>
      <c r="S35" s="7">
        <v>0.0587945322199073</v>
      </c>
      <c r="T35" s="7">
        <v>0.0832058855961685</v>
      </c>
    </row>
    <row x14ac:dyDescent="0.25" r="36" customHeight="1" ht="19.5">
      <c r="A36" s="2" t="s">
        <v>2348</v>
      </c>
      <c r="B36" s="2" t="s">
        <v>2314</v>
      </c>
      <c r="C36" s="2" t="s">
        <v>31</v>
      </c>
      <c r="D36" s="2" t="s">
        <v>32</v>
      </c>
      <c r="E36" s="6">
        <v>1</v>
      </c>
      <c r="F36" s="6">
        <v>1</v>
      </c>
      <c r="G36" s="7">
        <v>0.4401350617408752</v>
      </c>
      <c r="H36" s="7">
        <v>5.146435937500001</v>
      </c>
      <c r="I36" s="7">
        <v>12.88042618774315</v>
      </c>
      <c r="J36" s="7">
        <v>5.604371858064642</v>
      </c>
      <c r="K36" s="7">
        <v>1.013042504481497</v>
      </c>
      <c r="L36" s="7">
        <v>0.985310662740608</v>
      </c>
      <c r="M36" s="7">
        <v>0.3898126860628162</v>
      </c>
      <c r="N36" s="7">
        <v>0.3183357423408102</v>
      </c>
      <c r="O36" s="7">
        <v>0.1057935620957993</v>
      </c>
      <c r="P36" s="7">
        <v>8.503112047230502</v>
      </c>
      <c r="Q36" s="7">
        <v>0.0137746870010621</v>
      </c>
      <c r="R36" s="7">
        <v>0.0461689768138653</v>
      </c>
      <c r="S36" s="7">
        <v>0.0603149556456469</v>
      </c>
      <c r="T36" s="7">
        <v>0.0822771217075252</v>
      </c>
    </row>
    <row x14ac:dyDescent="0.25" r="37" customHeight="1" ht="19.5">
      <c r="A37" s="2" t="s">
        <v>2349</v>
      </c>
      <c r="B37" s="2" t="s">
        <v>2314</v>
      </c>
      <c r="C37" s="2" t="s">
        <v>31</v>
      </c>
      <c r="D37" s="2" t="s">
        <v>32</v>
      </c>
      <c r="E37" s="6">
        <v>1</v>
      </c>
      <c r="F37" s="6">
        <v>1</v>
      </c>
      <c r="G37" s="7">
        <v>0.3969106674194336</v>
      </c>
      <c r="H37" s="7">
        <v>5.073707031250001</v>
      </c>
      <c r="I37" s="7">
        <v>12.83167354178931</v>
      </c>
      <c r="J37" s="7">
        <v>5.604571911600951</v>
      </c>
      <c r="K37" s="7">
        <v>1.013880240086611</v>
      </c>
      <c r="L37" s="7">
        <v>0.9858422303350134</v>
      </c>
      <c r="M37" s="7">
        <v>0.3872296882031419</v>
      </c>
      <c r="N37" s="7">
        <v>0.3313958988287396</v>
      </c>
      <c r="O37" s="7">
        <v>0.1166452035011376</v>
      </c>
      <c r="P37" s="7">
        <v>8.456322235341123</v>
      </c>
      <c r="Q37" s="7">
        <v>0.0142162285736893</v>
      </c>
      <c r="R37" s="7">
        <v>0.0459853245218493</v>
      </c>
      <c r="S37" s="7">
        <v>0.059038368012464</v>
      </c>
      <c r="T37" s="7">
        <v>0.0837144761608754</v>
      </c>
    </row>
    <row x14ac:dyDescent="0.25" r="38" customHeight="1" ht="19.5">
      <c r="A38" s="2" t="s">
        <v>2350</v>
      </c>
      <c r="B38" s="2" t="s">
        <v>2314</v>
      </c>
      <c r="C38" s="2" t="s">
        <v>31</v>
      </c>
      <c r="D38" s="2" t="s">
        <v>32</v>
      </c>
      <c r="E38" s="6">
        <v>1</v>
      </c>
      <c r="F38" s="6">
        <v>1</v>
      </c>
      <c r="G38" s="7">
        <v>0.3918778598308563</v>
      </c>
      <c r="H38" s="7">
        <v>5.073707031250001</v>
      </c>
      <c r="I38" s="7">
        <v>12.78292089583547</v>
      </c>
      <c r="J38" s="7">
        <v>5.546961509722158</v>
      </c>
      <c r="K38" s="7">
        <v>1.012155144704449</v>
      </c>
      <c r="L38" s="7">
        <v>0.985239138235394</v>
      </c>
      <c r="M38" s="7">
        <v>0.3901890231231376</v>
      </c>
      <c r="N38" s="7">
        <v>0.3302014020768735</v>
      </c>
      <c r="O38" s="7">
        <v>0.1099331819199535</v>
      </c>
      <c r="P38" s="7">
        <v>8.477339765402613</v>
      </c>
      <c r="Q38" s="7">
        <v>0.0138175303793694</v>
      </c>
      <c r="R38" s="7">
        <v>0.0458789911019791</v>
      </c>
      <c r="S38" s="7">
        <v>0.0597417429965008</v>
      </c>
      <c r="T38" s="7">
        <v>0.0813666797456191</v>
      </c>
    </row>
    <row x14ac:dyDescent="0.25" r="39" customHeight="1" ht="19.5">
      <c r="A39" s="2" t="s">
        <v>2351</v>
      </c>
      <c r="B39" s="2" t="s">
        <v>2314</v>
      </c>
      <c r="C39" s="2" t="s">
        <v>31</v>
      </c>
      <c r="D39" s="2" t="s">
        <v>32</v>
      </c>
      <c r="E39" s="6">
        <v>1</v>
      </c>
      <c r="F39" s="6">
        <v>1</v>
      </c>
      <c r="G39" s="7">
        <v>0.393741101026535</v>
      </c>
      <c r="H39" s="7">
        <v>5.12565625</v>
      </c>
      <c r="I39" s="7">
        <v>12.86614686834406</v>
      </c>
      <c r="J39" s="7">
        <v>5.60439647420103</v>
      </c>
      <c r="K39" s="7">
        <v>1.012087896952422</v>
      </c>
      <c r="L39" s="7">
        <v>0.9855015690011866</v>
      </c>
      <c r="M39" s="7">
        <v>0.3891009864716243</v>
      </c>
      <c r="N39" s="7">
        <v>0.3254270773434422</v>
      </c>
      <c r="O39" s="7">
        <v>0.1089363608568642</v>
      </c>
      <c r="P39" s="7">
        <v>8.50315795694642</v>
      </c>
      <c r="Q39" s="7">
        <v>0.0138725949931444</v>
      </c>
      <c r="R39" s="7">
        <v>0.0457685940531969</v>
      </c>
      <c r="S39" s="7">
        <v>0.0582190076002882</v>
      </c>
      <c r="T39" s="7">
        <v>0.0825273622691963</v>
      </c>
    </row>
    <row x14ac:dyDescent="0.25" r="40" customHeight="1" ht="19.5">
      <c r="A40" s="2" t="s">
        <v>2352</v>
      </c>
      <c r="B40" s="2" t="s">
        <v>2314</v>
      </c>
      <c r="C40" s="2" t="s">
        <v>31</v>
      </c>
      <c r="D40" s="2" t="s">
        <v>32</v>
      </c>
      <c r="E40" s="6">
        <v>1</v>
      </c>
      <c r="F40" s="6">
        <v>1</v>
      </c>
      <c r="G40" s="7">
        <v>0.428026407957077</v>
      </c>
      <c r="H40" s="7">
        <v>5.1325828125</v>
      </c>
      <c r="I40" s="7">
        <v>12.83167354178931</v>
      </c>
      <c r="J40" s="7">
        <v>5.60900604001803</v>
      </c>
      <c r="K40" s="7">
        <v>1.012927884868393</v>
      </c>
      <c r="L40" s="7">
        <v>0.985729234807804</v>
      </c>
      <c r="M40" s="7">
        <v>0.391723138509936</v>
      </c>
      <c r="N40" s="7">
        <v>0.3313221638955314</v>
      </c>
      <c r="O40" s="7">
        <v>0.1099990897898528</v>
      </c>
      <c r="P40" s="7">
        <v>8.446834942675515</v>
      </c>
      <c r="Q40" s="7">
        <v>0.0137254316264411</v>
      </c>
      <c r="R40" s="7">
        <v>0.045830697600236</v>
      </c>
      <c r="S40" s="7">
        <v>0.0580651078489345</v>
      </c>
      <c r="T40" s="7">
        <v>0.0817622352816152</v>
      </c>
    </row>
    <row x14ac:dyDescent="0.25" r="41" customHeight="1" ht="19.5">
      <c r="A41" s="2" t="s">
        <v>2353</v>
      </c>
      <c r="B41" s="2" t="s">
        <v>2314</v>
      </c>
      <c r="C41" s="2" t="s">
        <v>31</v>
      </c>
      <c r="D41" s="2" t="s">
        <v>32</v>
      </c>
      <c r="E41" s="6">
        <v>1</v>
      </c>
      <c r="F41" s="6">
        <v>1</v>
      </c>
      <c r="G41" s="7">
        <v>0.4135438501834869</v>
      </c>
      <c r="H41" s="7">
        <v>5.11526640625</v>
      </c>
      <c r="I41" s="7">
        <v>12.86614686834406</v>
      </c>
      <c r="J41" s="7">
        <v>5.610793994342691</v>
      </c>
      <c r="K41" s="7">
        <v>1.013541018661422</v>
      </c>
      <c r="L41" s="7">
        <v>0.9857997848349715</v>
      </c>
      <c r="M41" s="7">
        <v>0.3883122682558035</v>
      </c>
      <c r="N41" s="7">
        <v>0.337656096329243</v>
      </c>
      <c r="O41" s="7">
        <v>0.1129167378679925</v>
      </c>
      <c r="P41" s="7">
        <v>8.449696741192291</v>
      </c>
      <c r="Q41" s="7">
        <v>0.0136418377570106</v>
      </c>
      <c r="R41" s="7">
        <v>0.0448161102693585</v>
      </c>
      <c r="S41" s="7">
        <v>0.0562898470999198</v>
      </c>
      <c r="T41" s="7">
        <v>0.0809900966382162</v>
      </c>
    </row>
    <row x14ac:dyDescent="0.25" r="42" customHeight="1" ht="19.5">
      <c r="A42" s="2" t="s">
        <v>2354</v>
      </c>
      <c r="B42" s="2" t="s">
        <v>2314</v>
      </c>
      <c r="C42" s="2" t="s">
        <v>31</v>
      </c>
      <c r="D42" s="2" t="s">
        <v>32</v>
      </c>
      <c r="E42" s="6">
        <v>1</v>
      </c>
      <c r="F42" s="6">
        <v>1</v>
      </c>
      <c r="G42" s="7">
        <v>0.4088190197944641</v>
      </c>
      <c r="H42" s="7">
        <v>5.09795</v>
      </c>
      <c r="I42" s="7">
        <v>12.86614686834406</v>
      </c>
      <c r="J42" s="7">
        <v>5.605716885400851</v>
      </c>
      <c r="K42" s="7">
        <v>1.01303748168928</v>
      </c>
      <c r="L42" s="7">
        <v>0.9857221192998836</v>
      </c>
      <c r="M42" s="7">
        <v>0.3869977378961021</v>
      </c>
      <c r="N42" s="7">
        <v>0.3323108294486934</v>
      </c>
      <c r="O42" s="7">
        <v>0.1137995629847848</v>
      </c>
      <c r="P42" s="7">
        <v>8.451300423718996</v>
      </c>
      <c r="Q42" s="7">
        <v>0.0136863244919513</v>
      </c>
      <c r="R42" s="7">
        <v>0.0447126853482058</v>
      </c>
      <c r="S42" s="7">
        <v>0.0578520941698259</v>
      </c>
      <c r="T42" s="7">
        <v>0.0809791444823273</v>
      </c>
    </row>
    <row x14ac:dyDescent="0.25" r="43" customHeight="1" ht="19.5">
      <c r="A43" s="2" t="s">
        <v>2355</v>
      </c>
      <c r="B43" s="2" t="s">
        <v>2314</v>
      </c>
      <c r="C43" s="2" t="s">
        <v>31</v>
      </c>
      <c r="D43" s="2" t="s">
        <v>32</v>
      </c>
      <c r="E43" s="6">
        <v>1</v>
      </c>
      <c r="F43" s="6">
        <v>1</v>
      </c>
      <c r="G43" s="7">
        <v>0.4264786839485168</v>
      </c>
      <c r="H43" s="7">
        <v>5.10833984375</v>
      </c>
      <c r="I43" s="7">
        <v>12.74844756928073</v>
      </c>
      <c r="J43" s="7">
        <v>5.544990155312028</v>
      </c>
      <c r="K43" s="7">
        <v>1.016334173339423</v>
      </c>
      <c r="L43" s="7">
        <v>0.984986417495638</v>
      </c>
      <c r="M43" s="7">
        <v>0.3949799419492464</v>
      </c>
      <c r="N43" s="7">
        <v>0.3219228333340606</v>
      </c>
      <c r="O43" s="7">
        <v>0.1038053151580604</v>
      </c>
      <c r="P43" s="7">
        <v>8.523746770406646</v>
      </c>
      <c r="Q43" s="7">
        <v>0.0132384253373417</v>
      </c>
      <c r="R43" s="7">
        <v>0.0452343665685231</v>
      </c>
      <c r="S43" s="7">
        <v>0.0595497314756327</v>
      </c>
      <c r="T43" s="7">
        <v>0.0784886559902142</v>
      </c>
    </row>
    <row x14ac:dyDescent="0.25" r="44" customHeight="1" ht="19.5">
      <c r="A44" s="2" t="s">
        <v>2356</v>
      </c>
      <c r="B44" s="2" t="s">
        <v>2314</v>
      </c>
      <c r="C44" s="2" t="s">
        <v>31</v>
      </c>
      <c r="D44" s="2" t="s">
        <v>32</v>
      </c>
      <c r="E44" s="6">
        <v>1</v>
      </c>
      <c r="F44" s="6">
        <v>1</v>
      </c>
      <c r="G44" s="7">
        <v>0.3927564918994903</v>
      </c>
      <c r="H44" s="7">
        <v>5.139509375</v>
      </c>
      <c r="I44" s="7">
        <v>12.9148995142979</v>
      </c>
      <c r="J44" s="7">
        <v>5.603261014640656</v>
      </c>
      <c r="K44" s="7">
        <v>1.015455674129636</v>
      </c>
      <c r="L44" s="7">
        <v>0.9852653993650744</v>
      </c>
      <c r="M44" s="7">
        <v>0.3872125846594093</v>
      </c>
      <c r="N44" s="7">
        <v>0.3222665871345577</v>
      </c>
      <c r="O44" s="7">
        <v>0.1074492461424744</v>
      </c>
      <c r="P44" s="7">
        <v>8.472380210087557</v>
      </c>
      <c r="Q44" s="7">
        <v>0.0133650265367679</v>
      </c>
      <c r="R44" s="7">
        <v>0.0442424218287146</v>
      </c>
      <c r="S44" s="7">
        <v>0.0550039946889798</v>
      </c>
      <c r="T44" s="7">
        <v>0.0797227494463782</v>
      </c>
    </row>
    <row x14ac:dyDescent="0.25" r="45" customHeight="1" ht="19.5">
      <c r="A45" s="2" t="s">
        <v>2357</v>
      </c>
      <c r="B45" s="2" t="s">
        <v>2314</v>
      </c>
      <c r="C45" s="2" t="s">
        <v>31</v>
      </c>
      <c r="D45" s="2" t="s">
        <v>32</v>
      </c>
      <c r="E45" s="6">
        <v>1</v>
      </c>
      <c r="F45" s="6">
        <v>1</v>
      </c>
      <c r="G45" s="7">
        <v>0.3941986858844757</v>
      </c>
      <c r="H45" s="7">
        <v>5.1533625</v>
      </c>
      <c r="I45" s="7">
        <v>12.9148995142979</v>
      </c>
      <c r="J45" s="7">
        <v>5.663930332883432</v>
      </c>
      <c r="K45" s="7">
        <v>1.012909671907152</v>
      </c>
      <c r="L45" s="7">
        <v>0.9854617732310326</v>
      </c>
      <c r="M45" s="7">
        <v>0.3882562843485181</v>
      </c>
      <c r="N45" s="7">
        <v>0.3310575458937377</v>
      </c>
      <c r="O45" s="7">
        <v>0.1128960781930855</v>
      </c>
      <c r="P45" s="7">
        <v>8.45269772120491</v>
      </c>
      <c r="Q45" s="7">
        <v>0.0135272801356273</v>
      </c>
      <c r="R45" s="7">
        <v>0.0450075247621959</v>
      </c>
      <c r="S45" s="7">
        <v>0.0584905808039306</v>
      </c>
      <c r="T45" s="7">
        <v>0.0809080914783156</v>
      </c>
    </row>
    <row x14ac:dyDescent="0.25" r="46" customHeight="1" ht="19.5">
      <c r="A46" s="2" t="s">
        <v>2358</v>
      </c>
      <c r="B46" s="2" t="s">
        <v>2314</v>
      </c>
      <c r="C46" s="2" t="s">
        <v>31</v>
      </c>
      <c r="D46" s="2" t="s">
        <v>32</v>
      </c>
      <c r="E46" s="6">
        <v>1</v>
      </c>
      <c r="F46" s="6">
        <v>1</v>
      </c>
      <c r="G46" s="7">
        <v>0.4327785968780517</v>
      </c>
      <c r="H46" s="7">
        <v>5.48237421875</v>
      </c>
      <c r="I46" s="7">
        <v>13.02668412560467</v>
      </c>
      <c r="J46" s="7">
        <v>5.664689295916622</v>
      </c>
      <c r="K46" s="7">
        <v>1.061975932760559</v>
      </c>
      <c r="L46" s="7">
        <v>0.9837288509071552</v>
      </c>
      <c r="M46" s="7">
        <v>0.4059857364867363</v>
      </c>
      <c r="N46" s="7">
        <v>0.3648615473725497</v>
      </c>
      <c r="O46" s="7">
        <v>0.0997192880396307</v>
      </c>
      <c r="P46" s="7">
        <v>8.079403946923883</v>
      </c>
      <c r="Q46" s="7">
        <v>0.0065201359702478</v>
      </c>
      <c r="R46" s="7">
        <v>0.0260047578188262</v>
      </c>
      <c r="S46" s="7">
        <v>0.034892675300842</v>
      </c>
      <c r="T46" s="7">
        <v>0.0414873895426119</v>
      </c>
    </row>
    <row x14ac:dyDescent="0.25" r="47" customHeight="1" ht="19.5">
      <c r="A47" s="2" t="s">
        <v>2359</v>
      </c>
      <c r="B47" s="2" t="s">
        <v>2314</v>
      </c>
      <c r="C47" s="2" t="s">
        <v>31</v>
      </c>
      <c r="D47" s="2" t="s">
        <v>32</v>
      </c>
      <c r="E47" s="6">
        <v>1</v>
      </c>
      <c r="F47" s="6">
        <v>1</v>
      </c>
      <c r="G47" s="7">
        <v>0.3913917243480682</v>
      </c>
      <c r="H47" s="7">
        <v>5.146435937500001</v>
      </c>
      <c r="I47" s="7">
        <v>12.69969492332689</v>
      </c>
      <c r="J47" s="7">
        <v>5.543684024961637</v>
      </c>
      <c r="K47" s="7">
        <v>1.00558285126703</v>
      </c>
      <c r="L47" s="7">
        <v>0.9839871186269696</v>
      </c>
      <c r="M47" s="7">
        <v>0.4009865988000656</v>
      </c>
      <c r="N47" s="7">
        <v>0.3493894976807434</v>
      </c>
      <c r="O47" s="7">
        <v>0.1019704213026314</v>
      </c>
      <c r="P47" s="7">
        <v>8.293447505610335</v>
      </c>
      <c r="Q47" s="7">
        <v>0.006086693558989</v>
      </c>
      <c r="R47" s="7">
        <v>0.0288304998104425</v>
      </c>
      <c r="S47" s="7">
        <v>0.0415404081980451</v>
      </c>
      <c r="T47" s="7">
        <v>0.0363562254961392</v>
      </c>
    </row>
    <row x14ac:dyDescent="0.25" r="48" customHeight="1" ht="19.5">
      <c r="A48" s="2" t="s">
        <v>2360</v>
      </c>
      <c r="B48" s="2" t="s">
        <v>2314</v>
      </c>
      <c r="C48" s="2" t="s">
        <v>31</v>
      </c>
      <c r="D48" s="2" t="s">
        <v>32</v>
      </c>
      <c r="E48" s="6">
        <v>1</v>
      </c>
      <c r="F48" s="6">
        <v>1</v>
      </c>
      <c r="G48" s="7">
        <v>0.3856707215309143</v>
      </c>
      <c r="H48" s="7">
        <v>4.8278140625</v>
      </c>
      <c r="I48" s="7">
        <v>12.51304897115406</v>
      </c>
      <c r="J48" s="7">
        <v>5.442481713904873</v>
      </c>
      <c r="K48" s="7">
        <v>0.9740577924083258</v>
      </c>
      <c r="L48" s="7">
        <v>0.9858578284190082</v>
      </c>
      <c r="M48" s="7">
        <v>0.3874664564809172</v>
      </c>
      <c r="N48" s="7">
        <v>0.2895291623303014</v>
      </c>
      <c r="O48" s="7">
        <v>0.081313794890567</v>
      </c>
      <c r="P48" s="7">
        <v>8.737016943917059</v>
      </c>
      <c r="Q48" s="7">
        <v>0.0150318454292656</v>
      </c>
      <c r="R48" s="7">
        <v>0.0531312349530193</v>
      </c>
      <c r="S48" s="7">
        <v>0.0722594754083738</v>
      </c>
      <c r="T48" s="7">
        <v>0.084227443064881</v>
      </c>
    </row>
    <row x14ac:dyDescent="0.25" r="49" customHeight="1" ht="19.5">
      <c r="A49" s="2" t="s">
        <v>2361</v>
      </c>
      <c r="B49" s="2" t="s">
        <v>2314</v>
      </c>
      <c r="C49" s="2" t="s">
        <v>31</v>
      </c>
      <c r="D49" s="2" t="s">
        <v>32</v>
      </c>
      <c r="E49" s="6">
        <v>1</v>
      </c>
      <c r="F49" s="6">
        <v>1</v>
      </c>
      <c r="G49" s="7">
        <v>0.3594295978546142</v>
      </c>
      <c r="H49" s="7">
        <v>4.585384375</v>
      </c>
      <c r="I49" s="7">
        <v>12.29784438018305</v>
      </c>
      <c r="J49" s="7">
        <v>5.376275115625127</v>
      </c>
      <c r="K49" s="7">
        <v>0.8950551412297567</v>
      </c>
      <c r="L49" s="7">
        <v>0.9867986972562665</v>
      </c>
      <c r="M49" s="7">
        <v>0.3810023238856989</v>
      </c>
      <c r="N49" s="7">
        <v>0.2544137420352213</v>
      </c>
      <c r="O49" s="7">
        <v>0.0699149924188397</v>
      </c>
      <c r="P49" s="7">
        <v>9.037532063251788</v>
      </c>
      <c r="Q49" s="7">
        <v>0.0223775298415815</v>
      </c>
      <c r="R49" s="7">
        <v>0.0671620630042845</v>
      </c>
      <c r="S49" s="7">
        <v>0.085320822253222</v>
      </c>
      <c r="T49" s="7">
        <v>0.1190909258943225</v>
      </c>
    </row>
    <row x14ac:dyDescent="0.25" r="50" customHeight="1" ht="19.5">
      <c r="A50" s="2" t="s">
        <v>2362</v>
      </c>
      <c r="B50" s="2" t="s">
        <v>2314</v>
      </c>
      <c r="C50" s="2" t="s">
        <v>31</v>
      </c>
      <c r="D50" s="2" t="s">
        <v>32</v>
      </c>
      <c r="E50" s="6">
        <v>1</v>
      </c>
      <c r="F50" s="6">
        <v>1</v>
      </c>
      <c r="G50" s="7">
        <v>0.3957694768905639</v>
      </c>
      <c r="H50" s="7">
        <v>4.72737890625</v>
      </c>
      <c r="I50" s="7">
        <v>12.36679103329254</v>
      </c>
      <c r="J50" s="7">
        <v>5.37333825825322</v>
      </c>
      <c r="K50" s="7">
        <v>0.9079034616409458</v>
      </c>
      <c r="L50" s="7">
        <v>0.986025601122728</v>
      </c>
      <c r="M50" s="7">
        <v>0.3884331012515782</v>
      </c>
      <c r="N50" s="7">
        <v>0.2435071384137049</v>
      </c>
      <c r="O50" s="7">
        <v>0.0549507169677341</v>
      </c>
      <c r="P50" s="7">
        <v>9.13982967566916</v>
      </c>
      <c r="Q50" s="7">
        <v>0.020918570910048</v>
      </c>
      <c r="R50" s="7">
        <v>0.0659149966593677</v>
      </c>
      <c r="S50" s="7">
        <v>0.0845488577479012</v>
      </c>
      <c r="T50" s="7">
        <v>0.1147739173199191</v>
      </c>
    </row>
    <row x14ac:dyDescent="0.25" r="51" customHeight="1" ht="19.5">
      <c r="A51" s="2" t="s">
        <v>2363</v>
      </c>
      <c r="B51" s="2" t="s">
        <v>2314</v>
      </c>
      <c r="C51" s="2" t="s">
        <v>31</v>
      </c>
      <c r="D51" s="2" t="s">
        <v>32</v>
      </c>
      <c r="E51" s="6">
        <v>1</v>
      </c>
      <c r="F51" s="6">
        <v>1</v>
      </c>
      <c r="G51" s="7">
        <v>0.3599187135696411</v>
      </c>
      <c r="H51" s="7">
        <v>4.71352578125</v>
      </c>
      <c r="I51" s="7">
        <v>12.46429632520022</v>
      </c>
      <c r="J51" s="7">
        <v>5.491359698180775</v>
      </c>
      <c r="K51" s="7">
        <v>0.9184780987111478</v>
      </c>
      <c r="L51" s="7">
        <v>0.9869649368462564</v>
      </c>
      <c r="M51" s="7">
        <v>0.3812591016387578</v>
      </c>
      <c r="N51" s="7">
        <v>0.256419036505719</v>
      </c>
      <c r="O51" s="7">
        <v>0.0664899140431128</v>
      </c>
      <c r="P51" s="7">
        <v>9.077484167299025</v>
      </c>
      <c r="Q51" s="7">
        <v>0.0210472278668311</v>
      </c>
      <c r="R51" s="7">
        <v>0.0651954425126631</v>
      </c>
      <c r="S51" s="7">
        <v>0.0849528759574221</v>
      </c>
      <c r="T51" s="7">
        <v>0.115141417008491</v>
      </c>
    </row>
    <row x14ac:dyDescent="0.25" r="52" customHeight="1" ht="19.5">
      <c r="A52" s="2" t="s">
        <v>2364</v>
      </c>
      <c r="B52" s="2" t="s">
        <v>2314</v>
      </c>
      <c r="C52" s="2" t="s">
        <v>31</v>
      </c>
      <c r="D52" s="2" t="s">
        <v>32</v>
      </c>
      <c r="E52" s="6">
        <v>1</v>
      </c>
      <c r="F52" s="6">
        <v>1</v>
      </c>
      <c r="G52" s="7">
        <v>0.3710341155529022</v>
      </c>
      <c r="H52" s="7">
        <v>4.74123203125</v>
      </c>
      <c r="I52" s="7">
        <v>12.38107035269164</v>
      </c>
      <c r="J52" s="7">
        <v>5.380649051472489</v>
      </c>
      <c r="K52" s="7">
        <v>0.9351658298017336</v>
      </c>
      <c r="L52" s="7">
        <v>0.9859259396471388</v>
      </c>
      <c r="M52" s="7">
        <v>0.3886732850867571</v>
      </c>
      <c r="N52" s="7">
        <v>0.2478567344401795</v>
      </c>
      <c r="O52" s="7">
        <v>0.0716433014488282</v>
      </c>
      <c r="P52" s="7">
        <v>9.039133256643558</v>
      </c>
      <c r="Q52" s="7">
        <v>0.0211063744628617</v>
      </c>
      <c r="R52" s="7">
        <v>0.066762189200569</v>
      </c>
      <c r="S52" s="7">
        <v>0.0838993421519733</v>
      </c>
      <c r="T52" s="7">
        <v>0.1161436923964616</v>
      </c>
    </row>
    <row x14ac:dyDescent="0.25" r="53" customHeight="1" ht="19.5">
      <c r="A53" s="2" t="s">
        <v>2365</v>
      </c>
      <c r="B53" s="2" t="s">
        <v>2314</v>
      </c>
      <c r="C53" s="2" t="s">
        <v>31</v>
      </c>
      <c r="D53" s="2" t="s">
        <v>32</v>
      </c>
      <c r="E53" s="6">
        <v>1</v>
      </c>
      <c r="F53" s="6">
        <v>1</v>
      </c>
      <c r="G53" s="7">
        <v>0.430227518081665</v>
      </c>
      <c r="H53" s="7">
        <v>4.723915625</v>
      </c>
      <c r="I53" s="7">
        <v>12.34659702613689</v>
      </c>
      <c r="J53" s="7">
        <v>5.375550566555379</v>
      </c>
      <c r="K53" s="7">
        <v>0.9320962629013192</v>
      </c>
      <c r="L53" s="7">
        <v>0.9858262016597152</v>
      </c>
      <c r="M53" s="7">
        <v>0.3894192792590334</v>
      </c>
      <c r="N53" s="7">
        <v>0.2503271302401851</v>
      </c>
      <c r="O53" s="7">
        <v>0.0725770871083694</v>
      </c>
      <c r="P53" s="7">
        <v>9.034603885259054</v>
      </c>
      <c r="Q53" s="7">
        <v>0.0213147711818478</v>
      </c>
      <c r="R53" s="7">
        <v>0.0671410079044527</v>
      </c>
      <c r="S53" s="7">
        <v>0.0872881150016061</v>
      </c>
      <c r="T53" s="7">
        <v>0.1168620732366194</v>
      </c>
    </row>
    <row x14ac:dyDescent="0.25" r="54" customHeight="1" ht="19.5">
      <c r="A54" s="2" t="s">
        <v>2366</v>
      </c>
      <c r="B54" s="2" t="s">
        <v>2314</v>
      </c>
      <c r="C54" s="2" t="s">
        <v>31</v>
      </c>
      <c r="D54" s="2" t="s">
        <v>32</v>
      </c>
      <c r="E54" s="6">
        <v>1</v>
      </c>
      <c r="F54" s="6">
        <v>1</v>
      </c>
      <c r="G54" s="7">
        <v>0.3969442248344421</v>
      </c>
      <c r="H54" s="7">
        <v>4.65811328125</v>
      </c>
      <c r="I54" s="7">
        <v>12.2633710536283</v>
      </c>
      <c r="J54" s="7">
        <v>5.383020548421946</v>
      </c>
      <c r="K54" s="7">
        <v>0.9046152095057448</v>
      </c>
      <c r="L54" s="7">
        <v>0.9864358377037132</v>
      </c>
      <c r="M54" s="7">
        <v>0.3892245024358788</v>
      </c>
      <c r="N54" s="7">
        <v>0.2625367045112196</v>
      </c>
      <c r="O54" s="7">
        <v>0.0832183959853377</v>
      </c>
      <c r="P54" s="7">
        <v>8.942883825224811</v>
      </c>
      <c r="Q54" s="7">
        <v>0.0220820154183495</v>
      </c>
      <c r="R54" s="7">
        <v>0.0685517521415449</v>
      </c>
      <c r="S54" s="7">
        <v>0.088679131806292</v>
      </c>
      <c r="T54" s="7">
        <v>0.1193821881630411</v>
      </c>
    </row>
    <row x14ac:dyDescent="0.25" r="55" customHeight="1" ht="19.5">
      <c r="A55" s="2" t="s">
        <v>2367</v>
      </c>
      <c r="B55" s="2" t="s">
        <v>2314</v>
      </c>
      <c r="C55" s="2" t="s">
        <v>31</v>
      </c>
      <c r="D55" s="2" t="s">
        <v>32</v>
      </c>
      <c r="E55" s="6">
        <v>1</v>
      </c>
      <c r="F55" s="6">
        <v>1</v>
      </c>
      <c r="G55" s="7">
        <v>0.3851853907108307</v>
      </c>
      <c r="H55" s="7">
        <v>4.65465</v>
      </c>
      <c r="I55" s="7">
        <v>12.21461840767446</v>
      </c>
      <c r="J55" s="7">
        <v>5.323453506842094</v>
      </c>
      <c r="K55" s="7">
        <v>0.9343613238763688</v>
      </c>
      <c r="L55" s="7">
        <v>0.9858065707161772</v>
      </c>
      <c r="M55" s="7">
        <v>0.3920460536694581</v>
      </c>
      <c r="N55" s="7">
        <v>0.2523700645173586</v>
      </c>
      <c r="O55" s="7">
        <v>0.0780237373041228</v>
      </c>
      <c r="P55" s="7">
        <v>8.982304773742944</v>
      </c>
      <c r="Q55" s="7">
        <v>0.0217739268338952</v>
      </c>
      <c r="R55" s="7">
        <v>0.0674577133635966</v>
      </c>
      <c r="S55" s="7">
        <v>0.0866229139307792</v>
      </c>
      <c r="T55" s="7">
        <v>0.117629044612467</v>
      </c>
    </row>
    <row x14ac:dyDescent="0.25" r="56" customHeight="1" ht="19.5">
      <c r="A56" s="2" t="s">
        <v>2368</v>
      </c>
      <c r="B56" s="2" t="s">
        <v>2314</v>
      </c>
      <c r="C56" s="2" t="s">
        <v>31</v>
      </c>
      <c r="D56" s="2" t="s">
        <v>32</v>
      </c>
      <c r="E56" s="6">
        <v>1</v>
      </c>
      <c r="F56" s="6">
        <v>1</v>
      </c>
      <c r="G56" s="7">
        <v>0.3334559202194214</v>
      </c>
      <c r="H56" s="7">
        <v>4.76201171875</v>
      </c>
      <c r="I56" s="7">
        <v>12.49876965175497</v>
      </c>
      <c r="J56" s="7">
        <v>5.492340100874293</v>
      </c>
      <c r="K56" s="7">
        <v>0.9048603457464564</v>
      </c>
      <c r="L56" s="7">
        <v>0.9867682297663052</v>
      </c>
      <c r="M56" s="7">
        <v>0.3830591100830178</v>
      </c>
      <c r="N56" s="7">
        <v>0.2503098566756023</v>
      </c>
      <c r="O56" s="7">
        <v>0.0805584365278338</v>
      </c>
      <c r="P56" s="7">
        <v>9.005458511126138</v>
      </c>
      <c r="Q56" s="7">
        <v>0.0207435993962608</v>
      </c>
      <c r="R56" s="7">
        <v>0.064886011301269</v>
      </c>
      <c r="S56" s="7">
        <v>0.0847742159462367</v>
      </c>
      <c r="T56" s="7">
        <v>0.1146477026365554</v>
      </c>
    </row>
    <row x14ac:dyDescent="0.25" r="57" customHeight="1" ht="19.5">
      <c r="A57" s="2" t="s">
        <v>2369</v>
      </c>
      <c r="B57" s="2" t="s">
        <v>2314</v>
      </c>
      <c r="C57" s="2" t="s">
        <v>31</v>
      </c>
      <c r="D57" s="2" t="s">
        <v>32</v>
      </c>
      <c r="E57" s="6">
        <v>1</v>
      </c>
      <c r="F57" s="6">
        <v>1</v>
      </c>
      <c r="G57" s="7">
        <v>0.41708704829216</v>
      </c>
      <c r="H57" s="7">
        <v>4.68581953125</v>
      </c>
      <c r="I57" s="7">
        <v>12.3323177067378</v>
      </c>
      <c r="J57" s="7">
        <v>5.381414870589756</v>
      </c>
      <c r="K57" s="7">
        <v>0.906354005831663</v>
      </c>
      <c r="L57" s="7">
        <v>0.9863533764036052</v>
      </c>
      <c r="M57" s="7">
        <v>0.3871738465312227</v>
      </c>
      <c r="N57" s="7">
        <v>0.2591019256722372</v>
      </c>
      <c r="O57" s="7">
        <v>0.0790606250296955</v>
      </c>
      <c r="P57" s="7">
        <v>8.990792262553985</v>
      </c>
      <c r="Q57" s="7">
        <v>0.0217854494199633</v>
      </c>
      <c r="R57" s="7">
        <v>0.0669592757630202</v>
      </c>
      <c r="S57" s="7">
        <v>0.0846348652996707</v>
      </c>
      <c r="T57" s="7">
        <v>0.1184794042887383</v>
      </c>
    </row>
    <row x14ac:dyDescent="0.25" r="58" customHeight="1" ht="19.5">
      <c r="A58" s="2" t="s">
        <v>2370</v>
      </c>
      <c r="B58" s="2" t="s">
        <v>2314</v>
      </c>
      <c r="C58" s="2" t="s">
        <v>31</v>
      </c>
      <c r="D58" s="2" t="s">
        <v>32</v>
      </c>
      <c r="E58" s="6">
        <v>1</v>
      </c>
      <c r="F58" s="6">
        <v>1</v>
      </c>
      <c r="G58" s="7">
        <v>0.3981265723705292</v>
      </c>
      <c r="H58" s="7">
        <v>4.699672656250001</v>
      </c>
      <c r="I58" s="7">
        <v>12.34659702613689</v>
      </c>
      <c r="J58" s="7">
        <v>5.438684217241626</v>
      </c>
      <c r="K58" s="7">
        <v>0.941142932032842</v>
      </c>
      <c r="L58" s="7">
        <v>0.9866289342882446</v>
      </c>
      <c r="M58" s="7">
        <v>0.3874207932217803</v>
      </c>
      <c r="N58" s="7">
        <v>0.2639009981020503</v>
      </c>
      <c r="O58" s="7">
        <v>0.0841305297707018</v>
      </c>
      <c r="P58" s="7">
        <v>8.961085760221735</v>
      </c>
      <c r="Q58" s="7">
        <v>0.02093762864858</v>
      </c>
      <c r="R58" s="7">
        <v>0.0658295303402193</v>
      </c>
      <c r="S58" s="7">
        <v>0.0851752440780077</v>
      </c>
      <c r="T58" s="7">
        <v>0.1142052009316158</v>
      </c>
    </row>
    <row x14ac:dyDescent="0.25" r="59" customHeight="1" ht="19.5">
      <c r="A59" s="2" t="s">
        <v>2371</v>
      </c>
      <c r="B59" s="2" t="s">
        <v>2314</v>
      </c>
      <c r="C59" s="2" t="s">
        <v>31</v>
      </c>
      <c r="D59" s="2" t="s">
        <v>32</v>
      </c>
      <c r="E59" s="6">
        <v>1</v>
      </c>
      <c r="F59" s="6">
        <v>1</v>
      </c>
      <c r="G59" s="7">
        <v>0.3653184771537781</v>
      </c>
      <c r="H59" s="7">
        <v>4.7446953125</v>
      </c>
      <c r="I59" s="7">
        <v>12.46429632520022</v>
      </c>
      <c r="J59" s="7">
        <v>5.435804702103503</v>
      </c>
      <c r="K59" s="7">
        <v>0.9342281866568444</v>
      </c>
      <c r="L59" s="7">
        <v>0.9864688814759948</v>
      </c>
      <c r="M59" s="7">
        <v>0.3837802859993373</v>
      </c>
      <c r="N59" s="7">
        <v>0.2572829831551368</v>
      </c>
      <c r="O59" s="7">
        <v>0.077147608152882</v>
      </c>
      <c r="P59" s="7">
        <v>9.036048399069283</v>
      </c>
      <c r="Q59" s="7">
        <v>0.0211073583927042</v>
      </c>
      <c r="R59" s="7">
        <v>0.0657251074370566</v>
      </c>
      <c r="S59" s="7">
        <v>0.0860666183705784</v>
      </c>
      <c r="T59" s="7">
        <v>0.1162339490424926</v>
      </c>
    </row>
    <row x14ac:dyDescent="0.25" r="60" customHeight="1" ht="19.5">
      <c r="A60" s="2" t="s">
        <v>2372</v>
      </c>
      <c r="B60" s="2" t="s">
        <v>2314</v>
      </c>
      <c r="C60" s="2" t="s">
        <v>31</v>
      </c>
      <c r="D60" s="2" t="s">
        <v>32</v>
      </c>
      <c r="E60" s="6">
        <v>1</v>
      </c>
      <c r="F60" s="6">
        <v>1</v>
      </c>
      <c r="G60" s="7">
        <v>0.3704323172569275</v>
      </c>
      <c r="H60" s="7">
        <v>4.554214843750001</v>
      </c>
      <c r="I60" s="7">
        <v>12.24909173422921</v>
      </c>
      <c r="J60" s="7">
        <v>5.37752945281181</v>
      </c>
      <c r="K60" s="7">
        <v>0.8642062629270248</v>
      </c>
      <c r="L60" s="7">
        <v>0.9870917297382314</v>
      </c>
      <c r="M60" s="7">
        <v>0.3814306642866657</v>
      </c>
      <c r="N60" s="7">
        <v>0.2341437670004079</v>
      </c>
      <c r="O60" s="7">
        <v>0.0607118933000402</v>
      </c>
      <c r="P60" s="7">
        <v>9.096687352381265</v>
      </c>
      <c r="Q60" s="7">
        <v>0.0230411735928665</v>
      </c>
      <c r="R60" s="7">
        <v>0.0693784639286142</v>
      </c>
      <c r="S60" s="7">
        <v>0.0877438948585841</v>
      </c>
      <c r="T60" s="7">
        <v>0.1217892316190666</v>
      </c>
    </row>
    <row x14ac:dyDescent="0.25" r="61" customHeight="1" ht="19.5">
      <c r="A61" s="2" t="s">
        <v>2373</v>
      </c>
      <c r="B61" s="2" t="s">
        <v>2314</v>
      </c>
      <c r="C61" s="2" t="s">
        <v>31</v>
      </c>
      <c r="D61" s="2" t="s">
        <v>32</v>
      </c>
      <c r="E61" s="6">
        <v>1</v>
      </c>
      <c r="F61" s="6">
        <v>1</v>
      </c>
      <c r="G61" s="7">
        <v>0.3686822354793548</v>
      </c>
      <c r="H61" s="7">
        <v>4.72045234375</v>
      </c>
      <c r="I61" s="7">
        <v>12.41554367924638</v>
      </c>
      <c r="J61" s="7">
        <v>5.437774366704911</v>
      </c>
      <c r="K61" s="7">
        <v>0.910190918057208</v>
      </c>
      <c r="L61" s="7">
        <v>0.9867365689371382</v>
      </c>
      <c r="M61" s="7">
        <v>0.3848238650550699</v>
      </c>
      <c r="N61" s="7">
        <v>0.2530289911227628</v>
      </c>
      <c r="O61" s="7">
        <v>0.0808394940363362</v>
      </c>
      <c r="P61" s="7">
        <v>8.995372110666064</v>
      </c>
      <c r="Q61" s="7">
        <v>0.0214031074712603</v>
      </c>
      <c r="R61" s="7">
        <v>0.0664932957800177</v>
      </c>
      <c r="S61" s="7">
        <v>0.0867686328905059</v>
      </c>
      <c r="T61" s="7">
        <v>0.1172603617788562</v>
      </c>
    </row>
    <row x14ac:dyDescent="0.25" r="62" customHeight="1" ht="19.5">
      <c r="A62" s="2" t="s">
        <v>2374</v>
      </c>
      <c r="B62" s="2" t="s">
        <v>2314</v>
      </c>
      <c r="C62" s="2" t="s">
        <v>31</v>
      </c>
      <c r="D62" s="2" t="s">
        <v>32</v>
      </c>
      <c r="E62" s="6">
        <v>1</v>
      </c>
      <c r="F62" s="6">
        <v>1</v>
      </c>
      <c r="G62" s="7">
        <v>0.4021092653274536</v>
      </c>
      <c r="H62" s="7">
        <v>4.772401562500001</v>
      </c>
      <c r="I62" s="7">
        <v>12.49876965175497</v>
      </c>
      <c r="J62" s="7">
        <v>5.437753112317264</v>
      </c>
      <c r="K62" s="7">
        <v>0.9368063512137826</v>
      </c>
      <c r="L62" s="7">
        <v>0.9863504535035365</v>
      </c>
      <c r="M62" s="7">
        <v>0.383894875414108</v>
      </c>
      <c r="N62" s="7">
        <v>0.2540369344194927</v>
      </c>
      <c r="O62" s="7">
        <v>0.0758015535185546</v>
      </c>
      <c r="P62" s="7">
        <v>9.022460113948007</v>
      </c>
      <c r="Q62" s="7">
        <v>0.0204587694688763</v>
      </c>
      <c r="R62" s="7">
        <v>0.0645577298315892</v>
      </c>
      <c r="S62" s="7">
        <v>0.0856174633068037</v>
      </c>
      <c r="T62" s="7">
        <v>0.11332018320993</v>
      </c>
    </row>
    <row x14ac:dyDescent="0.25" r="63" customHeight="1" ht="19.5">
      <c r="A63" s="2" t="s">
        <v>2375</v>
      </c>
      <c r="B63" s="2" t="s">
        <v>2314</v>
      </c>
      <c r="C63" s="2" t="s">
        <v>31</v>
      </c>
      <c r="D63" s="2" t="s">
        <v>32</v>
      </c>
      <c r="E63" s="6">
        <v>1</v>
      </c>
      <c r="F63" s="6">
        <v>1</v>
      </c>
      <c r="G63" s="7">
        <v>0.3516816198825836</v>
      </c>
      <c r="H63" s="7">
        <v>4.768938281250001</v>
      </c>
      <c r="I63" s="7">
        <v>12.47857564459931</v>
      </c>
      <c r="J63" s="7">
        <v>5.433931433645519</v>
      </c>
      <c r="K63" s="7">
        <v>0.9314513033252304</v>
      </c>
      <c r="L63" s="7">
        <v>0.9861970129412656</v>
      </c>
      <c r="M63" s="7">
        <v>0.3848588996732434</v>
      </c>
      <c r="N63" s="7">
        <v>0.2487522386359656</v>
      </c>
      <c r="O63" s="7">
        <v>0.073835993926313</v>
      </c>
      <c r="P63" s="7">
        <v>9.014943697149922</v>
      </c>
      <c r="Q63" s="7">
        <v>0.0209551995672837</v>
      </c>
      <c r="R63" s="7">
        <v>0.0665554822964017</v>
      </c>
      <c r="S63" s="7">
        <v>0.0867839861011147</v>
      </c>
      <c r="T63" s="7">
        <v>0.1159856560076825</v>
      </c>
    </row>
    <row x14ac:dyDescent="0.25" r="64" customHeight="1" ht="19.5">
      <c r="A64" s="2" t="s">
        <v>2376</v>
      </c>
      <c r="B64" s="2" t="s">
        <v>2314</v>
      </c>
      <c r="C64" s="2" t="s">
        <v>31</v>
      </c>
      <c r="D64" s="2" t="s">
        <v>32</v>
      </c>
      <c r="E64" s="6">
        <v>1</v>
      </c>
      <c r="F64" s="6">
        <v>1</v>
      </c>
      <c r="G64" s="7">
        <v>0.3899638056755066</v>
      </c>
      <c r="H64" s="7">
        <v>4.69274609375</v>
      </c>
      <c r="I64" s="7">
        <v>12.42982299864547</v>
      </c>
      <c r="J64" s="7">
        <v>5.379325472499295</v>
      </c>
      <c r="K64" s="7">
        <v>0.9079254620225174</v>
      </c>
      <c r="L64" s="7">
        <v>0.9863268712020676</v>
      </c>
      <c r="M64" s="7">
        <v>0.3816867045609209</v>
      </c>
      <c r="N64" s="7">
        <v>0.256741009267135</v>
      </c>
      <c r="O64" s="7">
        <v>0.0780629562654986</v>
      </c>
      <c r="P64" s="7">
        <v>8.953152280298223</v>
      </c>
      <c r="Q64" s="7">
        <v>0.0215552520250541</v>
      </c>
      <c r="R64" s="7">
        <v>0.0665466633616218</v>
      </c>
      <c r="S64" s="7">
        <v>0.0865175894057823</v>
      </c>
      <c r="T64" s="7">
        <v>0.1174007690802968</v>
      </c>
    </row>
    <row x14ac:dyDescent="0.25" r="65" customHeight="1" ht="19.5">
      <c r="A65" s="2" t="s">
        <v>2377</v>
      </c>
      <c r="B65" s="2" t="s">
        <v>2314</v>
      </c>
      <c r="C65" s="2" t="s">
        <v>31</v>
      </c>
      <c r="D65" s="2" t="s">
        <v>32</v>
      </c>
      <c r="E65" s="6">
        <v>1</v>
      </c>
      <c r="F65" s="6">
        <v>1</v>
      </c>
      <c r="G65" s="7">
        <v>0.3409820795059204</v>
      </c>
      <c r="H65" s="7">
        <v>4.716989062500001</v>
      </c>
      <c r="I65" s="7">
        <v>12.41554367924638</v>
      </c>
      <c r="J65" s="7">
        <v>5.442270468505853</v>
      </c>
      <c r="K65" s="7">
        <v>0.9349630175800796</v>
      </c>
      <c r="L65" s="7">
        <v>0.986628863159674</v>
      </c>
      <c r="M65" s="7">
        <v>0.3845415291305981</v>
      </c>
      <c r="N65" s="7">
        <v>0.2603009776142075</v>
      </c>
      <c r="O65" s="7">
        <v>0.082940817916376</v>
      </c>
      <c r="P65" s="7">
        <v>8.948259830470358</v>
      </c>
      <c r="Q65" s="7">
        <v>0.021521647116336</v>
      </c>
      <c r="R65" s="7">
        <v>0.0657817207243446</v>
      </c>
      <c r="S65" s="7">
        <v>0.0878155286800232</v>
      </c>
      <c r="T65" s="7">
        <v>0.1178232927056956</v>
      </c>
    </row>
    <row x14ac:dyDescent="0.25" r="66" customHeight="1" ht="19.5">
      <c r="A66" s="2" t="s">
        <v>2378</v>
      </c>
      <c r="B66" s="2" t="s">
        <v>2314</v>
      </c>
      <c r="C66" s="2" t="s">
        <v>31</v>
      </c>
      <c r="D66" s="2" t="s">
        <v>32</v>
      </c>
      <c r="E66" s="6">
        <v>1</v>
      </c>
      <c r="F66" s="6">
        <v>1</v>
      </c>
      <c r="G66" s="7">
        <v>0.4031890630722046</v>
      </c>
      <c r="H66" s="7">
        <v>4.72045234375</v>
      </c>
      <c r="I66" s="7">
        <v>12.42982299864547</v>
      </c>
      <c r="J66" s="7">
        <v>5.379679817053034</v>
      </c>
      <c r="K66" s="7">
        <v>0.9384850248081564</v>
      </c>
      <c r="L66" s="7">
        <v>0.9860523212053632</v>
      </c>
      <c r="M66" s="7">
        <v>0.383940205399657</v>
      </c>
      <c r="N66" s="7">
        <v>0.2522669777864009</v>
      </c>
      <c r="O66" s="7">
        <v>0.0753938640703886</v>
      </c>
      <c r="P66" s="7">
        <v>9.01318628097628</v>
      </c>
      <c r="Q66" s="7">
        <v>0.0209599834334263</v>
      </c>
      <c r="R66" s="7">
        <v>0.0640932832696112</v>
      </c>
      <c r="S66" s="7">
        <v>0.0851968271075268</v>
      </c>
      <c r="T66" s="7">
        <v>0.1148326355685809</v>
      </c>
    </row>
    <row x14ac:dyDescent="0.25" r="67" customHeight="1" ht="19.5">
      <c r="A67" s="2" t="s">
        <v>2379</v>
      </c>
      <c r="B67" s="2" t="s">
        <v>2314</v>
      </c>
      <c r="C67" s="2" t="s">
        <v>31</v>
      </c>
      <c r="D67" s="2" t="s">
        <v>32</v>
      </c>
      <c r="E67" s="6">
        <v>1</v>
      </c>
      <c r="F67" s="6">
        <v>1</v>
      </c>
      <c r="G67" s="7">
        <v>0.4188947975635528</v>
      </c>
      <c r="H67" s="7">
        <v>4.682356250000001</v>
      </c>
      <c r="I67" s="7">
        <v>12.42982299864547</v>
      </c>
      <c r="J67" s="7">
        <v>5.431564700408789</v>
      </c>
      <c r="K67" s="7">
        <v>0.9020832691181372</v>
      </c>
      <c r="L67" s="7">
        <v>0.9867711861810472</v>
      </c>
      <c r="M67" s="7">
        <v>0.3808416417463949</v>
      </c>
      <c r="N67" s="7">
        <v>0.2428968708002491</v>
      </c>
      <c r="O67" s="7">
        <v>0.0610272259305572</v>
      </c>
      <c r="P67" s="7">
        <v>9.061353657463728</v>
      </c>
      <c r="Q67" s="7">
        <v>0.0196980696285038</v>
      </c>
      <c r="R67" s="7">
        <v>0.0588691049875596</v>
      </c>
      <c r="S67" s="7">
        <v>0.0785938727517928</v>
      </c>
      <c r="T67" s="7">
        <v>0.1070480847632471</v>
      </c>
    </row>
    <row x14ac:dyDescent="0.25" r="68" customHeight="1" ht="19.5">
      <c r="A68" s="2" t="s">
        <v>2380</v>
      </c>
      <c r="B68" s="2" t="s">
        <v>2314</v>
      </c>
      <c r="C68" s="2" t="s">
        <v>31</v>
      </c>
      <c r="D68" s="2" t="s">
        <v>32</v>
      </c>
      <c r="E68" s="6">
        <v>1</v>
      </c>
      <c r="F68" s="6">
        <v>1</v>
      </c>
      <c r="G68" s="7">
        <v>0.3292590379714966</v>
      </c>
      <c r="H68" s="7">
        <v>5.44774140625</v>
      </c>
      <c r="I68" s="7">
        <v>13.23597402881912</v>
      </c>
      <c r="J68" s="7">
        <v>5.726216077193965</v>
      </c>
      <c r="K68" s="7">
        <v>1.075216720450324</v>
      </c>
      <c r="L68" s="7">
        <v>0.983903911683295</v>
      </c>
      <c r="M68" s="7">
        <v>0.3907639901817232</v>
      </c>
      <c r="N68" s="7">
        <v>0.4147399955681057</v>
      </c>
      <c r="O68" s="7">
        <v>0.1453279869070408</v>
      </c>
      <c r="P68" s="7">
        <v>7.890185453121941</v>
      </c>
      <c r="Q68" s="7">
        <v>0.0017089263714694</v>
      </c>
      <c r="R68" s="7">
        <v>0.0108697446141803</v>
      </c>
      <c r="S68" s="7">
        <v>0.025920497335233</v>
      </c>
      <c r="T68" s="7">
        <v>0.0108051454165282</v>
      </c>
    </row>
    <row x14ac:dyDescent="0.25" r="69" customHeight="1" ht="19.5">
      <c r="A69" s="2" t="s">
        <v>2381</v>
      </c>
      <c r="B69" s="2" t="s">
        <v>2314</v>
      </c>
      <c r="C69" s="2" t="s">
        <v>31</v>
      </c>
      <c r="D69" s="2" t="s">
        <v>32</v>
      </c>
      <c r="E69" s="6">
        <v>1</v>
      </c>
      <c r="F69" s="6">
        <v>1</v>
      </c>
      <c r="G69" s="7">
        <v>0.5000588893890381</v>
      </c>
      <c r="H69" s="7">
        <v>4.92824921875</v>
      </c>
      <c r="I69" s="7">
        <v>12.82575885403275</v>
      </c>
      <c r="J69" s="7">
        <v>5.671752795237246</v>
      </c>
      <c r="K69" s="7">
        <v>0.9671437576560298</v>
      </c>
      <c r="L69" s="7">
        <v>0.986802562314148</v>
      </c>
      <c r="M69" s="7">
        <v>0.3764752110123194</v>
      </c>
      <c r="N69" s="7">
        <v>0.3544610816605049</v>
      </c>
      <c r="O69" s="7">
        <v>0.1326907552787001</v>
      </c>
      <c r="P69" s="7">
        <v>8.36319342668086</v>
      </c>
      <c r="Q69" s="7">
        <v>0.0102221132555013</v>
      </c>
      <c r="R69" s="7">
        <v>0.0347790167629581</v>
      </c>
      <c r="S69" s="7">
        <v>0.0461545429501901</v>
      </c>
      <c r="T69" s="7">
        <v>0.0584687932181148</v>
      </c>
    </row>
    <row x14ac:dyDescent="0.25" r="70" customHeight="1" ht="19.5">
      <c r="A70" s="2" t="s">
        <v>2382</v>
      </c>
      <c r="B70" s="2" t="s">
        <v>2314</v>
      </c>
      <c r="C70" s="2" t="s">
        <v>31</v>
      </c>
      <c r="D70" s="2" t="s">
        <v>32</v>
      </c>
      <c r="E70" s="6">
        <v>1</v>
      </c>
      <c r="F70" s="6">
        <v>1</v>
      </c>
      <c r="G70" s="7">
        <v>0.4071661531925201</v>
      </c>
      <c r="H70" s="7">
        <v>4.80357109375</v>
      </c>
      <c r="I70" s="7">
        <v>12.79720021523457</v>
      </c>
      <c r="J70" s="7">
        <v>5.733388955744424</v>
      </c>
      <c r="K70" s="7">
        <v>0.9202892096336176</v>
      </c>
      <c r="L70" s="7">
        <v>0.9879793910246986</v>
      </c>
      <c r="M70" s="7">
        <v>0.3685905168731301</v>
      </c>
      <c r="N70" s="7">
        <v>0.2996352030786273</v>
      </c>
      <c r="O70" s="7">
        <v>0.1157456746821136</v>
      </c>
      <c r="P70" s="7">
        <v>8.732323789498972</v>
      </c>
      <c r="Q70" s="7">
        <v>0.0203047015965288</v>
      </c>
      <c r="R70" s="7">
        <v>0.0584748570225757</v>
      </c>
      <c r="S70" s="7">
        <v>0.0679691855831675</v>
      </c>
      <c r="T70" s="7">
        <v>0.1132013520914639</v>
      </c>
    </row>
    <row x14ac:dyDescent="0.25" r="71" customHeight="1" ht="19.5">
      <c r="A71" s="2" t="s">
        <v>2383</v>
      </c>
      <c r="B71" s="2" t="s">
        <v>2314</v>
      </c>
      <c r="C71" s="2" t="s">
        <v>31</v>
      </c>
      <c r="D71" s="2" t="s">
        <v>32</v>
      </c>
      <c r="E71" s="6">
        <v>1</v>
      </c>
      <c r="F71" s="6">
        <v>1</v>
      </c>
      <c r="G71" s="7">
        <v>0.4695476591587066</v>
      </c>
      <c r="H71" s="7">
        <v>4.81049765625</v>
      </c>
      <c r="I71" s="7">
        <v>12.88042618774315</v>
      </c>
      <c r="J71" s="7">
        <v>5.730604636199724</v>
      </c>
      <c r="K71" s="7">
        <v>0.91102002787781</v>
      </c>
      <c r="L71" s="7">
        <v>0.9880446657161462</v>
      </c>
      <c r="M71" s="7">
        <v>0.3643673088433726</v>
      </c>
      <c r="N71" s="7">
        <v>0.2855438516197781</v>
      </c>
      <c r="O71" s="7">
        <v>0.1132080050471821</v>
      </c>
      <c r="P71" s="7">
        <v>8.934111267528639</v>
      </c>
      <c r="Q71" s="7">
        <v>0.0241847682462355</v>
      </c>
      <c r="R71" s="7">
        <v>0.0685328362139795</v>
      </c>
      <c r="S71" s="7">
        <v>0.0824140239838456</v>
      </c>
      <c r="T71" s="7">
        <v>0.13502765254427</v>
      </c>
    </row>
    <row x14ac:dyDescent="0.25" r="72" customHeight="1" ht="19.5">
      <c r="A72" s="2" t="s">
        <v>2384</v>
      </c>
      <c r="B72" s="2" t="s">
        <v>2314</v>
      </c>
      <c r="C72" s="2" t="s">
        <v>31</v>
      </c>
      <c r="D72" s="2" t="s">
        <v>32</v>
      </c>
      <c r="E72" s="6">
        <v>1</v>
      </c>
      <c r="F72" s="6">
        <v>1</v>
      </c>
      <c r="G72" s="7">
        <v>0.4777637720108032</v>
      </c>
      <c r="H72" s="7">
        <v>4.8278140625</v>
      </c>
      <c r="I72" s="7">
        <v>12.89470550714225</v>
      </c>
      <c r="J72" s="7">
        <v>5.722654430848696</v>
      </c>
      <c r="K72" s="7">
        <v>0.912698799409102</v>
      </c>
      <c r="L72" s="7">
        <v>0.9875891644935364</v>
      </c>
      <c r="M72" s="7">
        <v>0.3648694847053594</v>
      </c>
      <c r="N72" s="7">
        <v>0.2835398046392627</v>
      </c>
      <c r="O72" s="7">
        <v>0.1085624600718709</v>
      </c>
      <c r="P72" s="7">
        <v>8.912052116143805</v>
      </c>
      <c r="Q72" s="7">
        <v>0.0237449954519912</v>
      </c>
      <c r="R72" s="7">
        <v>0.0680041879238614</v>
      </c>
      <c r="S72" s="7">
        <v>0.0779553975529823</v>
      </c>
      <c r="T72" s="7">
        <v>0.1330495488341489</v>
      </c>
    </row>
    <row x14ac:dyDescent="0.25" r="73" customHeight="1" ht="19.5">
      <c r="A73" s="2" t="s">
        <v>2385</v>
      </c>
      <c r="B73" s="2" t="s">
        <v>2314</v>
      </c>
      <c r="C73" s="2" t="s">
        <v>31</v>
      </c>
      <c r="D73" s="2" t="s">
        <v>32</v>
      </c>
      <c r="E73" s="6">
        <v>1</v>
      </c>
      <c r="F73" s="6">
        <v>1</v>
      </c>
      <c r="G73" s="7">
        <v>0.4427748024463653</v>
      </c>
      <c r="H73" s="7">
        <v>4.8208875</v>
      </c>
      <c r="I73" s="7">
        <v>12.88042618774315</v>
      </c>
      <c r="J73" s="7">
        <v>5.782149007022555</v>
      </c>
      <c r="K73" s="7">
        <v>0.9107360713152794</v>
      </c>
      <c r="L73" s="7">
        <v>0.9880223252137535</v>
      </c>
      <c r="M73" s="7">
        <v>0.3651542792728399</v>
      </c>
      <c r="N73" s="7">
        <v>0.2901886007125273</v>
      </c>
      <c r="O73" s="7">
        <v>0.1178267745601595</v>
      </c>
      <c r="P73" s="7">
        <v>8.87963651553568</v>
      </c>
      <c r="Q73" s="7">
        <v>0.0243828227854134</v>
      </c>
      <c r="R73" s="7">
        <v>0.0687885598834434</v>
      </c>
      <c r="S73" s="7">
        <v>0.0792346100177909</v>
      </c>
      <c r="T73" s="7">
        <v>0.1364274492171467</v>
      </c>
    </row>
    <row x14ac:dyDescent="0.25" r="74" customHeight="1" ht="19.5">
      <c r="A74" s="2" t="s">
        <v>2386</v>
      </c>
      <c r="B74" s="2" t="s">
        <v>2314</v>
      </c>
      <c r="C74" s="2" t="s">
        <v>31</v>
      </c>
      <c r="D74" s="2" t="s">
        <v>32</v>
      </c>
      <c r="E74" s="6">
        <v>1</v>
      </c>
      <c r="F74" s="6">
        <v>1</v>
      </c>
      <c r="G74" s="7">
        <v>0.4591410458087921</v>
      </c>
      <c r="H74" s="7">
        <v>4.768938281250001</v>
      </c>
      <c r="I74" s="7">
        <v>12.81147953463366</v>
      </c>
      <c r="J74" s="7">
        <v>5.67321169173225</v>
      </c>
      <c r="K74" s="7">
        <v>0.915080099878416</v>
      </c>
      <c r="L74" s="7">
        <v>0.9877664552248656</v>
      </c>
      <c r="M74" s="7">
        <v>0.3651177879479751</v>
      </c>
      <c r="N74" s="7">
        <v>0.2820853466725778</v>
      </c>
      <c r="O74" s="7">
        <v>0.111630580968317</v>
      </c>
      <c r="P74" s="7">
        <v>8.922453735411764</v>
      </c>
      <c r="Q74" s="7">
        <v>0.0252361751444088</v>
      </c>
      <c r="R74" s="7">
        <v>0.0703915151931266</v>
      </c>
      <c r="S74" s="7">
        <v>0.0817515358494657</v>
      </c>
      <c r="T74" s="7">
        <v>0.1396805752124099</v>
      </c>
    </row>
    <row x14ac:dyDescent="0.25" r="75" customHeight="1" ht="19.5">
      <c r="A75" s="2" t="s">
        <v>2387</v>
      </c>
      <c r="B75" s="2" t="s">
        <v>2314</v>
      </c>
      <c r="C75" s="2" t="s">
        <v>31</v>
      </c>
      <c r="D75" s="2" t="s">
        <v>32</v>
      </c>
      <c r="E75" s="6">
        <v>1</v>
      </c>
      <c r="F75" s="6">
        <v>1</v>
      </c>
      <c r="G75" s="7">
        <v>0.4558092057704925</v>
      </c>
      <c r="H75" s="7">
        <v>4.699672656250001</v>
      </c>
      <c r="I75" s="7">
        <v>12.83167354178931</v>
      </c>
      <c r="J75" s="7">
        <v>5.725680861209764</v>
      </c>
      <c r="K75" s="7">
        <v>0.8638295905088715</v>
      </c>
      <c r="L75" s="7">
        <v>0.9884005734215644</v>
      </c>
      <c r="M75" s="7">
        <v>0.358683062724685</v>
      </c>
      <c r="N75" s="7">
        <v>0.257880941450667</v>
      </c>
      <c r="O75" s="7">
        <v>0.0802444475203424</v>
      </c>
      <c r="P75" s="7">
        <v>9.12210667613572</v>
      </c>
      <c r="Q75" s="7">
        <v>0.0256500102085341</v>
      </c>
      <c r="R75" s="7">
        <v>0.0701195315750008</v>
      </c>
      <c r="S75" s="7">
        <v>0.0790880987329683</v>
      </c>
      <c r="T75" s="7">
        <v>0.1399090899418693</v>
      </c>
    </row>
    <row x14ac:dyDescent="0.25" r="76" customHeight="1" ht="19.5">
      <c r="A76" s="2" t="s">
        <v>2388</v>
      </c>
      <c r="B76" s="2" t="s">
        <v>2314</v>
      </c>
      <c r="C76" s="2" t="s">
        <v>31</v>
      </c>
      <c r="D76" s="2" t="s">
        <v>32</v>
      </c>
      <c r="E76" s="6">
        <v>1</v>
      </c>
      <c r="F76" s="6">
        <v>1</v>
      </c>
      <c r="G76" s="7">
        <v>0.4639753699302673</v>
      </c>
      <c r="H76" s="7">
        <v>4.8139609375</v>
      </c>
      <c r="I76" s="7">
        <v>12.92917883369699</v>
      </c>
      <c r="J76" s="7">
        <v>5.728759071105266</v>
      </c>
      <c r="K76" s="7">
        <v>0.962202454368112</v>
      </c>
      <c r="L76" s="7">
        <v>0.9879691422254776</v>
      </c>
      <c r="M76" s="7">
        <v>0.3618849655524302</v>
      </c>
      <c r="N76" s="7">
        <v>0.3044316541867028</v>
      </c>
      <c r="O76" s="7">
        <v>0.1392976589736611</v>
      </c>
      <c r="P76" s="7">
        <v>8.700921872256396</v>
      </c>
      <c r="Q76" s="7">
        <v>0.0245034684938321</v>
      </c>
      <c r="R76" s="7">
        <v>0.0695188762032303</v>
      </c>
      <c r="S76" s="7">
        <v>0.0798478308364806</v>
      </c>
      <c r="T76" s="7">
        <v>0.1369055031099911</v>
      </c>
    </row>
    <row x14ac:dyDescent="0.25" r="77" customHeight="1" ht="19.5">
      <c r="A77" s="2" t="s">
        <v>2389</v>
      </c>
      <c r="B77" s="2" t="s">
        <v>2314</v>
      </c>
      <c r="C77" s="2" t="s">
        <v>31</v>
      </c>
      <c r="D77" s="2" t="s">
        <v>32</v>
      </c>
      <c r="E77" s="6">
        <v>1</v>
      </c>
      <c r="F77" s="6">
        <v>1</v>
      </c>
      <c r="G77" s="7">
        <v>0.457114964723587</v>
      </c>
      <c r="H77" s="7">
        <v>4.789717968750001</v>
      </c>
      <c r="I77" s="7">
        <v>12.78292089583547</v>
      </c>
      <c r="J77" s="7">
        <v>5.728715889273872</v>
      </c>
      <c r="K77" s="7">
        <v>0.9106068768794546</v>
      </c>
      <c r="L77" s="7">
        <v>0.9880989624153184</v>
      </c>
      <c r="M77" s="7">
        <v>0.3683490914534467</v>
      </c>
      <c r="N77" s="7">
        <v>0.2908323131291522</v>
      </c>
      <c r="O77" s="7">
        <v>0.1169612868261764</v>
      </c>
      <c r="P77" s="7">
        <v>8.866947253828306</v>
      </c>
      <c r="Q77" s="7">
        <v>0.0243160106603494</v>
      </c>
      <c r="R77" s="7">
        <v>0.0683972426557158</v>
      </c>
      <c r="S77" s="7">
        <v>0.0788569363091452</v>
      </c>
      <c r="T77" s="7">
        <v>0.1351739631271213</v>
      </c>
    </row>
    <row x14ac:dyDescent="0.25" r="78" customHeight="1" ht="19.5">
      <c r="A78" s="2" t="s">
        <v>2390</v>
      </c>
      <c r="B78" s="2" t="s">
        <v>2314</v>
      </c>
      <c r="C78" s="2" t="s">
        <v>31</v>
      </c>
      <c r="D78" s="2" t="s">
        <v>32</v>
      </c>
      <c r="E78" s="6">
        <v>1</v>
      </c>
      <c r="F78" s="6">
        <v>1</v>
      </c>
      <c r="G78" s="7">
        <v>0.4485580027103424</v>
      </c>
      <c r="H78" s="7">
        <v>4.768938281250001</v>
      </c>
      <c r="I78" s="7">
        <v>12.74844756928073</v>
      </c>
      <c r="J78" s="7">
        <v>5.728603791270233</v>
      </c>
      <c r="K78" s="7">
        <v>0.9089851113315373</v>
      </c>
      <c r="L78" s="7">
        <v>0.9880710887800348</v>
      </c>
      <c r="M78" s="7">
        <v>0.368737206823127</v>
      </c>
      <c r="N78" s="7">
        <v>0.2970396325200672</v>
      </c>
      <c r="O78" s="7">
        <v>0.1200907705515146</v>
      </c>
      <c r="P78" s="7">
        <v>8.854469201645784</v>
      </c>
      <c r="Q78" s="7">
        <v>0.0247528539104626</v>
      </c>
      <c r="R78" s="7">
        <v>0.069712088821535</v>
      </c>
      <c r="S78" s="7">
        <v>0.0805559500811196</v>
      </c>
      <c r="T78" s="7">
        <v>0.1370054238638531</v>
      </c>
    </row>
    <row x14ac:dyDescent="0.25" r="79" customHeight="1" ht="19.5">
      <c r="A79" s="2" t="s">
        <v>2391</v>
      </c>
      <c r="B79" s="2" t="s">
        <v>2314</v>
      </c>
      <c r="C79" s="2" t="s">
        <v>31</v>
      </c>
      <c r="D79" s="2" t="s">
        <v>32</v>
      </c>
      <c r="E79" s="6">
        <v>1</v>
      </c>
      <c r="F79" s="6">
        <v>1</v>
      </c>
      <c r="G79" s="7">
        <v>0.4840117394924164</v>
      </c>
      <c r="H79" s="7">
        <v>4.779328125</v>
      </c>
      <c r="I79" s="7">
        <v>12.88879081938568</v>
      </c>
      <c r="J79" s="7">
        <v>5.671450871750468</v>
      </c>
      <c r="K79" s="7">
        <v>0.9550527603054576</v>
      </c>
      <c r="L79" s="7">
        <v>0.987610530193308</v>
      </c>
      <c r="M79" s="7">
        <v>0.3615366765965552</v>
      </c>
      <c r="N79" s="7">
        <v>0.3019070761644661</v>
      </c>
      <c r="O79" s="7">
        <v>0.1375590164330835</v>
      </c>
      <c r="P79" s="7">
        <v>8.722420262495868</v>
      </c>
      <c r="Q79" s="7">
        <v>0.024716518805267</v>
      </c>
      <c r="R79" s="7">
        <v>0.0702120513359952</v>
      </c>
      <c r="S79" s="7">
        <v>0.0799829758286597</v>
      </c>
      <c r="T79" s="7">
        <v>0.137102360047132</v>
      </c>
    </row>
    <row x14ac:dyDescent="0.25" r="80" customHeight="1" ht="19.5">
      <c r="A80" s="2" t="s">
        <v>2392</v>
      </c>
      <c r="B80" s="2" t="s">
        <v>2314</v>
      </c>
      <c r="C80" s="2" t="s">
        <v>31</v>
      </c>
      <c r="D80" s="2" t="s">
        <v>32</v>
      </c>
      <c r="E80" s="6">
        <v>1</v>
      </c>
      <c r="F80" s="6">
        <v>1</v>
      </c>
      <c r="G80" s="7">
        <v>0.4621386528015136</v>
      </c>
      <c r="H80" s="7">
        <v>4.7862546875</v>
      </c>
      <c r="I80" s="7">
        <v>12.88042618774315</v>
      </c>
      <c r="J80" s="7">
        <v>5.729345804306684</v>
      </c>
      <c r="K80" s="7">
        <v>0.9141690794556028</v>
      </c>
      <c r="L80" s="7">
        <v>0.9881565724792644</v>
      </c>
      <c r="M80" s="7">
        <v>0.3625310445079489</v>
      </c>
      <c r="N80" s="7">
        <v>0.2771383437698766</v>
      </c>
      <c r="O80" s="7">
        <v>0.101773539277252</v>
      </c>
      <c r="P80" s="7">
        <v>8.90931839622031</v>
      </c>
      <c r="Q80" s="7">
        <v>0.0242322562710073</v>
      </c>
      <c r="R80" s="7">
        <v>0.0687432133328889</v>
      </c>
      <c r="S80" s="7">
        <v>0.0798598597190422</v>
      </c>
      <c r="T80" s="7">
        <v>0.1346109651234308</v>
      </c>
    </row>
    <row x14ac:dyDescent="0.25" r="81" customHeight="1" ht="19.5">
      <c r="A81" s="2" t="s">
        <v>2393</v>
      </c>
      <c r="B81" s="2" t="s">
        <v>2314</v>
      </c>
      <c r="C81" s="2" t="s">
        <v>31</v>
      </c>
      <c r="D81" s="2" t="s">
        <v>32</v>
      </c>
      <c r="E81" s="6">
        <v>1</v>
      </c>
      <c r="F81" s="6">
        <v>1</v>
      </c>
      <c r="G81" s="7">
        <v>0.4547159373760223</v>
      </c>
      <c r="H81" s="7">
        <v>4.89361640625</v>
      </c>
      <c r="I81" s="7">
        <v>12.9148995142979</v>
      </c>
      <c r="J81" s="7">
        <v>5.728647988184153</v>
      </c>
      <c r="K81" s="7">
        <v>0.9627637996253472</v>
      </c>
      <c r="L81" s="7">
        <v>0.9875238506402976</v>
      </c>
      <c r="M81" s="7">
        <v>0.3686869151777259</v>
      </c>
      <c r="N81" s="7">
        <v>0.2985917427130368</v>
      </c>
      <c r="O81" s="7">
        <v>0.1312342324334159</v>
      </c>
      <c r="P81" s="7">
        <v>8.779757070575261</v>
      </c>
      <c r="Q81" s="7">
        <v>0.0226700911057882</v>
      </c>
      <c r="R81" s="7">
        <v>0.065950527626211</v>
      </c>
      <c r="S81" s="7">
        <v>0.076352521121538</v>
      </c>
      <c r="T81" s="7">
        <v>0.1287579249501089</v>
      </c>
    </row>
    <row x14ac:dyDescent="0.25" r="82" customHeight="1" ht="19.5">
      <c r="A82" s="2" t="s">
        <v>2394</v>
      </c>
      <c r="B82" s="2" t="s">
        <v>2314</v>
      </c>
      <c r="C82" s="2" t="s">
        <v>31</v>
      </c>
      <c r="D82" s="2" t="s">
        <v>32</v>
      </c>
      <c r="E82" s="6">
        <v>1</v>
      </c>
      <c r="F82" s="6">
        <v>1</v>
      </c>
      <c r="G82" s="7">
        <v>0.4702847301959991</v>
      </c>
      <c r="H82" s="7">
        <v>4.84859375</v>
      </c>
      <c r="I82" s="7">
        <v>12.82575885403275</v>
      </c>
      <c r="J82" s="7">
        <v>5.728869391627397</v>
      </c>
      <c r="K82" s="7">
        <v>0.9185419971540388</v>
      </c>
      <c r="L82" s="7">
        <v>0.987648170652532</v>
      </c>
      <c r="M82" s="7">
        <v>0.3703902286839403</v>
      </c>
      <c r="N82" s="7">
        <v>0.3088235739618163</v>
      </c>
      <c r="O82" s="7">
        <v>0.13961157807474</v>
      </c>
      <c r="P82" s="7">
        <v>8.704522532113497</v>
      </c>
      <c r="Q82" s="7">
        <v>0.0238765785545966</v>
      </c>
      <c r="R82" s="7">
        <v>0.068596054557486</v>
      </c>
      <c r="S82" s="7">
        <v>0.078665731812166</v>
      </c>
      <c r="T82" s="7">
        <v>0.134362684162408</v>
      </c>
    </row>
    <row x14ac:dyDescent="0.25" r="83" customHeight="1" ht="19.5">
      <c r="A83" s="2" t="s">
        <v>2395</v>
      </c>
      <c r="B83" s="2" t="s">
        <v>2314</v>
      </c>
      <c r="C83" s="2" t="s">
        <v>31</v>
      </c>
      <c r="D83" s="2" t="s">
        <v>32</v>
      </c>
      <c r="E83" s="6">
        <v>1</v>
      </c>
      <c r="F83" s="6">
        <v>1</v>
      </c>
      <c r="G83" s="7">
        <v>0.4722464382648468</v>
      </c>
      <c r="H83" s="7">
        <v>4.88668984375</v>
      </c>
      <c r="I83" s="7">
        <v>12.88042618774315</v>
      </c>
      <c r="J83" s="7">
        <v>5.737979422089226</v>
      </c>
      <c r="K83" s="7">
        <v>0.9601931763208428</v>
      </c>
      <c r="L83" s="7">
        <v>0.987778288751122</v>
      </c>
      <c r="M83" s="7">
        <v>0.3701384253261329</v>
      </c>
      <c r="N83" s="7">
        <v>0.3028887648700263</v>
      </c>
      <c r="O83" s="7">
        <v>0.1346768898599699</v>
      </c>
      <c r="P83" s="7">
        <v>8.750217325245483</v>
      </c>
      <c r="Q83" s="7">
        <v>0.0235194629695564</v>
      </c>
      <c r="R83" s="7">
        <v>0.0671356589558888</v>
      </c>
      <c r="S83" s="7">
        <v>0.0831366924383959</v>
      </c>
      <c r="T83" s="7">
        <v>0.1333929743933653</v>
      </c>
    </row>
    <row x14ac:dyDescent="0.25" r="84" customHeight="1" ht="19.5">
      <c r="A84" s="2" t="s">
        <v>2396</v>
      </c>
      <c r="B84" s="2" t="s">
        <v>2314</v>
      </c>
      <c r="C84" s="2" t="s">
        <v>31</v>
      </c>
      <c r="D84" s="2" t="s">
        <v>32</v>
      </c>
      <c r="E84" s="6">
        <v>1</v>
      </c>
      <c r="F84" s="6">
        <v>1</v>
      </c>
      <c r="G84" s="7">
        <v>0.4278806149959564</v>
      </c>
      <c r="H84" s="7">
        <v>4.914396093750001</v>
      </c>
      <c r="I84" s="7">
        <v>13.06115745215942</v>
      </c>
      <c r="J84" s="7">
        <v>5.786015465578086</v>
      </c>
      <c r="K84" s="7">
        <v>0.9601515531091052</v>
      </c>
      <c r="L84" s="7">
        <v>0.9877452218271444</v>
      </c>
      <c r="M84" s="7">
        <v>0.3620067690336659</v>
      </c>
      <c r="N84" s="7">
        <v>0.3029195603714305</v>
      </c>
      <c r="O84" s="7">
        <v>0.1344176017423871</v>
      </c>
      <c r="P84" s="7">
        <v>8.73772528378507</v>
      </c>
      <c r="Q84" s="7">
        <v>0.023202113179364</v>
      </c>
      <c r="R84" s="7">
        <v>0.0656854327142264</v>
      </c>
      <c r="S84" s="7">
        <v>0.0760912494598801</v>
      </c>
      <c r="T84" s="7">
        <v>0.1323391918153195</v>
      </c>
    </row>
    <row x14ac:dyDescent="0.25" r="85" customHeight="1" ht="19.5">
      <c r="A85" s="2" t="s">
        <v>2397</v>
      </c>
      <c r="B85" s="2" t="s">
        <v>2314</v>
      </c>
      <c r="C85" s="2" t="s">
        <v>31</v>
      </c>
      <c r="D85" s="2" t="s">
        <v>32</v>
      </c>
      <c r="E85" s="6">
        <v>1</v>
      </c>
      <c r="F85" s="6">
        <v>1</v>
      </c>
      <c r="G85" s="7">
        <v>0.4612514078617096</v>
      </c>
      <c r="H85" s="7">
        <v>4.834740625</v>
      </c>
      <c r="I85" s="7">
        <v>12.97793147965083</v>
      </c>
      <c r="J85" s="7">
        <v>5.728334340313284</v>
      </c>
      <c r="K85" s="7">
        <v>0.962321533717932</v>
      </c>
      <c r="L85" s="7">
        <v>0.9878035592619648</v>
      </c>
      <c r="M85" s="7">
        <v>0.3607215514968973</v>
      </c>
      <c r="N85" s="7">
        <v>0.3043077853872037</v>
      </c>
      <c r="O85" s="7">
        <v>0.1378482488410766</v>
      </c>
      <c r="P85" s="7">
        <v>8.724365894923164</v>
      </c>
      <c r="Q85" s="7">
        <v>0.0234290374505382</v>
      </c>
      <c r="R85" s="7">
        <v>0.0671976618492848</v>
      </c>
      <c r="S85" s="7">
        <v>0.0773682562728313</v>
      </c>
      <c r="T85" s="7">
        <v>0.131467500653972</v>
      </c>
    </row>
    <row x14ac:dyDescent="0.25" r="86" customHeight="1" ht="19.5">
      <c r="A86" s="2" t="s">
        <v>2398</v>
      </c>
      <c r="B86" s="2" t="s">
        <v>2314</v>
      </c>
      <c r="C86" s="2" t="s">
        <v>31</v>
      </c>
      <c r="D86" s="2" t="s">
        <v>32</v>
      </c>
      <c r="E86" s="6">
        <v>1</v>
      </c>
      <c r="F86" s="6">
        <v>1</v>
      </c>
      <c r="G86" s="7">
        <v>0.4404177963733673</v>
      </c>
      <c r="H86" s="7">
        <v>4.879763281250001</v>
      </c>
      <c r="I86" s="7">
        <v>12.88042618774315</v>
      </c>
      <c r="J86" s="7">
        <v>5.672148636098211</v>
      </c>
      <c r="K86" s="7">
        <v>0.961167128573282</v>
      </c>
      <c r="L86" s="7">
        <v>0.98723114125811</v>
      </c>
      <c r="M86" s="7">
        <v>0.3696137783731548</v>
      </c>
      <c r="N86" s="7">
        <v>0.3042778167683177</v>
      </c>
      <c r="O86" s="7">
        <v>0.1320980591329765</v>
      </c>
      <c r="P86" s="7">
        <v>8.754931856251474</v>
      </c>
      <c r="Q86" s="7">
        <v>0.023186031027167</v>
      </c>
      <c r="R86" s="7">
        <v>0.067284629913977</v>
      </c>
      <c r="S86" s="7">
        <v>0.0764388148781166</v>
      </c>
      <c r="T86" s="7">
        <v>0.1313154866590901</v>
      </c>
    </row>
    <row x14ac:dyDescent="0.25" r="87" customHeight="1" ht="19.5">
      <c r="A87" s="2" t="s">
        <v>2399</v>
      </c>
      <c r="B87" s="2" t="s">
        <v>2314</v>
      </c>
      <c r="C87" s="2" t="s">
        <v>31</v>
      </c>
      <c r="D87" s="2" t="s">
        <v>32</v>
      </c>
      <c r="E87" s="6">
        <v>1</v>
      </c>
      <c r="F87" s="6">
        <v>1</v>
      </c>
      <c r="G87" s="7">
        <v>0.4713193774223327</v>
      </c>
      <c r="H87" s="7">
        <v>4.862446875000001</v>
      </c>
      <c r="I87" s="7">
        <v>12.88042618774315</v>
      </c>
      <c r="J87" s="7">
        <v>5.731129239630642</v>
      </c>
      <c r="K87" s="7">
        <v>0.9103798798942582</v>
      </c>
      <c r="L87" s="7">
        <v>0.9877712990724132</v>
      </c>
      <c r="M87" s="7">
        <v>0.3683021609907093</v>
      </c>
      <c r="N87" s="7">
        <v>0.3057027258317163</v>
      </c>
      <c r="O87" s="7">
        <v>0.1360250204340758</v>
      </c>
      <c r="P87" s="7">
        <v>8.742574384417393</v>
      </c>
      <c r="Q87" s="7">
        <v>0.0234310561020454</v>
      </c>
      <c r="R87" s="7">
        <v>0.067448814601489</v>
      </c>
      <c r="S87" s="7">
        <v>0.0831553867682547</v>
      </c>
      <c r="T87" s="7">
        <v>0.1322322882574301</v>
      </c>
    </row>
    <row x14ac:dyDescent="0.25" r="88" customHeight="1" ht="19.5">
      <c r="A88" s="2" t="s">
        <v>2400</v>
      </c>
      <c r="B88" s="2" t="s">
        <v>2314</v>
      </c>
      <c r="C88" s="2" t="s">
        <v>31</v>
      </c>
      <c r="D88" s="2" t="s">
        <v>32</v>
      </c>
      <c r="E88" s="6">
        <v>1</v>
      </c>
      <c r="F88" s="6">
        <v>1</v>
      </c>
      <c r="G88" s="7">
        <v>0.4479363858699798</v>
      </c>
      <c r="H88" s="7">
        <v>4.897079687500001</v>
      </c>
      <c r="I88" s="7">
        <v>12.84595286118841</v>
      </c>
      <c r="J88" s="7">
        <v>5.731384057339443</v>
      </c>
      <c r="K88" s="7">
        <v>0.9166809135128684</v>
      </c>
      <c r="L88" s="7">
        <v>0.9875694251055076</v>
      </c>
      <c r="M88" s="7">
        <v>0.3729188936358308</v>
      </c>
      <c r="N88" s="7">
        <v>0.3014175638866181</v>
      </c>
      <c r="O88" s="7">
        <v>0.1336540853121402</v>
      </c>
      <c r="P88" s="7">
        <v>8.745959622749744</v>
      </c>
      <c r="Q88" s="7">
        <v>0.0236326495622851</v>
      </c>
      <c r="R88" s="7">
        <v>0.0681548946847977</v>
      </c>
      <c r="S88" s="7">
        <v>0.0802573512936731</v>
      </c>
      <c r="T88" s="7">
        <v>0.1343199019916256</v>
      </c>
    </row>
    <row x14ac:dyDescent="0.25" r="89" customHeight="1" ht="19.5">
      <c r="A89" s="2" t="s">
        <v>2401</v>
      </c>
      <c r="B89" s="2" t="s">
        <v>2314</v>
      </c>
      <c r="C89" s="2" t="s">
        <v>31</v>
      </c>
      <c r="D89" s="2" t="s">
        <v>32</v>
      </c>
      <c r="E89" s="6">
        <v>1</v>
      </c>
      <c r="F89" s="6">
        <v>1</v>
      </c>
      <c r="G89" s="7">
        <v>0.4973924458026886</v>
      </c>
      <c r="H89" s="7">
        <v>4.7308421875</v>
      </c>
      <c r="I89" s="7">
        <v>12.84595286118841</v>
      </c>
      <c r="J89" s="7">
        <v>5.729838831347008</v>
      </c>
      <c r="K89" s="7">
        <v>0.9148317345296622</v>
      </c>
      <c r="L89" s="7">
        <v>0.9883386460314468</v>
      </c>
      <c r="M89" s="7">
        <v>0.3602596949834123</v>
      </c>
      <c r="N89" s="7">
        <v>0.2858515600733585</v>
      </c>
      <c r="O89" s="7">
        <v>0.1101205764149296</v>
      </c>
      <c r="P89" s="7">
        <v>8.887198316743168</v>
      </c>
      <c r="Q89" s="7">
        <v>0.0252197304343118</v>
      </c>
      <c r="R89" s="7">
        <v>0.0685257461143754</v>
      </c>
      <c r="S89" s="7">
        <v>0.0780819959488102</v>
      </c>
      <c r="T89" s="7">
        <v>0.138474460337013</v>
      </c>
    </row>
    <row x14ac:dyDescent="0.25" r="90" customHeight="1" ht="19.5">
      <c r="A90" s="2" t="s">
        <v>2402</v>
      </c>
      <c r="B90" s="2" t="s">
        <v>2314</v>
      </c>
      <c r="C90" s="2" t="s">
        <v>31</v>
      </c>
      <c r="D90" s="2" t="s">
        <v>32</v>
      </c>
      <c r="E90" s="6">
        <v>1</v>
      </c>
      <c r="F90" s="6">
        <v>1</v>
      </c>
      <c r="G90" s="7">
        <v>0.4188825786113739</v>
      </c>
      <c r="H90" s="7">
        <v>4.85205703125</v>
      </c>
      <c r="I90" s="7">
        <v>12.99812548680649</v>
      </c>
      <c r="J90" s="7">
        <v>5.789878808160794</v>
      </c>
      <c r="K90" s="7">
        <v>0.9117540370417772</v>
      </c>
      <c r="L90" s="7">
        <v>0.9883533560697576</v>
      </c>
      <c r="M90" s="7">
        <v>0.3608895528197243</v>
      </c>
      <c r="N90" s="7">
        <v>0.3003367585954927</v>
      </c>
      <c r="O90" s="7">
        <v>0.112929923975943</v>
      </c>
      <c r="P90" s="7">
        <v>8.807709287909196</v>
      </c>
      <c r="Q90" s="7">
        <v>0.0216049573844247</v>
      </c>
      <c r="R90" s="7">
        <v>0.0617325171335044</v>
      </c>
      <c r="S90" s="7">
        <v>0.0753723219030316</v>
      </c>
      <c r="T90" s="7">
        <v>0.121666241199085</v>
      </c>
    </row>
    <row x14ac:dyDescent="0.25" r="91" customHeight="1" ht="19.5">
      <c r="A91" s="2" t="s">
        <v>2403</v>
      </c>
      <c r="B91" s="2" t="s">
        <v>2314</v>
      </c>
      <c r="C91" s="2" t="s">
        <v>31</v>
      </c>
      <c r="D91" s="2" t="s">
        <v>32</v>
      </c>
      <c r="E91" s="6">
        <v>1</v>
      </c>
      <c r="F91" s="6">
        <v>1</v>
      </c>
      <c r="G91" s="7">
        <v>0.2536476552486419</v>
      </c>
      <c r="H91" s="7">
        <v>2.67018984375</v>
      </c>
      <c r="I91" s="7">
        <v>7.983358329151018</v>
      </c>
      <c r="J91" s="7">
        <v>3.305066695690865</v>
      </c>
      <c r="K91" s="7">
        <v>0.8619129693804073</v>
      </c>
      <c r="L91" s="7">
        <v>0.9677250879570504</v>
      </c>
      <c r="M91" s="7">
        <v>0.5264786426563196</v>
      </c>
      <c r="N91" s="7">
        <v>0.3359645345102249</v>
      </c>
      <c r="O91" s="7">
        <v>0.08118293244228</v>
      </c>
      <c r="P91" s="7">
        <v>8.220309567139356</v>
      </c>
      <c r="Q91" s="7">
        <v>0.0213629182904582</v>
      </c>
      <c r="R91" s="7">
        <v>0.0527487873537161</v>
      </c>
      <c r="S91" s="7">
        <v>0.0610386846997024</v>
      </c>
      <c r="T91" s="7">
        <v>0.0662054130078535</v>
      </c>
    </row>
    <row x14ac:dyDescent="0.25" r="92" customHeight="1" ht="19.5">
      <c r="A92" s="2" t="s">
        <v>2404</v>
      </c>
      <c r="B92" s="2" t="s">
        <v>2314</v>
      </c>
      <c r="C92" s="2" t="s">
        <v>31</v>
      </c>
      <c r="D92" s="2" t="s">
        <v>32</v>
      </c>
      <c r="E92" s="6">
        <v>1</v>
      </c>
      <c r="F92" s="6">
        <v>1</v>
      </c>
      <c r="G92" s="7">
        <v>0.3052453398704529</v>
      </c>
      <c r="H92" s="7">
        <v>5.444278125</v>
      </c>
      <c r="I92" s="7">
        <v>12.61055426306174</v>
      </c>
      <c r="J92" s="7">
        <v>5.492292470789495</v>
      </c>
      <c r="K92" s="7">
        <v>1.130298658522147</v>
      </c>
      <c r="L92" s="7">
        <v>0.9804534054154296</v>
      </c>
      <c r="M92" s="7">
        <v>0.4302113034123011</v>
      </c>
      <c r="N92" s="7">
        <v>0.4099643453050559</v>
      </c>
      <c r="O92" s="7">
        <v>0.1161273863474775</v>
      </c>
      <c r="P92" s="7">
        <v>8.173737163020522</v>
      </c>
      <c r="Q92" s="7">
        <v>0.0014683959882433</v>
      </c>
      <c r="R92" s="7">
        <v>0.0112634308669581</v>
      </c>
      <c r="S92" s="7">
        <v>0.0229547805198568</v>
      </c>
      <c r="T92" s="7">
        <v>0.0092784252382868</v>
      </c>
    </row>
    <row x14ac:dyDescent="0.25" r="93" customHeight="1" ht="19.5">
      <c r="A93" s="2" t="s">
        <v>2405</v>
      </c>
      <c r="B93" s="2" t="s">
        <v>2314</v>
      </c>
      <c r="C93" s="2" t="s">
        <v>31</v>
      </c>
      <c r="D93" s="2" t="s">
        <v>32</v>
      </c>
      <c r="E93" s="6">
        <v>1</v>
      </c>
      <c r="F93" s="6">
        <v>1</v>
      </c>
      <c r="G93" s="7">
        <v>0.4479483067989349</v>
      </c>
      <c r="H93" s="7">
        <v>5.2434078125</v>
      </c>
      <c r="I93" s="7">
        <v>12.69587139348096</v>
      </c>
      <c r="J93" s="7">
        <v>5.488085247812177</v>
      </c>
      <c r="K93" s="7">
        <v>1.10367088517791</v>
      </c>
      <c r="L93" s="7">
        <v>0.9818097493175104</v>
      </c>
      <c r="M93" s="7">
        <v>0.4087883137765041</v>
      </c>
      <c r="N93" s="7">
        <v>0.3385543974599227</v>
      </c>
      <c r="O93" s="7">
        <v>0.128933086007519</v>
      </c>
      <c r="P93" s="7">
        <v>8.555249010189488</v>
      </c>
      <c r="Q93" s="7">
        <v>0.0082137284255324</v>
      </c>
      <c r="R93" s="7">
        <v>0.0334662755094336</v>
      </c>
      <c r="S93" s="7">
        <v>0.0448181288037963</v>
      </c>
      <c r="T93" s="7">
        <v>0.0499855823715652</v>
      </c>
    </row>
    <row x14ac:dyDescent="0.25" r="94" customHeight="1" ht="19.5">
      <c r="A94" s="2" t="s">
        <v>2406</v>
      </c>
      <c r="B94" s="2" t="s">
        <v>2314</v>
      </c>
      <c r="C94" s="2" t="s">
        <v>31</v>
      </c>
      <c r="D94" s="2" t="s">
        <v>32</v>
      </c>
      <c r="E94" s="6">
        <v>1</v>
      </c>
      <c r="F94" s="6">
        <v>1</v>
      </c>
      <c r="G94" s="7">
        <v>0.4748090803623199</v>
      </c>
      <c r="H94" s="7">
        <v>5.14297265625</v>
      </c>
      <c r="I94" s="7">
        <v>12.87451149998659</v>
      </c>
      <c r="J94" s="7">
        <v>5.611779032959673</v>
      </c>
      <c r="K94" s="7">
        <v>1.051228453000628</v>
      </c>
      <c r="L94" s="7">
        <v>0.9842946577131968</v>
      </c>
      <c r="M94" s="7">
        <v>0.3899083719782991</v>
      </c>
      <c r="N94" s="7">
        <v>0.3038005813786679</v>
      </c>
      <c r="O94" s="7">
        <v>0.1274935422649378</v>
      </c>
      <c r="P94" s="7">
        <v>8.833049879506325</v>
      </c>
      <c r="Q94" s="7">
        <v>0.0169777907986347</v>
      </c>
      <c r="R94" s="7">
        <v>0.0556376334354503</v>
      </c>
      <c r="S94" s="7">
        <v>0.0652567675681541</v>
      </c>
      <c r="T94" s="7">
        <v>0.101341230498264</v>
      </c>
    </row>
    <row x14ac:dyDescent="0.25" r="95" customHeight="1" ht="19.5">
      <c r="A95" s="2" t="s">
        <v>2407</v>
      </c>
      <c r="B95" s="2" t="s">
        <v>2314</v>
      </c>
      <c r="C95" s="2" t="s">
        <v>31</v>
      </c>
      <c r="D95" s="2" t="s">
        <v>32</v>
      </c>
      <c r="E95" s="6">
        <v>1</v>
      </c>
      <c r="F95" s="6">
        <v>1</v>
      </c>
      <c r="G95" s="7">
        <v>0.4588024914264679</v>
      </c>
      <c r="H95" s="7">
        <v>4.99058828125</v>
      </c>
      <c r="I95" s="7">
        <v>12.70805955496942</v>
      </c>
      <c r="J95" s="7">
        <v>5.553437825758984</v>
      </c>
      <c r="K95" s="7">
        <v>1.030201025104447</v>
      </c>
      <c r="L95" s="7">
        <v>0.9845829983287402</v>
      </c>
      <c r="M95" s="7">
        <v>0.3883319500321709</v>
      </c>
      <c r="N95" s="7">
        <v>0.294351728323028</v>
      </c>
      <c r="O95" s="7">
        <v>0.1367858615181799</v>
      </c>
      <c r="P95" s="7">
        <v>8.895032627812533</v>
      </c>
      <c r="Q95" s="7">
        <v>0.0222331768719512</v>
      </c>
      <c r="R95" s="7">
        <v>0.0686420802293433</v>
      </c>
      <c r="S95" s="7">
        <v>0.0787067359362754</v>
      </c>
      <c r="T95" s="7">
        <v>0.128778702619741</v>
      </c>
    </row>
    <row x14ac:dyDescent="0.25" r="96" customHeight="1" ht="19.5">
      <c r="A96" s="2" t="s">
        <v>2408</v>
      </c>
      <c r="B96" s="2" t="s">
        <v>2314</v>
      </c>
      <c r="C96" s="2" t="s">
        <v>31</v>
      </c>
      <c r="D96" s="2" t="s">
        <v>32</v>
      </c>
      <c r="E96" s="6">
        <v>1</v>
      </c>
      <c r="F96" s="6">
        <v>1</v>
      </c>
      <c r="G96" s="7">
        <v>0.4542967081069946</v>
      </c>
      <c r="H96" s="7">
        <v>4.8278140625</v>
      </c>
      <c r="I96" s="7">
        <v>12.74253288152417</v>
      </c>
      <c r="J96" s="7">
        <v>5.6656140457808</v>
      </c>
      <c r="K96" s="7">
        <v>0.9393725384452394</v>
      </c>
      <c r="L96" s="7">
        <v>0.9867859163863828</v>
      </c>
      <c r="M96" s="7">
        <v>0.373636137231403</v>
      </c>
      <c r="N96" s="7">
        <v>0.2670662097159234</v>
      </c>
      <c r="O96" s="7">
        <v>0.0982376436597408</v>
      </c>
      <c r="P96" s="7">
        <v>9.11964755280382</v>
      </c>
      <c r="Q96" s="7">
        <v>0.0241161613809076</v>
      </c>
      <c r="R96" s="7">
        <v>0.0696774961431342</v>
      </c>
      <c r="S96" s="7">
        <v>0.0799959132064986</v>
      </c>
      <c r="T96" s="7">
        <v>0.1351292906258362</v>
      </c>
    </row>
    <row x14ac:dyDescent="0.25" r="97" customHeight="1" ht="19.5">
      <c r="A97" s="2" t="s">
        <v>2409</v>
      </c>
      <c r="B97" s="2" t="s">
        <v>2314</v>
      </c>
      <c r="C97" s="2" t="s">
        <v>31</v>
      </c>
      <c r="D97" s="2" t="s">
        <v>32</v>
      </c>
      <c r="E97" s="6">
        <v>1</v>
      </c>
      <c r="F97" s="6">
        <v>1</v>
      </c>
      <c r="G97" s="7">
        <v>0.4726297557353973</v>
      </c>
      <c r="H97" s="7">
        <v>5.0356109375</v>
      </c>
      <c r="I97" s="7">
        <v>12.97201679189427</v>
      </c>
      <c r="J97" s="7">
        <v>5.665021214649096</v>
      </c>
      <c r="K97" s="7">
        <v>1.031764798151022</v>
      </c>
      <c r="L97" s="7">
        <v>0.9852532140303352</v>
      </c>
      <c r="M97" s="7">
        <v>0.3760512423918039</v>
      </c>
      <c r="N97" s="7">
        <v>0.2985483627487348</v>
      </c>
      <c r="O97" s="7">
        <v>0.1454705792757795</v>
      </c>
      <c r="P97" s="7">
        <v>8.819370385276429</v>
      </c>
      <c r="Q97" s="7">
        <v>0.0225543907425964</v>
      </c>
      <c r="R97" s="7">
        <v>0.069472918214421</v>
      </c>
      <c r="S97" s="7">
        <v>0.0792016066857273</v>
      </c>
      <c r="T97" s="7">
        <v>0.131817796722159</v>
      </c>
    </row>
    <row x14ac:dyDescent="0.25" r="98" customHeight="1" ht="19.5">
      <c r="A98" s="2" t="s">
        <v>2410</v>
      </c>
      <c r="B98" s="2" t="s">
        <v>2314</v>
      </c>
      <c r="C98" s="2" t="s">
        <v>31</v>
      </c>
      <c r="D98" s="2" t="s">
        <v>32</v>
      </c>
      <c r="E98" s="6">
        <v>1</v>
      </c>
      <c r="F98" s="6">
        <v>1</v>
      </c>
      <c r="G98" s="7">
        <v>0.4726574420928955</v>
      </c>
      <c r="H98" s="7">
        <v>5.15682578125</v>
      </c>
      <c r="I98" s="7">
        <v>13.04096344500376</v>
      </c>
      <c r="J98" s="7">
        <v>5.729529035854825</v>
      </c>
      <c r="K98" s="7">
        <v>1.029937890199969</v>
      </c>
      <c r="L98" s="7">
        <v>0.9851831572243904</v>
      </c>
      <c r="M98" s="7">
        <v>0.3810421055623678</v>
      </c>
      <c r="N98" s="7">
        <v>0.2937007558665014</v>
      </c>
      <c r="O98" s="7">
        <v>0.1365504359711432</v>
      </c>
      <c r="P98" s="7">
        <v>8.91766635266637</v>
      </c>
      <c r="Q98" s="7">
        <v>0.0213694332262196</v>
      </c>
      <c r="R98" s="7">
        <v>0.0668272341850948</v>
      </c>
      <c r="S98" s="7">
        <v>0.0759723086096393</v>
      </c>
      <c r="T98" s="7">
        <v>0.1278987332622098</v>
      </c>
    </row>
    <row x14ac:dyDescent="0.25" r="99" customHeight="1" ht="19.5">
      <c r="A99" s="2" t="s">
        <v>2411</v>
      </c>
      <c r="B99" s="2" t="s">
        <v>2314</v>
      </c>
      <c r="C99" s="2" t="s">
        <v>31</v>
      </c>
      <c r="D99" s="2" t="s">
        <v>32</v>
      </c>
      <c r="E99" s="6">
        <v>1</v>
      </c>
      <c r="F99" s="6">
        <v>1</v>
      </c>
      <c r="G99" s="7">
        <v>0.4563025534152984</v>
      </c>
      <c r="H99" s="7">
        <v>5.05292734375</v>
      </c>
      <c r="I99" s="7">
        <v>12.99221079904993</v>
      </c>
      <c r="J99" s="7">
        <v>5.780576861730543</v>
      </c>
      <c r="K99" s="7">
        <v>0.9927273527212732</v>
      </c>
      <c r="L99" s="7">
        <v>0.9863488403757042</v>
      </c>
      <c r="M99" s="7">
        <v>0.3761722898609164</v>
      </c>
      <c r="N99" s="7">
        <v>0.2811383980145118</v>
      </c>
      <c r="O99" s="7">
        <v>0.1163047377491516</v>
      </c>
      <c r="P99" s="7">
        <v>9.04062193018363</v>
      </c>
      <c r="Q99" s="7">
        <v>0.0222707470968443</v>
      </c>
      <c r="R99" s="7">
        <v>0.068137806478714</v>
      </c>
      <c r="S99" s="7">
        <v>0.078425446431006</v>
      </c>
      <c r="T99" s="7">
        <v>0.13060765133379</v>
      </c>
    </row>
    <row x14ac:dyDescent="0.25" r="100" customHeight="1" ht="19.5">
      <c r="A100" s="2" t="s">
        <v>2412</v>
      </c>
      <c r="B100" s="2" t="s">
        <v>2314</v>
      </c>
      <c r="C100" s="2" t="s">
        <v>31</v>
      </c>
      <c r="D100" s="2" t="s">
        <v>32</v>
      </c>
      <c r="E100" s="6">
        <v>1</v>
      </c>
      <c r="F100" s="6">
        <v>1</v>
      </c>
      <c r="G100" s="7">
        <v>0.4693422317504883</v>
      </c>
      <c r="H100" s="7">
        <v>4.931712500000001</v>
      </c>
      <c r="I100" s="7">
        <v>12.84003817343185</v>
      </c>
      <c r="J100" s="7">
        <v>5.605541109776615</v>
      </c>
      <c r="K100" s="7">
        <v>1.030988024322097</v>
      </c>
      <c r="L100" s="7">
        <v>0.9853091480240126</v>
      </c>
      <c r="M100" s="7">
        <v>0.3759023018946977</v>
      </c>
      <c r="N100" s="7">
        <v>0.3102773301831991</v>
      </c>
      <c r="O100" s="7">
        <v>0.1552492842784829</v>
      </c>
      <c r="P100" s="7">
        <v>8.737637807706129</v>
      </c>
      <c r="Q100" s="7">
        <v>0.0225713495871926</v>
      </c>
      <c r="R100" s="7">
        <v>0.0685705205186068</v>
      </c>
      <c r="S100" s="7">
        <v>0.0779770247037208</v>
      </c>
      <c r="T100" s="7">
        <v>0.1291951047008078</v>
      </c>
    </row>
    <row x14ac:dyDescent="0.25" r="101" customHeight="1" ht="19.5">
      <c r="A101" s="2" t="s">
        <v>2413</v>
      </c>
      <c r="B101" s="2" t="s">
        <v>2314</v>
      </c>
      <c r="C101" s="2" t="s">
        <v>31</v>
      </c>
      <c r="D101" s="2" t="s">
        <v>32</v>
      </c>
      <c r="E101" s="6">
        <v>1</v>
      </c>
      <c r="F101" s="6">
        <v>1</v>
      </c>
      <c r="G101" s="7">
        <v>0.4516913592815399</v>
      </c>
      <c r="H101" s="7">
        <v>5.03214765625</v>
      </c>
      <c r="I101" s="7">
        <v>13.05524276440286</v>
      </c>
      <c r="J101" s="7">
        <v>5.72531268942322</v>
      </c>
      <c r="K101" s="7">
        <v>0.9935398141916656</v>
      </c>
      <c r="L101" s="7">
        <v>0.9860962440090224</v>
      </c>
      <c r="M101" s="7">
        <v>0.3710165954920627</v>
      </c>
      <c r="N101" s="7">
        <v>0.2777782634131832</v>
      </c>
      <c r="O101" s="7">
        <v>0.1137705941395422</v>
      </c>
      <c r="P101" s="7">
        <v>9.013343659789836</v>
      </c>
      <c r="Q101" s="7">
        <v>0.0222663996376673</v>
      </c>
      <c r="R101" s="7">
        <v>0.0676869086995936</v>
      </c>
      <c r="S101" s="7">
        <v>0.0778495342619026</v>
      </c>
      <c r="T101" s="7">
        <v>0.1300451486844884</v>
      </c>
    </row>
    <row x14ac:dyDescent="0.25" r="102" customHeight="1" ht="19.5">
      <c r="A102" s="2" t="s">
        <v>2414</v>
      </c>
      <c r="B102" s="2" t="s">
        <v>2314</v>
      </c>
      <c r="C102" s="2" t="s">
        <v>31</v>
      </c>
      <c r="D102" s="2" t="s">
        <v>32</v>
      </c>
      <c r="E102" s="6">
        <v>1</v>
      </c>
      <c r="F102" s="6">
        <v>1</v>
      </c>
      <c r="G102" s="7">
        <v>0.454096257686615</v>
      </c>
      <c r="H102" s="7">
        <v>5.01829453125</v>
      </c>
      <c r="I102" s="7">
        <v>12.99221079904992</v>
      </c>
      <c r="J102" s="7">
        <v>5.727736498997369</v>
      </c>
      <c r="K102" s="7">
        <v>0.9929166127026304</v>
      </c>
      <c r="L102" s="7">
        <v>0.9864914570494804</v>
      </c>
      <c r="M102" s="7">
        <v>0.373594001376606</v>
      </c>
      <c r="N102" s="7">
        <v>0.2815330763548279</v>
      </c>
      <c r="O102" s="7">
        <v>0.1162724497611886</v>
      </c>
      <c r="P102" s="7">
        <v>9.024204772079766</v>
      </c>
      <c r="Q102" s="7">
        <v>0.0221525469384997</v>
      </c>
      <c r="R102" s="7">
        <v>0.0677678802645666</v>
      </c>
      <c r="S102" s="7">
        <v>0.0766529694042088</v>
      </c>
      <c r="T102" s="7">
        <v>0.1290240269984851</v>
      </c>
    </row>
    <row x14ac:dyDescent="0.25" r="103" customHeight="1" ht="19.5">
      <c r="A103" s="2" t="s">
        <v>2415</v>
      </c>
      <c r="B103" s="2" t="s">
        <v>2314</v>
      </c>
      <c r="C103" s="2" t="s">
        <v>31</v>
      </c>
      <c r="D103" s="2" t="s">
        <v>32</v>
      </c>
      <c r="E103" s="6">
        <v>1</v>
      </c>
      <c r="F103" s="6">
        <v>1</v>
      </c>
      <c r="G103" s="7">
        <v>0.4483491480350494</v>
      </c>
      <c r="H103" s="7">
        <v>4.987125000000001</v>
      </c>
      <c r="I103" s="7">
        <v>12.86859681223003</v>
      </c>
      <c r="J103" s="7">
        <v>5.607436236808153</v>
      </c>
      <c r="K103" s="7">
        <v>1.043628733823632</v>
      </c>
      <c r="L103" s="7">
        <v>0.9851742312573644</v>
      </c>
      <c r="M103" s="7">
        <v>0.3784406061871337</v>
      </c>
      <c r="N103" s="7">
        <v>0.3058236119513906</v>
      </c>
      <c r="O103" s="7">
        <v>0.1458771872880367</v>
      </c>
      <c r="P103" s="7">
        <v>8.795072507861521</v>
      </c>
      <c r="Q103" s="7">
        <v>0.0224434983273513</v>
      </c>
      <c r="R103" s="7">
        <v>0.0676455914523782</v>
      </c>
      <c r="S103" s="7">
        <v>0.0795979064232257</v>
      </c>
      <c r="T103" s="7">
        <v>0.1299067106800693</v>
      </c>
    </row>
    <row x14ac:dyDescent="0.25" r="104" customHeight="1" ht="19.5">
      <c r="A104" s="2" t="s">
        <v>2416</v>
      </c>
      <c r="B104" s="2" t="s">
        <v>2314</v>
      </c>
      <c r="C104" s="2" t="s">
        <v>31</v>
      </c>
      <c r="D104" s="2" t="s">
        <v>32</v>
      </c>
      <c r="E104" s="6">
        <v>1</v>
      </c>
      <c r="F104" s="6">
        <v>1</v>
      </c>
      <c r="G104" s="7">
        <v>0.4803194403648376</v>
      </c>
      <c r="H104" s="7">
        <v>5.056390625000001</v>
      </c>
      <c r="I104" s="7">
        <v>13.06952208380195</v>
      </c>
      <c r="J104" s="7">
        <v>5.670362182892061</v>
      </c>
      <c r="K104" s="7">
        <v>1.043878948861377</v>
      </c>
      <c r="L104" s="7">
        <v>0.9854217452403856</v>
      </c>
      <c r="M104" s="7">
        <v>0.3719898308037025</v>
      </c>
      <c r="N104" s="7">
        <v>0.3015521386575773</v>
      </c>
      <c r="O104" s="7">
        <v>0.1450921684789523</v>
      </c>
      <c r="P104" s="7">
        <v>8.846413588420315</v>
      </c>
      <c r="Q104" s="7">
        <v>0.0221797963170434</v>
      </c>
      <c r="R104" s="7">
        <v>0.0678505740916453</v>
      </c>
      <c r="S104" s="7">
        <v>0.0803206780106512</v>
      </c>
      <c r="T104" s="7">
        <v>0.1301634200214168</v>
      </c>
    </row>
    <row x14ac:dyDescent="0.25" r="105" customHeight="1" ht="19.5">
      <c r="A105" s="2" t="s">
        <v>2417</v>
      </c>
      <c r="B105" s="2" t="s">
        <v>2314</v>
      </c>
      <c r="C105" s="2" t="s">
        <v>31</v>
      </c>
      <c r="D105" s="2" t="s">
        <v>32</v>
      </c>
      <c r="E105" s="6">
        <v>1</v>
      </c>
      <c r="F105" s="6">
        <v>1</v>
      </c>
      <c r="G105" s="7">
        <v>0.4412409365177154</v>
      </c>
      <c r="H105" s="7">
        <v>5.01136796875</v>
      </c>
      <c r="I105" s="7">
        <v>12.90307013878478</v>
      </c>
      <c r="J105" s="7">
        <v>5.609398599258901</v>
      </c>
      <c r="K105" s="7">
        <v>1.045657111714176</v>
      </c>
      <c r="L105" s="7">
        <v>0.9848370604747284</v>
      </c>
      <c r="M105" s="7">
        <v>0.3782509615701918</v>
      </c>
      <c r="N105" s="7">
        <v>0.3022137899245435</v>
      </c>
      <c r="O105" s="7">
        <v>0.1455280170215128</v>
      </c>
      <c r="P105" s="7">
        <v>8.827217565921451</v>
      </c>
      <c r="Q105" s="7">
        <v>0.021807672923384</v>
      </c>
      <c r="R105" s="7">
        <v>0.0672749783994812</v>
      </c>
      <c r="S105" s="7">
        <v>0.0754150448765033</v>
      </c>
      <c r="T105" s="7">
        <v>0.1268400480057268</v>
      </c>
    </row>
    <row x14ac:dyDescent="0.25" r="106" customHeight="1" ht="19.5">
      <c r="A106" s="2" t="s">
        <v>2418</v>
      </c>
      <c r="B106" s="2" t="s">
        <v>2314</v>
      </c>
      <c r="C106" s="2" t="s">
        <v>31</v>
      </c>
      <c r="D106" s="2" t="s">
        <v>32</v>
      </c>
      <c r="E106" s="6">
        <v>1</v>
      </c>
      <c r="F106" s="6">
        <v>1</v>
      </c>
      <c r="G106" s="7">
        <v>0.4505845010280609</v>
      </c>
      <c r="H106" s="7">
        <v>4.969808593750001</v>
      </c>
      <c r="I106" s="7">
        <v>12.95773747249518</v>
      </c>
      <c r="J106" s="7">
        <v>5.669829611750631</v>
      </c>
      <c r="K106" s="7">
        <v>0.987710081832642</v>
      </c>
      <c r="L106" s="7">
        <v>0.9862891689043513</v>
      </c>
      <c r="M106" s="7">
        <v>0.3719556612964795</v>
      </c>
      <c r="N106" s="7">
        <v>0.2790142774661117</v>
      </c>
      <c r="O106" s="7">
        <v>0.117434799315343</v>
      </c>
      <c r="P106" s="7">
        <v>9.019823708014066</v>
      </c>
      <c r="Q106" s="7">
        <v>0.0224130556065112</v>
      </c>
      <c r="R106" s="7">
        <v>0.0674995310425272</v>
      </c>
      <c r="S106" s="7">
        <v>0.0802021949164835</v>
      </c>
      <c r="T106" s="7">
        <v>0.1292800499997606</v>
      </c>
    </row>
    <row x14ac:dyDescent="0.25" r="107" customHeight="1" ht="19.5">
      <c r="A107" s="2" t="s">
        <v>2419</v>
      </c>
      <c r="B107" s="2" t="s">
        <v>2314</v>
      </c>
      <c r="C107" s="2" t="s">
        <v>31</v>
      </c>
      <c r="D107" s="2" t="s">
        <v>32</v>
      </c>
      <c r="E107" s="6">
        <v>1</v>
      </c>
      <c r="F107" s="6">
        <v>1</v>
      </c>
      <c r="G107" s="7">
        <v>0.4593064785003662</v>
      </c>
      <c r="H107" s="7">
        <v>5.039074218750001</v>
      </c>
      <c r="I107" s="7">
        <v>12.84003817343184</v>
      </c>
      <c r="J107" s="7">
        <v>5.666210119331633</v>
      </c>
      <c r="K107" s="7">
        <v>1.00550752950127</v>
      </c>
      <c r="L107" s="7">
        <v>0.9853670952097372</v>
      </c>
      <c r="M107" s="7">
        <v>0.3840855682983042</v>
      </c>
      <c r="N107" s="7">
        <v>0.2711299536403142</v>
      </c>
      <c r="O107" s="7">
        <v>0.1076210399972399</v>
      </c>
      <c r="P107" s="7">
        <v>9.065395624889252</v>
      </c>
      <c r="Q107" s="7">
        <v>0.0216680905225723</v>
      </c>
      <c r="R107" s="7">
        <v>0.0667644057278275</v>
      </c>
      <c r="S107" s="7">
        <v>0.0763736729266428</v>
      </c>
      <c r="T107" s="7">
        <v>0.1267249639371223</v>
      </c>
    </row>
    <row x14ac:dyDescent="0.25" r="108" customHeight="1" ht="19.5">
      <c r="A108" s="2" t="s">
        <v>2420</v>
      </c>
      <c r="B108" s="2" t="s">
        <v>2314</v>
      </c>
      <c r="C108" s="2" t="s">
        <v>31</v>
      </c>
      <c r="D108" s="2" t="s">
        <v>32</v>
      </c>
      <c r="E108" s="6">
        <v>1</v>
      </c>
      <c r="F108" s="6">
        <v>1</v>
      </c>
      <c r="G108" s="7">
        <v>0.4494865834712982</v>
      </c>
      <c r="H108" s="7">
        <v>5.0356109375</v>
      </c>
      <c r="I108" s="7">
        <v>12.97201679189427</v>
      </c>
      <c r="J108" s="7">
        <v>5.667517751937833</v>
      </c>
      <c r="K108" s="7">
        <v>1.001599973044084</v>
      </c>
      <c r="L108" s="7">
        <v>0.985619629034668</v>
      </c>
      <c r="M108" s="7">
        <v>0.3760512423918039</v>
      </c>
      <c r="N108" s="7">
        <v>0.2738987132927059</v>
      </c>
      <c r="O108" s="7">
        <v>0.1079751064211644</v>
      </c>
      <c r="P108" s="7">
        <v>9.080580618698196</v>
      </c>
      <c r="Q108" s="7">
        <v>0.0220510246598925</v>
      </c>
      <c r="R108" s="7">
        <v>0.0675076889799397</v>
      </c>
      <c r="S108" s="7">
        <v>0.0781997043192356</v>
      </c>
      <c r="T108" s="7">
        <v>0.1288759035571451</v>
      </c>
    </row>
    <row x14ac:dyDescent="0.25" r="109" customHeight="1" ht="19.5">
      <c r="A109" s="2" t="s">
        <v>2421</v>
      </c>
      <c r="B109" s="2" t="s">
        <v>2314</v>
      </c>
      <c r="C109" s="2" t="s">
        <v>31</v>
      </c>
      <c r="D109" s="2" t="s">
        <v>32</v>
      </c>
      <c r="E109" s="6">
        <v>1</v>
      </c>
      <c r="F109" s="6">
        <v>1</v>
      </c>
      <c r="G109" s="7">
        <v>0.4834055006504059</v>
      </c>
      <c r="H109" s="7">
        <v>4.90746953125</v>
      </c>
      <c r="I109" s="7">
        <v>12.72233887436851</v>
      </c>
      <c r="J109" s="7">
        <v>5.610208577361888</v>
      </c>
      <c r="K109" s="7">
        <v>0.9809545289956112</v>
      </c>
      <c r="L109" s="7">
        <v>0.9860396596774802</v>
      </c>
      <c r="M109" s="7">
        <v>0.3810075285596707</v>
      </c>
      <c r="N109" s="7">
        <v>0.2738737378008927</v>
      </c>
      <c r="O109" s="7">
        <v>0.1158367267857286</v>
      </c>
      <c r="P109" s="7">
        <v>9.024528799433115</v>
      </c>
      <c r="Q109" s="7">
        <v>0.0226430641290107</v>
      </c>
      <c r="R109" s="7">
        <v>0.0680120398995142</v>
      </c>
      <c r="S109" s="7">
        <v>0.077372892262825</v>
      </c>
      <c r="T109" s="7">
        <v>0.1289684821301957</v>
      </c>
    </row>
    <row x14ac:dyDescent="0.25" r="110" customHeight="1" ht="19.5">
      <c r="A110" s="2" t="s">
        <v>2422</v>
      </c>
      <c r="B110" s="2" t="s">
        <v>2314</v>
      </c>
      <c r="C110" s="2" t="s">
        <v>31</v>
      </c>
      <c r="D110" s="2" t="s">
        <v>32</v>
      </c>
      <c r="E110" s="6">
        <v>1</v>
      </c>
      <c r="F110" s="6">
        <v>1</v>
      </c>
      <c r="G110" s="7">
        <v>0.4643144607543945</v>
      </c>
      <c r="H110" s="7">
        <v>5.08063359375</v>
      </c>
      <c r="I110" s="7">
        <v>13.02076943784811</v>
      </c>
      <c r="J110" s="7">
        <v>5.670289705460318</v>
      </c>
      <c r="K110" s="7">
        <v>1.042913863872673</v>
      </c>
      <c r="L110" s="7">
        <v>0.9852530393983416</v>
      </c>
      <c r="M110" s="7">
        <v>0.3765775641336525</v>
      </c>
      <c r="N110" s="7">
        <v>0.2974111253358618</v>
      </c>
      <c r="O110" s="7">
        <v>0.1397228169320623</v>
      </c>
      <c r="P110" s="7">
        <v>8.877638191902623</v>
      </c>
      <c r="Q110" s="7">
        <v>0.0215694849555651</v>
      </c>
      <c r="R110" s="7">
        <v>0.066732938182216</v>
      </c>
      <c r="S110" s="7">
        <v>0.0783848998968778</v>
      </c>
      <c r="T110" s="7">
        <v>0.1271886713375114</v>
      </c>
    </row>
    <row x14ac:dyDescent="0.25" r="111" customHeight="1" ht="19.5">
      <c r="A111" s="2" t="s">
        <v>2423</v>
      </c>
      <c r="B111" s="2" t="s">
        <v>2314</v>
      </c>
      <c r="C111" s="2" t="s">
        <v>31</v>
      </c>
      <c r="D111" s="2" t="s">
        <v>32</v>
      </c>
      <c r="E111" s="6">
        <v>1</v>
      </c>
      <c r="F111" s="6">
        <v>1</v>
      </c>
      <c r="G111" s="7">
        <v>0.4587603509426117</v>
      </c>
      <c r="H111" s="7">
        <v>5.021757812500001</v>
      </c>
      <c r="I111" s="7">
        <v>12.92326414594043</v>
      </c>
      <c r="J111" s="7">
        <v>5.726975295416214</v>
      </c>
      <c r="K111" s="7">
        <v>0.9923181816331332</v>
      </c>
      <c r="L111" s="7">
        <v>0.9861050849854952</v>
      </c>
      <c r="M111" s="7">
        <v>0.3778515303364226</v>
      </c>
      <c r="N111" s="7">
        <v>0.2799502841055128</v>
      </c>
      <c r="O111" s="7">
        <v>0.1156437480311404</v>
      </c>
      <c r="P111" s="7">
        <v>9.019550711184252</v>
      </c>
      <c r="Q111" s="7">
        <v>0.0215980694174159</v>
      </c>
      <c r="R111" s="7">
        <v>0.0654616019087436</v>
      </c>
      <c r="S111" s="7">
        <v>0.0748218495412636</v>
      </c>
      <c r="T111" s="7">
        <v>0.1258813745885129</v>
      </c>
    </row>
    <row x14ac:dyDescent="0.25" r="112" customHeight="1" ht="19.5">
      <c r="A112" s="2" t="s">
        <v>2424</v>
      </c>
      <c r="B112" s="2" t="s">
        <v>2314</v>
      </c>
      <c r="C112" s="2" t="s">
        <v>31</v>
      </c>
      <c r="D112" s="2" t="s">
        <v>32</v>
      </c>
      <c r="E112" s="6">
        <v>1</v>
      </c>
      <c r="F112" s="6">
        <v>1</v>
      </c>
      <c r="G112" s="7">
        <v>0.4579851329326629</v>
      </c>
      <c r="H112" s="7">
        <v>5.111803125000001</v>
      </c>
      <c r="I112" s="7">
        <v>12.93754346533952</v>
      </c>
      <c r="J112" s="7">
        <v>5.666709598366969</v>
      </c>
      <c r="K112" s="7">
        <v>1.04127516002485</v>
      </c>
      <c r="L112" s="7">
        <v>0.984842510741844</v>
      </c>
      <c r="M112" s="7">
        <v>0.3837782334263764</v>
      </c>
      <c r="N112" s="7">
        <v>0.2979713065284328</v>
      </c>
      <c r="O112" s="7">
        <v>0.1368761201946965</v>
      </c>
      <c r="P112" s="7">
        <v>8.881765670118853</v>
      </c>
      <c r="Q112" s="7">
        <v>0.021223944712486</v>
      </c>
      <c r="R112" s="7">
        <v>0.0665485770081743</v>
      </c>
      <c r="S112" s="7">
        <v>0.075274985940796</v>
      </c>
      <c r="T112" s="7">
        <v>0.1259189242767039</v>
      </c>
    </row>
    <row x14ac:dyDescent="0.25" r="113" customHeight="1" ht="19.5">
      <c r="A113" s="2" t="s">
        <v>2425</v>
      </c>
      <c r="B113" s="2" t="s">
        <v>2314</v>
      </c>
      <c r="C113" s="2" t="s">
        <v>31</v>
      </c>
      <c r="D113" s="2" t="s">
        <v>32</v>
      </c>
      <c r="E113" s="6">
        <v>1</v>
      </c>
      <c r="F113" s="6">
        <v>1</v>
      </c>
      <c r="G113" s="7">
        <v>0.4729814529418945</v>
      </c>
      <c r="H113" s="7">
        <v>5.01483125</v>
      </c>
      <c r="I113" s="7">
        <v>12.93754346533952</v>
      </c>
      <c r="J113" s="7">
        <v>5.613223996450896</v>
      </c>
      <c r="K113" s="7">
        <v>1.043205236939603</v>
      </c>
      <c r="L113" s="7">
        <v>0.9851175736618152</v>
      </c>
      <c r="M113" s="7">
        <v>0.3764978875348191</v>
      </c>
      <c r="N113" s="7">
        <v>0.3046921911530851</v>
      </c>
      <c r="O113" s="7">
        <v>0.1456911620257025</v>
      </c>
      <c r="P113" s="7">
        <v>8.81957269575674</v>
      </c>
      <c r="Q113" s="7">
        <v>0.0219418901895739</v>
      </c>
      <c r="R113" s="7">
        <v>0.0675871251154364</v>
      </c>
      <c r="S113" s="7">
        <v>0.0777787887629384</v>
      </c>
      <c r="T113" s="7">
        <v>0.1277088931327214</v>
      </c>
    </row>
    <row x14ac:dyDescent="0.25" r="114" customHeight="1" ht="19.5">
      <c r="A114" s="2" t="s">
        <v>2426</v>
      </c>
      <c r="B114" s="2" t="s">
        <v>2314</v>
      </c>
      <c r="C114" s="2" t="s">
        <v>31</v>
      </c>
      <c r="D114" s="2" t="s">
        <v>32</v>
      </c>
      <c r="E114" s="6">
        <v>1</v>
      </c>
      <c r="F114" s="6">
        <v>1</v>
      </c>
      <c r="G114" s="7">
        <v>0.4606024622917175</v>
      </c>
      <c r="H114" s="7">
        <v>5.073707031250001</v>
      </c>
      <c r="I114" s="7">
        <v>12.77700620807891</v>
      </c>
      <c r="J114" s="7">
        <v>5.667573379739909</v>
      </c>
      <c r="K114" s="7">
        <v>0.9994344680161522</v>
      </c>
      <c r="L114" s="7">
        <v>0.9856055524368575</v>
      </c>
      <c r="M114" s="7">
        <v>0.3905503566578231</v>
      </c>
      <c r="N114" s="7">
        <v>0.275297645396053</v>
      </c>
      <c r="O114" s="7">
        <v>0.104180352063878</v>
      </c>
      <c r="P114" s="7">
        <v>9.08078086168046</v>
      </c>
      <c r="Q114" s="7">
        <v>0.021052695741202</v>
      </c>
      <c r="R114" s="7">
        <v>0.0647022035662825</v>
      </c>
      <c r="S114" s="7">
        <v>0.0756687264287636</v>
      </c>
      <c r="T114" s="7">
        <v>0.1239720778695703</v>
      </c>
    </row>
    <row x14ac:dyDescent="0.25" r="115" customHeight="1" ht="19.5">
      <c r="A115" s="2" t="s">
        <v>2427</v>
      </c>
      <c r="B115" s="2" t="s">
        <v>2314</v>
      </c>
      <c r="C115" s="2" t="s">
        <v>31</v>
      </c>
      <c r="D115" s="2" t="s">
        <v>32</v>
      </c>
      <c r="E115" s="6">
        <v>1</v>
      </c>
      <c r="F115" s="6">
        <v>1</v>
      </c>
      <c r="G115" s="7">
        <v>0.3553124070167541</v>
      </c>
      <c r="H115" s="7">
        <v>5.236481250000001</v>
      </c>
      <c r="I115" s="7">
        <v>12.74253288152416</v>
      </c>
      <c r="J115" s="7">
        <v>5.610001483985773</v>
      </c>
      <c r="K115" s="7">
        <v>1.062511580891446</v>
      </c>
      <c r="L115" s="7">
        <v>0.98320790644949</v>
      </c>
      <c r="M115" s="7">
        <v>0.4052638733815505</v>
      </c>
      <c r="N115" s="7">
        <v>0.386717864238112</v>
      </c>
      <c r="O115" s="7">
        <v>0.1175540029262962</v>
      </c>
      <c r="P115" s="7">
        <v>8.29841351872683</v>
      </c>
      <c r="Q115" s="7">
        <v>0.00480992614643</v>
      </c>
      <c r="R115" s="7">
        <v>0.0249283181809217</v>
      </c>
      <c r="S115" s="7">
        <v>0.0346124670403985</v>
      </c>
      <c r="T115" s="7">
        <v>0.0292326872995584</v>
      </c>
    </row>
    <row x14ac:dyDescent="0.25" r="116" customHeight="1" ht="19.5">
      <c r="A116" s="2" t="s">
        <v>2428</v>
      </c>
      <c r="B116" s="2" t="s">
        <v>2314</v>
      </c>
      <c r="C116" s="2" t="s">
        <v>31</v>
      </c>
      <c r="D116" s="2" t="s">
        <v>32</v>
      </c>
      <c r="E116" s="6">
        <v>1</v>
      </c>
      <c r="F116" s="6">
        <v>1</v>
      </c>
      <c r="G116" s="7">
        <v>0.3470325469970703</v>
      </c>
      <c r="H116" s="7">
        <v>5.1879953125</v>
      </c>
      <c r="I116" s="7">
        <v>12.65930690901558</v>
      </c>
      <c r="J116" s="7">
        <v>5.546770776891059</v>
      </c>
      <c r="K116" s="7">
        <v>1.048683647082134</v>
      </c>
      <c r="L116" s="7">
        <v>0.9830950599966142</v>
      </c>
      <c r="M116" s="7">
        <v>0.4068080902402633</v>
      </c>
      <c r="N116" s="7">
        <v>0.3361886086031543</v>
      </c>
      <c r="O116" s="7">
        <v>0.0972203971122017</v>
      </c>
      <c r="P116" s="7">
        <v>8.438803072100278</v>
      </c>
      <c r="Q116" s="7">
        <v>0.008212259853132</v>
      </c>
      <c r="R116" s="7">
        <v>0.0333861457046416</v>
      </c>
      <c r="S116" s="7">
        <v>0.0484879927072325</v>
      </c>
      <c r="T116" s="7">
        <v>0.0494484904354993</v>
      </c>
    </row>
    <row x14ac:dyDescent="0.25" r="117" customHeight="1" ht="19.5">
      <c r="A117" s="2" t="s">
        <v>2429</v>
      </c>
      <c r="B117" s="2" t="s">
        <v>2314</v>
      </c>
      <c r="C117" s="2" t="s">
        <v>31</v>
      </c>
      <c r="D117" s="2" t="s">
        <v>32</v>
      </c>
      <c r="E117" s="6">
        <v>1</v>
      </c>
      <c r="F117" s="6">
        <v>1</v>
      </c>
      <c r="G117" s="7">
        <v>0.4209730923175812</v>
      </c>
      <c r="H117" s="7">
        <v>4.99751484375</v>
      </c>
      <c r="I117" s="7">
        <v>12.55588692935134</v>
      </c>
      <c r="J117" s="7">
        <v>5.482698557806595</v>
      </c>
      <c r="K117" s="7">
        <v>1.063920434259978</v>
      </c>
      <c r="L117" s="7">
        <v>0.9834194810080756</v>
      </c>
      <c r="M117" s="7">
        <v>0.3983539837135512</v>
      </c>
      <c r="N117" s="7">
        <v>0.3002683403512484</v>
      </c>
      <c r="O117" s="7">
        <v>0.1262835410775963</v>
      </c>
      <c r="P117" s="7">
        <v>8.636491547086106</v>
      </c>
      <c r="Q117" s="7">
        <v>0.0168041876187233</v>
      </c>
      <c r="R117" s="7">
        <v>0.0574488106747009</v>
      </c>
      <c r="S117" s="7">
        <v>0.0783228184933549</v>
      </c>
      <c r="T117" s="7">
        <v>0.097468076299847</v>
      </c>
    </row>
    <row x14ac:dyDescent="0.25" r="118" customHeight="1" ht="19.5">
      <c r="A118" s="2" t="s">
        <v>2430</v>
      </c>
      <c r="B118" s="2" t="s">
        <v>2314</v>
      </c>
      <c r="C118" s="2" t="s">
        <v>31</v>
      </c>
      <c r="D118" s="2" t="s">
        <v>32</v>
      </c>
      <c r="E118" s="6">
        <v>1</v>
      </c>
      <c r="F118" s="6">
        <v>1</v>
      </c>
      <c r="G118" s="7">
        <v>0.4443954825401306</v>
      </c>
      <c r="H118" s="7">
        <v>4.79318125</v>
      </c>
      <c r="I118" s="7">
        <v>12.43818763028801</v>
      </c>
      <c r="J118" s="7">
        <v>5.484383006353967</v>
      </c>
      <c r="K118" s="7">
        <v>1.034860100522087</v>
      </c>
      <c r="L118" s="7">
        <v>0.9847161054709532</v>
      </c>
      <c r="M118" s="7">
        <v>0.3893314686766772</v>
      </c>
      <c r="N118" s="7">
        <v>0.2900221174099042</v>
      </c>
      <c r="O118" s="7">
        <v>0.1213000313937104</v>
      </c>
      <c r="P118" s="7">
        <v>8.823393655133213</v>
      </c>
      <c r="Q118" s="7">
        <v>0.0239402562840119</v>
      </c>
      <c r="R118" s="7">
        <v>0.0742576040617097</v>
      </c>
      <c r="S118" s="7">
        <v>0.0884311807475041</v>
      </c>
      <c r="T118" s="7">
        <v>0.1331813543826963</v>
      </c>
    </row>
    <row x14ac:dyDescent="0.25" r="119" customHeight="1" ht="19.5">
      <c r="A119" s="2" t="s">
        <v>2431</v>
      </c>
      <c r="B119" s="2" t="s">
        <v>2314</v>
      </c>
      <c r="C119" s="2" t="s">
        <v>31</v>
      </c>
      <c r="D119" s="2" t="s">
        <v>32</v>
      </c>
      <c r="E119" s="6">
        <v>1</v>
      </c>
      <c r="F119" s="6">
        <v>1</v>
      </c>
      <c r="G119" s="7">
        <v>0.4204728305339813</v>
      </c>
      <c r="H119" s="7">
        <v>4.917859375</v>
      </c>
      <c r="I119" s="7">
        <v>12.63911290185993</v>
      </c>
      <c r="J119" s="7">
        <v>5.543908091241954</v>
      </c>
      <c r="K119" s="7">
        <v>1.037216165159548</v>
      </c>
      <c r="L119" s="7">
        <v>0.9845364814822676</v>
      </c>
      <c r="M119" s="7">
        <v>0.3868590700051869</v>
      </c>
      <c r="N119" s="7">
        <v>0.2876440301235464</v>
      </c>
      <c r="O119" s="7">
        <v>0.115658060263548</v>
      </c>
      <c r="P119" s="7">
        <v>8.851429654962178</v>
      </c>
      <c r="Q119" s="7">
        <v>0.0228443027776696</v>
      </c>
      <c r="R119" s="7">
        <v>0.0744163171321308</v>
      </c>
      <c r="S119" s="7">
        <v>0.0917945655532388</v>
      </c>
      <c r="T119" s="7">
        <v>0.130390152647803</v>
      </c>
    </row>
    <row x14ac:dyDescent="0.25" r="120" customHeight="1" ht="19.5">
      <c r="A120" s="2" t="s">
        <v>2432</v>
      </c>
      <c r="B120" s="2" t="s">
        <v>2314</v>
      </c>
      <c r="C120" s="2" t="s">
        <v>31</v>
      </c>
      <c r="D120" s="2" t="s">
        <v>32</v>
      </c>
      <c r="E120" s="6">
        <v>1</v>
      </c>
      <c r="F120" s="6">
        <v>1</v>
      </c>
      <c r="G120" s="7">
        <v>0.4184637367725372</v>
      </c>
      <c r="H120" s="7">
        <v>4.779328125</v>
      </c>
      <c r="I120" s="7">
        <v>12.53569292219569</v>
      </c>
      <c r="J120" s="7">
        <v>5.484339042651174</v>
      </c>
      <c r="K120" s="7">
        <v>1.036886359122158</v>
      </c>
      <c r="L120" s="7">
        <v>0.9845584773755238</v>
      </c>
      <c r="M120" s="7">
        <v>0.3821906182486745</v>
      </c>
      <c r="N120" s="7">
        <v>0.2981617347637233</v>
      </c>
      <c r="O120" s="7">
        <v>0.129649948968705</v>
      </c>
      <c r="P120" s="7">
        <v>8.745645746939509</v>
      </c>
      <c r="Q120" s="7">
        <v>0.0232519913258285</v>
      </c>
      <c r="R120" s="7">
        <v>0.0727343845455552</v>
      </c>
      <c r="S120" s="7">
        <v>0.0902892331191972</v>
      </c>
      <c r="T120" s="7">
        <v>0.12897863617781</v>
      </c>
    </row>
    <row x14ac:dyDescent="0.25" r="121" customHeight="1" ht="19.5">
      <c r="A121" s="2" t="s">
        <v>2433</v>
      </c>
      <c r="B121" s="2" t="s">
        <v>2314</v>
      </c>
      <c r="C121" s="2" t="s">
        <v>31</v>
      </c>
      <c r="D121" s="2" t="s">
        <v>32</v>
      </c>
      <c r="E121" s="6">
        <v>1</v>
      </c>
      <c r="F121" s="6">
        <v>1</v>
      </c>
      <c r="G121" s="7">
        <v>0.4325904846191406</v>
      </c>
      <c r="H121" s="7">
        <v>4.81742421875</v>
      </c>
      <c r="I121" s="7">
        <v>12.70214486721286</v>
      </c>
      <c r="J121" s="7">
        <v>5.540831891497991</v>
      </c>
      <c r="K121" s="7">
        <v>1.038566347939849</v>
      </c>
      <c r="L121" s="7">
        <v>0.9850541293300124</v>
      </c>
      <c r="M121" s="7">
        <v>0.3752067412108239</v>
      </c>
      <c r="N121" s="7">
        <v>0.3125624457732122</v>
      </c>
      <c r="O121" s="7">
        <v>0.1548240680089479</v>
      </c>
      <c r="P121" s="7">
        <v>8.550781529834971</v>
      </c>
      <c r="Q121" s="7">
        <v>0.022867915583643</v>
      </c>
      <c r="R121" s="7">
        <v>0.0721958568965474</v>
      </c>
      <c r="S121" s="7">
        <v>0.0911869425617361</v>
      </c>
      <c r="T121" s="7">
        <v>0.1278592792807565</v>
      </c>
    </row>
    <row x14ac:dyDescent="0.25" r="122" customHeight="1" ht="19.5">
      <c r="A122" s="2" t="s">
        <v>2434</v>
      </c>
      <c r="B122" s="2" t="s">
        <v>2314</v>
      </c>
      <c r="C122" s="2" t="s">
        <v>31</v>
      </c>
      <c r="D122" s="2" t="s">
        <v>32</v>
      </c>
      <c r="E122" s="6">
        <v>1</v>
      </c>
      <c r="F122" s="6">
        <v>1</v>
      </c>
      <c r="G122" s="7">
        <v>0.4295547604560852</v>
      </c>
      <c r="H122" s="7">
        <v>4.841667187500001</v>
      </c>
      <c r="I122" s="7">
        <v>12.53569292219569</v>
      </c>
      <c r="J122" s="7">
        <v>5.4309368109885</v>
      </c>
      <c r="K122" s="7">
        <v>1.041276209129019</v>
      </c>
      <c r="L122" s="7">
        <v>0.9839429975615378</v>
      </c>
      <c r="M122" s="7">
        <v>0.3871757132693093</v>
      </c>
      <c r="N122" s="7">
        <v>0.3011130828929769</v>
      </c>
      <c r="O122" s="7">
        <v>0.1392389382711099</v>
      </c>
      <c r="P122" s="7">
        <v>8.652376919353403</v>
      </c>
      <c r="Q122" s="7">
        <v>0.0229430044258303</v>
      </c>
      <c r="R122" s="7">
        <v>0.0744003910292847</v>
      </c>
      <c r="S122" s="7">
        <v>0.093637654253832</v>
      </c>
      <c r="T122" s="7">
        <v>0.1289246621566581</v>
      </c>
    </row>
    <row x14ac:dyDescent="0.25" r="123" customHeight="1" ht="19.5">
      <c r="A123" s="2" t="s">
        <v>2435</v>
      </c>
      <c r="B123" s="2" t="s">
        <v>2314</v>
      </c>
      <c r="C123" s="2" t="s">
        <v>31</v>
      </c>
      <c r="D123" s="2" t="s">
        <v>32</v>
      </c>
      <c r="E123" s="6">
        <v>1</v>
      </c>
      <c r="F123" s="6">
        <v>1</v>
      </c>
      <c r="G123" s="7">
        <v>0.4494007527828216</v>
      </c>
      <c r="H123" s="7">
        <v>4.858983593750001</v>
      </c>
      <c r="I123" s="7">
        <v>12.66767154065811</v>
      </c>
      <c r="J123" s="7">
        <v>5.484357050328861</v>
      </c>
      <c r="K123" s="7">
        <v>1.052068515986222</v>
      </c>
      <c r="L123" s="7">
        <v>0.9842286647270264</v>
      </c>
      <c r="M123" s="7">
        <v>0.3805061746000251</v>
      </c>
      <c r="N123" s="7">
        <v>0.304171429965708</v>
      </c>
      <c r="O123" s="7">
        <v>0.1443591173035065</v>
      </c>
      <c r="P123" s="7">
        <v>8.632709927479938</v>
      </c>
      <c r="Q123" s="7">
        <v>0.0224838096038843</v>
      </c>
      <c r="R123" s="7">
        <v>0.0727501407084056</v>
      </c>
      <c r="S123" s="7">
        <v>0.08993199093374</v>
      </c>
      <c r="T123" s="7">
        <v>0.1267961630664911</v>
      </c>
    </row>
    <row x14ac:dyDescent="0.25" r="124" customHeight="1" ht="19.5">
      <c r="A124" s="2" t="s">
        <v>2436</v>
      </c>
      <c r="B124" s="2" t="s">
        <v>2314</v>
      </c>
      <c r="C124" s="2" t="s">
        <v>31</v>
      </c>
      <c r="D124" s="2" t="s">
        <v>32</v>
      </c>
      <c r="E124" s="6">
        <v>1</v>
      </c>
      <c r="F124" s="6">
        <v>1</v>
      </c>
      <c r="G124" s="7">
        <v>0.4217962622642517</v>
      </c>
      <c r="H124" s="7">
        <v>4.86591015625</v>
      </c>
      <c r="I124" s="7">
        <v>12.67358622841467</v>
      </c>
      <c r="J124" s="7">
        <v>5.542380763773665</v>
      </c>
      <c r="K124" s="7">
        <v>1.054401724392537</v>
      </c>
      <c r="L124" s="7">
        <v>0.9844912334845972</v>
      </c>
      <c r="M124" s="7">
        <v>0.3806930092688529</v>
      </c>
      <c r="N124" s="7">
        <v>0.3079602056738413</v>
      </c>
      <c r="O124" s="7">
        <v>0.1488899357489662</v>
      </c>
      <c r="P124" s="7">
        <v>8.611831197478967</v>
      </c>
      <c r="Q124" s="7">
        <v>0.022590341443953</v>
      </c>
      <c r="R124" s="7">
        <v>0.0727935031315517</v>
      </c>
      <c r="S124" s="7">
        <v>0.089578946770583</v>
      </c>
      <c r="T124" s="7">
        <v>0.1275785497846177</v>
      </c>
    </row>
    <row x14ac:dyDescent="0.25" r="125" customHeight="1" ht="19.5">
      <c r="A125" s="2" t="s">
        <v>2437</v>
      </c>
      <c r="B125" s="2" t="s">
        <v>2314</v>
      </c>
      <c r="C125" s="2" t="s">
        <v>31</v>
      </c>
      <c r="D125" s="2" t="s">
        <v>32</v>
      </c>
      <c r="E125" s="6">
        <v>1</v>
      </c>
      <c r="F125" s="6">
        <v>1</v>
      </c>
      <c r="G125" s="7">
        <v>0.4388717114925384</v>
      </c>
      <c r="H125" s="7">
        <v>4.8555203125</v>
      </c>
      <c r="I125" s="7">
        <v>12.55797808726197</v>
      </c>
      <c r="J125" s="7">
        <v>5.426497630288143</v>
      </c>
      <c r="K125" s="7">
        <v>1.058745606208326</v>
      </c>
      <c r="L125" s="7">
        <v>0.9836634517230776</v>
      </c>
      <c r="M125" s="7">
        <v>0.3869066528619567</v>
      </c>
      <c r="N125" s="7">
        <v>0.2998367792316184</v>
      </c>
      <c r="O125" s="7">
        <v>0.1385533153812103</v>
      </c>
      <c r="P125" s="7">
        <v>8.64870448496193</v>
      </c>
      <c r="Q125" s="7">
        <v>0.0229467780849515</v>
      </c>
      <c r="R125" s="7">
        <v>0.0723418999645726</v>
      </c>
      <c r="S125" s="7">
        <v>0.088621083094364</v>
      </c>
      <c r="T125" s="7">
        <v>0.1293148114773113</v>
      </c>
    </row>
    <row x14ac:dyDescent="0.25" r="126" customHeight="1" ht="19.5">
      <c r="A126" s="2" t="s">
        <v>2438</v>
      </c>
      <c r="B126" s="2" t="s">
        <v>2314</v>
      </c>
      <c r="C126" s="2" t="s">
        <v>31</v>
      </c>
      <c r="D126" s="2" t="s">
        <v>32</v>
      </c>
      <c r="E126" s="6">
        <v>1</v>
      </c>
      <c r="F126" s="6">
        <v>1</v>
      </c>
      <c r="G126" s="7">
        <v>0.4494554102420807</v>
      </c>
      <c r="H126" s="7">
        <v>4.897079687500001</v>
      </c>
      <c r="I126" s="7">
        <v>12.57016624875043</v>
      </c>
      <c r="J126" s="7">
        <v>5.43155528258758</v>
      </c>
      <c r="K126" s="7">
        <v>1.058100619805629</v>
      </c>
      <c r="L126" s="7">
        <v>0.9837021686883796</v>
      </c>
      <c r="M126" s="7">
        <v>0.3894619123637706</v>
      </c>
      <c r="N126" s="7">
        <v>0.2977513186639224</v>
      </c>
      <c r="O126" s="7">
        <v>0.1326746659972221</v>
      </c>
      <c r="P126" s="7">
        <v>8.688421033144964</v>
      </c>
      <c r="Q126" s="7">
        <v>0.0222575169698803</v>
      </c>
      <c r="R126" s="7">
        <v>0.0722332046121364</v>
      </c>
      <c r="S126" s="7">
        <v>0.0896066940634373</v>
      </c>
      <c r="T126" s="7">
        <v>0.1265041183846923</v>
      </c>
    </row>
    <row x14ac:dyDescent="0.25" r="127" customHeight="1" ht="19.5">
      <c r="A127" s="2" t="s">
        <v>2439</v>
      </c>
      <c r="B127" s="2" t="s">
        <v>2314</v>
      </c>
      <c r="C127" s="2" t="s">
        <v>31</v>
      </c>
      <c r="D127" s="2" t="s">
        <v>32</v>
      </c>
      <c r="E127" s="6">
        <v>1</v>
      </c>
      <c r="F127" s="6">
        <v>1</v>
      </c>
      <c r="G127" s="7">
        <v>0.4278342723846435</v>
      </c>
      <c r="H127" s="7">
        <v>4.755085156250001</v>
      </c>
      <c r="I127" s="7">
        <v>12.37724682284571</v>
      </c>
      <c r="J127" s="7">
        <v>5.428670707713053</v>
      </c>
      <c r="K127" s="7">
        <v>0.9900575990946175</v>
      </c>
      <c r="L127" s="7">
        <v>0.984794547159726</v>
      </c>
      <c r="M127" s="7">
        <v>0.3900498001779181</v>
      </c>
      <c r="N127" s="7">
        <v>0.2803559651015949</v>
      </c>
      <c r="O127" s="7">
        <v>0.1122511687320793</v>
      </c>
      <c r="P127" s="7">
        <v>8.814963735977134</v>
      </c>
      <c r="Q127" s="7">
        <v>0.0232817012502589</v>
      </c>
      <c r="R127" s="7">
        <v>0.0719781054554498</v>
      </c>
      <c r="S127" s="7">
        <v>0.0919572671514859</v>
      </c>
      <c r="T127" s="7">
        <v>0.1284883615198723</v>
      </c>
    </row>
    <row x14ac:dyDescent="0.25" r="128" customHeight="1" ht="19.5">
      <c r="A128" s="2" t="s">
        <v>2440</v>
      </c>
      <c r="B128" s="2" t="s">
        <v>2314</v>
      </c>
      <c r="C128" s="2" t="s">
        <v>31</v>
      </c>
      <c r="D128" s="2" t="s">
        <v>32</v>
      </c>
      <c r="E128" s="6">
        <v>1</v>
      </c>
      <c r="F128" s="6">
        <v>1</v>
      </c>
      <c r="G128" s="7">
        <v>0.4220487475395202</v>
      </c>
      <c r="H128" s="7">
        <v>4.9247859375</v>
      </c>
      <c r="I128" s="7">
        <v>12.65339222125902</v>
      </c>
      <c r="J128" s="7">
        <v>5.485907933168496</v>
      </c>
      <c r="K128" s="7">
        <v>1.054239489875024</v>
      </c>
      <c r="L128" s="7">
        <v>0.9839346694081536</v>
      </c>
      <c r="M128" s="7">
        <v>0.3865300666641035</v>
      </c>
      <c r="N128" s="7">
        <v>0.3005439231910315</v>
      </c>
      <c r="O128" s="7">
        <v>0.1356543692816686</v>
      </c>
      <c r="P128" s="7">
        <v>8.718139548584363</v>
      </c>
      <c r="Q128" s="7">
        <v>0.0222067185628335</v>
      </c>
      <c r="R128" s="7">
        <v>0.070828951097836</v>
      </c>
      <c r="S128" s="7">
        <v>0.0903674780346999</v>
      </c>
      <c r="T128" s="7">
        <v>0.1269294875469732</v>
      </c>
    </row>
    <row x14ac:dyDescent="0.25" r="129" customHeight="1" ht="19.5">
      <c r="A129" s="2" t="s">
        <v>2441</v>
      </c>
      <c r="B129" s="2" t="s">
        <v>2314</v>
      </c>
      <c r="C129" s="2" t="s">
        <v>31</v>
      </c>
      <c r="D129" s="2" t="s">
        <v>32</v>
      </c>
      <c r="E129" s="6">
        <v>1</v>
      </c>
      <c r="F129" s="6">
        <v>1</v>
      </c>
      <c r="G129" s="7">
        <v>0.4271347522735595</v>
      </c>
      <c r="H129" s="7">
        <v>4.8832265625</v>
      </c>
      <c r="I129" s="7">
        <v>12.60463957530518</v>
      </c>
      <c r="J129" s="7">
        <v>5.426171442369103</v>
      </c>
      <c r="K129" s="7">
        <v>1.051096452077595</v>
      </c>
      <c r="L129" s="7">
        <v>0.9837601990879888</v>
      </c>
      <c r="M129" s="7">
        <v>0.3862387784704704</v>
      </c>
      <c r="N129" s="7">
        <v>0.2952650405399165</v>
      </c>
      <c r="O129" s="7">
        <v>0.1328686134563874</v>
      </c>
      <c r="P129" s="7">
        <v>8.712924938166594</v>
      </c>
      <c r="Q129" s="7">
        <v>0.022676587694842</v>
      </c>
      <c r="R129" s="7">
        <v>0.0718650676274961</v>
      </c>
      <c r="S129" s="7">
        <v>0.0909617343838855</v>
      </c>
      <c r="T129" s="7">
        <v>0.1285213734973483</v>
      </c>
    </row>
    <row x14ac:dyDescent="0.25" r="130" customHeight="1" ht="19.5">
      <c r="A130" s="2" t="s">
        <v>2442</v>
      </c>
      <c r="B130" s="2" t="s">
        <v>2314</v>
      </c>
      <c r="C130" s="2" t="s">
        <v>31</v>
      </c>
      <c r="D130" s="2" t="s">
        <v>32</v>
      </c>
      <c r="E130" s="6">
        <v>1</v>
      </c>
      <c r="F130" s="6">
        <v>1</v>
      </c>
      <c r="G130" s="7">
        <v>0.441435158252716</v>
      </c>
      <c r="H130" s="7">
        <v>4.8693734375</v>
      </c>
      <c r="I130" s="7">
        <v>12.57016624875043</v>
      </c>
      <c r="J130" s="7">
        <v>5.430899061977387</v>
      </c>
      <c r="K130" s="7">
        <v>1.055074277897292</v>
      </c>
      <c r="L130" s="7">
        <v>0.9839634077854852</v>
      </c>
      <c r="M130" s="7">
        <v>0.3872584503419105</v>
      </c>
      <c r="N130" s="7">
        <v>0.3038311016497513</v>
      </c>
      <c r="O130" s="7">
        <v>0.1379641688002743</v>
      </c>
      <c r="P130" s="7">
        <v>8.651258899342917</v>
      </c>
      <c r="Q130" s="7">
        <v>0.0227029123417208</v>
      </c>
      <c r="R130" s="7">
        <v>0.0719834384939921</v>
      </c>
      <c r="S130" s="7">
        <v>0.0894817854619094</v>
      </c>
      <c r="T130" s="7">
        <v>0.128305547642749</v>
      </c>
    </row>
    <row x14ac:dyDescent="0.25" r="131" customHeight="1" ht="19.5">
      <c r="A131" s="2" t="s">
        <v>2443</v>
      </c>
      <c r="B131" s="2" t="s">
        <v>2314</v>
      </c>
      <c r="C131" s="2" t="s">
        <v>31</v>
      </c>
      <c r="D131" s="2" t="s">
        <v>32</v>
      </c>
      <c r="E131" s="6">
        <v>1</v>
      </c>
      <c r="F131" s="6">
        <v>1</v>
      </c>
      <c r="G131" s="7">
        <v>0.4039749503135681</v>
      </c>
      <c r="H131" s="7">
        <v>4.897079687500001</v>
      </c>
      <c r="I131" s="7">
        <v>12.57016624875043</v>
      </c>
      <c r="J131" s="7">
        <v>5.426393711233103</v>
      </c>
      <c r="K131" s="7">
        <v>1.057224495970702</v>
      </c>
      <c r="L131" s="7">
        <v>0.9834978394573284</v>
      </c>
      <c r="M131" s="7">
        <v>0.3894619123637706</v>
      </c>
      <c r="N131" s="7">
        <v>0.2940349122096565</v>
      </c>
      <c r="O131" s="7">
        <v>0.1316769262270448</v>
      </c>
      <c r="P131" s="7">
        <v>8.719790775240174</v>
      </c>
      <c r="Q131" s="7">
        <v>0.0219147808127114</v>
      </c>
      <c r="R131" s="7">
        <v>0.0711680305480723</v>
      </c>
      <c r="S131" s="7">
        <v>0.0902061822834052</v>
      </c>
      <c r="T131" s="7">
        <v>0.1245561232215354</v>
      </c>
    </row>
    <row x14ac:dyDescent="0.25" r="132" customHeight="1" ht="19.5">
      <c r="A132" s="2" t="s">
        <v>2444</v>
      </c>
      <c r="B132" s="2" t="s">
        <v>2314</v>
      </c>
      <c r="C132" s="2" t="s">
        <v>31</v>
      </c>
      <c r="D132" s="2" t="s">
        <v>32</v>
      </c>
      <c r="E132" s="6">
        <v>1</v>
      </c>
      <c r="F132" s="6">
        <v>1</v>
      </c>
      <c r="G132" s="7">
        <v>0.4337789416313171</v>
      </c>
      <c r="H132" s="7">
        <v>4.89361640625</v>
      </c>
      <c r="I132" s="7">
        <v>12.60673073321581</v>
      </c>
      <c r="J132" s="7">
        <v>5.431422611722424</v>
      </c>
      <c r="K132" s="7">
        <v>1.060200158298664</v>
      </c>
      <c r="L132" s="7">
        <v>0.9836879577546176</v>
      </c>
      <c r="M132" s="7">
        <v>0.3869321654035206</v>
      </c>
      <c r="N132" s="7">
        <v>0.295687812453315</v>
      </c>
      <c r="O132" s="7">
        <v>0.1345401669990208</v>
      </c>
      <c r="P132" s="7">
        <v>8.706082924403239</v>
      </c>
      <c r="Q132" s="7">
        <v>0.0223546619474767</v>
      </c>
      <c r="R132" s="7">
        <v>0.0722553084173186</v>
      </c>
      <c r="S132" s="7">
        <v>0.0902648069390377</v>
      </c>
      <c r="T132" s="7">
        <v>0.1269664013208733</v>
      </c>
    </row>
    <row x14ac:dyDescent="0.25" r="133" customHeight="1" ht="19.5">
      <c r="A133" s="2" t="s">
        <v>2445</v>
      </c>
      <c r="B133" s="2" t="s">
        <v>2314</v>
      </c>
      <c r="C133" s="2" t="s">
        <v>31</v>
      </c>
      <c r="D133" s="2" t="s">
        <v>32</v>
      </c>
      <c r="E133" s="6">
        <v>1</v>
      </c>
      <c r="F133" s="6">
        <v>1</v>
      </c>
      <c r="G133" s="7">
        <v>0.4368543028831482</v>
      </c>
      <c r="H133" s="7">
        <v>4.876300000000001</v>
      </c>
      <c r="I133" s="7">
        <v>12.52141360279659</v>
      </c>
      <c r="J133" s="7">
        <v>5.484341506291467</v>
      </c>
      <c r="K133" s="7">
        <v>1.055488560747202</v>
      </c>
      <c r="L133" s="7">
        <v>0.9836863882297944</v>
      </c>
      <c r="M133" s="7">
        <v>0.3908350983900435</v>
      </c>
      <c r="N133" s="7">
        <v>0.3041805257724397</v>
      </c>
      <c r="O133" s="7">
        <v>0.1429178127110928</v>
      </c>
      <c r="P133" s="7">
        <v>8.628292121225986</v>
      </c>
      <c r="Q133" s="7">
        <v>0.0223554158069757</v>
      </c>
      <c r="R133" s="7">
        <v>0.0716363390776977</v>
      </c>
      <c r="S133" s="7">
        <v>0.0904431897401469</v>
      </c>
      <c r="T133" s="7">
        <v>0.1265213882677422</v>
      </c>
    </row>
    <row x14ac:dyDescent="0.25" r="134" customHeight="1" ht="19.5">
      <c r="A134" s="2" t="s">
        <v>2446</v>
      </c>
      <c r="B134" s="2" t="s">
        <v>2314</v>
      </c>
      <c r="C134" s="2" t="s">
        <v>31</v>
      </c>
      <c r="D134" s="2" t="s">
        <v>32</v>
      </c>
      <c r="E134" s="6">
        <v>1</v>
      </c>
      <c r="F134" s="6">
        <v>1</v>
      </c>
      <c r="G134" s="7">
        <v>0.4373937249183655</v>
      </c>
      <c r="H134" s="7">
        <v>4.83127734375</v>
      </c>
      <c r="I134" s="7">
        <v>12.47266095684275</v>
      </c>
      <c r="J134" s="7">
        <v>5.424855982036432</v>
      </c>
      <c r="K134" s="7">
        <v>1.063185129150132</v>
      </c>
      <c r="L134" s="7">
        <v>0.9838183480153548</v>
      </c>
      <c r="M134" s="7">
        <v>0.3902596035636154</v>
      </c>
      <c r="N134" s="7">
        <v>0.3060242136612192</v>
      </c>
      <c r="O134" s="7">
        <v>0.1407675740101336</v>
      </c>
      <c r="P134" s="7">
        <v>8.631089707978056</v>
      </c>
      <c r="Q134" s="7">
        <v>0.0229222739687617</v>
      </c>
      <c r="R134" s="7">
        <v>0.0716008518145362</v>
      </c>
      <c r="S134" s="7">
        <v>0.0918988530545491</v>
      </c>
      <c r="T134" s="7">
        <v>0.1285317581787281</v>
      </c>
    </row>
    <row x14ac:dyDescent="0.25" r="135" customHeight="1" ht="19.5">
      <c r="A135" s="2" t="s">
        <v>2447</v>
      </c>
      <c r="B135" s="2" t="s">
        <v>2314</v>
      </c>
      <c r="C135" s="2" t="s">
        <v>31</v>
      </c>
      <c r="D135" s="2" t="s">
        <v>32</v>
      </c>
      <c r="E135" s="6">
        <v>1</v>
      </c>
      <c r="F135" s="6">
        <v>1</v>
      </c>
      <c r="G135" s="7">
        <v>0.409589946269989</v>
      </c>
      <c r="H135" s="7">
        <v>4.931712500000001</v>
      </c>
      <c r="I135" s="7">
        <v>12.62692474037146</v>
      </c>
      <c r="J135" s="7">
        <v>5.484376643309259</v>
      </c>
      <c r="K135" s="7">
        <v>1.056968349606172</v>
      </c>
      <c r="L135" s="7">
        <v>0.9837455346442848</v>
      </c>
      <c r="M135" s="7">
        <v>0.3886981118810694</v>
      </c>
      <c r="N135" s="7">
        <v>0.2935001582074081</v>
      </c>
      <c r="O135" s="7">
        <v>0.1344172250210005</v>
      </c>
      <c r="P135" s="7">
        <v>8.67739029500077</v>
      </c>
      <c r="Q135" s="7">
        <v>0.0214089865746144</v>
      </c>
      <c r="R135" s="7">
        <v>0.0709948956532411</v>
      </c>
      <c r="S135" s="7">
        <v>0.0880862436762618</v>
      </c>
      <c r="T135" s="7">
        <v>0.1225419087751377</v>
      </c>
    </row>
    <row x14ac:dyDescent="0.25" r="136" customHeight="1" ht="19.5">
      <c r="A136" s="2" t="s">
        <v>2448</v>
      </c>
      <c r="B136" s="2" t="s">
        <v>2314</v>
      </c>
      <c r="C136" s="2" t="s">
        <v>31</v>
      </c>
      <c r="D136" s="2" t="s">
        <v>32</v>
      </c>
      <c r="E136" s="6">
        <v>1</v>
      </c>
      <c r="F136" s="6">
        <v>1</v>
      </c>
      <c r="G136" s="7">
        <v>0.4440152049064636</v>
      </c>
      <c r="H136" s="7">
        <v>4.94210234375</v>
      </c>
      <c r="I136" s="7">
        <v>12.60463957530518</v>
      </c>
      <c r="J136" s="7">
        <v>5.488987005925429</v>
      </c>
      <c r="K136" s="7">
        <v>1.05571748549473</v>
      </c>
      <c r="L136" s="7">
        <v>0.9839478146257348</v>
      </c>
      <c r="M136" s="7">
        <v>0.3908955580690506</v>
      </c>
      <c r="N136" s="7">
        <v>0.3000824975458739</v>
      </c>
      <c r="O136" s="7">
        <v>0.1339886666116512</v>
      </c>
      <c r="P136" s="7">
        <v>8.69062056023327</v>
      </c>
      <c r="Q136" s="7">
        <v>0.0219577307925502</v>
      </c>
      <c r="R136" s="7">
        <v>0.0707058462818095</v>
      </c>
      <c r="S136" s="7">
        <v>0.0888897243006383</v>
      </c>
      <c r="T136" s="7">
        <v>0.125947621707329</v>
      </c>
    </row>
    <row x14ac:dyDescent="0.25" r="137" customHeight="1" ht="19.5">
      <c r="A137" s="2" t="s">
        <v>2449</v>
      </c>
      <c r="B137" s="2" t="s">
        <v>2314</v>
      </c>
      <c r="C137" s="2" t="s">
        <v>31</v>
      </c>
      <c r="D137" s="2" t="s">
        <v>32</v>
      </c>
      <c r="E137" s="6">
        <v>1</v>
      </c>
      <c r="F137" s="6">
        <v>1</v>
      </c>
      <c r="G137" s="7">
        <v>0.4357475638389587</v>
      </c>
      <c r="H137" s="7">
        <v>4.858983593750001</v>
      </c>
      <c r="I137" s="7">
        <v>12.63911290185993</v>
      </c>
      <c r="J137" s="7">
        <v>5.542413919232547</v>
      </c>
      <c r="K137" s="7">
        <v>1.037831278483606</v>
      </c>
      <c r="L137" s="7">
        <v>0.9850962617279224</v>
      </c>
      <c r="M137" s="7">
        <v>0.3822276586037164</v>
      </c>
      <c r="N137" s="7">
        <v>0.284536646844871</v>
      </c>
      <c r="O137" s="7">
        <v>0.1178642346609513</v>
      </c>
      <c r="P137" s="7">
        <v>8.784069293590235</v>
      </c>
      <c r="Q137" s="7">
        <v>0.0216005622543963</v>
      </c>
      <c r="R137" s="7">
        <v>0.0678908505541309</v>
      </c>
      <c r="S137" s="7">
        <v>0.0862714419812813</v>
      </c>
      <c r="T137" s="7">
        <v>0.1218151399691249</v>
      </c>
    </row>
    <row x14ac:dyDescent="0.25" r="138" customHeight="1" ht="19.5">
      <c r="A138" s="2" t="s">
        <v>2450</v>
      </c>
      <c r="B138" s="2" t="s">
        <v>2314</v>
      </c>
      <c r="C138" s="2" t="s">
        <v>31</v>
      </c>
      <c r="D138" s="2" t="s">
        <v>402</v>
      </c>
      <c r="E138" s="6">
        <v>1</v>
      </c>
      <c r="F138" s="6">
        <v>1</v>
      </c>
      <c r="G138" s="7">
        <v>0.2811221182346344</v>
      </c>
      <c r="H138" s="7">
        <v>3.66761484375</v>
      </c>
      <c r="I138" s="7">
        <v>11.36425583334357</v>
      </c>
      <c r="J138" s="7">
        <v>5.133845633943629</v>
      </c>
      <c r="K138" s="7">
        <v>0.7311680970602176</v>
      </c>
      <c r="L138" s="7">
        <v>0.9896904276533398</v>
      </c>
      <c r="M138" s="7">
        <v>0.3568712661388594</v>
      </c>
      <c r="N138" s="7">
        <v>0.3660520382147988</v>
      </c>
      <c r="O138" s="7">
        <v>0.0747128278793378</v>
      </c>
      <c r="P138" s="7">
        <v>8.068963979275509</v>
      </c>
      <c r="Q138" s="7">
        <v>0.0306862186902105</v>
      </c>
      <c r="R138" s="7">
        <v>0.0577483668846918</v>
      </c>
      <c r="S138" s="7">
        <v>0.0620203579148425</v>
      </c>
      <c r="T138" s="7">
        <v>0.1306224657391414</v>
      </c>
    </row>
    <row x14ac:dyDescent="0.25" r="139" customHeight="1" ht="19.5">
      <c r="A139" s="2" t="s">
        <v>2451</v>
      </c>
      <c r="B139" s="2" t="s">
        <v>2314</v>
      </c>
      <c r="C139" s="2" t="s">
        <v>31</v>
      </c>
      <c r="D139" s="2" t="s">
        <v>402</v>
      </c>
      <c r="E139" s="6">
        <v>1</v>
      </c>
      <c r="F139" s="6">
        <v>1</v>
      </c>
      <c r="G139" s="7">
        <v>0.2677737474441528</v>
      </c>
      <c r="H139" s="7">
        <v>3.88926484375</v>
      </c>
      <c r="I139" s="7">
        <v>11.49414329389537</v>
      </c>
      <c r="J139" s="7">
        <v>5.147312384495445</v>
      </c>
      <c r="K139" s="7">
        <v>0.8039217043596669</v>
      </c>
      <c r="L139" s="7">
        <v>0.9884502653833036</v>
      </c>
      <c r="M139" s="7">
        <v>0.3699339313730078</v>
      </c>
      <c r="N139" s="7">
        <v>0.3646437801323352</v>
      </c>
      <c r="O139" s="7">
        <v>0.1052530201074114</v>
      </c>
      <c r="P139" s="7">
        <v>8.101446717206477</v>
      </c>
      <c r="Q139" s="7">
        <v>0.0377217096827393</v>
      </c>
      <c r="R139" s="7">
        <v>0.0749322664653793</v>
      </c>
      <c r="S139" s="7">
        <v>0.0797506363051091</v>
      </c>
      <c r="T139" s="7">
        <v>0.1702745206187737</v>
      </c>
    </row>
    <row x14ac:dyDescent="0.25" r="140" customHeight="1" ht="19.5">
      <c r="A140" s="2" t="s">
        <v>2452</v>
      </c>
      <c r="B140" s="2" t="s">
        <v>2314</v>
      </c>
      <c r="C140" s="2" t="s">
        <v>31</v>
      </c>
      <c r="D140" s="2" t="s">
        <v>402</v>
      </c>
      <c r="E140" s="6">
        <v>1</v>
      </c>
      <c r="F140" s="6">
        <v>1</v>
      </c>
      <c r="G140" s="7">
        <v>0.2526180446147918</v>
      </c>
      <c r="H140" s="7">
        <v>3.920434375</v>
      </c>
      <c r="I140" s="7">
        <v>11.56308994700486</v>
      </c>
      <c r="J140" s="7">
        <v>5.136900975894562</v>
      </c>
      <c r="K140" s="7">
        <v>0.761918525971888</v>
      </c>
      <c r="L140" s="7">
        <v>0.9885902108202292</v>
      </c>
      <c r="M140" s="7">
        <v>0.3684650029960905</v>
      </c>
      <c r="N140" s="7">
        <v>0.3392847660841396</v>
      </c>
      <c r="O140" s="7">
        <v>0.0717930502917626</v>
      </c>
      <c r="P140" s="7">
        <v>8.188285118696458</v>
      </c>
      <c r="Q140" s="7">
        <v>0.0351491826508743</v>
      </c>
      <c r="R140" s="7">
        <v>0.0684210617434626</v>
      </c>
      <c r="S140" s="7">
        <v>0.0767143451509321</v>
      </c>
      <c r="T140" s="7">
        <v>0.159933778991139</v>
      </c>
    </row>
    <row x14ac:dyDescent="0.25" r="141" customHeight="1" ht="19.5">
      <c r="A141" s="2" t="s">
        <v>2453</v>
      </c>
      <c r="B141" s="2" t="s">
        <v>2314</v>
      </c>
      <c r="C141" s="2" t="s">
        <v>31</v>
      </c>
      <c r="D141" s="2" t="s">
        <v>402</v>
      </c>
      <c r="E141" s="6">
        <v>1</v>
      </c>
      <c r="F141" s="6">
        <v>1</v>
      </c>
      <c r="G141" s="7">
        <v>0.2889880537986755</v>
      </c>
      <c r="H141" s="7">
        <v>5.489300781250001</v>
      </c>
      <c r="I141" s="7">
        <v>16.03566331141153</v>
      </c>
      <c r="J141" s="7">
        <v>7.449487128432461</v>
      </c>
      <c r="K141" s="7">
        <v>0.7126455608778504</v>
      </c>
      <c r="L141" s="7">
        <v>0.9947188958165004</v>
      </c>
      <c r="M141" s="7">
        <v>0.2682582171797149</v>
      </c>
      <c r="N141" s="7">
        <v>0.3927770412378992</v>
      </c>
      <c r="O141" s="7">
        <v>0.0731382800497917</v>
      </c>
      <c r="P141" s="7">
        <v>8.161555155446854</v>
      </c>
      <c r="Q141" s="7">
        <v>0.0034956968091956</v>
      </c>
      <c r="R141" s="7">
        <v>0.017472319578835</v>
      </c>
      <c r="S141" s="7">
        <v>0.0362330241298135</v>
      </c>
      <c r="T141" s="7">
        <v>0.0222710947911203</v>
      </c>
    </row>
    <row x14ac:dyDescent="0.25" r="142" customHeight="1" ht="19.5">
      <c r="A142" s="2" t="s">
        <v>2454</v>
      </c>
      <c r="B142" s="2" t="s">
        <v>2314</v>
      </c>
      <c r="C142" s="2" t="s">
        <v>31</v>
      </c>
      <c r="D142" s="2" t="s">
        <v>402</v>
      </c>
      <c r="E142" s="6">
        <v>1</v>
      </c>
      <c r="F142" s="6">
        <v>1</v>
      </c>
      <c r="G142" s="7">
        <v>0.3506441116333008</v>
      </c>
      <c r="H142" s="7">
        <v>5.825239062500001</v>
      </c>
      <c r="I142" s="7">
        <v>18.59057456425012</v>
      </c>
      <c r="J142" s="7">
        <v>8.76042865118767</v>
      </c>
      <c r="K142" s="7">
        <v>0.6567955645431534</v>
      </c>
      <c r="L142" s="7">
        <v>0.996767729782754</v>
      </c>
      <c r="M142" s="7">
        <v>0.2118058701859361</v>
      </c>
      <c r="N142" s="7">
        <v>0.3756491864416938</v>
      </c>
      <c r="O142" s="7">
        <v>0.0755177953246049</v>
      </c>
      <c r="P142" s="7">
        <v>8.137180642753366</v>
      </c>
      <c r="Q142" s="7">
        <v>0.0127817194235773</v>
      </c>
      <c r="R142" s="7">
        <v>0.0373157442618559</v>
      </c>
      <c r="S142" s="7">
        <v>0.0518838011426486</v>
      </c>
      <c r="T142" s="7">
        <v>0.0864159309925513</v>
      </c>
    </row>
    <row x14ac:dyDescent="0.25" r="143" customHeight="1" ht="19.5">
      <c r="A143" s="2" t="s">
        <v>2455</v>
      </c>
      <c r="B143" s="2" t="s">
        <v>2314</v>
      </c>
      <c r="C143" s="2" t="s">
        <v>31</v>
      </c>
      <c r="D143" s="2" t="s">
        <v>402</v>
      </c>
      <c r="E143" s="6">
        <v>1</v>
      </c>
      <c r="F143" s="6">
        <v>1</v>
      </c>
      <c r="G143" s="7">
        <v>0.3998077511787414</v>
      </c>
      <c r="H143" s="7">
        <v>6.18888359375</v>
      </c>
      <c r="I143" s="7">
        <v>19.19335037896588</v>
      </c>
      <c r="J143" s="7">
        <v>9.121155439133732</v>
      </c>
      <c r="K143" s="7">
        <v>0.7177191906258767</v>
      </c>
      <c r="L143" s="7">
        <v>0.9968088658342812</v>
      </c>
      <c r="M143" s="7">
        <v>0.2111157308865291</v>
      </c>
      <c r="N143" s="7">
        <v>0.2887884608082967</v>
      </c>
      <c r="O143" s="7">
        <v>0.0642425488309669</v>
      </c>
      <c r="P143" s="7">
        <v>8.558416122520356</v>
      </c>
      <c r="Q143" s="7">
        <v>0.022262902083703</v>
      </c>
      <c r="R143" s="7">
        <v>0.0559587062293741</v>
      </c>
      <c r="S143" s="7">
        <v>0.0695414907118159</v>
      </c>
      <c r="T143" s="7">
        <v>0.1599134048965716</v>
      </c>
    </row>
    <row x14ac:dyDescent="0.25" r="144" customHeight="1" ht="19.5">
      <c r="A144" s="2" t="s">
        <v>2456</v>
      </c>
      <c r="B144" s="2" t="s">
        <v>2314</v>
      </c>
      <c r="C144" s="2" t="s">
        <v>31</v>
      </c>
      <c r="D144" s="2" t="s">
        <v>402</v>
      </c>
      <c r="E144" s="6">
        <v>1</v>
      </c>
      <c r="F144" s="6">
        <v>1</v>
      </c>
      <c r="G144" s="7">
        <v>0.4849450588226318</v>
      </c>
      <c r="H144" s="7">
        <v>6.057278906250001</v>
      </c>
      <c r="I144" s="7">
        <v>19.78184687428255</v>
      </c>
      <c r="J144" s="7">
        <v>9.41712101831738</v>
      </c>
      <c r="K144" s="7">
        <v>0.6816791510971402</v>
      </c>
      <c r="L144" s="7">
        <v>0.9973093237991532</v>
      </c>
      <c r="M144" s="7">
        <v>0.1945152983190437</v>
      </c>
      <c r="N144" s="7">
        <v>0.249877630548059</v>
      </c>
      <c r="O144" s="7">
        <v>0.0583384362468332</v>
      </c>
      <c r="P144" s="7">
        <v>8.71521554441331</v>
      </c>
      <c r="Q144" s="7">
        <v>0.0325755722379099</v>
      </c>
      <c r="R144" s="7">
        <v>0.0716877650004599</v>
      </c>
      <c r="S144" s="7">
        <v>0.0840568554800417</v>
      </c>
      <c r="T144" s="7">
        <v>0.2290131417217771</v>
      </c>
    </row>
    <row x14ac:dyDescent="0.25" r="145" customHeight="1" ht="19.5">
      <c r="A145" s="2" t="s">
        <v>2457</v>
      </c>
      <c r="B145" s="2" t="s">
        <v>2314</v>
      </c>
      <c r="C145" s="2" t="s">
        <v>31</v>
      </c>
      <c r="D145" s="2" t="s">
        <v>402</v>
      </c>
      <c r="E145" s="6">
        <v>1</v>
      </c>
      <c r="F145" s="6">
        <v>1</v>
      </c>
      <c r="G145" s="7">
        <v>0.5009686946868896</v>
      </c>
      <c r="H145" s="7">
        <v>6.185420312500001</v>
      </c>
      <c r="I145" s="7">
        <v>19.99705146525356</v>
      </c>
      <c r="J145" s="7">
        <v>9.595070157256195</v>
      </c>
      <c r="K145" s="7">
        <v>0.667551256229497</v>
      </c>
      <c r="L145" s="7">
        <v>0.997334212663852</v>
      </c>
      <c r="M145" s="7">
        <v>0.1943780189406931</v>
      </c>
      <c r="N145" s="7">
        <v>0.2235158027298904</v>
      </c>
      <c r="O145" s="7">
        <v>0.0540863159543416</v>
      </c>
      <c r="P145" s="7">
        <v>8.916108351684574</v>
      </c>
      <c r="Q145" s="7">
        <v>0.0473117392723842</v>
      </c>
      <c r="R145" s="7">
        <v>0.0930167755819378</v>
      </c>
      <c r="S145" s="7">
        <v>0.1186058703111236</v>
      </c>
      <c r="T145" s="7">
        <v>0.3396478815289246</v>
      </c>
    </row>
    <row x14ac:dyDescent="0.25" r="146" customHeight="1" ht="19.5">
      <c r="A146" s="2" t="s">
        <v>2458</v>
      </c>
      <c r="B146" s="2" t="s">
        <v>2314</v>
      </c>
      <c r="C146" s="2" t="s">
        <v>31</v>
      </c>
      <c r="D146" s="2" t="s">
        <v>402</v>
      </c>
      <c r="E146" s="6">
        <v>1</v>
      </c>
      <c r="F146" s="6">
        <v>1</v>
      </c>
      <c r="G146" s="7">
        <v>0.493192970752716</v>
      </c>
      <c r="H146" s="7">
        <v>6.59062421875</v>
      </c>
      <c r="I146" s="7">
        <v>20.14922409087164</v>
      </c>
      <c r="J146" s="7">
        <v>9.595091938456909</v>
      </c>
      <c r="K146" s="7">
        <v>0.7140057427624371</v>
      </c>
      <c r="L146" s="7">
        <v>0.9969077054386584</v>
      </c>
      <c r="M146" s="7">
        <v>0.2039951114562302</v>
      </c>
      <c r="N146" s="7">
        <v>0.2327945114312292</v>
      </c>
      <c r="O146" s="7">
        <v>0.0539181172353655</v>
      </c>
      <c r="P146" s="7">
        <v>9.037908298099053</v>
      </c>
      <c r="Q146" s="7">
        <v>0.0466603119499125</v>
      </c>
      <c r="R146" s="7">
        <v>0.0959516944142579</v>
      </c>
      <c r="S146" s="7">
        <v>0.1200108542444484</v>
      </c>
      <c r="T146" s="7">
        <v>0.3569151377524309</v>
      </c>
    </row>
    <row x14ac:dyDescent="0.25" r="147" customHeight="1" ht="19.5">
      <c r="A147" s="2" t="s">
        <v>2459</v>
      </c>
      <c r="B147" s="2" t="s">
        <v>2314</v>
      </c>
      <c r="C147" s="2" t="s">
        <v>31</v>
      </c>
      <c r="D147" s="2" t="s">
        <v>402</v>
      </c>
      <c r="E147" s="6">
        <v>1</v>
      </c>
      <c r="F147" s="6">
        <v>1</v>
      </c>
      <c r="G147" s="7">
        <v>0.4947174489498138</v>
      </c>
      <c r="H147" s="7">
        <v>6.2269796875</v>
      </c>
      <c r="I147" s="7">
        <v>20.06599811836305</v>
      </c>
      <c r="J147" s="7">
        <v>9.594964108336768</v>
      </c>
      <c r="K147" s="7">
        <v>0.6626238395221626</v>
      </c>
      <c r="L147" s="7">
        <v>0.997315191165927</v>
      </c>
      <c r="M147" s="7">
        <v>0.19434160213758</v>
      </c>
      <c r="N147" s="7">
        <v>0.2311512876935213</v>
      </c>
      <c r="O147" s="7">
        <v>0.0543152441188844</v>
      </c>
      <c r="P147" s="7">
        <v>8.89077337705186</v>
      </c>
      <c r="Q147" s="7">
        <v>0.0510923001361441</v>
      </c>
      <c r="R147" s="7">
        <v>0.0989179363942103</v>
      </c>
      <c r="S147" s="7">
        <v>0.117756799952063</v>
      </c>
      <c r="T147" s="7">
        <v>0.36925270361814</v>
      </c>
    </row>
    <row x14ac:dyDescent="0.25" r="148" customHeight="1" ht="19.5">
      <c r="A148" s="2" t="s">
        <v>2460</v>
      </c>
      <c r="B148" s="2" t="s">
        <v>2314</v>
      </c>
      <c r="C148" s="2" t="s">
        <v>31</v>
      </c>
      <c r="D148" s="2" t="s">
        <v>402</v>
      </c>
      <c r="E148" s="6">
        <v>1</v>
      </c>
      <c r="F148" s="6">
        <v>1</v>
      </c>
      <c r="G148" s="7">
        <v>0.5014634132385254</v>
      </c>
      <c r="H148" s="7">
        <v>6.23390625</v>
      </c>
      <c r="I148" s="7">
        <v>20.05171879896396</v>
      </c>
      <c r="J148" s="7">
        <v>9.594604215386465</v>
      </c>
      <c r="K148" s="7">
        <v>0.6582060134990756</v>
      </c>
      <c r="L148" s="7">
        <v>0.9973396777772722</v>
      </c>
      <c r="M148" s="7">
        <v>0.1948349748141999</v>
      </c>
      <c r="N148" s="7">
        <v>0.2293505095463404</v>
      </c>
      <c r="O148" s="7">
        <v>0.0554149882396888</v>
      </c>
      <c r="P148" s="7">
        <v>8.856916083866249</v>
      </c>
      <c r="Q148" s="7">
        <v>0.0512989594241404</v>
      </c>
      <c r="R148" s="7">
        <v>0.0980536460667515</v>
      </c>
      <c r="S148" s="7">
        <v>0.1200105403693828</v>
      </c>
      <c r="T148" s="7">
        <v>0.3711586637976961</v>
      </c>
    </row>
    <row x14ac:dyDescent="0.25" r="149" customHeight="1" ht="19.5">
      <c r="A149" s="2" t="s">
        <v>2461</v>
      </c>
      <c r="B149" s="2" t="s">
        <v>2314</v>
      </c>
      <c r="C149" s="2" t="s">
        <v>31</v>
      </c>
      <c r="D149" s="2" t="s">
        <v>402</v>
      </c>
      <c r="E149" s="6">
        <v>1</v>
      </c>
      <c r="F149" s="6">
        <v>1</v>
      </c>
      <c r="G149" s="7">
        <v>0.4995708465576172</v>
      </c>
      <c r="H149" s="7">
        <v>6.223516406250001</v>
      </c>
      <c r="I149" s="7">
        <v>20.00505731092075</v>
      </c>
      <c r="J149" s="7">
        <v>9.534786150111836</v>
      </c>
      <c r="K149" s="7">
        <v>0.6657050302999916</v>
      </c>
      <c r="L149" s="7">
        <v>0.9973080413602666</v>
      </c>
      <c r="M149" s="7">
        <v>0.1954186924097176</v>
      </c>
      <c r="N149" s="7">
        <v>0.2244660999830419</v>
      </c>
      <c r="O149" s="7">
        <v>0.0541468233616372</v>
      </c>
      <c r="P149" s="7">
        <v>8.87940290809325</v>
      </c>
      <c r="Q149" s="7">
        <v>0.0513522527839986</v>
      </c>
      <c r="R149" s="7">
        <v>0.0986670338102047</v>
      </c>
      <c r="S149" s="7">
        <v>0.1219758375970546</v>
      </c>
      <c r="T149" s="7">
        <v>0.3709250119437243</v>
      </c>
    </row>
    <row x14ac:dyDescent="0.25" r="150" customHeight="1" ht="19.5">
      <c r="A150" s="2" t="s">
        <v>2462</v>
      </c>
      <c r="B150" s="2" t="s">
        <v>2314</v>
      </c>
      <c r="C150" s="2" t="s">
        <v>31</v>
      </c>
      <c r="D150" s="2" t="s">
        <v>402</v>
      </c>
      <c r="E150" s="6">
        <v>1</v>
      </c>
      <c r="F150" s="6">
        <v>1</v>
      </c>
      <c r="G150" s="7">
        <v>0.5086272954940796</v>
      </c>
      <c r="H150" s="7">
        <v>6.220053125000001</v>
      </c>
      <c r="I150" s="7">
        <v>19.99705146525356</v>
      </c>
      <c r="J150" s="7">
        <v>9.594556913786844</v>
      </c>
      <c r="K150" s="7">
        <v>0.6601220491251267</v>
      </c>
      <c r="L150" s="7">
        <v>0.9973153564285988</v>
      </c>
      <c r="M150" s="7">
        <v>0.1954663617119176</v>
      </c>
      <c r="N150" s="7">
        <v>0.2265588046816465</v>
      </c>
      <c r="O150" s="7">
        <v>0.0540731604146617</v>
      </c>
      <c r="P150" s="7">
        <v>8.899977667701528</v>
      </c>
      <c r="Q150" s="7">
        <v>0.0505710562899196</v>
      </c>
      <c r="R150" s="7">
        <v>0.0990793922779605</v>
      </c>
      <c r="S150" s="7">
        <v>0.1217947050305269</v>
      </c>
      <c r="T150" s="7">
        <v>0.3650790392743547</v>
      </c>
    </row>
    <row x14ac:dyDescent="0.25" r="151" customHeight="1" ht="19.5">
      <c r="A151" s="2" t="s">
        <v>2463</v>
      </c>
      <c r="B151" s="2" t="s">
        <v>2314</v>
      </c>
      <c r="C151" s="2" t="s">
        <v>31</v>
      </c>
      <c r="D151" s="2" t="s">
        <v>402</v>
      </c>
      <c r="E151" s="6">
        <v>1</v>
      </c>
      <c r="F151" s="6">
        <v>1</v>
      </c>
      <c r="G151" s="7">
        <v>0.5060312151908875</v>
      </c>
      <c r="H151" s="7">
        <v>6.21658984375</v>
      </c>
      <c r="I151" s="7">
        <v>19.93401949990063</v>
      </c>
      <c r="J151" s="7">
        <v>9.535036025678306</v>
      </c>
      <c r="K151" s="7">
        <v>0.658976802617232</v>
      </c>
      <c r="L151" s="7">
        <v>0.9972906024285146</v>
      </c>
      <c r="M151" s="7">
        <v>0.196594933383293</v>
      </c>
      <c r="N151" s="7">
        <v>0.2185803175288538</v>
      </c>
      <c r="O151" s="7">
        <v>0.0540593723347419</v>
      </c>
      <c r="P151" s="7">
        <v>8.873200405160034</v>
      </c>
      <c r="Q151" s="7">
        <v>0.0514782000853494</v>
      </c>
      <c r="R151" s="7">
        <v>0.0996068525469849</v>
      </c>
      <c r="S151" s="7">
        <v>0.1216143984291716</v>
      </c>
      <c r="T151" s="7">
        <v>0.3714209087095974</v>
      </c>
    </row>
    <row x14ac:dyDescent="0.25" r="152" customHeight="1" ht="19.5">
      <c r="A152" s="2" t="s">
        <v>2464</v>
      </c>
      <c r="B152" s="2" t="s">
        <v>2314</v>
      </c>
      <c r="C152" s="2" t="s">
        <v>31</v>
      </c>
      <c r="D152" s="2" t="s">
        <v>402</v>
      </c>
      <c r="E152" s="6">
        <v>1</v>
      </c>
      <c r="F152" s="6">
        <v>1</v>
      </c>
      <c r="G152" s="7">
        <v>0.4994871616363525</v>
      </c>
      <c r="H152" s="7">
        <v>6.19581015625</v>
      </c>
      <c r="I152" s="7">
        <v>19.99705146525356</v>
      </c>
      <c r="J152" s="7">
        <v>9.594727784215715</v>
      </c>
      <c r="K152" s="7">
        <v>0.6623813117255444</v>
      </c>
      <c r="L152" s="7">
        <v>0.9973082153125046</v>
      </c>
      <c r="M152" s="7">
        <v>0.1947045217720604</v>
      </c>
      <c r="N152" s="7">
        <v>0.2216835164651584</v>
      </c>
      <c r="O152" s="7">
        <v>0.0530897595204441</v>
      </c>
      <c r="P152" s="7">
        <v>8.925509293107165</v>
      </c>
      <c r="Q152" s="7">
        <v>0.0503135371832553</v>
      </c>
      <c r="R152" s="7">
        <v>0.0984425931201986</v>
      </c>
      <c r="S152" s="7">
        <v>0.1181474057855766</v>
      </c>
      <c r="T152" s="7">
        <v>0.3618043072613249</v>
      </c>
    </row>
    <row x14ac:dyDescent="0.25" r="153" customHeight="1" ht="19.5">
      <c r="A153" s="2" t="s">
        <v>2465</v>
      </c>
      <c r="B153" s="2" t="s">
        <v>2314</v>
      </c>
      <c r="C153" s="2" t="s">
        <v>31</v>
      </c>
      <c r="D153" s="2" t="s">
        <v>402</v>
      </c>
      <c r="E153" s="6">
        <v>1</v>
      </c>
      <c r="F153" s="6">
        <v>1</v>
      </c>
      <c r="G153" s="7">
        <v>0.5080509185791016</v>
      </c>
      <c r="H153" s="7">
        <v>6.2823921875</v>
      </c>
      <c r="I153" s="7">
        <v>20.12903008371599</v>
      </c>
      <c r="J153" s="7">
        <v>9.593537561295085</v>
      </c>
      <c r="K153" s="7">
        <v>0.6536380123404877</v>
      </c>
      <c r="L153" s="7">
        <v>0.997324329104062</v>
      </c>
      <c r="M153" s="7">
        <v>0.1948449752658838</v>
      </c>
      <c r="N153" s="7">
        <v>0.2223409914729697</v>
      </c>
      <c r="O153" s="7">
        <v>0.0519397659801317</v>
      </c>
      <c r="P153" s="7">
        <v>8.965383383847993</v>
      </c>
      <c r="Q153" s="7">
        <v>0.0504681337761362</v>
      </c>
      <c r="R153" s="7">
        <v>0.1000988668108915</v>
      </c>
      <c r="S153" s="7">
        <v>0.1214215765297679</v>
      </c>
      <c r="T153" s="7">
        <v>0.3679875029183586</v>
      </c>
    </row>
    <row x14ac:dyDescent="0.25" r="154" customHeight="1" ht="19.5">
      <c r="A154" s="2" t="s">
        <v>2466</v>
      </c>
      <c r="B154" s="2" t="s">
        <v>2314</v>
      </c>
      <c r="C154" s="2" t="s">
        <v>31</v>
      </c>
      <c r="D154" s="2" t="s">
        <v>402</v>
      </c>
      <c r="E154" s="6">
        <v>1</v>
      </c>
      <c r="F154" s="6">
        <v>1</v>
      </c>
      <c r="G154" s="7">
        <v>0.5090767741203308</v>
      </c>
      <c r="H154" s="7">
        <v>6.202736718750001</v>
      </c>
      <c r="I154" s="7">
        <v>20.08027743776215</v>
      </c>
      <c r="J154" s="7">
        <v>9.53492576338047</v>
      </c>
      <c r="K154" s="7">
        <v>0.66812472586639</v>
      </c>
      <c r="L154" s="7">
        <v>0.9972945940498548</v>
      </c>
      <c r="M154" s="7">
        <v>0.1933097653659527</v>
      </c>
      <c r="N154" s="7">
        <v>0.2225457638869767</v>
      </c>
      <c r="O154" s="7">
        <v>0.0534944056981988</v>
      </c>
      <c r="P154" s="7">
        <v>8.91591119436264</v>
      </c>
      <c r="Q154" s="7">
        <v>0.050214496850643</v>
      </c>
      <c r="R154" s="7">
        <v>0.0986949164299456</v>
      </c>
      <c r="S154" s="7">
        <v>0.1177098315910633</v>
      </c>
      <c r="T154" s="7">
        <v>0.3614957892861235</v>
      </c>
    </row>
    <row x14ac:dyDescent="0.25" r="155" customHeight="1" ht="19.5">
      <c r="A155" s="2" t="s">
        <v>2467</v>
      </c>
      <c r="B155" s="2" t="s">
        <v>2314</v>
      </c>
      <c r="C155" s="2" t="s">
        <v>31</v>
      </c>
      <c r="D155" s="2" t="s">
        <v>402</v>
      </c>
      <c r="E155" s="6">
        <v>1</v>
      </c>
      <c r="F155" s="6">
        <v>1</v>
      </c>
      <c r="G155" s="7">
        <v>0.5096707344055176</v>
      </c>
      <c r="H155" s="7">
        <v>6.21658984375</v>
      </c>
      <c r="I155" s="7">
        <v>20.16350341027073</v>
      </c>
      <c r="J155" s="7">
        <v>9.59444184277773</v>
      </c>
      <c r="K155" s="7">
        <v>0.6705611461971799</v>
      </c>
      <c r="L155" s="7">
        <v>0.9973370963050124</v>
      </c>
      <c r="M155" s="7">
        <v>0.1921454445539656</v>
      </c>
      <c r="N155" s="7">
        <v>0.222531842937538</v>
      </c>
      <c r="O155" s="7">
        <v>0.0534478955302797</v>
      </c>
      <c r="P155" s="7">
        <v>8.92430850569067</v>
      </c>
      <c r="Q155" s="7">
        <v>0.0498040427759951</v>
      </c>
      <c r="R155" s="7">
        <v>0.0966253821040174</v>
      </c>
      <c r="S155" s="7">
        <v>0.1135317238016948</v>
      </c>
      <c r="T155" s="7">
        <v>0.3593416785086139</v>
      </c>
    </row>
    <row x14ac:dyDescent="0.25" r="156" customHeight="1" ht="19.5">
      <c r="A156" s="2" t="s">
        <v>2468</v>
      </c>
      <c r="B156" s="2" t="s">
        <v>2314</v>
      </c>
      <c r="C156" s="2" t="s">
        <v>31</v>
      </c>
      <c r="D156" s="2" t="s">
        <v>402</v>
      </c>
      <c r="E156" s="6">
        <v>1</v>
      </c>
      <c r="F156" s="6">
        <v>1</v>
      </c>
      <c r="G156" s="7">
        <v>0.5059661269187927</v>
      </c>
      <c r="H156" s="7">
        <v>6.25122265625</v>
      </c>
      <c r="I156" s="7">
        <v>20.19797673682548</v>
      </c>
      <c r="J156" s="7">
        <v>9.594101103519336</v>
      </c>
      <c r="K156" s="7">
        <v>0.6607368299339507</v>
      </c>
      <c r="L156" s="7">
        <v>0.9973176521647644</v>
      </c>
      <c r="M156" s="7">
        <v>0.1925569048920966</v>
      </c>
      <c r="N156" s="7">
        <v>0.21882757939342</v>
      </c>
      <c r="O156" s="7">
        <v>0.0522226611674062</v>
      </c>
      <c r="P156" s="7">
        <v>8.962055581732463</v>
      </c>
      <c r="Q156" s="7">
        <v>0.0494018407512946</v>
      </c>
      <c r="R156" s="7">
        <v>0.095707753923201</v>
      </c>
      <c r="S156" s="7">
        <v>0.1122971957212681</v>
      </c>
      <c r="T156" s="7">
        <v>0.358425483153088</v>
      </c>
    </row>
    <row x14ac:dyDescent="0.25" r="157" customHeight="1" ht="19.5">
      <c r="A157" s="2" t="s">
        <v>2469</v>
      </c>
      <c r="B157" s="2" t="s">
        <v>2314</v>
      </c>
      <c r="C157" s="2" t="s">
        <v>31</v>
      </c>
      <c r="D157" s="2" t="s">
        <v>402</v>
      </c>
      <c r="E157" s="6">
        <v>1</v>
      </c>
      <c r="F157" s="6">
        <v>1</v>
      </c>
      <c r="G157" s="7">
        <v>0.5003361701965332</v>
      </c>
      <c r="H157" s="7">
        <v>6.24429609375</v>
      </c>
      <c r="I157" s="7">
        <v>20.14922409087164</v>
      </c>
      <c r="J157" s="7">
        <v>9.59409022164047</v>
      </c>
      <c r="K157" s="7">
        <v>0.660536281179994</v>
      </c>
      <c r="L157" s="7">
        <v>0.9973341530884806</v>
      </c>
      <c r="M157" s="7">
        <v>0.1932754524201697</v>
      </c>
      <c r="N157" s="7">
        <v>0.2239664090102916</v>
      </c>
      <c r="O157" s="7">
        <v>0.0540768037021959</v>
      </c>
      <c r="P157" s="7">
        <v>8.872372787655163</v>
      </c>
      <c r="Q157" s="7">
        <v>0.0503673858696797</v>
      </c>
      <c r="R157" s="7">
        <v>0.0955718190143016</v>
      </c>
      <c r="S157" s="7">
        <v>0.115913495775004</v>
      </c>
      <c r="T157" s="7">
        <v>0.3650258991860177</v>
      </c>
    </row>
    <row x14ac:dyDescent="0.25" r="158" customHeight="1" ht="19.5">
      <c r="A158" s="2" t="s">
        <v>2470</v>
      </c>
      <c r="B158" s="2" t="s">
        <v>2314</v>
      </c>
      <c r="C158" s="2" t="s">
        <v>31</v>
      </c>
      <c r="D158" s="2" t="s">
        <v>402</v>
      </c>
      <c r="E158" s="6">
        <v>1</v>
      </c>
      <c r="F158" s="6">
        <v>1</v>
      </c>
      <c r="G158" s="7">
        <v>0.5051355957984924</v>
      </c>
      <c r="H158" s="7">
        <v>6.254685937500001</v>
      </c>
      <c r="I158" s="7">
        <v>20.14922409087164</v>
      </c>
      <c r="J158" s="7">
        <v>9.59400667284036</v>
      </c>
      <c r="K158" s="7">
        <v>0.6589992683042571</v>
      </c>
      <c r="L158" s="7">
        <v>0.9973153381071156</v>
      </c>
      <c r="M158" s="7">
        <v>0.1935970421912515</v>
      </c>
      <c r="N158" s="7">
        <v>0.2197201010392104</v>
      </c>
      <c r="O158" s="7">
        <v>0.0536026385056731</v>
      </c>
      <c r="P158" s="7">
        <v>8.918175933487317</v>
      </c>
      <c r="Q158" s="7">
        <v>0.0496271012991559</v>
      </c>
      <c r="R158" s="7">
        <v>0.0990803282410831</v>
      </c>
      <c r="S158" s="7">
        <v>0.1184709212542634</v>
      </c>
      <c r="T158" s="7">
        <v>0.3602592965333843</v>
      </c>
    </row>
    <row x14ac:dyDescent="0.25" r="159" customHeight="1" ht="19.5">
      <c r="A159" s="2" t="s">
        <v>2471</v>
      </c>
      <c r="B159" s="2" t="s">
        <v>2314</v>
      </c>
      <c r="C159" s="2" t="s">
        <v>31</v>
      </c>
      <c r="D159" s="2" t="s">
        <v>402</v>
      </c>
      <c r="E159" s="6">
        <v>1</v>
      </c>
      <c r="F159" s="6">
        <v>1</v>
      </c>
      <c r="G159" s="7">
        <v>0.5067616105079651</v>
      </c>
      <c r="H159" s="7">
        <v>6.247759375</v>
      </c>
      <c r="I159" s="7">
        <v>20.28120270933407</v>
      </c>
      <c r="J159" s="7">
        <v>9.653317269163168</v>
      </c>
      <c r="K159" s="7">
        <v>0.653922240908436</v>
      </c>
      <c r="L159" s="7">
        <v>0.997318205834251</v>
      </c>
      <c r="M159" s="7">
        <v>0.1908739879008762</v>
      </c>
      <c r="N159" s="7">
        <v>0.2310963353714639</v>
      </c>
      <c r="O159" s="7">
        <v>0.0542348296236183</v>
      </c>
      <c r="P159" s="7">
        <v>8.932515322227507</v>
      </c>
      <c r="Q159" s="7">
        <v>0.0492143124306969</v>
      </c>
      <c r="R159" s="7">
        <v>0.0964062874611794</v>
      </c>
      <c r="S159" s="7">
        <v>0.117236716246092</v>
      </c>
      <c r="T159" s="7">
        <v>0.3568670878661871</v>
      </c>
    </row>
    <row x14ac:dyDescent="0.25" r="160" customHeight="1" ht="19.5">
      <c r="A160" s="2" t="s">
        <v>2472</v>
      </c>
      <c r="B160" s="2" t="s">
        <v>2314</v>
      </c>
      <c r="C160" s="2" t="s">
        <v>31</v>
      </c>
      <c r="D160" s="2" t="s">
        <v>402</v>
      </c>
      <c r="E160" s="6">
        <v>1</v>
      </c>
      <c r="F160" s="6">
        <v>1</v>
      </c>
      <c r="G160" s="7">
        <v>0.5048461556434631</v>
      </c>
      <c r="H160" s="7">
        <v>6.2685390625</v>
      </c>
      <c r="I160" s="7">
        <v>20.23245006338023</v>
      </c>
      <c r="J160" s="7">
        <v>9.653587925146724</v>
      </c>
      <c r="K160" s="7">
        <v>0.661532398598524</v>
      </c>
      <c r="L160" s="7">
        <v>0.997328288915652</v>
      </c>
      <c r="M160" s="7">
        <v>0.1924328651763501</v>
      </c>
      <c r="N160" s="7">
        <v>0.2236232554858924</v>
      </c>
      <c r="O160" s="7">
        <v>0.0531977176706862</v>
      </c>
      <c r="P160" s="7">
        <v>8.94528180563006</v>
      </c>
      <c r="Q160" s="7">
        <v>0.0491226577848315</v>
      </c>
      <c r="R160" s="7">
        <v>0.095491708197924</v>
      </c>
      <c r="S160" s="7">
        <v>0.1136922553358589</v>
      </c>
      <c r="T160" s="7">
        <v>0.3573871826468257</v>
      </c>
    </row>
    <row x14ac:dyDescent="0.25" r="161" customHeight="1" ht="19.5">
      <c r="A161" s="2" t="s">
        <v>2473</v>
      </c>
      <c r="B161" s="2" t="s">
        <v>2314</v>
      </c>
      <c r="C161" s="2" t="s">
        <v>31</v>
      </c>
      <c r="D161" s="2" t="s">
        <v>402</v>
      </c>
      <c r="E161" s="6">
        <v>1</v>
      </c>
      <c r="F161" s="6">
        <v>1</v>
      </c>
      <c r="G161" s="7">
        <v>0.5033931136131287</v>
      </c>
      <c r="H161" s="7">
        <v>6.21658984375</v>
      </c>
      <c r="I161" s="7">
        <v>20.03361594971894</v>
      </c>
      <c r="J161" s="7">
        <v>9.534551094049476</v>
      </c>
      <c r="K161" s="7">
        <v>0.6640849722005995</v>
      </c>
      <c r="L161" s="7">
        <v>0.997286022428783</v>
      </c>
      <c r="M161" s="7">
        <v>0.1946450620851411</v>
      </c>
      <c r="N161" s="7">
        <v>0.2250088004337906</v>
      </c>
      <c r="O161" s="7">
        <v>0.0529412087494152</v>
      </c>
      <c r="P161" s="7">
        <v>8.929320089969625</v>
      </c>
      <c r="Q161" s="7">
        <v>0.0493765176972771</v>
      </c>
      <c r="R161" s="7">
        <v>0.096340869723106</v>
      </c>
      <c r="S161" s="7">
        <v>0.1160853937632718</v>
      </c>
      <c r="T161" s="7">
        <v>0.3562570377680618</v>
      </c>
    </row>
    <row x14ac:dyDescent="0.25" r="162" customHeight="1" ht="19.5">
      <c r="A162" s="2" t="s">
        <v>2474</v>
      </c>
      <c r="B162" s="2" t="s">
        <v>2314</v>
      </c>
      <c r="C162" s="2" t="s">
        <v>31</v>
      </c>
      <c r="D162" s="2" t="s">
        <v>402</v>
      </c>
      <c r="E162" s="6">
        <v>1</v>
      </c>
      <c r="F162" s="6">
        <v>1</v>
      </c>
      <c r="G162" s="7">
        <v>0.5082728266716003</v>
      </c>
      <c r="H162" s="7">
        <v>6.275465625000001</v>
      </c>
      <c r="I162" s="7">
        <v>20.24672938277932</v>
      </c>
      <c r="J162" s="7">
        <v>9.653607803037932</v>
      </c>
      <c r="K162" s="7">
        <v>0.6618023797301981</v>
      </c>
      <c r="L162" s="7">
        <v>0.9973416740347923</v>
      </c>
      <c r="M162" s="7">
        <v>0.1923738615572479</v>
      </c>
      <c r="N162" s="7">
        <v>0.2209674003364617</v>
      </c>
      <c r="O162" s="7">
        <v>0.0528389586316718</v>
      </c>
      <c r="P162" s="7">
        <v>8.944692426605222</v>
      </c>
      <c r="Q162" s="7">
        <v>0.0492008568615688</v>
      </c>
      <c r="R162" s="7">
        <v>0.0964444930815364</v>
      </c>
      <c r="S162" s="7">
        <v>0.1195469499279911</v>
      </c>
      <c r="T162" s="7">
        <v>0.3583516441412867</v>
      </c>
    </row>
    <row x14ac:dyDescent="0.25" r="163" customHeight="1" ht="19.5">
      <c r="A163" s="2" t="s">
        <v>2475</v>
      </c>
      <c r="B163" s="2" t="s">
        <v>2314</v>
      </c>
      <c r="C163" s="2" t="s">
        <v>31</v>
      </c>
      <c r="D163" s="2" t="s">
        <v>402</v>
      </c>
      <c r="E163" s="6">
        <v>1</v>
      </c>
      <c r="F163" s="6">
        <v>1</v>
      </c>
      <c r="G163" s="7">
        <v>0.5034875273704529</v>
      </c>
      <c r="H163" s="7">
        <v>6.2962453125</v>
      </c>
      <c r="I163" s="7">
        <v>20.3989020083974</v>
      </c>
      <c r="J163" s="7">
        <v>9.71332899774312</v>
      </c>
      <c r="K163" s="7">
        <v>0.6618733172338287</v>
      </c>
      <c r="L163" s="7">
        <v>0.99738488558199</v>
      </c>
      <c r="M163" s="7">
        <v>0.190141940205962</v>
      </c>
      <c r="N163" s="7">
        <v>0.2237051277240208</v>
      </c>
      <c r="O163" s="7">
        <v>0.0524574589086219</v>
      </c>
      <c r="P163" s="7">
        <v>8.954052858620926</v>
      </c>
      <c r="Q163" s="7">
        <v>0.0495869176802379</v>
      </c>
      <c r="R163" s="7">
        <v>0.0956924810496633</v>
      </c>
      <c r="S163" s="7">
        <v>0.1171765349102852</v>
      </c>
      <c r="T163" s="7">
        <v>0.3623594017849881</v>
      </c>
    </row>
    <row x14ac:dyDescent="0.25" r="164" customHeight="1" ht="19.5">
      <c r="A164" s="2" t="s">
        <v>2476</v>
      </c>
      <c r="B164" s="2" t="s">
        <v>2314</v>
      </c>
      <c r="C164" s="2" t="s">
        <v>31</v>
      </c>
      <c r="D164" s="2" t="s">
        <v>402</v>
      </c>
      <c r="E164" s="6">
        <v>1</v>
      </c>
      <c r="F164" s="6">
        <v>1</v>
      </c>
      <c r="G164" s="7">
        <v>0.5127438306808472</v>
      </c>
      <c r="H164" s="7">
        <v>6.24429609375</v>
      </c>
      <c r="I164" s="7">
        <v>20.08027743776215</v>
      </c>
      <c r="J164" s="7">
        <v>9.593215418021584</v>
      </c>
      <c r="K164" s="7">
        <v>0.6453097143552633</v>
      </c>
      <c r="L164" s="7">
        <v>0.9972984980702562</v>
      </c>
      <c r="M164" s="7">
        <v>0.1946049731740998</v>
      </c>
      <c r="N164" s="7">
        <v>0.2336816851512148</v>
      </c>
      <c r="O164" s="7">
        <v>0.0543767575703566</v>
      </c>
      <c r="P164" s="7">
        <v>8.903228904756244</v>
      </c>
      <c r="Q164" s="7">
        <v>0.049101354175744</v>
      </c>
      <c r="R164" s="7">
        <v>0.0956113539981586</v>
      </c>
      <c r="S164" s="7">
        <v>0.1136974868126569</v>
      </c>
      <c r="T164" s="7">
        <v>0.3558506293264185</v>
      </c>
    </row>
    <row x14ac:dyDescent="0.25" r="165" customHeight="1" ht="19.5">
      <c r="A165" s="2" t="s">
        <v>2477</v>
      </c>
      <c r="B165" s="2" t="s">
        <v>2314</v>
      </c>
      <c r="C165" s="2" t="s">
        <v>31</v>
      </c>
      <c r="D165" s="2" t="s">
        <v>402</v>
      </c>
      <c r="E165" s="6">
        <v>1</v>
      </c>
      <c r="F165" s="6">
        <v>1</v>
      </c>
      <c r="G165" s="7">
        <v>0.4736251533031463</v>
      </c>
      <c r="H165" s="7">
        <v>6.5871609375</v>
      </c>
      <c r="I165" s="7">
        <v>19.87935216619023</v>
      </c>
      <c r="J165" s="7">
        <v>9.533457490153951</v>
      </c>
      <c r="K165" s="7">
        <v>0.6997443681886963</v>
      </c>
      <c r="L165" s="7">
        <v>0.9967686459059852</v>
      </c>
      <c r="M165" s="7">
        <v>0.2094612464150551</v>
      </c>
      <c r="N165" s="7">
        <v>0.270345733409048</v>
      </c>
      <c r="O165" s="7">
        <v>0.0622443164940352</v>
      </c>
      <c r="P165" s="7">
        <v>8.76300174829547</v>
      </c>
      <c r="Q165" s="7">
        <v>0.0371045915254311</v>
      </c>
      <c r="R165" s="7">
        <v>0.0846940070288912</v>
      </c>
      <c r="S165" s="7">
        <v>0.1074426517100946</v>
      </c>
      <c r="T165" s="7">
        <v>0.2836721558488284</v>
      </c>
    </row>
    <row x14ac:dyDescent="0.25" r="166" customHeight="1" ht="19.5">
      <c r="A166" s="2" t="s">
        <v>2478</v>
      </c>
      <c r="B166" s="2" t="s">
        <v>2314</v>
      </c>
      <c r="C166" s="2" t="s">
        <v>31</v>
      </c>
      <c r="D166" s="2" t="s">
        <v>402</v>
      </c>
      <c r="E166" s="6">
        <v>1</v>
      </c>
      <c r="F166" s="6">
        <v>1</v>
      </c>
      <c r="G166" s="7">
        <v>0.3104386329650879</v>
      </c>
      <c r="H166" s="7">
        <v>4.897079687500001</v>
      </c>
      <c r="I166" s="7">
        <v>14.90742296673204</v>
      </c>
      <c r="J166" s="7">
        <v>6.979573236473273</v>
      </c>
      <c r="K166" s="7">
        <v>0.771881480573832</v>
      </c>
      <c r="L166" s="7">
        <v>0.9940680176525136</v>
      </c>
      <c r="M166" s="7">
        <v>0.2769120708631415</v>
      </c>
      <c r="N166" s="7">
        <v>0.3841719139990248</v>
      </c>
      <c r="O166" s="7">
        <v>0.0987921613330819</v>
      </c>
      <c r="P166" s="7">
        <v>7.684201357152889</v>
      </c>
      <c r="Q166" s="7">
        <v>0.003545966075427</v>
      </c>
      <c r="R166" s="7">
        <v>0.0154448194468035</v>
      </c>
      <c r="S166" s="7">
        <v>0.0256532416707477</v>
      </c>
      <c r="T166" s="7">
        <v>0.0201540590893836</v>
      </c>
    </row>
    <row x14ac:dyDescent="0.25" r="167" customHeight="1" ht="19.5">
      <c r="A167" s="2" t="s">
        <v>2479</v>
      </c>
      <c r="B167" s="2" t="s">
        <v>2314</v>
      </c>
      <c r="C167" s="2" t="s">
        <v>31</v>
      </c>
      <c r="D167" s="2" t="s">
        <v>402</v>
      </c>
      <c r="E167" s="6">
        <v>1</v>
      </c>
      <c r="F167" s="6">
        <v>1</v>
      </c>
      <c r="G167" s="7">
        <v>0.4489040970802307</v>
      </c>
      <c r="H167" s="7">
        <v>5.47544765625</v>
      </c>
      <c r="I167" s="7">
        <v>17.78095879020588</v>
      </c>
      <c r="J167" s="7">
        <v>8.408121655606157</v>
      </c>
      <c r="K167" s="7">
        <v>0.7093634863004745</v>
      </c>
      <c r="L167" s="7">
        <v>0.9964869948264986</v>
      </c>
      <c r="M167" s="7">
        <v>0.2176301917764294</v>
      </c>
      <c r="N167" s="7">
        <v>0.375300909634777</v>
      </c>
      <c r="O167" s="7">
        <v>0.0785483515361055</v>
      </c>
      <c r="P167" s="7">
        <v>8.103376613478435</v>
      </c>
      <c r="Q167" s="7">
        <v>0.0118221784301777</v>
      </c>
      <c r="R167" s="7">
        <v>0.0318053941238533</v>
      </c>
      <c r="S167" s="7">
        <v>0.0400550283848238</v>
      </c>
      <c r="T167" s="7">
        <v>0.0751290541839232</v>
      </c>
    </row>
    <row x14ac:dyDescent="0.25" r="168" customHeight="1" ht="19.5">
      <c r="A168" s="2" t="s">
        <v>2480</v>
      </c>
      <c r="B168" s="2" t="s">
        <v>2314</v>
      </c>
      <c r="C168" s="2" t="s">
        <v>31</v>
      </c>
      <c r="D168" s="2" t="s">
        <v>402</v>
      </c>
      <c r="E168" s="6">
        <v>1</v>
      </c>
      <c r="F168" s="6">
        <v>1</v>
      </c>
      <c r="G168" s="7">
        <v>0.3728311657905578</v>
      </c>
      <c r="H168" s="7">
        <v>6.56984453125</v>
      </c>
      <c r="I168" s="7">
        <v>20.03152479180831</v>
      </c>
      <c r="J168" s="7">
        <v>9.4154032401222</v>
      </c>
      <c r="K168" s="7">
        <v>0.7114127880470196</v>
      </c>
      <c r="L168" s="7">
        <v>0.9969525089784652</v>
      </c>
      <c r="M168" s="7">
        <v>0.2057486237044235</v>
      </c>
      <c r="N168" s="7">
        <v>0.3094972169596141</v>
      </c>
      <c r="O168" s="7">
        <v>0.0640615517753993</v>
      </c>
      <c r="P168" s="7">
        <v>8.501622711834338</v>
      </c>
      <c r="Q168" s="7">
        <v>0.0189499438590991</v>
      </c>
      <c r="R168" s="7">
        <v>0.0443014981347968</v>
      </c>
      <c r="S168" s="7">
        <v>0.056513372026425</v>
      </c>
      <c r="T168" s="7">
        <v>0.1444953263687736</v>
      </c>
    </row>
    <row x14ac:dyDescent="0.25" r="169" customHeight="1" ht="19.5">
      <c r="A169" s="2" t="s">
        <v>2481</v>
      </c>
      <c r="B169" s="2" t="s">
        <v>2314</v>
      </c>
      <c r="C169" s="2" t="s">
        <v>31</v>
      </c>
      <c r="D169" s="2" t="s">
        <v>402</v>
      </c>
      <c r="E169" s="6">
        <v>1</v>
      </c>
      <c r="F169" s="6">
        <v>1</v>
      </c>
      <c r="G169" s="7">
        <v>0.4284214973449707</v>
      </c>
      <c r="H169" s="7">
        <v>6.223516406250001</v>
      </c>
      <c r="I169" s="7">
        <v>20.12066545207346</v>
      </c>
      <c r="J169" s="7">
        <v>9.596887445827736</v>
      </c>
      <c r="K169" s="7">
        <v>0.6930511031834461</v>
      </c>
      <c r="L169" s="7">
        <v>0.997263077311218</v>
      </c>
      <c r="M169" s="7">
        <v>0.1931794933178154</v>
      </c>
      <c r="N169" s="7">
        <v>0.3064132711702383</v>
      </c>
      <c r="O169" s="7">
        <v>0.0707720477840388</v>
      </c>
      <c r="P169" s="7">
        <v>8.564042505753193</v>
      </c>
      <c r="Q169" s="7">
        <v>0.0296693175723562</v>
      </c>
      <c r="R169" s="7">
        <v>0.0584062245439682</v>
      </c>
      <c r="S169" s="7">
        <v>0.082459937953507</v>
      </c>
      <c r="T169" s="7">
        <v>0.2143059238545732</v>
      </c>
    </row>
    <row x14ac:dyDescent="0.25" r="170" customHeight="1" ht="19.5">
      <c r="A170" s="2" t="s">
        <v>2482</v>
      </c>
      <c r="B170" s="2" t="s">
        <v>2314</v>
      </c>
      <c r="C170" s="2" t="s">
        <v>31</v>
      </c>
      <c r="D170" s="2" t="s">
        <v>402</v>
      </c>
      <c r="E170" s="6">
        <v>1</v>
      </c>
      <c r="F170" s="6">
        <v>1</v>
      </c>
      <c r="G170" s="7">
        <v>0.5117454528808594</v>
      </c>
      <c r="H170" s="7">
        <v>7.006217968750001</v>
      </c>
      <c r="I170" s="7">
        <v>21.24299110899639</v>
      </c>
      <c r="J170" s="7">
        <v>10.0737066960347</v>
      </c>
      <c r="K170" s="7">
        <v>0.7498637360065604</v>
      </c>
      <c r="L170" s="7">
        <v>0.9971578644480316</v>
      </c>
      <c r="M170" s="7">
        <v>0.1951022032260387</v>
      </c>
      <c r="N170" s="7">
        <v>0.2477266398244239</v>
      </c>
      <c r="O170" s="7">
        <v>0.0584325226026747</v>
      </c>
      <c r="P170" s="7">
        <v>8.988302588695408</v>
      </c>
      <c r="Q170" s="7">
        <v>0.0401405160462115</v>
      </c>
      <c r="R170" s="7">
        <v>0.0769648366864901</v>
      </c>
      <c r="S170" s="7">
        <v>0.0916253548395093</v>
      </c>
      <c r="T170" s="7">
        <v>0.3264054307550522</v>
      </c>
    </row>
    <row x14ac:dyDescent="0.25" r="171" customHeight="1" ht="19.5">
      <c r="A171" s="2" t="s">
        <v>2483</v>
      </c>
      <c r="B171" s="2" t="s">
        <v>2314</v>
      </c>
      <c r="C171" s="2" t="s">
        <v>31</v>
      </c>
      <c r="D171" s="2" t="s">
        <v>402</v>
      </c>
      <c r="E171" s="6">
        <v>1</v>
      </c>
      <c r="F171" s="6">
        <v>1</v>
      </c>
      <c r="G171" s="7">
        <v>0.5078368782997131</v>
      </c>
      <c r="H171" s="7">
        <v>6.61833046875</v>
      </c>
      <c r="I171" s="7">
        <v>21.02778651802538</v>
      </c>
      <c r="J171" s="7">
        <v>10.0736271937396</v>
      </c>
      <c r="K171" s="7">
        <v>0.7045034397073313</v>
      </c>
      <c r="L171" s="7">
        <v>0.9975086700956414</v>
      </c>
      <c r="M171" s="7">
        <v>0.1880923767373373</v>
      </c>
      <c r="N171" s="7">
        <v>0.2564542580035979</v>
      </c>
      <c r="O171" s="7">
        <v>0.0634196064521709</v>
      </c>
      <c r="P171" s="7">
        <v>8.843828658921357</v>
      </c>
      <c r="Q171" s="7">
        <v>0.0439872468443914</v>
      </c>
      <c r="R171" s="7">
        <v>0.0798598534555763</v>
      </c>
      <c r="S171" s="7">
        <v>0.0965060166541399</v>
      </c>
      <c r="T171" s="7">
        <v>0.3378827414081913</v>
      </c>
    </row>
    <row x14ac:dyDescent="0.25" r="172" customHeight="1" ht="19.5">
      <c r="A172" s="2" t="s">
        <v>2484</v>
      </c>
      <c r="B172" s="2" t="s">
        <v>2314</v>
      </c>
      <c r="C172" s="2" t="s">
        <v>31</v>
      </c>
      <c r="D172" s="2" t="s">
        <v>402</v>
      </c>
      <c r="E172" s="6">
        <v>1</v>
      </c>
      <c r="F172" s="6">
        <v>1</v>
      </c>
      <c r="G172" s="7">
        <v>0.5131112337112427</v>
      </c>
      <c r="H172" s="7">
        <v>6.56984453125</v>
      </c>
      <c r="I172" s="7">
        <v>20.94456054551679</v>
      </c>
      <c r="J172" s="7">
        <v>10.01478088453436</v>
      </c>
      <c r="K172" s="7">
        <v>0.707823062196492</v>
      </c>
      <c r="L172" s="7">
        <v>0.9974771166601084</v>
      </c>
      <c r="M172" s="7">
        <v>0.188201227432528</v>
      </c>
      <c r="N172" s="7">
        <v>0.2618328393818223</v>
      </c>
      <c r="O172" s="7">
        <v>0.0652776774115924</v>
      </c>
      <c r="P172" s="7">
        <v>8.81467401673305</v>
      </c>
      <c r="Q172" s="7">
        <v>0.0442618943201773</v>
      </c>
      <c r="R172" s="7">
        <v>0.0806643229065668</v>
      </c>
      <c r="S172" s="7">
        <v>0.0916520279628539</v>
      </c>
      <c r="T172" s="7">
        <v>0.3375016260231933</v>
      </c>
    </row>
    <row x14ac:dyDescent="0.25" r="173" customHeight="1" ht="19.5">
      <c r="A173" s="2" t="s">
        <v>2485</v>
      </c>
      <c r="B173" s="2" t="s">
        <v>2314</v>
      </c>
      <c r="C173" s="2" t="s">
        <v>31</v>
      </c>
      <c r="D173" s="2" t="s">
        <v>402</v>
      </c>
      <c r="E173" s="6">
        <v>1</v>
      </c>
      <c r="F173" s="6">
        <v>1</v>
      </c>
      <c r="G173" s="7">
        <v>0.5089433193206787</v>
      </c>
      <c r="H173" s="7">
        <v>6.649500000000001</v>
      </c>
      <c r="I173" s="7">
        <v>21.14548581708871</v>
      </c>
      <c r="J173" s="7">
        <v>10.13324460790604</v>
      </c>
      <c r="K173" s="7">
        <v>0.705649784477402</v>
      </c>
      <c r="L173" s="7">
        <v>0.9975309839637724</v>
      </c>
      <c r="M173" s="7">
        <v>0.1868802986061199</v>
      </c>
      <c r="N173" s="7">
        <v>0.2265841745731171</v>
      </c>
      <c r="O173" s="7">
        <v>0.0620214389113521</v>
      </c>
      <c r="P173" s="7">
        <v>8.737659473669162</v>
      </c>
      <c r="Q173" s="7">
        <v>0.0437620194380096</v>
      </c>
      <c r="R173" s="7">
        <v>0.0804168786695075</v>
      </c>
      <c r="S173" s="7">
        <v>0.0905901275660995</v>
      </c>
      <c r="T173" s="7">
        <v>0.3377358208594397</v>
      </c>
    </row>
    <row x14ac:dyDescent="0.25" r="174" customHeight="1" ht="19.5">
      <c r="A174" s="2" t="s">
        <v>2486</v>
      </c>
      <c r="B174" s="2" t="s">
        <v>2314</v>
      </c>
      <c r="C174" s="2" t="s">
        <v>31</v>
      </c>
      <c r="D174" s="2" t="s">
        <v>402</v>
      </c>
      <c r="E174" s="6">
        <v>1</v>
      </c>
      <c r="F174" s="6">
        <v>1</v>
      </c>
      <c r="G174" s="7">
        <v>0.5108961462974548</v>
      </c>
      <c r="H174" s="7">
        <v>6.614867187500001</v>
      </c>
      <c r="I174" s="7">
        <v>21.04206583742447</v>
      </c>
      <c r="J174" s="7">
        <v>10.13286620620831</v>
      </c>
      <c r="K174" s="7">
        <v>0.7069841029655843</v>
      </c>
      <c r="L174" s="7">
        <v>0.9975192799357868</v>
      </c>
      <c r="M174" s="7">
        <v>0.187738888667843</v>
      </c>
      <c r="N174" s="7">
        <v>0.2287216903343004</v>
      </c>
      <c r="O174" s="7">
        <v>0.0624500973453566</v>
      </c>
      <c r="P174" s="7">
        <v>8.736127711477634</v>
      </c>
      <c r="Q174" s="7">
        <v>0.0435121923458364</v>
      </c>
      <c r="R174" s="7">
        <v>0.0793480038783478</v>
      </c>
      <c r="S174" s="7">
        <v>0.0925361013285297</v>
      </c>
      <c r="T174" s="7">
        <v>0.33405876758674</v>
      </c>
    </row>
    <row x14ac:dyDescent="0.25" r="175" customHeight="1" ht="19.5">
      <c r="A175" s="2" t="s">
        <v>2487</v>
      </c>
      <c r="B175" s="2" t="s">
        <v>2314</v>
      </c>
      <c r="C175" s="2" t="s">
        <v>31</v>
      </c>
      <c r="D175" s="2" t="s">
        <v>402</v>
      </c>
      <c r="E175" s="6">
        <v>1</v>
      </c>
      <c r="F175" s="6">
        <v>1</v>
      </c>
      <c r="G175" s="7">
        <v>0.5073046684265137</v>
      </c>
      <c r="H175" s="7">
        <v>6.635646875000001</v>
      </c>
      <c r="I175" s="7">
        <v>21.12529180993305</v>
      </c>
      <c r="J175" s="7">
        <v>10.1918157939368</v>
      </c>
      <c r="K175" s="7">
        <v>0.7051003191292162</v>
      </c>
      <c r="L175" s="7">
        <v>0.9975354166659022</v>
      </c>
      <c r="M175" s="7">
        <v>0.1868476745033666</v>
      </c>
      <c r="N175" s="7">
        <v>0.2322057056617619</v>
      </c>
      <c r="O175" s="7">
        <v>0.0626570173294251</v>
      </c>
      <c r="P175" s="7">
        <v>8.763840541085806</v>
      </c>
      <c r="Q175" s="7">
        <v>0.0435068448721646</v>
      </c>
      <c r="R175" s="7">
        <v>0.0804914771906128</v>
      </c>
      <c r="S175" s="7">
        <v>0.0899631444215969</v>
      </c>
      <c r="T175" s="7">
        <v>0.3350669834089071</v>
      </c>
    </row>
    <row x14ac:dyDescent="0.25" r="176" customHeight="1" ht="19.5">
      <c r="A176" s="2" t="s">
        <v>2488</v>
      </c>
      <c r="B176" s="2" t="s">
        <v>2314</v>
      </c>
      <c r="C176" s="2" t="s">
        <v>31</v>
      </c>
      <c r="D176" s="2" t="s">
        <v>402</v>
      </c>
      <c r="E176" s="6">
        <v>1</v>
      </c>
      <c r="F176" s="6">
        <v>1</v>
      </c>
      <c r="G176" s="7">
        <v>0.5130974054336548</v>
      </c>
      <c r="H176" s="7">
        <v>6.988901562500001</v>
      </c>
      <c r="I176" s="7">
        <v>21.12529180993306</v>
      </c>
      <c r="J176" s="7">
        <v>10.07323245756831</v>
      </c>
      <c r="K176" s="7">
        <v>0.7475037849516564</v>
      </c>
      <c r="L176" s="7">
        <v>0.9971590132373817</v>
      </c>
      <c r="M176" s="7">
        <v>0.1967946801397671</v>
      </c>
      <c r="N176" s="7">
        <v>0.2342067938166212</v>
      </c>
      <c r="O176" s="7">
        <v>0.0587305431751569</v>
      </c>
      <c r="P176" s="7">
        <v>8.930273835694733</v>
      </c>
      <c r="Q176" s="7">
        <v>0.0418289712161335</v>
      </c>
      <c r="R176" s="7">
        <v>0.0801744195427578</v>
      </c>
      <c r="S176" s="7">
        <v>0.088430856199829</v>
      </c>
      <c r="T176" s="7">
        <v>0.3392945524310682</v>
      </c>
    </row>
    <row x14ac:dyDescent="0.25" r="177" customHeight="1" ht="19.5">
      <c r="A177" s="2" t="s">
        <v>2489</v>
      </c>
      <c r="B177" s="2" t="s">
        <v>2314</v>
      </c>
      <c r="C177" s="2" t="s">
        <v>31</v>
      </c>
      <c r="D177" s="2" t="s">
        <v>402</v>
      </c>
      <c r="E177" s="6">
        <v>1</v>
      </c>
      <c r="F177" s="6">
        <v>1</v>
      </c>
      <c r="G177" s="7">
        <v>0.5043855905532837</v>
      </c>
      <c r="H177" s="7">
        <v>7.047777343750001</v>
      </c>
      <c r="I177" s="7">
        <v>21.34049640090407</v>
      </c>
      <c r="J177" s="7">
        <v>10.19229077396616</v>
      </c>
      <c r="K177" s="7">
        <v>0.7530447570896026</v>
      </c>
      <c r="L177" s="7">
        <v>0.9972057193251292</v>
      </c>
      <c r="M177" s="7">
        <v>0.1944701748107478</v>
      </c>
      <c r="N177" s="7">
        <v>0.2378064132191928</v>
      </c>
      <c r="O177" s="7">
        <v>0.0613537758372107</v>
      </c>
      <c r="P177" s="7">
        <v>8.930865922207339</v>
      </c>
      <c r="Q177" s="7">
        <v>0.0416129621295131</v>
      </c>
      <c r="R177" s="7">
        <v>0.0795240903520223</v>
      </c>
      <c r="S177" s="7">
        <v>0.0878901759025398</v>
      </c>
      <c r="T177" s="7">
        <v>0.3403859193881146</v>
      </c>
    </row>
    <row x14ac:dyDescent="0.25" r="178" customHeight="1" ht="19.5">
      <c r="A178" s="2" t="s">
        <v>2490</v>
      </c>
      <c r="B178" s="2" t="s">
        <v>2314</v>
      </c>
      <c r="C178" s="2" t="s">
        <v>31</v>
      </c>
      <c r="D178" s="2" t="s">
        <v>402</v>
      </c>
      <c r="E178" s="6">
        <v>1</v>
      </c>
      <c r="F178" s="6">
        <v>1</v>
      </c>
      <c r="G178" s="7">
        <v>0.5045903921127319</v>
      </c>
      <c r="H178" s="7">
        <v>7.0027546875</v>
      </c>
      <c r="I178" s="7">
        <v>21.22279710184073</v>
      </c>
      <c r="J178" s="7">
        <v>10.1325951286021</v>
      </c>
      <c r="K178" s="7">
        <v>0.7502802881910879</v>
      </c>
      <c r="L178" s="7">
        <v>0.997168003490081</v>
      </c>
      <c r="M178" s="7">
        <v>0.1953770432064047</v>
      </c>
      <c r="N178" s="7">
        <v>0.2338623982373134</v>
      </c>
      <c r="O178" s="7">
        <v>0.0581663570343115</v>
      </c>
      <c r="P178" s="7">
        <v>8.995090696327098</v>
      </c>
      <c r="Q178" s="7">
        <v>0.0419317049047319</v>
      </c>
      <c r="R178" s="7">
        <v>0.0798066843300025</v>
      </c>
      <c r="S178" s="7">
        <v>0.087888939869942</v>
      </c>
      <c r="T178" s="7">
        <v>0.3408020619829653</v>
      </c>
    </row>
    <row x14ac:dyDescent="0.25" r="179" customHeight="1" ht="19.5">
      <c r="A179" s="2" t="s">
        <v>2491</v>
      </c>
      <c r="B179" s="2" t="s">
        <v>2314</v>
      </c>
      <c r="C179" s="2" t="s">
        <v>31</v>
      </c>
      <c r="D179" s="2" t="s">
        <v>402</v>
      </c>
      <c r="E179" s="6">
        <v>1</v>
      </c>
      <c r="F179" s="6">
        <v>1</v>
      </c>
      <c r="G179" s="7">
        <v>0.5085550546646118</v>
      </c>
      <c r="H179" s="7">
        <v>6.94387890625</v>
      </c>
      <c r="I179" s="7">
        <v>21.11937712217649</v>
      </c>
      <c r="J179" s="7">
        <v>10.07326905955382</v>
      </c>
      <c r="K179" s="7">
        <v>0.7545501269216321</v>
      </c>
      <c r="L179" s="7">
        <v>0.997117169051452</v>
      </c>
      <c r="M179" s="7">
        <v>0.1956364583036719</v>
      </c>
      <c r="N179" s="7">
        <v>0.2395534088677932</v>
      </c>
      <c r="O179" s="7">
        <v>0.0617113176413685</v>
      </c>
      <c r="P179" s="7">
        <v>8.917490907357193</v>
      </c>
      <c r="Q179" s="7">
        <v>0.0416193753765188</v>
      </c>
      <c r="R179" s="7">
        <v>0.0791223819265999</v>
      </c>
      <c r="S179" s="7">
        <v>0.0869550135820022</v>
      </c>
      <c r="T179" s="7">
        <v>0.335419630904034</v>
      </c>
    </row>
    <row x14ac:dyDescent="0.25" r="180" customHeight="1" ht="19.5">
      <c r="A180" s="2" t="s">
        <v>2492</v>
      </c>
      <c r="B180" s="2" t="s">
        <v>2314</v>
      </c>
      <c r="C180" s="2" t="s">
        <v>31</v>
      </c>
      <c r="D180" s="2" t="s">
        <v>402</v>
      </c>
      <c r="E180" s="6">
        <v>1</v>
      </c>
      <c r="F180" s="6">
        <v>1</v>
      </c>
      <c r="G180" s="7">
        <v>0.5091635584831238</v>
      </c>
      <c r="H180" s="7">
        <v>7.0027546875</v>
      </c>
      <c r="I180" s="7">
        <v>21.25727042839548</v>
      </c>
      <c r="J180" s="7">
        <v>10.13319404101164</v>
      </c>
      <c r="K180" s="7">
        <v>0.7530877466814385</v>
      </c>
      <c r="L180" s="7">
        <v>0.9971893688328765</v>
      </c>
      <c r="M180" s="7">
        <v>0.194743863584022</v>
      </c>
      <c r="N180" s="7">
        <v>0.2387309995790956</v>
      </c>
      <c r="O180" s="7">
        <v>0.0602321241601765</v>
      </c>
      <c r="P180" s="7">
        <v>8.939093345066524</v>
      </c>
      <c r="Q180" s="7">
        <v>0.0416044604373426</v>
      </c>
      <c r="R180" s="7">
        <v>0.0785910942627793</v>
      </c>
      <c r="S180" s="7">
        <v>0.0873942777498704</v>
      </c>
      <c r="T180" s="7">
        <v>0.3381423659483735</v>
      </c>
    </row>
    <row x14ac:dyDescent="0.25" r="181" customHeight="1" ht="19.5">
      <c r="A181" s="2" t="s">
        <v>2493</v>
      </c>
      <c r="B181" s="2" t="s">
        <v>2314</v>
      </c>
      <c r="C181" s="2" t="s">
        <v>31</v>
      </c>
      <c r="D181" s="2" t="s">
        <v>402</v>
      </c>
      <c r="E181" s="6">
        <v>1</v>
      </c>
      <c r="F181" s="6">
        <v>1</v>
      </c>
      <c r="G181" s="7">
        <v>0.5102753043174744</v>
      </c>
      <c r="H181" s="7">
        <v>6.992364843750001</v>
      </c>
      <c r="I181" s="7">
        <v>21.27154974779458</v>
      </c>
      <c r="J181" s="7">
        <v>10.13344300561696</v>
      </c>
      <c r="K181" s="7">
        <v>0.75632493552468</v>
      </c>
      <c r="L181" s="7">
        <v>0.997163368569026</v>
      </c>
      <c r="M181" s="7">
        <v>0.1941939435157509</v>
      </c>
      <c r="N181" s="7">
        <v>0.2387452200837803</v>
      </c>
      <c r="O181" s="7">
        <v>0.0594961446314359</v>
      </c>
      <c r="P181" s="7">
        <v>8.9765742910054</v>
      </c>
      <c r="Q181" s="7">
        <v>0.0419829930295272</v>
      </c>
      <c r="R181" s="7">
        <v>0.0796639560946558</v>
      </c>
      <c r="S181" s="7">
        <v>0.0922167662576786</v>
      </c>
      <c r="T181" s="7">
        <v>0.3407126493143294</v>
      </c>
    </row>
    <row x14ac:dyDescent="0.25" r="182" customHeight="1" ht="19.5">
      <c r="A182" s="2" t="s">
        <v>2494</v>
      </c>
      <c r="B182" s="2" t="s">
        <v>2314</v>
      </c>
      <c r="C182" s="2" t="s">
        <v>31</v>
      </c>
      <c r="D182" s="2" t="s">
        <v>402</v>
      </c>
      <c r="E182" s="6">
        <v>1</v>
      </c>
      <c r="F182" s="6">
        <v>1</v>
      </c>
      <c r="G182" s="7">
        <v>0.5070626735687256</v>
      </c>
      <c r="H182" s="7">
        <v>6.62525703125</v>
      </c>
      <c r="I182" s="7">
        <v>21.20851778244164</v>
      </c>
      <c r="J182" s="7">
        <v>10.19247761366041</v>
      </c>
      <c r="K182" s="7">
        <v>0.7081355903638428</v>
      </c>
      <c r="L182" s="7">
        <v>0.997546611174025</v>
      </c>
      <c r="M182" s="7">
        <v>0.1850938378107497</v>
      </c>
      <c r="N182" s="7">
        <v>0.2314539450298491</v>
      </c>
      <c r="O182" s="7">
        <v>0.0624962867794221</v>
      </c>
      <c r="P182" s="7">
        <v>8.81599939028989</v>
      </c>
      <c r="Q182" s="7">
        <v>0.0435338102479904</v>
      </c>
      <c r="R182" s="7">
        <v>0.0787132616351225</v>
      </c>
      <c r="S182" s="7">
        <v>0.0876873650415231</v>
      </c>
      <c r="T182" s="7">
        <v>0.334749696323625</v>
      </c>
    </row>
    <row x14ac:dyDescent="0.25" r="183" customHeight="1" ht="19.5">
      <c r="A183" s="2" t="s">
        <v>2495</v>
      </c>
      <c r="B183" s="2" t="s">
        <v>2314</v>
      </c>
      <c r="C183" s="2" t="s">
        <v>31</v>
      </c>
      <c r="D183" s="2" t="s">
        <v>402</v>
      </c>
      <c r="E183" s="6">
        <v>1</v>
      </c>
      <c r="F183" s="6">
        <v>1</v>
      </c>
      <c r="G183" s="7">
        <v>0.5134673714637756</v>
      </c>
      <c r="H183" s="7">
        <v>7.01314453125</v>
      </c>
      <c r="I183" s="7">
        <v>21.22279710184073</v>
      </c>
      <c r="J183" s="7">
        <v>10.13206909467304</v>
      </c>
      <c r="K183" s="7">
        <v>0.7492585520286394</v>
      </c>
      <c r="L183" s="7">
        <v>0.9971767035713784</v>
      </c>
      <c r="M183" s="7">
        <v>0.1956669201251086</v>
      </c>
      <c r="N183" s="7">
        <v>0.237768555371806</v>
      </c>
      <c r="O183" s="7">
        <v>0.0590576467190154</v>
      </c>
      <c r="P183" s="7">
        <v>8.977671384116356</v>
      </c>
      <c r="Q183" s="7">
        <v>0.0416364939470706</v>
      </c>
      <c r="R183" s="7">
        <v>0.0790039345314093</v>
      </c>
      <c r="S183" s="7">
        <v>0.0897843064704687</v>
      </c>
      <c r="T183" s="7">
        <v>0.3389048011130077</v>
      </c>
    </row>
    <row x14ac:dyDescent="0.25" r="184" customHeight="1" ht="19.5">
      <c r="A184" s="2" t="s">
        <v>2496</v>
      </c>
      <c r="B184" s="2" t="s">
        <v>2314</v>
      </c>
      <c r="C184" s="2" t="s">
        <v>31</v>
      </c>
      <c r="D184" s="2" t="s">
        <v>402</v>
      </c>
      <c r="E184" s="6">
        <v>1</v>
      </c>
      <c r="F184" s="6">
        <v>1</v>
      </c>
      <c r="G184" s="7">
        <v>0.5110265016555786</v>
      </c>
      <c r="H184" s="7">
        <v>7.0373875</v>
      </c>
      <c r="I184" s="7">
        <v>21.29174375495023</v>
      </c>
      <c r="J184" s="7">
        <v>10.13291948360088</v>
      </c>
      <c r="K184" s="7">
        <v>0.7498588521161829</v>
      </c>
      <c r="L184" s="7">
        <v>0.9971930668116156</v>
      </c>
      <c r="M184" s="7">
        <v>0.1950737656918758</v>
      </c>
      <c r="N184" s="7">
        <v>0.2384717081810939</v>
      </c>
      <c r="O184" s="7">
        <v>0.058963817620219</v>
      </c>
      <c r="P184" s="7">
        <v>8.95835465359012</v>
      </c>
      <c r="Q184" s="7">
        <v>0.0416474179613122</v>
      </c>
      <c r="R184" s="7">
        <v>0.0784826167625909</v>
      </c>
      <c r="S184" s="7">
        <v>0.0867499130700006</v>
      </c>
      <c r="T184" s="7">
        <v>0.3401655484603709</v>
      </c>
    </row>
    <row x14ac:dyDescent="0.25" r="185" customHeight="1" ht="19.5">
      <c r="A185" s="2" t="s">
        <v>2497</v>
      </c>
      <c r="B185" s="2" t="s">
        <v>2314</v>
      </c>
      <c r="C185" s="2" t="s">
        <v>31</v>
      </c>
      <c r="D185" s="2" t="s">
        <v>402</v>
      </c>
      <c r="E185" s="6">
        <v>1</v>
      </c>
      <c r="F185" s="6">
        <v>1</v>
      </c>
      <c r="G185" s="7">
        <v>0.5130087733268738</v>
      </c>
      <c r="H185" s="7">
        <v>7.009681250000001</v>
      </c>
      <c r="I185" s="7">
        <v>21.25727042839548</v>
      </c>
      <c r="J185" s="7">
        <v>10.13310432189801</v>
      </c>
      <c r="K185" s="7">
        <v>0.7530527772224525</v>
      </c>
      <c r="L185" s="7">
        <v>0.997167240607798</v>
      </c>
      <c r="M185" s="7">
        <v>0.1949364885727302</v>
      </c>
      <c r="N185" s="7">
        <v>0.237444045346774</v>
      </c>
      <c r="O185" s="7">
        <v>0.0589327381356287</v>
      </c>
      <c r="P185" s="7">
        <v>8.979745353457181</v>
      </c>
      <c r="Q185" s="7">
        <v>0.0416162935001704</v>
      </c>
      <c r="R185" s="7">
        <v>0.0791669478291314</v>
      </c>
      <c r="S185" s="7">
        <v>0.0884901418394545</v>
      </c>
      <c r="T185" s="7">
        <v>0.3385730981650905</v>
      </c>
    </row>
    <row x14ac:dyDescent="0.25" r="186" customHeight="1" ht="19.5">
      <c r="A186" s="2" t="s">
        <v>2498</v>
      </c>
      <c r="B186" s="2" t="s">
        <v>2314</v>
      </c>
      <c r="C186" s="2" t="s">
        <v>31</v>
      </c>
      <c r="D186" s="2" t="s">
        <v>402</v>
      </c>
      <c r="E186" s="6">
        <v>1</v>
      </c>
      <c r="F186" s="6">
        <v>1</v>
      </c>
      <c r="G186" s="7">
        <v>0.512561559677124</v>
      </c>
      <c r="H186" s="7">
        <v>7.051240625</v>
      </c>
      <c r="I186" s="7">
        <v>21.30602307434932</v>
      </c>
      <c r="J186" s="7">
        <v>10.19169254113342</v>
      </c>
      <c r="K186" s="7">
        <v>0.7492480297262685</v>
      </c>
      <c r="L186" s="7">
        <v>0.9972146385475864</v>
      </c>
      <c r="M186" s="7">
        <v>0.1951958649503898</v>
      </c>
      <c r="N186" s="7">
        <v>0.2382410074726291</v>
      </c>
      <c r="O186" s="7">
        <v>0.0586698764197407</v>
      </c>
      <c r="P186" s="7">
        <v>8.993675799051188</v>
      </c>
      <c r="Q186" s="7">
        <v>0.0417012612136054</v>
      </c>
      <c r="R186" s="7">
        <v>0.078977383353096</v>
      </c>
      <c r="S186" s="7">
        <v>0.0875319115878747</v>
      </c>
      <c r="T186" s="7">
        <v>0.3412758094170525</v>
      </c>
    </row>
    <row x14ac:dyDescent="0.25" r="187" customHeight="1" ht="19.5">
      <c r="A187" s="2" t="s">
        <v>2499</v>
      </c>
      <c r="B187" s="2" t="s">
        <v>2314</v>
      </c>
      <c r="C187" s="2" t="s">
        <v>31</v>
      </c>
      <c r="D187" s="2" t="s">
        <v>402</v>
      </c>
      <c r="E187" s="6">
        <v>1</v>
      </c>
      <c r="F187" s="6">
        <v>1</v>
      </c>
      <c r="G187" s="7">
        <v>0.5080537796020508</v>
      </c>
      <c r="H187" s="7">
        <v>7.023534375000001</v>
      </c>
      <c r="I187" s="7">
        <v>21.29174375495023</v>
      </c>
      <c r="J187" s="7">
        <v>10.13298921062849</v>
      </c>
      <c r="K187" s="7">
        <v>0.7504815619476797</v>
      </c>
      <c r="L187" s="7">
        <v>0.9971864229160584</v>
      </c>
      <c r="M187" s="7">
        <v>0.1946897622161044</v>
      </c>
      <c r="N187" s="7">
        <v>0.2391339845349667</v>
      </c>
      <c r="O187" s="7">
        <v>0.0596520110627812</v>
      </c>
      <c r="P187" s="7">
        <v>8.974012901918805</v>
      </c>
      <c r="Q187" s="7">
        <v>0.0421249162799474</v>
      </c>
      <c r="R187" s="7">
        <v>0.0801663484610614</v>
      </c>
      <c r="S187" s="7">
        <v>0.0874302706964385</v>
      </c>
      <c r="T187" s="7">
        <v>0.3433883390828753</v>
      </c>
    </row>
    <row x14ac:dyDescent="0.25" r="188" customHeight="1" ht="19.5">
      <c r="A188" s="2" t="s">
        <v>2500</v>
      </c>
      <c r="B188" s="2" t="s">
        <v>2314</v>
      </c>
      <c r="C188" s="2" t="s">
        <v>31</v>
      </c>
      <c r="D188" s="2" t="s">
        <v>402</v>
      </c>
      <c r="E188" s="6">
        <v>1</v>
      </c>
      <c r="F188" s="6">
        <v>1</v>
      </c>
      <c r="G188" s="7">
        <v>0.5087748169898987</v>
      </c>
      <c r="H188" s="7">
        <v>7.0581671875</v>
      </c>
      <c r="I188" s="7">
        <v>21.47247501936649</v>
      </c>
      <c r="J188" s="7">
        <v>10.25202917086668</v>
      </c>
      <c r="K188" s="7">
        <v>0.7561725920203631</v>
      </c>
      <c r="L188" s="7">
        <v>0.9972008273354612</v>
      </c>
      <c r="M188" s="7">
        <v>0.1923701098637068</v>
      </c>
      <c r="N188" s="7">
        <v>0.2431635155361079</v>
      </c>
      <c r="O188" s="7">
        <v>0.0604652399941619</v>
      </c>
      <c r="P188" s="7">
        <v>9.018143853577612</v>
      </c>
      <c r="Q188" s="7">
        <v>0.0418558205029572</v>
      </c>
      <c r="R188" s="7">
        <v>0.0807725106140923</v>
      </c>
      <c r="S188" s="7">
        <v>0.0887381859153918</v>
      </c>
      <c r="T188" s="7">
        <v>0.342877179522822</v>
      </c>
    </row>
    <row x14ac:dyDescent="0.25" r="189" customHeight="1" ht="19.5">
      <c r="A189" s="2" t="s">
        <v>2501</v>
      </c>
      <c r="B189" s="2" t="s">
        <v>2314</v>
      </c>
      <c r="C189" s="2" t="s">
        <v>31</v>
      </c>
      <c r="D189" s="2" t="s">
        <v>402</v>
      </c>
      <c r="E189" s="6">
        <v>1</v>
      </c>
      <c r="F189" s="6">
        <v>1</v>
      </c>
      <c r="G189" s="7">
        <v>0.5074726939201355</v>
      </c>
      <c r="H189" s="7">
        <v>6.968121875</v>
      </c>
      <c r="I189" s="7">
        <v>21.13957112933215</v>
      </c>
      <c r="J189" s="7">
        <v>10.0725802160168</v>
      </c>
      <c r="K189" s="7">
        <v>0.7506492321054912</v>
      </c>
      <c r="L189" s="7">
        <v>0.9971286344721704</v>
      </c>
      <c r="M189" s="7">
        <v>0.1959445811231472</v>
      </c>
      <c r="N189" s="7">
        <v>0.2403437349781308</v>
      </c>
      <c r="O189" s="7">
        <v>0.0605203659922343</v>
      </c>
      <c r="P189" s="7">
        <v>8.943973652548848</v>
      </c>
      <c r="Q189" s="7">
        <v>0.042152959736937</v>
      </c>
      <c r="R189" s="7">
        <v>0.0799657053637659</v>
      </c>
      <c r="S189" s="7">
        <v>0.0917829361731864</v>
      </c>
      <c r="T189" s="7">
        <v>0.340905958263063</v>
      </c>
    </row>
    <row x14ac:dyDescent="0.25" r="190" customHeight="1" ht="19.5">
      <c r="A190" s="2" t="s">
        <v>2502</v>
      </c>
      <c r="B190" s="2" t="s">
        <v>2314</v>
      </c>
      <c r="C190" s="2" t="s">
        <v>31</v>
      </c>
      <c r="D190" s="2" t="s">
        <v>402</v>
      </c>
      <c r="E190" s="6">
        <v>1</v>
      </c>
      <c r="F190" s="6">
        <v>1</v>
      </c>
      <c r="G190" s="7">
        <v>0.4705264568328857</v>
      </c>
      <c r="H190" s="7">
        <v>7.040850781250001</v>
      </c>
      <c r="I190" s="7">
        <v>21.04206583742447</v>
      </c>
      <c r="J190" s="7">
        <v>10.07641930641741</v>
      </c>
      <c r="K190" s="7">
        <v>0.7845262761262032</v>
      </c>
      <c r="L190" s="7">
        <v>0.9970189812218052</v>
      </c>
      <c r="M190" s="7">
        <v>0.1998288799276046</v>
      </c>
      <c r="N190" s="7">
        <v>0.2845142295936309</v>
      </c>
      <c r="O190" s="7">
        <v>0.0704472466614527</v>
      </c>
      <c r="P190" s="7">
        <v>8.59492609973335</v>
      </c>
      <c r="Q190" s="7">
        <v>0.0310901510384302</v>
      </c>
      <c r="R190" s="7">
        <v>0.0617465965295452</v>
      </c>
      <c r="S190" s="7">
        <v>0.070156320487914</v>
      </c>
      <c r="T190" s="7">
        <v>0.2540614382065682</v>
      </c>
    </row>
    <row x14ac:dyDescent="0.25" r="191" customHeight="1" ht="19.5">
      <c r="A191" s="2" t="s">
        <v>2503</v>
      </c>
      <c r="B191" s="2" t="s">
        <v>2314</v>
      </c>
      <c r="C191" s="2" t="s">
        <v>31</v>
      </c>
      <c r="D191" s="2" t="s">
        <v>402</v>
      </c>
      <c r="E191" s="6">
        <v>1</v>
      </c>
      <c r="F191" s="6">
        <v>1</v>
      </c>
      <c r="G191" s="7">
        <v>0.3310601711273193</v>
      </c>
      <c r="H191" s="7">
        <v>5.65553828125</v>
      </c>
      <c r="I191" s="7">
        <v>17.10923632238062</v>
      </c>
      <c r="J191" s="7">
        <v>8.050527346598507</v>
      </c>
      <c r="K191" s="7">
        <v>0.7706148903251863</v>
      </c>
      <c r="L191" s="7">
        <v>0.995540383647276</v>
      </c>
      <c r="M191" s="7">
        <v>0.2427853964044692</v>
      </c>
      <c r="N191" s="7">
        <v>0.3806383201984843</v>
      </c>
      <c r="O191" s="7">
        <v>0.0779453355497044</v>
      </c>
      <c r="P191" s="7">
        <v>8.249949600841983</v>
      </c>
      <c r="Q191" s="7">
        <v>0.0090639754103761</v>
      </c>
      <c r="R191" s="7">
        <v>0.0272660209612484</v>
      </c>
      <c r="S191" s="7">
        <v>0.0382133979890222</v>
      </c>
      <c r="T191" s="7">
        <v>0.0594954077253197</v>
      </c>
    </row>
    <row x14ac:dyDescent="0.25" r="192" customHeight="1" ht="19.5">
      <c r="A192" s="2" t="s">
        <v>2504</v>
      </c>
      <c r="B192" s="2" t="s">
        <v>2314</v>
      </c>
      <c r="C192" s="2" t="s">
        <v>31</v>
      </c>
      <c r="D192" s="2" t="s">
        <v>402</v>
      </c>
      <c r="E192" s="6">
        <v>1</v>
      </c>
      <c r="F192" s="6">
        <v>1</v>
      </c>
      <c r="G192" s="7">
        <v>0.4512844979763031</v>
      </c>
      <c r="H192" s="7">
        <v>6.02957265625</v>
      </c>
      <c r="I192" s="7">
        <v>19.61539492926537</v>
      </c>
      <c r="J192" s="7">
        <v>9.299884376445656</v>
      </c>
      <c r="K192" s="7">
        <v>0.6969166283570472</v>
      </c>
      <c r="L192" s="7">
        <v>0.9971036928822172</v>
      </c>
      <c r="M192" s="7">
        <v>0.1969256482731669</v>
      </c>
      <c r="N192" s="7">
        <v>0.3161292300945661</v>
      </c>
      <c r="O192" s="7">
        <v>0.0708124379668116</v>
      </c>
      <c r="P192" s="7">
        <v>8.592201535229544</v>
      </c>
      <c r="Q192" s="7">
        <v>0.0186580128035105</v>
      </c>
      <c r="R192" s="7">
        <v>0.0441837533653295</v>
      </c>
      <c r="S192" s="7">
        <v>0.0553170340653333</v>
      </c>
      <c r="T192" s="7">
        <v>0.1305697881882013</v>
      </c>
    </row>
    <row x14ac:dyDescent="0.25" r="193" customHeight="1" ht="19.5">
      <c r="A193" s="2" t="s">
        <v>2505</v>
      </c>
      <c r="B193" s="2" t="s">
        <v>2314</v>
      </c>
      <c r="C193" s="2" t="s">
        <v>31</v>
      </c>
      <c r="D193" s="2" t="s">
        <v>402</v>
      </c>
      <c r="E193" s="6">
        <v>1</v>
      </c>
      <c r="F193" s="6">
        <v>1</v>
      </c>
      <c r="G193" s="7">
        <v>0.5007517337799072</v>
      </c>
      <c r="H193" s="7">
        <v>6.81920078125</v>
      </c>
      <c r="I193" s="7">
        <v>20.50232198806164</v>
      </c>
      <c r="J193" s="7">
        <v>9.715794531802166</v>
      </c>
      <c r="K193" s="7">
        <v>0.7538931723937576</v>
      </c>
      <c r="L193" s="7">
        <v>0.9968572499551402</v>
      </c>
      <c r="M193" s="7">
        <v>0.2038624513942938</v>
      </c>
      <c r="N193" s="7">
        <v>0.2740550297998223</v>
      </c>
      <c r="O193" s="7">
        <v>0.0594413600984574</v>
      </c>
      <c r="P193" s="7">
        <v>9.06572121151973</v>
      </c>
      <c r="Q193" s="7">
        <v>0.0297422081323741</v>
      </c>
      <c r="R193" s="7">
        <v>0.0655154081775262</v>
      </c>
      <c r="S193" s="7">
        <v>0.0821127290673174</v>
      </c>
      <c r="T193" s="7">
        <v>0.235395126014631</v>
      </c>
    </row>
    <row x14ac:dyDescent="0.25" r="194" customHeight="1" ht="19.5">
      <c r="A194" s="2" t="s">
        <v>2506</v>
      </c>
      <c r="B194" s="2" t="s">
        <v>2314</v>
      </c>
      <c r="C194" s="2" t="s">
        <v>31</v>
      </c>
      <c r="D194" s="2" t="s">
        <v>402</v>
      </c>
      <c r="E194" s="6">
        <v>1</v>
      </c>
      <c r="F194" s="6">
        <v>1</v>
      </c>
      <c r="G194" s="7">
        <v>0.4839523136615753</v>
      </c>
      <c r="H194" s="7">
        <v>6.486725781250001</v>
      </c>
      <c r="I194" s="7">
        <v>20.92436653836113</v>
      </c>
      <c r="J194" s="7">
        <v>9.951682822007475</v>
      </c>
      <c r="K194" s="7">
        <v>0.6611168305267494</v>
      </c>
      <c r="L194" s="7">
        <v>0.997584704232664</v>
      </c>
      <c r="M194" s="7">
        <v>0.1861790306818827</v>
      </c>
      <c r="N194" s="7">
        <v>0.2305864830349084</v>
      </c>
      <c r="O194" s="7">
        <v>0.0499676911522541</v>
      </c>
      <c r="P194" s="7">
        <v>9.175681268162036</v>
      </c>
      <c r="Q194" s="7">
        <v>0.0460966627967034</v>
      </c>
      <c r="R194" s="7">
        <v>0.0875132670710083</v>
      </c>
      <c r="S194" s="7">
        <v>0.1041754375034537</v>
      </c>
      <c r="T194" s="7">
        <v>0.3470450102189678</v>
      </c>
    </row>
    <row x14ac:dyDescent="0.25" r="195" customHeight="1" ht="19.5">
      <c r="A195" s="2" t="s">
        <v>2507</v>
      </c>
      <c r="B195" s="2" t="s">
        <v>2314</v>
      </c>
      <c r="C195" s="2" t="s">
        <v>31</v>
      </c>
      <c r="D195" s="2" t="s">
        <v>402</v>
      </c>
      <c r="E195" s="6">
        <v>1</v>
      </c>
      <c r="F195" s="6">
        <v>1</v>
      </c>
      <c r="G195" s="7">
        <v>0.4698444306850433</v>
      </c>
      <c r="H195" s="7">
        <v>6.88846640625</v>
      </c>
      <c r="I195" s="7">
        <v>21.05634515682356</v>
      </c>
      <c r="J195" s="7">
        <v>10.01421755336676</v>
      </c>
      <c r="K195" s="7">
        <v>0.7549363287120886</v>
      </c>
      <c r="L195" s="7">
        <v>0.9970747683639368</v>
      </c>
      <c r="M195" s="7">
        <v>0.1952389335953757</v>
      </c>
      <c r="N195" s="7">
        <v>0.2207896202205197</v>
      </c>
      <c r="O195" s="7">
        <v>0.0560631447599281</v>
      </c>
      <c r="P195" s="7">
        <v>9.343614678271264</v>
      </c>
      <c r="Q195" s="7">
        <v>0.0492130686090893</v>
      </c>
      <c r="R195" s="7">
        <v>0.0996984199927887</v>
      </c>
      <c r="S195" s="7">
        <v>0.1113409804237254</v>
      </c>
      <c r="T195" s="7">
        <v>0.3934538239269012</v>
      </c>
    </row>
    <row x14ac:dyDescent="0.25" r="196" customHeight="1" ht="19.5">
      <c r="A196" s="2" t="s">
        <v>2508</v>
      </c>
      <c r="B196" s="2" t="s">
        <v>2314</v>
      </c>
      <c r="C196" s="2" t="s">
        <v>31</v>
      </c>
      <c r="D196" s="2" t="s">
        <v>402</v>
      </c>
      <c r="E196" s="6">
        <v>1</v>
      </c>
      <c r="F196" s="6">
        <v>1</v>
      </c>
      <c r="G196" s="7">
        <v>0.4721806347370147</v>
      </c>
      <c r="H196" s="7">
        <v>6.344731250000001</v>
      </c>
      <c r="I196" s="7">
        <v>20.35606405020012</v>
      </c>
      <c r="J196" s="7">
        <v>9.656433859931967</v>
      </c>
      <c r="K196" s="7">
        <v>0.6879239180858316</v>
      </c>
      <c r="L196" s="7">
        <v>0.9973206470338672</v>
      </c>
      <c r="M196" s="7">
        <v>0.1924134725804474</v>
      </c>
      <c r="N196" s="7">
        <v>0.223180079958257</v>
      </c>
      <c r="O196" s="7">
        <v>0.0519723088400057</v>
      </c>
      <c r="P196" s="7">
        <v>9.269556334885474</v>
      </c>
      <c r="Q196" s="7">
        <v>0.0551420778416476</v>
      </c>
      <c r="R196" s="7">
        <v>0.1034269232950401</v>
      </c>
      <c r="S196" s="7">
        <v>0.1161991652801982</v>
      </c>
      <c r="T196" s="7">
        <v>0.4060571274956203</v>
      </c>
    </row>
    <row x14ac:dyDescent="0.25" r="197" customHeight="1" ht="19.5">
      <c r="A197" s="2" t="s">
        <v>2509</v>
      </c>
      <c r="B197" s="2" t="s">
        <v>2314</v>
      </c>
      <c r="C197" s="2" t="s">
        <v>31</v>
      </c>
      <c r="D197" s="2" t="s">
        <v>402</v>
      </c>
      <c r="E197" s="6">
        <v>1</v>
      </c>
      <c r="F197" s="6">
        <v>1</v>
      </c>
      <c r="G197" s="7">
        <v>0.4698162078857422</v>
      </c>
      <c r="H197" s="7">
        <v>6.504042187500001</v>
      </c>
      <c r="I197" s="7">
        <v>20.88989321180639</v>
      </c>
      <c r="J197" s="7">
        <v>9.95364245088529</v>
      </c>
      <c r="K197" s="7">
        <v>0.6891365814948143</v>
      </c>
      <c r="L197" s="7">
        <v>0.9974890192831468</v>
      </c>
      <c r="M197" s="7">
        <v>0.1872926669488032</v>
      </c>
      <c r="N197" s="7">
        <v>0.2249793822714569</v>
      </c>
      <c r="O197" s="7">
        <v>0.054419961213463</v>
      </c>
      <c r="P197" s="7">
        <v>9.21845320525075</v>
      </c>
      <c r="Q197" s="7">
        <v>0.0550405742009327</v>
      </c>
      <c r="R197" s="7">
        <v>0.1043806512738486</v>
      </c>
      <c r="S197" s="7">
        <v>0.1162946605238683</v>
      </c>
      <c r="T197" s="7">
        <v>0.4154866610666457</v>
      </c>
    </row>
    <row x14ac:dyDescent="0.25" r="198" customHeight="1" ht="19.5">
      <c r="A198" s="2" t="s">
        <v>2510</v>
      </c>
      <c r="B198" s="2" t="s">
        <v>2314</v>
      </c>
      <c r="C198" s="2" t="s">
        <v>31</v>
      </c>
      <c r="D198" s="2" t="s">
        <v>402</v>
      </c>
      <c r="E198" s="6">
        <v>1</v>
      </c>
      <c r="F198" s="6">
        <v>1</v>
      </c>
      <c r="G198" s="7">
        <v>0.4809275567531585</v>
      </c>
      <c r="H198" s="7">
        <v>6.486725781250001</v>
      </c>
      <c r="I198" s="7">
        <v>20.65449461367972</v>
      </c>
      <c r="J198" s="7">
        <v>9.77568371812622</v>
      </c>
      <c r="K198" s="7">
        <v>0.7416448932090449</v>
      </c>
      <c r="L198" s="7">
        <v>0.9973268108684504</v>
      </c>
      <c r="M198" s="7">
        <v>0.1910760511056603</v>
      </c>
      <c r="N198" s="7">
        <v>0.2269151711321857</v>
      </c>
      <c r="O198" s="7">
        <v>0.0550536953932208</v>
      </c>
      <c r="P198" s="7">
        <v>9.306458732051018</v>
      </c>
      <c r="Q198" s="7">
        <v>0.0542504767747082</v>
      </c>
      <c r="R198" s="7">
        <v>0.1036653263498991</v>
      </c>
      <c r="S198" s="7">
        <v>0.1139240313073944</v>
      </c>
      <c r="T198" s="7">
        <v>0.40843211036112</v>
      </c>
    </row>
    <row x14ac:dyDescent="0.25" r="199" customHeight="1" ht="19.5">
      <c r="A199" s="2" t="s">
        <v>2511</v>
      </c>
      <c r="B199" s="2" t="s">
        <v>2314</v>
      </c>
      <c r="C199" s="2" t="s">
        <v>31</v>
      </c>
      <c r="D199" s="2" t="s">
        <v>402</v>
      </c>
      <c r="E199" s="6">
        <v>1</v>
      </c>
      <c r="F199" s="6">
        <v>1</v>
      </c>
      <c r="G199" s="7">
        <v>0.4615426659584045</v>
      </c>
      <c r="H199" s="7">
        <v>6.455556250000001</v>
      </c>
      <c r="I199" s="7">
        <v>20.60574196772588</v>
      </c>
      <c r="J199" s="7">
        <v>9.716474962509803</v>
      </c>
      <c r="K199" s="7">
        <v>0.7427048897461519</v>
      </c>
      <c r="L199" s="7">
        <v>0.9972830998244614</v>
      </c>
      <c r="M199" s="7">
        <v>0.1910587884346867</v>
      </c>
      <c r="N199" s="7">
        <v>0.2235224058025069</v>
      </c>
      <c r="O199" s="7">
        <v>0.0553250775782839</v>
      </c>
      <c r="P199" s="7">
        <v>9.346127271538714</v>
      </c>
      <c r="Q199" s="7">
        <v>0.0549289817689158</v>
      </c>
      <c r="R199" s="7">
        <v>0.1047054034444357</v>
      </c>
      <c r="S199" s="7">
        <v>0.1172383280765927</v>
      </c>
      <c r="T199" s="7">
        <v>0.4115532145501561</v>
      </c>
    </row>
    <row x14ac:dyDescent="0.25" r="200" customHeight="1" ht="19.5">
      <c r="A200" s="2" t="s">
        <v>2512</v>
      </c>
      <c r="B200" s="2" t="s">
        <v>2314</v>
      </c>
      <c r="C200" s="2" t="s">
        <v>31</v>
      </c>
      <c r="D200" s="2" t="s">
        <v>402</v>
      </c>
      <c r="E200" s="6">
        <v>1</v>
      </c>
      <c r="F200" s="6">
        <v>1</v>
      </c>
      <c r="G200" s="7">
        <v>0.4782236516475677</v>
      </c>
      <c r="H200" s="7">
        <v>6.472872656250001</v>
      </c>
      <c r="I200" s="7">
        <v>20.53679531461639</v>
      </c>
      <c r="J200" s="7">
        <v>9.715762607450849</v>
      </c>
      <c r="K200" s="7">
        <v>0.7388102688078656</v>
      </c>
      <c r="L200" s="7">
        <v>0.9972806495106185</v>
      </c>
      <c r="M200" s="7">
        <v>0.1928597403886132</v>
      </c>
      <c r="N200" s="7">
        <v>0.2218739125112019</v>
      </c>
      <c r="O200" s="7">
        <v>0.0529634284663564</v>
      </c>
      <c r="P200" s="7">
        <v>9.359412721219227</v>
      </c>
      <c r="Q200" s="7">
        <v>0.0539384357597255</v>
      </c>
      <c r="R200" s="7">
        <v>0.1026726904964409</v>
      </c>
      <c r="S200" s="7">
        <v>0.1139694911208229</v>
      </c>
      <c r="T200" s="7">
        <v>0.4052156318721031</v>
      </c>
    </row>
    <row x14ac:dyDescent="0.25" r="201" customHeight="1" ht="19.5">
      <c r="A201" s="2" t="s">
        <v>2513</v>
      </c>
      <c r="B201" s="2" t="s">
        <v>2314</v>
      </c>
      <c r="C201" s="2" t="s">
        <v>31</v>
      </c>
      <c r="D201" s="2" t="s">
        <v>402</v>
      </c>
      <c r="E201" s="6">
        <v>1</v>
      </c>
      <c r="F201" s="6">
        <v>1</v>
      </c>
      <c r="G201" s="7">
        <v>0.4695721566677093</v>
      </c>
      <c r="H201" s="7">
        <v>6.50057890625</v>
      </c>
      <c r="I201" s="7">
        <v>20.68896794023447</v>
      </c>
      <c r="J201" s="7">
        <v>9.775639829697974</v>
      </c>
      <c r="K201" s="7">
        <v>0.742694917051144</v>
      </c>
      <c r="L201" s="7">
        <v>0.9973075455869704</v>
      </c>
      <c r="M201" s="7">
        <v>0.1908465199361709</v>
      </c>
      <c r="N201" s="7">
        <v>0.21884846720534</v>
      </c>
      <c r="O201" s="7">
        <v>0.0550295601418291</v>
      </c>
      <c r="P201" s="7">
        <v>9.333696401088153</v>
      </c>
      <c r="Q201" s="7">
        <v>0.0541523478510603</v>
      </c>
      <c r="R201" s="7">
        <v>0.1028649088111607</v>
      </c>
      <c r="S201" s="7">
        <v>0.1152991762598949</v>
      </c>
      <c r="T201" s="7">
        <v>0.4085640078788737</v>
      </c>
    </row>
    <row x14ac:dyDescent="0.25" r="202" customHeight="1" ht="19.5">
      <c r="A202" s="2" t="s">
        <v>2514</v>
      </c>
      <c r="B202" s="2" t="s">
        <v>2314</v>
      </c>
      <c r="C202" s="2" t="s">
        <v>31</v>
      </c>
      <c r="D202" s="2" t="s">
        <v>402</v>
      </c>
      <c r="E202" s="6">
        <v>1</v>
      </c>
      <c r="F202" s="6">
        <v>1</v>
      </c>
      <c r="G202" s="7">
        <v>0.4720451533794403</v>
      </c>
      <c r="H202" s="7">
        <v>6.524821875000001</v>
      </c>
      <c r="I202" s="7">
        <v>20.95883986491588</v>
      </c>
      <c r="J202" s="7">
        <v>10.01357198850488</v>
      </c>
      <c r="K202" s="7">
        <v>0.695369752154066</v>
      </c>
      <c r="L202" s="7">
        <v>0.9975072525672538</v>
      </c>
      <c r="M202" s="7">
        <v>0.1866568984589502</v>
      </c>
      <c r="N202" s="7">
        <v>0.2307349735978711</v>
      </c>
      <c r="O202" s="7">
        <v>0.0580643839416444</v>
      </c>
      <c r="P202" s="7">
        <v>9.1706139418722</v>
      </c>
      <c r="Q202" s="7">
        <v>0.0544964911743562</v>
      </c>
      <c r="R202" s="7">
        <v>0.1034707936578168</v>
      </c>
      <c r="S202" s="7">
        <v>0.117145793668106</v>
      </c>
      <c r="T202" s="7">
        <v>0.4126938345287003</v>
      </c>
    </row>
    <row x14ac:dyDescent="0.25" r="203" customHeight="1" ht="19.5">
      <c r="A203" s="2" t="s">
        <v>2515</v>
      </c>
      <c r="B203" s="2" t="s">
        <v>2314</v>
      </c>
      <c r="C203" s="2" t="s">
        <v>31</v>
      </c>
      <c r="D203" s="2" t="s">
        <v>402</v>
      </c>
      <c r="E203" s="6">
        <v>1</v>
      </c>
      <c r="F203" s="6">
        <v>1</v>
      </c>
      <c r="G203" s="7">
        <v>0.4735507071018219</v>
      </c>
      <c r="H203" s="7">
        <v>6.51096875</v>
      </c>
      <c r="I203" s="7">
        <v>20.95883986491588</v>
      </c>
      <c r="J203" s="7">
        <v>10.01360895461958</v>
      </c>
      <c r="K203" s="7">
        <v>0.695996992997814</v>
      </c>
      <c r="L203" s="7">
        <v>0.9975046559972136</v>
      </c>
      <c r="M203" s="7">
        <v>0.186260599311479</v>
      </c>
      <c r="N203" s="7">
        <v>0.2280794429749442</v>
      </c>
      <c r="O203" s="7">
        <v>0.0578078878570115</v>
      </c>
      <c r="P203" s="7">
        <v>9.218791564535676</v>
      </c>
      <c r="Q203" s="7">
        <v>0.0543596153076983</v>
      </c>
      <c r="R203" s="7">
        <v>0.1021779750987049</v>
      </c>
      <c r="S203" s="7">
        <v>0.1137698152830352</v>
      </c>
      <c r="T203" s="7">
        <v>0.41078328692413</v>
      </c>
    </row>
    <row x14ac:dyDescent="0.25" r="204" customHeight="1" ht="19.5">
      <c r="A204" s="2" t="s">
        <v>2516</v>
      </c>
      <c r="B204" s="2" t="s">
        <v>2314</v>
      </c>
      <c r="C204" s="2" t="s">
        <v>31</v>
      </c>
      <c r="D204" s="2" t="s">
        <v>402</v>
      </c>
      <c r="E204" s="6">
        <v>1</v>
      </c>
      <c r="F204" s="6">
        <v>1</v>
      </c>
      <c r="G204" s="7">
        <v>0.4755276441574096</v>
      </c>
      <c r="H204" s="7">
        <v>6.47979921875</v>
      </c>
      <c r="I204" s="7">
        <v>20.87561389240729</v>
      </c>
      <c r="J204" s="7">
        <v>9.953865093097788</v>
      </c>
      <c r="K204" s="7">
        <v>0.6928352684427042</v>
      </c>
      <c r="L204" s="7">
        <v>0.9974810295244224</v>
      </c>
      <c r="M204" s="7">
        <v>0.186849913767854</v>
      </c>
      <c r="N204" s="7">
        <v>0.2240360567860052</v>
      </c>
      <c r="O204" s="7">
        <v>0.0571576296707691</v>
      </c>
      <c r="P204" s="7">
        <v>9.208656669322576</v>
      </c>
      <c r="Q204" s="7">
        <v>0.0545291385197715</v>
      </c>
      <c r="R204" s="7">
        <v>0.1026156312048798</v>
      </c>
      <c r="S204" s="7">
        <v>0.1161343567635369</v>
      </c>
      <c r="T204" s="7">
        <v>0.4100916869845059</v>
      </c>
    </row>
    <row x14ac:dyDescent="0.25" r="205" customHeight="1" ht="19.5">
      <c r="A205" s="2" t="s">
        <v>2517</v>
      </c>
      <c r="B205" s="2" t="s">
        <v>2314</v>
      </c>
      <c r="C205" s="2" t="s">
        <v>31</v>
      </c>
      <c r="D205" s="2" t="s">
        <v>402</v>
      </c>
      <c r="E205" s="6">
        <v>1</v>
      </c>
      <c r="F205" s="6">
        <v>1</v>
      </c>
      <c r="G205" s="7">
        <v>0.4680725038051605</v>
      </c>
      <c r="H205" s="7">
        <v>6.51443203125</v>
      </c>
      <c r="I205" s="7">
        <v>20.95883986491588</v>
      </c>
      <c r="J205" s="7">
        <v>10.01364555156171</v>
      </c>
      <c r="K205" s="7">
        <v>0.6966191017474894</v>
      </c>
      <c r="L205" s="7">
        <v>0.9975060755714766</v>
      </c>
      <c r="M205" s="7">
        <v>0.1863596740983468</v>
      </c>
      <c r="N205" s="7">
        <v>0.2259634119028428</v>
      </c>
      <c r="O205" s="7">
        <v>0.0582203635708184</v>
      </c>
      <c r="P205" s="7">
        <v>9.18999677994602</v>
      </c>
      <c r="Q205" s="7">
        <v>0.0547061396748719</v>
      </c>
      <c r="R205" s="7">
        <v>0.1035836038286021</v>
      </c>
      <c r="S205" s="7">
        <v>0.1157169257802838</v>
      </c>
      <c r="T205" s="7">
        <v>0.4136217876169445</v>
      </c>
    </row>
    <row x14ac:dyDescent="0.25" r="206" customHeight="1" ht="19.5">
      <c r="A206" s="2" t="s">
        <v>2518</v>
      </c>
      <c r="B206" s="2" t="s">
        <v>2314</v>
      </c>
      <c r="C206" s="2" t="s">
        <v>31</v>
      </c>
      <c r="D206" s="2" t="s">
        <v>402</v>
      </c>
      <c r="E206" s="6">
        <v>1</v>
      </c>
      <c r="F206" s="6">
        <v>1</v>
      </c>
      <c r="G206" s="7">
        <v>0.4636878371238708</v>
      </c>
      <c r="H206" s="7">
        <v>6.490189062500001</v>
      </c>
      <c r="I206" s="7">
        <v>20.91008721896204</v>
      </c>
      <c r="J206" s="7">
        <v>9.954385947860594</v>
      </c>
      <c r="K206" s="7">
        <v>0.6949021032261625</v>
      </c>
      <c r="L206" s="7">
        <v>0.997476554606662</v>
      </c>
      <c r="M206" s="7">
        <v>0.1865329349529389</v>
      </c>
      <c r="N206" s="7">
        <v>0.2284087094053219</v>
      </c>
      <c r="O206" s="7">
        <v>0.0587842829613635</v>
      </c>
      <c r="P206" s="7">
        <v>9.165214639899892</v>
      </c>
      <c r="Q206" s="7">
        <v>0.0547112339307103</v>
      </c>
      <c r="R206" s="7">
        <v>0.102864303865195</v>
      </c>
      <c r="S206" s="7">
        <v>0.1148848734905286</v>
      </c>
      <c r="T206" s="7">
        <v>0.4121208985256646</v>
      </c>
    </row>
    <row x14ac:dyDescent="0.25" r="207" customHeight="1" ht="19.5">
      <c r="A207" s="2" t="s">
        <v>2519</v>
      </c>
      <c r="B207" s="2" t="s">
        <v>2314</v>
      </c>
      <c r="C207" s="2" t="s">
        <v>31</v>
      </c>
      <c r="D207" s="2" t="s">
        <v>402</v>
      </c>
      <c r="E207" s="6">
        <v>1</v>
      </c>
      <c r="F207" s="6">
        <v>1</v>
      </c>
      <c r="G207" s="7">
        <v>0.4618430733680725</v>
      </c>
      <c r="H207" s="7">
        <v>6.4832625</v>
      </c>
      <c r="I207" s="7">
        <v>20.87561389240729</v>
      </c>
      <c r="J207" s="7">
        <v>9.953884219119434</v>
      </c>
      <c r="K207" s="7">
        <v>0.6935784425595349</v>
      </c>
      <c r="L207" s="7">
        <v>0.99747444927522</v>
      </c>
      <c r="M207" s="7">
        <v>0.1869497801033793</v>
      </c>
      <c r="N207" s="7">
        <v>0.2279591947460257</v>
      </c>
      <c r="O207" s="7">
        <v>0.0582499050165945</v>
      </c>
      <c r="P207" s="7">
        <v>9.186481324106566</v>
      </c>
      <c r="Q207" s="7">
        <v>0.0540692707222662</v>
      </c>
      <c r="R207" s="7">
        <v>0.1020992733759323</v>
      </c>
      <c r="S207" s="7">
        <v>0.1168686154070272</v>
      </c>
      <c r="T207" s="7">
        <v>0.4068505412006927</v>
      </c>
    </row>
    <row x14ac:dyDescent="0.25" r="208" customHeight="1" ht="19.5">
      <c r="A208" s="2" t="s">
        <v>2520</v>
      </c>
      <c r="B208" s="2" t="s">
        <v>2314</v>
      </c>
      <c r="C208" s="2" t="s">
        <v>31</v>
      </c>
      <c r="D208" s="2" t="s">
        <v>402</v>
      </c>
      <c r="E208" s="6">
        <v>1</v>
      </c>
      <c r="F208" s="6">
        <v>1</v>
      </c>
      <c r="G208" s="7">
        <v>0.47420334815979</v>
      </c>
      <c r="H208" s="7">
        <v>6.51443203125</v>
      </c>
      <c r="I208" s="7">
        <v>20.92436653836113</v>
      </c>
      <c r="J208" s="7">
        <v>10.0131457216703</v>
      </c>
      <c r="K208" s="7">
        <v>0.6953817562354041</v>
      </c>
      <c r="L208" s="7">
        <v>0.9975041790713236</v>
      </c>
      <c r="M208" s="7">
        <v>0.1869742427723552</v>
      </c>
      <c r="N208" s="7">
        <v>0.2171467030415621</v>
      </c>
      <c r="O208" s="7">
        <v>0.0569800822206434</v>
      </c>
      <c r="P208" s="7">
        <v>9.226029713935436</v>
      </c>
      <c r="Q208" s="7">
        <v>0.0543731970020407</v>
      </c>
      <c r="R208" s="7">
        <v>0.1027346010692408</v>
      </c>
      <c r="S208" s="7">
        <v>0.1135082651934638</v>
      </c>
      <c r="T208" s="7">
        <v>0.4111044770494498</v>
      </c>
    </row>
    <row x14ac:dyDescent="0.25" r="209" customHeight="1" ht="19.5">
      <c r="A209" s="2" t="s">
        <v>2521</v>
      </c>
      <c r="B209" s="2" t="s">
        <v>2314</v>
      </c>
      <c r="C209" s="2" t="s">
        <v>31</v>
      </c>
      <c r="D209" s="2" t="s">
        <v>402</v>
      </c>
      <c r="E209" s="6">
        <v>1</v>
      </c>
      <c r="F209" s="6">
        <v>1</v>
      </c>
      <c r="G209" s="7">
        <v>0.4686748683452606</v>
      </c>
      <c r="H209" s="7">
        <v>6.524821875000001</v>
      </c>
      <c r="I209" s="7">
        <v>20.99331319147063</v>
      </c>
      <c r="J209" s="7">
        <v>10.01413710348064</v>
      </c>
      <c r="K209" s="7">
        <v>0.6974504317879604</v>
      </c>
      <c r="L209" s="7">
        <v>0.9975078562405848</v>
      </c>
      <c r="M209" s="7">
        <v>0.1860443795176626</v>
      </c>
      <c r="N209" s="7">
        <v>0.2243000491121467</v>
      </c>
      <c r="O209" s="7">
        <v>0.0570202700930746</v>
      </c>
      <c r="P209" s="7">
        <v>9.234236406755166</v>
      </c>
      <c r="Q209" s="7">
        <v>0.0543988953983181</v>
      </c>
      <c r="R209" s="7">
        <v>0.1030613418640064</v>
      </c>
      <c r="S209" s="7">
        <v>0.116086257080875</v>
      </c>
      <c r="T209" s="7">
        <v>0.4119547562104629</v>
      </c>
    </row>
    <row x14ac:dyDescent="0.25" r="210" customHeight="1" ht="19.5">
      <c r="A210" s="2" t="s">
        <v>2522</v>
      </c>
      <c r="B210" s="2" t="s">
        <v>2314</v>
      </c>
      <c r="C210" s="2" t="s">
        <v>31</v>
      </c>
      <c r="D210" s="2" t="s">
        <v>402</v>
      </c>
      <c r="E210" s="6">
        <v>1</v>
      </c>
      <c r="F210" s="6">
        <v>1</v>
      </c>
      <c r="G210" s="7">
        <v>0.4751754105091095</v>
      </c>
      <c r="H210" s="7">
        <v>6.53521171875</v>
      </c>
      <c r="I210" s="7">
        <v>21.00759251086972</v>
      </c>
      <c r="J210" s="7">
        <v>10.07270238083709</v>
      </c>
      <c r="K210" s="7">
        <v>0.6944596866749417</v>
      </c>
      <c r="L210" s="7">
        <v>0.9975325095042517</v>
      </c>
      <c r="M210" s="7">
        <v>0.1860873950339251</v>
      </c>
      <c r="N210" s="7">
        <v>0.2256366091889819</v>
      </c>
      <c r="O210" s="7">
        <v>0.0577993106145065</v>
      </c>
      <c r="P210" s="7">
        <v>9.22672443422582</v>
      </c>
      <c r="Q210" s="7">
        <v>0.0537477020277933</v>
      </c>
      <c r="R210" s="7">
        <v>0.1022006671070032</v>
      </c>
      <c r="S210" s="7">
        <v>0.115466158147829</v>
      </c>
      <c r="T210" s="7">
        <v>0.4076714919007635</v>
      </c>
    </row>
    <row x14ac:dyDescent="0.25" r="211" customHeight="1" ht="19.5">
      <c r="A211" s="2" t="s">
        <v>2523</v>
      </c>
      <c r="B211" s="2" t="s">
        <v>2314</v>
      </c>
      <c r="C211" s="2" t="s">
        <v>31</v>
      </c>
      <c r="D211" s="2" t="s">
        <v>402</v>
      </c>
      <c r="E211" s="6">
        <v>1</v>
      </c>
      <c r="F211" s="6">
        <v>1</v>
      </c>
      <c r="G211" s="7">
        <v>0.4703547656536102</v>
      </c>
      <c r="H211" s="7">
        <v>6.51096875</v>
      </c>
      <c r="I211" s="7">
        <v>20.65449461367972</v>
      </c>
      <c r="J211" s="7">
        <v>9.775081618955866</v>
      </c>
      <c r="K211" s="7">
        <v>0.740695171089399</v>
      </c>
      <c r="L211" s="7">
        <v>0.9972854756279466</v>
      </c>
      <c r="M211" s="7">
        <v>0.1917901634162528</v>
      </c>
      <c r="N211" s="7">
        <v>0.2203054090001369</v>
      </c>
      <c r="O211" s="7">
        <v>0.0557760230971219</v>
      </c>
      <c r="P211" s="7">
        <v>9.31713725301636</v>
      </c>
      <c r="Q211" s="7">
        <v>0.0542425296054576</v>
      </c>
      <c r="R211" s="7">
        <v>0.1033060288401625</v>
      </c>
      <c r="S211" s="7">
        <v>0.1171416079341447</v>
      </c>
      <c r="T211" s="7">
        <v>0.409898496821293</v>
      </c>
    </row>
    <row x14ac:dyDescent="0.25" r="212" customHeight="1" ht="19.5">
      <c r="A212" s="2" t="s">
        <v>2524</v>
      </c>
      <c r="B212" s="2" t="s">
        <v>2314</v>
      </c>
      <c r="C212" s="2" t="s">
        <v>31</v>
      </c>
      <c r="D212" s="2" t="s">
        <v>402</v>
      </c>
      <c r="E212" s="6">
        <v>1</v>
      </c>
      <c r="F212" s="6">
        <v>1</v>
      </c>
      <c r="G212" s="7">
        <v>0.4792048931121826</v>
      </c>
      <c r="H212" s="7">
        <v>6.490189062500001</v>
      </c>
      <c r="I212" s="7">
        <v>20.57126864117113</v>
      </c>
      <c r="J212" s="7">
        <v>9.716023963946046</v>
      </c>
      <c r="K212" s="7">
        <v>0.7430620975745028</v>
      </c>
      <c r="L212" s="7">
        <v>0.9972607316250724</v>
      </c>
      <c r="M212" s="7">
        <v>0.1927281092667217</v>
      </c>
      <c r="N212" s="7">
        <v>0.2175285883027655</v>
      </c>
      <c r="O212" s="7">
        <v>0.0555461662989626</v>
      </c>
      <c r="P212" s="7">
        <v>9.309848529779355</v>
      </c>
      <c r="Q212" s="7">
        <v>0.054258914932548</v>
      </c>
      <c r="R212" s="7">
        <v>0.1026129924677608</v>
      </c>
      <c r="S212" s="7">
        <v>0.1154132267326153</v>
      </c>
      <c r="T212" s="7">
        <v>0.4087137351599294</v>
      </c>
    </row>
    <row x14ac:dyDescent="0.25" r="213" customHeight="1" ht="19.5">
      <c r="A213" s="2" t="s">
        <v>2525</v>
      </c>
      <c r="B213" s="2" t="s">
        <v>2314</v>
      </c>
      <c r="C213" s="2" t="s">
        <v>31</v>
      </c>
      <c r="D213" s="2" t="s">
        <v>402</v>
      </c>
      <c r="E213" s="6">
        <v>1</v>
      </c>
      <c r="F213" s="6">
        <v>1</v>
      </c>
      <c r="G213" s="7">
        <v>0.4679809808731079</v>
      </c>
      <c r="H213" s="7">
        <v>6.490189062500001</v>
      </c>
      <c r="I213" s="7">
        <v>20.84114056585255</v>
      </c>
      <c r="J213" s="7">
        <v>9.954150608522934</v>
      </c>
      <c r="K213" s="7">
        <v>0.6976372175753094</v>
      </c>
      <c r="L213" s="7">
        <v>0.9974717562905768</v>
      </c>
      <c r="M213" s="7">
        <v>0.1877691527694669</v>
      </c>
      <c r="N213" s="7">
        <v>0.2281256204598942</v>
      </c>
      <c r="O213" s="7">
        <v>0.0590872515125301</v>
      </c>
      <c r="P213" s="7">
        <v>9.165408805111824</v>
      </c>
      <c r="Q213" s="7">
        <v>0.054130939714027</v>
      </c>
      <c r="R213" s="7">
        <v>0.1013608577109694</v>
      </c>
      <c r="S213" s="7">
        <v>0.1119605450034823</v>
      </c>
      <c r="T213" s="7">
        <v>0.407749741876344</v>
      </c>
    </row>
    <row x14ac:dyDescent="0.25" r="214" customHeight="1" ht="19.5">
      <c r="A214" s="2" t="s">
        <v>2526</v>
      </c>
      <c r="B214" s="2" t="s">
        <v>2314</v>
      </c>
      <c r="C214" s="2" t="s">
        <v>31</v>
      </c>
      <c r="D214" s="2" t="s">
        <v>402</v>
      </c>
      <c r="E214" s="6">
        <v>1</v>
      </c>
      <c r="F214" s="6">
        <v>1</v>
      </c>
      <c r="G214" s="7">
        <v>0.484417587518692</v>
      </c>
      <c r="H214" s="7">
        <v>6.9473421875</v>
      </c>
      <c r="I214" s="7">
        <v>20.98739850371407</v>
      </c>
      <c r="J214" s="7">
        <v>9.95422244449438</v>
      </c>
      <c r="K214" s="7">
        <v>0.7565107829692137</v>
      </c>
      <c r="L214" s="7">
        <v>0.9970784135313016</v>
      </c>
      <c r="M214" s="7">
        <v>0.1982035079159343</v>
      </c>
      <c r="N214" s="7">
        <v>0.215600427879666</v>
      </c>
      <c r="O214" s="7">
        <v>0.0542618564804825</v>
      </c>
      <c r="P214" s="7">
        <v>9.272760835557172</v>
      </c>
      <c r="Q214" s="7">
        <v>0.0483574896999674</v>
      </c>
      <c r="R214" s="7">
        <v>0.0974900841438299</v>
      </c>
      <c r="S214" s="7">
        <v>0.1089378834496706</v>
      </c>
      <c r="T214" s="7">
        <v>0.3899179408861284</v>
      </c>
    </row>
    <row x14ac:dyDescent="0.25" r="215" customHeight="1" ht="19.5">
      <c r="A215" s="2" t="s">
        <v>2527</v>
      </c>
      <c r="B215" s="2" t="s">
        <v>2314</v>
      </c>
      <c r="C215" s="2" t="s">
        <v>31</v>
      </c>
      <c r="D215" s="2" t="s">
        <v>402</v>
      </c>
      <c r="E215" s="6">
        <v>1</v>
      </c>
      <c r="F215" s="6">
        <v>1</v>
      </c>
      <c r="G215" s="7">
        <v>0.4349321126937866</v>
      </c>
      <c r="H215" s="7">
        <v>6.2616125</v>
      </c>
      <c r="I215" s="7">
        <v>20.43929002270871</v>
      </c>
      <c r="J215" s="7">
        <v>9.778857625794029</v>
      </c>
      <c r="K215" s="7">
        <v>0.7229955319192011</v>
      </c>
      <c r="L215" s="7">
        <v>0.997309055778195</v>
      </c>
      <c r="M215" s="7">
        <v>0.1883494860976243</v>
      </c>
      <c r="N215" s="7">
        <v>0.3805021132676173</v>
      </c>
      <c r="O215" s="7">
        <v>0.0823659994162488</v>
      </c>
      <c r="P215" s="7">
        <v>8.189370051874867</v>
      </c>
      <c r="Q215" s="7">
        <v>0.0201081225534226</v>
      </c>
      <c r="R215" s="7">
        <v>0.0429149754424708</v>
      </c>
      <c r="S215" s="7">
        <v>0.0537694612009631</v>
      </c>
      <c r="T215" s="7">
        <v>0.1461330643371574</v>
      </c>
    </row>
    <row x14ac:dyDescent="0.25" r="216" customHeight="1" ht="19.5">
      <c r="A216" s="2" t="s">
        <v>2528</v>
      </c>
      <c r="B216" s="2" t="s">
        <v>2314</v>
      </c>
      <c r="C216" s="2" t="s">
        <v>31</v>
      </c>
      <c r="D216" s="2" t="s">
        <v>402</v>
      </c>
      <c r="E216" s="6">
        <v>1</v>
      </c>
      <c r="F216" s="6">
        <v>1</v>
      </c>
      <c r="G216" s="7">
        <v>0.4072958827018738</v>
      </c>
      <c r="H216" s="7">
        <v>5.936064062500001</v>
      </c>
      <c r="I216" s="7">
        <v>18.45268125803113</v>
      </c>
      <c r="J216" s="7">
        <v>8.701773788574203</v>
      </c>
      <c r="K216" s="7">
        <v>0.7207699826726288</v>
      </c>
      <c r="L216" s="7">
        <v>0.9962228555905313</v>
      </c>
      <c r="M216" s="7">
        <v>0.2190733166087172</v>
      </c>
      <c r="N216" s="7">
        <v>0.3702834785587784</v>
      </c>
      <c r="O216" s="7">
        <v>0.0737528772618024</v>
      </c>
      <c r="P216" s="7">
        <v>8.513614398555532</v>
      </c>
      <c r="Q216" s="7">
        <v>0.0089334926218157</v>
      </c>
      <c r="R216" s="7">
        <v>0.035806177570302</v>
      </c>
      <c r="S216" s="7">
        <v>0.0484380441145459</v>
      </c>
      <c r="T216" s="7">
        <v>0.0615475319375354</v>
      </c>
    </row>
    <row x14ac:dyDescent="0.25" r="217" customHeight="1" ht="19.5">
      <c r="A217" s="2" t="s">
        <v>2529</v>
      </c>
      <c r="B217" s="2" t="s">
        <v>2314</v>
      </c>
      <c r="C217" s="2" t="s">
        <v>31</v>
      </c>
      <c r="D217" s="2" t="s">
        <v>402</v>
      </c>
      <c r="E217" s="6">
        <v>1</v>
      </c>
      <c r="F217" s="6">
        <v>1</v>
      </c>
      <c r="G217" s="7">
        <v>0.4948546588420868</v>
      </c>
      <c r="H217" s="7">
        <v>6.09883828125</v>
      </c>
      <c r="I217" s="7">
        <v>19.59520092210972</v>
      </c>
      <c r="J217" s="7">
        <v>9.29518037247173</v>
      </c>
      <c r="K217" s="7">
        <v>0.6420664471478237</v>
      </c>
      <c r="L217" s="7">
        <v>0.9971315765744428</v>
      </c>
      <c r="M217" s="7">
        <v>0.199598622512035</v>
      </c>
      <c r="N217" s="7">
        <v>0.2779675303451885</v>
      </c>
      <c r="O217" s="7">
        <v>0.0572987272487979</v>
      </c>
      <c r="P217" s="7">
        <v>8.823573520564663</v>
      </c>
      <c r="Q217" s="7">
        <v>0.022734890002376</v>
      </c>
      <c r="R217" s="7">
        <v>0.059748128040019</v>
      </c>
      <c r="S217" s="7">
        <v>0.0737616499555565</v>
      </c>
      <c r="T217" s="7">
        <v>0.1609276817175061</v>
      </c>
    </row>
    <row x14ac:dyDescent="0.25" r="218" customHeight="1" ht="19.5">
      <c r="A218" s="2" t="s">
        <v>2530</v>
      </c>
      <c r="B218" s="2" t="s">
        <v>2314</v>
      </c>
      <c r="C218" s="2" t="s">
        <v>31</v>
      </c>
      <c r="D218" s="2" t="s">
        <v>402</v>
      </c>
      <c r="E218" s="6">
        <v>1</v>
      </c>
      <c r="F218" s="6">
        <v>1</v>
      </c>
      <c r="G218" s="7">
        <v>0.5164461731910706</v>
      </c>
      <c r="H218" s="7">
        <v>6.06766875</v>
      </c>
      <c r="I218" s="7">
        <v>19.79612619368164</v>
      </c>
      <c r="J218" s="7">
        <v>9.415509262082876</v>
      </c>
      <c r="K218" s="7">
        <v>0.6567581304232388</v>
      </c>
      <c r="L218" s="7">
        <v>0.9972411297694616</v>
      </c>
      <c r="M218" s="7">
        <v>0.19456794871046</v>
      </c>
      <c r="N218" s="7">
        <v>0.2218901045548904</v>
      </c>
      <c r="O218" s="7">
        <v>0.0511933905658912</v>
      </c>
      <c r="P218" s="7">
        <v>9.159562123861816</v>
      </c>
      <c r="Q218" s="7">
        <v>0.0364385345023476</v>
      </c>
      <c r="R218" s="7">
        <v>0.0825972653856897</v>
      </c>
      <c r="S218" s="7">
        <v>0.0963883483219377</v>
      </c>
      <c r="T218" s="7">
        <v>0.2566099816389757</v>
      </c>
    </row>
    <row x14ac:dyDescent="0.25" r="219" customHeight="1" ht="19.5">
      <c r="A219" s="2" t="s">
        <v>2531</v>
      </c>
      <c r="B219" s="2" t="s">
        <v>2314</v>
      </c>
      <c r="C219" s="2" t="s">
        <v>31</v>
      </c>
      <c r="D219" s="2" t="s">
        <v>402</v>
      </c>
      <c r="E219" s="6">
        <v>1</v>
      </c>
      <c r="F219" s="6">
        <v>1</v>
      </c>
      <c r="G219" s="7">
        <v>0.4271662533283233</v>
      </c>
      <c r="H219" s="7">
        <v>6.237369531250001</v>
      </c>
      <c r="I219" s="7">
        <v>20.01724547240921</v>
      </c>
      <c r="J219" s="7">
        <v>9.533646252909683</v>
      </c>
      <c r="K219" s="7">
        <v>0.6439979331570111</v>
      </c>
      <c r="L219" s="7">
        <v>0.9972851343884804</v>
      </c>
      <c r="M219" s="7">
        <v>0.1956152497886646</v>
      </c>
      <c r="N219" s="7">
        <v>0.1992310868134034</v>
      </c>
      <c r="O219" s="7">
        <v>0.0476324208499731</v>
      </c>
      <c r="P219" s="7">
        <v>9.245150071060248</v>
      </c>
      <c r="Q219" s="7">
        <v>0.0543860734366992</v>
      </c>
      <c r="R219" s="7">
        <v>0.1075375251964695</v>
      </c>
      <c r="S219" s="7">
        <v>0.122361592534301</v>
      </c>
      <c r="T219" s="7">
        <v>0.3937131852314772</v>
      </c>
    </row>
    <row x14ac:dyDescent="0.25" r="220" customHeight="1" ht="19.5">
      <c r="A220" s="2" t="s">
        <v>2532</v>
      </c>
      <c r="B220" s="2" t="s">
        <v>2314</v>
      </c>
      <c r="C220" s="2" t="s">
        <v>31</v>
      </c>
      <c r="D220" s="2" t="s">
        <v>402</v>
      </c>
      <c r="E220" s="6">
        <v>1</v>
      </c>
      <c r="F220" s="6">
        <v>1</v>
      </c>
      <c r="G220" s="7">
        <v>0.450896143913269</v>
      </c>
      <c r="H220" s="7">
        <v>6.28585546875</v>
      </c>
      <c r="I220" s="7">
        <v>20.21817074398113</v>
      </c>
      <c r="J220" s="7">
        <v>9.652672206358169</v>
      </c>
      <c r="K220" s="7">
        <v>0.6426952717580461</v>
      </c>
      <c r="L220" s="7">
        <v>0.9973402456177682</v>
      </c>
      <c r="M220" s="7">
        <v>0.1932371107216819</v>
      </c>
      <c r="N220" s="7">
        <v>0.2025353999449685</v>
      </c>
      <c r="O220" s="7">
        <v>0.0484379766981908</v>
      </c>
      <c r="P220" s="7">
        <v>9.2586415401813</v>
      </c>
      <c r="Q220" s="7">
        <v>0.0613955412317224</v>
      </c>
      <c r="R220" s="7">
        <v>0.122263657680725</v>
      </c>
      <c r="S220" s="7">
        <v>0.1383018346236824</v>
      </c>
      <c r="T220" s="7">
        <v>0.4479112837770125</v>
      </c>
    </row>
    <row x14ac:dyDescent="0.25" r="221" customHeight="1" ht="19.5">
      <c r="A221" s="2" t="s">
        <v>2533</v>
      </c>
      <c r="B221" s="2" t="s">
        <v>2314</v>
      </c>
      <c r="C221" s="2" t="s">
        <v>31</v>
      </c>
      <c r="D221" s="2" t="s">
        <v>402</v>
      </c>
      <c r="E221" s="6">
        <v>1</v>
      </c>
      <c r="F221" s="6">
        <v>1</v>
      </c>
      <c r="G221" s="7">
        <v>0.4429741203784942</v>
      </c>
      <c r="H221" s="7">
        <v>6.164640625000001</v>
      </c>
      <c r="I221" s="7">
        <v>19.83860536590358</v>
      </c>
      <c r="J221" s="7">
        <v>9.4148545342347</v>
      </c>
      <c r="K221" s="7">
        <v>0.6496037348536897</v>
      </c>
      <c r="L221" s="7">
        <v>0.9971970471923468</v>
      </c>
      <c r="M221" s="7">
        <v>0.1968318394645644</v>
      </c>
      <c r="N221" s="7">
        <v>0.2025061829410158</v>
      </c>
      <c r="O221" s="7">
        <v>0.0487455427485834</v>
      </c>
      <c r="P221" s="7">
        <v>9.23632242927425</v>
      </c>
      <c r="Q221" s="7">
        <v>0.0624587296060336</v>
      </c>
      <c r="R221" s="7">
        <v>0.126346022106689</v>
      </c>
      <c r="S221" s="7">
        <v>0.1449625226459572</v>
      </c>
      <c r="T221" s="7">
        <v>0.4468807945975491</v>
      </c>
    </row>
    <row x14ac:dyDescent="0.25" r="222" customHeight="1" ht="19.5">
      <c r="A222" s="2" t="s">
        <v>2534</v>
      </c>
      <c r="B222" s="2" t="s">
        <v>2314</v>
      </c>
      <c r="C222" s="2" t="s">
        <v>31</v>
      </c>
      <c r="D222" s="2" t="s">
        <v>402</v>
      </c>
      <c r="E222" s="6">
        <v>1</v>
      </c>
      <c r="F222" s="6">
        <v>1</v>
      </c>
      <c r="G222" s="7">
        <v>0.4491688013076782</v>
      </c>
      <c r="H222" s="7">
        <v>6.150787500000001</v>
      </c>
      <c r="I222" s="7">
        <v>19.73309422832871</v>
      </c>
      <c r="J222" s="7">
        <v>9.414687579445683</v>
      </c>
      <c r="K222" s="7">
        <v>0.648084975226215</v>
      </c>
      <c r="L222" s="7">
        <v>0.9971900339831186</v>
      </c>
      <c r="M222" s="7">
        <v>0.198495290751347</v>
      </c>
      <c r="N222" s="7">
        <v>0.2044949967709947</v>
      </c>
      <c r="O222" s="7">
        <v>0.0493038987527316</v>
      </c>
      <c r="P222" s="7">
        <v>9.227143043152886</v>
      </c>
      <c r="Q222" s="7">
        <v>0.0625265765996348</v>
      </c>
      <c r="R222" s="7">
        <v>0.123145125003071</v>
      </c>
      <c r="S222" s="7">
        <v>0.1394486641488321</v>
      </c>
      <c r="T222" s="7">
        <v>0.4463609100711805</v>
      </c>
    </row>
    <row x14ac:dyDescent="0.25" r="223" customHeight="1" ht="19.5">
      <c r="A223" s="2" t="s">
        <v>2535</v>
      </c>
      <c r="B223" s="2" t="s">
        <v>2314</v>
      </c>
      <c r="C223" s="2" t="s">
        <v>31</v>
      </c>
      <c r="D223" s="2" t="s">
        <v>402</v>
      </c>
      <c r="E223" s="6">
        <v>1</v>
      </c>
      <c r="F223" s="6">
        <v>1</v>
      </c>
      <c r="G223" s="7">
        <v>0.4512954652309418</v>
      </c>
      <c r="H223" s="7">
        <v>6.614867187500001</v>
      </c>
      <c r="I223" s="7">
        <v>20.41318132779649</v>
      </c>
      <c r="J223" s="7">
        <v>9.713161775186313</v>
      </c>
      <c r="K223" s="7">
        <v>0.7223869238835032</v>
      </c>
      <c r="L223" s="7">
        <v>0.9970444013219212</v>
      </c>
      <c r="M223" s="7">
        <v>0.1994847065359569</v>
      </c>
      <c r="N223" s="7">
        <v>0.1949598512040901</v>
      </c>
      <c r="O223" s="7">
        <v>0.0489179540496824</v>
      </c>
      <c r="P223" s="7">
        <v>9.34580404272125</v>
      </c>
      <c r="Q223" s="7">
        <v>0.0593024281273747</v>
      </c>
      <c r="R223" s="7">
        <v>0.1234226121195631</v>
      </c>
      <c r="S223" s="7">
        <v>0.1413272530230787</v>
      </c>
      <c r="T223" s="7">
        <v>0.4552860930949542</v>
      </c>
    </row>
    <row x14ac:dyDescent="0.25" r="224" customHeight="1" ht="19.5">
      <c r="A224" s="2" t="s">
        <v>2536</v>
      </c>
      <c r="B224" s="2" t="s">
        <v>2314</v>
      </c>
      <c r="C224" s="2" t="s">
        <v>31</v>
      </c>
      <c r="D224" s="2" t="s">
        <v>402</v>
      </c>
      <c r="E224" s="6">
        <v>1</v>
      </c>
      <c r="F224" s="6">
        <v>1</v>
      </c>
      <c r="G224" s="7">
        <v>0.4452943503856659</v>
      </c>
      <c r="H224" s="7">
        <v>6.5733078125</v>
      </c>
      <c r="I224" s="7">
        <v>20.31776719379945</v>
      </c>
      <c r="J224" s="7">
        <v>9.593799290537628</v>
      </c>
      <c r="K224" s="7">
        <v>0.7122700938110162</v>
      </c>
      <c r="L224" s="7">
        <v>0.9969881973712856</v>
      </c>
      <c r="M224" s="7">
        <v>0.2000975974987862</v>
      </c>
      <c r="N224" s="7">
        <v>0.2005482428009583</v>
      </c>
      <c r="O224" s="7">
        <v>0.0490014943597356</v>
      </c>
      <c r="P224" s="7">
        <v>9.326305871483417</v>
      </c>
      <c r="Q224" s="7">
        <v>0.0602449835581408</v>
      </c>
      <c r="R224" s="7">
        <v>0.1238789696725219</v>
      </c>
      <c r="S224" s="7">
        <v>0.1383067547241805</v>
      </c>
      <c r="T224" s="7">
        <v>0.4596165304253339</v>
      </c>
    </row>
    <row x14ac:dyDescent="0.25" r="225" customHeight="1" ht="19.5">
      <c r="A225" s="2" t="s">
        <v>2537</v>
      </c>
      <c r="B225" s="2" t="s">
        <v>2314</v>
      </c>
      <c r="C225" s="2" t="s">
        <v>31</v>
      </c>
      <c r="D225" s="2" t="s">
        <v>402</v>
      </c>
      <c r="E225" s="6">
        <v>1</v>
      </c>
      <c r="F225" s="6">
        <v>1</v>
      </c>
      <c r="G225" s="7">
        <v>0.4459238052368164</v>
      </c>
      <c r="H225" s="7">
        <v>6.614867187500001</v>
      </c>
      <c r="I225" s="7">
        <v>20.37870800124175</v>
      </c>
      <c r="J225" s="7">
        <v>9.712583498647144</v>
      </c>
      <c r="K225" s="7">
        <v>0.7085775361220474</v>
      </c>
      <c r="L225" s="7">
        <v>0.99701288771798</v>
      </c>
      <c r="M225" s="7">
        <v>0.2001601878307184</v>
      </c>
      <c r="N225" s="7">
        <v>0.2020886335589419</v>
      </c>
      <c r="O225" s="7">
        <v>0.0509441987872537</v>
      </c>
      <c r="P225" s="7">
        <v>9.314208083793837</v>
      </c>
      <c r="Q225" s="7">
        <v>0.0594783374262947</v>
      </c>
      <c r="R225" s="7">
        <v>0.1216561486091656</v>
      </c>
      <c r="S225" s="7">
        <v>0.1394502001676378</v>
      </c>
      <c r="T225" s="7">
        <v>0.4566366121204534</v>
      </c>
    </row>
    <row x14ac:dyDescent="0.25" r="226" customHeight="1" ht="19.5">
      <c r="A226" s="2" t="s">
        <v>2538</v>
      </c>
      <c r="B226" s="2" t="s">
        <v>2314</v>
      </c>
      <c r="C226" s="2" t="s">
        <v>31</v>
      </c>
      <c r="D226" s="2" t="s">
        <v>402</v>
      </c>
      <c r="E226" s="6">
        <v>1</v>
      </c>
      <c r="F226" s="6">
        <v>1</v>
      </c>
      <c r="G226" s="7">
        <v>0.438017874956131</v>
      </c>
      <c r="H226" s="7">
        <v>6.6425734375</v>
      </c>
      <c r="I226" s="7">
        <v>20.44765465435124</v>
      </c>
      <c r="J226" s="7">
        <v>9.712515354652066</v>
      </c>
      <c r="K226" s="7">
        <v>0.7070408464732729</v>
      </c>
      <c r="L226" s="7">
        <v>0.9969805619540576</v>
      </c>
      <c r="M226" s="7">
        <v>0.1996453618986495</v>
      </c>
      <c r="N226" s="7">
        <v>0.2038158117873901</v>
      </c>
      <c r="O226" s="7">
        <v>0.0512418917937867</v>
      </c>
      <c r="P226" s="7">
        <v>9.341876547784176</v>
      </c>
      <c r="Q226" s="7">
        <v>0.0593934571587395</v>
      </c>
      <c r="R226" s="7">
        <v>0.1224868302842169</v>
      </c>
      <c r="S226" s="7">
        <v>0.1404538119945819</v>
      </c>
      <c r="T226" s="7">
        <v>0.4578948403759361</v>
      </c>
    </row>
    <row x14ac:dyDescent="0.25" r="227" customHeight="1" ht="19.5">
      <c r="A227" s="2" t="s">
        <v>2539</v>
      </c>
      <c r="B227" s="2" t="s">
        <v>2314</v>
      </c>
      <c r="C227" s="2" t="s">
        <v>31</v>
      </c>
      <c r="D227" s="2" t="s">
        <v>402</v>
      </c>
      <c r="E227" s="6">
        <v>1</v>
      </c>
      <c r="F227" s="6">
        <v>1</v>
      </c>
      <c r="G227" s="7">
        <v>0.4507459700107574</v>
      </c>
      <c r="H227" s="7">
        <v>6.649500000000001</v>
      </c>
      <c r="I227" s="7">
        <v>20.53088062685982</v>
      </c>
      <c r="J227" s="7">
        <v>9.712669836757003</v>
      </c>
      <c r="K227" s="7">
        <v>0.7086888986731947</v>
      </c>
      <c r="L227" s="7">
        <v>0.996998217940084</v>
      </c>
      <c r="M227" s="7">
        <v>0.1982365352806802</v>
      </c>
      <c r="N227" s="7">
        <v>0.1962913616894202</v>
      </c>
      <c r="O227" s="7">
        <v>0.0491475275192529</v>
      </c>
      <c r="P227" s="7">
        <v>9.378559327754587</v>
      </c>
      <c r="Q227" s="7">
        <v>0.0590400374508711</v>
      </c>
      <c r="R227" s="7">
        <v>0.1227681111509618</v>
      </c>
      <c r="S227" s="7">
        <v>0.1387291850803773</v>
      </c>
      <c r="T227" s="7">
        <v>0.4556447752665439</v>
      </c>
    </row>
    <row x14ac:dyDescent="0.25" r="228" customHeight="1" ht="19.5">
      <c r="A228" s="2" t="s">
        <v>2540</v>
      </c>
      <c r="B228" s="2" t="s">
        <v>2314</v>
      </c>
      <c r="C228" s="2" t="s">
        <v>31</v>
      </c>
      <c r="D228" s="2" t="s">
        <v>402</v>
      </c>
      <c r="E228" s="6">
        <v>1</v>
      </c>
      <c r="F228" s="6">
        <v>1</v>
      </c>
      <c r="G228" s="7">
        <v>0.4508292973041534</v>
      </c>
      <c r="H228" s="7">
        <v>6.6979859375</v>
      </c>
      <c r="I228" s="7">
        <v>20.43546649286278</v>
      </c>
      <c r="J228" s="7">
        <v>9.71210506663098</v>
      </c>
      <c r="K228" s="7">
        <v>0.6979044540610424</v>
      </c>
      <c r="L228" s="7">
        <v>0.996932965354302</v>
      </c>
      <c r="M228" s="7">
        <v>0.2015510120811928</v>
      </c>
      <c r="N228" s="7">
        <v>0.2006882803669513</v>
      </c>
      <c r="O228" s="7">
        <v>0.0504127954973224</v>
      </c>
      <c r="P228" s="7">
        <v>9.338266778445988</v>
      </c>
      <c r="Q228" s="7">
        <v>0.0584868590117605</v>
      </c>
      <c r="R228" s="7">
        <v>0.1213842115971407</v>
      </c>
      <c r="S228" s="7">
        <v>0.1411979904453955</v>
      </c>
      <c r="T228" s="7">
        <v>0.4546668702149488</v>
      </c>
    </row>
    <row x14ac:dyDescent="0.25" r="229" customHeight="1" ht="19.5">
      <c r="A229" s="2" t="s">
        <v>2541</v>
      </c>
      <c r="B229" s="2" t="s">
        <v>2314</v>
      </c>
      <c r="C229" s="2" t="s">
        <v>31</v>
      </c>
      <c r="D229" s="2" t="s">
        <v>402</v>
      </c>
      <c r="E229" s="6">
        <v>1</v>
      </c>
      <c r="F229" s="6">
        <v>1</v>
      </c>
      <c r="G229" s="7">
        <v>0.4382804334163666</v>
      </c>
      <c r="H229" s="7">
        <v>6.545601562500001</v>
      </c>
      <c r="I229" s="7">
        <v>20.0458041112074</v>
      </c>
      <c r="J229" s="7">
        <v>9.473968943643063</v>
      </c>
      <c r="K229" s="7">
        <v>0.7010519218027249</v>
      </c>
      <c r="L229" s="7">
        <v>0.9967895749244442</v>
      </c>
      <c r="M229" s="7">
        <v>0.2046974656261136</v>
      </c>
      <c r="N229" s="7">
        <v>0.1989506847647862</v>
      </c>
      <c r="O229" s="7">
        <v>0.0508264604284452</v>
      </c>
      <c r="P229" s="7">
        <v>9.331696244187253</v>
      </c>
      <c r="Q229" s="7">
        <v>0.0597408376003986</v>
      </c>
      <c r="R229" s="7">
        <v>0.1260687137271061</v>
      </c>
      <c r="S229" s="7">
        <v>0.1415057906786657</v>
      </c>
      <c r="T229" s="7">
        <v>0.45384928256184</v>
      </c>
    </row>
    <row x14ac:dyDescent="0.25" r="230" customHeight="1" ht="19.5">
      <c r="A230" s="2" t="s">
        <v>2542</v>
      </c>
      <c r="B230" s="2" t="s">
        <v>2314</v>
      </c>
      <c r="C230" s="2" t="s">
        <v>31</v>
      </c>
      <c r="D230" s="2" t="s">
        <v>402</v>
      </c>
      <c r="E230" s="6">
        <v>1</v>
      </c>
      <c r="F230" s="6">
        <v>1</v>
      </c>
      <c r="G230" s="7">
        <v>0.4260845184326172</v>
      </c>
      <c r="H230" s="7">
        <v>6.704912500000001</v>
      </c>
      <c r="I230" s="7">
        <v>20.49640730030508</v>
      </c>
      <c r="J230" s="7">
        <v>9.712184960116826</v>
      </c>
      <c r="K230" s="7">
        <v>0.6994106337450732</v>
      </c>
      <c r="L230" s="7">
        <v>0.9969177401444794</v>
      </c>
      <c r="M230" s="7">
        <v>0.2005614649965081</v>
      </c>
      <c r="N230" s="7">
        <v>0.20399939051907</v>
      </c>
      <c r="O230" s="7">
        <v>0.0514617899025986</v>
      </c>
      <c r="P230" s="7">
        <v>9.334218107555186</v>
      </c>
      <c r="Q230" s="7">
        <v>0.0584195375437261</v>
      </c>
      <c r="R230" s="7">
        <v>0.1232394309345953</v>
      </c>
      <c r="S230" s="7">
        <v>0.1378483294507845</v>
      </c>
      <c r="T230" s="7">
        <v>0.4546131663011765</v>
      </c>
    </row>
    <row x14ac:dyDescent="0.25" r="231" customHeight="1" ht="19.5">
      <c r="A231" s="2" t="s">
        <v>2543</v>
      </c>
      <c r="B231" s="2" t="s">
        <v>2314</v>
      </c>
      <c r="C231" s="2" t="s">
        <v>31</v>
      </c>
      <c r="D231" s="2" t="s">
        <v>402</v>
      </c>
      <c r="E231" s="6">
        <v>1</v>
      </c>
      <c r="F231" s="6">
        <v>1</v>
      </c>
      <c r="G231" s="7">
        <v>0.4351895749568939</v>
      </c>
      <c r="H231" s="7">
        <v>6.206200000000001</v>
      </c>
      <c r="I231" s="7">
        <v>20.05380995687459</v>
      </c>
      <c r="J231" s="7">
        <v>9.414547817904564</v>
      </c>
      <c r="K231" s="7">
        <v>0.6454634367505511</v>
      </c>
      <c r="L231" s="7">
        <v>0.9972379507709636</v>
      </c>
      <c r="M231" s="7">
        <v>0.1939285905515166</v>
      </c>
      <c r="N231" s="7">
        <v>0.1895930299288173</v>
      </c>
      <c r="O231" s="7">
        <v>0.0471924069688665</v>
      </c>
      <c r="P231" s="7">
        <v>9.239881795744532</v>
      </c>
      <c r="Q231" s="7">
        <v>0.0648240741186196</v>
      </c>
      <c r="R231" s="7">
        <v>0.1270032848361068</v>
      </c>
      <c r="S231" s="7">
        <v>0.1440271773083697</v>
      </c>
      <c r="T231" s="7">
        <v>0.4669311735165708</v>
      </c>
    </row>
    <row x14ac:dyDescent="0.25" r="232" customHeight="1" ht="19.5">
      <c r="A232" s="2" t="s">
        <v>2544</v>
      </c>
      <c r="B232" s="2" t="s">
        <v>2314</v>
      </c>
      <c r="C232" s="2" t="s">
        <v>31</v>
      </c>
      <c r="D232" s="2" t="s">
        <v>402</v>
      </c>
      <c r="E232" s="6">
        <v>1</v>
      </c>
      <c r="F232" s="6">
        <v>1</v>
      </c>
      <c r="G232" s="7">
        <v>0.4298043251037597</v>
      </c>
      <c r="H232" s="7">
        <v>6.6979859375</v>
      </c>
      <c r="I232" s="7">
        <v>20.36442868184265</v>
      </c>
      <c r="J232" s="7">
        <v>9.712366975767845</v>
      </c>
      <c r="K232" s="7">
        <v>0.7028196614149489</v>
      </c>
      <c r="L232" s="7">
        <v>0.9969321166253984</v>
      </c>
      <c r="M232" s="7">
        <v>0.2029596168030931</v>
      </c>
      <c r="N232" s="7">
        <v>0.2051988419507388</v>
      </c>
      <c r="O232" s="7">
        <v>0.0511303600951508</v>
      </c>
      <c r="P232" s="7">
        <v>9.325437784937906</v>
      </c>
      <c r="Q232" s="7">
        <v>0.0584651538744243</v>
      </c>
      <c r="R232" s="7">
        <v>0.1227697122324202</v>
      </c>
      <c r="S232" s="7">
        <v>0.1417392403785682</v>
      </c>
      <c r="T232" s="7">
        <v>0.4544981381779238</v>
      </c>
    </row>
    <row x14ac:dyDescent="0.25" r="233" customHeight="1" ht="19.5">
      <c r="A233" s="2" t="s">
        <v>2545</v>
      </c>
      <c r="B233" s="2" t="s">
        <v>2314</v>
      </c>
      <c r="C233" s="2" t="s">
        <v>31</v>
      </c>
      <c r="D233" s="2" t="s">
        <v>402</v>
      </c>
      <c r="E233" s="6">
        <v>1</v>
      </c>
      <c r="F233" s="6">
        <v>1</v>
      </c>
      <c r="G233" s="7">
        <v>0.4387036263942718</v>
      </c>
      <c r="H233" s="7">
        <v>6.6425734375</v>
      </c>
      <c r="I233" s="7">
        <v>20.40099316630803</v>
      </c>
      <c r="J233" s="7">
        <v>9.593367983431722</v>
      </c>
      <c r="K233" s="7">
        <v>0.7048606940992912</v>
      </c>
      <c r="L233" s="7">
        <v>0.9968596596292212</v>
      </c>
      <c r="M233" s="7">
        <v>0.2005596706442316</v>
      </c>
      <c r="N233" s="7">
        <v>0.1977449919812004</v>
      </c>
      <c r="O233" s="7">
        <v>0.0493764173444184</v>
      </c>
      <c r="P233" s="7">
        <v>9.369305319557103</v>
      </c>
      <c r="Q233" s="7">
        <v>0.0584252715120069</v>
      </c>
      <c r="R233" s="7">
        <v>0.1246232186601961</v>
      </c>
      <c r="S233" s="7">
        <v>0.1414719210480405</v>
      </c>
      <c r="T233" s="7">
        <v>0.4504305971179621</v>
      </c>
    </row>
    <row x14ac:dyDescent="0.25" r="234" customHeight="1" ht="19.5">
      <c r="A234" s="2" t="s">
        <v>2546</v>
      </c>
      <c r="B234" s="2" t="s">
        <v>2314</v>
      </c>
      <c r="C234" s="2" t="s">
        <v>31</v>
      </c>
      <c r="D234" s="2" t="s">
        <v>402</v>
      </c>
      <c r="E234" s="6">
        <v>1</v>
      </c>
      <c r="F234" s="6">
        <v>1</v>
      </c>
      <c r="G234" s="7">
        <v>0.4369927048683166</v>
      </c>
      <c r="H234" s="7">
        <v>6.73261875</v>
      </c>
      <c r="I234" s="7">
        <v>20.53088062685982</v>
      </c>
      <c r="J234" s="7">
        <v>9.712494041408718</v>
      </c>
      <c r="K234" s="7">
        <v>0.7042461096153633</v>
      </c>
      <c r="L234" s="7">
        <v>0.9969343674232278</v>
      </c>
      <c r="M234" s="7">
        <v>0.2007144919716887</v>
      </c>
      <c r="N234" s="7">
        <v>0.196017932635908</v>
      </c>
      <c r="O234" s="7">
        <v>0.0484840160200303</v>
      </c>
      <c r="P234" s="7">
        <v>9.393477653655337</v>
      </c>
      <c r="Q234" s="7">
        <v>0.0578507862167609</v>
      </c>
      <c r="R234" s="7">
        <v>0.1225505210430779</v>
      </c>
      <c r="S234" s="7">
        <v>0.1391166208219088</v>
      </c>
      <c r="T234" s="7">
        <v>0.4520474959555465</v>
      </c>
    </row>
    <row x14ac:dyDescent="0.25" r="235" customHeight="1" ht="19.5">
      <c r="A235" s="2" t="s">
        <v>2547</v>
      </c>
      <c r="B235" s="2" t="s">
        <v>2314</v>
      </c>
      <c r="C235" s="2" t="s">
        <v>31</v>
      </c>
      <c r="D235" s="2" t="s">
        <v>402</v>
      </c>
      <c r="E235" s="6">
        <v>1</v>
      </c>
      <c r="F235" s="6">
        <v>1</v>
      </c>
      <c r="G235" s="7">
        <v>0.4452454745769501</v>
      </c>
      <c r="H235" s="7">
        <v>6.71530234375</v>
      </c>
      <c r="I235" s="7">
        <v>20.51869246537137</v>
      </c>
      <c r="J235" s="7">
        <v>9.712247188283284</v>
      </c>
      <c r="K235" s="7">
        <v>0.700562115600128</v>
      </c>
      <c r="L235" s="7">
        <v>0.9969304297039372</v>
      </c>
      <c r="M235" s="7">
        <v>0.2004361582893989</v>
      </c>
      <c r="N235" s="7">
        <v>0.2031109913974034</v>
      </c>
      <c r="O235" s="7">
        <v>0.049903816768833</v>
      </c>
      <c r="P235" s="7">
        <v>9.338181279479082</v>
      </c>
      <c r="Q235" s="7">
        <v>0.0583463103653989</v>
      </c>
      <c r="R235" s="7">
        <v>0.1231425035078332</v>
      </c>
      <c r="S235" s="7">
        <v>0.1397717447258738</v>
      </c>
      <c r="T235" s="7">
        <v>0.4547469015475739</v>
      </c>
    </row>
    <row x14ac:dyDescent="0.25" r="236" customHeight="1" ht="19.5">
      <c r="A236" s="2" t="s">
        <v>2548</v>
      </c>
      <c r="B236" s="2" t="s">
        <v>2314</v>
      </c>
      <c r="C236" s="2" t="s">
        <v>31</v>
      </c>
      <c r="D236" s="2" t="s">
        <v>402</v>
      </c>
      <c r="E236" s="6">
        <v>1</v>
      </c>
      <c r="F236" s="6">
        <v>1</v>
      </c>
      <c r="G236" s="7">
        <v>0.4473607838153839</v>
      </c>
      <c r="H236" s="7">
        <v>6.68066953125</v>
      </c>
      <c r="I236" s="7">
        <v>20.46193397375033</v>
      </c>
      <c r="J236" s="7">
        <v>9.652865100160604</v>
      </c>
      <c r="K236" s="7">
        <v>0.7034432180432175</v>
      </c>
      <c r="L236" s="7">
        <v>0.9968926912380948</v>
      </c>
      <c r="M236" s="7">
        <v>0.2005102116457797</v>
      </c>
      <c r="N236" s="7">
        <v>0.1948909123337554</v>
      </c>
      <c r="O236" s="7">
        <v>0.0492016299107114</v>
      </c>
      <c r="P236" s="7">
        <v>9.372134846894788</v>
      </c>
      <c r="Q236" s="7">
        <v>0.0582213180974706</v>
      </c>
      <c r="R236" s="7">
        <v>0.122337777587515</v>
      </c>
      <c r="S236" s="7">
        <v>0.1409534356112692</v>
      </c>
      <c r="T236" s="7">
        <v>0.4514324799439863</v>
      </c>
    </row>
    <row x14ac:dyDescent="0.25" r="237" customHeight="1" ht="19.5">
      <c r="A237" s="2" t="s">
        <v>2549</v>
      </c>
      <c r="B237" s="2" t="s">
        <v>2314</v>
      </c>
      <c r="C237" s="2" t="s">
        <v>31</v>
      </c>
      <c r="D237" s="2" t="s">
        <v>402</v>
      </c>
      <c r="E237" s="6">
        <v>1</v>
      </c>
      <c r="F237" s="6">
        <v>1</v>
      </c>
      <c r="G237" s="7">
        <v>0.4390281736850738</v>
      </c>
      <c r="H237" s="7">
        <v>6.73261875</v>
      </c>
      <c r="I237" s="7">
        <v>20.44765465435124</v>
      </c>
      <c r="J237" s="7">
        <v>9.712168176803251</v>
      </c>
      <c r="K237" s="7">
        <v>0.6991067662631072</v>
      </c>
      <c r="L237" s="7">
        <v>0.9969295139048788</v>
      </c>
      <c r="M237" s="7">
        <v>0.2023517119556698</v>
      </c>
      <c r="N237" s="7">
        <v>0.2024549223644438</v>
      </c>
      <c r="O237" s="7">
        <v>0.0503448142831094</v>
      </c>
      <c r="P237" s="7">
        <v>9.347094543687428</v>
      </c>
      <c r="Q237" s="7">
        <v>0.0584142129262641</v>
      </c>
      <c r="R237" s="7">
        <v>0.1235020517484964</v>
      </c>
      <c r="S237" s="7">
        <v>0.142017550546551</v>
      </c>
      <c r="T237" s="7">
        <v>0.4564501264095404</v>
      </c>
    </row>
    <row x14ac:dyDescent="0.25" r="238" customHeight="1" ht="19.5">
      <c r="A238" s="2" t="s">
        <v>2550</v>
      </c>
      <c r="B238" s="2" t="s">
        <v>2314</v>
      </c>
      <c r="C238" s="2" t="s">
        <v>31</v>
      </c>
      <c r="D238" s="2" t="s">
        <v>402</v>
      </c>
      <c r="E238" s="6">
        <v>1</v>
      </c>
      <c r="F238" s="6">
        <v>1</v>
      </c>
      <c r="G238" s="7">
        <v>0.4402316510677337</v>
      </c>
      <c r="H238" s="7">
        <v>6.760325000000001</v>
      </c>
      <c r="I238" s="7">
        <v>20.31567603588881</v>
      </c>
      <c r="J238" s="7">
        <v>9.71226477796425</v>
      </c>
      <c r="K238" s="7">
        <v>0.7015282369100325</v>
      </c>
      <c r="L238" s="7">
        <v>0.9969007158982512</v>
      </c>
      <c r="M238" s="7">
        <v>0.2058329420086113</v>
      </c>
      <c r="N238" s="7">
        <v>0.1974497104206518</v>
      </c>
      <c r="O238" s="7">
        <v>0.0491360944611762</v>
      </c>
      <c r="P238" s="7">
        <v>9.375097977692334</v>
      </c>
      <c r="Q238" s="7">
        <v>0.0576639083416431</v>
      </c>
      <c r="R238" s="7">
        <v>0.1229900813416912</v>
      </c>
      <c r="S238" s="7">
        <v>0.1424200142897388</v>
      </c>
      <c r="T238" s="7">
        <v>0.4524414959735611</v>
      </c>
    </row>
    <row x14ac:dyDescent="0.25" r="239" customHeight="1" ht="19.5">
      <c r="A239" s="2" t="s">
        <v>2551</v>
      </c>
      <c r="B239" s="2" t="s">
        <v>2314</v>
      </c>
      <c r="C239" s="2" t="s">
        <v>31</v>
      </c>
      <c r="D239" s="2" t="s">
        <v>402</v>
      </c>
      <c r="E239" s="6">
        <v>1</v>
      </c>
      <c r="F239" s="6">
        <v>1</v>
      </c>
      <c r="G239" s="7">
        <v>0.4376566112041473</v>
      </c>
      <c r="H239" s="7">
        <v>6.545601562500001</v>
      </c>
      <c r="I239" s="7">
        <v>19.98277214585447</v>
      </c>
      <c r="J239" s="7">
        <v>9.47450191919022</v>
      </c>
      <c r="K239" s="7">
        <v>0.708521257807073</v>
      </c>
      <c r="L239" s="7">
        <v>0.9967739743972882</v>
      </c>
      <c r="M239" s="7">
        <v>0.2059908630304347</v>
      </c>
      <c r="N239" s="7">
        <v>0.2228610547125223</v>
      </c>
      <c r="O239" s="7">
        <v>0.0541476451403405</v>
      </c>
      <c r="P239" s="7">
        <v>9.317234390274574</v>
      </c>
      <c r="Q239" s="7">
        <v>0.054134850887107</v>
      </c>
      <c r="R239" s="7">
        <v>0.120469185798994</v>
      </c>
      <c r="S239" s="7">
        <v>0.1358691765474193</v>
      </c>
      <c r="T239" s="7">
        <v>0.4112607761050498</v>
      </c>
    </row>
    <row x14ac:dyDescent="0.25" r="240" customHeight="1" ht="19.5">
      <c r="A240" s="2" t="s">
        <v>2552</v>
      </c>
      <c r="B240" s="2" t="s">
        <v>2314</v>
      </c>
      <c r="C240" s="2" t="s">
        <v>31</v>
      </c>
      <c r="D240" s="2" t="s">
        <v>402</v>
      </c>
      <c r="E240" s="6">
        <v>1</v>
      </c>
      <c r="F240" s="6">
        <v>1</v>
      </c>
      <c r="G240" s="7">
        <v>0.4775301516056061</v>
      </c>
      <c r="H240" s="7">
        <v>6.289318750000001</v>
      </c>
      <c r="I240" s="7">
        <v>18.72255318271255</v>
      </c>
      <c r="J240" s="7">
        <v>8.879383863530732</v>
      </c>
      <c r="K240" s="7">
        <v>0.7192510122569873</v>
      </c>
      <c r="L240" s="7">
        <v>0.9962052498929748</v>
      </c>
      <c r="M240" s="7">
        <v>0.2254671753596935</v>
      </c>
      <c r="N240" s="7">
        <v>0.3494876194679313</v>
      </c>
      <c r="O240" s="7">
        <v>0.0679374022731887</v>
      </c>
      <c r="P240" s="7">
        <v>8.52778518862751</v>
      </c>
      <c r="Q240" s="7">
        <v>0.0192958185449045</v>
      </c>
      <c r="R240" s="7">
        <v>0.0610444447671874</v>
      </c>
      <c r="S240" s="7">
        <v>0.0715244956830495</v>
      </c>
      <c r="T240" s="7">
        <v>0.1408502403261124</v>
      </c>
    </row>
    <row x14ac:dyDescent="0.25" r="241" customHeight="1" ht="19.5">
      <c r="A241" s="2" t="s">
        <v>2553</v>
      </c>
      <c r="B241" s="2" t="s">
        <v>2314</v>
      </c>
      <c r="C241" s="2" t="s">
        <v>31</v>
      </c>
      <c r="D241" s="2" t="s">
        <v>402</v>
      </c>
      <c r="E241" s="6">
        <v>1</v>
      </c>
      <c r="F241" s="6">
        <v>1</v>
      </c>
      <c r="G241" s="7">
        <v>0.2862136662006378</v>
      </c>
      <c r="H241" s="7">
        <v>3.97238359375</v>
      </c>
      <c r="I241" s="7">
        <v>11.64631591951345</v>
      </c>
      <c r="J241" s="7">
        <v>5.197231979898002</v>
      </c>
      <c r="K241" s="7">
        <v>0.819193055856461</v>
      </c>
      <c r="L241" s="7">
        <v>0.988419979071224</v>
      </c>
      <c r="M241" s="7">
        <v>0.3680305835168881</v>
      </c>
      <c r="N241" s="7">
        <v>0.3062375888353105</v>
      </c>
      <c r="O241" s="7">
        <v>0.0641907631021073</v>
      </c>
      <c r="P241" s="7">
        <v>8.73233267491654</v>
      </c>
      <c r="Q241" s="7">
        <v>0.0404384569566376</v>
      </c>
      <c r="R241" s="7">
        <v>0.0762830875823116</v>
      </c>
      <c r="S241" s="7">
        <v>0.0858246360618925</v>
      </c>
      <c r="T241" s="7">
        <v>0.1864389013807895</v>
      </c>
    </row>
    <row x14ac:dyDescent="0.25" r="242" customHeight="1" ht="19.5">
      <c r="A242" s="2" t="s">
        <v>2554</v>
      </c>
      <c r="B242" s="2" t="s">
        <v>2314</v>
      </c>
      <c r="C242" s="2" t="s">
        <v>31</v>
      </c>
      <c r="D242" s="2" t="s">
        <v>402</v>
      </c>
      <c r="E242" s="6">
        <v>1</v>
      </c>
      <c r="F242" s="6">
        <v>1</v>
      </c>
      <c r="G242" s="7">
        <v>0.2586966156959533</v>
      </c>
      <c r="H242" s="7">
        <v>3.93775078125</v>
      </c>
      <c r="I242" s="7">
        <v>11.74382121142113</v>
      </c>
      <c r="J242" s="7">
        <v>5.198961230296721</v>
      </c>
      <c r="K242" s="7">
        <v>0.8254400730115409</v>
      </c>
      <c r="L242" s="7">
        <v>0.9886451315847103</v>
      </c>
      <c r="M242" s="7">
        <v>0.3587890899549784</v>
      </c>
      <c r="N242" s="7">
        <v>0.2516580666986151</v>
      </c>
      <c r="O242" s="7">
        <v>0.0580632088228536</v>
      </c>
      <c r="P242" s="7">
        <v>9.028555193277835</v>
      </c>
      <c r="Q242" s="7">
        <v>0.058363692995454</v>
      </c>
      <c r="R242" s="7">
        <v>0.1113195957327564</v>
      </c>
      <c r="S242" s="7">
        <v>0.1244655667999614</v>
      </c>
      <c r="T242" s="7">
        <v>0.2667360838738852</v>
      </c>
    </row>
    <row x14ac:dyDescent="0.25" r="243" customHeight="1" ht="19.5">
      <c r="A243" s="2" t="s">
        <v>2555</v>
      </c>
      <c r="B243" s="2" t="s">
        <v>2314</v>
      </c>
      <c r="C243" s="2" t="s">
        <v>31</v>
      </c>
      <c r="D243" s="2" t="s">
        <v>402</v>
      </c>
      <c r="E243" s="6">
        <v>1</v>
      </c>
      <c r="F243" s="6">
        <v>1</v>
      </c>
      <c r="G243" s="7">
        <v>0.3142863512039184</v>
      </c>
      <c r="H243" s="7">
        <v>3.8580953125</v>
      </c>
      <c r="I243" s="7">
        <v>11.56308994700486</v>
      </c>
      <c r="J243" s="7">
        <v>5.249721055156296</v>
      </c>
      <c r="K243" s="7">
        <v>0.7335314467176457</v>
      </c>
      <c r="L243" s="7">
        <v>0.989566245937312</v>
      </c>
      <c r="M243" s="7">
        <v>0.3626060188495097</v>
      </c>
      <c r="N243" s="7">
        <v>0.2556611549913241</v>
      </c>
      <c r="O243" s="7">
        <v>0.0495614594188225</v>
      </c>
      <c r="P243" s="7">
        <v>9.140789677882507</v>
      </c>
      <c r="Q243" s="7">
        <v>0.038700823446243</v>
      </c>
      <c r="R243" s="7">
        <v>0.0756124736805794</v>
      </c>
      <c r="S243" s="7">
        <v>0.0809987731003586</v>
      </c>
      <c r="T243" s="7">
        <v>0.1732941643832979</v>
      </c>
    </row>
    <row x14ac:dyDescent="0.25" r="244" customHeight="1" ht="19.5">
      <c r="A244" s="2" t="s">
        <v>2556</v>
      </c>
      <c r="B244" s="2" t="s">
        <v>2314</v>
      </c>
      <c r="C244" s="2" t="s">
        <v>31</v>
      </c>
      <c r="D244" s="2" t="s">
        <v>402</v>
      </c>
      <c r="E244" s="6">
        <v>1</v>
      </c>
      <c r="F244" s="6">
        <v>1</v>
      </c>
      <c r="G244" s="7">
        <v>0.3399218618869781</v>
      </c>
      <c r="H244" s="7">
        <v>3.60527578125</v>
      </c>
      <c r="I244" s="7">
        <v>11.39663800198769</v>
      </c>
      <c r="J244" s="7">
        <v>5.186572714881796</v>
      </c>
      <c r="K244" s="7">
        <v>0.6605352294458104</v>
      </c>
      <c r="L244" s="7">
        <v>0.99064199349864</v>
      </c>
      <c r="M244" s="7">
        <v>0.3488147551739466</v>
      </c>
      <c r="N244" s="7">
        <v>0.2170113258172988</v>
      </c>
      <c r="O244" s="7">
        <v>0.0453549233987361</v>
      </c>
      <c r="P244" s="7">
        <v>9.2636817121427</v>
      </c>
      <c r="Q244" s="7">
        <v>0.0562129642113</v>
      </c>
      <c r="R244" s="7">
        <v>0.10647867813396</v>
      </c>
      <c r="S244" s="7">
        <v>0.1162788647011858</v>
      </c>
      <c r="T244" s="7">
        <v>0.2352154031611018</v>
      </c>
    </row>
    <row x14ac:dyDescent="0.25" r="245" customHeight="1" ht="19.5">
      <c r="A245" s="2" t="s">
        <v>2557</v>
      </c>
      <c r="B245" s="2" t="s">
        <v>2314</v>
      </c>
      <c r="C245" s="2" t="s">
        <v>31</v>
      </c>
      <c r="D245" s="2" t="s">
        <v>402</v>
      </c>
      <c r="E245" s="6">
        <v>1</v>
      </c>
      <c r="F245" s="6">
        <v>1</v>
      </c>
      <c r="G245" s="7">
        <v>0.373221606016159</v>
      </c>
      <c r="H245" s="7">
        <v>3.76805</v>
      </c>
      <c r="I245" s="7">
        <v>11.41091732138678</v>
      </c>
      <c r="J245" s="7">
        <v>5.129991670331757</v>
      </c>
      <c r="K245" s="7">
        <v>0.7279378910927734</v>
      </c>
      <c r="L245" s="7">
        <v>0.989353811550471</v>
      </c>
      <c r="M245" s="7">
        <v>0.3636515170784947</v>
      </c>
      <c r="N245" s="7">
        <v>0.2018969624521323</v>
      </c>
      <c r="O245" s="7">
        <v>0.04437862401077</v>
      </c>
      <c r="P245" s="7">
        <v>9.434017265483254</v>
      </c>
      <c r="Q245" s="7">
        <v>0.0634333454697612</v>
      </c>
      <c r="R245" s="7">
        <v>0.1274841691243063</v>
      </c>
      <c r="S245" s="7">
        <v>0.1385677000253952</v>
      </c>
      <c r="T245" s="7">
        <v>0.2774118788488416</v>
      </c>
    </row>
    <row x14ac:dyDescent="0.25" r="246" customHeight="1" ht="19.5">
      <c r="A246" s="2" t="s">
        <v>2558</v>
      </c>
      <c r="B246" s="2" t="s">
        <v>2314</v>
      </c>
      <c r="C246" s="2" t="s">
        <v>31</v>
      </c>
      <c r="D246" s="2" t="s">
        <v>402</v>
      </c>
      <c r="E246" s="6">
        <v>1</v>
      </c>
      <c r="F246" s="6">
        <v>1</v>
      </c>
      <c r="G246" s="7">
        <v>0.3714549839496612</v>
      </c>
      <c r="H246" s="7">
        <v>3.8165359375</v>
      </c>
      <c r="I246" s="7">
        <v>11.57736926640396</v>
      </c>
      <c r="J246" s="7">
        <v>5.188752815023119</v>
      </c>
      <c r="K246" s="7">
        <v>0.7345927097664783</v>
      </c>
      <c r="L246" s="7">
        <v>0.9895391838975344</v>
      </c>
      <c r="M246" s="7">
        <v>0.3578157467314174</v>
      </c>
      <c r="N246" s="7">
        <v>0.2013440505266813</v>
      </c>
      <c r="O246" s="7">
        <v>0.0441506635803336</v>
      </c>
      <c r="P246" s="7">
        <v>9.448901298270629</v>
      </c>
      <c r="Q246" s="7">
        <v>0.0632646490997694</v>
      </c>
      <c r="R246" s="7">
        <v>0.1279087182838757</v>
      </c>
      <c r="S246" s="7">
        <v>0.1358545458335037</v>
      </c>
      <c r="T246" s="7">
        <v>0.2802342670817155</v>
      </c>
    </row>
    <row x14ac:dyDescent="0.25" r="247" customHeight="1" ht="19.5">
      <c r="A247" s="2" t="s">
        <v>2559</v>
      </c>
      <c r="B247" s="2" t="s">
        <v>2314</v>
      </c>
      <c r="C247" s="2" t="s">
        <v>31</v>
      </c>
      <c r="D247" s="2" t="s">
        <v>402</v>
      </c>
      <c r="E247" s="6">
        <v>1</v>
      </c>
      <c r="F247" s="6">
        <v>1</v>
      </c>
      <c r="G247" s="7">
        <v>0.3982024788856506</v>
      </c>
      <c r="H247" s="7">
        <v>3.781903125</v>
      </c>
      <c r="I247" s="7">
        <v>11.36216467543294</v>
      </c>
      <c r="J247" s="7">
        <v>5.130163634721477</v>
      </c>
      <c r="K247" s="7">
        <v>0.728873564679837</v>
      </c>
      <c r="L247" s="7">
        <v>0.9892131252118914</v>
      </c>
      <c r="M247" s="7">
        <v>0.3681273676365124</v>
      </c>
      <c r="N247" s="7">
        <v>0.2084350556866153</v>
      </c>
      <c r="O247" s="7">
        <v>0.0443263091600707</v>
      </c>
      <c r="P247" s="7">
        <v>9.42779521463046</v>
      </c>
      <c r="Q247" s="7">
        <v>0.0634483726081105</v>
      </c>
      <c r="R247" s="7">
        <v>0.1274676563657401</v>
      </c>
      <c r="S247" s="7">
        <v>0.1367522207629479</v>
      </c>
      <c r="T247" s="7">
        <v>0.2784977349789701</v>
      </c>
    </row>
    <row x14ac:dyDescent="0.25" r="248" customHeight="1" ht="19.5">
      <c r="A248" s="2" t="s">
        <v>2560</v>
      </c>
      <c r="B248" s="2" t="s">
        <v>2314</v>
      </c>
      <c r="C248" s="2" t="s">
        <v>31</v>
      </c>
      <c r="D248" s="2" t="s">
        <v>402</v>
      </c>
      <c r="E248" s="6">
        <v>1</v>
      </c>
      <c r="F248" s="6">
        <v>1</v>
      </c>
      <c r="G248" s="7">
        <v>0.3697047829627991</v>
      </c>
      <c r="H248" s="7">
        <v>3.80614609375</v>
      </c>
      <c r="I248" s="7">
        <v>11.52861662045011</v>
      </c>
      <c r="J248" s="7">
        <v>5.190035678888727</v>
      </c>
      <c r="K248" s="7">
        <v>0.7310780123177538</v>
      </c>
      <c r="L248" s="7">
        <v>0.9895079523486348</v>
      </c>
      <c r="M248" s="7">
        <v>0.3598660888377871</v>
      </c>
      <c r="N248" s="7">
        <v>0.2073231042852389</v>
      </c>
      <c r="O248" s="7">
        <v>0.0449221706258085</v>
      </c>
      <c r="P248" s="7">
        <v>9.42829959830705</v>
      </c>
      <c r="Q248" s="7">
        <v>0.0624285677841281</v>
      </c>
      <c r="R248" s="7">
        <v>0.1262401377062562</v>
      </c>
      <c r="S248" s="7">
        <v>0.1390355222139711</v>
      </c>
      <c r="T248" s="7">
        <v>0.2757779924212059</v>
      </c>
    </row>
    <row x14ac:dyDescent="0.25" r="249" customHeight="1" ht="19.5">
      <c r="A249" s="2" t="s">
        <v>2561</v>
      </c>
      <c r="B249" s="2" t="s">
        <v>2314</v>
      </c>
      <c r="C249" s="2" t="s">
        <v>31</v>
      </c>
      <c r="D249" s="2" t="s">
        <v>402</v>
      </c>
      <c r="E249" s="6">
        <v>1</v>
      </c>
      <c r="F249" s="6">
        <v>1</v>
      </c>
      <c r="G249" s="7">
        <v>0.3454385697841644</v>
      </c>
      <c r="H249" s="7">
        <v>3.8165359375</v>
      </c>
      <c r="I249" s="7">
        <v>11.47986397449628</v>
      </c>
      <c r="J249" s="7">
        <v>5.189887767817359</v>
      </c>
      <c r="K249" s="7">
        <v>0.7296576750805128</v>
      </c>
      <c r="L249" s="7">
        <v>0.9894726903637592</v>
      </c>
      <c r="M249" s="7">
        <v>0.3639198425799961</v>
      </c>
      <c r="N249" s="7">
        <v>0.2066834788781969</v>
      </c>
      <c r="O249" s="7">
        <v>0.0448881201156034</v>
      </c>
      <c r="P249" s="7">
        <v>9.409314744307672</v>
      </c>
      <c r="Q249" s="7">
        <v>0.0625322477557862</v>
      </c>
      <c r="R249" s="7">
        <v>0.1258608941335285</v>
      </c>
      <c r="S249" s="7">
        <v>0.1372832035523333</v>
      </c>
      <c r="T249" s="7">
        <v>0.2769900547647054</v>
      </c>
    </row>
    <row x14ac:dyDescent="0.25" r="250" customHeight="1" ht="19.5">
      <c r="A250" s="2" t="s">
        <v>2562</v>
      </c>
      <c r="B250" s="2" t="s">
        <v>2314</v>
      </c>
      <c r="C250" s="2" t="s">
        <v>31</v>
      </c>
      <c r="D250" s="2" t="s">
        <v>402</v>
      </c>
      <c r="E250" s="6">
        <v>1</v>
      </c>
      <c r="F250" s="6">
        <v>1</v>
      </c>
      <c r="G250" s="7">
        <v>0.3823712468147278</v>
      </c>
      <c r="H250" s="7">
        <v>3.81307265625</v>
      </c>
      <c r="I250" s="7">
        <v>11.47986397449628</v>
      </c>
      <c r="J250" s="7">
        <v>5.190055274763389</v>
      </c>
      <c r="K250" s="7">
        <v>0.7305741688245805</v>
      </c>
      <c r="L250" s="7">
        <v>0.989460671699254</v>
      </c>
      <c r="M250" s="7">
        <v>0.3635896067881812</v>
      </c>
      <c r="N250" s="7">
        <v>0.2018242740025879</v>
      </c>
      <c r="O250" s="7">
        <v>0.0455411828200472</v>
      </c>
      <c r="P250" s="7">
        <v>9.384113855618352</v>
      </c>
      <c r="Q250" s="7">
        <v>0.0619176171016118</v>
      </c>
      <c r="R250" s="7">
        <v>0.1258259756018472</v>
      </c>
      <c r="S250" s="7">
        <v>0.1378287271375284</v>
      </c>
      <c r="T250" s="7">
        <v>0.274018632649029</v>
      </c>
    </row>
    <row x14ac:dyDescent="0.25" r="251" customHeight="1" ht="19.5">
      <c r="A251" s="2" t="s">
        <v>2563</v>
      </c>
      <c r="B251" s="2" t="s">
        <v>2314</v>
      </c>
      <c r="C251" s="2" t="s">
        <v>31</v>
      </c>
      <c r="D251" s="2" t="s">
        <v>402</v>
      </c>
      <c r="E251" s="6">
        <v>1</v>
      </c>
      <c r="F251" s="6">
        <v>1</v>
      </c>
      <c r="G251" s="7">
        <v>0.3748473227024078</v>
      </c>
      <c r="H251" s="7">
        <v>3.8026828125</v>
      </c>
      <c r="I251" s="7">
        <v>11.44539064794153</v>
      </c>
      <c r="J251" s="7">
        <v>5.190483550710964</v>
      </c>
      <c r="K251" s="7">
        <v>0.732927761001479</v>
      </c>
      <c r="L251" s="7">
        <v>0.9894147862177792</v>
      </c>
      <c r="M251" s="7">
        <v>0.3647864726523877</v>
      </c>
      <c r="N251" s="7">
        <v>0.2051793940905608</v>
      </c>
      <c r="O251" s="7">
        <v>0.0455213040624789</v>
      </c>
      <c r="P251" s="7">
        <v>9.41212179324099</v>
      </c>
      <c r="Q251" s="7">
        <v>0.0621381102664659</v>
      </c>
      <c r="R251" s="7">
        <v>0.1253342169339669</v>
      </c>
      <c r="S251" s="7">
        <v>0.1348263968341338</v>
      </c>
      <c r="T251" s="7">
        <v>0.274245129416855</v>
      </c>
    </row>
    <row x14ac:dyDescent="0.25" r="252" customHeight="1" ht="19.5">
      <c r="A252" s="2" t="s">
        <v>2564</v>
      </c>
      <c r="B252" s="2" t="s">
        <v>2314</v>
      </c>
      <c r="C252" s="2" t="s">
        <v>31</v>
      </c>
      <c r="D252" s="2" t="s">
        <v>402</v>
      </c>
      <c r="E252" s="6">
        <v>1</v>
      </c>
      <c r="F252" s="6">
        <v>1</v>
      </c>
      <c r="G252" s="7">
        <v>0.3703386783599853</v>
      </c>
      <c r="H252" s="7">
        <v>3.615665625</v>
      </c>
      <c r="I252" s="7">
        <v>11.39663800198769</v>
      </c>
      <c r="J252" s="7">
        <v>5.185991020824559</v>
      </c>
      <c r="K252" s="7">
        <v>0.6565344856562003</v>
      </c>
      <c r="L252" s="7">
        <v>0.9906389775121692</v>
      </c>
      <c r="M252" s="7">
        <v>0.3498199850159466</v>
      </c>
      <c r="N252" s="7">
        <v>0.2092737729161108</v>
      </c>
      <c r="O252" s="7">
        <v>0.0450822321584382</v>
      </c>
      <c r="P252" s="7">
        <v>9.27829424260539</v>
      </c>
      <c r="Q252" s="7">
        <v>0.066739273421316</v>
      </c>
      <c r="R252" s="7">
        <v>0.125642721998496</v>
      </c>
      <c r="S252" s="7">
        <v>0.1349163516042981</v>
      </c>
      <c r="T252" s="7">
        <v>0.2800660812205914</v>
      </c>
    </row>
    <row x14ac:dyDescent="0.25" r="253" customHeight="1" ht="19.5">
      <c r="A253" s="2" t="s">
        <v>2565</v>
      </c>
      <c r="B253" s="2" t="s">
        <v>2314</v>
      </c>
      <c r="C253" s="2" t="s">
        <v>31</v>
      </c>
      <c r="D253" s="2" t="s">
        <v>402</v>
      </c>
      <c r="E253" s="6">
        <v>1</v>
      </c>
      <c r="F253" s="6">
        <v>1</v>
      </c>
      <c r="G253" s="7">
        <v>0.3695712387561798</v>
      </c>
      <c r="H253" s="7">
        <v>3.77843984375</v>
      </c>
      <c r="I253" s="7">
        <v>11.39663800198769</v>
      </c>
      <c r="J253" s="7">
        <v>5.131161001524919</v>
      </c>
      <c r="K253" s="7">
        <v>0.7310112815128245</v>
      </c>
      <c r="L253" s="7">
        <v>0.9892200291152476</v>
      </c>
      <c r="M253" s="7">
        <v>0.365568585873944</v>
      </c>
      <c r="N253" s="7">
        <v>0.200405179584012</v>
      </c>
      <c r="O253" s="7">
        <v>0.0452795051988715</v>
      </c>
      <c r="P253" s="7">
        <v>9.381494659712946</v>
      </c>
      <c r="Q253" s="7">
        <v>0.0623230196385247</v>
      </c>
      <c r="R253" s="7">
        <v>0.1254835701261338</v>
      </c>
      <c r="S253" s="7">
        <v>0.1370543018057615</v>
      </c>
      <c r="T253" s="7">
        <v>0.2733076447815799</v>
      </c>
    </row>
    <row x14ac:dyDescent="0.25" r="254" customHeight="1" ht="19.5">
      <c r="A254" s="2" t="s">
        <v>2566</v>
      </c>
      <c r="B254" s="2" t="s">
        <v>2314</v>
      </c>
      <c r="C254" s="2" t="s">
        <v>31</v>
      </c>
      <c r="D254" s="2" t="s">
        <v>402</v>
      </c>
      <c r="E254" s="6">
        <v>1</v>
      </c>
      <c r="F254" s="6">
        <v>1</v>
      </c>
      <c r="G254" s="7">
        <v>0.3771646916866302</v>
      </c>
      <c r="H254" s="7">
        <v>3.8026828125</v>
      </c>
      <c r="I254" s="7">
        <v>11.47986397449628</v>
      </c>
      <c r="J254" s="7">
        <v>5.19044342895259</v>
      </c>
      <c r="K254" s="7">
        <v>0.732053885855006</v>
      </c>
      <c r="L254" s="7">
        <v>0.9894679313348298</v>
      </c>
      <c r="M254" s="7">
        <v>0.3625988994127364</v>
      </c>
      <c r="N254" s="7">
        <v>0.2029783143441266</v>
      </c>
      <c r="O254" s="7">
        <v>0.0454884324377835</v>
      </c>
      <c r="P254" s="7">
        <v>9.411106565100136</v>
      </c>
      <c r="Q254" s="7">
        <v>0.0612216180141582</v>
      </c>
      <c r="R254" s="7">
        <v>0.1241282845559886</v>
      </c>
      <c r="S254" s="7">
        <v>0.1331097709585037</v>
      </c>
      <c r="T254" s="7">
        <v>0.2702002118088712</v>
      </c>
    </row>
    <row x14ac:dyDescent="0.25" r="255" customHeight="1" ht="19.5">
      <c r="A255" s="2" t="s">
        <v>2567</v>
      </c>
      <c r="B255" s="2" t="s">
        <v>2314</v>
      </c>
      <c r="C255" s="2" t="s">
        <v>31</v>
      </c>
      <c r="D255" s="2" t="s">
        <v>402</v>
      </c>
      <c r="E255" s="6">
        <v>1</v>
      </c>
      <c r="F255" s="6">
        <v>1</v>
      </c>
      <c r="G255" s="7">
        <v>0.370230495929718</v>
      </c>
      <c r="H255" s="7">
        <v>3.62605546875</v>
      </c>
      <c r="I255" s="7">
        <v>11.43111132854244</v>
      </c>
      <c r="J255" s="7">
        <v>5.185526882531319</v>
      </c>
      <c r="K255" s="7">
        <v>0.6531071745776277</v>
      </c>
      <c r="L255" s="7">
        <v>0.9906734126766312</v>
      </c>
      <c r="M255" s="7">
        <v>0.3487124061442474</v>
      </c>
      <c r="N255" s="7">
        <v>0.208605767809556</v>
      </c>
      <c r="O255" s="7">
        <v>0.0459953689434245</v>
      </c>
      <c r="P255" s="7">
        <v>9.248084259841765</v>
      </c>
      <c r="Q255" s="7">
        <v>0.0664501973393156</v>
      </c>
      <c r="R255" s="7">
        <v>0.1262125189496923</v>
      </c>
      <c r="S255" s="7">
        <v>0.1358502904836331</v>
      </c>
      <c r="T255" s="7">
        <v>0.2796542980245984</v>
      </c>
    </row>
    <row x14ac:dyDescent="0.25" r="256" customHeight="1" ht="19.5">
      <c r="A256" s="2" t="s">
        <v>2568</v>
      </c>
      <c r="B256" s="2" t="s">
        <v>2314</v>
      </c>
      <c r="C256" s="2" t="s">
        <v>31</v>
      </c>
      <c r="D256" s="2" t="s">
        <v>402</v>
      </c>
      <c r="E256" s="6">
        <v>1</v>
      </c>
      <c r="F256" s="6">
        <v>1</v>
      </c>
      <c r="G256" s="7">
        <v>0.3662526309490204</v>
      </c>
      <c r="H256" s="7">
        <v>3.61912890625</v>
      </c>
      <c r="I256" s="7">
        <v>11.39663800198769</v>
      </c>
      <c r="J256" s="7">
        <v>5.18578406645626</v>
      </c>
      <c r="K256" s="7">
        <v>0.6551209521772347</v>
      </c>
      <c r="L256" s="7">
        <v>0.990635868657987</v>
      </c>
      <c r="M256" s="7">
        <v>0.3501550616299465</v>
      </c>
      <c r="N256" s="7">
        <v>0.209270208557174</v>
      </c>
      <c r="O256" s="7">
        <v>0.0448909937833978</v>
      </c>
      <c r="P256" s="7">
        <v>9.30283701233321</v>
      </c>
      <c r="Q256" s="7">
        <v>0.0666379358810815</v>
      </c>
      <c r="R256" s="7">
        <v>0.1263203521624505</v>
      </c>
      <c r="S256" s="7">
        <v>0.1360311683823883</v>
      </c>
      <c r="T256" s="7">
        <v>0.2799086814472885</v>
      </c>
    </row>
    <row x14ac:dyDescent="0.25" r="257" customHeight="1" ht="19.5">
      <c r="A257" s="2" t="s">
        <v>2569</v>
      </c>
      <c r="B257" s="2" t="s">
        <v>2314</v>
      </c>
      <c r="C257" s="2" t="s">
        <v>31</v>
      </c>
      <c r="D257" s="2" t="s">
        <v>402</v>
      </c>
      <c r="E257" s="6">
        <v>1</v>
      </c>
      <c r="F257" s="6">
        <v>1</v>
      </c>
      <c r="G257" s="7">
        <v>0.3565221428871155</v>
      </c>
      <c r="H257" s="7">
        <v>3.615665625</v>
      </c>
      <c r="I257" s="7">
        <v>11.39663800198769</v>
      </c>
      <c r="J257" s="7">
        <v>5.185991020824559</v>
      </c>
      <c r="K257" s="7">
        <v>0.6565344856562003</v>
      </c>
      <c r="L257" s="7">
        <v>0.9906389775121692</v>
      </c>
      <c r="M257" s="7">
        <v>0.3498199850159466</v>
      </c>
      <c r="N257" s="7">
        <v>0.2136214942509207</v>
      </c>
      <c r="O257" s="7">
        <v>0.0455466356389452</v>
      </c>
      <c r="P257" s="7">
        <v>9.283346592874771</v>
      </c>
      <c r="Q257" s="7">
        <v>0.0664817992937438</v>
      </c>
      <c r="R257" s="7">
        <v>0.1263085016225554</v>
      </c>
      <c r="S257" s="7">
        <v>0.1374092918137199</v>
      </c>
      <c r="T257" s="7">
        <v>0.2789856114128125</v>
      </c>
    </row>
    <row x14ac:dyDescent="0.25" r="258" customHeight="1" ht="19.5">
      <c r="A258" s="2" t="s">
        <v>2570</v>
      </c>
      <c r="B258" s="2" t="s">
        <v>2314</v>
      </c>
      <c r="C258" s="2" t="s">
        <v>31</v>
      </c>
      <c r="D258" s="2" t="s">
        <v>402</v>
      </c>
      <c r="E258" s="6">
        <v>1</v>
      </c>
      <c r="F258" s="6">
        <v>1</v>
      </c>
      <c r="G258" s="7">
        <v>0.3707386255264282</v>
      </c>
      <c r="H258" s="7">
        <v>3.6225921875</v>
      </c>
      <c r="I258" s="7">
        <v>11.43111132854244</v>
      </c>
      <c r="J258" s="7">
        <v>5.185732111172224</v>
      </c>
      <c r="K258" s="7">
        <v>0.6545264943239434</v>
      </c>
      <c r="L258" s="7">
        <v>0.9906764827090058</v>
      </c>
      <c r="M258" s="7">
        <v>0.348379347494635</v>
      </c>
      <c r="N258" s="7">
        <v>0.2017550497687185</v>
      </c>
      <c r="O258" s="7">
        <v>0.0442165886420997</v>
      </c>
      <c r="P258" s="7">
        <v>9.324874240931484</v>
      </c>
      <c r="Q258" s="7">
        <v>0.0667164684462351</v>
      </c>
      <c r="R258" s="7">
        <v>0.1259279860545369</v>
      </c>
      <c r="S258" s="7">
        <v>0.1349709934597936</v>
      </c>
      <c r="T258" s="7">
        <v>0.2805067236746158</v>
      </c>
    </row>
    <row x14ac:dyDescent="0.25" r="259" customHeight="1" ht="19.5">
      <c r="A259" s="2" t="s">
        <v>2571</v>
      </c>
      <c r="B259" s="2" t="s">
        <v>2314</v>
      </c>
      <c r="C259" s="2" t="s">
        <v>31</v>
      </c>
      <c r="D259" s="2" t="s">
        <v>402</v>
      </c>
      <c r="E259" s="6">
        <v>1</v>
      </c>
      <c r="F259" s="6">
        <v>1</v>
      </c>
      <c r="G259" s="7">
        <v>0.3893187642097473</v>
      </c>
      <c r="H259" s="7">
        <v>3.80614609375</v>
      </c>
      <c r="I259" s="7">
        <v>11.47986397449628</v>
      </c>
      <c r="J259" s="7">
        <v>5.191343275149031</v>
      </c>
      <c r="K259" s="7">
        <v>0.734026732760351</v>
      </c>
      <c r="L259" s="7">
        <v>0.989425596715068</v>
      </c>
      <c r="M259" s="7">
        <v>0.3629291352045515</v>
      </c>
      <c r="N259" s="7">
        <v>0.2068357689250164</v>
      </c>
      <c r="O259" s="7">
        <v>0.0463827921507423</v>
      </c>
      <c r="P259" s="7">
        <v>9.377946473302682</v>
      </c>
      <c r="Q259" s="7">
        <v>0.0609907076699094</v>
      </c>
      <c r="R259" s="7">
        <v>0.1234041560367785</v>
      </c>
      <c r="S259" s="7">
        <v>0.1333693638866688</v>
      </c>
      <c r="T259" s="7">
        <v>0.2694262501058458</v>
      </c>
    </row>
    <row x14ac:dyDescent="0.25" r="260" customHeight="1" ht="19.5">
      <c r="A260" s="2" t="s">
        <v>2572</v>
      </c>
      <c r="B260" s="2" t="s">
        <v>2314</v>
      </c>
      <c r="C260" s="2" t="s">
        <v>31</v>
      </c>
      <c r="D260" s="2" t="s">
        <v>402</v>
      </c>
      <c r="E260" s="6">
        <v>1</v>
      </c>
      <c r="F260" s="6">
        <v>1</v>
      </c>
      <c r="G260" s="7">
        <v>0.3729589581489563</v>
      </c>
      <c r="H260" s="7">
        <v>3.80614609375</v>
      </c>
      <c r="I260" s="7">
        <v>11.47986397449628</v>
      </c>
      <c r="J260" s="7">
        <v>5.191343275149031</v>
      </c>
      <c r="K260" s="7">
        <v>0.734026732760351</v>
      </c>
      <c r="L260" s="7">
        <v>0.989425596715068</v>
      </c>
      <c r="M260" s="7">
        <v>0.3629291352045515</v>
      </c>
      <c r="N260" s="7">
        <v>0.2096372712404412</v>
      </c>
      <c r="O260" s="7">
        <v>0.0469585603518977</v>
      </c>
      <c r="P260" s="7">
        <v>9.348415682479796</v>
      </c>
      <c r="Q260" s="7">
        <v>0.0611158073701752</v>
      </c>
      <c r="R260" s="7">
        <v>0.1236295971366688</v>
      </c>
      <c r="S260" s="7">
        <v>0.1346312049526621</v>
      </c>
      <c r="T260" s="7">
        <v>0.2699788776194401</v>
      </c>
    </row>
    <row x14ac:dyDescent="0.25" r="261" customHeight="1" ht="19.5">
      <c r="A261" s="2" t="s">
        <v>2573</v>
      </c>
      <c r="B261" s="2" t="s">
        <v>2314</v>
      </c>
      <c r="C261" s="2" t="s">
        <v>31</v>
      </c>
      <c r="D261" s="2" t="s">
        <v>402</v>
      </c>
      <c r="E261" s="6">
        <v>1</v>
      </c>
      <c r="F261" s="6">
        <v>1</v>
      </c>
      <c r="G261" s="7">
        <v>0.3416356146335602</v>
      </c>
      <c r="H261" s="7">
        <v>3.61912890625</v>
      </c>
      <c r="I261" s="7">
        <v>11.43111132854244</v>
      </c>
      <c r="J261" s="7">
        <v>5.185879874256365</v>
      </c>
      <c r="K261" s="7">
        <v>0.65567164101201</v>
      </c>
      <c r="L261" s="7">
        <v>0.9906608287698524</v>
      </c>
      <c r="M261" s="7">
        <v>0.3480462888450225</v>
      </c>
      <c r="N261" s="7">
        <v>0.2062540740296838</v>
      </c>
      <c r="O261" s="7">
        <v>0.0450930377037391</v>
      </c>
      <c r="P261" s="7">
        <v>9.28142531694404</v>
      </c>
      <c r="Q261" s="7">
        <v>0.0662830301900279</v>
      </c>
      <c r="R261" s="7">
        <v>0.1250254429950603</v>
      </c>
      <c r="S261" s="7">
        <v>0.1343461524304859</v>
      </c>
      <c r="T261" s="7">
        <v>0.2784179212262903</v>
      </c>
    </row>
    <row x14ac:dyDescent="0.25" r="262" customHeight="1" ht="19.5">
      <c r="A262" s="2" t="s">
        <v>2574</v>
      </c>
      <c r="B262" s="2" t="s">
        <v>2314</v>
      </c>
      <c r="C262" s="2" t="s">
        <v>31</v>
      </c>
      <c r="D262" s="2" t="s">
        <v>402</v>
      </c>
      <c r="E262" s="6">
        <v>1</v>
      </c>
      <c r="F262" s="6">
        <v>1</v>
      </c>
      <c r="G262" s="7">
        <v>0.3661233782768249</v>
      </c>
      <c r="H262" s="7">
        <v>3.615665625</v>
      </c>
      <c r="I262" s="7">
        <v>11.39663800198769</v>
      </c>
      <c r="J262" s="7">
        <v>5.185991020824559</v>
      </c>
      <c r="K262" s="7">
        <v>0.6565344856562003</v>
      </c>
      <c r="L262" s="7">
        <v>0.9906389775121692</v>
      </c>
      <c r="M262" s="7">
        <v>0.3498199850159466</v>
      </c>
      <c r="N262" s="7">
        <v>0.2068141154266107</v>
      </c>
      <c r="O262" s="7">
        <v>0.0457757728229165</v>
      </c>
      <c r="P262" s="7">
        <v>9.270408450239731</v>
      </c>
      <c r="Q262" s="7">
        <v>0.0663374236545069</v>
      </c>
      <c r="R262" s="7">
        <v>0.1252405662181822</v>
      </c>
      <c r="S262" s="7">
        <v>0.13765852061229</v>
      </c>
      <c r="T262" s="7">
        <v>0.2783797504641996</v>
      </c>
    </row>
    <row x14ac:dyDescent="0.25" r="263" customHeight="1" ht="19.5">
      <c r="A263" s="2" t="s">
        <v>2575</v>
      </c>
      <c r="B263" s="2" t="s">
        <v>2314</v>
      </c>
      <c r="C263" s="2" t="s">
        <v>31</v>
      </c>
      <c r="D263" s="2" t="s">
        <v>402</v>
      </c>
      <c r="E263" s="6">
        <v>1</v>
      </c>
      <c r="F263" s="6">
        <v>1</v>
      </c>
      <c r="G263" s="7">
        <v>0.3930570185184479</v>
      </c>
      <c r="H263" s="7">
        <v>3.81307265625</v>
      </c>
      <c r="I263" s="7">
        <v>11.51433730105102</v>
      </c>
      <c r="J263" s="7">
        <v>5.190941134118956</v>
      </c>
      <c r="K263" s="7">
        <v>0.7313706880709</v>
      </c>
      <c r="L263" s="7">
        <v>0.9894980759674108</v>
      </c>
      <c r="M263" s="7">
        <v>0.3614157291896256</v>
      </c>
      <c r="N263" s="7">
        <v>0.2073338937536808</v>
      </c>
      <c r="O263" s="7">
        <v>0.045074033810414</v>
      </c>
      <c r="P263" s="7">
        <v>9.43962001924125</v>
      </c>
      <c r="Q263" s="7">
        <v>0.0607594870402946</v>
      </c>
      <c r="R263" s="7">
        <v>0.12347081946404</v>
      </c>
      <c r="S263" s="7">
        <v>0.1317478732398748</v>
      </c>
      <c r="T263" s="7">
        <v>0.2688932865732732</v>
      </c>
    </row>
    <row x14ac:dyDescent="0.25" r="264" customHeight="1" ht="19.5">
      <c r="A264" s="2" t="s">
        <v>2576</v>
      </c>
      <c r="B264" s="2" t="s">
        <v>2314</v>
      </c>
      <c r="C264" s="2" t="s">
        <v>31</v>
      </c>
      <c r="D264" s="2" t="s">
        <v>402</v>
      </c>
      <c r="E264" s="6">
        <v>1</v>
      </c>
      <c r="F264" s="6">
        <v>1</v>
      </c>
      <c r="G264" s="7">
        <v>0.3917295932769775</v>
      </c>
      <c r="H264" s="7">
        <v>3.61220234375</v>
      </c>
      <c r="I264" s="7">
        <v>11.36216467543294</v>
      </c>
      <c r="J264" s="7">
        <v>5.185586255376478</v>
      </c>
      <c r="K264" s="7">
        <v>0.6548396167149362</v>
      </c>
      <c r="L264" s="7">
        <v>0.9906327953756456</v>
      </c>
      <c r="M264" s="7">
        <v>0.351608831909233</v>
      </c>
      <c r="N264" s="7">
        <v>0.201705133958578</v>
      </c>
      <c r="O264" s="7">
        <v>0.0450168180816032</v>
      </c>
      <c r="P264" s="7">
        <v>9.282584116236816</v>
      </c>
      <c r="Q264" s="7">
        <v>0.065529990811609</v>
      </c>
      <c r="R264" s="7">
        <v>0.1236528118585745</v>
      </c>
      <c r="S264" s="7">
        <v>0.1338124324978443</v>
      </c>
      <c r="T264" s="7">
        <v>0.2747280206687542</v>
      </c>
    </row>
    <row x14ac:dyDescent="0.25" r="265" customHeight="1" ht="19.5">
      <c r="A265" s="2" t="s">
        <v>2577</v>
      </c>
      <c r="B265" s="2" t="s">
        <v>2314</v>
      </c>
      <c r="C265" s="2" t="s">
        <v>31</v>
      </c>
      <c r="D265" s="2" t="s">
        <v>402</v>
      </c>
      <c r="E265" s="6">
        <v>1</v>
      </c>
      <c r="F265" s="6">
        <v>1</v>
      </c>
      <c r="G265" s="7">
        <v>0.3008529841899872</v>
      </c>
      <c r="H265" s="7">
        <v>3.809609375</v>
      </c>
      <c r="I265" s="7">
        <v>11.44539064794153</v>
      </c>
      <c r="J265" s="7">
        <v>5.190219519704641</v>
      </c>
      <c r="K265" s="7">
        <v>0.7321049012902621</v>
      </c>
      <c r="L265" s="7">
        <v>0.9893955675884798</v>
      </c>
      <c r="M265" s="7">
        <v>0.3654509288867272</v>
      </c>
      <c r="N265" s="7">
        <v>0.2770801882367933</v>
      </c>
      <c r="O265" s="7">
        <v>0.0530427370691971</v>
      </c>
      <c r="P265" s="7">
        <v>8.978374899953092</v>
      </c>
      <c r="Q265" s="7">
        <v>0.0397792223070347</v>
      </c>
      <c r="R265" s="7">
        <v>0.082987999890761</v>
      </c>
      <c r="S265" s="7">
        <v>0.0897928774801517</v>
      </c>
      <c r="T265" s="7">
        <v>0.1758844784089855</v>
      </c>
    </row>
    <row x14ac:dyDescent="0.25" r="266" customHeight="1" ht="19.5">
      <c r="A266" s="2" t="s">
        <v>2578</v>
      </c>
      <c r="B266" s="2" t="s">
        <v>2314</v>
      </c>
      <c r="C266" s="2" t="s">
        <v>31</v>
      </c>
      <c r="D266" s="2" t="s">
        <v>402</v>
      </c>
      <c r="E266" s="6">
        <v>1</v>
      </c>
      <c r="F266" s="6">
        <v>1</v>
      </c>
      <c r="G266" s="7">
        <v>0.3438948690891266</v>
      </c>
      <c r="H266" s="7">
        <v>6.147324218750001</v>
      </c>
      <c r="I266" s="7">
        <v>19.47750162304639</v>
      </c>
      <c r="J266" s="7">
        <v>9.23555681623213</v>
      </c>
      <c r="K266" s="7">
        <v>0.6458856286042267</v>
      </c>
      <c r="L266" s="7">
        <v>0.9970086788593148</v>
      </c>
      <c r="M266" s="7">
        <v>0.2036242438773618</v>
      </c>
      <c r="N266" s="7">
        <v>0.3189178563790981</v>
      </c>
      <c r="O266" s="7">
        <v>0.0605585584907062</v>
      </c>
      <c r="P266" s="7">
        <v>8.660680474127306</v>
      </c>
      <c r="Q266" s="7">
        <v>0.0120686485526318</v>
      </c>
      <c r="R266" s="7">
        <v>0.0332715258643954</v>
      </c>
      <c r="S266" s="7">
        <v>0.0418026828591607</v>
      </c>
      <c r="T266" s="7">
        <v>0.0861064212785132</v>
      </c>
    </row>
    <row x14ac:dyDescent="0.25" r="267" customHeight="1" ht="19.5">
      <c r="A267" s="2" t="s">
        <v>2579</v>
      </c>
      <c r="B267" s="2" t="s">
        <v>2314</v>
      </c>
      <c r="C267" s="2" t="s">
        <v>31</v>
      </c>
      <c r="D267" s="2" t="s">
        <v>402</v>
      </c>
      <c r="E267" s="6">
        <v>1</v>
      </c>
      <c r="F267" s="6">
        <v>1</v>
      </c>
      <c r="G267" s="7">
        <v>0.4275445938110351</v>
      </c>
      <c r="H267" s="7">
        <v>6.33434140625</v>
      </c>
      <c r="I267" s="7">
        <v>19.35980232398305</v>
      </c>
      <c r="J267" s="7">
        <v>9.176166998663536</v>
      </c>
      <c r="K267" s="7">
        <v>0.7025380326537547</v>
      </c>
      <c r="L267" s="7">
        <v>0.9966660444881476</v>
      </c>
      <c r="M267" s="7">
        <v>0.2123779840347608</v>
      </c>
      <c r="N267" s="7">
        <v>0.2522328162152399</v>
      </c>
      <c r="O267" s="7">
        <v>0.0539871633980692</v>
      </c>
      <c r="P267" s="7">
        <v>9.10664732949552</v>
      </c>
      <c r="Q267" s="7">
        <v>0.023389915945259</v>
      </c>
      <c r="R267" s="7">
        <v>0.0545600192474136</v>
      </c>
      <c r="S267" s="7">
        <v>0.0655156356229238</v>
      </c>
      <c r="T267" s="7">
        <v>0.1719574151882295</v>
      </c>
    </row>
    <row x14ac:dyDescent="0.25" r="268" customHeight="1" ht="19.5">
      <c r="A268" s="2" t="s">
        <v>2580</v>
      </c>
      <c r="B268" s="2" t="s">
        <v>2314</v>
      </c>
      <c r="C268" s="2" t="s">
        <v>31</v>
      </c>
      <c r="D268" s="2" t="s">
        <v>402</v>
      </c>
      <c r="E268" s="6">
        <v>1</v>
      </c>
      <c r="F268" s="6">
        <v>1</v>
      </c>
      <c r="G268" s="7">
        <v>0.4376508593559265</v>
      </c>
      <c r="H268" s="7">
        <v>6.469409375000001</v>
      </c>
      <c r="I268" s="7">
        <v>19.60948024150881</v>
      </c>
      <c r="J268" s="7">
        <v>9.355419874502529</v>
      </c>
      <c r="K268" s="7">
        <v>0.715978030357148</v>
      </c>
      <c r="L268" s="7">
        <v>0.9965769344151602</v>
      </c>
      <c r="M268" s="7">
        <v>0.2114181811763651</v>
      </c>
      <c r="N268" s="7">
        <v>0.2148896354605789</v>
      </c>
      <c r="O268" s="7">
        <v>0.0586192639594948</v>
      </c>
      <c r="P268" s="7">
        <v>9.275800336070205</v>
      </c>
      <c r="Q268" s="7">
        <v>0.0384809591000753</v>
      </c>
      <c r="R268" s="7">
        <v>0.086599383773354</v>
      </c>
      <c r="S268" s="7">
        <v>0.1008325172320553</v>
      </c>
      <c r="T268" s="7">
        <v>0.2889357640246688</v>
      </c>
    </row>
    <row x14ac:dyDescent="0.25" r="269" customHeight="1" ht="19.5">
      <c r="A269" s="2" t="s">
        <v>2581</v>
      </c>
      <c r="B269" s="2" t="s">
        <v>2314</v>
      </c>
      <c r="C269" s="2" t="s">
        <v>31</v>
      </c>
      <c r="D269" s="2" t="s">
        <v>402</v>
      </c>
      <c r="E269" s="6">
        <v>1</v>
      </c>
      <c r="F269" s="6">
        <v>1</v>
      </c>
      <c r="G269" s="7">
        <v>0.4752642512321472</v>
      </c>
      <c r="H269" s="7">
        <v>6.64603671875</v>
      </c>
      <c r="I269" s="7">
        <v>20.32404066753134</v>
      </c>
      <c r="J269" s="7">
        <v>9.652821914301931</v>
      </c>
      <c r="K269" s="7">
        <v>0.7629557519207345</v>
      </c>
      <c r="L269" s="7">
        <v>0.9966896611215236</v>
      </c>
      <c r="M269" s="7">
        <v>0.2021866562191766</v>
      </c>
      <c r="N269" s="7">
        <v>0.206911888729043</v>
      </c>
      <c r="O269" s="7">
        <v>0.0572662621848355</v>
      </c>
      <c r="P269" s="7">
        <v>9.5427548380593</v>
      </c>
      <c r="Q269" s="7">
        <v>0.0521732883205672</v>
      </c>
      <c r="R269" s="7">
        <v>0.1169447337194697</v>
      </c>
      <c r="S269" s="7">
        <v>0.1314453238976735</v>
      </c>
      <c r="T269" s="7">
        <v>0.4024405429665788</v>
      </c>
    </row>
    <row x14ac:dyDescent="0.25" r="270" customHeight="1" ht="19.5">
      <c r="A270" s="2" t="s">
        <v>2582</v>
      </c>
      <c r="B270" s="2" t="s">
        <v>2314</v>
      </c>
      <c r="C270" s="2" t="s">
        <v>31</v>
      </c>
      <c r="D270" s="2" t="s">
        <v>402</v>
      </c>
      <c r="E270" s="6">
        <v>1</v>
      </c>
      <c r="F270" s="6">
        <v>1</v>
      </c>
      <c r="G270" s="7">
        <v>0.4766885042190552</v>
      </c>
      <c r="H270" s="7">
        <v>6.54906484375</v>
      </c>
      <c r="I270" s="7">
        <v>20.19797673682548</v>
      </c>
      <c r="J270" s="7">
        <v>9.653861806914469</v>
      </c>
      <c r="K270" s="7">
        <v>0.7237089445997562</v>
      </c>
      <c r="L270" s="7">
        <v>0.9968475678581324</v>
      </c>
      <c r="M270" s="7">
        <v>0.2017313613024679</v>
      </c>
      <c r="N270" s="7">
        <v>0.204666377125824</v>
      </c>
      <c r="O270" s="7">
        <v>0.0589335135562145</v>
      </c>
      <c r="P270" s="7">
        <v>9.497743048076922</v>
      </c>
      <c r="Q270" s="7">
        <v>0.0623529029362971</v>
      </c>
      <c r="R270" s="7">
        <v>0.1361157771623531</v>
      </c>
      <c r="S270" s="7">
        <v>0.151781281016241</v>
      </c>
      <c r="T270" s="7">
        <v>0.4739436928127669</v>
      </c>
    </row>
    <row x14ac:dyDescent="0.25" r="271" customHeight="1" ht="19.5">
      <c r="A271" s="2" t="s">
        <v>2583</v>
      </c>
      <c r="B271" s="2" t="s">
        <v>2314</v>
      </c>
      <c r="C271" s="2" t="s">
        <v>31</v>
      </c>
      <c r="D271" s="2" t="s">
        <v>402</v>
      </c>
      <c r="E271" s="6">
        <v>1</v>
      </c>
      <c r="F271" s="6">
        <v>1</v>
      </c>
      <c r="G271" s="7">
        <v>0.4720223844051361</v>
      </c>
      <c r="H271" s="7">
        <v>6.5733078125</v>
      </c>
      <c r="I271" s="7">
        <v>20.28120270933407</v>
      </c>
      <c r="J271" s="7">
        <v>9.71356704258308</v>
      </c>
      <c r="K271" s="7">
        <v>0.725952160319338</v>
      </c>
      <c r="L271" s="7">
        <v>0.9968796598205696</v>
      </c>
      <c r="M271" s="7">
        <v>0.2008197500198797</v>
      </c>
      <c r="N271" s="7">
        <v>0.2048798721404655</v>
      </c>
      <c r="O271" s="7">
        <v>0.0594496701455627</v>
      </c>
      <c r="P271" s="7">
        <v>9.506115546745727</v>
      </c>
      <c r="Q271" s="7">
        <v>0.0623189494345879</v>
      </c>
      <c r="R271" s="7">
        <v>0.1401936395876241</v>
      </c>
      <c r="S271" s="7">
        <v>0.1531281842386184</v>
      </c>
      <c r="T271" s="7">
        <v>0.4754390760391644</v>
      </c>
    </row>
    <row x14ac:dyDescent="0.25" r="272" customHeight="1" ht="19.5">
      <c r="A272" s="2" t="s">
        <v>2584</v>
      </c>
      <c r="B272" s="2" t="s">
        <v>2314</v>
      </c>
      <c r="C272" s="2" t="s">
        <v>31</v>
      </c>
      <c r="D272" s="2" t="s">
        <v>402</v>
      </c>
      <c r="E272" s="6">
        <v>1</v>
      </c>
      <c r="F272" s="6">
        <v>1</v>
      </c>
      <c r="G272" s="7">
        <v>0.4675970673561096</v>
      </c>
      <c r="H272" s="7">
        <v>6.55599140625</v>
      </c>
      <c r="I272" s="7">
        <v>20.21225605622457</v>
      </c>
      <c r="J272" s="7">
        <v>9.653689012306884</v>
      </c>
      <c r="K272" s="7">
        <v>0.7244283445894453</v>
      </c>
      <c r="L272" s="7">
        <v>0.9968061983325528</v>
      </c>
      <c r="M272" s="7">
        <v>0.2016594864324001</v>
      </c>
      <c r="N272" s="7">
        <v>0.2030774565872143</v>
      </c>
      <c r="O272" s="7">
        <v>0.0596547460179376</v>
      </c>
      <c r="P272" s="7">
        <v>9.489057353119804</v>
      </c>
      <c r="Q272" s="7">
        <v>0.0619745138445569</v>
      </c>
      <c r="R272" s="7">
        <v>0.136983584997251</v>
      </c>
      <c r="S272" s="7">
        <v>0.1525085148544133</v>
      </c>
      <c r="T272" s="7">
        <v>0.4715657822938882</v>
      </c>
    </row>
    <row x14ac:dyDescent="0.25" r="273" customHeight="1" ht="19.5">
      <c r="A273" s="2" t="s">
        <v>2585</v>
      </c>
      <c r="B273" s="2" t="s">
        <v>2314</v>
      </c>
      <c r="C273" s="2" t="s">
        <v>31</v>
      </c>
      <c r="D273" s="2" t="s">
        <v>402</v>
      </c>
      <c r="E273" s="6">
        <v>1</v>
      </c>
      <c r="F273" s="6">
        <v>1</v>
      </c>
      <c r="G273" s="7">
        <v>0.4726412892341614</v>
      </c>
      <c r="H273" s="7">
        <v>6.687596093750001</v>
      </c>
      <c r="I273" s="7">
        <v>20.32995535528791</v>
      </c>
      <c r="J273" s="7">
        <v>9.653673866599608</v>
      </c>
      <c r="K273" s="7">
        <v>0.7743262744767159</v>
      </c>
      <c r="L273" s="7">
        <v>0.9967100381841412</v>
      </c>
      <c r="M273" s="7">
        <v>0.2033326166776045</v>
      </c>
      <c r="N273" s="7">
        <v>0.2019440582063958</v>
      </c>
      <c r="O273" s="7">
        <v>0.0556967037197369</v>
      </c>
      <c r="P273" s="7">
        <v>9.572965354248538</v>
      </c>
      <c r="Q273" s="7">
        <v>0.0617714427882999</v>
      </c>
      <c r="R273" s="7">
        <v>0.1380657791852184</v>
      </c>
      <c r="S273" s="7">
        <v>0.1550601516655825</v>
      </c>
      <c r="T273" s="7">
        <v>0.4794557823809885</v>
      </c>
    </row>
    <row x14ac:dyDescent="0.25" r="274" customHeight="1" ht="19.5">
      <c r="A274" s="2" t="s">
        <v>2586</v>
      </c>
      <c r="B274" s="2" t="s">
        <v>2314</v>
      </c>
      <c r="C274" s="2" t="s">
        <v>31</v>
      </c>
      <c r="D274" s="2" t="s">
        <v>402</v>
      </c>
      <c r="E274" s="6">
        <v>1</v>
      </c>
      <c r="F274" s="6">
        <v>1</v>
      </c>
      <c r="G274" s="7">
        <v>0.4760845005512237</v>
      </c>
      <c r="H274" s="7">
        <v>6.687596093750001</v>
      </c>
      <c r="I274" s="7">
        <v>20.29548202873316</v>
      </c>
      <c r="J274" s="7">
        <v>9.653455592787273</v>
      </c>
      <c r="K274" s="7">
        <v>0.7730553160325018</v>
      </c>
      <c r="L274" s="7">
        <v>0.996693683698332</v>
      </c>
      <c r="M274" s="7">
        <v>0.2040239532811162</v>
      </c>
      <c r="N274" s="7">
        <v>0.2114946460460252</v>
      </c>
      <c r="O274" s="7">
        <v>0.0566489033788964</v>
      </c>
      <c r="P274" s="7">
        <v>9.575988692562085</v>
      </c>
      <c r="Q274" s="7">
        <v>0.0610703308526893</v>
      </c>
      <c r="R274" s="7">
        <v>0.1356300810056556</v>
      </c>
      <c r="S274" s="7">
        <v>0.1510147751301883</v>
      </c>
      <c r="T274" s="7">
        <v>0.4740139122149177</v>
      </c>
    </row>
    <row x14ac:dyDescent="0.25" r="275" customHeight="1" ht="19.5">
      <c r="A275" s="2" t="s">
        <v>2587</v>
      </c>
      <c r="B275" s="2" t="s">
        <v>2314</v>
      </c>
      <c r="C275" s="2" t="s">
        <v>31</v>
      </c>
      <c r="D275" s="2" t="s">
        <v>402</v>
      </c>
      <c r="E275" s="6">
        <v>1</v>
      </c>
      <c r="F275" s="6">
        <v>1</v>
      </c>
      <c r="G275" s="7">
        <v>0.4695176482200622</v>
      </c>
      <c r="H275" s="7">
        <v>6.69452265625</v>
      </c>
      <c r="I275" s="7">
        <v>20.37870800124175</v>
      </c>
      <c r="J275" s="7">
        <v>9.712784442343446</v>
      </c>
      <c r="K275" s="7">
        <v>0.7706706486631505</v>
      </c>
      <c r="L275" s="7">
        <v>0.9967752210968314</v>
      </c>
      <c r="M275" s="7">
        <v>0.2025704937574758</v>
      </c>
      <c r="N275" s="7">
        <v>0.2105819190797743</v>
      </c>
      <c r="O275" s="7">
        <v>0.0569196915048828</v>
      </c>
      <c r="P275" s="7">
        <v>9.575432403300802</v>
      </c>
      <c r="Q275" s="7">
        <v>0.0610780212250601</v>
      </c>
      <c r="R275" s="7">
        <v>0.1367252425044984</v>
      </c>
      <c r="S275" s="7">
        <v>0.1529442325704453</v>
      </c>
      <c r="T275" s="7">
        <v>0.4745646166941433</v>
      </c>
    </row>
    <row x14ac:dyDescent="0.25" r="276" customHeight="1" ht="19.5">
      <c r="A276" s="2" t="s">
        <v>2588</v>
      </c>
      <c r="B276" s="2" t="s">
        <v>2314</v>
      </c>
      <c r="C276" s="2" t="s">
        <v>31</v>
      </c>
      <c r="D276" s="2" t="s">
        <v>402</v>
      </c>
      <c r="E276" s="6">
        <v>1</v>
      </c>
      <c r="F276" s="6">
        <v>1</v>
      </c>
      <c r="G276" s="7">
        <v>0.4817828834056854</v>
      </c>
      <c r="H276" s="7">
        <v>6.64603671875</v>
      </c>
      <c r="I276" s="7">
        <v>20.24672938277932</v>
      </c>
      <c r="J276" s="7">
        <v>9.593208523263838</v>
      </c>
      <c r="K276" s="7">
        <v>0.7602549012353181</v>
      </c>
      <c r="L276" s="7">
        <v>0.996665541859414</v>
      </c>
      <c r="M276" s="7">
        <v>0.2037336867154297</v>
      </c>
      <c r="N276" s="7">
        <v>0.2047673009323504</v>
      </c>
      <c r="O276" s="7">
        <v>0.0577221606594287</v>
      </c>
      <c r="P276" s="7">
        <v>9.58722633018296</v>
      </c>
      <c r="Q276" s="7">
        <v>0.0609502035197222</v>
      </c>
      <c r="R276" s="7">
        <v>0.1365743524419135</v>
      </c>
      <c r="S276" s="7">
        <v>0.1511562942985677</v>
      </c>
      <c r="T276" s="7">
        <v>0.4701415952103409</v>
      </c>
    </row>
    <row x14ac:dyDescent="0.25" r="277" customHeight="1" ht="19.5">
      <c r="A277" s="2" t="s">
        <v>2589</v>
      </c>
      <c r="B277" s="2" t="s">
        <v>2314</v>
      </c>
      <c r="C277" s="2" t="s">
        <v>31</v>
      </c>
      <c r="D277" s="2" t="s">
        <v>402</v>
      </c>
      <c r="E277" s="6">
        <v>1</v>
      </c>
      <c r="F277" s="6">
        <v>1</v>
      </c>
      <c r="G277" s="7">
        <v>0.4766674339771271</v>
      </c>
      <c r="H277" s="7">
        <v>6.68066953125</v>
      </c>
      <c r="I277" s="7">
        <v>20.30976134813225</v>
      </c>
      <c r="J277" s="7">
        <v>9.652932016906624</v>
      </c>
      <c r="K277" s="7">
        <v>0.7648641564330267</v>
      </c>
      <c r="L277" s="7">
        <v>0.9966981607918212</v>
      </c>
      <c r="M277" s="7">
        <v>0.203526147909135</v>
      </c>
      <c r="N277" s="7">
        <v>0.2085476306526441</v>
      </c>
      <c r="O277" s="7">
        <v>0.0557020554486407</v>
      </c>
      <c r="P277" s="7">
        <v>9.589728211241468</v>
      </c>
      <c r="Q277" s="7">
        <v>0.0614828296907378</v>
      </c>
      <c r="R277" s="7">
        <v>0.1395924367218261</v>
      </c>
      <c r="S277" s="7">
        <v>0.1555945533465187</v>
      </c>
      <c r="T277" s="7">
        <v>0.4767213657855912</v>
      </c>
    </row>
    <row x14ac:dyDescent="0.25" r="278" customHeight="1" ht="19.5">
      <c r="A278" s="2" t="s">
        <v>2590</v>
      </c>
      <c r="B278" s="2" t="s">
        <v>2314</v>
      </c>
      <c r="C278" s="2" t="s">
        <v>31</v>
      </c>
      <c r="D278" s="2" t="s">
        <v>402</v>
      </c>
      <c r="E278" s="6">
        <v>1</v>
      </c>
      <c r="F278" s="6">
        <v>1</v>
      </c>
      <c r="G278" s="7">
        <v>0.4734703600406647</v>
      </c>
      <c r="H278" s="7">
        <v>6.7118390625</v>
      </c>
      <c r="I278" s="7">
        <v>20.30976134813225</v>
      </c>
      <c r="J278" s="7">
        <v>9.653130472941497</v>
      </c>
      <c r="K278" s="7">
        <v>0.7692218301234428</v>
      </c>
      <c r="L278" s="7">
        <v>0.9966728737964532</v>
      </c>
      <c r="M278" s="7">
        <v>0.204475725582117</v>
      </c>
      <c r="N278" s="7">
        <v>0.2064400242805792</v>
      </c>
      <c r="O278" s="7">
        <v>0.054907476091386</v>
      </c>
      <c r="P278" s="7">
        <v>9.611693740806492</v>
      </c>
      <c r="Q278" s="7">
        <v>0.0606173778997821</v>
      </c>
      <c r="R278" s="7">
        <v>0.1372293425225424</v>
      </c>
      <c r="S278" s="7">
        <v>0.1550802418196396</v>
      </c>
      <c r="T278" s="7">
        <v>0.4722037816149704</v>
      </c>
    </row>
    <row x14ac:dyDescent="0.25" r="279" customHeight="1" ht="19.5">
      <c r="A279" s="2" t="s">
        <v>2591</v>
      </c>
      <c r="B279" s="2" t="s">
        <v>2314</v>
      </c>
      <c r="C279" s="2" t="s">
        <v>31</v>
      </c>
      <c r="D279" s="2" t="s">
        <v>402</v>
      </c>
      <c r="E279" s="6">
        <v>1</v>
      </c>
      <c r="F279" s="6">
        <v>1</v>
      </c>
      <c r="G279" s="7">
        <v>0.4745942950248718</v>
      </c>
      <c r="H279" s="7">
        <v>6.70837578125</v>
      </c>
      <c r="I279" s="7">
        <v>20.3585139940861</v>
      </c>
      <c r="J279" s="7">
        <v>9.653236399592782</v>
      </c>
      <c r="K279" s="7">
        <v>0.7714491622030406</v>
      </c>
      <c r="L279" s="7">
        <v>0.9966846298099332</v>
      </c>
      <c r="M279" s="7">
        <v>0.2033925759606173</v>
      </c>
      <c r="N279" s="7">
        <v>0.2059801430819694</v>
      </c>
      <c r="O279" s="7">
        <v>0.0540699948618704</v>
      </c>
      <c r="P279" s="7">
        <v>9.654419415090349</v>
      </c>
      <c r="Q279" s="7">
        <v>0.060721226168126</v>
      </c>
      <c r="R279" s="7">
        <v>0.1382702861381018</v>
      </c>
      <c r="S279" s="7">
        <v>0.1555928037038179</v>
      </c>
      <c r="T279" s="7">
        <v>0.4727686774184594</v>
      </c>
    </row>
    <row x14ac:dyDescent="0.25" r="280" customHeight="1" ht="19.5">
      <c r="A280" s="2" t="s">
        <v>2592</v>
      </c>
      <c r="B280" s="2" t="s">
        <v>2314</v>
      </c>
      <c r="C280" s="2" t="s">
        <v>31</v>
      </c>
      <c r="D280" s="2" t="s">
        <v>402</v>
      </c>
      <c r="E280" s="6">
        <v>1</v>
      </c>
      <c r="F280" s="6">
        <v>1</v>
      </c>
      <c r="G280" s="7">
        <v>0.4680907726287842</v>
      </c>
      <c r="H280" s="7">
        <v>6.722228906250001</v>
      </c>
      <c r="I280" s="7">
        <v>20.55943926565801</v>
      </c>
      <c r="J280" s="7">
        <v>9.713123272033869</v>
      </c>
      <c r="K280" s="7">
        <v>0.7748059792063757</v>
      </c>
      <c r="L280" s="7">
        <v>0.996791153598221</v>
      </c>
      <c r="M280" s="7">
        <v>0.1998483789281922</v>
      </c>
      <c r="N280" s="7">
        <v>0.205849626869354</v>
      </c>
      <c r="O280" s="7">
        <v>0.0547565599423457</v>
      </c>
      <c r="P280" s="7">
        <v>9.634730021847489</v>
      </c>
      <c r="Q280" s="7">
        <v>0.0607778938280218</v>
      </c>
      <c r="R280" s="7">
        <v>0.136283726080519</v>
      </c>
      <c r="S280" s="7">
        <v>0.1548597303027928</v>
      </c>
      <c r="T280" s="7">
        <v>0.4741870871041895</v>
      </c>
    </row>
    <row x14ac:dyDescent="0.25" r="281" customHeight="1" ht="19.5">
      <c r="A281" s="2" t="s">
        <v>2593</v>
      </c>
      <c r="B281" s="2" t="s">
        <v>2314</v>
      </c>
      <c r="C281" s="2" t="s">
        <v>31</v>
      </c>
      <c r="D281" s="2" t="s">
        <v>402</v>
      </c>
      <c r="E281" s="6">
        <v>1</v>
      </c>
      <c r="F281" s="6">
        <v>1</v>
      </c>
      <c r="G281" s="7">
        <v>0.4783487021923065</v>
      </c>
      <c r="H281" s="7">
        <v>6.739545312500001</v>
      </c>
      <c r="I281" s="7">
        <v>20.41318132779649</v>
      </c>
      <c r="J281" s="7">
        <v>9.712928086171576</v>
      </c>
      <c r="K281" s="7">
        <v>0.7711092547255867</v>
      </c>
      <c r="L281" s="7">
        <v>0.9967201888391156</v>
      </c>
      <c r="M281" s="7">
        <v>0.2032446277062681</v>
      </c>
      <c r="N281" s="7">
        <v>0.2076675465791157</v>
      </c>
      <c r="O281" s="7">
        <v>0.0565226845002297</v>
      </c>
      <c r="P281" s="7">
        <v>9.58985401947905</v>
      </c>
      <c r="Q281" s="7">
        <v>0.060457516212239</v>
      </c>
      <c r="R281" s="7">
        <v>0.1360770865782657</v>
      </c>
      <c r="S281" s="7">
        <v>0.1518390066827973</v>
      </c>
      <c r="T281" s="7">
        <v>0.4729025748440735</v>
      </c>
    </row>
    <row x14ac:dyDescent="0.25" r="282" customHeight="1" ht="19.5">
      <c r="A282" s="2" t="s">
        <v>2594</v>
      </c>
      <c r="B282" s="2" t="s">
        <v>2314</v>
      </c>
      <c r="C282" s="2" t="s">
        <v>31</v>
      </c>
      <c r="D282" s="2" t="s">
        <v>402</v>
      </c>
      <c r="E282" s="6">
        <v>1</v>
      </c>
      <c r="F282" s="6">
        <v>1</v>
      </c>
      <c r="G282" s="7">
        <v>0.4679543673992157</v>
      </c>
      <c r="H282" s="7">
        <v>6.722228906250001</v>
      </c>
      <c r="I282" s="7">
        <v>20.53924525850236</v>
      </c>
      <c r="J282" s="7">
        <v>9.7723884896104</v>
      </c>
      <c r="K282" s="7">
        <v>0.7745010786124238</v>
      </c>
      <c r="L282" s="7">
        <v>0.9967782974603284</v>
      </c>
      <c r="M282" s="7">
        <v>0.2002415504878405</v>
      </c>
      <c r="N282" s="7">
        <v>0.207482267331368</v>
      </c>
      <c r="O282" s="7">
        <v>0.0568843996322915</v>
      </c>
      <c r="P282" s="7">
        <v>9.604575350406211</v>
      </c>
      <c r="Q282" s="7">
        <v>0.0610984790419398</v>
      </c>
      <c r="R282" s="7">
        <v>0.136333885489272</v>
      </c>
      <c r="S282" s="7">
        <v>0.1535503684010521</v>
      </c>
      <c r="T282" s="7">
        <v>0.4766882821799288</v>
      </c>
    </row>
    <row x14ac:dyDescent="0.25" r="283" customHeight="1" ht="19.5">
      <c r="A283" s="2" t="s">
        <v>2595</v>
      </c>
      <c r="B283" s="2" t="s">
        <v>2314</v>
      </c>
      <c r="C283" s="2" t="s">
        <v>31</v>
      </c>
      <c r="D283" s="2" t="s">
        <v>402</v>
      </c>
      <c r="E283" s="6">
        <v>1</v>
      </c>
      <c r="F283" s="6">
        <v>1</v>
      </c>
      <c r="G283" s="7">
        <v>0.4758658111095428</v>
      </c>
      <c r="H283" s="7">
        <v>6.73608203125</v>
      </c>
      <c r="I283" s="7">
        <v>20.46193397375033</v>
      </c>
      <c r="J283" s="7">
        <v>9.712938299175338</v>
      </c>
      <c r="K283" s="7">
        <v>0.7713015155435503</v>
      </c>
      <c r="L283" s="7">
        <v>0.9967576369939468</v>
      </c>
      <c r="M283" s="7">
        <v>0.2021733341892387</v>
      </c>
      <c r="N283" s="7">
        <v>0.2066804012364099</v>
      </c>
      <c r="O283" s="7">
        <v>0.0550518777514068</v>
      </c>
      <c r="P283" s="7">
        <v>9.619264665085892</v>
      </c>
      <c r="Q283" s="7">
        <v>0.0609699206769512</v>
      </c>
      <c r="R283" s="7">
        <v>0.1374143817553214</v>
      </c>
      <c r="S283" s="7">
        <v>0.1541660642972095</v>
      </c>
      <c r="T283" s="7">
        <v>0.4766655632084816</v>
      </c>
    </row>
    <row x14ac:dyDescent="0.25" r="284" customHeight="1" ht="19.5">
      <c r="A284" s="2" t="s">
        <v>2596</v>
      </c>
      <c r="B284" s="2" t="s">
        <v>2314</v>
      </c>
      <c r="C284" s="2" t="s">
        <v>31</v>
      </c>
      <c r="D284" s="2" t="s">
        <v>402</v>
      </c>
      <c r="E284" s="6">
        <v>1</v>
      </c>
      <c r="F284" s="6">
        <v>1</v>
      </c>
      <c r="G284" s="7">
        <v>0.4680521190166473</v>
      </c>
      <c r="H284" s="7">
        <v>6.756861718750001</v>
      </c>
      <c r="I284" s="7">
        <v>20.49640730030508</v>
      </c>
      <c r="J284" s="7">
        <v>9.772213232291692</v>
      </c>
      <c r="K284" s="7">
        <v>0.7672781194302289</v>
      </c>
      <c r="L284" s="7">
        <v>0.9967627322726456</v>
      </c>
      <c r="M284" s="7">
        <v>0.2021154019670388</v>
      </c>
      <c r="N284" s="7">
        <v>0.2104767966670383</v>
      </c>
      <c r="O284" s="7">
        <v>0.05612409002976</v>
      </c>
      <c r="P284" s="7">
        <v>9.594716548488334</v>
      </c>
      <c r="Q284" s="7">
        <v>0.0602288546660244</v>
      </c>
      <c r="R284" s="7">
        <v>0.1363459931730663</v>
      </c>
      <c r="S284" s="7">
        <v>0.1519595028869185</v>
      </c>
      <c r="T284" s="7">
        <v>0.4723244370908798</v>
      </c>
    </row>
    <row x14ac:dyDescent="0.25" r="285" customHeight="1" ht="19.5">
      <c r="A285" s="2" t="s">
        <v>2597</v>
      </c>
      <c r="B285" s="2" t="s">
        <v>2314</v>
      </c>
      <c r="C285" s="2" t="s">
        <v>31</v>
      </c>
      <c r="D285" s="2" t="s">
        <v>402</v>
      </c>
      <c r="E285" s="6">
        <v>1</v>
      </c>
      <c r="F285" s="6">
        <v>1</v>
      </c>
      <c r="G285" s="7">
        <v>0.4801838397979736</v>
      </c>
      <c r="H285" s="7">
        <v>6.701449218750001</v>
      </c>
      <c r="I285" s="7">
        <v>20.27528802157751</v>
      </c>
      <c r="J285" s="7">
        <v>9.65301880070238</v>
      </c>
      <c r="K285" s="7">
        <v>0.76667002491723</v>
      </c>
      <c r="L285" s="7">
        <v>0.9966882986061476</v>
      </c>
      <c r="M285" s="7">
        <v>0.2048540386515999</v>
      </c>
      <c r="N285" s="7">
        <v>0.2021156538288815</v>
      </c>
      <c r="O285" s="7">
        <v>0.0539601560001763</v>
      </c>
      <c r="P285" s="7">
        <v>9.650538563807906</v>
      </c>
      <c r="Q285" s="7">
        <v>0.0605776575626725</v>
      </c>
      <c r="R285" s="7">
        <v>0.1375515256236615</v>
      </c>
      <c r="S285" s="7">
        <v>0.1525323073841929</v>
      </c>
      <c r="T285" s="7">
        <v>0.4711638772219131</v>
      </c>
    </row>
    <row x14ac:dyDescent="0.25" r="286" customHeight="1" ht="19.5">
      <c r="A286" s="2" t="s">
        <v>2598</v>
      </c>
      <c r="B286" s="2" t="s">
        <v>2314</v>
      </c>
      <c r="C286" s="2" t="s">
        <v>31</v>
      </c>
      <c r="D286" s="2" t="s">
        <v>402</v>
      </c>
      <c r="E286" s="6">
        <v>1</v>
      </c>
      <c r="F286" s="6">
        <v>1</v>
      </c>
      <c r="G286" s="7">
        <v>0.4692263007164001</v>
      </c>
      <c r="H286" s="7">
        <v>6.635646875000001</v>
      </c>
      <c r="I286" s="7">
        <v>20.26100870217841</v>
      </c>
      <c r="J286" s="7">
        <v>9.593592798537042</v>
      </c>
      <c r="K286" s="7">
        <v>0.7679499729563481</v>
      </c>
      <c r="L286" s="7">
        <v>0.9967076192614308</v>
      </c>
      <c r="M286" s="7">
        <v>0.2031285667746599</v>
      </c>
      <c r="N286" s="7">
        <v>0.2102031508481293</v>
      </c>
      <c r="O286" s="7">
        <v>0.0575153888827107</v>
      </c>
      <c r="P286" s="7">
        <v>9.574851180353106</v>
      </c>
      <c r="Q286" s="7">
        <v>0.0610533336361577</v>
      </c>
      <c r="R286" s="7">
        <v>0.135346808186594</v>
      </c>
      <c r="S286" s="7">
        <v>0.1514783575015329</v>
      </c>
      <c r="T286" s="7">
        <v>0.4702008704293141</v>
      </c>
    </row>
    <row x14ac:dyDescent="0.25" r="287" customHeight="1" ht="19.5">
      <c r="A287" s="2" t="s">
        <v>2599</v>
      </c>
      <c r="B287" s="2" t="s">
        <v>2314</v>
      </c>
      <c r="C287" s="2" t="s">
        <v>31</v>
      </c>
      <c r="D287" s="2" t="s">
        <v>402</v>
      </c>
      <c r="E287" s="6">
        <v>1</v>
      </c>
      <c r="F287" s="6">
        <v>1</v>
      </c>
      <c r="G287" s="7">
        <v>0.4790553450584411</v>
      </c>
      <c r="H287" s="7">
        <v>6.68066953125</v>
      </c>
      <c r="I287" s="7">
        <v>20.39298732064084</v>
      </c>
      <c r="J287" s="7">
        <v>9.653002056728882</v>
      </c>
      <c r="K287" s="7">
        <v>0.764729351611197</v>
      </c>
      <c r="L287" s="7">
        <v>0.9966750757229004</v>
      </c>
      <c r="M287" s="7">
        <v>0.201868313568745</v>
      </c>
      <c r="N287" s="7">
        <v>0.2058350228021678</v>
      </c>
      <c r="O287" s="7">
        <v>0.0560105153684247</v>
      </c>
      <c r="P287" s="7">
        <v>9.601407528929595</v>
      </c>
      <c r="Q287" s="7">
        <v>0.0607226511603851</v>
      </c>
      <c r="R287" s="7">
        <v>0.1365997513605405</v>
      </c>
      <c r="S287" s="7">
        <v>0.1513513421447705</v>
      </c>
      <c r="T287" s="7">
        <v>0.4708271454145786</v>
      </c>
    </row>
    <row x14ac:dyDescent="0.25" r="288" customHeight="1" ht="19.5">
      <c r="A288" s="2" t="s">
        <v>2600</v>
      </c>
      <c r="B288" s="2" t="s">
        <v>2314</v>
      </c>
      <c r="C288" s="2" t="s">
        <v>31</v>
      </c>
      <c r="D288" s="2" t="s">
        <v>402</v>
      </c>
      <c r="E288" s="6">
        <v>1</v>
      </c>
      <c r="F288" s="6">
        <v>1</v>
      </c>
      <c r="G288" s="7">
        <v>0.4752964675426483</v>
      </c>
      <c r="H288" s="7">
        <v>6.722228906250001</v>
      </c>
      <c r="I288" s="7">
        <v>20.44173996659468</v>
      </c>
      <c r="J288" s="7">
        <v>9.653455421214368</v>
      </c>
      <c r="K288" s="7">
        <v>0.7731961354928463</v>
      </c>
      <c r="L288" s="7">
        <v>0.9966264346817956</v>
      </c>
      <c r="M288" s="7">
        <v>0.2021563753704451</v>
      </c>
      <c r="N288" s="7">
        <v>0.2080560982385113</v>
      </c>
      <c r="O288" s="7">
        <v>0.0569332274084947</v>
      </c>
      <c r="P288" s="7">
        <v>9.56702634354394</v>
      </c>
      <c r="Q288" s="7">
        <v>0.0603292404467339</v>
      </c>
      <c r="R288" s="7">
        <v>0.1362385120506263</v>
      </c>
      <c r="S288" s="7">
        <v>0.1540838053978986</v>
      </c>
      <c r="T288" s="7">
        <v>0.4706867084863594</v>
      </c>
    </row>
    <row x14ac:dyDescent="0.25" r="289" customHeight="1" ht="19.5">
      <c r="A289" s="2" t="s">
        <v>2601</v>
      </c>
      <c r="B289" s="2" t="s">
        <v>2314</v>
      </c>
      <c r="C289" s="2" t="s">
        <v>31</v>
      </c>
      <c r="D289" s="2" t="s">
        <v>402</v>
      </c>
      <c r="E289" s="6">
        <v>1</v>
      </c>
      <c r="F289" s="6">
        <v>1</v>
      </c>
      <c r="G289" s="7">
        <v>0.4686184823513031</v>
      </c>
      <c r="H289" s="7">
        <v>6.4486296875</v>
      </c>
      <c r="I289" s="7">
        <v>19.97685745809791</v>
      </c>
      <c r="J289" s="7">
        <v>9.534813413941912</v>
      </c>
      <c r="K289" s="7">
        <v>0.7311846418387208</v>
      </c>
      <c r="L289" s="7">
        <v>0.9969354712644456</v>
      </c>
      <c r="M289" s="7">
        <v>0.2030593355529759</v>
      </c>
      <c r="N289" s="7">
        <v>0.2164120460452832</v>
      </c>
      <c r="O289" s="7">
        <v>0.0554824151848829</v>
      </c>
      <c r="P289" s="7">
        <v>9.5040705734286</v>
      </c>
      <c r="Q289" s="7">
        <v>0.0625647261075714</v>
      </c>
      <c r="R289" s="7">
        <v>0.1388789986304099</v>
      </c>
      <c r="S289" s="7">
        <v>0.1525039408567689</v>
      </c>
      <c r="T289" s="7">
        <v>0.4682607604039436</v>
      </c>
    </row>
    <row x14ac:dyDescent="0.25" r="290" customHeight="1" ht="19.5">
      <c r="A290" s="2" t="s">
        <v>2602</v>
      </c>
      <c r="B290" s="2" t="s">
        <v>2314</v>
      </c>
      <c r="C290" s="2" t="s">
        <v>31</v>
      </c>
      <c r="D290" s="2" t="s">
        <v>402</v>
      </c>
      <c r="E290" s="6">
        <v>1</v>
      </c>
      <c r="F290" s="6">
        <v>1</v>
      </c>
      <c r="G290" s="7">
        <v>0.4224072694778442</v>
      </c>
      <c r="H290" s="7">
        <v>6.44516640625</v>
      </c>
      <c r="I290" s="7">
        <v>19.38836096278124</v>
      </c>
      <c r="J290" s="7">
        <v>9.237267239802796</v>
      </c>
      <c r="K290" s="7">
        <v>0.7324634540692474</v>
      </c>
      <c r="L290" s="7">
        <v>0.996435150027495</v>
      </c>
      <c r="M290" s="7">
        <v>0.2154575938998669</v>
      </c>
      <c r="N290" s="7">
        <v>0.248039827617411</v>
      </c>
      <c r="O290" s="7">
        <v>0.0562846920452677</v>
      </c>
      <c r="P290" s="7">
        <v>9.12435894733206</v>
      </c>
      <c r="Q290" s="7">
        <v>0.0348344493517041</v>
      </c>
      <c r="R290" s="7">
        <v>0.0869449060835692</v>
      </c>
      <c r="S290" s="7">
        <v>0.099031408618186</v>
      </c>
      <c r="T290" s="7">
        <v>0.2605756709104775</v>
      </c>
    </row>
    <row x14ac:dyDescent="0.25" r="291" customHeight="1" ht="19.5">
      <c r="A291" s="2" t="s">
        <v>2603</v>
      </c>
      <c r="B291" s="2" t="s">
        <v>2314</v>
      </c>
      <c r="C291" s="2" t="s">
        <v>31</v>
      </c>
      <c r="D291" s="2" t="s">
        <v>402</v>
      </c>
      <c r="E291" s="6">
        <v>1</v>
      </c>
      <c r="F291" s="6">
        <v>1</v>
      </c>
      <c r="G291" s="7">
        <v>0.3118137121200561</v>
      </c>
      <c r="H291" s="7">
        <v>5.46159453125</v>
      </c>
      <c r="I291" s="7">
        <v>17.15798896833446</v>
      </c>
      <c r="J291" s="7">
        <v>7.993695217986858</v>
      </c>
      <c r="K291" s="7">
        <v>0.7810889196315588</v>
      </c>
      <c r="L291" s="7">
        <v>0.9955050832560542</v>
      </c>
      <c r="M291" s="7">
        <v>0.2331291340320871</v>
      </c>
      <c r="N291" s="7">
        <v>0.3722171332527674</v>
      </c>
      <c r="O291" s="7">
        <v>0.0812374802583602</v>
      </c>
      <c r="P291" s="7">
        <v>8.408790227522303</v>
      </c>
      <c r="Q291" s="7">
        <v>0.010670691305175</v>
      </c>
      <c r="R291" s="7">
        <v>0.0284658386144911</v>
      </c>
      <c r="S291" s="7">
        <v>0.0352330448220905</v>
      </c>
      <c r="T291" s="7">
        <v>0.0676398742196925</v>
      </c>
    </row>
    <row x14ac:dyDescent="0.25" r="292" customHeight="1" ht="19.5">
      <c r="A292" s="2" t="s">
        <v>2604</v>
      </c>
      <c r="B292" s="2" t="s">
        <v>2314</v>
      </c>
      <c r="C292" s="2" t="s">
        <v>31</v>
      </c>
      <c r="D292" s="2" t="s">
        <v>402</v>
      </c>
      <c r="E292" s="6">
        <v>1</v>
      </c>
      <c r="F292" s="6">
        <v>1</v>
      </c>
      <c r="G292" s="7">
        <v>0.441112756729126</v>
      </c>
      <c r="H292" s="7">
        <v>6.47979921875</v>
      </c>
      <c r="I292" s="7">
        <v>19.78184687428255</v>
      </c>
      <c r="J292" s="7">
        <v>9.416932775346645</v>
      </c>
      <c r="K292" s="7">
        <v>0.7369578145179666</v>
      </c>
      <c r="L292" s="7">
        <v>0.9967108533028642</v>
      </c>
      <c r="M292" s="7">
        <v>0.2080835466866386</v>
      </c>
      <c r="N292" s="7">
        <v>0.3067207818073051</v>
      </c>
      <c r="O292" s="7">
        <v>0.0659559681897171</v>
      </c>
      <c r="P292" s="7">
        <v>8.897139195832313</v>
      </c>
      <c r="Q292" s="7">
        <v>0.022553462980415</v>
      </c>
      <c r="R292" s="7">
        <v>0.0518594514320134</v>
      </c>
      <c r="S292" s="7">
        <v>0.0613779882796369</v>
      </c>
      <c r="T292" s="7">
        <v>0.1696155107535297</v>
      </c>
    </row>
    <row x14ac:dyDescent="0.25" r="293" customHeight="1" ht="19.5">
      <c r="A293" s="2" t="s">
        <v>2605</v>
      </c>
      <c r="B293" s="2" t="s">
        <v>2314</v>
      </c>
      <c r="C293" s="2" t="s">
        <v>31</v>
      </c>
      <c r="D293" s="2" t="s">
        <v>402</v>
      </c>
      <c r="E293" s="6">
        <v>1</v>
      </c>
      <c r="F293" s="6">
        <v>1</v>
      </c>
      <c r="G293" s="7">
        <v>0.5244279503822327</v>
      </c>
      <c r="H293" s="7">
        <v>6.580234375000001</v>
      </c>
      <c r="I293" s="7">
        <v>20.01724547240921</v>
      </c>
      <c r="J293" s="7">
        <v>9.479465005305071</v>
      </c>
      <c r="K293" s="7">
        <v>0.7657111183140849</v>
      </c>
      <c r="L293" s="7">
        <v>0.9966950163315004</v>
      </c>
      <c r="M293" s="7">
        <v>0.2063681147131942</v>
      </c>
      <c r="N293" s="7">
        <v>0.2505580048774058</v>
      </c>
      <c r="O293" s="7">
        <v>0.0666159797441529</v>
      </c>
      <c r="P293" s="7">
        <v>9.102913605600238</v>
      </c>
      <c r="Q293" s="7">
        <v>0.03567818093783</v>
      </c>
      <c r="R293" s="7">
        <v>0.0749848890081933</v>
      </c>
      <c r="S293" s="7">
        <v>0.0853238194871084</v>
      </c>
      <c r="T293" s="7">
        <v>0.2724801353273224</v>
      </c>
    </row>
    <row x14ac:dyDescent="0.25" r="294" customHeight="1" ht="19.5">
      <c r="A294" s="2" t="s">
        <v>2606</v>
      </c>
      <c r="B294" s="2" t="s">
        <v>2314</v>
      </c>
      <c r="C294" s="2" t="s">
        <v>31</v>
      </c>
      <c r="D294" s="2" t="s">
        <v>402</v>
      </c>
      <c r="E294" s="6">
        <v>1</v>
      </c>
      <c r="F294" s="6">
        <v>1</v>
      </c>
      <c r="G294" s="7">
        <v>0.5511691570281982</v>
      </c>
      <c r="H294" s="7">
        <v>6.718765625000001</v>
      </c>
      <c r="I294" s="7">
        <v>20.61410659936841</v>
      </c>
      <c r="J294" s="7">
        <v>9.714563735038013</v>
      </c>
      <c r="K294" s="7">
        <v>0.7917498489980925</v>
      </c>
      <c r="L294" s="7">
        <v>0.9967630348703298</v>
      </c>
      <c r="M294" s="7">
        <v>0.1986873971911986</v>
      </c>
      <c r="N294" s="7">
        <v>0.2146290436949007</v>
      </c>
      <c r="O294" s="7">
        <v>0.0641068490382749</v>
      </c>
      <c r="P294" s="7">
        <v>9.406632061269615</v>
      </c>
      <c r="Q294" s="7">
        <v>0.0505344775902506</v>
      </c>
      <c r="R294" s="7">
        <v>0.1021925142880407</v>
      </c>
      <c r="S294" s="7">
        <v>0.1126184782839418</v>
      </c>
      <c r="T294" s="7">
        <v>0.3940651711501508</v>
      </c>
    </row>
    <row x14ac:dyDescent="0.25" r="295" customHeight="1" ht="19.5">
      <c r="A295" s="2" t="s">
        <v>2607</v>
      </c>
      <c r="B295" s="2" t="s">
        <v>2314</v>
      </c>
      <c r="C295" s="2" t="s">
        <v>31</v>
      </c>
      <c r="D295" s="2" t="s">
        <v>402</v>
      </c>
      <c r="E295" s="6">
        <v>1</v>
      </c>
      <c r="F295" s="6">
        <v>1</v>
      </c>
      <c r="G295" s="7">
        <v>0.5417916774749756</v>
      </c>
      <c r="H295" s="7">
        <v>6.5871609375</v>
      </c>
      <c r="I295" s="7">
        <v>20.33587004304447</v>
      </c>
      <c r="J295" s="7">
        <v>9.656316247142524</v>
      </c>
      <c r="K295" s="7">
        <v>0.7485559101085225</v>
      </c>
      <c r="L295" s="7">
        <v>0.9968283533713438</v>
      </c>
      <c r="M295" s="7">
        <v>0.2001624566406507</v>
      </c>
      <c r="N295" s="7">
        <v>0.2120755165803295</v>
      </c>
      <c r="O295" s="7">
        <v>0.0613758134637862</v>
      </c>
      <c r="P295" s="7">
        <v>9.43986973646209</v>
      </c>
      <c r="Q295" s="7">
        <v>0.0608350486673496</v>
      </c>
      <c r="R295" s="7">
        <v>0.1230648142428535</v>
      </c>
      <c r="S295" s="7">
        <v>0.1337565849763184</v>
      </c>
      <c r="T295" s="7">
        <v>0.4650963316711777</v>
      </c>
    </row>
    <row x14ac:dyDescent="0.25" r="296" customHeight="1" ht="19.5">
      <c r="A296" s="2" t="s">
        <v>2608</v>
      </c>
      <c r="B296" s="2" t="s">
        <v>2314</v>
      </c>
      <c r="C296" s="2" t="s">
        <v>31</v>
      </c>
      <c r="D296" s="2" t="s">
        <v>402</v>
      </c>
      <c r="E296" s="6">
        <v>1</v>
      </c>
      <c r="F296" s="6">
        <v>1</v>
      </c>
      <c r="G296" s="7">
        <v>0.5458430051803589</v>
      </c>
      <c r="H296" s="7">
        <v>6.6287203125</v>
      </c>
      <c r="I296" s="7">
        <v>20.41909601555305</v>
      </c>
      <c r="J296" s="7">
        <v>9.715455480154173</v>
      </c>
      <c r="K296" s="7">
        <v>0.7483622729048005</v>
      </c>
      <c r="L296" s="7">
        <v>0.9968612248034656</v>
      </c>
      <c r="M296" s="7">
        <v>0.1997866830163868</v>
      </c>
      <c r="N296" s="7">
        <v>0.2094369505150753</v>
      </c>
      <c r="O296" s="7">
        <v>0.0610991404438362</v>
      </c>
      <c r="P296" s="7">
        <v>9.456882095628366</v>
      </c>
      <c r="Q296" s="7">
        <v>0.0609887253453604</v>
      </c>
      <c r="R296" s="7">
        <v>0.1236223850068325</v>
      </c>
      <c r="S296" s="7">
        <v>0.1375288362083738</v>
      </c>
      <c r="T296" s="7">
        <v>0.4692129954255795</v>
      </c>
    </row>
    <row x14ac:dyDescent="0.25" r="297" customHeight="1" ht="19.5">
      <c r="A297" s="2" t="s">
        <v>2609</v>
      </c>
      <c r="B297" s="2" t="s">
        <v>2314</v>
      </c>
      <c r="C297" s="2" t="s">
        <v>31</v>
      </c>
      <c r="D297" s="2" t="s">
        <v>402</v>
      </c>
      <c r="E297" s="6">
        <v>1</v>
      </c>
      <c r="F297" s="6">
        <v>1</v>
      </c>
      <c r="G297" s="7">
        <v>0.5450161099433899</v>
      </c>
      <c r="H297" s="7">
        <v>6.67720625</v>
      </c>
      <c r="I297" s="7">
        <v>20.55107463401548</v>
      </c>
      <c r="J297" s="7">
        <v>9.834274562146096</v>
      </c>
      <c r="K297" s="7">
        <v>0.7493957011506267</v>
      </c>
      <c r="L297" s="7">
        <v>0.996924658547274</v>
      </c>
      <c r="M297" s="7">
        <v>0.1986715052863983</v>
      </c>
      <c r="N297" s="7">
        <v>0.2095837163319076</v>
      </c>
      <c r="O297" s="7">
        <v>0.0618047916219822</v>
      </c>
      <c r="P297" s="7">
        <v>9.43489674993163</v>
      </c>
      <c r="Q297" s="7">
        <v>0.0596733407837888</v>
      </c>
      <c r="R297" s="7">
        <v>0.1203737791688035</v>
      </c>
      <c r="S297" s="7">
        <v>0.131419515123876</v>
      </c>
      <c r="T297" s="7">
        <v>0.4624512136928806</v>
      </c>
    </row>
    <row x14ac:dyDescent="0.25" r="298" customHeight="1" ht="19.5">
      <c r="A298" s="2" t="s">
        <v>2610</v>
      </c>
      <c r="B298" s="2" t="s">
        <v>2314</v>
      </c>
      <c r="C298" s="2" t="s">
        <v>31</v>
      </c>
      <c r="D298" s="2" t="s">
        <v>402</v>
      </c>
      <c r="E298" s="6">
        <v>1</v>
      </c>
      <c r="F298" s="6">
        <v>1</v>
      </c>
      <c r="G298" s="7">
        <v>0.5483201742172241</v>
      </c>
      <c r="H298" s="7">
        <v>6.59062421875</v>
      </c>
      <c r="I298" s="7">
        <v>20.37034336959921</v>
      </c>
      <c r="J298" s="7">
        <v>9.715900058771682</v>
      </c>
      <c r="K298" s="7">
        <v>0.7551639330357749</v>
      </c>
      <c r="L298" s="7">
        <v>0.99683218398197</v>
      </c>
      <c r="M298" s="7">
        <v>0.1995904303598372</v>
      </c>
      <c r="N298" s="7">
        <v>0.2089972337145071</v>
      </c>
      <c r="O298" s="7">
        <v>0.0623443473482871</v>
      </c>
      <c r="P298" s="7">
        <v>9.41096974856903</v>
      </c>
      <c r="Q298" s="7">
        <v>0.0610078125421768</v>
      </c>
      <c r="R298" s="7">
        <v>0.1222972648197447</v>
      </c>
      <c r="S298" s="7">
        <v>0.1327654654838238</v>
      </c>
      <c r="T298" s="7">
        <v>0.4666623712425982</v>
      </c>
    </row>
    <row x14ac:dyDescent="0.25" r="299" customHeight="1" ht="19.5">
      <c r="A299" s="2" t="s">
        <v>2611</v>
      </c>
      <c r="B299" s="2" t="s">
        <v>2314</v>
      </c>
      <c r="C299" s="2" t="s">
        <v>31</v>
      </c>
      <c r="D299" s="2" t="s">
        <v>402</v>
      </c>
      <c r="E299" s="6">
        <v>1</v>
      </c>
      <c r="F299" s="6">
        <v>1</v>
      </c>
      <c r="G299" s="7">
        <v>0.546591579914093</v>
      </c>
      <c r="H299" s="7">
        <v>6.5871609375</v>
      </c>
      <c r="I299" s="7">
        <v>20.50232198806164</v>
      </c>
      <c r="J299" s="7">
        <v>9.775577852565796</v>
      </c>
      <c r="K299" s="7">
        <v>0.7567482662562273</v>
      </c>
      <c r="L299" s="7">
        <v>0.9968927148500368</v>
      </c>
      <c r="M299" s="7">
        <v>0.1969255371010395</v>
      </c>
      <c r="N299" s="7">
        <v>0.2072644463028299</v>
      </c>
      <c r="O299" s="7">
        <v>0.0629498467403504</v>
      </c>
      <c r="P299" s="7">
        <v>9.436983095973703</v>
      </c>
      <c r="Q299" s="7">
        <v>0.0610709352397104</v>
      </c>
      <c r="R299" s="7">
        <v>0.1220801203838993</v>
      </c>
      <c r="S299" s="7">
        <v>0.1316214442423367</v>
      </c>
      <c r="T299" s="7">
        <v>0.466899732537928</v>
      </c>
    </row>
    <row x14ac:dyDescent="0.25" r="300" customHeight="1" ht="19.5">
      <c r="A300" s="2" t="s">
        <v>2612</v>
      </c>
      <c r="B300" s="2" t="s">
        <v>2314</v>
      </c>
      <c r="C300" s="2" t="s">
        <v>31</v>
      </c>
      <c r="D300" s="2" t="s">
        <v>402</v>
      </c>
      <c r="E300" s="6">
        <v>1</v>
      </c>
      <c r="F300" s="6">
        <v>1</v>
      </c>
      <c r="G300" s="7">
        <v>0.5473759174346924</v>
      </c>
      <c r="H300" s="7">
        <v>6.614867187500001</v>
      </c>
      <c r="I300" s="7">
        <v>20.50232198806164</v>
      </c>
      <c r="J300" s="7">
        <v>9.774970017329728</v>
      </c>
      <c r="K300" s="7">
        <v>0.7546070482523912</v>
      </c>
      <c r="L300" s="7">
        <v>0.9968824058953994</v>
      </c>
      <c r="M300" s="7">
        <v>0.1977538253748609</v>
      </c>
      <c r="N300" s="7">
        <v>0.2077486376976505</v>
      </c>
      <c r="O300" s="7">
        <v>0.0622448093721694</v>
      </c>
      <c r="P300" s="7">
        <v>9.440919984821392</v>
      </c>
      <c r="Q300" s="7">
        <v>0.0602115466524909</v>
      </c>
      <c r="R300" s="7">
        <v>0.1206240180161033</v>
      </c>
      <c r="S300" s="7">
        <v>0.1292524175086867</v>
      </c>
      <c r="T300" s="7">
        <v>0.4622657233483956</v>
      </c>
    </row>
    <row x14ac:dyDescent="0.25" r="301" customHeight="1" ht="19.5">
      <c r="A301" s="2" t="s">
        <v>2613</v>
      </c>
      <c r="B301" s="2" t="s">
        <v>2314</v>
      </c>
      <c r="C301" s="2" t="s">
        <v>31</v>
      </c>
      <c r="D301" s="2" t="s">
        <v>402</v>
      </c>
      <c r="E301" s="6">
        <v>1</v>
      </c>
      <c r="F301" s="6">
        <v>1</v>
      </c>
      <c r="G301" s="7">
        <v>0.5450194478034973</v>
      </c>
      <c r="H301" s="7">
        <v>6.80534765625</v>
      </c>
      <c r="I301" s="7">
        <v>20.73180589843174</v>
      </c>
      <c r="J301" s="7">
        <v>9.834204991680394</v>
      </c>
      <c r="K301" s="7">
        <v>0.8050001248570728</v>
      </c>
      <c r="L301" s="7">
        <v>0.9968325346306738</v>
      </c>
      <c r="M301" s="7">
        <v>0.1989692267590631</v>
      </c>
      <c r="N301" s="7">
        <v>0.2144718886842951</v>
      </c>
      <c r="O301" s="7">
        <v>0.0637163378739604</v>
      </c>
      <c r="P301" s="7">
        <v>9.461542242885788</v>
      </c>
      <c r="Q301" s="7">
        <v>0.0595191376371309</v>
      </c>
      <c r="R301" s="7">
        <v>0.122230755375343</v>
      </c>
      <c r="S301" s="7">
        <v>0.1347587445274757</v>
      </c>
      <c r="T301" s="7">
        <v>0.4701080917842948</v>
      </c>
    </row>
    <row x14ac:dyDescent="0.25" r="302" customHeight="1" ht="19.5">
      <c r="A302" s="2" t="s">
        <v>2614</v>
      </c>
      <c r="B302" s="2" t="s">
        <v>2314</v>
      </c>
      <c r="C302" s="2" t="s">
        <v>31</v>
      </c>
      <c r="D302" s="2" t="s">
        <v>402</v>
      </c>
      <c r="E302" s="6">
        <v>1</v>
      </c>
      <c r="F302" s="6">
        <v>1</v>
      </c>
      <c r="G302" s="7">
        <v>0.5504558682441711</v>
      </c>
      <c r="H302" s="7">
        <v>6.62179375</v>
      </c>
      <c r="I302" s="7">
        <v>20.63430060652407</v>
      </c>
      <c r="J302" s="7">
        <v>9.834805849684075</v>
      </c>
      <c r="K302" s="7">
        <v>0.7594737370890805</v>
      </c>
      <c r="L302" s="7">
        <v>0.9969445742741484</v>
      </c>
      <c r="M302" s="7">
        <v>0.1954366488794803</v>
      </c>
      <c r="N302" s="7">
        <v>0.2144487648503439</v>
      </c>
      <c r="O302" s="7">
        <v>0.0639091239499037</v>
      </c>
      <c r="P302" s="7">
        <v>9.426666028720982</v>
      </c>
      <c r="Q302" s="7">
        <v>0.0594540389081628</v>
      </c>
      <c r="R302" s="7">
        <v>0.1216015787662901</v>
      </c>
      <c r="S302" s="7">
        <v>0.1325171429514067</v>
      </c>
      <c r="T302" s="7">
        <v>0.4569280218296902</v>
      </c>
    </row>
    <row x14ac:dyDescent="0.25" r="303" customHeight="1" ht="19.5">
      <c r="A303" s="2" t="s">
        <v>2615</v>
      </c>
      <c r="B303" s="2" t="s">
        <v>2314</v>
      </c>
      <c r="C303" s="2" t="s">
        <v>31</v>
      </c>
      <c r="D303" s="2" t="s">
        <v>402</v>
      </c>
      <c r="E303" s="6">
        <v>1</v>
      </c>
      <c r="F303" s="6">
        <v>1</v>
      </c>
      <c r="G303" s="7">
        <v>0.5511153936386108</v>
      </c>
      <c r="H303" s="7">
        <v>6.81920078125</v>
      </c>
      <c r="I303" s="7">
        <v>20.68305325247791</v>
      </c>
      <c r="J303" s="7">
        <v>9.83410625989412</v>
      </c>
      <c r="K303" s="7">
        <v>0.8036102221408554</v>
      </c>
      <c r="L303" s="7">
        <v>0.9968232328266742</v>
      </c>
      <c r="M303" s="7">
        <v>0.2003152629896926</v>
      </c>
      <c r="N303" s="7">
        <v>0.2126103044105843</v>
      </c>
      <c r="O303" s="7">
        <v>0.0631082051190051</v>
      </c>
      <c r="P303" s="7">
        <v>9.47021322175744</v>
      </c>
      <c r="Q303" s="7">
        <v>0.0586546366036065</v>
      </c>
      <c r="R303" s="7">
        <v>0.119288426168796</v>
      </c>
      <c r="S303" s="7">
        <v>0.1316058908995924</v>
      </c>
      <c r="T303" s="7">
        <v>0.4642229491904983</v>
      </c>
    </row>
    <row x14ac:dyDescent="0.25" r="304" customHeight="1" ht="19.5">
      <c r="A304" s="2" t="s">
        <v>2616</v>
      </c>
      <c r="B304" s="2" t="s">
        <v>2314</v>
      </c>
      <c r="C304" s="2" t="s">
        <v>31</v>
      </c>
      <c r="D304" s="2" t="s">
        <v>402</v>
      </c>
      <c r="E304" s="6">
        <v>1</v>
      </c>
      <c r="F304" s="6">
        <v>1</v>
      </c>
      <c r="G304" s="7">
        <v>0.5476415157318115</v>
      </c>
      <c r="H304" s="7">
        <v>6.829590625000001</v>
      </c>
      <c r="I304" s="7">
        <v>20.76627922498649</v>
      </c>
      <c r="J304" s="7">
        <v>9.893941669703924</v>
      </c>
      <c r="K304" s="7">
        <v>0.8078202816519435</v>
      </c>
      <c r="L304" s="7">
        <v>0.996878472675988</v>
      </c>
      <c r="M304" s="7">
        <v>0.1990156171659764</v>
      </c>
      <c r="N304" s="7">
        <v>0.2176267825578748</v>
      </c>
      <c r="O304" s="7">
        <v>0.0641368887990644</v>
      </c>
      <c r="P304" s="7">
        <v>9.481680680995629</v>
      </c>
      <c r="Q304" s="7">
        <v>0.0585548689959876</v>
      </c>
      <c r="R304" s="7">
        <v>0.1200272899644306</v>
      </c>
      <c r="S304" s="7">
        <v>0.1319928172509724</v>
      </c>
      <c r="T304" s="7">
        <v>0.4641394315218415</v>
      </c>
    </row>
    <row x14ac:dyDescent="0.25" r="305" customHeight="1" ht="19.5">
      <c r="A305" s="2" t="s">
        <v>2617</v>
      </c>
      <c r="B305" s="2" t="s">
        <v>2314</v>
      </c>
      <c r="C305" s="2" t="s">
        <v>31</v>
      </c>
      <c r="D305" s="2" t="s">
        <v>402</v>
      </c>
      <c r="E305" s="6">
        <v>1</v>
      </c>
      <c r="F305" s="6">
        <v>1</v>
      </c>
      <c r="G305" s="7">
        <v>0.5484795570373535</v>
      </c>
      <c r="H305" s="7">
        <v>6.7811046875</v>
      </c>
      <c r="I305" s="7">
        <v>20.64857992592316</v>
      </c>
      <c r="J305" s="7">
        <v>9.775159301792725</v>
      </c>
      <c r="K305" s="7">
        <v>0.8076134109711535</v>
      </c>
      <c r="L305" s="7">
        <v>0.9968157010734072</v>
      </c>
      <c r="M305" s="7">
        <v>0.1998618646652486</v>
      </c>
      <c r="N305" s="7">
        <v>0.208628120296049</v>
      </c>
      <c r="O305" s="7">
        <v>0.061952377835613</v>
      </c>
      <c r="P305" s="7">
        <v>9.503837244222709</v>
      </c>
      <c r="Q305" s="7">
        <v>0.0593043799167417</v>
      </c>
      <c r="R305" s="7">
        <v>0.1207767203193174</v>
      </c>
      <c r="S305" s="7">
        <v>0.1334360312092416</v>
      </c>
      <c r="T305" s="7">
        <v>0.4667431990086965</v>
      </c>
    </row>
    <row x14ac:dyDescent="0.25" r="306" customHeight="1" ht="19.5">
      <c r="A306" s="2" t="s">
        <v>2618</v>
      </c>
      <c r="B306" s="2" t="s">
        <v>2314</v>
      </c>
      <c r="C306" s="2" t="s">
        <v>31</v>
      </c>
      <c r="D306" s="2" t="s">
        <v>402</v>
      </c>
      <c r="E306" s="6">
        <v>1</v>
      </c>
      <c r="F306" s="6">
        <v>1</v>
      </c>
      <c r="G306" s="7">
        <v>0.549456000328064</v>
      </c>
      <c r="H306" s="7">
        <v>6.5733078125</v>
      </c>
      <c r="I306" s="7">
        <v>20.55107463401548</v>
      </c>
      <c r="J306" s="7">
        <v>9.775936999183555</v>
      </c>
      <c r="K306" s="7">
        <v>0.7627240142050917</v>
      </c>
      <c r="L306" s="7">
        <v>0.9969329704097268</v>
      </c>
      <c r="M306" s="7">
        <v>0.1955801436896182</v>
      </c>
      <c r="N306" s="7">
        <v>0.2134564588956709</v>
      </c>
      <c r="O306" s="7">
        <v>0.064367248421266</v>
      </c>
      <c r="P306" s="7">
        <v>9.412158246761605</v>
      </c>
      <c r="Q306" s="7">
        <v>0.060645652622626</v>
      </c>
      <c r="R306" s="7">
        <v>0.1218448421737111</v>
      </c>
      <c r="S306" s="7">
        <v>0.1326425953930387</v>
      </c>
      <c r="T306" s="7">
        <v>0.4626732849365162</v>
      </c>
    </row>
    <row x14ac:dyDescent="0.25" r="307" customHeight="1" ht="19.5">
      <c r="A307" s="2" t="s">
        <v>2619</v>
      </c>
      <c r="B307" s="2" t="s">
        <v>2314</v>
      </c>
      <c r="C307" s="2" t="s">
        <v>31</v>
      </c>
      <c r="D307" s="2" t="s">
        <v>402</v>
      </c>
      <c r="E307" s="6">
        <v>1</v>
      </c>
      <c r="F307" s="6">
        <v>1</v>
      </c>
      <c r="G307" s="7">
        <v>0.5480934381484985</v>
      </c>
      <c r="H307" s="7">
        <v>6.833053906250001</v>
      </c>
      <c r="I307" s="7">
        <v>20.73180589843174</v>
      </c>
      <c r="J307" s="7">
        <v>9.834144618554737</v>
      </c>
      <c r="K307" s="7">
        <v>0.8047066910902341</v>
      </c>
      <c r="L307" s="7">
        <v>0.9968362757155088</v>
      </c>
      <c r="M307" s="7">
        <v>0.1997792795906522</v>
      </c>
      <c r="N307" s="7">
        <v>0.2103763494292486</v>
      </c>
      <c r="O307" s="7">
        <v>0.0617514388521951</v>
      </c>
      <c r="P307" s="7">
        <v>9.506532363060655</v>
      </c>
      <c r="Q307" s="7">
        <v>0.0585917389566176</v>
      </c>
      <c r="R307" s="7">
        <v>0.1198289573176008</v>
      </c>
      <c r="S307" s="7">
        <v>0.1300129313968903</v>
      </c>
      <c r="T307" s="7">
        <v>0.4646671969729906</v>
      </c>
    </row>
    <row x14ac:dyDescent="0.25" r="308" customHeight="1" ht="19.5">
      <c r="A308" s="2" t="s">
        <v>2620</v>
      </c>
      <c r="B308" s="2" t="s">
        <v>2314</v>
      </c>
      <c r="C308" s="2" t="s">
        <v>31</v>
      </c>
      <c r="D308" s="2" t="s">
        <v>402</v>
      </c>
      <c r="E308" s="6">
        <v>1</v>
      </c>
      <c r="F308" s="6">
        <v>1</v>
      </c>
      <c r="G308" s="7">
        <v>0.5523119568824768</v>
      </c>
      <c r="H308" s="7">
        <v>6.760325000000001</v>
      </c>
      <c r="I308" s="7">
        <v>20.6830532524779</v>
      </c>
      <c r="J308" s="7">
        <v>9.775023217043165</v>
      </c>
      <c r="K308" s="7">
        <v>0.8058477782447095</v>
      </c>
      <c r="L308" s="7">
        <v>0.9968320570934134</v>
      </c>
      <c r="M308" s="7">
        <v>0.1985857762091824</v>
      </c>
      <c r="N308" s="7">
        <v>0.2129310824856398</v>
      </c>
      <c r="O308" s="7">
        <v>0.0628558471446503</v>
      </c>
      <c r="P308" s="7">
        <v>9.480884564468845</v>
      </c>
      <c r="Q308" s="7">
        <v>0.0596598342946646</v>
      </c>
      <c r="R308" s="7">
        <v>0.1209145936302501</v>
      </c>
      <c r="S308" s="7">
        <v>0.1353330161440093</v>
      </c>
      <c r="T308" s="7">
        <v>0.468101893438943</v>
      </c>
    </row>
    <row x14ac:dyDescent="0.25" r="309" customHeight="1" ht="19.5">
      <c r="A309" s="2" t="s">
        <v>2621</v>
      </c>
      <c r="B309" s="2" t="s">
        <v>2314</v>
      </c>
      <c r="C309" s="2" t="s">
        <v>31</v>
      </c>
      <c r="D309" s="2" t="s">
        <v>402</v>
      </c>
      <c r="E309" s="6">
        <v>1</v>
      </c>
      <c r="F309" s="6">
        <v>1</v>
      </c>
      <c r="G309" s="7">
        <v>0.547902524471283</v>
      </c>
      <c r="H309" s="7">
        <v>6.79842109375</v>
      </c>
      <c r="I309" s="7">
        <v>20.73180589843174</v>
      </c>
      <c r="J309" s="7">
        <v>9.83420730112922</v>
      </c>
      <c r="K309" s="7">
        <v>0.805450521276748</v>
      </c>
      <c r="L309" s="7">
        <v>0.9968614687618774</v>
      </c>
      <c r="M309" s="7">
        <v>0.1987667135511659</v>
      </c>
      <c r="N309" s="7">
        <v>0.2086912120236768</v>
      </c>
      <c r="O309" s="7">
        <v>0.0625594534217644</v>
      </c>
      <c r="P309" s="7">
        <v>9.509526356787138</v>
      </c>
      <c r="Q309" s="7">
        <v>0.0596314900914262</v>
      </c>
      <c r="R309" s="7">
        <v>0.1212977820656561</v>
      </c>
      <c r="S309" s="7">
        <v>0.133775862005259</v>
      </c>
      <c r="T309" s="7">
        <v>0.4705161157063375</v>
      </c>
    </row>
    <row x14ac:dyDescent="0.25" r="310" customHeight="1" ht="19.5">
      <c r="A310" s="2" t="s">
        <v>2622</v>
      </c>
      <c r="B310" s="2" t="s">
        <v>2314</v>
      </c>
      <c r="C310" s="2" t="s">
        <v>31</v>
      </c>
      <c r="D310" s="2" t="s">
        <v>402</v>
      </c>
      <c r="E310" s="6">
        <v>1</v>
      </c>
      <c r="F310" s="6">
        <v>1</v>
      </c>
      <c r="G310" s="7">
        <v>0.5463623404502869</v>
      </c>
      <c r="H310" s="7">
        <v>6.7533984375</v>
      </c>
      <c r="I310" s="7">
        <v>20.64857992592316</v>
      </c>
      <c r="J310" s="7">
        <v>9.7751582241965</v>
      </c>
      <c r="K310" s="7">
        <v>0.8071699890609512</v>
      </c>
      <c r="L310" s="7">
        <v>0.9968330824475696</v>
      </c>
      <c r="M310" s="7">
        <v>0.1990452686911312</v>
      </c>
      <c r="N310" s="7">
        <v>0.2101326799785327</v>
      </c>
      <c r="O310" s="7">
        <v>0.0638572553298676</v>
      </c>
      <c r="P310" s="7">
        <v>9.471815810303768</v>
      </c>
      <c r="Q310" s="7">
        <v>0.0594676246169439</v>
      </c>
      <c r="R310" s="7">
        <v>0.1199005635408154</v>
      </c>
      <c r="S310" s="7">
        <v>0.1308579702855449</v>
      </c>
      <c r="T310" s="7">
        <v>0.4661157140054249</v>
      </c>
    </row>
    <row x14ac:dyDescent="0.25" r="311" customHeight="1" ht="19.5">
      <c r="A311" s="2" t="s">
        <v>2623</v>
      </c>
      <c r="B311" s="2" t="s">
        <v>2314</v>
      </c>
      <c r="C311" s="2" t="s">
        <v>31</v>
      </c>
      <c r="D311" s="2" t="s">
        <v>402</v>
      </c>
      <c r="E311" s="6">
        <v>1</v>
      </c>
      <c r="F311" s="6">
        <v>1</v>
      </c>
      <c r="G311" s="7">
        <v>0.5507822036743164</v>
      </c>
      <c r="H311" s="7">
        <v>6.777641406250001</v>
      </c>
      <c r="I311" s="7">
        <v>20.697332571877</v>
      </c>
      <c r="J311" s="7">
        <v>9.775134865372875</v>
      </c>
      <c r="K311" s="7">
        <v>0.8072219869493014</v>
      </c>
      <c r="L311" s="7">
        <v>0.99683969022272</v>
      </c>
      <c r="M311" s="7">
        <v>0.1988198286173779</v>
      </c>
      <c r="N311" s="7">
        <v>0.2068979384904598</v>
      </c>
      <c r="O311" s="7">
        <v>0.0613130772630196</v>
      </c>
      <c r="P311" s="7">
        <v>9.50973223731535</v>
      </c>
      <c r="Q311" s="7">
        <v>0.0592860137337739</v>
      </c>
      <c r="R311" s="7">
        <v>0.1203077648008267</v>
      </c>
      <c r="S311" s="7">
        <v>0.1304277370281853</v>
      </c>
      <c r="T311" s="7">
        <v>0.4663603479545586</v>
      </c>
    </row>
    <row x14ac:dyDescent="0.25" r="312" customHeight="1" ht="19.5">
      <c r="A312" s="2" t="s">
        <v>2624</v>
      </c>
      <c r="B312" s="2" t="s">
        <v>2314</v>
      </c>
      <c r="C312" s="2" t="s">
        <v>31</v>
      </c>
      <c r="D312" s="2" t="s">
        <v>402</v>
      </c>
      <c r="E312" s="6">
        <v>1</v>
      </c>
      <c r="F312" s="6">
        <v>1</v>
      </c>
      <c r="G312" s="7">
        <v>0.5504580140113831</v>
      </c>
      <c r="H312" s="7">
        <v>6.78803125</v>
      </c>
      <c r="I312" s="7">
        <v>20.73180589843174</v>
      </c>
      <c r="J312" s="7">
        <v>9.834144950044529</v>
      </c>
      <c r="K312" s="7">
        <v>0.8043135481425054</v>
      </c>
      <c r="L312" s="7">
        <v>0.9968688995891848</v>
      </c>
      <c r="M312" s="7">
        <v>0.19846294373932</v>
      </c>
      <c r="N312" s="7">
        <v>0.2113685494351073</v>
      </c>
      <c r="O312" s="7">
        <v>0.0633802547954104</v>
      </c>
      <c r="P312" s="7">
        <v>9.492650434980748</v>
      </c>
      <c r="Q312" s="7">
        <v>0.0593147337754139</v>
      </c>
      <c r="R312" s="7">
        <v>0.1209202980145135</v>
      </c>
      <c r="S312" s="7">
        <v>0.1298108935902199</v>
      </c>
      <c r="T312" s="7">
        <v>0.4673015252628202</v>
      </c>
    </row>
    <row x14ac:dyDescent="0.25" r="313" customHeight="1" ht="19.5">
      <c r="A313" s="2" t="s">
        <v>2625</v>
      </c>
      <c r="B313" s="2" t="s">
        <v>2314</v>
      </c>
      <c r="C313" s="2" t="s">
        <v>31</v>
      </c>
      <c r="D313" s="2" t="s">
        <v>402</v>
      </c>
      <c r="E313" s="6">
        <v>1</v>
      </c>
      <c r="F313" s="6">
        <v>1</v>
      </c>
      <c r="G313" s="7">
        <v>0.5536789894104004</v>
      </c>
      <c r="H313" s="7">
        <v>6.794957812500001</v>
      </c>
      <c r="I313" s="7">
        <v>20.78055854438559</v>
      </c>
      <c r="J313" s="7">
        <v>9.893433933834851</v>
      </c>
      <c r="K313" s="7">
        <v>0.8063788903986653</v>
      </c>
      <c r="L313" s="7">
        <v>0.9969082821290008</v>
      </c>
      <c r="M313" s="7">
        <v>0.1977343842550658</v>
      </c>
      <c r="N313" s="7">
        <v>0.2088098668642578</v>
      </c>
      <c r="O313" s="7">
        <v>0.0638925640188452</v>
      </c>
      <c r="P313" s="7">
        <v>9.50731451453882</v>
      </c>
      <c r="Q313" s="7">
        <v>0.0590581457954847</v>
      </c>
      <c r="R313" s="7">
        <v>0.1202075725376996</v>
      </c>
      <c r="S313" s="7">
        <v>0.1336160881511356</v>
      </c>
      <c r="T313" s="7">
        <v>0.4657548139614317</v>
      </c>
    </row>
    <row x14ac:dyDescent="0.25" r="314" customHeight="1" ht="19.5">
      <c r="A314" s="2" t="s">
        <v>2626</v>
      </c>
      <c r="B314" s="2" t="s">
        <v>2314</v>
      </c>
      <c r="C314" s="2" t="s">
        <v>31</v>
      </c>
      <c r="D314" s="2" t="s">
        <v>402</v>
      </c>
      <c r="E314" s="6">
        <v>1</v>
      </c>
      <c r="F314" s="6">
        <v>1</v>
      </c>
      <c r="G314" s="7">
        <v>0.5554915070533752</v>
      </c>
      <c r="H314" s="7">
        <v>6.635646875000001</v>
      </c>
      <c r="I314" s="7">
        <v>20.76627922498649</v>
      </c>
      <c r="J314" s="7">
        <v>9.835264749919368</v>
      </c>
      <c r="K314" s="7">
        <v>0.7589907419284943</v>
      </c>
      <c r="L314" s="7">
        <v>0.9970935983431723</v>
      </c>
      <c r="M314" s="7">
        <v>0.1933640580578149</v>
      </c>
      <c r="N314" s="7">
        <v>0.2221242835051941</v>
      </c>
      <c r="O314" s="7">
        <v>0.0620079096944743</v>
      </c>
      <c r="P314" s="7">
        <v>9.424023290417178</v>
      </c>
      <c r="Q314" s="7">
        <v>0.0605151092887279</v>
      </c>
      <c r="R314" s="7">
        <v>0.1198086726016711</v>
      </c>
      <c r="S314" s="7">
        <v>0.1317707388227305</v>
      </c>
      <c r="T314" s="7">
        <v>0.4660557477705592</v>
      </c>
    </row>
    <row x14ac:dyDescent="0.25" r="315" customHeight="1" ht="19.5">
      <c r="A315" s="2" t="s">
        <v>2627</v>
      </c>
      <c r="B315" s="2" t="s">
        <v>2314</v>
      </c>
      <c r="C315" s="2" t="s">
        <v>31</v>
      </c>
      <c r="D315" s="2" t="s">
        <v>402</v>
      </c>
      <c r="E315" s="6">
        <v>1</v>
      </c>
      <c r="F315" s="6">
        <v>1</v>
      </c>
      <c r="G315" s="7">
        <v>0.4946922957897186</v>
      </c>
      <c r="H315" s="7">
        <v>6.220053125000001</v>
      </c>
      <c r="I315" s="7">
        <v>20.16941809802729</v>
      </c>
      <c r="J315" s="7">
        <v>9.5977979326472</v>
      </c>
      <c r="K315" s="7">
        <v>0.6984545686427883</v>
      </c>
      <c r="L315" s="7">
        <v>0.9972614887976629</v>
      </c>
      <c r="M315" s="7">
        <v>0.1921397497052885</v>
      </c>
      <c r="N315" s="7">
        <v>0.2844575796388201</v>
      </c>
      <c r="O315" s="7">
        <v>0.0663539163514602</v>
      </c>
      <c r="P315" s="7">
        <v>8.832991668098154</v>
      </c>
      <c r="Q315" s="7">
        <v>0.037653871813108</v>
      </c>
      <c r="R315" s="7">
        <v>0.0750470299370098</v>
      </c>
      <c r="S315" s="7">
        <v>0.0843103097984215</v>
      </c>
      <c r="T315" s="7">
        <v>0.2718282028297143</v>
      </c>
    </row>
    <row x14ac:dyDescent="0.25" r="316" customHeight="1" ht="19.5">
      <c r="A316" s="2" t="s">
        <v>2628</v>
      </c>
      <c r="B316" s="2" t="s">
        <v>2314</v>
      </c>
      <c r="C316" s="2" t="s">
        <v>31</v>
      </c>
      <c r="D316" s="2" t="s">
        <v>431</v>
      </c>
      <c r="E316" s="6">
        <v>1</v>
      </c>
      <c r="F316" s="6">
        <v>1</v>
      </c>
      <c r="G316" s="7">
        <v>0.4813684523105621</v>
      </c>
      <c r="H316" s="7">
        <v>5.67631796875</v>
      </c>
      <c r="I316" s="7">
        <v>13.12418941751235</v>
      </c>
      <c r="J316" s="7">
        <v>5.90202071982054</v>
      </c>
      <c r="K316" s="7">
        <v>1.081678522702994</v>
      </c>
      <c r="L316" s="7">
        <v>0.9834810494368756</v>
      </c>
      <c r="M316" s="7">
        <v>0.4141251437489487</v>
      </c>
      <c r="N316" s="7">
        <v>0.3697897117364168</v>
      </c>
      <c r="O316" s="7">
        <v>0.0961698940227869</v>
      </c>
      <c r="P316" s="7">
        <v>8.537300314122557</v>
      </c>
      <c r="Q316" s="7">
        <v>0.0030035773774522</v>
      </c>
      <c r="R316" s="7">
        <v>0.0168404829458498</v>
      </c>
      <c r="S316" s="7">
        <v>0.0344364276560313</v>
      </c>
      <c r="T316" s="7">
        <v>0.0197877456756658</v>
      </c>
    </row>
    <row x14ac:dyDescent="0.25" r="317" customHeight="1" ht="19.5">
      <c r="A317" s="2" t="s">
        <v>2629</v>
      </c>
      <c r="B317" s="2" t="s">
        <v>2314</v>
      </c>
      <c r="C317" s="2" t="s">
        <v>31</v>
      </c>
      <c r="D317" s="2" t="s">
        <v>431</v>
      </c>
      <c r="E317" s="6">
        <v>1</v>
      </c>
      <c r="F317" s="6">
        <v>1</v>
      </c>
      <c r="G317" s="7">
        <v>0.6096271872520447</v>
      </c>
      <c r="H317" s="7">
        <v>6.23044296875</v>
      </c>
      <c r="I317" s="7">
        <v>13.48320200245891</v>
      </c>
      <c r="J317" s="7">
        <v>6.022393434474578</v>
      </c>
      <c r="K317" s="7">
        <v>1.131153770285747</v>
      </c>
      <c r="L317" s="7">
        <v>0.9818159746798968</v>
      </c>
      <c r="M317" s="7">
        <v>0.4306681025008215</v>
      </c>
      <c r="N317" s="7">
        <v>0.3259937229098284</v>
      </c>
      <c r="O317" s="7">
        <v>0.0960355164732396</v>
      </c>
      <c r="P317" s="7">
        <v>8.92294510678343</v>
      </c>
      <c r="Q317" s="7">
        <v>0.0032780795951227</v>
      </c>
      <c r="R317" s="7">
        <v>0.0197424848915868</v>
      </c>
      <c r="S317" s="7">
        <v>0.033386727953647</v>
      </c>
      <c r="T317" s="7">
        <v>0.0237044126902293</v>
      </c>
    </row>
    <row x14ac:dyDescent="0.25" r="318" customHeight="1" ht="19.5">
      <c r="A318" s="2" t="s">
        <v>2630</v>
      </c>
      <c r="B318" s="2" t="s">
        <v>2314</v>
      </c>
      <c r="C318" s="2" t="s">
        <v>31</v>
      </c>
      <c r="D318" s="2" t="s">
        <v>431</v>
      </c>
      <c r="E318" s="6">
        <v>1</v>
      </c>
      <c r="F318" s="6">
        <v>1</v>
      </c>
      <c r="G318" s="7">
        <v>0.6527667045593262</v>
      </c>
      <c r="H318" s="7">
        <v>6.614867187500001</v>
      </c>
      <c r="I318" s="7">
        <v>13.66393326687518</v>
      </c>
      <c r="J318" s="7">
        <v>6.077563563197605</v>
      </c>
      <c r="K318" s="7">
        <v>1.163464495221459</v>
      </c>
      <c r="L318" s="7">
        <v>0.9790786427916858</v>
      </c>
      <c r="M318" s="7">
        <v>0.4452249853697974</v>
      </c>
      <c r="N318" s="7">
        <v>0.2879947242869006</v>
      </c>
      <c r="O318" s="7">
        <v>0.0909913686964224</v>
      </c>
      <c r="P318" s="7">
        <v>9.245372864999323</v>
      </c>
      <c r="Q318" s="7">
        <v>0.0069642301235208</v>
      </c>
      <c r="R318" s="7">
        <v>0.0312177620583996</v>
      </c>
      <c r="S318" s="7">
        <v>0.0458959480972946</v>
      </c>
      <c r="T318" s="7">
        <v>0.0534669021906093</v>
      </c>
    </row>
    <row x14ac:dyDescent="0.25" r="319" customHeight="1" ht="19.5">
      <c r="A319" s="2" t="s">
        <v>2631</v>
      </c>
      <c r="B319" s="2" t="s">
        <v>2314</v>
      </c>
      <c r="C319" s="2" t="s">
        <v>31</v>
      </c>
      <c r="D319" s="2" t="s">
        <v>431</v>
      </c>
      <c r="E319" s="6">
        <v>1</v>
      </c>
      <c r="F319" s="6">
        <v>1</v>
      </c>
      <c r="G319" s="7">
        <v>0.6459606885910034</v>
      </c>
      <c r="H319" s="7">
        <v>6.576771093750001</v>
      </c>
      <c r="I319" s="7">
        <v>13.67229789851771</v>
      </c>
      <c r="J319" s="7">
        <v>6.080731100022525</v>
      </c>
      <c r="K319" s="7">
        <v>1.245394607775098</v>
      </c>
      <c r="L319" s="7">
        <v>0.9781423423007276</v>
      </c>
      <c r="M319" s="7">
        <v>0.4421193934645488</v>
      </c>
      <c r="N319" s="7">
        <v>0.2900325719867342</v>
      </c>
      <c r="O319" s="7">
        <v>0.1168934220723743</v>
      </c>
      <c r="P319" s="7">
        <v>9.216557800652504</v>
      </c>
      <c r="Q319" s="7">
        <v>0.0111109936780177</v>
      </c>
      <c r="R319" s="7">
        <v>0.043365368190623</v>
      </c>
      <c r="S319" s="7">
        <v>0.0620757959487441</v>
      </c>
      <c r="T319" s="7">
        <v>0.0848118246845998</v>
      </c>
    </row>
    <row x14ac:dyDescent="0.25" r="320" customHeight="1" ht="19.5">
      <c r="A320" s="2" t="s">
        <v>2632</v>
      </c>
      <c r="B320" s="2" t="s">
        <v>2314</v>
      </c>
      <c r="C320" s="2" t="s">
        <v>31</v>
      </c>
      <c r="D320" s="2" t="s">
        <v>431</v>
      </c>
      <c r="E320" s="6">
        <v>1</v>
      </c>
      <c r="F320" s="6">
        <v>1</v>
      </c>
      <c r="G320" s="7">
        <v>0.6378555297851562</v>
      </c>
      <c r="H320" s="7">
        <v>6.56638125</v>
      </c>
      <c r="I320" s="7">
        <v>13.64373925971952</v>
      </c>
      <c r="J320" s="7">
        <v>6.021644363096516</v>
      </c>
      <c r="K320" s="7">
        <v>1.240291405304194</v>
      </c>
      <c r="L320" s="7">
        <v>0.9784111640237032</v>
      </c>
      <c r="M320" s="7">
        <v>0.4432708130344332</v>
      </c>
      <c r="N320" s="7">
        <v>0.2841445311725813</v>
      </c>
      <c r="O320" s="7">
        <v>0.1090562844960803</v>
      </c>
      <c r="P320" s="7">
        <v>9.258007000325224</v>
      </c>
      <c r="Q320" s="7">
        <v>0.0112180295560281</v>
      </c>
      <c r="R320" s="7">
        <v>0.0451011776518523</v>
      </c>
      <c r="S320" s="7">
        <v>0.0679364813257359</v>
      </c>
      <c r="T320" s="7">
        <v>0.0854935704138096</v>
      </c>
    </row>
    <row x14ac:dyDescent="0.25" r="321" customHeight="1" ht="19.5">
      <c r="A321" s="2" t="s">
        <v>2633</v>
      </c>
      <c r="B321" s="2" t="s">
        <v>2314</v>
      </c>
      <c r="C321" s="2" t="s">
        <v>31</v>
      </c>
      <c r="D321" s="2" t="s">
        <v>431</v>
      </c>
      <c r="E321" s="6">
        <v>1</v>
      </c>
      <c r="F321" s="6">
        <v>1</v>
      </c>
      <c r="G321" s="7">
        <v>0.6374666094779968</v>
      </c>
      <c r="H321" s="7">
        <v>6.597550781250001</v>
      </c>
      <c r="I321" s="7">
        <v>13.72696523222811</v>
      </c>
      <c r="J321" s="7">
        <v>6.080772258174614</v>
      </c>
      <c r="K321" s="7">
        <v>1.238215032142123</v>
      </c>
      <c r="L321" s="7">
        <v>0.979255432057698</v>
      </c>
      <c r="M321" s="7">
        <v>0.4399907418463685</v>
      </c>
      <c r="N321" s="7">
        <v>0.2844644776917785</v>
      </c>
      <c r="O321" s="7">
        <v>0.1120598698495641</v>
      </c>
      <c r="P321" s="7">
        <v>9.258436339592006</v>
      </c>
      <c r="Q321" s="7">
        <v>0.0110428176814964</v>
      </c>
      <c r="R321" s="7">
        <v>0.04448177726706</v>
      </c>
      <c r="S321" s="7">
        <v>0.0645577400930983</v>
      </c>
      <c r="T321" s="7">
        <v>0.0845577510500671</v>
      </c>
    </row>
    <row x14ac:dyDescent="0.25" r="322" customHeight="1" ht="19.5">
      <c r="A322" s="2" t="s">
        <v>2634</v>
      </c>
      <c r="B322" s="2" t="s">
        <v>2314</v>
      </c>
      <c r="C322" s="2" t="s">
        <v>31</v>
      </c>
      <c r="D322" s="2" t="s">
        <v>431</v>
      </c>
      <c r="E322" s="6">
        <v>1</v>
      </c>
      <c r="F322" s="6">
        <v>1</v>
      </c>
      <c r="G322" s="7">
        <v>0.639763593673706</v>
      </c>
      <c r="H322" s="7">
        <v>6.6287203125</v>
      </c>
      <c r="I322" s="7">
        <v>13.62354525256387</v>
      </c>
      <c r="J322" s="7">
        <v>6.022068954749178</v>
      </c>
      <c r="K322" s="7">
        <v>1.247714195218654</v>
      </c>
      <c r="L322" s="7">
        <v>0.9781412111250536</v>
      </c>
      <c r="M322" s="7">
        <v>0.4488066484895405</v>
      </c>
      <c r="N322" s="7">
        <v>0.2772780145110471</v>
      </c>
      <c r="O322" s="7">
        <v>0.1034784807934235</v>
      </c>
      <c r="P322" s="7">
        <v>9.287621697938595</v>
      </c>
      <c r="Q322" s="7">
        <v>0.011044424418612</v>
      </c>
      <c r="R322" s="7">
        <v>0.044559997234522</v>
      </c>
      <c r="S322" s="7">
        <v>0.0629308197610771</v>
      </c>
      <c r="T322" s="7">
        <v>0.0849695978209619</v>
      </c>
    </row>
    <row x14ac:dyDescent="0.25" r="323" customHeight="1" ht="19.5">
      <c r="A323" s="2" t="s">
        <v>2635</v>
      </c>
      <c r="B323" s="2" t="s">
        <v>2314</v>
      </c>
      <c r="C323" s="2" t="s">
        <v>31</v>
      </c>
      <c r="D323" s="2" t="s">
        <v>431</v>
      </c>
      <c r="E323" s="6">
        <v>1</v>
      </c>
      <c r="F323" s="6">
        <v>1</v>
      </c>
      <c r="G323" s="7">
        <v>0.648980975151062</v>
      </c>
      <c r="H323" s="7">
        <v>6.666816406250001</v>
      </c>
      <c r="I323" s="7">
        <v>13.65801857911862</v>
      </c>
      <c r="J323" s="7">
        <v>6.022321726073409</v>
      </c>
      <c r="K323" s="7">
        <v>1.244725415325465</v>
      </c>
      <c r="L323" s="7">
        <v>0.9777437328796807</v>
      </c>
      <c r="M323" s="7">
        <v>0.4491102439675841</v>
      </c>
      <c r="N323" s="7">
        <v>0.2861814166503224</v>
      </c>
      <c r="O323" s="7">
        <v>0.1032687939161984</v>
      </c>
      <c r="P323" s="7">
        <v>9.277960440796342</v>
      </c>
      <c r="Q323" s="7">
        <v>0.0107932868153616</v>
      </c>
      <c r="R323" s="7">
        <v>0.0432313009418271</v>
      </c>
      <c r="S323" s="7">
        <v>0.0614925545748341</v>
      </c>
      <c r="T323" s="7">
        <v>0.0835147130975911</v>
      </c>
    </row>
    <row x14ac:dyDescent="0.25" r="324" customHeight="1" ht="19.5">
      <c r="A324" s="2" t="s">
        <v>2636</v>
      </c>
      <c r="B324" s="2" t="s">
        <v>2314</v>
      </c>
      <c r="C324" s="2" t="s">
        <v>31</v>
      </c>
      <c r="D324" s="2" t="s">
        <v>431</v>
      </c>
      <c r="E324" s="6">
        <v>1</v>
      </c>
      <c r="F324" s="6">
        <v>1</v>
      </c>
      <c r="G324" s="7">
        <v>0.6408676505088806</v>
      </c>
      <c r="H324" s="7">
        <v>6.614867187500001</v>
      </c>
      <c r="I324" s="7">
        <v>13.67821258627427</v>
      </c>
      <c r="J324" s="7">
        <v>6.022654703762393</v>
      </c>
      <c r="K324" s="7">
        <v>1.243986008038875</v>
      </c>
      <c r="L324" s="7">
        <v>0.978547542785122</v>
      </c>
      <c r="M324" s="7">
        <v>0.4442958886356918</v>
      </c>
      <c r="N324" s="7">
        <v>0.2799103107143285</v>
      </c>
      <c r="O324" s="7">
        <v>0.1034898000100164</v>
      </c>
      <c r="P324" s="7">
        <v>9.29498559927703</v>
      </c>
      <c r="Q324" s="7">
        <v>0.0110269683694104</v>
      </c>
      <c r="R324" s="7">
        <v>0.0434105505576066</v>
      </c>
      <c r="S324" s="7">
        <v>0.0620856506260069</v>
      </c>
      <c r="T324" s="7">
        <v>0.0846580065289608</v>
      </c>
    </row>
    <row x14ac:dyDescent="0.25" r="325" customHeight="1" ht="19.5">
      <c r="A325" s="2" t="s">
        <v>2637</v>
      </c>
      <c r="B325" s="2" t="s">
        <v>2314</v>
      </c>
      <c r="C325" s="2" t="s">
        <v>31</v>
      </c>
      <c r="D325" s="2" t="s">
        <v>431</v>
      </c>
      <c r="E325" s="6">
        <v>1</v>
      </c>
      <c r="F325" s="6">
        <v>1</v>
      </c>
      <c r="G325" s="7">
        <v>0.6377136707305908</v>
      </c>
      <c r="H325" s="7">
        <v>6.652963281250001</v>
      </c>
      <c r="I325" s="7">
        <v>13.56051328721094</v>
      </c>
      <c r="J325" s="7">
        <v>6.022934402845786</v>
      </c>
      <c r="K325" s="7">
        <v>1.246666710048622</v>
      </c>
      <c r="L325" s="7">
        <v>0.9777195195377916</v>
      </c>
      <c r="M325" s="7">
        <v>0.4546453288259244</v>
      </c>
      <c r="N325" s="7">
        <v>0.2844032239337702</v>
      </c>
      <c r="O325" s="7">
        <v>0.1039455592235102</v>
      </c>
      <c r="P325" s="7">
        <v>9.255125194618287</v>
      </c>
      <c r="Q325" s="7">
        <v>0.0105858878522964</v>
      </c>
      <c r="R325" s="7">
        <v>0.0417853130920097</v>
      </c>
      <c r="S325" s="7">
        <v>0.0646287327307851</v>
      </c>
      <c r="T325" s="7">
        <v>0.0817397293372573</v>
      </c>
    </row>
    <row x14ac:dyDescent="0.25" r="326" customHeight="1" ht="19.5">
      <c r="A326" s="2" t="s">
        <v>2638</v>
      </c>
      <c r="B326" s="2" t="s">
        <v>2314</v>
      </c>
      <c r="C326" s="2" t="s">
        <v>31</v>
      </c>
      <c r="D326" s="2" t="s">
        <v>431</v>
      </c>
      <c r="E326" s="6">
        <v>1</v>
      </c>
      <c r="F326" s="6">
        <v>1</v>
      </c>
      <c r="G326" s="7">
        <v>0.648758053779602</v>
      </c>
      <c r="H326" s="7">
        <v>6.5317484375</v>
      </c>
      <c r="I326" s="7">
        <v>13.56051328721094</v>
      </c>
      <c r="J326" s="7">
        <v>6.022839940382188</v>
      </c>
      <c r="K326" s="7">
        <v>1.245550923688227</v>
      </c>
      <c r="L326" s="7">
        <v>0.978620455446378</v>
      </c>
      <c r="M326" s="7">
        <v>0.4463618376708451</v>
      </c>
      <c r="N326" s="7">
        <v>0.2892955567039554</v>
      </c>
      <c r="O326" s="7">
        <v>0.1126555430497817</v>
      </c>
      <c r="P326" s="7">
        <v>9.217017858408951</v>
      </c>
      <c r="Q326" s="7">
        <v>0.0114652853614217</v>
      </c>
      <c r="R326" s="7">
        <v>0.0447451191024837</v>
      </c>
      <c r="S326" s="7">
        <v>0.0629570224504137</v>
      </c>
      <c r="T326" s="7">
        <v>0.0869170741721673</v>
      </c>
    </row>
    <row x14ac:dyDescent="0.25" r="327" customHeight="1" ht="19.5">
      <c r="A327" s="2" t="s">
        <v>2639</v>
      </c>
      <c r="B327" s="2" t="s">
        <v>2314</v>
      </c>
      <c r="C327" s="2" t="s">
        <v>31</v>
      </c>
      <c r="D327" s="2" t="s">
        <v>431</v>
      </c>
      <c r="E327" s="6">
        <v>1</v>
      </c>
      <c r="F327" s="6">
        <v>1</v>
      </c>
      <c r="G327" s="7">
        <v>0.6440477967262268</v>
      </c>
      <c r="H327" s="7">
        <v>6.62525703125</v>
      </c>
      <c r="I327" s="7">
        <v>13.57479260661003</v>
      </c>
      <c r="J327" s="7">
        <v>6.023600926227107</v>
      </c>
      <c r="K327" s="7">
        <v>1.252412495525514</v>
      </c>
      <c r="L327" s="7">
        <v>0.9779247031124702</v>
      </c>
      <c r="M327" s="7">
        <v>0.4517999611434019</v>
      </c>
      <c r="N327" s="7">
        <v>0.2878008611379299</v>
      </c>
      <c r="O327" s="7">
        <v>0.1060865788651179</v>
      </c>
      <c r="P327" s="7">
        <v>9.255050653192995</v>
      </c>
      <c r="Q327" s="7">
        <v>0.0109683234966343</v>
      </c>
      <c r="R327" s="7">
        <v>0.0431038915061945</v>
      </c>
      <c r="S327" s="7">
        <v>0.0647447360402978</v>
      </c>
      <c r="T327" s="7">
        <v>0.0843400322361423</v>
      </c>
    </row>
    <row x14ac:dyDescent="0.25" r="328" customHeight="1" ht="19.5">
      <c r="A328" s="2" t="s">
        <v>2640</v>
      </c>
      <c r="B328" s="2" t="s">
        <v>2314</v>
      </c>
      <c r="C328" s="2" t="s">
        <v>31</v>
      </c>
      <c r="D328" s="2" t="s">
        <v>431</v>
      </c>
      <c r="E328" s="6">
        <v>1</v>
      </c>
      <c r="F328" s="6">
        <v>1</v>
      </c>
      <c r="G328" s="7">
        <v>0.6437138915061951</v>
      </c>
      <c r="H328" s="7">
        <v>6.580234375000001</v>
      </c>
      <c r="I328" s="7">
        <v>13.59498661376569</v>
      </c>
      <c r="J328" s="7">
        <v>6.023352262840734</v>
      </c>
      <c r="K328" s="7">
        <v>1.248325663061524</v>
      </c>
      <c r="L328" s="7">
        <v>0.9779971352485196</v>
      </c>
      <c r="M328" s="7">
        <v>0.4473976082145646</v>
      </c>
      <c r="N328" s="7">
        <v>0.2874643583195977</v>
      </c>
      <c r="O328" s="7">
        <v>0.1085123907063725</v>
      </c>
      <c r="P328" s="7">
        <v>9.24261817198852</v>
      </c>
      <c r="Q328" s="7">
        <v>0.0109631076919158</v>
      </c>
      <c r="R328" s="7">
        <v>0.0437933725963045</v>
      </c>
      <c r="S328" s="7">
        <v>0.067029449264941</v>
      </c>
      <c r="T328" s="7">
        <v>0.0837270563963603</v>
      </c>
    </row>
    <row x14ac:dyDescent="0.25" r="329" customHeight="1" ht="19.5">
      <c r="A329" s="2" t="s">
        <v>2641</v>
      </c>
      <c r="B329" s="2" t="s">
        <v>2314</v>
      </c>
      <c r="C329" s="2" t="s">
        <v>31</v>
      </c>
      <c r="D329" s="2" t="s">
        <v>431</v>
      </c>
      <c r="E329" s="6">
        <v>1</v>
      </c>
      <c r="F329" s="6">
        <v>1</v>
      </c>
      <c r="G329" s="7">
        <v>0.6375109553337097</v>
      </c>
      <c r="H329" s="7">
        <v>6.538675</v>
      </c>
      <c r="I329" s="7">
        <v>13.41425534934942</v>
      </c>
      <c r="J329" s="7">
        <v>6.022598874252369</v>
      </c>
      <c r="K329" s="7">
        <v>1.19339982221303</v>
      </c>
      <c r="L329" s="7">
        <v>0.978650606318756</v>
      </c>
      <c r="M329" s="7">
        <v>0.4566321413656096</v>
      </c>
      <c r="N329" s="7">
        <v>0.2703895076685609</v>
      </c>
      <c r="O329" s="7">
        <v>0.0899904788786111</v>
      </c>
      <c r="P329" s="7">
        <v>9.369531889245051</v>
      </c>
      <c r="Q329" s="7">
        <v>0.0115204572038776</v>
      </c>
      <c r="R329" s="7">
        <v>0.0439659496736185</v>
      </c>
      <c r="S329" s="7">
        <v>0.0666782577192495</v>
      </c>
      <c r="T329" s="7">
        <v>0.0874279402181967</v>
      </c>
    </row>
    <row x14ac:dyDescent="0.25" r="330" customHeight="1" ht="19.5">
      <c r="A330" s="2" t="s">
        <v>2642</v>
      </c>
      <c r="B330" s="2" t="s">
        <v>2314</v>
      </c>
      <c r="C330" s="2" t="s">
        <v>31</v>
      </c>
      <c r="D330" s="2" t="s">
        <v>431</v>
      </c>
      <c r="E330" s="6">
        <v>1</v>
      </c>
      <c r="F330" s="6">
        <v>1</v>
      </c>
      <c r="G330" s="7">
        <v>0.6413133144378662</v>
      </c>
      <c r="H330" s="7">
        <v>6.6564265625</v>
      </c>
      <c r="I330" s="7">
        <v>13.56051328721094</v>
      </c>
      <c r="J330" s="7">
        <v>6.022287392235302</v>
      </c>
      <c r="K330" s="7">
        <v>1.246321089771833</v>
      </c>
      <c r="L330" s="7">
        <v>0.9774923123087982</v>
      </c>
      <c r="M330" s="7">
        <v>0.454882000001784</v>
      </c>
      <c r="N330" s="7">
        <v>0.2854901752365432</v>
      </c>
      <c r="O330" s="7">
        <v>0.1046606271701141</v>
      </c>
      <c r="P330" s="7">
        <v>9.275915565495188</v>
      </c>
      <c r="Q330" s="7">
        <v>0.0103045805246789</v>
      </c>
      <c r="R330" s="7">
        <v>0.0415434259184132</v>
      </c>
      <c r="S330" s="7">
        <v>0.065641927925277</v>
      </c>
      <c r="T330" s="7">
        <v>0.0796090135288853</v>
      </c>
    </row>
    <row x14ac:dyDescent="0.25" r="331" customHeight="1" ht="19.5">
      <c r="A331" s="2" t="s">
        <v>2643</v>
      </c>
      <c r="B331" s="2" t="s">
        <v>2314</v>
      </c>
      <c r="C331" s="2" t="s">
        <v>31</v>
      </c>
      <c r="D331" s="2" t="s">
        <v>431</v>
      </c>
      <c r="E331" s="6">
        <v>1</v>
      </c>
      <c r="F331" s="6">
        <v>1</v>
      </c>
      <c r="G331" s="7">
        <v>0.6452722549438477</v>
      </c>
      <c r="H331" s="7">
        <v>6.62525703125</v>
      </c>
      <c r="I331" s="7">
        <v>13.49748132185801</v>
      </c>
      <c r="J331" s="7">
        <v>5.96594429028527</v>
      </c>
      <c r="K331" s="7">
        <v>1.254986103776704</v>
      </c>
      <c r="L331" s="7">
        <v>0.9773629813051854</v>
      </c>
      <c r="M331" s="7">
        <v>0.4569904509808927</v>
      </c>
      <c r="N331" s="7">
        <v>0.2811148369800418</v>
      </c>
      <c r="O331" s="7">
        <v>0.100401632511652</v>
      </c>
      <c r="P331" s="7">
        <v>9.294498743119815</v>
      </c>
      <c r="Q331" s="7">
        <v>0.0107877275467226</v>
      </c>
      <c r="R331" s="7">
        <v>0.0429980867822115</v>
      </c>
      <c r="S331" s="7">
        <v>0.0642563222229795</v>
      </c>
      <c r="T331" s="7">
        <v>0.0829513543546099</v>
      </c>
    </row>
    <row x14ac:dyDescent="0.25" r="332" customHeight="1" ht="19.5">
      <c r="A332" s="2" t="s">
        <v>2644</v>
      </c>
      <c r="B332" s="2" t="s">
        <v>2314</v>
      </c>
      <c r="C332" s="2" t="s">
        <v>31</v>
      </c>
      <c r="D332" s="2" t="s">
        <v>431</v>
      </c>
      <c r="E332" s="6">
        <v>1</v>
      </c>
      <c r="F332" s="6">
        <v>1</v>
      </c>
      <c r="G332" s="7">
        <v>0.6489183902740479</v>
      </c>
      <c r="H332" s="7">
        <v>6.55599140625</v>
      </c>
      <c r="I332" s="7">
        <v>13.57479260661003</v>
      </c>
      <c r="J332" s="7">
        <v>5.961939841790182</v>
      </c>
      <c r="K332" s="7">
        <v>1.240579815968202</v>
      </c>
      <c r="L332" s="7">
        <v>0.9780814226082084</v>
      </c>
      <c r="M332" s="7">
        <v>0.4470764905616621</v>
      </c>
      <c r="N332" s="7">
        <v>0.2823649944367909</v>
      </c>
      <c r="O332" s="7">
        <v>0.103246343552969</v>
      </c>
      <c r="P332" s="7">
        <v>9.29364055244994</v>
      </c>
      <c r="Q332" s="7">
        <v>0.0109142872680099</v>
      </c>
      <c r="R332" s="7">
        <v>0.0431384612546206</v>
      </c>
      <c r="S332" s="7">
        <v>0.0603403847679302</v>
      </c>
      <c r="T332" s="7">
        <v>0.0830471123440909</v>
      </c>
    </row>
    <row x14ac:dyDescent="0.25" r="333" customHeight="1" ht="19.5">
      <c r="A333" s="2" t="s">
        <v>2645</v>
      </c>
      <c r="B333" s="2" t="s">
        <v>2314</v>
      </c>
      <c r="C333" s="2" t="s">
        <v>31</v>
      </c>
      <c r="D333" s="2" t="s">
        <v>431</v>
      </c>
      <c r="E333" s="6">
        <v>1</v>
      </c>
      <c r="F333" s="6">
        <v>1</v>
      </c>
      <c r="G333" s="7">
        <v>0.6384734511375427</v>
      </c>
      <c r="H333" s="7">
        <v>6.45901953125</v>
      </c>
      <c r="I333" s="7">
        <v>13.46300799530326</v>
      </c>
      <c r="J333" s="7">
        <v>6.021627991338182</v>
      </c>
      <c r="K333" s="7">
        <v>1.186101302997145</v>
      </c>
      <c r="L333" s="7">
        <v>0.9793951136089392</v>
      </c>
      <c r="M333" s="7">
        <v>0.4478084191559406</v>
      </c>
      <c r="N333" s="7">
        <v>0.2776923780963679</v>
      </c>
      <c r="O333" s="7">
        <v>0.0974446806512179</v>
      </c>
      <c r="P333" s="7">
        <v>9.302831805597698</v>
      </c>
      <c r="Q333" s="7">
        <v>0.0113154413224757</v>
      </c>
      <c r="R333" s="7">
        <v>0.0435336166932093</v>
      </c>
      <c r="S333" s="7">
        <v>0.0653151126664598</v>
      </c>
      <c r="T333" s="7">
        <v>0.0848259778450573</v>
      </c>
    </row>
    <row x14ac:dyDescent="0.25" r="334" customHeight="1" ht="19.5">
      <c r="A334" s="2" t="s">
        <v>2646</v>
      </c>
      <c r="B334" s="2" t="s">
        <v>2314</v>
      </c>
      <c r="C334" s="2" t="s">
        <v>31</v>
      </c>
      <c r="D334" s="2" t="s">
        <v>431</v>
      </c>
      <c r="E334" s="6">
        <v>1</v>
      </c>
      <c r="F334" s="6">
        <v>1</v>
      </c>
      <c r="G334" s="7">
        <v>0.639115571975708</v>
      </c>
      <c r="H334" s="7">
        <v>6.6010140625</v>
      </c>
      <c r="I334" s="7">
        <v>13.57479260661003</v>
      </c>
      <c r="J334" s="7">
        <v>5.963670647939475</v>
      </c>
      <c r="K334" s="7">
        <v>1.247771165136772</v>
      </c>
      <c r="L334" s="7">
        <v>0.9773917845989516</v>
      </c>
      <c r="M334" s="7">
        <v>0.4501467464397928</v>
      </c>
      <c r="N334" s="7">
        <v>0.2820020696354226</v>
      </c>
      <c r="O334" s="7">
        <v>0.1012988813685341</v>
      </c>
      <c r="P334" s="7">
        <v>9.303318722601931</v>
      </c>
      <c r="Q334" s="7">
        <v>0.0109885185057357</v>
      </c>
      <c r="R334" s="7">
        <v>0.0439279806328463</v>
      </c>
      <c r="S334" s="7">
        <v>0.0636913091648392</v>
      </c>
      <c r="T334" s="7">
        <v>0.0841861370329803</v>
      </c>
    </row>
    <row x14ac:dyDescent="0.25" r="335" customHeight="1" ht="19.5">
      <c r="A335" s="2" t="s">
        <v>2647</v>
      </c>
      <c r="B335" s="2" t="s">
        <v>2314</v>
      </c>
      <c r="C335" s="2" t="s">
        <v>31</v>
      </c>
      <c r="D335" s="2" t="s">
        <v>431</v>
      </c>
      <c r="E335" s="6">
        <v>1</v>
      </c>
      <c r="F335" s="6">
        <v>1</v>
      </c>
      <c r="G335" s="7">
        <v>0.6424224376678467</v>
      </c>
      <c r="H335" s="7">
        <v>6.400143750000001</v>
      </c>
      <c r="I335" s="7">
        <v>13.37978202279467</v>
      </c>
      <c r="J335" s="7">
        <v>5.961602370109643</v>
      </c>
      <c r="K335" s="7">
        <v>1.183132748236158</v>
      </c>
      <c r="L335" s="7">
        <v>0.978919550191489</v>
      </c>
      <c r="M335" s="7">
        <v>0.4492638931568655</v>
      </c>
      <c r="N335" s="7">
        <v>0.2817311123184365</v>
      </c>
      <c r="O335" s="7">
        <v>0.0981033293382441</v>
      </c>
      <c r="P335" s="7">
        <v>9.28736549565698</v>
      </c>
      <c r="Q335" s="7">
        <v>0.0115580596827874</v>
      </c>
      <c r="R335" s="7">
        <v>0.043894878979293</v>
      </c>
      <c r="S335" s="7">
        <v>0.0663049219385883</v>
      </c>
      <c r="T335" s="7">
        <v>0.0858549701022533</v>
      </c>
    </row>
    <row x14ac:dyDescent="0.25" r="336" customHeight="1" ht="19.5">
      <c r="A336" s="2" t="s">
        <v>2648</v>
      </c>
      <c r="B336" s="2" t="s">
        <v>2314</v>
      </c>
      <c r="C336" s="2" t="s">
        <v>31</v>
      </c>
      <c r="D336" s="2" t="s">
        <v>431</v>
      </c>
      <c r="E336" s="6">
        <v>1</v>
      </c>
      <c r="F336" s="6">
        <v>1</v>
      </c>
      <c r="G336" s="7">
        <v>0.6515668630599976</v>
      </c>
      <c r="H336" s="7">
        <v>6.701449218750001</v>
      </c>
      <c r="I336" s="7">
        <v>13.59498661376568</v>
      </c>
      <c r="J336" s="7">
        <v>6.022579754364704</v>
      </c>
      <c r="K336" s="7">
        <v>1.243594899421346</v>
      </c>
      <c r="L336" s="7">
        <v>0.9772404157702804</v>
      </c>
      <c r="M336" s="7">
        <v>0.4556391431027277</v>
      </c>
      <c r="N336" s="7">
        <v>0.2847211304571436</v>
      </c>
      <c r="O336" s="7">
        <v>0.1018596740398215</v>
      </c>
      <c r="P336" s="7">
        <v>9.29387465009418</v>
      </c>
      <c r="Q336" s="7">
        <v>0.0102228416795506</v>
      </c>
      <c r="R336" s="7">
        <v>0.041579003809389</v>
      </c>
      <c r="S336" s="7">
        <v>0.0631303035210229</v>
      </c>
      <c r="T336" s="7">
        <v>0.0795117195969431</v>
      </c>
    </row>
    <row x14ac:dyDescent="0.25" r="337" customHeight="1" ht="19.5">
      <c r="A337" s="2" t="s">
        <v>2649</v>
      </c>
      <c r="B337" s="2" t="s">
        <v>2314</v>
      </c>
      <c r="C337" s="2" t="s">
        <v>31</v>
      </c>
      <c r="D337" s="2" t="s">
        <v>431</v>
      </c>
      <c r="E337" s="6">
        <v>1</v>
      </c>
      <c r="F337" s="6">
        <v>1</v>
      </c>
      <c r="G337" s="7">
        <v>0.6407768130302429</v>
      </c>
      <c r="H337" s="7">
        <v>6.5871609375</v>
      </c>
      <c r="I337" s="7">
        <v>13.66393326687518</v>
      </c>
      <c r="J337" s="7">
        <v>6.08332754933011</v>
      </c>
      <c r="K337" s="7">
        <v>1.20013615138227</v>
      </c>
      <c r="L337" s="7">
        <v>0.9791198596977428</v>
      </c>
      <c r="M337" s="7">
        <v>0.4433601686771491</v>
      </c>
      <c r="N337" s="7">
        <v>0.2761558394327471</v>
      </c>
      <c r="O337" s="7">
        <v>0.0908612041055052</v>
      </c>
      <c r="P337" s="7">
        <v>9.342094331901412</v>
      </c>
      <c r="Q337" s="7">
        <v>0.0112511628421929</v>
      </c>
      <c r="R337" s="7">
        <v>0.0433711796486569</v>
      </c>
      <c r="S337" s="7">
        <v>0.0644167720216349</v>
      </c>
      <c r="T337" s="7">
        <v>0.0860174304051716</v>
      </c>
    </row>
    <row x14ac:dyDescent="0.25" r="338" customHeight="1" ht="19.5">
      <c r="A338" s="2" t="s">
        <v>2650</v>
      </c>
      <c r="B338" s="2" t="s">
        <v>2314</v>
      </c>
      <c r="C338" s="2" t="s">
        <v>31</v>
      </c>
      <c r="D338" s="2" t="s">
        <v>431</v>
      </c>
      <c r="E338" s="6">
        <v>1</v>
      </c>
      <c r="F338" s="6">
        <v>1</v>
      </c>
      <c r="G338" s="7">
        <v>0.6351561546325684</v>
      </c>
      <c r="H338" s="7">
        <v>6.49365234375</v>
      </c>
      <c r="I338" s="7">
        <v>13.46300799530326</v>
      </c>
      <c r="J338" s="7">
        <v>6.022691213781206</v>
      </c>
      <c r="K338" s="7">
        <v>1.192740630981068</v>
      </c>
      <c r="L338" s="7">
        <v>0.9785558427302504</v>
      </c>
      <c r="M338" s="7">
        <v>0.4502095366849271</v>
      </c>
      <c r="N338" s="7">
        <v>0.2815881504337604</v>
      </c>
      <c r="O338" s="7">
        <v>0.0952798521248933</v>
      </c>
      <c r="P338" s="7">
        <v>9.2894019532037</v>
      </c>
      <c r="Q338" s="7">
        <v>0.0105453610568588</v>
      </c>
      <c r="R338" s="7">
        <v>0.0404828822191759</v>
      </c>
      <c r="S338" s="7">
        <v>0.0632337091080298</v>
      </c>
      <c r="T338" s="7">
        <v>0.079476963792753</v>
      </c>
    </row>
    <row x14ac:dyDescent="0.25" r="339" customHeight="1" ht="19.5">
      <c r="A339" s="2" t="s">
        <v>2651</v>
      </c>
      <c r="B339" s="2" t="s">
        <v>2314</v>
      </c>
      <c r="C339" s="2" t="s">
        <v>31</v>
      </c>
      <c r="D339" s="2" t="s">
        <v>431</v>
      </c>
      <c r="E339" s="6">
        <v>1</v>
      </c>
      <c r="F339" s="6">
        <v>1</v>
      </c>
      <c r="G339" s="7">
        <v>0.5454502701759338</v>
      </c>
      <c r="H339" s="7">
        <v>6.168103906250001</v>
      </c>
      <c r="I339" s="7">
        <v>13.33102937684083</v>
      </c>
      <c r="J339" s="7">
        <v>5.966699597730959</v>
      </c>
      <c r="K339" s="7">
        <v>1.151917559327722</v>
      </c>
      <c r="L339" s="7">
        <v>0.980768753069976</v>
      </c>
      <c r="M339" s="7">
        <v>0.4361482901450935</v>
      </c>
      <c r="N339" s="7">
        <v>0.3987316450843899</v>
      </c>
      <c r="O339" s="7">
        <v>0.1016745920985876</v>
      </c>
      <c r="P339" s="7">
        <v>8.287993746764089</v>
      </c>
      <c r="Q339" s="7">
        <v>0.0028845888125513</v>
      </c>
      <c r="R339" s="7">
        <v>0.0202597764674512</v>
      </c>
      <c r="S339" s="7">
        <v>0.0300162140535431</v>
      </c>
      <c r="T339" s="7">
        <v>0.0206503005090055</v>
      </c>
    </row>
    <row x14ac:dyDescent="0.25" r="340" customHeight="1" ht="19.5">
      <c r="A340" s="2" t="s">
        <v>2652</v>
      </c>
      <c r="B340" s="2" t="s">
        <v>2314</v>
      </c>
      <c r="C340" s="2" t="s">
        <v>31</v>
      </c>
      <c r="D340" s="2" t="s">
        <v>431</v>
      </c>
      <c r="E340" s="6">
        <v>1</v>
      </c>
      <c r="F340" s="6">
        <v>0</v>
      </c>
      <c r="G340" s="7">
        <v>0.3854896426200866</v>
      </c>
      <c r="H340" s="7">
        <v>91.16395234375</v>
      </c>
      <c r="I340" s="7">
        <v>57.36735804775399</v>
      </c>
      <c r="J340" s="7">
        <v>12.28725360809526</v>
      </c>
      <c r="K340" s="7">
        <v>7.815951127594555</v>
      </c>
      <c r="L340" s="7">
        <v>0.7804838324200437</v>
      </c>
      <c r="M340" s="7">
        <v>0.3480994283525707</v>
      </c>
      <c r="N340" s="7">
        <v>0.5788370458840155</v>
      </c>
      <c r="O340" s="7">
        <v>0.0676343708532826</v>
      </c>
      <c r="P340" s="7">
        <v>8.364125686779015</v>
      </c>
      <c r="Q340" s="7">
        <v>0.0063269448684009</v>
      </c>
      <c r="R340" s="7">
        <v>0.0265303674630242</v>
      </c>
      <c r="S340" s="7">
        <v>0.0426939091034718</v>
      </c>
      <c r="T340" s="7">
        <v>0.6694343230498505</v>
      </c>
    </row>
    <row x14ac:dyDescent="0.25" r="341" customHeight="1" ht="19.5">
      <c r="A341" s="2" t="s">
        <v>2653</v>
      </c>
      <c r="B341" s="2" t="s">
        <v>2314</v>
      </c>
      <c r="C341" s="2" t="s">
        <v>31</v>
      </c>
      <c r="D341" s="2" t="s">
        <v>431</v>
      </c>
      <c r="E341" s="6">
        <v>1</v>
      </c>
      <c r="F341" s="6">
        <v>1</v>
      </c>
      <c r="G341" s="7">
        <v>0.586693286895752</v>
      </c>
      <c r="H341" s="7">
        <v>5.64168515625</v>
      </c>
      <c r="I341" s="7">
        <v>12.76272688867982</v>
      </c>
      <c r="J341" s="7">
        <v>5.673292593473684</v>
      </c>
      <c r="K341" s="7">
        <v>1.102325695462795</v>
      </c>
      <c r="L341" s="7">
        <v>0.981965805803414</v>
      </c>
      <c r="M341" s="7">
        <v>0.4352429631812843</v>
      </c>
      <c r="N341" s="7">
        <v>0.3618074647783038</v>
      </c>
      <c r="O341" s="7">
        <v>0.0928216518793901</v>
      </c>
      <c r="P341" s="7">
        <v>8.340913005138422</v>
      </c>
      <c r="Q341" s="7">
        <v>0.0017125988129671</v>
      </c>
      <c r="R341" s="7">
        <v>0.0116690813430855</v>
      </c>
      <c r="S341" s="7">
        <v>0.0217948092874237</v>
      </c>
      <c r="T341" s="7">
        <v>0.0112138634824371</v>
      </c>
    </row>
    <row x14ac:dyDescent="0.25" r="342" customHeight="1" ht="19.5">
      <c r="A342" s="2" t="s">
        <v>2654</v>
      </c>
      <c r="B342" s="2" t="s">
        <v>2314</v>
      </c>
      <c r="C342" s="2" t="s">
        <v>31</v>
      </c>
      <c r="D342" s="2" t="s">
        <v>431</v>
      </c>
      <c r="E342" s="6">
        <v>1</v>
      </c>
      <c r="F342" s="6">
        <v>1</v>
      </c>
      <c r="G342" s="7">
        <v>0.6291395425796509</v>
      </c>
      <c r="H342" s="7">
        <v>6.022646093750001</v>
      </c>
      <c r="I342" s="7">
        <v>13.30247073804265</v>
      </c>
      <c r="J342" s="7">
        <v>5.966772824168884</v>
      </c>
      <c r="K342" s="7">
        <v>1.09750197026142</v>
      </c>
      <c r="L342" s="7">
        <v>0.9825138099489782</v>
      </c>
      <c r="M342" s="7">
        <v>0.4276934341785786</v>
      </c>
      <c r="N342" s="7">
        <v>0.3062936163052446</v>
      </c>
      <c r="O342" s="7">
        <v>0.0837631236090756</v>
      </c>
      <c r="P342" s="7">
        <v>8.928422496761288</v>
      </c>
      <c r="Q342" s="7">
        <v>0.0039457153625687</v>
      </c>
      <c r="R342" s="7">
        <v>0.0223112988883801</v>
      </c>
      <c r="S342" s="7">
        <v>0.0370518798871649</v>
      </c>
      <c r="T342" s="7">
        <v>0.0275806105869916</v>
      </c>
    </row>
    <row x14ac:dyDescent="0.25" r="343" customHeight="1" ht="19.5">
      <c r="A343" s="2" t="s">
        <v>2655</v>
      </c>
      <c r="B343" s="2" t="s">
        <v>2314</v>
      </c>
      <c r="C343" s="2" t="s">
        <v>31</v>
      </c>
      <c r="D343" s="2" t="s">
        <v>431</v>
      </c>
      <c r="E343" s="6">
        <v>1</v>
      </c>
      <c r="F343" s="6">
        <v>1</v>
      </c>
      <c r="G343" s="7">
        <v>0.6795958280563354</v>
      </c>
      <c r="H343" s="7">
        <v>6.7256921875</v>
      </c>
      <c r="I343" s="7">
        <v>13.34530869623992</v>
      </c>
      <c r="J343" s="7">
        <v>5.911589154796968</v>
      </c>
      <c r="K343" s="7">
        <v>1.280316320917659</v>
      </c>
      <c r="L343" s="7">
        <v>0.9756864682080616</v>
      </c>
      <c r="M343" s="7">
        <v>0.4745583321947744</v>
      </c>
      <c r="N343" s="7">
        <v>0.273793394063536</v>
      </c>
      <c r="O343" s="7">
        <v>0.0929675001245798</v>
      </c>
      <c r="P343" s="7">
        <v>9.312716729092314</v>
      </c>
      <c r="Q343" s="7">
        <v>0.0071482134396983</v>
      </c>
      <c r="R343" s="7">
        <v>0.0335974331294334</v>
      </c>
      <c r="S343" s="7">
        <v>0.0438004649862025</v>
      </c>
      <c r="T343" s="7">
        <v>0.0557988539386996</v>
      </c>
    </row>
    <row x14ac:dyDescent="0.25" r="344" customHeight="1" ht="19.5">
      <c r="A344" s="2" t="s">
        <v>2656</v>
      </c>
      <c r="B344" s="2" t="s">
        <v>2314</v>
      </c>
      <c r="C344" s="2" t="s">
        <v>31</v>
      </c>
      <c r="D344" s="2" t="s">
        <v>431</v>
      </c>
      <c r="E344" s="6">
        <v>1</v>
      </c>
      <c r="F344" s="6">
        <v>1</v>
      </c>
      <c r="G344" s="7">
        <v>0.6796415448188782</v>
      </c>
      <c r="H344" s="7">
        <v>6.43131328125</v>
      </c>
      <c r="I344" s="7">
        <v>13.17885675122275</v>
      </c>
      <c r="J344" s="7">
        <v>5.908980317626421</v>
      </c>
      <c r="K344" s="7">
        <v>1.222812261487782</v>
      </c>
      <c r="L344" s="7">
        <v>0.9776058306433788</v>
      </c>
      <c r="M344" s="7">
        <v>0.4653225020064657</v>
      </c>
      <c r="N344" s="7">
        <v>0.2641601092083883</v>
      </c>
      <c r="O344" s="7">
        <v>0.0925529745818812</v>
      </c>
      <c r="P344" s="7">
        <v>9.407707754440626</v>
      </c>
      <c r="Q344" s="7">
        <v>0.0112190820981551</v>
      </c>
      <c r="R344" s="7">
        <v>0.0464047478847474</v>
      </c>
      <c r="S344" s="7">
        <v>0.054669906090577</v>
      </c>
      <c r="T344" s="7">
        <v>0.0837428566511029</v>
      </c>
    </row>
    <row x14ac:dyDescent="0.25" r="345" customHeight="1" ht="19.5">
      <c r="A345" s="2" t="s">
        <v>2657</v>
      </c>
      <c r="B345" s="2" t="s">
        <v>2314</v>
      </c>
      <c r="C345" s="2" t="s">
        <v>31</v>
      </c>
      <c r="D345" s="2" t="s">
        <v>431</v>
      </c>
      <c r="E345" s="6">
        <v>1</v>
      </c>
      <c r="F345" s="6">
        <v>1</v>
      </c>
      <c r="G345" s="7">
        <v>0.6805355548858643</v>
      </c>
      <c r="H345" s="7">
        <v>6.441703125</v>
      </c>
      <c r="I345" s="7">
        <v>13.17885675122275</v>
      </c>
      <c r="J345" s="7">
        <v>5.909303788454819</v>
      </c>
      <c r="K345" s="7">
        <v>1.22736778352995</v>
      </c>
      <c r="L345" s="7">
        <v>0.9775338705613524</v>
      </c>
      <c r="M345" s="7">
        <v>0.4660742346429866</v>
      </c>
      <c r="N345" s="7">
        <v>0.26307344558309</v>
      </c>
      <c r="O345" s="7">
        <v>0.0915660589422137</v>
      </c>
      <c r="P345" s="7">
        <v>9.393341767389368</v>
      </c>
      <c r="Q345" s="7">
        <v>0.0110255309532857</v>
      </c>
      <c r="R345" s="7">
        <v>0.045408869387551</v>
      </c>
      <c r="S345" s="7">
        <v>0.0567357886074608</v>
      </c>
      <c r="T345" s="7">
        <v>0.0824310816754656</v>
      </c>
    </row>
    <row x14ac:dyDescent="0.25" r="346" customHeight="1" ht="19.5">
      <c r="A346" s="2" t="s">
        <v>2658</v>
      </c>
      <c r="B346" s="2" t="s">
        <v>2314</v>
      </c>
      <c r="C346" s="2" t="s">
        <v>31</v>
      </c>
      <c r="D346" s="2" t="s">
        <v>431</v>
      </c>
      <c r="E346" s="6">
        <v>1</v>
      </c>
      <c r="F346" s="6">
        <v>1</v>
      </c>
      <c r="G346" s="7">
        <v>0.6788420081138611</v>
      </c>
      <c r="H346" s="7">
        <v>6.438239843750001</v>
      </c>
      <c r="I346" s="7">
        <v>13.17885675122275</v>
      </c>
      <c r="J346" s="7">
        <v>5.909213259296411</v>
      </c>
      <c r="K346" s="7">
        <v>1.225548500916985</v>
      </c>
      <c r="L346" s="7">
        <v>0.9775613967136207</v>
      </c>
      <c r="M346" s="7">
        <v>0.4658236570974798</v>
      </c>
      <c r="N346" s="7">
        <v>0.2669668403450466</v>
      </c>
      <c r="O346" s="7">
        <v>0.0927121468088087</v>
      </c>
      <c r="P346" s="7">
        <v>9.382089715875388</v>
      </c>
      <c r="Q346" s="7">
        <v>0.0108503483445461</v>
      </c>
      <c r="R346" s="7">
        <v>0.0445421518226792</v>
      </c>
      <c r="S346" s="7">
        <v>0.053377456590318</v>
      </c>
      <c r="T346" s="7">
        <v>0.0810777359357775</v>
      </c>
    </row>
    <row x14ac:dyDescent="0.25" r="347" customHeight="1" ht="19.5">
      <c r="A347" s="2" t="s">
        <v>2659</v>
      </c>
      <c r="B347" s="2" t="s">
        <v>2314</v>
      </c>
      <c r="C347" s="2" t="s">
        <v>31</v>
      </c>
      <c r="D347" s="2" t="s">
        <v>431</v>
      </c>
      <c r="E347" s="6">
        <v>1</v>
      </c>
      <c r="F347" s="6">
        <v>1</v>
      </c>
      <c r="G347" s="7">
        <v>0.6692782640457153</v>
      </c>
      <c r="H347" s="7">
        <v>6.47979921875</v>
      </c>
      <c r="I347" s="7">
        <v>13.26208272373134</v>
      </c>
      <c r="J347" s="7">
        <v>5.967345547554173</v>
      </c>
      <c r="K347" s="7">
        <v>1.222275202349306</v>
      </c>
      <c r="L347" s="7">
        <v>0.9780870443114534</v>
      </c>
      <c r="M347" s="7">
        <v>0.4629647743700689</v>
      </c>
      <c r="N347" s="7">
        <v>0.2631575482848515</v>
      </c>
      <c r="O347" s="7">
        <v>0.0938541139814891</v>
      </c>
      <c r="P347" s="7">
        <v>9.389233887648189</v>
      </c>
      <c r="Q347" s="7">
        <v>0.0111333847806413</v>
      </c>
      <c r="R347" s="7">
        <v>0.0447012532697511</v>
      </c>
      <c r="S347" s="7">
        <v>0.0527378485801499</v>
      </c>
      <c r="T347" s="7">
        <v>0.0837297025128201</v>
      </c>
    </row>
    <row x14ac:dyDescent="0.25" r="348" customHeight="1" ht="19.5">
      <c r="A348" s="2" t="s">
        <v>2660</v>
      </c>
      <c r="B348" s="2" t="s">
        <v>2314</v>
      </c>
      <c r="C348" s="2" t="s">
        <v>31</v>
      </c>
      <c r="D348" s="2" t="s">
        <v>431</v>
      </c>
      <c r="E348" s="6">
        <v>1</v>
      </c>
      <c r="F348" s="6">
        <v>1</v>
      </c>
      <c r="G348" s="7">
        <v>0.6858177781105042</v>
      </c>
      <c r="H348" s="7">
        <v>6.455556250000001</v>
      </c>
      <c r="I348" s="7">
        <v>13.2133300777775</v>
      </c>
      <c r="J348" s="7">
        <v>5.910691663550093</v>
      </c>
      <c r="K348" s="7">
        <v>1.227441197790162</v>
      </c>
      <c r="L348" s="7">
        <v>0.9777465673770864</v>
      </c>
      <c r="M348" s="7">
        <v>0.4646425364910113</v>
      </c>
      <c r="N348" s="7">
        <v>0.2623697947039903</v>
      </c>
      <c r="O348" s="7">
        <v>0.0897770716747952</v>
      </c>
      <c r="P348" s="7">
        <v>9.388835174043155</v>
      </c>
      <c r="Q348" s="7">
        <v>0.0115281914482571</v>
      </c>
      <c r="R348" s="7">
        <v>0.0464513379515061</v>
      </c>
      <c r="S348" s="7">
        <v>0.0544150752757505</v>
      </c>
      <c r="T348" s="7">
        <v>0.0863745166156477</v>
      </c>
    </row>
    <row x14ac:dyDescent="0.25" r="349" customHeight="1" ht="19.5">
      <c r="A349" s="2" t="s">
        <v>2661</v>
      </c>
      <c r="B349" s="2" t="s">
        <v>2314</v>
      </c>
      <c r="C349" s="2" t="s">
        <v>31</v>
      </c>
      <c r="D349" s="2" t="s">
        <v>431</v>
      </c>
      <c r="E349" s="6">
        <v>1</v>
      </c>
      <c r="F349" s="6">
        <v>1</v>
      </c>
      <c r="G349" s="7">
        <v>0.675953209400177</v>
      </c>
      <c r="H349" s="7">
        <v>6.43131328125</v>
      </c>
      <c r="I349" s="7">
        <v>13.17885675122275</v>
      </c>
      <c r="J349" s="7">
        <v>5.909123025568237</v>
      </c>
      <c r="K349" s="7">
        <v>1.223755958048566</v>
      </c>
      <c r="L349" s="7">
        <v>0.9776106312228112</v>
      </c>
      <c r="M349" s="7">
        <v>0.4653225020064656</v>
      </c>
      <c r="N349" s="7">
        <v>0.2615978505811127</v>
      </c>
      <c r="O349" s="7">
        <v>0.0925869521241332</v>
      </c>
      <c r="P349" s="7">
        <v>9.39048610993618</v>
      </c>
      <c r="Q349" s="7">
        <v>0.0110856611247964</v>
      </c>
      <c r="R349" s="7">
        <v>0.0446623367472193</v>
      </c>
      <c r="S349" s="7">
        <v>0.0545922827435793</v>
      </c>
      <c r="T349" s="7">
        <v>0.0827469593621382</v>
      </c>
    </row>
    <row x14ac:dyDescent="0.25" r="350" customHeight="1" ht="19.5">
      <c r="A350" s="2" t="s">
        <v>2662</v>
      </c>
      <c r="B350" s="2" t="s">
        <v>2314</v>
      </c>
      <c r="C350" s="2" t="s">
        <v>31</v>
      </c>
      <c r="D350" s="2" t="s">
        <v>431</v>
      </c>
      <c r="E350" s="6">
        <v>1</v>
      </c>
      <c r="F350" s="6">
        <v>1</v>
      </c>
      <c r="G350" s="7">
        <v>0.6861901879310608</v>
      </c>
      <c r="H350" s="7">
        <v>6.441703125</v>
      </c>
      <c r="I350" s="7">
        <v>13.26208272373134</v>
      </c>
      <c r="J350" s="7">
        <v>5.911379665420356</v>
      </c>
      <c r="K350" s="7">
        <v>1.230328225585636</v>
      </c>
      <c r="L350" s="7">
        <v>0.9777454958820986</v>
      </c>
      <c r="M350" s="7">
        <v>0.4602429077115597</v>
      </c>
      <c r="N350" s="7">
        <v>0.2597474441051833</v>
      </c>
      <c r="O350" s="7">
        <v>0.0899437614322667</v>
      </c>
      <c r="P350" s="7">
        <v>9.387707836779182</v>
      </c>
      <c r="Q350" s="7">
        <v>0.0106840942173358</v>
      </c>
      <c r="R350" s="7">
        <v>0.043233119049307</v>
      </c>
      <c r="S350" s="7">
        <v>0.0521260811923745</v>
      </c>
      <c r="T350" s="7">
        <v>0.0798783701926955</v>
      </c>
    </row>
    <row x14ac:dyDescent="0.25" r="351" customHeight="1" ht="19.5">
      <c r="A351" s="2" t="s">
        <v>2663</v>
      </c>
      <c r="B351" s="2" t="s">
        <v>2314</v>
      </c>
      <c r="C351" s="2" t="s">
        <v>31</v>
      </c>
      <c r="D351" s="2" t="s">
        <v>431</v>
      </c>
      <c r="E351" s="6">
        <v>1</v>
      </c>
      <c r="F351" s="6">
        <v>1</v>
      </c>
      <c r="G351" s="7">
        <v>0.681643009185791</v>
      </c>
      <c r="H351" s="7">
        <v>6.4624828125</v>
      </c>
      <c r="I351" s="7">
        <v>13.17885675122275</v>
      </c>
      <c r="J351" s="7">
        <v>5.909922169914601</v>
      </c>
      <c r="K351" s="7">
        <v>1.230394159170975</v>
      </c>
      <c r="L351" s="7">
        <v>0.9777608949178472</v>
      </c>
      <c r="M351" s="7">
        <v>0.4675776999160286</v>
      </c>
      <c r="N351" s="7">
        <v>0.2615430681227439</v>
      </c>
      <c r="O351" s="7">
        <v>0.0899048514906312</v>
      </c>
      <c r="P351" s="7">
        <v>9.39144662069345</v>
      </c>
      <c r="Q351" s="7">
        <v>0.0114358468101165</v>
      </c>
      <c r="R351" s="7">
        <v>0.0461361824929697</v>
      </c>
      <c r="S351" s="7">
        <v>0.0549477502889353</v>
      </c>
      <c r="T351" s="7">
        <v>0.085774562231895</v>
      </c>
    </row>
    <row x14ac:dyDescent="0.25" r="352" customHeight="1" ht="19.5">
      <c r="A352" s="2" t="s">
        <v>2664</v>
      </c>
      <c r="B352" s="2" t="s">
        <v>2314</v>
      </c>
      <c r="C352" s="2" t="s">
        <v>31</v>
      </c>
      <c r="D352" s="2" t="s">
        <v>431</v>
      </c>
      <c r="E352" s="6">
        <v>1</v>
      </c>
      <c r="F352" s="6">
        <v>1</v>
      </c>
      <c r="G352" s="7">
        <v>0.6826547384262085</v>
      </c>
      <c r="H352" s="7">
        <v>6.42785</v>
      </c>
      <c r="I352" s="7">
        <v>13.22760939717659</v>
      </c>
      <c r="J352" s="7">
        <v>5.910114399080268</v>
      </c>
      <c r="K352" s="7">
        <v>1.231724513852163</v>
      </c>
      <c r="L352" s="7">
        <v>0.9777698114309868</v>
      </c>
      <c r="M352" s="7">
        <v>0.4616500357938721</v>
      </c>
      <c r="N352" s="7">
        <v>0.2619341069393857</v>
      </c>
      <c r="O352" s="7">
        <v>0.091755424079359</v>
      </c>
      <c r="P352" s="7">
        <v>9.385641800807136</v>
      </c>
      <c r="Q352" s="7">
        <v>0.0111484305871761</v>
      </c>
      <c r="R352" s="7">
        <v>0.0453073696287804</v>
      </c>
      <c r="S352" s="7">
        <v>0.0547549782108657</v>
      </c>
      <c r="T352" s="7">
        <v>0.0831706791385252</v>
      </c>
    </row>
    <row x14ac:dyDescent="0.25" r="353" customHeight="1" ht="19.5">
      <c r="A353" s="2" t="s">
        <v>2665</v>
      </c>
      <c r="B353" s="2" t="s">
        <v>2314</v>
      </c>
      <c r="C353" s="2" t="s">
        <v>31</v>
      </c>
      <c r="D353" s="2" t="s">
        <v>431</v>
      </c>
      <c r="E353" s="6">
        <v>1</v>
      </c>
      <c r="F353" s="6">
        <v>1</v>
      </c>
      <c r="G353" s="7">
        <v>0.6813432574272156</v>
      </c>
      <c r="H353" s="7">
        <v>6.396680468750001</v>
      </c>
      <c r="I353" s="7">
        <v>13.144383424668</v>
      </c>
      <c r="J353" s="7">
        <v>5.911239007324641</v>
      </c>
      <c r="K353" s="7">
        <v>1.226494807196562</v>
      </c>
      <c r="L353" s="7">
        <v>0.9776705405121552</v>
      </c>
      <c r="M353" s="7">
        <v>0.4652475372985561</v>
      </c>
      <c r="N353" s="7">
        <v>0.2610277372958345</v>
      </c>
      <c r="O353" s="7">
        <v>0.0942851066315313</v>
      </c>
      <c r="P353" s="7">
        <v>9.379685796973162</v>
      </c>
      <c r="Q353" s="7">
        <v>0.0111081827725822</v>
      </c>
      <c r="R353" s="7">
        <v>0.0452252521169235</v>
      </c>
      <c r="S353" s="7">
        <v>0.0581850544632938</v>
      </c>
      <c r="T353" s="7">
        <v>0.0824685681258111</v>
      </c>
    </row>
    <row x14ac:dyDescent="0.25" r="354" customHeight="1" ht="19.5">
      <c r="A354" s="2" t="s">
        <v>2666</v>
      </c>
      <c r="B354" s="2" t="s">
        <v>2314</v>
      </c>
      <c r="C354" s="2" t="s">
        <v>31</v>
      </c>
      <c r="D354" s="2" t="s">
        <v>431</v>
      </c>
      <c r="E354" s="6">
        <v>1</v>
      </c>
      <c r="F354" s="6">
        <v>1</v>
      </c>
      <c r="G354" s="7">
        <v>0.6848030090332031</v>
      </c>
      <c r="H354" s="7">
        <v>6.42785</v>
      </c>
      <c r="I354" s="7">
        <v>13.17885675122275</v>
      </c>
      <c r="J354" s="7">
        <v>5.912238793408978</v>
      </c>
      <c r="K354" s="7">
        <v>1.232735251100358</v>
      </c>
      <c r="L354" s="7">
        <v>0.9775397709580153</v>
      </c>
      <c r="M354" s="7">
        <v>0.4650719244609588</v>
      </c>
      <c r="N354" s="7">
        <v>0.2651616179815022</v>
      </c>
      <c r="O354" s="7">
        <v>0.092641071542778</v>
      </c>
      <c r="P354" s="7">
        <v>9.382713835744225</v>
      </c>
      <c r="Q354" s="7">
        <v>0.0112346133379837</v>
      </c>
      <c r="R354" s="7">
        <v>0.0449463654613448</v>
      </c>
      <c r="S354" s="7">
        <v>0.0546720853471571</v>
      </c>
      <c r="T354" s="7">
        <v>0.0838136286423718</v>
      </c>
    </row>
    <row x14ac:dyDescent="0.25" r="355" customHeight="1" ht="19.5">
      <c r="A355" s="2" t="s">
        <v>2667</v>
      </c>
      <c r="B355" s="2" t="s">
        <v>2314</v>
      </c>
      <c r="C355" s="2" t="s">
        <v>31</v>
      </c>
      <c r="D355" s="2" t="s">
        <v>431</v>
      </c>
      <c r="E355" s="6">
        <v>1</v>
      </c>
      <c r="F355" s="6">
        <v>1</v>
      </c>
      <c r="G355" s="7">
        <v>0.672907292842865</v>
      </c>
      <c r="H355" s="7">
        <v>6.42438671875</v>
      </c>
      <c r="I355" s="7">
        <v>13.22760939717659</v>
      </c>
      <c r="J355" s="7">
        <v>5.909891775765429</v>
      </c>
      <c r="K355" s="7">
        <v>1.228902320117939</v>
      </c>
      <c r="L355" s="7">
        <v>0.9776432628046924</v>
      </c>
      <c r="M355" s="7">
        <v>0.4614013019383798</v>
      </c>
      <c r="N355" s="7">
        <v>0.2663916615034413</v>
      </c>
      <c r="O355" s="7">
        <v>0.0932872016874188</v>
      </c>
      <c r="P355" s="7">
        <v>9.358479721764144</v>
      </c>
      <c r="Q355" s="7">
        <v>0.0110867437687847</v>
      </c>
      <c r="R355" s="7">
        <v>0.0439088446256706</v>
      </c>
      <c r="S355" s="7">
        <v>0.0520488351175307</v>
      </c>
      <c r="T355" s="7">
        <v>0.0826659128980639</v>
      </c>
    </row>
    <row x14ac:dyDescent="0.25" r="356" customHeight="1" ht="19.5">
      <c r="A356" s="2" t="s">
        <v>2668</v>
      </c>
      <c r="B356" s="2" t="s">
        <v>2314</v>
      </c>
      <c r="C356" s="2" t="s">
        <v>31</v>
      </c>
      <c r="D356" s="2" t="s">
        <v>431</v>
      </c>
      <c r="E356" s="6">
        <v>1</v>
      </c>
      <c r="F356" s="6">
        <v>1</v>
      </c>
      <c r="G356" s="7">
        <v>0.6842969655990601</v>
      </c>
      <c r="H356" s="7">
        <v>6.438239843750001</v>
      </c>
      <c r="I356" s="7">
        <v>13.2133300777775</v>
      </c>
      <c r="J356" s="7">
        <v>5.912540847920869</v>
      </c>
      <c r="K356" s="7">
        <v>1.227289007150866</v>
      </c>
      <c r="L356" s="7">
        <v>0.9777052818474432</v>
      </c>
      <c r="M356" s="7">
        <v>0.4633961777557887</v>
      </c>
      <c r="N356" s="7">
        <v>0.2612386281331804</v>
      </c>
      <c r="O356" s="7">
        <v>0.08964598182885</v>
      </c>
      <c r="P356" s="7">
        <v>9.410439471770871</v>
      </c>
      <c r="Q356" s="7">
        <v>0.0110325662615134</v>
      </c>
      <c r="R356" s="7">
        <v>0.04572573557569</v>
      </c>
      <c r="S356" s="7">
        <v>0.0529271880085506</v>
      </c>
      <c r="T356" s="7">
        <v>0.0824393342629005</v>
      </c>
    </row>
    <row x14ac:dyDescent="0.25" r="357" customHeight="1" ht="19.5">
      <c r="A357" s="2" t="s">
        <v>2669</v>
      </c>
      <c r="B357" s="2" t="s">
        <v>2314</v>
      </c>
      <c r="C357" s="2" t="s">
        <v>31</v>
      </c>
      <c r="D357" s="2" t="s">
        <v>431</v>
      </c>
      <c r="E357" s="6">
        <v>1</v>
      </c>
      <c r="F357" s="6">
        <v>1</v>
      </c>
      <c r="G357" s="7">
        <v>0.6835600137710571</v>
      </c>
      <c r="H357" s="7">
        <v>6.4486296875</v>
      </c>
      <c r="I357" s="7">
        <v>13.19313607062185</v>
      </c>
      <c r="J357" s="7">
        <v>5.906877778093786</v>
      </c>
      <c r="K357" s="7">
        <v>1.216663812861202</v>
      </c>
      <c r="L357" s="7">
        <v>0.977434821070926</v>
      </c>
      <c r="M357" s="7">
        <v>0.4655659597495458</v>
      </c>
      <c r="N357" s="7">
        <v>0.2577086510546006</v>
      </c>
      <c r="O357" s="7">
        <v>0.0895455945538282</v>
      </c>
      <c r="P357" s="7">
        <v>9.40528920771754</v>
      </c>
      <c r="Q357" s="7">
        <v>0.0105019135812526</v>
      </c>
      <c r="R357" s="7">
        <v>0.0428726624306439</v>
      </c>
      <c r="S357" s="7">
        <v>0.0538098560685237</v>
      </c>
      <c r="T357" s="7">
        <v>0.0786007443043655</v>
      </c>
    </row>
    <row x14ac:dyDescent="0.25" r="358" customHeight="1" ht="19.5">
      <c r="A358" s="2" t="s">
        <v>2670</v>
      </c>
      <c r="B358" s="2" t="s">
        <v>2314</v>
      </c>
      <c r="C358" s="2" t="s">
        <v>31</v>
      </c>
      <c r="D358" s="2" t="s">
        <v>431</v>
      </c>
      <c r="E358" s="6">
        <v>1</v>
      </c>
      <c r="F358" s="6">
        <v>1</v>
      </c>
      <c r="G358" s="7">
        <v>0.6815678477287292</v>
      </c>
      <c r="H358" s="7">
        <v>6.42438671875</v>
      </c>
      <c r="I358" s="7">
        <v>13.22760939717659</v>
      </c>
      <c r="J358" s="7">
        <v>5.968731682890327</v>
      </c>
      <c r="K358" s="7">
        <v>1.223467404996176</v>
      </c>
      <c r="L358" s="7">
        <v>0.9781216821928408</v>
      </c>
      <c r="M358" s="7">
        <v>0.4614013019383798</v>
      </c>
      <c r="N358" s="7">
        <v>0.2658635929972734</v>
      </c>
      <c r="O358" s="7">
        <v>0.0980674571145303</v>
      </c>
      <c r="P358" s="7">
        <v>9.357162390025728</v>
      </c>
      <c r="Q358" s="7">
        <v>0.0110043251672199</v>
      </c>
      <c r="R358" s="7">
        <v>0.0441298791010923</v>
      </c>
      <c r="S358" s="7">
        <v>0.0541030982965442</v>
      </c>
      <c r="T358" s="7">
        <v>0.0820513763776733</v>
      </c>
    </row>
    <row x14ac:dyDescent="0.25" r="359" customHeight="1" ht="19.5">
      <c r="A359" s="2" t="s">
        <v>2671</v>
      </c>
      <c r="B359" s="2" t="s">
        <v>2314</v>
      </c>
      <c r="C359" s="2" t="s">
        <v>31</v>
      </c>
      <c r="D359" s="2" t="s">
        <v>431</v>
      </c>
      <c r="E359" s="6">
        <v>1</v>
      </c>
      <c r="F359" s="6">
        <v>1</v>
      </c>
      <c r="G359" s="7">
        <v>0.685652494430542</v>
      </c>
      <c r="H359" s="7">
        <v>6.438239843750001</v>
      </c>
      <c r="I359" s="7">
        <v>13.16457743182366</v>
      </c>
      <c r="J359" s="7">
        <v>5.852741416301568</v>
      </c>
      <c r="K359" s="7">
        <v>1.229733611232293</v>
      </c>
      <c r="L359" s="7">
        <v>0.977380001240195</v>
      </c>
      <c r="M359" s="7">
        <v>0.4668347419214542</v>
      </c>
      <c r="N359" s="7">
        <v>0.2587818946879108</v>
      </c>
      <c r="O359" s="7">
        <v>0.0844842512722171</v>
      </c>
      <c r="P359" s="7">
        <v>9.418829241814295</v>
      </c>
      <c r="Q359" s="7">
        <v>0.0112069537340415</v>
      </c>
      <c r="R359" s="7">
        <v>0.0451253365493542</v>
      </c>
      <c r="S359" s="7">
        <v>0.0532439582701277</v>
      </c>
      <c r="T359" s="7">
        <v>0.0837424206707441</v>
      </c>
    </row>
    <row x14ac:dyDescent="0.25" r="360" customHeight="1" ht="19.5">
      <c r="A360" s="2" t="s">
        <v>2672</v>
      </c>
      <c r="B360" s="2" t="s">
        <v>2314</v>
      </c>
      <c r="C360" s="2" t="s">
        <v>31</v>
      </c>
      <c r="D360" s="2" t="s">
        <v>431</v>
      </c>
      <c r="E360" s="6">
        <v>1</v>
      </c>
      <c r="F360" s="6">
        <v>1</v>
      </c>
      <c r="G360" s="7">
        <v>0.6871137619018555</v>
      </c>
      <c r="H360" s="7">
        <v>6.4486296875</v>
      </c>
      <c r="I360" s="7">
        <v>13.17885675122275</v>
      </c>
      <c r="J360" s="7">
        <v>5.911554915389701</v>
      </c>
      <c r="K360" s="7">
        <v>1.232717151887522</v>
      </c>
      <c r="L360" s="7">
        <v>0.9775760435981612</v>
      </c>
      <c r="M360" s="7">
        <v>0.4665753897340006</v>
      </c>
      <c r="N360" s="7">
        <v>0.2697104855559091</v>
      </c>
      <c r="O360" s="7">
        <v>0.091293999353091</v>
      </c>
      <c r="P360" s="7">
        <v>9.402057851676108</v>
      </c>
      <c r="Q360" s="7">
        <v>0.0111190308279868</v>
      </c>
      <c r="R360" s="7">
        <v>0.0447602537425252</v>
      </c>
      <c r="S360" s="7">
        <v>0.0530711371593415</v>
      </c>
      <c r="T360" s="7">
        <v>0.0832195096885097</v>
      </c>
    </row>
    <row x14ac:dyDescent="0.25" r="361" customHeight="1" ht="19.5">
      <c r="A361" s="2" t="s">
        <v>2673</v>
      </c>
      <c r="B361" s="2" t="s">
        <v>2314</v>
      </c>
      <c r="C361" s="2" t="s">
        <v>31</v>
      </c>
      <c r="D361" s="2" t="s">
        <v>431</v>
      </c>
      <c r="E361" s="6">
        <v>1</v>
      </c>
      <c r="F361" s="6">
        <v>1</v>
      </c>
      <c r="G361" s="7">
        <v>0.6813728213310242</v>
      </c>
      <c r="H361" s="7">
        <v>6.420923437500001</v>
      </c>
      <c r="I361" s="7">
        <v>13.2133300777775</v>
      </c>
      <c r="J361" s="7">
        <v>5.911364329452248</v>
      </c>
      <c r="K361" s="7">
        <v>1.22238779083181</v>
      </c>
      <c r="L361" s="7">
        <v>0.9779603195562498</v>
      </c>
      <c r="M361" s="7">
        <v>0.4621498190205659</v>
      </c>
      <c r="N361" s="7">
        <v>0.2631520475220821</v>
      </c>
      <c r="O361" s="7">
        <v>0.0903438284145597</v>
      </c>
      <c r="P361" s="7">
        <v>9.380910834022483</v>
      </c>
      <c r="Q361" s="7">
        <v>0.0112895275525904</v>
      </c>
      <c r="R361" s="7">
        <v>0.0463344641189165</v>
      </c>
      <c r="S361" s="7">
        <v>0.0579765214999007</v>
      </c>
      <c r="T361" s="7">
        <v>0.0841325474944342</v>
      </c>
    </row>
    <row x14ac:dyDescent="0.25" r="362" customHeight="1" ht="19.5">
      <c r="A362" s="2" t="s">
        <v>2674</v>
      </c>
      <c r="B362" s="2" t="s">
        <v>2314</v>
      </c>
      <c r="C362" s="2" t="s">
        <v>31</v>
      </c>
      <c r="D362" s="2" t="s">
        <v>431</v>
      </c>
      <c r="E362" s="6">
        <v>1</v>
      </c>
      <c r="F362" s="6">
        <v>1</v>
      </c>
      <c r="G362" s="7">
        <v>0.6766073703765869</v>
      </c>
      <c r="H362" s="7">
        <v>6.41053359375</v>
      </c>
      <c r="I362" s="7">
        <v>13.19313607062184</v>
      </c>
      <c r="J362" s="7">
        <v>5.967631874616126</v>
      </c>
      <c r="K362" s="7">
        <v>1.223920029905247</v>
      </c>
      <c r="L362" s="7">
        <v>0.9779222688710202</v>
      </c>
      <c r="M362" s="7">
        <v>0.4628155700840008</v>
      </c>
      <c r="N362" s="7">
        <v>0.267680803299171</v>
      </c>
      <c r="O362" s="7">
        <v>0.099435219013432</v>
      </c>
      <c r="P362" s="7">
        <v>9.32887630715194</v>
      </c>
      <c r="Q362" s="7">
        <v>0.0106243606203257</v>
      </c>
      <c r="R362" s="7">
        <v>0.0430484486124103</v>
      </c>
      <c r="S362" s="7">
        <v>0.0541181448523464</v>
      </c>
      <c r="T362" s="7">
        <v>0.0790474316826753</v>
      </c>
    </row>
    <row x14ac:dyDescent="0.25" r="363" customHeight="1" ht="19.5">
      <c r="A363" s="2" t="s">
        <v>2675</v>
      </c>
      <c r="B363" s="2" t="s">
        <v>2314</v>
      </c>
      <c r="C363" s="2" t="s">
        <v>31</v>
      </c>
      <c r="D363" s="2" t="s">
        <v>431</v>
      </c>
      <c r="E363" s="6">
        <v>1</v>
      </c>
      <c r="F363" s="6">
        <v>1</v>
      </c>
      <c r="G363" s="7">
        <v>0.6832935810089111</v>
      </c>
      <c r="H363" s="7">
        <v>6.61833046875</v>
      </c>
      <c r="I363" s="7">
        <v>13.2133300777775</v>
      </c>
      <c r="J363" s="7">
        <v>5.857377620130645</v>
      </c>
      <c r="K363" s="7">
        <v>1.285888339439039</v>
      </c>
      <c r="L363" s="7">
        <v>0.9755395066645108</v>
      </c>
      <c r="M363" s="7">
        <v>0.4763583086021044</v>
      </c>
      <c r="N363" s="7">
        <v>0.2735119271026873</v>
      </c>
      <c r="O363" s="7">
        <v>0.0974743634876669</v>
      </c>
      <c r="P363" s="7">
        <v>9.275754679078148</v>
      </c>
      <c r="Q363" s="7">
        <v>0.0079152243304142</v>
      </c>
      <c r="R363" s="7">
        <v>0.0373630965508798</v>
      </c>
      <c r="S363" s="7">
        <v>0.0468877203641491</v>
      </c>
      <c r="T363" s="7">
        <v>0.0607998428517737</v>
      </c>
    </row>
    <row x14ac:dyDescent="0.25" r="364" customHeight="1" ht="19.5">
      <c r="A364" s="2" t="s">
        <v>2676</v>
      </c>
      <c r="B364" s="2" t="s">
        <v>2314</v>
      </c>
      <c r="C364" s="2" t="s">
        <v>31</v>
      </c>
      <c r="D364" s="2" t="s">
        <v>431</v>
      </c>
      <c r="E364" s="6">
        <v>1</v>
      </c>
      <c r="F364" s="6">
        <v>1</v>
      </c>
      <c r="G364" s="7">
        <v>0.2903593182563782</v>
      </c>
      <c r="H364" s="7">
        <v>5.69709765625</v>
      </c>
      <c r="I364" s="7">
        <v>12.67950091617123</v>
      </c>
      <c r="J364" s="7">
        <v>5.665973377591241</v>
      </c>
      <c r="K364" s="7">
        <v>1.080336020037965</v>
      </c>
      <c r="L364" s="7">
        <v>0.98107726753864</v>
      </c>
      <c r="M364" s="7">
        <v>0.4453066791272289</v>
      </c>
      <c r="N364" s="7">
        <v>0.5026019524097863</v>
      </c>
      <c r="O364" s="7">
        <v>0.1341785585705874</v>
      </c>
      <c r="P364" s="7">
        <v>6.819186438462914</v>
      </c>
      <c r="Q364" s="7">
        <v>0.0023337141258439</v>
      </c>
      <c r="R364" s="7">
        <v>0.0114634979156452</v>
      </c>
      <c r="S364" s="7">
        <v>0.0209966474682246</v>
      </c>
      <c r="T364" s="7">
        <v>0.0154309299226634</v>
      </c>
    </row>
    <row x14ac:dyDescent="0.25" r="365" customHeight="1" ht="19.5">
      <c r="A365" s="2" t="s">
        <v>2677</v>
      </c>
      <c r="B365" s="2" t="s">
        <v>2314</v>
      </c>
      <c r="C365" s="2" t="s">
        <v>31</v>
      </c>
      <c r="D365" s="2" t="s">
        <v>431</v>
      </c>
      <c r="E365" s="6">
        <v>1</v>
      </c>
      <c r="F365" s="6">
        <v>1</v>
      </c>
      <c r="G365" s="7">
        <v>0.5427634119987488</v>
      </c>
      <c r="H365" s="7">
        <v>4.9940515625</v>
      </c>
      <c r="I365" s="7">
        <v>11.76646516246275</v>
      </c>
      <c r="J365" s="7">
        <v>5.126754510720281</v>
      </c>
      <c r="K365" s="7">
        <v>1.028125469384078</v>
      </c>
      <c r="L365" s="7">
        <v>0.977909965924074</v>
      </c>
      <c r="M365" s="7">
        <v>0.4532844903592825</v>
      </c>
      <c r="N365" s="7">
        <v>0.3508763896335483</v>
      </c>
      <c r="O365" s="7">
        <v>0.0809284029937102</v>
      </c>
      <c r="P365" s="7">
        <v>8.284427542520362</v>
      </c>
      <c r="Q365" s="7">
        <v>0.0020692399273527</v>
      </c>
      <c r="R365" s="7">
        <v>0.011170284678293</v>
      </c>
      <c r="S365" s="7">
        <v>0.0206349160312908</v>
      </c>
      <c r="T365" s="7">
        <v>0.0119937406058734</v>
      </c>
    </row>
    <row x14ac:dyDescent="0.25" r="366" customHeight="1" ht="19.5">
      <c r="A366" s="2" t="s">
        <v>2678</v>
      </c>
      <c r="B366" s="2" t="s">
        <v>2314</v>
      </c>
      <c r="C366" s="2" t="s">
        <v>31</v>
      </c>
      <c r="D366" s="2" t="s">
        <v>431</v>
      </c>
      <c r="E366" s="6">
        <v>1</v>
      </c>
      <c r="F366" s="6">
        <v>1</v>
      </c>
      <c r="G366" s="7">
        <v>0.5995244979858398</v>
      </c>
      <c r="H366" s="7">
        <v>5.880651562500001</v>
      </c>
      <c r="I366" s="7">
        <v>12.69378023557033</v>
      </c>
      <c r="J366" s="7">
        <v>5.670698329786969</v>
      </c>
      <c r="K366" s="7">
        <v>1.173375941042559</v>
      </c>
      <c r="L366" s="7">
        <v>0.9783119731987944</v>
      </c>
      <c r="M366" s="7">
        <v>0.4586203919689857</v>
      </c>
      <c r="N366" s="7">
        <v>0.3380420730934441</v>
      </c>
      <c r="O366" s="7">
        <v>0.0994046787415647</v>
      </c>
      <c r="P366" s="7">
        <v>8.764145432124021</v>
      </c>
      <c r="Q366" s="7">
        <v>0.0023128917001302</v>
      </c>
      <c r="R366" s="7">
        <v>0.0146607396767872</v>
      </c>
      <c r="S366" s="7">
        <v>0.0289257664916757</v>
      </c>
      <c r="T366" s="7">
        <v>0.0157859791651459</v>
      </c>
    </row>
    <row x14ac:dyDescent="0.25" r="367" customHeight="1" ht="19.5">
      <c r="A367" s="2" t="s">
        <v>2679</v>
      </c>
      <c r="B367" s="2" t="s">
        <v>2314</v>
      </c>
      <c r="C367" s="2" t="s">
        <v>31</v>
      </c>
      <c r="D367" s="2" t="s">
        <v>431</v>
      </c>
      <c r="E367" s="6">
        <v>1</v>
      </c>
      <c r="F367" s="6">
        <v>1</v>
      </c>
      <c r="G367" s="7">
        <v>0.6093770861625671</v>
      </c>
      <c r="H367" s="7">
        <v>6.150787500000001</v>
      </c>
      <c r="I367" s="7">
        <v>13.11582478586982</v>
      </c>
      <c r="J367" s="7">
        <v>5.865554095805823</v>
      </c>
      <c r="K367" s="7">
        <v>1.201819225408612</v>
      </c>
      <c r="L367" s="7">
        <v>0.9799360203710912</v>
      </c>
      <c r="M367" s="7">
        <v>0.4493134037656132</v>
      </c>
      <c r="N367" s="7">
        <v>0.2917418372863443</v>
      </c>
      <c r="O367" s="7">
        <v>0.0853239391535258</v>
      </c>
      <c r="P367" s="7">
        <v>9.217489476954013</v>
      </c>
      <c r="Q367" s="7">
        <v>0.0069077339441275</v>
      </c>
      <c r="R367" s="7">
        <v>0.0362063439072754</v>
      </c>
      <c r="S367" s="7">
        <v>0.0568159116878665</v>
      </c>
      <c r="T367" s="7">
        <v>0.0493125096160846</v>
      </c>
    </row>
    <row x14ac:dyDescent="0.25" r="368" customHeight="1" ht="19.5">
      <c r="A368" s="2" t="s">
        <v>2680</v>
      </c>
      <c r="B368" s="2" t="s">
        <v>2314</v>
      </c>
      <c r="C368" s="2" t="s">
        <v>31</v>
      </c>
      <c r="D368" s="2" t="s">
        <v>431</v>
      </c>
      <c r="E368" s="6">
        <v>1</v>
      </c>
      <c r="F368" s="6">
        <v>1</v>
      </c>
      <c r="G368" s="7">
        <v>0.6595467329025269</v>
      </c>
      <c r="H368" s="7">
        <v>6.413996875</v>
      </c>
      <c r="I368" s="7">
        <v>13.33102937684083</v>
      </c>
      <c r="J368" s="7">
        <v>5.980879642872116</v>
      </c>
      <c r="K368" s="7">
        <v>1.256255315994312</v>
      </c>
      <c r="L368" s="7">
        <v>0.9788293184881178</v>
      </c>
      <c r="M368" s="7">
        <v>0.4535354482586822</v>
      </c>
      <c r="N368" s="7">
        <v>0.3037844946007217</v>
      </c>
      <c r="O368" s="7">
        <v>0.1042546447377113</v>
      </c>
      <c r="P368" s="7">
        <v>9.150455320076093</v>
      </c>
      <c r="Q368" s="7">
        <v>0.0067120856456564</v>
      </c>
      <c r="R368" s="7">
        <v>0.0364775155660365</v>
      </c>
      <c r="S368" s="7">
        <v>0.0581240307159203</v>
      </c>
      <c r="T368" s="7">
        <v>0.0499662795569769</v>
      </c>
    </row>
    <row x14ac:dyDescent="0.25" r="369" customHeight="1" ht="19.5">
      <c r="A369" s="2" t="s">
        <v>2681</v>
      </c>
      <c r="B369" s="2" t="s">
        <v>2314</v>
      </c>
      <c r="C369" s="2" t="s">
        <v>31</v>
      </c>
      <c r="D369" s="2" t="s">
        <v>431</v>
      </c>
      <c r="E369" s="6">
        <v>1</v>
      </c>
      <c r="F369" s="6">
        <v>1</v>
      </c>
      <c r="G369" s="7">
        <v>0.6215678453445435</v>
      </c>
      <c r="H369" s="7">
        <v>6.164640625000001</v>
      </c>
      <c r="I369" s="7">
        <v>13.19905075837841</v>
      </c>
      <c r="J369" s="7">
        <v>5.922591297396096</v>
      </c>
      <c r="K369" s="7">
        <v>1.200247240834523</v>
      </c>
      <c r="L369" s="7">
        <v>0.9802592942051108</v>
      </c>
      <c r="M369" s="7">
        <v>0.4446642658086231</v>
      </c>
      <c r="N369" s="7">
        <v>0.2898824176866463</v>
      </c>
      <c r="O369" s="7">
        <v>0.0901719641738621</v>
      </c>
      <c r="P369" s="7">
        <v>9.215407670638454</v>
      </c>
      <c r="Q369" s="7">
        <v>0.0075160818493924</v>
      </c>
      <c r="R369" s="7">
        <v>0.0367440960838692</v>
      </c>
      <c r="S369" s="7">
        <v>0.0571805909686948</v>
      </c>
      <c r="T369" s="7">
        <v>0.053776191899879</v>
      </c>
    </row>
    <row x14ac:dyDescent="0.25" r="370" customHeight="1" ht="19.5">
      <c r="A370" s="2" t="s">
        <v>2682</v>
      </c>
      <c r="B370" s="2" t="s">
        <v>2314</v>
      </c>
      <c r="C370" s="2" t="s">
        <v>31</v>
      </c>
      <c r="D370" s="2" t="s">
        <v>431</v>
      </c>
      <c r="E370" s="6">
        <v>1</v>
      </c>
      <c r="F370" s="6">
        <v>1</v>
      </c>
      <c r="G370" s="7">
        <v>0.6418587565422058</v>
      </c>
      <c r="H370" s="7">
        <v>6.130007812500001</v>
      </c>
      <c r="I370" s="7">
        <v>13.04687813276032</v>
      </c>
      <c r="J370" s="7">
        <v>5.860354703983736</v>
      </c>
      <c r="K370" s="7">
        <v>1.199442730069526</v>
      </c>
      <c r="L370" s="7">
        <v>0.979776375222933</v>
      </c>
      <c r="M370" s="7">
        <v>0.4525407377003294</v>
      </c>
      <c r="N370" s="7">
        <v>0.2882573028285834</v>
      </c>
      <c r="O370" s="7">
        <v>0.0869607624272933</v>
      </c>
      <c r="P370" s="7">
        <v>9.258661349144102</v>
      </c>
      <c r="Q370" s="7">
        <v>0.0072197372168121</v>
      </c>
      <c r="R370" s="7">
        <v>0.035862394712794</v>
      </c>
      <c r="S370" s="7">
        <v>0.0606275533340447</v>
      </c>
      <c r="T370" s="7">
        <v>0.05136569853078</v>
      </c>
    </row>
    <row x14ac:dyDescent="0.25" r="371" customHeight="1" ht="19.5">
      <c r="A371" s="2" t="s">
        <v>2683</v>
      </c>
      <c r="B371" s="2" t="s">
        <v>2314</v>
      </c>
      <c r="C371" s="2" t="s">
        <v>31</v>
      </c>
      <c r="D371" s="2" t="s">
        <v>431</v>
      </c>
      <c r="E371" s="6">
        <v>1</v>
      </c>
      <c r="F371" s="6">
        <v>1</v>
      </c>
      <c r="G371" s="7">
        <v>0.6503009796142578</v>
      </c>
      <c r="H371" s="7">
        <v>6.3724375</v>
      </c>
      <c r="I371" s="7">
        <v>13.2133300777775</v>
      </c>
      <c r="J371" s="7">
        <v>5.918848850781471</v>
      </c>
      <c r="K371" s="7">
        <v>1.259402339174163</v>
      </c>
      <c r="L371" s="7">
        <v>0.9781350128692572</v>
      </c>
      <c r="M371" s="7">
        <v>0.4586600145619425</v>
      </c>
      <c r="N371" s="7">
        <v>0.296829520471036</v>
      </c>
      <c r="O371" s="7">
        <v>0.1009343690788223</v>
      </c>
      <c r="P371" s="7">
        <v>9.18254169507184</v>
      </c>
      <c r="Q371" s="7">
        <v>0.0068838260979279</v>
      </c>
      <c r="R371" s="7">
        <v>0.0373736603297661</v>
      </c>
      <c r="S371" s="7">
        <v>0.0621684621371065</v>
      </c>
      <c r="T371" s="7">
        <v>0.0509127147780933</v>
      </c>
    </row>
    <row x14ac:dyDescent="0.25" r="372" customHeight="1" ht="19.5">
      <c r="A372" s="2" t="s">
        <v>2684</v>
      </c>
      <c r="B372" s="2" t="s">
        <v>2314</v>
      </c>
      <c r="C372" s="2" t="s">
        <v>31</v>
      </c>
      <c r="D372" s="2" t="s">
        <v>431</v>
      </c>
      <c r="E372" s="6">
        <v>1</v>
      </c>
      <c r="F372" s="6">
        <v>1</v>
      </c>
      <c r="G372" s="7">
        <v>0.6685694456100464</v>
      </c>
      <c r="H372" s="7">
        <v>6.185420312500001</v>
      </c>
      <c r="I372" s="7">
        <v>13.16457743182366</v>
      </c>
      <c r="J372" s="7">
        <v>5.919874623370623</v>
      </c>
      <c r="K372" s="7">
        <v>1.201430108648057</v>
      </c>
      <c r="L372" s="7">
        <v>0.9802113383151212</v>
      </c>
      <c r="M372" s="7">
        <v>0.4485028773919941</v>
      </c>
      <c r="N372" s="7">
        <v>0.2862366947268326</v>
      </c>
      <c r="O372" s="7">
        <v>0.0889534929813333</v>
      </c>
      <c r="P372" s="7">
        <v>9.23373633115206</v>
      </c>
      <c r="Q372" s="7">
        <v>0.0073486191750102</v>
      </c>
      <c r="R372" s="7">
        <v>0.036445918855199</v>
      </c>
      <c r="S372" s="7">
        <v>0.0572150889710899</v>
      </c>
      <c r="T372" s="7">
        <v>0.0527552563769716</v>
      </c>
    </row>
    <row x14ac:dyDescent="0.25" r="373" customHeight="1" ht="19.5">
      <c r="A373" s="2" t="s">
        <v>2685</v>
      </c>
      <c r="B373" s="2" t="s">
        <v>2314</v>
      </c>
      <c r="C373" s="2" t="s">
        <v>31</v>
      </c>
      <c r="D373" s="2" t="s">
        <v>431</v>
      </c>
      <c r="E373" s="6">
        <v>1</v>
      </c>
      <c r="F373" s="6">
        <v>1</v>
      </c>
      <c r="G373" s="7">
        <v>0.6522516012191772</v>
      </c>
      <c r="H373" s="7">
        <v>6.181957031250001</v>
      </c>
      <c r="I373" s="7">
        <v>13.19905075837841</v>
      </c>
      <c r="J373" s="7">
        <v>5.922789540095541</v>
      </c>
      <c r="K373" s="7">
        <v>1.201199988131254</v>
      </c>
      <c r="L373" s="7">
        <v>0.9802609582740848</v>
      </c>
      <c r="M373" s="7">
        <v>0.4459133227350518</v>
      </c>
      <c r="N373" s="7">
        <v>0.2909329161233543</v>
      </c>
      <c r="O373" s="7">
        <v>0.0888321245361691</v>
      </c>
      <c r="P373" s="7">
        <v>9.228422079158598</v>
      </c>
      <c r="Q373" s="7">
        <v>0.0075366976422293</v>
      </c>
      <c r="R373" s="7">
        <v>0.0369488736358561</v>
      </c>
      <c r="S373" s="7">
        <v>0.0596494290723455</v>
      </c>
      <c r="T373" s="7">
        <v>0.0540751651805544</v>
      </c>
    </row>
    <row x14ac:dyDescent="0.25" r="374" customHeight="1" ht="19.5">
      <c r="A374" s="2" t="s">
        <v>2686</v>
      </c>
      <c r="B374" s="2" t="s">
        <v>2314</v>
      </c>
      <c r="C374" s="2" t="s">
        <v>31</v>
      </c>
      <c r="D374" s="2" t="s">
        <v>431</v>
      </c>
      <c r="E374" s="6">
        <v>1</v>
      </c>
      <c r="F374" s="6">
        <v>1</v>
      </c>
      <c r="G374" s="7">
        <v>0.6524503827095032</v>
      </c>
      <c r="H374" s="7">
        <v>6.237369531250001</v>
      </c>
      <c r="I374" s="7">
        <v>13.28227673088699</v>
      </c>
      <c r="J374" s="7">
        <v>5.982385385831018</v>
      </c>
      <c r="K374" s="7">
        <v>1.20368428731335</v>
      </c>
      <c r="L374" s="7">
        <v>0.9806549061898524</v>
      </c>
      <c r="M374" s="7">
        <v>0.4442897457494349</v>
      </c>
      <c r="N374" s="7">
        <v>0.2929547832628419</v>
      </c>
      <c r="O374" s="7">
        <v>0.089687968745772</v>
      </c>
      <c r="P374" s="7">
        <v>9.194141345790204</v>
      </c>
      <c r="Q374" s="7">
        <v>0.0074257177563563</v>
      </c>
      <c r="R374" s="7">
        <v>0.0357126459010408</v>
      </c>
      <c r="S374" s="7">
        <v>0.0603502481158454</v>
      </c>
      <c r="T374" s="7">
        <v>0.0537564638470883</v>
      </c>
    </row>
    <row x14ac:dyDescent="0.25" r="375" customHeight="1" ht="19.5">
      <c r="A375" s="2" t="s">
        <v>2687</v>
      </c>
      <c r="B375" s="2" t="s">
        <v>2314</v>
      </c>
      <c r="C375" s="2" t="s">
        <v>31</v>
      </c>
      <c r="D375" s="2" t="s">
        <v>431</v>
      </c>
      <c r="E375" s="6">
        <v>1</v>
      </c>
      <c r="F375" s="6">
        <v>1</v>
      </c>
      <c r="G375" s="7">
        <v>0.6426466703414917</v>
      </c>
      <c r="H375" s="7">
        <v>6.21658984375</v>
      </c>
      <c r="I375" s="7">
        <v>13.24780340433224</v>
      </c>
      <c r="J375" s="7">
        <v>5.979829701795545</v>
      </c>
      <c r="K375" s="7">
        <v>1.201548407087372</v>
      </c>
      <c r="L375" s="7">
        <v>0.9805606810251586</v>
      </c>
      <c r="M375" s="7">
        <v>0.4451171517841858</v>
      </c>
      <c r="N375" s="7">
        <v>0.2944603235148713</v>
      </c>
      <c r="O375" s="7">
        <v>0.0914418497307749</v>
      </c>
      <c r="P375" s="7">
        <v>9.185463210187155</v>
      </c>
      <c r="Q375" s="7">
        <v>0.0073539381489857</v>
      </c>
      <c r="R375" s="7">
        <v>0.0362217400567185</v>
      </c>
      <c r="S375" s="7">
        <v>0.0585500731635232</v>
      </c>
      <c r="T375" s="7">
        <v>0.0530594773197558</v>
      </c>
    </row>
    <row x14ac:dyDescent="0.25" r="376" customHeight="1" ht="19.5">
      <c r="A376" s="2" t="s">
        <v>2688</v>
      </c>
      <c r="B376" s="2" t="s">
        <v>2314</v>
      </c>
      <c r="C376" s="2" t="s">
        <v>31</v>
      </c>
      <c r="D376" s="2" t="s">
        <v>431</v>
      </c>
      <c r="E376" s="6">
        <v>1</v>
      </c>
      <c r="F376" s="6">
        <v>1</v>
      </c>
      <c r="G376" s="7">
        <v>0.638633668422699</v>
      </c>
      <c r="H376" s="7">
        <v>6.206200000000001</v>
      </c>
      <c r="I376" s="7">
        <v>13.2133300777775</v>
      </c>
      <c r="J376" s="7">
        <v>5.97734138132573</v>
      </c>
      <c r="K376" s="7">
        <v>1.199270835575749</v>
      </c>
      <c r="L376" s="7">
        <v>0.9805512119547944</v>
      </c>
      <c r="M376" s="7">
        <v>0.4466949707038049</v>
      </c>
      <c r="N376" s="7">
        <v>0.2947954634763817</v>
      </c>
      <c r="O376" s="7">
        <v>0.0921424160848505</v>
      </c>
      <c r="P376" s="7">
        <v>9.1956197794782</v>
      </c>
      <c r="Q376" s="7">
        <v>0.0077695170771771</v>
      </c>
      <c r="R376" s="7">
        <v>0.0367500883370749</v>
      </c>
      <c r="S376" s="7">
        <v>0.0568248717076858</v>
      </c>
      <c r="T376" s="7">
        <v>0.055964235136855</v>
      </c>
    </row>
    <row x14ac:dyDescent="0.25" r="377" customHeight="1" ht="19.5">
      <c r="A377" s="2" t="s">
        <v>2689</v>
      </c>
      <c r="B377" s="2" t="s">
        <v>2314</v>
      </c>
      <c r="C377" s="2" t="s">
        <v>31</v>
      </c>
      <c r="D377" s="2" t="s">
        <v>431</v>
      </c>
      <c r="E377" s="6">
        <v>1</v>
      </c>
      <c r="F377" s="6">
        <v>1</v>
      </c>
      <c r="G377" s="7">
        <v>0.6348382830619812</v>
      </c>
      <c r="H377" s="7">
        <v>6.220053125000001</v>
      </c>
      <c r="I377" s="7">
        <v>13.28227673088699</v>
      </c>
      <c r="J377" s="7">
        <v>5.978949829013793</v>
      </c>
      <c r="K377" s="7">
        <v>1.194689705514475</v>
      </c>
      <c r="L377" s="7">
        <v>0.9806493443273616</v>
      </c>
      <c r="M377" s="7">
        <v>0.443056292818426</v>
      </c>
      <c r="N377" s="7">
        <v>0.2883796903297623</v>
      </c>
      <c r="O377" s="7">
        <v>0.0900933183514961</v>
      </c>
      <c r="P377" s="7">
        <v>9.211990302950795</v>
      </c>
      <c r="Q377" s="7">
        <v>0.0077683347406997</v>
      </c>
      <c r="R377" s="7">
        <v>0.0393438360953265</v>
      </c>
      <c r="S377" s="7">
        <v>0.0591791570472781</v>
      </c>
      <c r="T377" s="7">
        <v>0.0560806198636113</v>
      </c>
    </row>
    <row x14ac:dyDescent="0.25" r="378" customHeight="1" ht="19.5">
      <c r="A378" s="2" t="s">
        <v>2690</v>
      </c>
      <c r="B378" s="2" t="s">
        <v>2314</v>
      </c>
      <c r="C378" s="2" t="s">
        <v>31</v>
      </c>
      <c r="D378" s="2" t="s">
        <v>431</v>
      </c>
      <c r="E378" s="6">
        <v>1</v>
      </c>
      <c r="F378" s="6">
        <v>1</v>
      </c>
      <c r="G378" s="7">
        <v>0.6371862292289734</v>
      </c>
      <c r="H378" s="7">
        <v>6.19581015625</v>
      </c>
      <c r="I378" s="7">
        <v>13.2133300777775</v>
      </c>
      <c r="J378" s="7">
        <v>5.97724607544164</v>
      </c>
      <c r="K378" s="7">
        <v>1.196570676482329</v>
      </c>
      <c r="L378" s="7">
        <v>0.9805731163247888</v>
      </c>
      <c r="M378" s="7">
        <v>0.4459471554626713</v>
      </c>
      <c r="N378" s="7">
        <v>0.2911444223858098</v>
      </c>
      <c r="O378" s="7">
        <v>0.0927576791452361</v>
      </c>
      <c r="P378" s="7">
        <v>9.176229423034163</v>
      </c>
      <c r="Q378" s="7">
        <v>0.0074602063015148</v>
      </c>
      <c r="R378" s="7">
        <v>0.0373534107556896</v>
      </c>
      <c r="S378" s="7">
        <v>0.0554610069474589</v>
      </c>
      <c r="T378" s="7">
        <v>0.0536462933050243</v>
      </c>
    </row>
    <row x14ac:dyDescent="0.25" r="379" customHeight="1" ht="19.5">
      <c r="A379" s="2" t="s">
        <v>2691</v>
      </c>
      <c r="B379" s="2" t="s">
        <v>2314</v>
      </c>
      <c r="C379" s="2" t="s">
        <v>31</v>
      </c>
      <c r="D379" s="2" t="s">
        <v>431</v>
      </c>
      <c r="E379" s="6">
        <v>1</v>
      </c>
      <c r="F379" s="6">
        <v>1</v>
      </c>
      <c r="G379" s="7">
        <v>0.6589245796203613</v>
      </c>
      <c r="H379" s="7">
        <v>6.3239515625</v>
      </c>
      <c r="I379" s="7">
        <v>13.13010410526891</v>
      </c>
      <c r="J379" s="7">
        <v>5.863976296829971</v>
      </c>
      <c r="K379" s="7">
        <v>1.260502461380707</v>
      </c>
      <c r="L379" s="7">
        <v>0.9775341063890044</v>
      </c>
      <c r="M379" s="7">
        <v>0.4609587463904719</v>
      </c>
      <c r="N379" s="7">
        <v>0.2951748729180081</v>
      </c>
      <c r="O379" s="7">
        <v>0.0996088590229793</v>
      </c>
      <c r="P379" s="7">
        <v>9.191325135256356</v>
      </c>
      <c r="Q379" s="7">
        <v>0.0073793897674307</v>
      </c>
      <c r="R379" s="7">
        <v>0.036913057156297</v>
      </c>
      <c r="S379" s="7">
        <v>0.0599229018538299</v>
      </c>
      <c r="T379" s="7">
        <v>0.0541626325154705</v>
      </c>
    </row>
    <row x14ac:dyDescent="0.25" r="380" customHeight="1" ht="19.5">
      <c r="A380" s="2" t="s">
        <v>2692</v>
      </c>
      <c r="B380" s="2" t="s">
        <v>2314</v>
      </c>
      <c r="C380" s="2" t="s">
        <v>31</v>
      </c>
      <c r="D380" s="2" t="s">
        <v>431</v>
      </c>
      <c r="E380" s="6">
        <v>1</v>
      </c>
      <c r="F380" s="6">
        <v>1</v>
      </c>
      <c r="G380" s="7">
        <v>0.6317755579948425</v>
      </c>
      <c r="H380" s="7">
        <v>6.2823921875</v>
      </c>
      <c r="I380" s="7">
        <v>13.39997602995032</v>
      </c>
      <c r="J380" s="7">
        <v>6.042257887909447</v>
      </c>
      <c r="K380" s="7">
        <v>1.200812059537809</v>
      </c>
      <c r="L380" s="7">
        <v>0.9811933347267676</v>
      </c>
      <c r="M380" s="7">
        <v>0.4396700323874052</v>
      </c>
      <c r="N380" s="7">
        <v>0.2947205621438367</v>
      </c>
      <c r="O380" s="7">
        <v>0.0907660525526354</v>
      </c>
      <c r="P380" s="7">
        <v>9.192765956188405</v>
      </c>
      <c r="Q380" s="7">
        <v>0.0078071666424516</v>
      </c>
      <c r="R380" s="7">
        <v>0.0387299854329464</v>
      </c>
      <c r="S380" s="7">
        <v>0.0575578652606965</v>
      </c>
      <c r="T380" s="7">
        <v>0.0569258171971825</v>
      </c>
    </row>
    <row x14ac:dyDescent="0.25" r="381" customHeight="1" ht="19.5">
      <c r="A381" s="2" t="s">
        <v>2693</v>
      </c>
      <c r="B381" s="2" t="s">
        <v>2314</v>
      </c>
      <c r="C381" s="2" t="s">
        <v>31</v>
      </c>
      <c r="D381" s="2" t="s">
        <v>431</v>
      </c>
      <c r="E381" s="6">
        <v>1</v>
      </c>
      <c r="F381" s="6">
        <v>1</v>
      </c>
      <c r="G381" s="7">
        <v>0.6522325277328491</v>
      </c>
      <c r="H381" s="7">
        <v>6.3239515625</v>
      </c>
      <c r="I381" s="7">
        <v>13.13010410526891</v>
      </c>
      <c r="J381" s="7">
        <v>5.861489219909206</v>
      </c>
      <c r="K381" s="7">
        <v>1.256936181230399</v>
      </c>
      <c r="L381" s="7">
        <v>0.9777105428381097</v>
      </c>
      <c r="M381" s="7">
        <v>0.4609587463904719</v>
      </c>
      <c r="N381" s="7">
        <v>0.2917656282896966</v>
      </c>
      <c r="O381" s="7">
        <v>0.0985595686943944</v>
      </c>
      <c r="P381" s="7">
        <v>9.231419031817763</v>
      </c>
      <c r="Q381" s="7">
        <v>0.0070753961371495</v>
      </c>
      <c r="R381" s="7">
        <v>0.0376774993390664</v>
      </c>
      <c r="S381" s="7">
        <v>0.0562993391150554</v>
      </c>
      <c r="T381" s="7">
        <v>0.0519314052998227</v>
      </c>
    </row>
    <row x14ac:dyDescent="0.25" r="382" customHeight="1" ht="19.5">
      <c r="A382" s="2" t="s">
        <v>2694</v>
      </c>
      <c r="B382" s="2" t="s">
        <v>2314</v>
      </c>
      <c r="C382" s="2" t="s">
        <v>31</v>
      </c>
      <c r="D382" s="2" t="s">
        <v>431</v>
      </c>
      <c r="E382" s="6">
        <v>1</v>
      </c>
      <c r="F382" s="6">
        <v>1</v>
      </c>
      <c r="G382" s="7">
        <v>0.6400209069252014</v>
      </c>
      <c r="H382" s="7">
        <v>6.220053125000001</v>
      </c>
      <c r="I382" s="7">
        <v>13.24780340433224</v>
      </c>
      <c r="J382" s="7">
        <v>5.979657414480581</v>
      </c>
      <c r="K382" s="7">
        <v>1.196293246645707</v>
      </c>
      <c r="L382" s="7">
        <v>0.9806659126555176</v>
      </c>
      <c r="M382" s="7">
        <v>0.4453651279133135</v>
      </c>
      <c r="N382" s="7">
        <v>0.2911297464320885</v>
      </c>
      <c r="O382" s="7">
        <v>0.0899948032862703</v>
      </c>
      <c r="P382" s="7">
        <v>9.198119943026215</v>
      </c>
      <c r="Q382" s="7">
        <v>0.0075321261798903</v>
      </c>
      <c r="R382" s="7">
        <v>0.0369298753733918</v>
      </c>
      <c r="S382" s="7">
        <v>0.0606624921546951</v>
      </c>
      <c r="T382" s="7">
        <v>0.0543753995108007</v>
      </c>
    </row>
    <row x14ac:dyDescent="0.25" r="383" customHeight="1" ht="19.5">
      <c r="A383" s="2" t="s">
        <v>2695</v>
      </c>
      <c r="B383" s="2" t="s">
        <v>2314</v>
      </c>
      <c r="C383" s="2" t="s">
        <v>31</v>
      </c>
      <c r="D383" s="2" t="s">
        <v>431</v>
      </c>
      <c r="E383" s="6">
        <v>1</v>
      </c>
      <c r="F383" s="6">
        <v>1</v>
      </c>
      <c r="G383" s="7">
        <v>0.6505802273750305</v>
      </c>
      <c r="H383" s="7">
        <v>6.16117734375</v>
      </c>
      <c r="I383" s="7">
        <v>13.09563077871417</v>
      </c>
      <c r="J383" s="7">
        <v>5.917209101795467</v>
      </c>
      <c r="K383" s="7">
        <v>1.195688838398266</v>
      </c>
      <c r="L383" s="7">
        <v>0.980018679127448</v>
      </c>
      <c r="M383" s="7">
        <v>0.4514615099771439</v>
      </c>
      <c r="N383" s="7">
        <v>0.2877145501433941</v>
      </c>
      <c r="O383" s="7">
        <v>0.0897595811867259</v>
      </c>
      <c r="P383" s="7">
        <v>9.21371193407612</v>
      </c>
      <c r="Q383" s="7">
        <v>0.0072193313083053</v>
      </c>
      <c r="R383" s="7">
        <v>0.0362282004501166</v>
      </c>
      <c r="S383" s="7">
        <v>0.055521667911976</v>
      </c>
      <c r="T383" s="7">
        <v>0.0516239774791295</v>
      </c>
    </row>
    <row x14ac:dyDescent="0.25" r="384" customHeight="1" ht="19.5">
      <c r="A384" s="2" t="s">
        <v>2696</v>
      </c>
      <c r="B384" s="2" t="s">
        <v>2314</v>
      </c>
      <c r="C384" s="2" t="s">
        <v>31</v>
      </c>
      <c r="D384" s="2" t="s">
        <v>431</v>
      </c>
      <c r="E384" s="6">
        <v>1</v>
      </c>
      <c r="F384" s="6">
        <v>1</v>
      </c>
      <c r="G384" s="7">
        <v>0.6523512601852417</v>
      </c>
      <c r="H384" s="7">
        <v>6.438239843750001</v>
      </c>
      <c r="I384" s="7">
        <v>13.44872867590417</v>
      </c>
      <c r="J384" s="7">
        <v>6.044057414238505</v>
      </c>
      <c r="K384" s="7">
        <v>1.262722019299936</v>
      </c>
      <c r="L384" s="7">
        <v>0.9792082245195036</v>
      </c>
      <c r="M384" s="7">
        <v>0.4473161225024161</v>
      </c>
      <c r="N384" s="7">
        <v>0.3091324989436909</v>
      </c>
      <c r="O384" s="7">
        <v>0.1081218954314628</v>
      </c>
      <c r="P384" s="7">
        <v>9.12343377982725</v>
      </c>
      <c r="Q384" s="7">
        <v>0.0071170556622398</v>
      </c>
      <c r="R384" s="7">
        <v>0.0364884418648858</v>
      </c>
      <c r="S384" s="7">
        <v>0.0587900467407581</v>
      </c>
      <c r="T384" s="7">
        <v>0.053181219745203</v>
      </c>
    </row>
    <row x14ac:dyDescent="0.25" r="385" customHeight="1" ht="19.5">
      <c r="A385" s="2" t="s">
        <v>2697</v>
      </c>
      <c r="B385" s="2" t="s">
        <v>2314</v>
      </c>
      <c r="C385" s="2" t="s">
        <v>31</v>
      </c>
      <c r="D385" s="2" t="s">
        <v>431</v>
      </c>
      <c r="E385" s="6">
        <v>1</v>
      </c>
      <c r="F385" s="6">
        <v>1</v>
      </c>
      <c r="G385" s="7">
        <v>0.6581752896308899</v>
      </c>
      <c r="H385" s="7">
        <v>6.17503046875</v>
      </c>
      <c r="I385" s="7">
        <v>13.26208272373134</v>
      </c>
      <c r="J385" s="7">
        <v>5.977415852141739</v>
      </c>
      <c r="K385" s="7">
        <v>1.195462730625077</v>
      </c>
      <c r="L385" s="7">
        <v>0.9807941728668156</v>
      </c>
      <c r="M385" s="7">
        <v>0.4411898411019951</v>
      </c>
      <c r="N385" s="7">
        <v>0.2950068959698534</v>
      </c>
      <c r="O385" s="7">
        <v>0.092952264479059</v>
      </c>
      <c r="P385" s="7">
        <v>9.199126440044084</v>
      </c>
      <c r="Q385" s="7">
        <v>0.0079159022631084</v>
      </c>
      <c r="R385" s="7">
        <v>0.0370709204615321</v>
      </c>
      <c r="S385" s="7">
        <v>0.0648607356189158</v>
      </c>
      <c r="T385" s="7">
        <v>0.056732289221876</v>
      </c>
    </row>
    <row x14ac:dyDescent="0.25" r="386" customHeight="1" ht="19.5">
      <c r="A386" s="2" t="s">
        <v>2698</v>
      </c>
      <c r="B386" s="2" t="s">
        <v>2314</v>
      </c>
      <c r="C386" s="2" t="s">
        <v>31</v>
      </c>
      <c r="D386" s="2" t="s">
        <v>431</v>
      </c>
      <c r="E386" s="6">
        <v>1</v>
      </c>
      <c r="F386" s="6">
        <v>1</v>
      </c>
      <c r="G386" s="7">
        <v>0.6508906483650208</v>
      </c>
      <c r="H386" s="7">
        <v>6.2131265625</v>
      </c>
      <c r="I386" s="7">
        <v>13.28227673088699</v>
      </c>
      <c r="J386" s="7">
        <v>5.980227068807237</v>
      </c>
      <c r="K386" s="7">
        <v>1.19929592256439</v>
      </c>
      <c r="L386" s="7">
        <v>0.9807275622983986</v>
      </c>
      <c r="M386" s="7">
        <v>0.4425629116460223</v>
      </c>
      <c r="N386" s="7">
        <v>0.289876224428925</v>
      </c>
      <c r="O386" s="7">
        <v>0.0915593842461345</v>
      </c>
      <c r="P386" s="7">
        <v>9.202881872541642</v>
      </c>
      <c r="Q386" s="7">
        <v>0.0077066031475738</v>
      </c>
      <c r="R386" s="7">
        <v>0.0367117519681093</v>
      </c>
      <c r="S386" s="7">
        <v>0.0601399356428307</v>
      </c>
      <c r="T386" s="7">
        <v>0.0555730171447134</v>
      </c>
    </row>
    <row x14ac:dyDescent="0.25" r="387" customHeight="1" ht="19.5">
      <c r="A387" s="2" t="s">
        <v>2699</v>
      </c>
      <c r="B387" s="2" t="s">
        <v>2314</v>
      </c>
      <c r="C387" s="2" t="s">
        <v>31</v>
      </c>
      <c r="D387" s="2" t="s">
        <v>431</v>
      </c>
      <c r="E387" s="6">
        <v>1</v>
      </c>
      <c r="F387" s="6">
        <v>1</v>
      </c>
      <c r="G387" s="7">
        <v>0.5885404348373413</v>
      </c>
      <c r="H387" s="7">
        <v>5.873725</v>
      </c>
      <c r="I387" s="7">
        <v>13.10154546647073</v>
      </c>
      <c r="J387" s="7">
        <v>5.861830813671931</v>
      </c>
      <c r="K387" s="7">
        <v>1.138470207826425</v>
      </c>
      <c r="L387" s="7">
        <v>0.9821480201624624</v>
      </c>
      <c r="M387" s="7">
        <v>0.4300098629749986</v>
      </c>
      <c r="N387" s="7">
        <v>0.317232664933143</v>
      </c>
      <c r="O387" s="7">
        <v>0.0862152100996152</v>
      </c>
      <c r="P387" s="7">
        <v>8.908968497929742</v>
      </c>
      <c r="Q387" s="7">
        <v>0.0044437050889564</v>
      </c>
      <c r="R387" s="7">
        <v>0.022357252025368</v>
      </c>
      <c r="S387" s="7">
        <v>0.0367603058872944</v>
      </c>
      <c r="T387" s="7">
        <v>0.0302935115399555</v>
      </c>
    </row>
    <row x14ac:dyDescent="0.25" r="388" customHeight="1" ht="19.5">
      <c r="A388" s="2" t="s">
        <v>2700</v>
      </c>
      <c r="B388" s="2" t="s">
        <v>2314</v>
      </c>
      <c r="C388" s="2" t="s">
        <v>31</v>
      </c>
      <c r="D388" s="2" t="s">
        <v>431</v>
      </c>
      <c r="E388" s="6">
        <v>1</v>
      </c>
      <c r="F388" s="6">
        <v>1</v>
      </c>
      <c r="G388" s="7">
        <v>0.5292999744415283</v>
      </c>
      <c r="H388" s="7">
        <v>4.96288203125</v>
      </c>
      <c r="I388" s="7">
        <v>11.35033529991982</v>
      </c>
      <c r="J388" s="7">
        <v>5.014834239866349</v>
      </c>
      <c r="K388" s="7">
        <v>1.093145339667889</v>
      </c>
      <c r="L388" s="7">
        <v>0.9755129623155936</v>
      </c>
      <c r="M388" s="7">
        <v>0.4840903592516496</v>
      </c>
      <c r="N388" s="7">
        <v>0.3408250934201333</v>
      </c>
      <c r="O388" s="7">
        <v>0.0892215020094629</v>
      </c>
      <c r="P388" s="7">
        <v>8.588362269634016</v>
      </c>
      <c r="Q388" s="7">
        <v>0.0009977416843318</v>
      </c>
      <c r="R388" s="7">
        <v>0.0067774281203868</v>
      </c>
      <c r="S388" s="7">
        <v>0.0190718684112488</v>
      </c>
      <c r="T388" s="7">
        <v>0.0057470218586191</v>
      </c>
    </row>
    <row x14ac:dyDescent="0.25" r="389" customHeight="1" ht="19.5">
      <c r="A389" s="2" t="s">
        <v>2701</v>
      </c>
      <c r="B389" s="2" t="s">
        <v>2314</v>
      </c>
      <c r="C389" s="2" t="s">
        <v>31</v>
      </c>
      <c r="D389" s="2" t="s">
        <v>431</v>
      </c>
      <c r="E389" s="6">
        <v>1</v>
      </c>
      <c r="F389" s="6">
        <v>1</v>
      </c>
      <c r="G389" s="7">
        <v>0.5524031519889832</v>
      </c>
      <c r="H389" s="7">
        <v>5.6174421875</v>
      </c>
      <c r="I389" s="7">
        <v>12.64502758961649</v>
      </c>
      <c r="J389" s="7">
        <v>5.623096502268966</v>
      </c>
      <c r="K389" s="7">
        <v>1.133211031370516</v>
      </c>
      <c r="L389" s="7">
        <v>0.9802949167841064</v>
      </c>
      <c r="M389" s="7">
        <v>0.4414778440874691</v>
      </c>
      <c r="N389" s="7">
        <v>0.302062941602791</v>
      </c>
      <c r="O389" s="7">
        <v>0.0858396903075411</v>
      </c>
      <c r="P389" s="7">
        <v>9.107471236517489</v>
      </c>
      <c r="Q389" s="7">
        <v>0.0031812831512067</v>
      </c>
      <c r="R389" s="7">
        <v>0.0196215026036051</v>
      </c>
      <c r="S389" s="7">
        <v>0.0323957668650816</v>
      </c>
      <c r="T389" s="7">
        <v>0.0207410967317855</v>
      </c>
    </row>
    <row x14ac:dyDescent="0.25" r="390" customHeight="1" ht="19.5">
      <c r="A390" s="2" t="s">
        <v>2702</v>
      </c>
      <c r="B390" s="2" t="s">
        <v>2314</v>
      </c>
      <c r="C390" s="2" t="s">
        <v>31</v>
      </c>
      <c r="D390" s="2" t="s">
        <v>431</v>
      </c>
      <c r="E390" s="6">
        <v>1</v>
      </c>
      <c r="F390" s="6">
        <v>1</v>
      </c>
      <c r="G390" s="7">
        <v>0.6364374160766602</v>
      </c>
      <c r="H390" s="7">
        <v>6.008792968750001</v>
      </c>
      <c r="I390" s="7">
        <v>13.26208272373134</v>
      </c>
      <c r="J390" s="7">
        <v>5.915691698305666</v>
      </c>
      <c r="K390" s="7">
        <v>1.179286368802499</v>
      </c>
      <c r="L390" s="7">
        <v>0.9804283784053194</v>
      </c>
      <c r="M390" s="7">
        <v>0.4293126047739549</v>
      </c>
      <c r="N390" s="7">
        <v>0.2729415217318285</v>
      </c>
      <c r="O390" s="7">
        <v>0.0969770144349201</v>
      </c>
      <c r="P390" s="7">
        <v>9.38010524937506</v>
      </c>
      <c r="Q390" s="7">
        <v>0.0098281634039537</v>
      </c>
      <c r="R390" s="7">
        <v>0.0470084573812734</v>
      </c>
      <c r="S390" s="7">
        <v>0.0597499038684111</v>
      </c>
      <c r="T390" s="7">
        <v>0.0685409925696306</v>
      </c>
    </row>
    <row x14ac:dyDescent="0.25" r="391" customHeight="1" ht="19.5">
      <c r="A391" s="2" t="s">
        <v>2703</v>
      </c>
      <c r="B391" s="2" t="s">
        <v>2314</v>
      </c>
      <c r="C391" s="2" t="s">
        <v>31</v>
      </c>
      <c r="D391" s="2" t="s">
        <v>431</v>
      </c>
      <c r="E391" s="6">
        <v>1</v>
      </c>
      <c r="F391" s="6">
        <v>1</v>
      </c>
      <c r="G391" s="7">
        <v>0.6583855152130127</v>
      </c>
      <c r="H391" s="7">
        <v>6.03649921875</v>
      </c>
      <c r="I391" s="7">
        <v>13.13010410526892</v>
      </c>
      <c r="J391" s="7">
        <v>5.92143310569876</v>
      </c>
      <c r="K391" s="7">
        <v>1.198891914773742</v>
      </c>
      <c r="L391" s="7">
        <v>0.9802539503945622</v>
      </c>
      <c r="M391" s="7">
        <v>0.4400060760999957</v>
      </c>
      <c r="N391" s="7">
        <v>0.2647350006336478</v>
      </c>
      <c r="O391" s="7">
        <v>0.1046988899747912</v>
      </c>
      <c r="P391" s="7">
        <v>9.413121257008848</v>
      </c>
      <c r="Q391" s="7">
        <v>0.0139650194639487</v>
      </c>
      <c r="R391" s="7">
        <v>0.0609445646916644</v>
      </c>
      <c r="S391" s="7">
        <v>0.0774936028580925</v>
      </c>
      <c r="T391" s="7">
        <v>0.0978402320753791</v>
      </c>
    </row>
    <row x14ac:dyDescent="0.25" r="392" customHeight="1" ht="19.5">
      <c r="A392" s="2" t="s">
        <v>2704</v>
      </c>
      <c r="B392" s="2" t="s">
        <v>2314</v>
      </c>
      <c r="C392" s="2" t="s">
        <v>31</v>
      </c>
      <c r="D392" s="2" t="s">
        <v>431</v>
      </c>
      <c r="E392" s="6">
        <v>1</v>
      </c>
      <c r="F392" s="6">
        <v>1</v>
      </c>
      <c r="G392" s="7">
        <v>0.6598873138427734</v>
      </c>
      <c r="H392" s="7">
        <v>5.970696875000001</v>
      </c>
      <c r="I392" s="7">
        <v>13.01240480620558</v>
      </c>
      <c r="J392" s="7">
        <v>5.863215290201998</v>
      </c>
      <c r="K392" s="7">
        <v>1.198831164293253</v>
      </c>
      <c r="L392" s="7">
        <v>0.9798652211070066</v>
      </c>
      <c r="M392" s="7">
        <v>0.4431183718035553</v>
      </c>
      <c r="N392" s="7">
        <v>0.2616933885034688</v>
      </c>
      <c r="O392" s="7">
        <v>0.1052167057888269</v>
      </c>
      <c r="P392" s="7">
        <v>9.457700045692874</v>
      </c>
      <c r="Q392" s="7">
        <v>0.0144370862078395</v>
      </c>
      <c r="R392" s="7">
        <v>0.0615125227926808</v>
      </c>
      <c r="S392" s="7">
        <v>0.0794355768332691</v>
      </c>
      <c r="T392" s="7">
        <v>0.1000449918042928</v>
      </c>
    </row>
    <row x14ac:dyDescent="0.25" r="393" customHeight="1" ht="19.5">
      <c r="A393" s="2" t="s">
        <v>2705</v>
      </c>
      <c r="B393" s="2" t="s">
        <v>2314</v>
      </c>
      <c r="C393" s="2" t="s">
        <v>31</v>
      </c>
      <c r="D393" s="2" t="s">
        <v>431</v>
      </c>
      <c r="E393" s="6">
        <v>1</v>
      </c>
      <c r="F393" s="6">
        <v>1</v>
      </c>
      <c r="G393" s="7">
        <v>0.6597175598144531</v>
      </c>
      <c r="H393" s="7">
        <v>5.87718828125</v>
      </c>
      <c r="I393" s="7">
        <v>12.90898482654134</v>
      </c>
      <c r="J393" s="7">
        <v>5.798270100672272</v>
      </c>
      <c r="K393" s="7">
        <v>1.194570322716926</v>
      </c>
      <c r="L393" s="7">
        <v>0.9793666095769796</v>
      </c>
      <c r="M393" s="7">
        <v>0.4431954440994513</v>
      </c>
      <c r="N393" s="7">
        <v>0.2604996741410686</v>
      </c>
      <c r="O393" s="7">
        <v>0.1055489168341736</v>
      </c>
      <c r="P393" s="7">
        <v>9.464164682592594</v>
      </c>
      <c r="Q393" s="7">
        <v>0.0144214132776055</v>
      </c>
      <c r="R393" s="7">
        <v>0.0628157517105984</v>
      </c>
      <c r="S393" s="7">
        <v>0.0821185202157868</v>
      </c>
      <c r="T393" s="7">
        <v>0.0983712537928382</v>
      </c>
    </row>
    <row x14ac:dyDescent="0.25" r="394" customHeight="1" ht="19.5">
      <c r="A394" s="2" t="s">
        <v>2706</v>
      </c>
      <c r="B394" s="2" t="s">
        <v>2314</v>
      </c>
      <c r="C394" s="2" t="s">
        <v>31</v>
      </c>
      <c r="D394" s="2" t="s">
        <v>431</v>
      </c>
      <c r="E394" s="6">
        <v>1</v>
      </c>
      <c r="F394" s="6">
        <v>1</v>
      </c>
      <c r="G394" s="7">
        <v>0.6619120240211487</v>
      </c>
      <c r="H394" s="7">
        <v>5.90489453125</v>
      </c>
      <c r="I394" s="7">
        <v>12.94345815309608</v>
      </c>
      <c r="J394" s="7">
        <v>5.853037226523376</v>
      </c>
      <c r="K394" s="7">
        <v>1.178288422386043</v>
      </c>
      <c r="L394" s="7">
        <v>0.9802131612956454</v>
      </c>
      <c r="M394" s="7">
        <v>0.4429159918215705</v>
      </c>
      <c r="N394" s="7">
        <v>0.2611835625355949</v>
      </c>
      <c r="O394" s="7">
        <v>0.1036480443861142</v>
      </c>
      <c r="P394" s="7">
        <v>9.469883214544767</v>
      </c>
      <c r="Q394" s="7">
        <v>0.0142825197396606</v>
      </c>
      <c r="R394" s="7">
        <v>0.0613374455899434</v>
      </c>
      <c r="S394" s="7">
        <v>0.0804543845526392</v>
      </c>
      <c r="T394" s="7">
        <v>0.0978831096508038</v>
      </c>
    </row>
    <row x14ac:dyDescent="0.25" r="395" customHeight="1" ht="19.5">
      <c r="A395" s="2" t="s">
        <v>2707</v>
      </c>
      <c r="B395" s="2" t="s">
        <v>2314</v>
      </c>
      <c r="C395" s="2" t="s">
        <v>31</v>
      </c>
      <c r="D395" s="2" t="s">
        <v>431</v>
      </c>
      <c r="E395" s="6">
        <v>1</v>
      </c>
      <c r="F395" s="6">
        <v>1</v>
      </c>
      <c r="G395" s="7">
        <v>0.6584317088127136</v>
      </c>
      <c r="H395" s="7">
        <v>5.89104140625</v>
      </c>
      <c r="I395" s="7">
        <v>12.97793147965083</v>
      </c>
      <c r="J395" s="7">
        <v>5.796793533129078</v>
      </c>
      <c r="K395" s="7">
        <v>1.186058938598608</v>
      </c>
      <c r="L395" s="7">
        <v>0.9797102092403864</v>
      </c>
      <c r="M395" s="7">
        <v>0.439532492189271</v>
      </c>
      <c r="N395" s="7">
        <v>0.2567395560000103</v>
      </c>
      <c r="O395" s="7">
        <v>0.1012544136525288</v>
      </c>
      <c r="P395" s="7">
        <v>9.454901598423438</v>
      </c>
      <c r="Q395" s="7">
        <v>0.0148508258914517</v>
      </c>
      <c r="R395" s="7">
        <v>0.0644789646159501</v>
      </c>
      <c r="S395" s="7">
        <v>0.079168123887093</v>
      </c>
      <c r="T395" s="7">
        <v>0.1015391355781234</v>
      </c>
    </row>
    <row x14ac:dyDescent="0.25" r="396" customHeight="1" ht="19.5">
      <c r="A396" s="2" t="s">
        <v>2708</v>
      </c>
      <c r="B396" s="2" t="s">
        <v>2314</v>
      </c>
      <c r="C396" s="2" t="s">
        <v>31</v>
      </c>
      <c r="D396" s="2" t="s">
        <v>431</v>
      </c>
      <c r="E396" s="6">
        <v>1</v>
      </c>
      <c r="F396" s="6">
        <v>1</v>
      </c>
      <c r="G396" s="7">
        <v>0.6595730185508728</v>
      </c>
      <c r="H396" s="7">
        <v>5.970696875000001</v>
      </c>
      <c r="I396" s="7">
        <v>12.97793147965083</v>
      </c>
      <c r="J396" s="7">
        <v>5.85945965587646</v>
      </c>
      <c r="K396" s="7">
        <v>1.192635012149521</v>
      </c>
      <c r="L396" s="7">
        <v>0.9796984976172386</v>
      </c>
      <c r="M396" s="7">
        <v>0.4454756123070565</v>
      </c>
      <c r="N396" s="7">
        <v>0.2618099412946854</v>
      </c>
      <c r="O396" s="7">
        <v>0.1021285604953521</v>
      </c>
      <c r="P396" s="7">
        <v>9.46758216701105</v>
      </c>
      <c r="Q396" s="7">
        <v>0.014289893915292</v>
      </c>
      <c r="R396" s="7">
        <v>0.0620188710599806</v>
      </c>
      <c r="S396" s="7">
        <v>0.0781517271460692</v>
      </c>
      <c r="T396" s="7">
        <v>0.0990249901578683</v>
      </c>
    </row>
    <row x14ac:dyDescent="0.25" r="397" customHeight="1" ht="19.5">
      <c r="A397" s="2" t="s">
        <v>2709</v>
      </c>
      <c r="B397" s="2" t="s">
        <v>2314</v>
      </c>
      <c r="C397" s="2" t="s">
        <v>31</v>
      </c>
      <c r="D397" s="2" t="s">
        <v>431</v>
      </c>
      <c r="E397" s="6">
        <v>1</v>
      </c>
      <c r="F397" s="6">
        <v>1</v>
      </c>
      <c r="G397" s="7">
        <v>0.6591662764549255</v>
      </c>
      <c r="H397" s="7">
        <v>6.008792968750001</v>
      </c>
      <c r="I397" s="7">
        <v>13.24780340433224</v>
      </c>
      <c r="J397" s="7">
        <v>5.864091039949136</v>
      </c>
      <c r="K397" s="7">
        <v>1.197631949406549</v>
      </c>
      <c r="L397" s="7">
        <v>0.9800929798683023</v>
      </c>
      <c r="M397" s="7">
        <v>0.430238584036525</v>
      </c>
      <c r="N397" s="7">
        <v>0.2612834017263716</v>
      </c>
      <c r="O397" s="7">
        <v>0.0984110710813359</v>
      </c>
      <c r="P397" s="7">
        <v>9.4841236584049</v>
      </c>
      <c r="Q397" s="7">
        <v>0.0142629575559077</v>
      </c>
      <c r="R397" s="7">
        <v>0.0614552402506319</v>
      </c>
      <c r="S397" s="7">
        <v>0.077763279993141</v>
      </c>
      <c r="T397" s="7">
        <v>0.0994689676676675</v>
      </c>
    </row>
    <row x14ac:dyDescent="0.25" r="398" customHeight="1" ht="19.5">
      <c r="A398" s="2" t="s">
        <v>2710</v>
      </c>
      <c r="B398" s="2" t="s">
        <v>2314</v>
      </c>
      <c r="C398" s="2" t="s">
        <v>31</v>
      </c>
      <c r="D398" s="2" t="s">
        <v>431</v>
      </c>
      <c r="E398" s="6">
        <v>1</v>
      </c>
      <c r="F398" s="6">
        <v>1</v>
      </c>
      <c r="G398" s="7">
        <v>0.6584768891334534</v>
      </c>
      <c r="H398" s="7">
        <v>5.90489453125</v>
      </c>
      <c r="I398" s="7">
        <v>13.2133300777775</v>
      </c>
      <c r="J398" s="7">
        <v>5.860624179104658</v>
      </c>
      <c r="K398" s="7">
        <v>1.18892413022286</v>
      </c>
      <c r="L398" s="7">
        <v>0.9806449735272924</v>
      </c>
      <c r="M398" s="7">
        <v>0.4250083287109304</v>
      </c>
      <c r="N398" s="7">
        <v>0.2655131949385473</v>
      </c>
      <c r="O398" s="7">
        <v>0.1040859892775013</v>
      </c>
      <c r="P398" s="7">
        <v>9.44102552382774</v>
      </c>
      <c r="Q398" s="7">
        <v>0.0142282433066153</v>
      </c>
      <c r="R398" s="7">
        <v>0.0612688717577715</v>
      </c>
      <c r="S398" s="7">
        <v>0.0805264779133901</v>
      </c>
      <c r="T398" s="7">
        <v>0.0975111342470186</v>
      </c>
    </row>
    <row x14ac:dyDescent="0.25" r="399" customHeight="1" ht="19.5">
      <c r="A399" s="2" t="s">
        <v>2711</v>
      </c>
      <c r="B399" s="2" t="s">
        <v>2314</v>
      </c>
      <c r="C399" s="2" t="s">
        <v>31</v>
      </c>
      <c r="D399" s="2" t="s">
        <v>431</v>
      </c>
      <c r="E399" s="6">
        <v>1</v>
      </c>
      <c r="F399" s="6">
        <v>1</v>
      </c>
      <c r="G399" s="7">
        <v>0.662186861038208</v>
      </c>
      <c r="H399" s="7">
        <v>5.936064062500001</v>
      </c>
      <c r="I399" s="7">
        <v>13.10991009811326</v>
      </c>
      <c r="J399" s="7">
        <v>5.856221637194519</v>
      </c>
      <c r="K399" s="7">
        <v>1.187198411661218</v>
      </c>
      <c r="L399" s="7">
        <v>0.9801529827151306</v>
      </c>
      <c r="M399" s="7">
        <v>0.4340192740916134</v>
      </c>
      <c r="N399" s="7">
        <v>0.2626576106120882</v>
      </c>
      <c r="O399" s="7">
        <v>0.102173707272776</v>
      </c>
      <c r="P399" s="7">
        <v>9.481619152464608</v>
      </c>
      <c r="Q399" s="7">
        <v>0.0144182119027904</v>
      </c>
      <c r="R399" s="7">
        <v>0.0629200998692496</v>
      </c>
      <c r="S399" s="7">
        <v>0.0767417674959387</v>
      </c>
      <c r="T399" s="7">
        <v>0.0993346494071193</v>
      </c>
    </row>
    <row x14ac:dyDescent="0.25" r="400" customHeight="1" ht="19.5">
      <c r="A400" s="2" t="s">
        <v>2712</v>
      </c>
      <c r="B400" s="2" t="s">
        <v>2314</v>
      </c>
      <c r="C400" s="2" t="s">
        <v>31</v>
      </c>
      <c r="D400" s="2" t="s">
        <v>431</v>
      </c>
      <c r="E400" s="6">
        <v>1</v>
      </c>
      <c r="F400" s="6">
        <v>1</v>
      </c>
      <c r="G400" s="7">
        <v>0.6589221954345703</v>
      </c>
      <c r="H400" s="7">
        <v>5.9914765625</v>
      </c>
      <c r="I400" s="7">
        <v>13.33102937684083</v>
      </c>
      <c r="J400" s="7">
        <v>5.923330669337298</v>
      </c>
      <c r="K400" s="7">
        <v>1.188455548261365</v>
      </c>
      <c r="L400" s="7">
        <v>0.9809171126664544</v>
      </c>
      <c r="M400" s="7">
        <v>0.423658923049417</v>
      </c>
      <c r="N400" s="7">
        <v>0.2598202155512016</v>
      </c>
      <c r="O400" s="7">
        <v>0.1022886117755356</v>
      </c>
      <c r="P400" s="7">
        <v>9.47275453452662</v>
      </c>
      <c r="Q400" s="7">
        <v>0.0141773273681352</v>
      </c>
      <c r="R400" s="7">
        <v>0.0607127839836985</v>
      </c>
      <c r="S400" s="7">
        <v>0.0759908193794808</v>
      </c>
      <c r="T400" s="7">
        <v>0.098586855024401</v>
      </c>
    </row>
    <row x14ac:dyDescent="0.25" r="401" customHeight="1" ht="19.5">
      <c r="A401" s="2" t="s">
        <v>2713</v>
      </c>
      <c r="B401" s="2" t="s">
        <v>2314</v>
      </c>
      <c r="C401" s="2" t="s">
        <v>31</v>
      </c>
      <c r="D401" s="2" t="s">
        <v>431</v>
      </c>
      <c r="E401" s="6">
        <v>1</v>
      </c>
      <c r="F401" s="6">
        <v>1</v>
      </c>
      <c r="G401" s="7">
        <v>0.6558532118797302</v>
      </c>
      <c r="H401" s="7">
        <v>5.842555468750001</v>
      </c>
      <c r="I401" s="7">
        <v>13.02668412560467</v>
      </c>
      <c r="J401" s="7">
        <v>5.797931242329381</v>
      </c>
      <c r="K401" s="7">
        <v>1.182648015535401</v>
      </c>
      <c r="L401" s="7">
        <v>0.980122602726588</v>
      </c>
      <c r="M401" s="7">
        <v>0.4326582043292003</v>
      </c>
      <c r="N401" s="7">
        <v>0.2614379053886443</v>
      </c>
      <c r="O401" s="7">
        <v>0.103030063757126</v>
      </c>
      <c r="P401" s="7">
        <v>9.471545665667303</v>
      </c>
      <c r="Q401" s="7">
        <v>0.015093466135184</v>
      </c>
      <c r="R401" s="7">
        <v>0.0616815158238272</v>
      </c>
      <c r="S401" s="7">
        <v>0.0763954902711384</v>
      </c>
      <c r="T401" s="7">
        <v>0.1023487655659529</v>
      </c>
    </row>
    <row x14ac:dyDescent="0.25" r="402" customHeight="1" ht="19.5">
      <c r="A402" s="2" t="s">
        <v>2714</v>
      </c>
      <c r="B402" s="2" t="s">
        <v>2314</v>
      </c>
      <c r="C402" s="2" t="s">
        <v>31</v>
      </c>
      <c r="D402" s="2" t="s">
        <v>431</v>
      </c>
      <c r="E402" s="6">
        <v>1</v>
      </c>
      <c r="F402" s="6">
        <v>1</v>
      </c>
      <c r="G402" s="7">
        <v>0.6596508026123047</v>
      </c>
      <c r="H402" s="7">
        <v>5.942990625</v>
      </c>
      <c r="I402" s="7">
        <v>13.10991009811326</v>
      </c>
      <c r="J402" s="7">
        <v>5.855661751401273</v>
      </c>
      <c r="K402" s="7">
        <v>1.1857651024732</v>
      </c>
      <c r="L402" s="7">
        <v>0.9800076351575028</v>
      </c>
      <c r="M402" s="7">
        <v>0.4345257143180914</v>
      </c>
      <c r="N402" s="7">
        <v>0.2581233395668565</v>
      </c>
      <c r="O402" s="7">
        <v>0.1020101718621088</v>
      </c>
      <c r="P402" s="7">
        <v>9.45624076635092</v>
      </c>
      <c r="Q402" s="7">
        <v>0.0144662998289187</v>
      </c>
      <c r="R402" s="7">
        <v>0.0624377114496453</v>
      </c>
      <c r="S402" s="7">
        <v>0.0807947641703616</v>
      </c>
      <c r="T402" s="7">
        <v>0.0997822487638012</v>
      </c>
    </row>
    <row x14ac:dyDescent="0.25" r="403" customHeight="1" ht="19.5">
      <c r="A403" s="2" t="s">
        <v>2715</v>
      </c>
      <c r="B403" s="2" t="s">
        <v>2314</v>
      </c>
      <c r="C403" s="2" t="s">
        <v>31</v>
      </c>
      <c r="D403" s="2" t="s">
        <v>431</v>
      </c>
      <c r="E403" s="6">
        <v>1</v>
      </c>
      <c r="F403" s="6">
        <v>1</v>
      </c>
      <c r="G403" s="7">
        <v>0.6618931889533997</v>
      </c>
      <c r="H403" s="7">
        <v>5.91182109375</v>
      </c>
      <c r="I403" s="7">
        <v>13.10991009811326</v>
      </c>
      <c r="J403" s="7">
        <v>5.857835138031647</v>
      </c>
      <c r="K403" s="7">
        <v>1.186207388787185</v>
      </c>
      <c r="L403" s="7">
        <v>0.98037815857348</v>
      </c>
      <c r="M403" s="7">
        <v>0.4322467332989406</v>
      </c>
      <c r="N403" s="7">
        <v>0.2595526054691302</v>
      </c>
      <c r="O403" s="7">
        <v>0.1022694698371378</v>
      </c>
      <c r="P403" s="7">
        <v>9.474749869000448</v>
      </c>
      <c r="Q403" s="7">
        <v>0.0142640639801444</v>
      </c>
      <c r="R403" s="7">
        <v>0.0633215133924901</v>
      </c>
      <c r="S403" s="7">
        <v>0.0781821711576253</v>
      </c>
      <c r="T403" s="7">
        <v>0.0978712963963332</v>
      </c>
    </row>
    <row x14ac:dyDescent="0.25" r="404" customHeight="1" ht="19.5">
      <c r="A404" s="2" t="s">
        <v>2716</v>
      </c>
      <c r="B404" s="2" t="s">
        <v>2314</v>
      </c>
      <c r="C404" s="2" t="s">
        <v>31</v>
      </c>
      <c r="D404" s="2" t="s">
        <v>431</v>
      </c>
      <c r="E404" s="6">
        <v>1</v>
      </c>
      <c r="F404" s="6">
        <v>1</v>
      </c>
      <c r="G404" s="7">
        <v>0.6572248339653015</v>
      </c>
      <c r="H404" s="7">
        <v>5.90489453125</v>
      </c>
      <c r="I404" s="7">
        <v>13.24989456224288</v>
      </c>
      <c r="J404" s="7">
        <v>5.862748720439654</v>
      </c>
      <c r="K404" s="7">
        <v>1.189908214932399</v>
      </c>
      <c r="L404" s="7">
        <v>0.9806131549152902</v>
      </c>
      <c r="M404" s="7">
        <v>0.4226658545224279</v>
      </c>
      <c r="N404" s="7">
        <v>0.2643190088215736</v>
      </c>
      <c r="O404" s="7">
        <v>0.1033502768477326</v>
      </c>
      <c r="P404" s="7">
        <v>9.461677057008655</v>
      </c>
      <c r="Q404" s="7">
        <v>0.0154625192928789</v>
      </c>
      <c r="R404" s="7">
        <v>0.0646096878972773</v>
      </c>
      <c r="S404" s="7">
        <v>0.0788851867795828</v>
      </c>
      <c r="T404" s="7">
        <v>0.1059700598361294</v>
      </c>
    </row>
    <row x14ac:dyDescent="0.25" r="405" customHeight="1" ht="19.5">
      <c r="A405" s="2" t="s">
        <v>2717</v>
      </c>
      <c r="B405" s="2" t="s">
        <v>2314</v>
      </c>
      <c r="C405" s="2" t="s">
        <v>31</v>
      </c>
      <c r="D405" s="2" t="s">
        <v>431</v>
      </c>
      <c r="E405" s="6">
        <v>1</v>
      </c>
      <c r="F405" s="6">
        <v>1</v>
      </c>
      <c r="G405" s="7">
        <v>0.6567999124526978</v>
      </c>
      <c r="H405" s="7">
        <v>5.92567421875</v>
      </c>
      <c r="I405" s="7">
        <v>13.14438342466801</v>
      </c>
      <c r="J405" s="7">
        <v>5.805123668523043</v>
      </c>
      <c r="K405" s="7">
        <v>1.198003829249022</v>
      </c>
      <c r="L405" s="7">
        <v>0.9798384287303497</v>
      </c>
      <c r="M405" s="7">
        <v>0.4309900034205898</v>
      </c>
      <c r="N405" s="7">
        <v>0.2609651845732528</v>
      </c>
      <c r="O405" s="7">
        <v>0.099447017424931</v>
      </c>
      <c r="P405" s="7">
        <v>9.47609973733003</v>
      </c>
      <c r="Q405" s="7">
        <v>0.0147079772297965</v>
      </c>
      <c r="R405" s="7">
        <v>0.0633252236592743</v>
      </c>
      <c r="S405" s="7">
        <v>0.0779810159512816</v>
      </c>
      <c r="T405" s="7">
        <v>0.1011536364329052</v>
      </c>
    </row>
    <row x14ac:dyDescent="0.25" r="406" customHeight="1" ht="19.5">
      <c r="A406" s="2" t="s">
        <v>2718</v>
      </c>
      <c r="B406" s="2" t="s">
        <v>2314</v>
      </c>
      <c r="C406" s="2" t="s">
        <v>31</v>
      </c>
      <c r="D406" s="2" t="s">
        <v>431</v>
      </c>
      <c r="E406" s="6">
        <v>1</v>
      </c>
      <c r="F406" s="6">
        <v>1</v>
      </c>
      <c r="G406" s="7">
        <v>0.6574454307556152</v>
      </c>
      <c r="H406" s="7">
        <v>5.901431250000001</v>
      </c>
      <c r="I406" s="7">
        <v>13.21542123568813</v>
      </c>
      <c r="J406" s="7">
        <v>5.860173831814997</v>
      </c>
      <c r="K406" s="7">
        <v>1.186874438167861</v>
      </c>
      <c r="L406" s="7">
        <v>0.9805348726699998</v>
      </c>
      <c r="M406" s="7">
        <v>0.4246246430892885</v>
      </c>
      <c r="N406" s="7">
        <v>0.2648446310923977</v>
      </c>
      <c r="O406" s="7">
        <v>0.1044451264203775</v>
      </c>
      <c r="P406" s="7">
        <v>9.46710868942441</v>
      </c>
      <c r="Q406" s="7">
        <v>0.0145969806483999</v>
      </c>
      <c r="R406" s="7">
        <v>0.0618795335578035</v>
      </c>
      <c r="S406" s="7">
        <v>0.0766415084984727</v>
      </c>
      <c r="T406" s="7">
        <v>0.0999795469425684</v>
      </c>
    </row>
    <row x14ac:dyDescent="0.25" r="407" customHeight="1" ht="19.5">
      <c r="A407" s="2" t="s">
        <v>2719</v>
      </c>
      <c r="B407" s="2" t="s">
        <v>2314</v>
      </c>
      <c r="C407" s="2" t="s">
        <v>31</v>
      </c>
      <c r="D407" s="2" t="s">
        <v>431</v>
      </c>
      <c r="E407" s="6">
        <v>1</v>
      </c>
      <c r="F407" s="6">
        <v>1</v>
      </c>
      <c r="G407" s="7">
        <v>0.6620135307312012</v>
      </c>
      <c r="H407" s="7">
        <v>5.915284375000001</v>
      </c>
      <c r="I407" s="7">
        <v>13.04096344500376</v>
      </c>
      <c r="J407" s="7">
        <v>5.853067448953527</v>
      </c>
      <c r="K407" s="7">
        <v>1.180135821014863</v>
      </c>
      <c r="L407" s="7">
        <v>0.9802031147144238</v>
      </c>
      <c r="M407" s="7">
        <v>0.4370852359305066</v>
      </c>
      <c r="N407" s="7">
        <v>0.2611261685748481</v>
      </c>
      <c r="O407" s="7">
        <v>0.1016150086574314</v>
      </c>
      <c r="P407" s="7">
        <v>9.480659367469444</v>
      </c>
      <c r="Q407" s="7">
        <v>0.0143796128664802</v>
      </c>
      <c r="R407" s="7">
        <v>0.0621010451658466</v>
      </c>
      <c r="S407" s="7">
        <v>0.0740520731815548</v>
      </c>
      <c r="T407" s="7">
        <v>0.0987219220122826</v>
      </c>
    </row>
    <row x14ac:dyDescent="0.25" r="408" customHeight="1" ht="19.5">
      <c r="A408" s="2" t="s">
        <v>2720</v>
      </c>
      <c r="B408" s="2" t="s">
        <v>2314</v>
      </c>
      <c r="C408" s="2" t="s">
        <v>31</v>
      </c>
      <c r="D408" s="2" t="s">
        <v>431</v>
      </c>
      <c r="E408" s="6">
        <v>1</v>
      </c>
      <c r="F408" s="6">
        <v>1</v>
      </c>
      <c r="G408" s="7">
        <v>0.6577228903770447</v>
      </c>
      <c r="H408" s="7">
        <v>5.918747656250001</v>
      </c>
      <c r="I408" s="7">
        <v>13.04687813276033</v>
      </c>
      <c r="J408" s="7">
        <v>5.854255185539127</v>
      </c>
      <c r="K408" s="7">
        <v>1.177717006776325</v>
      </c>
      <c r="L408" s="7">
        <v>0.9801992279884486</v>
      </c>
      <c r="M408" s="7">
        <v>0.4369447009773236</v>
      </c>
      <c r="N408" s="7">
        <v>0.2603324144134819</v>
      </c>
      <c r="O408" s="7">
        <v>0.101769955535334</v>
      </c>
      <c r="P408" s="7">
        <v>9.466754283542915</v>
      </c>
      <c r="Q408" s="7">
        <v>0.0145556850417839</v>
      </c>
      <c r="R408" s="7">
        <v>0.0626317260711068</v>
      </c>
      <c r="S408" s="7">
        <v>0.0762738191389002</v>
      </c>
      <c r="T408" s="7">
        <v>0.0999892369428065</v>
      </c>
    </row>
    <row x14ac:dyDescent="0.25" r="409" customHeight="1" ht="19.5">
      <c r="A409" s="2" t="s">
        <v>2721</v>
      </c>
      <c r="B409" s="2" t="s">
        <v>2314</v>
      </c>
      <c r="C409" s="2" t="s">
        <v>31</v>
      </c>
      <c r="D409" s="2" t="s">
        <v>431</v>
      </c>
      <c r="E409" s="6">
        <v>1</v>
      </c>
      <c r="F409" s="6">
        <v>1</v>
      </c>
      <c r="G409" s="7">
        <v>0.66129469871521</v>
      </c>
      <c r="H409" s="7">
        <v>5.8945046875</v>
      </c>
      <c r="I409" s="7">
        <v>13.07543677155851</v>
      </c>
      <c r="J409" s="7">
        <v>5.853670534988594</v>
      </c>
      <c r="K409" s="7">
        <v>1.18233371893856</v>
      </c>
      <c r="L409" s="7">
        <v>0.9801097330267852</v>
      </c>
      <c r="M409" s="7">
        <v>0.4332561852819537</v>
      </c>
      <c r="N409" s="7">
        <v>0.2657416141264617</v>
      </c>
      <c r="O409" s="7">
        <v>0.1057056191994753</v>
      </c>
      <c r="P409" s="7">
        <v>9.426903426087746</v>
      </c>
      <c r="Q409" s="7">
        <v>0.0142423952776593</v>
      </c>
      <c r="R409" s="7">
        <v>0.0625924780641761</v>
      </c>
      <c r="S409" s="7">
        <v>0.0776809343502252</v>
      </c>
      <c r="T409" s="7">
        <v>0.097436378163389</v>
      </c>
    </row>
    <row x14ac:dyDescent="0.25" r="410" customHeight="1" ht="19.5">
      <c r="A410" s="2" t="s">
        <v>2722</v>
      </c>
      <c r="B410" s="2" t="s">
        <v>2314</v>
      </c>
      <c r="C410" s="2" t="s">
        <v>31</v>
      </c>
      <c r="D410" s="2" t="s">
        <v>431</v>
      </c>
      <c r="E410" s="6">
        <v>1</v>
      </c>
      <c r="F410" s="6">
        <v>1</v>
      </c>
      <c r="G410" s="7">
        <v>0.6572813391685486</v>
      </c>
      <c r="H410" s="7">
        <v>5.96030703125</v>
      </c>
      <c r="I410" s="7">
        <v>13.19313607062184</v>
      </c>
      <c r="J410" s="7">
        <v>5.918480051705524</v>
      </c>
      <c r="K410" s="7">
        <v>1.193819485950358</v>
      </c>
      <c r="L410" s="7">
        <v>0.9801299153307056</v>
      </c>
      <c r="M410" s="7">
        <v>0.4303109649457403</v>
      </c>
      <c r="N410" s="7">
        <v>0.2653603183069464</v>
      </c>
      <c r="O410" s="7">
        <v>0.1061639111848745</v>
      </c>
      <c r="P410" s="7">
        <v>9.38894044982654</v>
      </c>
      <c r="Q410" s="7">
        <v>0.0129618567956346</v>
      </c>
      <c r="R410" s="7">
        <v>0.0550029256812515</v>
      </c>
      <c r="S410" s="7">
        <v>0.0711339846118172</v>
      </c>
      <c r="T410" s="7">
        <v>0.0896657594140496</v>
      </c>
    </row>
    <row x14ac:dyDescent="0.25" r="411" customHeight="1" ht="19.5">
      <c r="A411" s="2" t="s">
        <v>2723</v>
      </c>
      <c r="B411" s="2" t="s">
        <v>2314</v>
      </c>
      <c r="C411" s="2" t="s">
        <v>31</v>
      </c>
      <c r="D411" s="2" t="s">
        <v>431</v>
      </c>
      <c r="E411" s="6">
        <v>1</v>
      </c>
      <c r="F411" s="6">
        <v>1</v>
      </c>
      <c r="G411" s="7">
        <v>0.5193182826042175</v>
      </c>
      <c r="H411" s="7">
        <v>5.40271875</v>
      </c>
      <c r="I411" s="7">
        <v>12.34068233838033</v>
      </c>
      <c r="J411" s="7">
        <v>5.492148158501527</v>
      </c>
      <c r="K411" s="7">
        <v>1.08942988971811</v>
      </c>
      <c r="L411" s="7">
        <v>0.9794061232105352</v>
      </c>
      <c r="M411" s="7">
        <v>0.4458039143670048</v>
      </c>
      <c r="N411" s="7">
        <v>0.3698728181622674</v>
      </c>
      <c r="O411" s="7">
        <v>0.0940440490549435</v>
      </c>
      <c r="P411" s="7">
        <v>8.467067628185228</v>
      </c>
      <c r="Q411" s="7">
        <v>0.0019727679765818</v>
      </c>
      <c r="R411" s="7">
        <v>0.0112832497720522</v>
      </c>
      <c r="S411" s="7">
        <v>0.0261313112798543</v>
      </c>
      <c r="T411" s="7">
        <v>0.0123702691660495</v>
      </c>
    </row>
    <row x14ac:dyDescent="0.25" r="412" customHeight="1" ht="19.5">
      <c r="A412" s="2" t="s">
        <v>2724</v>
      </c>
      <c r="B412" s="2" t="s">
        <v>2314</v>
      </c>
      <c r="C412" s="2" t="s">
        <v>31</v>
      </c>
      <c r="D412" s="2" t="s">
        <v>431</v>
      </c>
      <c r="E412" s="6">
        <v>1</v>
      </c>
      <c r="F412" s="6">
        <v>1</v>
      </c>
      <c r="G412" s="7">
        <v>0.5220510959625244</v>
      </c>
      <c r="H412" s="7">
        <v>5.194921875</v>
      </c>
      <c r="I412" s="7">
        <v>12.46429632520022</v>
      </c>
      <c r="J412" s="7">
        <v>5.551856208279244</v>
      </c>
      <c r="K412" s="7">
        <v>0.974431448972126</v>
      </c>
      <c r="L412" s="7">
        <v>0.9839409492268314</v>
      </c>
      <c r="M412" s="7">
        <v>0.4201973934299314</v>
      </c>
      <c r="N412" s="7">
        <v>0.2951865565405962</v>
      </c>
      <c r="O412" s="7">
        <v>0.0642833332905261</v>
      </c>
      <c r="P412" s="7">
        <v>8.892548340759934</v>
      </c>
      <c r="Q412" s="7">
        <v>0.0019227895660183</v>
      </c>
      <c r="R412" s="7">
        <v>0.0133508333797971</v>
      </c>
      <c r="S412" s="7">
        <v>0.0244617553099608</v>
      </c>
      <c r="T412" s="7">
        <v>0.0115931527347849</v>
      </c>
    </row>
    <row x14ac:dyDescent="0.25" r="413" customHeight="1" ht="19.5">
      <c r="A413" s="2" t="s">
        <v>2725</v>
      </c>
      <c r="B413" s="2" t="s">
        <v>2314</v>
      </c>
      <c r="C413" s="2" t="s">
        <v>31</v>
      </c>
      <c r="D413" s="2" t="s">
        <v>431</v>
      </c>
      <c r="E413" s="6">
        <v>1</v>
      </c>
      <c r="F413" s="6">
        <v>1</v>
      </c>
      <c r="G413" s="7">
        <v>0.6092050075531006</v>
      </c>
      <c r="H413" s="7">
        <v>5.69017109375</v>
      </c>
      <c r="I413" s="7">
        <v>12.97793147965083</v>
      </c>
      <c r="J413" s="7">
        <v>5.846849924974183</v>
      </c>
      <c r="K413" s="7">
        <v>1.092278231706034</v>
      </c>
      <c r="L413" s="7">
        <v>0.9819491610213912</v>
      </c>
      <c r="M413" s="7">
        <v>0.4245454936313771</v>
      </c>
      <c r="N413" s="7">
        <v>0.2711439754115834</v>
      </c>
      <c r="O413" s="7">
        <v>0.0932324514889739</v>
      </c>
      <c r="P413" s="7">
        <v>9.271562844141588</v>
      </c>
      <c r="Q413" s="7">
        <v>0.0049950234723893</v>
      </c>
      <c r="R413" s="7">
        <v>0.0286345692967085</v>
      </c>
      <c r="S413" s="7">
        <v>0.0443148875757552</v>
      </c>
      <c r="T413" s="7">
        <v>0.0329878217008325</v>
      </c>
    </row>
    <row x14ac:dyDescent="0.25" r="414" customHeight="1" ht="19.5">
      <c r="A414" s="2" t="s">
        <v>2726</v>
      </c>
      <c r="B414" s="2" t="s">
        <v>2314</v>
      </c>
      <c r="C414" s="2" t="s">
        <v>31</v>
      </c>
      <c r="D414" s="2" t="s">
        <v>431</v>
      </c>
      <c r="E414" s="6">
        <v>1</v>
      </c>
      <c r="F414" s="6">
        <v>1</v>
      </c>
      <c r="G414" s="7">
        <v>0.6881643533706665</v>
      </c>
      <c r="H414" s="7">
        <v>5.97416015625</v>
      </c>
      <c r="I414" s="7">
        <v>12.97793147965083</v>
      </c>
      <c r="J414" s="7">
        <v>5.843896601181152</v>
      </c>
      <c r="K414" s="7">
        <v>1.135542443422093</v>
      </c>
      <c r="L414" s="7">
        <v>0.9799361123662008</v>
      </c>
      <c r="M414" s="7">
        <v>0.4457340088339168</v>
      </c>
      <c r="N414" s="7">
        <v>0.2448076491376961</v>
      </c>
      <c r="O414" s="7">
        <v>0.0933329074549486</v>
      </c>
      <c r="P414" s="7">
        <v>9.54124670779769</v>
      </c>
      <c r="Q414" s="7">
        <v>0.0112130414231582</v>
      </c>
      <c r="R414" s="7">
        <v>0.0499274066746643</v>
      </c>
      <c r="S414" s="7">
        <v>0.0696266616688767</v>
      </c>
      <c r="T414" s="7">
        <v>0.0777483296966989</v>
      </c>
    </row>
    <row x14ac:dyDescent="0.25" r="415" customHeight="1" ht="19.5">
      <c r="A415" s="2" t="s">
        <v>2727</v>
      </c>
      <c r="B415" s="2" t="s">
        <v>2314</v>
      </c>
      <c r="C415" s="2" t="s">
        <v>31</v>
      </c>
      <c r="D415" s="2" t="s">
        <v>431</v>
      </c>
      <c r="E415" s="6">
        <v>1</v>
      </c>
      <c r="F415" s="6">
        <v>1</v>
      </c>
      <c r="G415" s="7">
        <v>0.7202187776565552</v>
      </c>
      <c r="H415" s="7">
        <v>5.8945046875</v>
      </c>
      <c r="I415" s="7">
        <v>12.75681220092326</v>
      </c>
      <c r="J415" s="7">
        <v>5.668681749615443</v>
      </c>
      <c r="K415" s="7">
        <v>1.205982393773249</v>
      </c>
      <c r="L415" s="7">
        <v>0.9772420850662829</v>
      </c>
      <c r="M415" s="7">
        <v>0.4551691898022065</v>
      </c>
      <c r="N415" s="7">
        <v>0.2543361266724023</v>
      </c>
      <c r="O415" s="7">
        <v>0.1188154250105312</v>
      </c>
      <c r="P415" s="7">
        <v>9.418725806997532</v>
      </c>
      <c r="Q415" s="7">
        <v>0.0177268842425513</v>
      </c>
      <c r="R415" s="7">
        <v>0.0694682325892521</v>
      </c>
      <c r="S415" s="7">
        <v>0.100973483675089</v>
      </c>
      <c r="T415" s="7">
        <v>0.1212747830012278</v>
      </c>
    </row>
    <row x14ac:dyDescent="0.25" r="416" customHeight="1" ht="19.5">
      <c r="A416" s="2" t="s">
        <v>2728</v>
      </c>
      <c r="B416" s="2" t="s">
        <v>2314</v>
      </c>
      <c r="C416" s="2" t="s">
        <v>31</v>
      </c>
      <c r="D416" s="2" t="s">
        <v>431</v>
      </c>
      <c r="E416" s="6">
        <v>1</v>
      </c>
      <c r="F416" s="6">
        <v>1</v>
      </c>
      <c r="G416" s="7">
        <v>0.7205837368965149</v>
      </c>
      <c r="H416" s="7">
        <v>5.8945046875</v>
      </c>
      <c r="I416" s="7">
        <v>12.88879081938568</v>
      </c>
      <c r="J416" s="7">
        <v>5.728449700886992</v>
      </c>
      <c r="K416" s="7">
        <v>1.207121529731472</v>
      </c>
      <c r="L416" s="7">
        <v>0.9784844405289084</v>
      </c>
      <c r="M416" s="7">
        <v>0.4458952344690847</v>
      </c>
      <c r="N416" s="7">
        <v>0.2588756067699078</v>
      </c>
      <c r="O416" s="7">
        <v>0.1224878907548946</v>
      </c>
      <c r="P416" s="7">
        <v>9.3611066534368</v>
      </c>
      <c r="Q416" s="7">
        <v>0.0173385053591373</v>
      </c>
      <c r="R416" s="7">
        <v>0.0670353480309436</v>
      </c>
      <c r="S416" s="7">
        <v>0.0960829147439387</v>
      </c>
      <c r="T416" s="7">
        <v>0.1186177698361484</v>
      </c>
    </row>
    <row x14ac:dyDescent="0.25" r="417" customHeight="1" ht="19.5">
      <c r="A417" s="2" t="s">
        <v>2729</v>
      </c>
      <c r="B417" s="2" t="s">
        <v>2314</v>
      </c>
      <c r="C417" s="2" t="s">
        <v>31</v>
      </c>
      <c r="D417" s="2" t="s">
        <v>431</v>
      </c>
      <c r="E417" s="6">
        <v>1</v>
      </c>
      <c r="F417" s="6">
        <v>1</v>
      </c>
      <c r="G417" s="7">
        <v>0.7130067348480225</v>
      </c>
      <c r="H417" s="7">
        <v>5.92567421875</v>
      </c>
      <c r="I417" s="7">
        <v>12.97201679189427</v>
      </c>
      <c r="J417" s="7">
        <v>5.727262812347677</v>
      </c>
      <c r="K417" s="7">
        <v>1.202048683216522</v>
      </c>
      <c r="L417" s="7">
        <v>0.978153073270828</v>
      </c>
      <c r="M417" s="7">
        <v>0.4425197219617445</v>
      </c>
      <c r="N417" s="7">
        <v>0.2545649875447838</v>
      </c>
      <c r="O417" s="7">
        <v>0.1195026098810251</v>
      </c>
      <c r="P417" s="7">
        <v>9.43638432313722</v>
      </c>
      <c r="Q417" s="7">
        <v>0.0175340041448</v>
      </c>
      <c r="R417" s="7">
        <v>0.0692420564849429</v>
      </c>
      <c r="S417" s="7">
        <v>0.0972836828692471</v>
      </c>
      <c r="T417" s="7">
        <v>0.1205895448956095</v>
      </c>
    </row>
    <row x14ac:dyDescent="0.25" r="418" customHeight="1" ht="19.5">
      <c r="A418" s="2" t="s">
        <v>2730</v>
      </c>
      <c r="B418" s="2" t="s">
        <v>2314</v>
      </c>
      <c r="C418" s="2" t="s">
        <v>31</v>
      </c>
      <c r="D418" s="2" t="s">
        <v>431</v>
      </c>
      <c r="E418" s="6">
        <v>1</v>
      </c>
      <c r="F418" s="6">
        <v>1</v>
      </c>
      <c r="G418" s="7">
        <v>0.7103058099746704</v>
      </c>
      <c r="H418" s="7">
        <v>5.91182109375</v>
      </c>
      <c r="I418" s="7">
        <v>12.92326414594043</v>
      </c>
      <c r="J418" s="7">
        <v>5.728386321741139</v>
      </c>
      <c r="K418" s="7">
        <v>1.206748021039597</v>
      </c>
      <c r="L418" s="7">
        <v>0.9782256679236928</v>
      </c>
      <c r="M418" s="7">
        <v>0.4448224567477747</v>
      </c>
      <c r="N418" s="7">
        <v>0.2580338778858376</v>
      </c>
      <c r="O418" s="7">
        <v>0.121174023580373</v>
      </c>
      <c r="P418" s="7">
        <v>9.426747297135645</v>
      </c>
      <c r="Q418" s="7">
        <v>0.0174588437658366</v>
      </c>
      <c r="R418" s="7">
        <v>0.0685001892815564</v>
      </c>
      <c r="S418" s="7">
        <v>0.0974853975303243</v>
      </c>
      <c r="T418" s="7">
        <v>0.1197919243297</v>
      </c>
    </row>
    <row x14ac:dyDescent="0.25" r="419" customHeight="1" ht="19.5">
      <c r="A419" s="2" t="s">
        <v>2731</v>
      </c>
      <c r="B419" s="2" t="s">
        <v>2314</v>
      </c>
      <c r="C419" s="2" t="s">
        <v>31</v>
      </c>
      <c r="D419" s="2" t="s">
        <v>431</v>
      </c>
      <c r="E419" s="6">
        <v>1</v>
      </c>
      <c r="F419" s="6">
        <v>1</v>
      </c>
      <c r="G419" s="7">
        <v>0.7160614132881165</v>
      </c>
      <c r="H419" s="7">
        <v>5.88411484375</v>
      </c>
      <c r="I419" s="7">
        <v>13.02076943784811</v>
      </c>
      <c r="J419" s="7">
        <v>5.727800513914001</v>
      </c>
      <c r="K419" s="7">
        <v>1.202354093315089</v>
      </c>
      <c r="L419" s="7">
        <v>0.9786549504562572</v>
      </c>
      <c r="M419" s="7">
        <v>0.4361317528718989</v>
      </c>
      <c r="N419" s="7">
        <v>0.2576149245500961</v>
      </c>
      <c r="O419" s="7">
        <v>0.1226056020550388</v>
      </c>
      <c r="P419" s="7">
        <v>9.423225848711244</v>
      </c>
      <c r="Q419" s="7">
        <v>0.0174922943303174</v>
      </c>
      <c r="R419" s="7">
        <v>0.068775689515496</v>
      </c>
      <c r="S419" s="7">
        <v>0.0982475994440741</v>
      </c>
      <c r="T419" s="7">
        <v>0.1194589510295107</v>
      </c>
    </row>
    <row x14ac:dyDescent="0.25" r="420" customHeight="1" ht="19.5">
      <c r="A420" s="2" t="s">
        <v>2732</v>
      </c>
      <c r="B420" s="2" t="s">
        <v>2314</v>
      </c>
      <c r="C420" s="2" t="s">
        <v>31</v>
      </c>
      <c r="D420" s="2" t="s">
        <v>431</v>
      </c>
      <c r="E420" s="6">
        <v>1</v>
      </c>
      <c r="F420" s="6">
        <v>1</v>
      </c>
      <c r="G420" s="7">
        <v>0.7062571048736572</v>
      </c>
      <c r="H420" s="7">
        <v>5.92567421875</v>
      </c>
      <c r="I420" s="7">
        <v>12.82575885403275</v>
      </c>
      <c r="J420" s="7">
        <v>5.6682573742544</v>
      </c>
      <c r="K420" s="7">
        <v>1.199567081781267</v>
      </c>
      <c r="L420" s="7">
        <v>0.9773430404240994</v>
      </c>
      <c r="M420" s="7">
        <v>0.452669772341587</v>
      </c>
      <c r="N420" s="7">
        <v>0.2540369371256838</v>
      </c>
      <c r="O420" s="7">
        <v>0.114828444722573</v>
      </c>
      <c r="P420" s="7">
        <v>9.456459596870925</v>
      </c>
      <c r="Q420" s="7">
        <v>0.0178642971364913</v>
      </c>
      <c r="R420" s="7">
        <v>0.0713149215042227</v>
      </c>
      <c r="S420" s="7">
        <v>0.0973160953619566</v>
      </c>
      <c r="T420" s="7">
        <v>0.1228611242348948</v>
      </c>
    </row>
    <row x14ac:dyDescent="0.25" r="421" customHeight="1" ht="19.5">
      <c r="A421" s="2" t="s">
        <v>2733</v>
      </c>
      <c r="B421" s="2" t="s">
        <v>2314</v>
      </c>
      <c r="C421" s="2" t="s">
        <v>31</v>
      </c>
      <c r="D421" s="2" t="s">
        <v>431</v>
      </c>
      <c r="E421" s="6">
        <v>1</v>
      </c>
      <c r="F421" s="6">
        <v>1</v>
      </c>
      <c r="G421" s="7">
        <v>0.7087331414222717</v>
      </c>
      <c r="H421" s="7">
        <v>5.96030703125</v>
      </c>
      <c r="I421" s="7">
        <v>12.92326414594043</v>
      </c>
      <c r="J421" s="7">
        <v>5.728605332025865</v>
      </c>
      <c r="K421" s="7">
        <v>1.209130802798885</v>
      </c>
      <c r="L421" s="7">
        <v>0.9778347539811392</v>
      </c>
      <c r="M421" s="7">
        <v>0.4484706784199885</v>
      </c>
      <c r="N421" s="7">
        <v>0.2571158210665683</v>
      </c>
      <c r="O421" s="7">
        <v>0.1180463008539742</v>
      </c>
      <c r="P421" s="7">
        <v>9.45620722066329</v>
      </c>
      <c r="Q421" s="7">
        <v>0.0173236927031034</v>
      </c>
      <c r="R421" s="7">
        <v>0.068547260840408</v>
      </c>
      <c r="S421" s="7">
        <v>0.0964598006953119</v>
      </c>
      <c r="T421" s="7">
        <v>0.1198394710395616</v>
      </c>
    </row>
    <row x14ac:dyDescent="0.25" r="422" customHeight="1" ht="19.5">
      <c r="A422" s="2" t="s">
        <v>2734</v>
      </c>
      <c r="B422" s="2" t="s">
        <v>2314</v>
      </c>
      <c r="C422" s="2" t="s">
        <v>31</v>
      </c>
      <c r="D422" s="2" t="s">
        <v>431</v>
      </c>
      <c r="E422" s="6">
        <v>1</v>
      </c>
      <c r="F422" s="6">
        <v>1</v>
      </c>
      <c r="G422" s="7">
        <v>0.7110462784767151</v>
      </c>
      <c r="H422" s="7">
        <v>5.901431250000001</v>
      </c>
      <c r="I422" s="7">
        <v>12.92326414594043</v>
      </c>
      <c r="J422" s="7">
        <v>5.727869494269589</v>
      </c>
      <c r="K422" s="7">
        <v>1.203729283539309</v>
      </c>
      <c r="L422" s="7">
        <v>0.9785760762391762</v>
      </c>
      <c r="M422" s="7">
        <v>0.4440406949608719</v>
      </c>
      <c r="N422" s="7">
        <v>0.2550605297065533</v>
      </c>
      <c r="O422" s="7">
        <v>0.1197134260170609</v>
      </c>
      <c r="P422" s="7">
        <v>9.437657658553388</v>
      </c>
      <c r="Q422" s="7">
        <v>0.0177380551862064</v>
      </c>
      <c r="R422" s="7">
        <v>0.0680704293862904</v>
      </c>
      <c r="S422" s="7">
        <v>0.0998447219905138</v>
      </c>
      <c r="T422" s="7">
        <v>0.1214938050461546</v>
      </c>
    </row>
    <row x14ac:dyDescent="0.25" r="423" customHeight="1" ht="19.5">
      <c r="A423" s="2" t="s">
        <v>2735</v>
      </c>
      <c r="B423" s="2" t="s">
        <v>2314</v>
      </c>
      <c r="C423" s="2" t="s">
        <v>31</v>
      </c>
      <c r="D423" s="2" t="s">
        <v>431</v>
      </c>
      <c r="E423" s="6">
        <v>1</v>
      </c>
      <c r="F423" s="6">
        <v>1</v>
      </c>
      <c r="G423" s="7">
        <v>0.7072341442108154</v>
      </c>
      <c r="H423" s="7">
        <v>5.901431250000001</v>
      </c>
      <c r="I423" s="7">
        <v>12.97201679189427</v>
      </c>
      <c r="J423" s="7">
        <v>5.727426251693233</v>
      </c>
      <c r="K423" s="7">
        <v>1.202101745973883</v>
      </c>
      <c r="L423" s="7">
        <v>0.978407193688814</v>
      </c>
      <c r="M423" s="7">
        <v>0.4407092964481664</v>
      </c>
      <c r="N423" s="7">
        <v>0.2558602329341181</v>
      </c>
      <c r="O423" s="7">
        <v>0.1203908911991199</v>
      </c>
      <c r="P423" s="7">
        <v>9.41971406858353</v>
      </c>
      <c r="Q423" s="7">
        <v>0.0179004614174795</v>
      </c>
      <c r="R423" s="7">
        <v>0.070028624344591</v>
      </c>
      <c r="S423" s="7">
        <v>0.1025589680747167</v>
      </c>
      <c r="T423" s="7">
        <v>0.1226061790236538</v>
      </c>
    </row>
    <row x14ac:dyDescent="0.25" r="424" customHeight="1" ht="19.5">
      <c r="A424" s="2" t="s">
        <v>2736</v>
      </c>
      <c r="B424" s="2" t="s">
        <v>2314</v>
      </c>
      <c r="C424" s="2" t="s">
        <v>31</v>
      </c>
      <c r="D424" s="2" t="s">
        <v>431</v>
      </c>
      <c r="E424" s="6">
        <v>1</v>
      </c>
      <c r="F424" s="6">
        <v>1</v>
      </c>
      <c r="G424" s="7">
        <v>0.7122862935066223</v>
      </c>
      <c r="H424" s="7">
        <v>5.90489453125</v>
      </c>
      <c r="I424" s="7">
        <v>12.88879081938568</v>
      </c>
      <c r="J424" s="7">
        <v>5.727282826527073</v>
      </c>
      <c r="K424" s="7">
        <v>1.202168108373775</v>
      </c>
      <c r="L424" s="7">
        <v>0.9783435691527368</v>
      </c>
      <c r="M424" s="7">
        <v>0.4466811837660337</v>
      </c>
      <c r="N424" s="7">
        <v>0.2581299784488396</v>
      </c>
      <c r="O424" s="7">
        <v>0.1201257089990248</v>
      </c>
      <c r="P424" s="7">
        <v>9.43725493238138</v>
      </c>
      <c r="Q424" s="7">
        <v>0.0173613272062239</v>
      </c>
      <c r="R424" s="7">
        <v>0.0690252891684909</v>
      </c>
      <c r="S424" s="7">
        <v>0.0966732538087868</v>
      </c>
      <c r="T424" s="7">
        <v>0.118983255446961</v>
      </c>
    </row>
    <row x14ac:dyDescent="0.25" r="425" customHeight="1" ht="19.5">
      <c r="A425" s="2" t="s">
        <v>2737</v>
      </c>
      <c r="B425" s="2" t="s">
        <v>2314</v>
      </c>
      <c r="C425" s="2" t="s">
        <v>31</v>
      </c>
      <c r="D425" s="2" t="s">
        <v>431</v>
      </c>
      <c r="E425" s="6">
        <v>1</v>
      </c>
      <c r="F425" s="6">
        <v>1</v>
      </c>
      <c r="G425" s="7">
        <v>0.7065178155899048</v>
      </c>
      <c r="H425" s="7">
        <v>5.880651562500001</v>
      </c>
      <c r="I425" s="7">
        <v>12.87451149998659</v>
      </c>
      <c r="J425" s="7">
        <v>5.669371223977404</v>
      </c>
      <c r="K425" s="7">
        <v>1.205318336882698</v>
      </c>
      <c r="L425" s="7">
        <v>0.9777236893694676</v>
      </c>
      <c r="M425" s="7">
        <v>0.4458346233125599</v>
      </c>
      <c r="N425" s="7">
        <v>0.2556698309433635</v>
      </c>
      <c r="O425" s="7">
        <v>0.1189492611354702</v>
      </c>
      <c r="P425" s="7">
        <v>9.41437829626164</v>
      </c>
      <c r="Q425" s="7">
        <v>0.0176178990699608</v>
      </c>
      <c r="R425" s="7">
        <v>0.0678854356953705</v>
      </c>
      <c r="S425" s="7">
        <v>0.0956056342928569</v>
      </c>
      <c r="T425" s="7">
        <v>0.1202459188367452</v>
      </c>
    </row>
    <row x14ac:dyDescent="0.25" r="426" customHeight="1" ht="19.5">
      <c r="A426" s="2" t="s">
        <v>2738</v>
      </c>
      <c r="B426" s="2" t="s">
        <v>2314</v>
      </c>
      <c r="C426" s="2" t="s">
        <v>31</v>
      </c>
      <c r="D426" s="2" t="s">
        <v>431</v>
      </c>
      <c r="E426" s="6">
        <v>1</v>
      </c>
      <c r="F426" s="6">
        <v>1</v>
      </c>
      <c r="G426" s="7">
        <v>0.7065126895904541</v>
      </c>
      <c r="H426" s="7">
        <v>5.89104140625</v>
      </c>
      <c r="I426" s="7">
        <v>12.97201679189427</v>
      </c>
      <c r="J426" s="7">
        <v>5.726365969510182</v>
      </c>
      <c r="K426" s="7">
        <v>1.19676651626866</v>
      </c>
      <c r="L426" s="7">
        <v>0.9787026040711042</v>
      </c>
      <c r="M426" s="7">
        <v>0.4399333997994899</v>
      </c>
      <c r="N426" s="7">
        <v>0.2559919965178148</v>
      </c>
      <c r="O426" s="7">
        <v>0.1210572328736852</v>
      </c>
      <c r="P426" s="7">
        <v>9.415244184874538</v>
      </c>
      <c r="Q426" s="7">
        <v>0.017720920917558</v>
      </c>
      <c r="R426" s="7">
        <v>0.0692381716505403</v>
      </c>
      <c r="S426" s="7">
        <v>0.0964079595469956</v>
      </c>
      <c r="T426" s="7">
        <v>0.1211627558473276</v>
      </c>
    </row>
    <row x14ac:dyDescent="0.25" r="427" customHeight="1" ht="19.5">
      <c r="A427" s="2" t="s">
        <v>2739</v>
      </c>
      <c r="B427" s="2" t="s">
        <v>2314</v>
      </c>
      <c r="C427" s="2" t="s">
        <v>31</v>
      </c>
      <c r="D427" s="2" t="s">
        <v>431</v>
      </c>
      <c r="E427" s="6">
        <v>1</v>
      </c>
      <c r="F427" s="6">
        <v>1</v>
      </c>
      <c r="G427" s="7">
        <v>0.7043089270591736</v>
      </c>
      <c r="H427" s="7">
        <v>5.915284375000001</v>
      </c>
      <c r="I427" s="7">
        <v>12.97201679189427</v>
      </c>
      <c r="J427" s="7">
        <v>5.728311459134389</v>
      </c>
      <c r="K427" s="7">
        <v>1.206307784382514</v>
      </c>
      <c r="L427" s="7">
        <v>0.978219581090316</v>
      </c>
      <c r="M427" s="7">
        <v>0.4417438253130681</v>
      </c>
      <c r="N427" s="7">
        <v>0.2581826157035605</v>
      </c>
      <c r="O427" s="7">
        <v>0.1207316924879885</v>
      </c>
      <c r="P427" s="7">
        <v>9.405948203035669</v>
      </c>
      <c r="Q427" s="7">
        <v>0.0175607242849395</v>
      </c>
      <c r="R427" s="7">
        <v>0.0688288478956255</v>
      </c>
      <c r="S427" s="7">
        <v>0.0971620714409768</v>
      </c>
      <c r="T427" s="7">
        <v>0.1205615526255364</v>
      </c>
    </row>
    <row x14ac:dyDescent="0.25" r="428" customHeight="1" ht="19.5">
      <c r="A428" s="2" t="s">
        <v>2740</v>
      </c>
      <c r="B428" s="2" t="s">
        <v>2314</v>
      </c>
      <c r="C428" s="2" t="s">
        <v>31</v>
      </c>
      <c r="D428" s="2" t="s">
        <v>431</v>
      </c>
      <c r="E428" s="6">
        <v>1</v>
      </c>
      <c r="F428" s="6">
        <v>1</v>
      </c>
      <c r="G428" s="7">
        <v>0.7103890180587769</v>
      </c>
      <c r="H428" s="7">
        <v>5.918747656250001</v>
      </c>
      <c r="I428" s="7">
        <v>13.00649011844902</v>
      </c>
      <c r="J428" s="7">
        <v>5.727030244367825</v>
      </c>
      <c r="K428" s="7">
        <v>1.198925539191641</v>
      </c>
      <c r="L428" s="7">
        <v>0.9785256164969806</v>
      </c>
      <c r="M428" s="7">
        <v>0.4396625330896471</v>
      </c>
      <c r="N428" s="7">
        <v>0.255853840697568</v>
      </c>
      <c r="O428" s="7">
        <v>0.1166677346338345</v>
      </c>
      <c r="P428" s="7">
        <v>9.449399018048211</v>
      </c>
      <c r="Q428" s="7">
        <v>0.0172845049685668</v>
      </c>
      <c r="R428" s="7">
        <v>0.0681746114371027</v>
      </c>
      <c r="S428" s="7">
        <v>0.1009666266591972</v>
      </c>
      <c r="T428" s="7">
        <v>0.1187346701841882</v>
      </c>
    </row>
    <row x14ac:dyDescent="0.25" r="429" customHeight="1" ht="19.5">
      <c r="A429" s="2" t="s">
        <v>2741</v>
      </c>
      <c r="B429" s="2" t="s">
        <v>2314</v>
      </c>
      <c r="C429" s="2" t="s">
        <v>31</v>
      </c>
      <c r="D429" s="2" t="s">
        <v>431</v>
      </c>
      <c r="E429" s="6">
        <v>1</v>
      </c>
      <c r="F429" s="6">
        <v>1</v>
      </c>
      <c r="G429" s="7">
        <v>0.7183877825737</v>
      </c>
      <c r="H429" s="7">
        <v>5.953380468750001</v>
      </c>
      <c r="I429" s="7">
        <v>12.97201679189427</v>
      </c>
      <c r="J429" s="7">
        <v>5.729181557211628</v>
      </c>
      <c r="K429" s="7">
        <v>1.205526468185696</v>
      </c>
      <c r="L429" s="7">
        <v>0.9780152390512326</v>
      </c>
      <c r="M429" s="7">
        <v>0.444588779691548</v>
      </c>
      <c r="N429" s="7">
        <v>0.2522333016694282</v>
      </c>
      <c r="O429" s="7">
        <v>0.1166255016094583</v>
      </c>
      <c r="P429" s="7">
        <v>9.472498536117694</v>
      </c>
      <c r="Q429" s="7">
        <v>0.0174560885303455</v>
      </c>
      <c r="R429" s="7">
        <v>0.069268248066468</v>
      </c>
      <c r="S429" s="7">
        <v>0.0970142908781581</v>
      </c>
      <c r="T429" s="7">
        <v>0.1206150091791739</v>
      </c>
    </row>
    <row x14ac:dyDescent="0.25" r="430" customHeight="1" ht="19.5">
      <c r="A430" s="2" t="s">
        <v>2742</v>
      </c>
      <c r="B430" s="2" t="s">
        <v>2314</v>
      </c>
      <c r="C430" s="2" t="s">
        <v>31</v>
      </c>
      <c r="D430" s="2" t="s">
        <v>431</v>
      </c>
      <c r="E430" s="6">
        <v>1</v>
      </c>
      <c r="F430" s="6">
        <v>1</v>
      </c>
      <c r="G430" s="7">
        <v>0.7097463607788086</v>
      </c>
      <c r="H430" s="7">
        <v>5.87718828125</v>
      </c>
      <c r="I430" s="7">
        <v>12.97201679189427</v>
      </c>
      <c r="J430" s="7">
        <v>5.728224235352899</v>
      </c>
      <c r="K430" s="7">
        <v>1.205796140809782</v>
      </c>
      <c r="L430" s="7">
        <v>0.978789729469984</v>
      </c>
      <c r="M430" s="7">
        <v>0.4388988709345881</v>
      </c>
      <c r="N430" s="7">
        <v>0.2534997246722251</v>
      </c>
      <c r="O430" s="7">
        <v>0.120917291880426</v>
      </c>
      <c r="P430" s="7">
        <v>9.39651342588883</v>
      </c>
      <c r="Q430" s="7">
        <v>0.0179672867677988</v>
      </c>
      <c r="R430" s="7">
        <v>0.0704233448185258</v>
      </c>
      <c r="S430" s="7">
        <v>0.0976977139845302</v>
      </c>
      <c r="T430" s="7">
        <v>0.1225583438031329</v>
      </c>
    </row>
    <row x14ac:dyDescent="0.25" r="431" customHeight="1" ht="19.5">
      <c r="A431" s="2" t="s">
        <v>2743</v>
      </c>
      <c r="B431" s="2" t="s">
        <v>2314</v>
      </c>
      <c r="C431" s="2" t="s">
        <v>31</v>
      </c>
      <c r="D431" s="2" t="s">
        <v>431</v>
      </c>
      <c r="E431" s="6">
        <v>1</v>
      </c>
      <c r="F431" s="6">
        <v>1</v>
      </c>
      <c r="G431" s="7">
        <v>0.7050529718399048</v>
      </c>
      <c r="H431" s="7">
        <v>5.8390921875</v>
      </c>
      <c r="I431" s="7">
        <v>12.92326414594043</v>
      </c>
      <c r="J431" s="7">
        <v>5.668585783006172</v>
      </c>
      <c r="K431" s="7">
        <v>1.200343722504864</v>
      </c>
      <c r="L431" s="7">
        <v>0.9785284442418746</v>
      </c>
      <c r="M431" s="7">
        <v>0.4393501242394542</v>
      </c>
      <c r="N431" s="7">
        <v>0.2532521539687488</v>
      </c>
      <c r="O431" s="7">
        <v>0.1186209647913163</v>
      </c>
      <c r="P431" s="7">
        <v>9.436977961862535</v>
      </c>
      <c r="Q431" s="7">
        <v>0.0182997156359846</v>
      </c>
      <c r="R431" s="7">
        <v>0.0700162147021853</v>
      </c>
      <c r="S431" s="7">
        <v>0.1006587021151867</v>
      </c>
      <c r="T431" s="7">
        <v>0.1240167806105342</v>
      </c>
    </row>
    <row x14ac:dyDescent="0.25" r="432" customHeight="1" ht="19.5">
      <c r="A432" s="2" t="s">
        <v>2744</v>
      </c>
      <c r="B432" s="2" t="s">
        <v>2314</v>
      </c>
      <c r="C432" s="2" t="s">
        <v>31</v>
      </c>
      <c r="D432" s="2" t="s">
        <v>431</v>
      </c>
      <c r="E432" s="6">
        <v>1</v>
      </c>
      <c r="F432" s="6">
        <v>1</v>
      </c>
      <c r="G432" s="7">
        <v>0.703919529914856</v>
      </c>
      <c r="H432" s="7">
        <v>6.03649921875</v>
      </c>
      <c r="I432" s="7">
        <v>13.0897160909576</v>
      </c>
      <c r="J432" s="7">
        <v>5.84593007507646</v>
      </c>
      <c r="K432" s="7">
        <v>1.199159806677801</v>
      </c>
      <c r="L432" s="7">
        <v>0.978650413555937</v>
      </c>
      <c r="M432" s="7">
        <v>0.4427255220428526</v>
      </c>
      <c r="N432" s="7">
        <v>0.2583742670884459</v>
      </c>
      <c r="O432" s="7">
        <v>0.120572602721091</v>
      </c>
      <c r="P432" s="7">
        <v>9.439313196949476</v>
      </c>
      <c r="Q432" s="7">
        <v>0.0172269767098374</v>
      </c>
      <c r="R432" s="7">
        <v>0.0681664342402758</v>
      </c>
      <c r="S432" s="7">
        <v>0.0986262881042883</v>
      </c>
      <c r="T432" s="7">
        <v>0.1206938095287876</v>
      </c>
    </row>
    <row x14ac:dyDescent="0.25" r="433" customHeight="1" ht="19.5">
      <c r="A433" s="2" t="s">
        <v>2745</v>
      </c>
      <c r="B433" s="2" t="s">
        <v>2314</v>
      </c>
      <c r="C433" s="2" t="s">
        <v>31</v>
      </c>
      <c r="D433" s="2" t="s">
        <v>431</v>
      </c>
      <c r="E433" s="6">
        <v>1</v>
      </c>
      <c r="F433" s="6">
        <v>1</v>
      </c>
      <c r="G433" s="7">
        <v>0.7050961852073669</v>
      </c>
      <c r="H433" s="7">
        <v>5.85640859375</v>
      </c>
      <c r="I433" s="7">
        <v>12.93754346533952</v>
      </c>
      <c r="J433" s="7">
        <v>5.726442323073709</v>
      </c>
      <c r="K433" s="7">
        <v>1.200634798136888</v>
      </c>
      <c r="L433" s="7">
        <v>0.9787878704082366</v>
      </c>
      <c r="M433" s="7">
        <v>0.4396808893794055</v>
      </c>
      <c r="N433" s="7">
        <v>0.2573709621660615</v>
      </c>
      <c r="O433" s="7">
        <v>0.123683727916218</v>
      </c>
      <c r="P433" s="7">
        <v>9.368819140919848</v>
      </c>
      <c r="Q433" s="7">
        <v>0.0176847069151839</v>
      </c>
      <c r="R433" s="7">
        <v>0.0706775409585298</v>
      </c>
      <c r="S433" s="7">
        <v>0.0970527835637563</v>
      </c>
      <c r="T433" s="7">
        <v>0.1202043034162639</v>
      </c>
    </row>
    <row x14ac:dyDescent="0.25" r="434" customHeight="1" ht="19.5">
      <c r="A434" s="2" t="s">
        <v>2746</v>
      </c>
      <c r="B434" s="2" t="s">
        <v>2314</v>
      </c>
      <c r="C434" s="2" t="s">
        <v>31</v>
      </c>
      <c r="D434" s="2" t="s">
        <v>431</v>
      </c>
      <c r="E434" s="6">
        <v>1</v>
      </c>
      <c r="F434" s="6">
        <v>1</v>
      </c>
      <c r="G434" s="7">
        <v>0.7015250325202942</v>
      </c>
      <c r="H434" s="7">
        <v>5.8529453125</v>
      </c>
      <c r="I434" s="7">
        <v>12.95773747249518</v>
      </c>
      <c r="J434" s="7">
        <v>5.729100370363219</v>
      </c>
      <c r="K434" s="7">
        <v>1.207146257608889</v>
      </c>
      <c r="L434" s="7">
        <v>0.978699235109832</v>
      </c>
      <c r="M434" s="7">
        <v>0.4380523119101396</v>
      </c>
      <c r="N434" s="7">
        <v>0.2615700469252847</v>
      </c>
      <c r="O434" s="7">
        <v>0.1244414465862176</v>
      </c>
      <c r="P434" s="7">
        <v>9.345511989926983</v>
      </c>
      <c r="Q434" s="7">
        <v>0.0174562125439308</v>
      </c>
      <c r="R434" s="7">
        <v>0.0685362708866393</v>
      </c>
      <c r="S434" s="7">
        <v>0.0972657507344961</v>
      </c>
      <c r="T434" s="7">
        <v>0.1185810434277253</v>
      </c>
    </row>
    <row x14ac:dyDescent="0.25" r="435" customHeight="1" ht="19.5">
      <c r="A435" s="2" t="s">
        <v>2747</v>
      </c>
      <c r="B435" s="2" t="s">
        <v>2314</v>
      </c>
      <c r="C435" s="2" t="s">
        <v>31</v>
      </c>
      <c r="D435" s="2" t="s">
        <v>431</v>
      </c>
      <c r="E435" s="6">
        <v>1</v>
      </c>
      <c r="F435" s="6">
        <v>1</v>
      </c>
      <c r="G435" s="7">
        <v>0.6049793362617493</v>
      </c>
      <c r="H435" s="7">
        <v>5.82177578125</v>
      </c>
      <c r="I435" s="7">
        <v>13.02668412560468</v>
      </c>
      <c r="J435" s="7">
        <v>5.845809419615829</v>
      </c>
      <c r="K435" s="7">
        <v>1.136231512450249</v>
      </c>
      <c r="L435" s="7">
        <v>0.9806238624431202</v>
      </c>
      <c r="M435" s="7">
        <v>0.4311194081075196</v>
      </c>
      <c r="N435" s="7">
        <v>0.3216625704289071</v>
      </c>
      <c r="O435" s="7">
        <v>0.1159893419860147</v>
      </c>
      <c r="P435" s="7">
        <v>8.763956797443626</v>
      </c>
      <c r="Q435" s="7">
        <v>0.0037646365826705</v>
      </c>
      <c r="R435" s="7">
        <v>0.026735808834513</v>
      </c>
      <c r="S435" s="7">
        <v>0.0429918309404267</v>
      </c>
      <c r="T435" s="7">
        <v>0.0254372005081135</v>
      </c>
    </row>
    <row x14ac:dyDescent="0.25" r="436" customHeight="1" ht="19.5">
      <c r="A436" s="2" t="s">
        <v>2748</v>
      </c>
      <c r="B436" s="2" t="s">
        <v>2314</v>
      </c>
      <c r="C436" s="2" t="s">
        <v>31</v>
      </c>
      <c r="D436" s="2" t="s">
        <v>431</v>
      </c>
      <c r="E436" s="6">
        <v>1</v>
      </c>
      <c r="F436" s="6">
        <v>1</v>
      </c>
      <c r="G436" s="7">
        <v>0.4619967937469482</v>
      </c>
      <c r="H436" s="7">
        <v>5.22609140625</v>
      </c>
      <c r="I436" s="7">
        <v>12.99812548680649</v>
      </c>
      <c r="J436" s="7">
        <v>5.841053266678888</v>
      </c>
      <c r="K436" s="7">
        <v>0.94074380550787</v>
      </c>
      <c r="L436" s="7">
        <v>0.9861825229039765</v>
      </c>
      <c r="M436" s="7">
        <v>0.3887097324803455</v>
      </c>
      <c r="N436" s="7">
        <v>0.3354515902435265</v>
      </c>
      <c r="O436" s="7">
        <v>0.0759353367934266</v>
      </c>
      <c r="P436" s="7">
        <v>8.929041666397119</v>
      </c>
      <c r="Q436" s="7">
        <v>0.0031942195001314</v>
      </c>
      <c r="R436" s="7">
        <v>0.0184068636449469</v>
      </c>
      <c r="S436" s="7">
        <v>0.0317728499497489</v>
      </c>
      <c r="T436" s="7">
        <v>0.0193745907711553</v>
      </c>
    </row>
    <row x14ac:dyDescent="0.25" r="437" customHeight="1" ht="19.5">
      <c r="A437" s="2" t="s">
        <v>2749</v>
      </c>
      <c r="B437" s="2" t="s">
        <v>2314</v>
      </c>
      <c r="C437" s="2" t="s">
        <v>31</v>
      </c>
      <c r="D437" s="2" t="s">
        <v>431</v>
      </c>
      <c r="E437" s="6">
        <v>1</v>
      </c>
      <c r="F437" s="6">
        <v>1</v>
      </c>
      <c r="G437" s="7">
        <v>0.5852468013763428</v>
      </c>
      <c r="H437" s="7">
        <v>6.053815625</v>
      </c>
      <c r="I437" s="7">
        <v>13.46300799530326</v>
      </c>
      <c r="J437" s="7">
        <v>6.017939326222932</v>
      </c>
      <c r="K437" s="7">
        <v>1.104517315541538</v>
      </c>
      <c r="L437" s="7">
        <v>0.981926337181508</v>
      </c>
      <c r="M437" s="7">
        <v>0.4197153440668012</v>
      </c>
      <c r="N437" s="7">
        <v>0.2985832830522056</v>
      </c>
      <c r="O437" s="7">
        <v>0.1063106139404687</v>
      </c>
      <c r="P437" s="7">
        <v>9.235383763315454</v>
      </c>
      <c r="Q437" s="7">
        <v>0.0038720099176081</v>
      </c>
      <c r="R437" s="7">
        <v>0.0244661890998483</v>
      </c>
      <c r="S437" s="7">
        <v>0.0404104043901817</v>
      </c>
      <c r="T437" s="7">
        <v>0.0272054823961704</v>
      </c>
    </row>
    <row x14ac:dyDescent="0.25" r="438" customHeight="1" ht="19.5">
      <c r="A438" s="2" t="s">
        <v>2750</v>
      </c>
      <c r="B438" s="2" t="s">
        <v>2314</v>
      </c>
      <c r="C438" s="2" t="s">
        <v>31</v>
      </c>
      <c r="D438" s="2" t="s">
        <v>431</v>
      </c>
      <c r="E438" s="6">
        <v>1</v>
      </c>
      <c r="F438" s="6">
        <v>1</v>
      </c>
      <c r="G438" s="7">
        <v>0.6393378973007202</v>
      </c>
      <c r="H438" s="7">
        <v>5.8390921875</v>
      </c>
      <c r="I438" s="7">
        <v>13.29655605028608</v>
      </c>
      <c r="J438" s="7">
        <v>5.899318467383296</v>
      </c>
      <c r="K438" s="7">
        <v>1.106796856680133</v>
      </c>
      <c r="L438" s="7">
        <v>0.9817409082406752</v>
      </c>
      <c r="M438" s="7">
        <v>0.4150274850797378</v>
      </c>
      <c r="N438" s="7">
        <v>0.2679659617680168</v>
      </c>
      <c r="O438" s="7">
        <v>0.1159729973419073</v>
      </c>
      <c r="P438" s="7">
        <v>9.39147859642252</v>
      </c>
      <c r="Q438" s="7">
        <v>0.0106653880536992</v>
      </c>
      <c r="R438" s="7">
        <v>0.0445027620603004</v>
      </c>
      <c r="S438" s="7">
        <v>0.0657529302779831</v>
      </c>
      <c r="T438" s="7">
        <v>0.0722791062272512</v>
      </c>
    </row>
    <row x14ac:dyDescent="0.25" r="439" customHeight="1" ht="19.5">
      <c r="A439" s="2" t="s">
        <v>2751</v>
      </c>
      <c r="B439" s="2" t="s">
        <v>2314</v>
      </c>
      <c r="C439" s="2" t="s">
        <v>31</v>
      </c>
      <c r="D439" s="2" t="s">
        <v>431</v>
      </c>
      <c r="E439" s="6">
        <v>1</v>
      </c>
      <c r="F439" s="6">
        <v>1</v>
      </c>
      <c r="G439" s="7">
        <v>0.6885931491851807</v>
      </c>
      <c r="H439" s="7">
        <v>5.794069531250001</v>
      </c>
      <c r="I439" s="7">
        <v>12.99221079904993</v>
      </c>
      <c r="J439" s="7">
        <v>5.839258740707194</v>
      </c>
      <c r="K439" s="7">
        <v>1.104847661149859</v>
      </c>
      <c r="L439" s="7">
        <v>0.980526244856982</v>
      </c>
      <c r="M439" s="7">
        <v>0.4313476634251633</v>
      </c>
      <c r="N439" s="7">
        <v>0.2564587160306551</v>
      </c>
      <c r="O439" s="7">
        <v>0.1146214623544312</v>
      </c>
      <c r="P439" s="7">
        <v>9.46753997691346</v>
      </c>
      <c r="Q439" s="7">
        <v>0.0184035030465124</v>
      </c>
      <c r="R439" s="7">
        <v>0.0664390631823748</v>
      </c>
      <c r="S439" s="7">
        <v>0.0953419223591453</v>
      </c>
      <c r="T439" s="7">
        <v>0.1237584838083544</v>
      </c>
    </row>
    <row x14ac:dyDescent="0.25" r="440" customHeight="1" ht="19.5">
      <c r="A440" s="2" t="s">
        <v>2752</v>
      </c>
      <c r="B440" s="2" t="s">
        <v>2314</v>
      </c>
      <c r="C440" s="2" t="s">
        <v>31</v>
      </c>
      <c r="D440" s="2" t="s">
        <v>431</v>
      </c>
      <c r="E440" s="6">
        <v>1</v>
      </c>
      <c r="F440" s="6">
        <v>1</v>
      </c>
      <c r="G440" s="7">
        <v>0.679820716381073</v>
      </c>
      <c r="H440" s="7">
        <v>5.970696875000001</v>
      </c>
      <c r="I440" s="7">
        <v>13.0897160909576</v>
      </c>
      <c r="J440" s="7">
        <v>5.841690759438713</v>
      </c>
      <c r="K440" s="7">
        <v>1.177984876896987</v>
      </c>
      <c r="L440" s="7">
        <v>0.9789244830896462</v>
      </c>
      <c r="M440" s="7">
        <v>0.4378994836499587</v>
      </c>
      <c r="N440" s="7">
        <v>0.2580904698264195</v>
      </c>
      <c r="O440" s="7">
        <v>0.1257527680484114</v>
      </c>
      <c r="P440" s="7">
        <v>9.491837335757817</v>
      </c>
      <c r="Q440" s="7">
        <v>0.0187192747130879</v>
      </c>
      <c r="R440" s="7">
        <v>0.0700385770019209</v>
      </c>
      <c r="S440" s="7">
        <v>0.0915523519637084</v>
      </c>
      <c r="T440" s="7">
        <v>0.129719367072578</v>
      </c>
    </row>
    <row x14ac:dyDescent="0.25" r="441" customHeight="1" ht="19.5">
      <c r="A441" s="2" t="s">
        <v>2753</v>
      </c>
      <c r="B441" s="2" t="s">
        <v>2314</v>
      </c>
      <c r="C441" s="2" t="s">
        <v>31</v>
      </c>
      <c r="D441" s="2" t="s">
        <v>431</v>
      </c>
      <c r="E441" s="6">
        <v>1</v>
      </c>
      <c r="F441" s="6">
        <v>1</v>
      </c>
      <c r="G441" s="7">
        <v>0.6747103929519653</v>
      </c>
      <c r="H441" s="7">
        <v>5.9776234375</v>
      </c>
      <c r="I441" s="7">
        <v>13.04096344500376</v>
      </c>
      <c r="J441" s="7">
        <v>5.841409959062853</v>
      </c>
      <c r="K441" s="7">
        <v>1.178325555722377</v>
      </c>
      <c r="L441" s="7">
        <v>0.9788443314423076</v>
      </c>
      <c r="M441" s="7">
        <v>0.4416915206182989</v>
      </c>
      <c r="N441" s="7">
        <v>0.2576356698788078</v>
      </c>
      <c r="O441" s="7">
        <v>0.1241052027072669</v>
      </c>
      <c r="P441" s="7">
        <v>9.525442730785096</v>
      </c>
      <c r="Q441" s="7">
        <v>0.0182708879828149</v>
      </c>
      <c r="R441" s="7">
        <v>0.0663566048149492</v>
      </c>
      <c r="S441" s="7">
        <v>0.091934260765094</v>
      </c>
      <c r="T441" s="7">
        <v>0.1267590536184853</v>
      </c>
    </row>
    <row x14ac:dyDescent="0.25" r="442" customHeight="1" ht="19.5">
      <c r="A442" s="2" t="s">
        <v>2754</v>
      </c>
      <c r="B442" s="2" t="s">
        <v>2314</v>
      </c>
      <c r="C442" s="2" t="s">
        <v>31</v>
      </c>
      <c r="D442" s="2" t="s">
        <v>431</v>
      </c>
      <c r="E442" s="6">
        <v>1</v>
      </c>
      <c r="F442" s="6">
        <v>1</v>
      </c>
      <c r="G442" s="7">
        <v>0.6649441123008728</v>
      </c>
      <c r="H442" s="7">
        <v>5.880651562500001</v>
      </c>
      <c r="I442" s="7">
        <v>13.16875974764493</v>
      </c>
      <c r="J442" s="7">
        <v>5.900325464747489</v>
      </c>
      <c r="K442" s="7">
        <v>1.115532490583017</v>
      </c>
      <c r="L442" s="7">
        <v>0.9807372118534904</v>
      </c>
      <c r="M442" s="7">
        <v>0.4261333877792062</v>
      </c>
      <c r="N442" s="7">
        <v>0.2442092807059515</v>
      </c>
      <c r="O442" s="7">
        <v>0.1097500351985996</v>
      </c>
      <c r="P442" s="7">
        <v>9.591233845429247</v>
      </c>
      <c r="Q442" s="7">
        <v>0.018970653074599</v>
      </c>
      <c r="R442" s="7">
        <v>0.0683723044902696</v>
      </c>
      <c r="S442" s="7">
        <v>0.0969271615967703</v>
      </c>
      <c r="T442" s="7">
        <v>0.1294787534444286</v>
      </c>
    </row>
    <row x14ac:dyDescent="0.25" r="443" customHeight="1" ht="19.5">
      <c r="A443" s="2" t="s">
        <v>2755</v>
      </c>
      <c r="B443" s="2" t="s">
        <v>2314</v>
      </c>
      <c r="C443" s="2" t="s">
        <v>31</v>
      </c>
      <c r="D443" s="2" t="s">
        <v>431</v>
      </c>
      <c r="E443" s="6">
        <v>1</v>
      </c>
      <c r="F443" s="6">
        <v>1</v>
      </c>
      <c r="G443" s="7">
        <v>0.6850937604904175</v>
      </c>
      <c r="H443" s="7">
        <v>5.80099609375</v>
      </c>
      <c r="I443" s="7">
        <v>12.97793147965083</v>
      </c>
      <c r="J443" s="7">
        <v>5.781415957370131</v>
      </c>
      <c r="K443" s="7">
        <v>1.117130543212407</v>
      </c>
      <c r="L443" s="7">
        <v>0.9806327502310176</v>
      </c>
      <c r="M443" s="7">
        <v>0.4328141824909047</v>
      </c>
      <c r="N443" s="7">
        <v>0.2399086975826389</v>
      </c>
      <c r="O443" s="7">
        <v>0.1045695581650203</v>
      </c>
      <c r="P443" s="7">
        <v>9.63336980133462</v>
      </c>
      <c r="Q443" s="7">
        <v>0.0195116354113873</v>
      </c>
      <c r="R443" s="7">
        <v>0.0698318461322855</v>
      </c>
      <c r="S443" s="7">
        <v>0.0984119965494761</v>
      </c>
      <c r="T443" s="7">
        <v>0.1313672248177973</v>
      </c>
    </row>
    <row x14ac:dyDescent="0.25" r="444" customHeight="1" ht="19.5">
      <c r="A444" s="2" t="s">
        <v>2756</v>
      </c>
      <c r="B444" s="2" t="s">
        <v>2314</v>
      </c>
      <c r="C444" s="2" t="s">
        <v>31</v>
      </c>
      <c r="D444" s="2" t="s">
        <v>431</v>
      </c>
      <c r="E444" s="6">
        <v>1</v>
      </c>
      <c r="F444" s="6">
        <v>1</v>
      </c>
      <c r="G444" s="7">
        <v>0.6705455183982849</v>
      </c>
      <c r="H444" s="7">
        <v>5.887578125</v>
      </c>
      <c r="I444" s="7">
        <v>13.02668412560467</v>
      </c>
      <c r="J444" s="7">
        <v>5.840398615559736</v>
      </c>
      <c r="K444" s="7">
        <v>1.120341273531648</v>
      </c>
      <c r="L444" s="7">
        <v>0.9798764640074412</v>
      </c>
      <c r="M444" s="7">
        <v>0.4359922628095083</v>
      </c>
      <c r="N444" s="7">
        <v>0.2410592667450135</v>
      </c>
      <c r="O444" s="7">
        <v>0.104054396678151</v>
      </c>
      <c r="P444" s="7">
        <v>9.632737433528728</v>
      </c>
      <c r="Q444" s="7">
        <v>0.0188807084904989</v>
      </c>
      <c r="R444" s="7">
        <v>0.0682660450894203</v>
      </c>
      <c r="S444" s="7">
        <v>0.0946689217527372</v>
      </c>
      <c r="T444" s="7">
        <v>0.1290166467641669</v>
      </c>
    </row>
    <row x14ac:dyDescent="0.25" r="445" customHeight="1" ht="19.5">
      <c r="A445" s="2" t="s">
        <v>2757</v>
      </c>
      <c r="B445" s="2" t="s">
        <v>2314</v>
      </c>
      <c r="C445" s="2" t="s">
        <v>31</v>
      </c>
      <c r="D445" s="2" t="s">
        <v>431</v>
      </c>
      <c r="E445" s="6">
        <v>1</v>
      </c>
      <c r="F445" s="6">
        <v>1</v>
      </c>
      <c r="G445" s="7">
        <v>0.6807942390441895</v>
      </c>
      <c r="H445" s="7">
        <v>5.7698265625</v>
      </c>
      <c r="I445" s="7">
        <v>12.95773747249518</v>
      </c>
      <c r="J445" s="7">
        <v>5.780722634491211</v>
      </c>
      <c r="K445" s="7">
        <v>1.115565377578924</v>
      </c>
      <c r="L445" s="7">
        <v>0.980374407004517</v>
      </c>
      <c r="M445" s="7">
        <v>0.4318314506759128</v>
      </c>
      <c r="N445" s="7">
        <v>0.2427139216800128</v>
      </c>
      <c r="O445" s="7">
        <v>0.1077172506785021</v>
      </c>
      <c r="P445" s="7">
        <v>9.61931339475582</v>
      </c>
      <c r="Q445" s="7">
        <v>0.0196970394504371</v>
      </c>
      <c r="R445" s="7">
        <v>0.0701483044981072</v>
      </c>
      <c r="S445" s="7">
        <v>0.0950793872746558</v>
      </c>
      <c r="T445" s="7">
        <v>0.1319029454169365</v>
      </c>
    </row>
    <row x14ac:dyDescent="0.25" r="446" customHeight="1" ht="19.5">
      <c r="A446" s="2" t="s">
        <v>2758</v>
      </c>
      <c r="B446" s="2" t="s">
        <v>2314</v>
      </c>
      <c r="C446" s="2" t="s">
        <v>31</v>
      </c>
      <c r="D446" s="2" t="s">
        <v>431</v>
      </c>
      <c r="E446" s="6">
        <v>1</v>
      </c>
      <c r="F446" s="6">
        <v>1</v>
      </c>
      <c r="G446" s="7">
        <v>0.6761496067047119</v>
      </c>
      <c r="H446" s="7">
        <v>5.846018750000001</v>
      </c>
      <c r="I446" s="7">
        <v>13.20741539002094</v>
      </c>
      <c r="J446" s="7">
        <v>5.840993709317821</v>
      </c>
      <c r="K446" s="7">
        <v>1.122028910133702</v>
      </c>
      <c r="L446" s="7">
        <v>0.9803521248807756</v>
      </c>
      <c r="M446" s="7">
        <v>0.4211476615869521</v>
      </c>
      <c r="N446" s="7">
        <v>0.2422370961746747</v>
      </c>
      <c r="O446" s="7">
        <v>0.1061820385640126</v>
      </c>
      <c r="P446" s="7">
        <v>9.6077742822373</v>
      </c>
      <c r="Q446" s="7">
        <v>0.0194782303284915</v>
      </c>
      <c r="R446" s="7">
        <v>0.0703803231004603</v>
      </c>
      <c r="S446" s="7">
        <v>0.096107747596657</v>
      </c>
      <c r="T446" s="7">
        <v>0.1321601372605386</v>
      </c>
    </row>
    <row x14ac:dyDescent="0.25" r="447" customHeight="1" ht="19.5">
      <c r="A447" s="2" t="s">
        <v>2759</v>
      </c>
      <c r="B447" s="2" t="s">
        <v>2314</v>
      </c>
      <c r="C447" s="2" t="s">
        <v>31</v>
      </c>
      <c r="D447" s="2" t="s">
        <v>431</v>
      </c>
      <c r="E447" s="6">
        <v>1</v>
      </c>
      <c r="F447" s="6">
        <v>1</v>
      </c>
      <c r="G447" s="7">
        <v>0.6727269887924194</v>
      </c>
      <c r="H447" s="7">
        <v>5.8390921875</v>
      </c>
      <c r="I447" s="7">
        <v>12.94345815309608</v>
      </c>
      <c r="J447" s="7">
        <v>5.781571273121438</v>
      </c>
      <c r="K447" s="7">
        <v>1.124138157877759</v>
      </c>
      <c r="L447" s="7">
        <v>0.9799079373828912</v>
      </c>
      <c r="M447" s="7">
        <v>0.4379802710915941</v>
      </c>
      <c r="N447" s="7">
        <v>0.2377818273243977</v>
      </c>
      <c r="O447" s="7">
        <v>0.1002159686079795</v>
      </c>
      <c r="P447" s="7">
        <v>9.683662952781052</v>
      </c>
      <c r="Q447" s="7">
        <v>0.0194014140913436</v>
      </c>
      <c r="R447" s="7">
        <v>0.0693255717994139</v>
      </c>
      <c r="S447" s="7">
        <v>0.0975947056346252</v>
      </c>
      <c r="T447" s="7">
        <v>0.1314829674275873</v>
      </c>
    </row>
    <row x14ac:dyDescent="0.25" r="448" customHeight="1" ht="19.5">
      <c r="A448" s="2" t="s">
        <v>2760</v>
      </c>
      <c r="B448" s="2" t="s">
        <v>2314</v>
      </c>
      <c r="C448" s="2" t="s">
        <v>31</v>
      </c>
      <c r="D448" s="2" t="s">
        <v>431</v>
      </c>
      <c r="E448" s="6">
        <v>1</v>
      </c>
      <c r="F448" s="6">
        <v>1</v>
      </c>
      <c r="G448" s="7">
        <v>0.6697769165039062</v>
      </c>
      <c r="H448" s="7">
        <v>5.78714296875</v>
      </c>
      <c r="I448" s="7">
        <v>12.92917883369699</v>
      </c>
      <c r="J448" s="7">
        <v>5.78153263295936</v>
      </c>
      <c r="K448" s="7">
        <v>1.115913820185575</v>
      </c>
      <c r="L448" s="7">
        <v>0.9804763996705154</v>
      </c>
      <c r="M448" s="7">
        <v>0.4350430053511589</v>
      </c>
      <c r="N448" s="7">
        <v>0.2442916007794256</v>
      </c>
      <c r="O448" s="7">
        <v>0.1066860400940204</v>
      </c>
      <c r="P448" s="7">
        <v>9.619104119707464</v>
      </c>
      <c r="Q448" s="7">
        <v>0.0194415608686244</v>
      </c>
      <c r="R448" s="7">
        <v>0.0700180779308825</v>
      </c>
      <c r="S448" s="7">
        <v>0.0976771263854247</v>
      </c>
      <c r="T448" s="7">
        <v>0.1305828434005461</v>
      </c>
    </row>
    <row x14ac:dyDescent="0.25" r="449" customHeight="1" ht="19.5">
      <c r="A449" s="2" t="s">
        <v>2761</v>
      </c>
      <c r="B449" s="2" t="s">
        <v>2314</v>
      </c>
      <c r="C449" s="2" t="s">
        <v>31</v>
      </c>
      <c r="D449" s="2" t="s">
        <v>431</v>
      </c>
      <c r="E449" s="6">
        <v>1</v>
      </c>
      <c r="F449" s="6">
        <v>1</v>
      </c>
      <c r="G449" s="7">
        <v>0.6730273962020874</v>
      </c>
      <c r="H449" s="7">
        <v>5.87026171875</v>
      </c>
      <c r="I449" s="7">
        <v>12.99221079904993</v>
      </c>
      <c r="J449" s="7">
        <v>5.782404470661991</v>
      </c>
      <c r="K449" s="7">
        <v>1.128231033717433</v>
      </c>
      <c r="L449" s="7">
        <v>0.9799246164316446</v>
      </c>
      <c r="M449" s="7">
        <v>0.4370198980906465</v>
      </c>
      <c r="N449" s="7">
        <v>0.2347201867778438</v>
      </c>
      <c r="O449" s="7">
        <v>0.0968166215244038</v>
      </c>
      <c r="P449" s="7">
        <v>9.681413354168264</v>
      </c>
      <c r="Q449" s="7">
        <v>0.018543089247808</v>
      </c>
      <c r="R449" s="7">
        <v>0.0680412295285796</v>
      </c>
      <c r="S449" s="7">
        <v>0.0945466090073828</v>
      </c>
      <c r="T449" s="7">
        <v>0.1263369339395864</v>
      </c>
    </row>
    <row x14ac:dyDescent="0.25" r="450" customHeight="1" ht="19.5">
      <c r="A450" s="2" t="s">
        <v>2762</v>
      </c>
      <c r="B450" s="2" t="s">
        <v>2314</v>
      </c>
      <c r="C450" s="2" t="s">
        <v>31</v>
      </c>
      <c r="D450" s="2" t="s">
        <v>431</v>
      </c>
      <c r="E450" s="6">
        <v>1</v>
      </c>
      <c r="F450" s="6">
        <v>1</v>
      </c>
      <c r="G450" s="7">
        <v>0.6685128211975098</v>
      </c>
      <c r="H450" s="7">
        <v>5.84948203125</v>
      </c>
      <c r="I450" s="7">
        <v>13.07543677155851</v>
      </c>
      <c r="J450" s="7">
        <v>5.84130017251193</v>
      </c>
      <c r="K450" s="7">
        <v>1.125738856148134</v>
      </c>
      <c r="L450" s="7">
        <v>0.9802174092518998</v>
      </c>
      <c r="M450" s="7">
        <v>0.4299469429736896</v>
      </c>
      <c r="N450" s="7">
        <v>0.2432102832408956</v>
      </c>
      <c r="O450" s="7">
        <v>0.1067974742362716</v>
      </c>
      <c r="P450" s="7">
        <v>9.606587369568215</v>
      </c>
      <c r="Q450" s="7">
        <v>0.0191019479504661</v>
      </c>
      <c r="R450" s="7">
        <v>0.0687991797546712</v>
      </c>
      <c r="S450" s="7">
        <v>0.0966106394503298</v>
      </c>
      <c r="T450" s="7">
        <v>0.1296838361013966</v>
      </c>
    </row>
    <row x14ac:dyDescent="0.25" r="451" customHeight="1" ht="19.5">
      <c r="A451" s="2" t="s">
        <v>2763</v>
      </c>
      <c r="B451" s="2" t="s">
        <v>2314</v>
      </c>
      <c r="C451" s="2" t="s">
        <v>31</v>
      </c>
      <c r="D451" s="2" t="s">
        <v>431</v>
      </c>
      <c r="E451" s="6">
        <v>1</v>
      </c>
      <c r="F451" s="6">
        <v>1</v>
      </c>
      <c r="G451" s="7">
        <v>0.6650561094284058</v>
      </c>
      <c r="H451" s="7">
        <v>5.804459375</v>
      </c>
      <c r="I451" s="7">
        <v>13.07543677155851</v>
      </c>
      <c r="J451" s="7">
        <v>5.782439986700275</v>
      </c>
      <c r="K451" s="7">
        <v>1.121506262059849</v>
      </c>
      <c r="L451" s="7">
        <v>0.9801975779024824</v>
      </c>
      <c r="M451" s="7">
        <v>0.4266377006654256</v>
      </c>
      <c r="N451" s="7">
        <v>0.2413335383245188</v>
      </c>
      <c r="O451" s="7">
        <v>0.1045655074849254</v>
      </c>
      <c r="P451" s="7">
        <v>9.637266003954997</v>
      </c>
      <c r="Q451" s="7">
        <v>0.0192982379973844</v>
      </c>
      <c r="R451" s="7">
        <v>0.0702969913795574</v>
      </c>
      <c r="S451" s="7">
        <v>0.0963893966046076</v>
      </c>
      <c r="T451" s="7">
        <v>0.1300080409488024</v>
      </c>
    </row>
    <row x14ac:dyDescent="0.25" r="452" customHeight="1" ht="19.5">
      <c r="A452" s="2" t="s">
        <v>2764</v>
      </c>
      <c r="B452" s="2" t="s">
        <v>2314</v>
      </c>
      <c r="C452" s="2" t="s">
        <v>31</v>
      </c>
      <c r="D452" s="2" t="s">
        <v>431</v>
      </c>
      <c r="E452" s="6">
        <v>1</v>
      </c>
      <c r="F452" s="6">
        <v>1</v>
      </c>
      <c r="G452" s="7">
        <v>0.6703354120254517</v>
      </c>
      <c r="H452" s="7">
        <v>5.828702343750001</v>
      </c>
      <c r="I452" s="7">
        <v>12.97793147965083</v>
      </c>
      <c r="J452" s="7">
        <v>5.781896034472304</v>
      </c>
      <c r="K452" s="7">
        <v>1.120973694610096</v>
      </c>
      <c r="L452" s="7">
        <v>0.98030376038306</v>
      </c>
      <c r="M452" s="7">
        <v>0.4348813547057867</v>
      </c>
      <c r="N452" s="7">
        <v>0.2388550669844743</v>
      </c>
      <c r="O452" s="7">
        <v>0.1020145311587985</v>
      </c>
      <c r="P452" s="7">
        <v>9.651382199438572</v>
      </c>
      <c r="Q452" s="7">
        <v>0.019415981373483</v>
      </c>
      <c r="R452" s="7">
        <v>0.0703342563795709</v>
      </c>
      <c r="S452" s="7">
        <v>0.0943681914782484</v>
      </c>
      <c r="T452" s="7">
        <v>0.1313475584661363</v>
      </c>
    </row>
    <row x14ac:dyDescent="0.25" r="453" customHeight="1" ht="19.5">
      <c r="A453" s="2" t="s">
        <v>2765</v>
      </c>
      <c r="B453" s="2" t="s">
        <v>2314</v>
      </c>
      <c r="C453" s="2" t="s">
        <v>31</v>
      </c>
      <c r="D453" s="2" t="s">
        <v>431</v>
      </c>
      <c r="E453" s="6">
        <v>1</v>
      </c>
      <c r="F453" s="6">
        <v>1</v>
      </c>
      <c r="G453" s="7">
        <v>0.6763005256652832</v>
      </c>
      <c r="H453" s="7">
        <v>5.81484921875</v>
      </c>
      <c r="I453" s="7">
        <v>12.94345815309608</v>
      </c>
      <c r="J453" s="7">
        <v>5.840147153040748</v>
      </c>
      <c r="K453" s="7">
        <v>1.113951669915176</v>
      </c>
      <c r="L453" s="7">
        <v>0.9805718365615486</v>
      </c>
      <c r="M453" s="7">
        <v>0.4361618476647606</v>
      </c>
      <c r="N453" s="7">
        <v>0.2488069132775147</v>
      </c>
      <c r="O453" s="7">
        <v>0.1114447054152659</v>
      </c>
      <c r="P453" s="7">
        <v>9.583891635421155</v>
      </c>
      <c r="Q453" s="7">
        <v>0.0194075565187792</v>
      </c>
      <c r="R453" s="7">
        <v>0.0691790747024492</v>
      </c>
      <c r="S453" s="7">
        <v>0.0930767339050858</v>
      </c>
      <c r="T453" s="7">
        <v>0.1309785256288584</v>
      </c>
    </row>
    <row x14ac:dyDescent="0.25" r="454" customHeight="1" ht="19.5">
      <c r="A454" s="2" t="s">
        <v>2766</v>
      </c>
      <c r="B454" s="2" t="s">
        <v>2314</v>
      </c>
      <c r="C454" s="2" t="s">
        <v>31</v>
      </c>
      <c r="D454" s="2" t="s">
        <v>431</v>
      </c>
      <c r="E454" s="6">
        <v>1</v>
      </c>
      <c r="F454" s="6">
        <v>1</v>
      </c>
      <c r="G454" s="7">
        <v>0.6763596534729004</v>
      </c>
      <c r="H454" s="7">
        <v>5.9083578125</v>
      </c>
      <c r="I454" s="7">
        <v>13.02668412560467</v>
      </c>
      <c r="J454" s="7">
        <v>5.841679782898024</v>
      </c>
      <c r="K454" s="7">
        <v>1.125454285336495</v>
      </c>
      <c r="L454" s="7">
        <v>0.9802421464085136</v>
      </c>
      <c r="M454" s="7">
        <v>0.4375310590311889</v>
      </c>
      <c r="N454" s="7">
        <v>0.2369283487732911</v>
      </c>
      <c r="O454" s="7">
        <v>0.0995234971288283</v>
      </c>
      <c r="P454" s="7">
        <v>9.664505779319462</v>
      </c>
      <c r="Q454" s="7">
        <v>0.0190169935246757</v>
      </c>
      <c r="R454" s="7">
        <v>0.0689292038208437</v>
      </c>
      <c r="S454" s="7">
        <v>0.097197576903574</v>
      </c>
      <c r="T454" s="7">
        <v>0.1304065565085393</v>
      </c>
    </row>
    <row x14ac:dyDescent="0.25" r="455" customHeight="1" ht="19.5">
      <c r="A455" s="2" t="s">
        <v>2767</v>
      </c>
      <c r="B455" s="2" t="s">
        <v>2314</v>
      </c>
      <c r="C455" s="2" t="s">
        <v>31</v>
      </c>
      <c r="D455" s="2" t="s">
        <v>431</v>
      </c>
      <c r="E455" s="6">
        <v>1</v>
      </c>
      <c r="F455" s="6">
        <v>1</v>
      </c>
      <c r="G455" s="7">
        <v>0.672272264957428</v>
      </c>
      <c r="H455" s="7">
        <v>5.842555468750001</v>
      </c>
      <c r="I455" s="7">
        <v>12.94345815309609</v>
      </c>
      <c r="J455" s="7">
        <v>5.781329873488702</v>
      </c>
      <c r="K455" s="7">
        <v>1.126821467762674</v>
      </c>
      <c r="L455" s="7">
        <v>0.979815800743824</v>
      </c>
      <c r="M455" s="7">
        <v>0.4382400458668558</v>
      </c>
      <c r="N455" s="7">
        <v>0.2377060966778145</v>
      </c>
      <c r="O455" s="7">
        <v>0.1001725754762901</v>
      </c>
      <c r="P455" s="7">
        <v>9.668662765201605</v>
      </c>
      <c r="Q455" s="7">
        <v>0.0192897609936396</v>
      </c>
      <c r="R455" s="7">
        <v>0.0697853182337912</v>
      </c>
      <c r="S455" s="7">
        <v>0.0945112358971349</v>
      </c>
      <c r="T455" s="7">
        <v>0.130803833134066</v>
      </c>
    </row>
    <row x14ac:dyDescent="0.25" r="456" customHeight="1" ht="19.5">
      <c r="A456" s="2" t="s">
        <v>2768</v>
      </c>
      <c r="B456" s="2" t="s">
        <v>2314</v>
      </c>
      <c r="C456" s="2" t="s">
        <v>31</v>
      </c>
      <c r="D456" s="2" t="s">
        <v>431</v>
      </c>
      <c r="E456" s="6">
        <v>1</v>
      </c>
      <c r="F456" s="6">
        <v>1</v>
      </c>
      <c r="G456" s="7">
        <v>0.6692793369293213</v>
      </c>
      <c r="H456" s="7">
        <v>5.897967968750001</v>
      </c>
      <c r="I456" s="7">
        <v>13.07543677155851</v>
      </c>
      <c r="J456" s="7">
        <v>5.84187361522625</v>
      </c>
      <c r="K456" s="7">
        <v>1.131583323353258</v>
      </c>
      <c r="L456" s="7">
        <v>0.9802122505557506</v>
      </c>
      <c r="M456" s="7">
        <v>0.4335107423825894</v>
      </c>
      <c r="N456" s="7">
        <v>0.2432986906696876</v>
      </c>
      <c r="O456" s="7">
        <v>0.1009930540599269</v>
      </c>
      <c r="P456" s="7">
        <v>9.65525455349352</v>
      </c>
      <c r="Q456" s="7">
        <v>0.0186440171694092</v>
      </c>
      <c r="R456" s="7">
        <v>0.0681635010136811</v>
      </c>
      <c r="S456" s="7">
        <v>0.0974941492107549</v>
      </c>
      <c r="T456" s="7">
        <v>0.1276240974746893</v>
      </c>
    </row>
    <row x14ac:dyDescent="0.25" r="457" customHeight="1" ht="19.5">
      <c r="A457" s="2" t="s">
        <v>2769</v>
      </c>
      <c r="B457" s="2" t="s">
        <v>2314</v>
      </c>
      <c r="C457" s="2" t="s">
        <v>31</v>
      </c>
      <c r="D457" s="2" t="s">
        <v>431</v>
      </c>
      <c r="E457" s="6">
        <v>1</v>
      </c>
      <c r="F457" s="6">
        <v>1</v>
      </c>
      <c r="G457" s="7">
        <v>0.672202467918396</v>
      </c>
      <c r="H457" s="7">
        <v>5.84948203125</v>
      </c>
      <c r="I457" s="7">
        <v>13.1586627440671</v>
      </c>
      <c r="J457" s="7">
        <v>5.841064999845316</v>
      </c>
      <c r="K457" s="7">
        <v>1.119685269288205</v>
      </c>
      <c r="L457" s="7">
        <v>0.9803431566191164</v>
      </c>
      <c r="M457" s="7">
        <v>0.4245254812813194</v>
      </c>
      <c r="N457" s="7">
        <v>0.2443666392270107</v>
      </c>
      <c r="O457" s="7">
        <v>0.1069028637752717</v>
      </c>
      <c r="P457" s="7">
        <v>9.609688596521426</v>
      </c>
      <c r="Q457" s="7">
        <v>0.019162291690065</v>
      </c>
      <c r="R457" s="7">
        <v>0.0685310743055538</v>
      </c>
      <c r="S457" s="7">
        <v>0.095805733589621</v>
      </c>
      <c r="T457" s="7">
        <v>0.1300935119970789</v>
      </c>
    </row>
    <row x14ac:dyDescent="0.25" r="458" customHeight="1" ht="19.5">
      <c r="A458" s="2" t="s">
        <v>2770</v>
      </c>
      <c r="B458" s="2" t="s">
        <v>2314</v>
      </c>
      <c r="C458" s="2" t="s">
        <v>31</v>
      </c>
      <c r="D458" s="2" t="s">
        <v>431</v>
      </c>
      <c r="E458" s="6">
        <v>1</v>
      </c>
      <c r="F458" s="6">
        <v>1</v>
      </c>
      <c r="G458" s="7">
        <v>0.6717236042022705</v>
      </c>
      <c r="H458" s="7">
        <v>5.846018750000001</v>
      </c>
      <c r="I458" s="7">
        <v>13.07543677155851</v>
      </c>
      <c r="J458" s="7">
        <v>5.782379819283468</v>
      </c>
      <c r="K458" s="7">
        <v>1.123774336026639</v>
      </c>
      <c r="L458" s="7">
        <v>0.9801066943885084</v>
      </c>
      <c r="M458" s="7">
        <v>0.429692385873054</v>
      </c>
      <c r="N458" s="7">
        <v>0.2358583340398813</v>
      </c>
      <c r="O458" s="7">
        <v>0.0994842958739867</v>
      </c>
      <c r="P458" s="7">
        <v>9.699504016318343</v>
      </c>
      <c r="Q458" s="7">
        <v>0.0192742801221906</v>
      </c>
      <c r="R458" s="7">
        <v>0.0697915287135893</v>
      </c>
      <c r="S458" s="7">
        <v>0.0975009536449566</v>
      </c>
      <c r="T458" s="7">
        <v>0.1307763315038306</v>
      </c>
    </row>
    <row x14ac:dyDescent="0.25" r="459" customHeight="1" ht="19.5">
      <c r="A459" s="2" t="s">
        <v>2771</v>
      </c>
      <c r="B459" s="2" t="s">
        <v>2314</v>
      </c>
      <c r="C459" s="2" t="s">
        <v>31</v>
      </c>
      <c r="D459" s="2" t="s">
        <v>431</v>
      </c>
      <c r="E459" s="6">
        <v>1</v>
      </c>
      <c r="F459" s="6">
        <v>1</v>
      </c>
      <c r="G459" s="7">
        <v>0.6409952044487</v>
      </c>
      <c r="H459" s="7">
        <v>5.717877343750001</v>
      </c>
      <c r="I459" s="7">
        <v>13.06115745215942</v>
      </c>
      <c r="J459" s="7">
        <v>5.840545843593549</v>
      </c>
      <c r="K459" s="7">
        <v>1.113482295302591</v>
      </c>
      <c r="L459" s="7">
        <v>0.9813114302550194</v>
      </c>
      <c r="M459" s="7">
        <v>0.4211932175296563</v>
      </c>
      <c r="N459" s="7">
        <v>0.2796559567995114</v>
      </c>
      <c r="O459" s="7">
        <v>0.1243178102850411</v>
      </c>
      <c r="P459" s="7">
        <v>9.328197206605193</v>
      </c>
      <c r="Q459" s="7">
        <v>0.011171379845121</v>
      </c>
      <c r="R459" s="7">
        <v>0.0456583265109254</v>
      </c>
      <c r="S459" s="7">
        <v>0.0756786737373699</v>
      </c>
      <c r="T459" s="7">
        <v>0.0741365605528992</v>
      </c>
    </row>
    <row x14ac:dyDescent="0.25" r="460" customHeight="1" ht="19.5">
      <c r="A460" s="2" t="s">
        <v>2772</v>
      </c>
      <c r="B460" s="2" t="s">
        <v>2314</v>
      </c>
      <c r="C460" s="2" t="s">
        <v>31</v>
      </c>
      <c r="D460" s="2" t="s">
        <v>431</v>
      </c>
      <c r="E460" s="6">
        <v>1</v>
      </c>
      <c r="F460" s="6">
        <v>1</v>
      </c>
      <c r="G460" s="7">
        <v>0.3956170380115509</v>
      </c>
      <c r="H460" s="7">
        <v>5.22609140625</v>
      </c>
      <c r="I460" s="7">
        <v>12.80311490299113</v>
      </c>
      <c r="J460" s="7">
        <v>5.782530811968959</v>
      </c>
      <c r="K460" s="7">
        <v>0.8938852931421202</v>
      </c>
      <c r="L460" s="7">
        <v>0.9865172836606512</v>
      </c>
      <c r="M460" s="7">
        <v>0.4006411734217254</v>
      </c>
      <c r="N460" s="7">
        <v>0.3254678762334337</v>
      </c>
      <c r="O460" s="7">
        <v>0.0544119376444909</v>
      </c>
      <c r="P460" s="7">
        <v>9.032695239262411</v>
      </c>
      <c r="Q460" s="7">
        <v>0.0045932943943253</v>
      </c>
      <c r="R460" s="7">
        <v>0.0253830917320076</v>
      </c>
      <c r="S460" s="7">
        <v>0.0411512649951753</v>
      </c>
      <c r="T460" s="7">
        <v>0.0278607024901808</v>
      </c>
    </row>
    <row x14ac:dyDescent="0.25" r="461" customHeight="1" ht="19.5">
      <c r="A461" s="2" t="s">
        <v>2773</v>
      </c>
      <c r="B461" s="2" t="s">
        <v>2314</v>
      </c>
      <c r="C461" s="2" t="s">
        <v>31</v>
      </c>
      <c r="D461" s="2" t="s">
        <v>431</v>
      </c>
      <c r="E461" s="6">
        <v>1</v>
      </c>
      <c r="F461" s="6">
        <v>1</v>
      </c>
      <c r="G461" s="7">
        <v>0.6228911280632019</v>
      </c>
      <c r="H461" s="7">
        <v>5.12565625</v>
      </c>
      <c r="I461" s="7">
        <v>12.66522159677214</v>
      </c>
      <c r="J461" s="7">
        <v>5.722638635730895</v>
      </c>
      <c r="K461" s="7">
        <v>0.9432880803940148</v>
      </c>
      <c r="L461" s="7">
        <v>0.9858717841341044</v>
      </c>
      <c r="M461" s="7">
        <v>0.4015445681714243</v>
      </c>
      <c r="N461" s="7">
        <v>0.2531999718510461</v>
      </c>
      <c r="O461" s="7">
        <v>0.0621152226994089</v>
      </c>
      <c r="P461" s="7">
        <v>9.453635611774624</v>
      </c>
      <c r="Q461" s="7">
        <v>0.0097662737063133</v>
      </c>
      <c r="R461" s="7">
        <v>0.040765224090678</v>
      </c>
      <c r="S461" s="7">
        <v>0.0651339682689048</v>
      </c>
      <c r="T461" s="7">
        <v>0.0580990657176507</v>
      </c>
    </row>
    <row x14ac:dyDescent="0.25" r="462" customHeight="1" ht="19.5">
      <c r="A462" s="2" t="s">
        <v>2774</v>
      </c>
      <c r="B462" s="2" t="s">
        <v>2314</v>
      </c>
      <c r="C462" s="2" t="s">
        <v>31</v>
      </c>
      <c r="D462" s="2" t="s">
        <v>431</v>
      </c>
      <c r="E462" s="6">
        <v>1</v>
      </c>
      <c r="F462" s="6">
        <v>1</v>
      </c>
      <c r="G462" s="7">
        <v>0.6509057879447937</v>
      </c>
      <c r="H462" s="7">
        <v>5.291893750000001</v>
      </c>
      <c r="I462" s="7">
        <v>12.77700620807891</v>
      </c>
      <c r="J462" s="7">
        <v>5.726195097324364</v>
      </c>
      <c r="K462" s="7">
        <v>1.019897367988683</v>
      </c>
      <c r="L462" s="7">
        <v>0.9842674386428378</v>
      </c>
      <c r="M462" s="7">
        <v>0.4073453549304802</v>
      </c>
      <c r="N462" s="7">
        <v>0.2294706418705056</v>
      </c>
      <c r="O462" s="7">
        <v>0.0764921486341196</v>
      </c>
      <c r="P462" s="7">
        <v>9.609247501995949</v>
      </c>
      <c r="Q462" s="7">
        <v>0.0177029523789151</v>
      </c>
      <c r="R462" s="7">
        <v>0.0603511770002333</v>
      </c>
      <c r="S462" s="7">
        <v>0.0847488222488919</v>
      </c>
      <c r="T462" s="7">
        <v>0.1087295516133747</v>
      </c>
    </row>
    <row x14ac:dyDescent="0.25" r="463" customHeight="1" ht="19.5">
      <c r="A463" s="2" t="s">
        <v>2775</v>
      </c>
      <c r="B463" s="2" t="s">
        <v>2314</v>
      </c>
      <c r="C463" s="2" t="s">
        <v>31</v>
      </c>
      <c r="D463" s="2" t="s">
        <v>431</v>
      </c>
      <c r="E463" s="6">
        <v>1</v>
      </c>
      <c r="F463" s="6">
        <v>1</v>
      </c>
      <c r="G463" s="7">
        <v>0.6556782126426697</v>
      </c>
      <c r="H463" s="7">
        <v>5.4234984375</v>
      </c>
      <c r="I463" s="7">
        <v>12.87451149998659</v>
      </c>
      <c r="J463" s="7">
        <v>5.787664910675736</v>
      </c>
      <c r="K463" s="7">
        <v>1.092105099304688</v>
      </c>
      <c r="L463" s="7">
        <v>0.9834432409280088</v>
      </c>
      <c r="M463" s="7">
        <v>0.4111761013589335</v>
      </c>
      <c r="N463" s="7">
        <v>0.243928570998923</v>
      </c>
      <c r="O463" s="7">
        <v>0.104620049626989</v>
      </c>
      <c r="P463" s="7">
        <v>9.533449875998755</v>
      </c>
      <c r="Q463" s="7">
        <v>0.024391661193181</v>
      </c>
      <c r="R463" s="7">
        <v>0.0794906083432908</v>
      </c>
      <c r="S463" s="7">
        <v>0.1092496661103909</v>
      </c>
      <c r="T463" s="7">
        <v>0.1535365148877858</v>
      </c>
    </row>
    <row x14ac:dyDescent="0.25" r="464" customHeight="1" ht="19.5">
      <c r="A464" s="2" t="s">
        <v>2776</v>
      </c>
      <c r="B464" s="2" t="s">
        <v>2314</v>
      </c>
      <c r="C464" s="2" t="s">
        <v>31</v>
      </c>
      <c r="D464" s="2" t="s">
        <v>431</v>
      </c>
      <c r="E464" s="6">
        <v>1</v>
      </c>
      <c r="F464" s="6">
        <v>1</v>
      </c>
      <c r="G464" s="7">
        <v>0.656384289264679</v>
      </c>
      <c r="H464" s="7">
        <v>5.333453125</v>
      </c>
      <c r="I464" s="7">
        <v>12.77700620807891</v>
      </c>
      <c r="J464" s="7">
        <v>5.727110484398688</v>
      </c>
      <c r="K464" s="7">
        <v>1.033796070696597</v>
      </c>
      <c r="L464" s="7">
        <v>0.983714950846428</v>
      </c>
      <c r="M464" s="7">
        <v>0.4105444022205102</v>
      </c>
      <c r="N464" s="7">
        <v>0.217971061036386</v>
      </c>
      <c r="O464" s="7">
        <v>0.0783636150897595</v>
      </c>
      <c r="P464" s="7">
        <v>9.73952381189913</v>
      </c>
      <c r="Q464" s="7">
        <v>0.0257447013391732</v>
      </c>
      <c r="R464" s="7">
        <v>0.0817038084600356</v>
      </c>
      <c r="S464" s="7">
        <v>0.1124537609737609</v>
      </c>
      <c r="T464" s="7">
        <v>0.1593628619644674</v>
      </c>
    </row>
    <row x14ac:dyDescent="0.25" r="465" customHeight="1" ht="19.5">
      <c r="A465" s="2" t="s">
        <v>2777</v>
      </c>
      <c r="B465" s="2" t="s">
        <v>2314</v>
      </c>
      <c r="C465" s="2" t="s">
        <v>31</v>
      </c>
      <c r="D465" s="2" t="s">
        <v>431</v>
      </c>
      <c r="E465" s="6">
        <v>1</v>
      </c>
      <c r="F465" s="6">
        <v>1</v>
      </c>
      <c r="G465" s="7">
        <v>0.6496391892433167</v>
      </c>
      <c r="H465" s="7">
        <v>5.2849671875</v>
      </c>
      <c r="I465" s="7">
        <v>12.70805955496942</v>
      </c>
      <c r="J465" s="7">
        <v>5.728074224586347</v>
      </c>
      <c r="K465" s="7">
        <v>1.002065692404575</v>
      </c>
      <c r="L465" s="7">
        <v>0.984192343524538</v>
      </c>
      <c r="M465" s="7">
        <v>0.4112384148154703</v>
      </c>
      <c r="N465" s="7">
        <v>0.2248245417328714</v>
      </c>
      <c r="O465" s="7">
        <v>0.0839092209546614</v>
      </c>
      <c r="P465" s="7">
        <v>9.67002406415017</v>
      </c>
      <c r="Q465" s="7">
        <v>0.0261281308387123</v>
      </c>
      <c r="R465" s="7">
        <v>0.083015456814756</v>
      </c>
      <c r="S465" s="7">
        <v>0.1103513643122261</v>
      </c>
      <c r="T465" s="7">
        <v>0.16026600729804</v>
      </c>
    </row>
    <row x14ac:dyDescent="0.25" r="466" customHeight="1" ht="19.5">
      <c r="A466" s="2" t="s">
        <v>2778</v>
      </c>
      <c r="B466" s="2" t="s">
        <v>2314</v>
      </c>
      <c r="C466" s="2" t="s">
        <v>31</v>
      </c>
      <c r="D466" s="2" t="s">
        <v>431</v>
      </c>
      <c r="E466" s="6">
        <v>1</v>
      </c>
      <c r="F466" s="6">
        <v>1</v>
      </c>
      <c r="G466" s="7">
        <v>0.6552209854125977</v>
      </c>
      <c r="H466" s="7">
        <v>5.361159375000001</v>
      </c>
      <c r="I466" s="7">
        <v>12.70805955496942</v>
      </c>
      <c r="J466" s="7">
        <v>5.726631329841219</v>
      </c>
      <c r="K466" s="7">
        <v>1.057253300042486</v>
      </c>
      <c r="L466" s="7">
        <v>0.9831215891477224</v>
      </c>
      <c r="M466" s="7">
        <v>0.4171671468770303</v>
      </c>
      <c r="N466" s="7">
        <v>0.2455541633031745</v>
      </c>
      <c r="O466" s="7">
        <v>0.1065382769719364</v>
      </c>
      <c r="P466" s="7">
        <v>9.51028633017515</v>
      </c>
      <c r="Q466" s="7">
        <v>0.0254009525150289</v>
      </c>
      <c r="R466" s="7">
        <v>0.0824447854306941</v>
      </c>
      <c r="S466" s="7">
        <v>0.1121063641538592</v>
      </c>
      <c r="T466" s="7">
        <v>0.1580518198113404</v>
      </c>
    </row>
    <row x14ac:dyDescent="0.25" r="467" customHeight="1" ht="19.5">
      <c r="A467" s="2" t="s">
        <v>2779</v>
      </c>
      <c r="B467" s="2" t="s">
        <v>2314</v>
      </c>
      <c r="C467" s="2" t="s">
        <v>31</v>
      </c>
      <c r="D467" s="2" t="s">
        <v>431</v>
      </c>
      <c r="E467" s="6">
        <v>1</v>
      </c>
      <c r="F467" s="6">
        <v>1</v>
      </c>
      <c r="G467" s="7">
        <v>0.6596400737762451</v>
      </c>
      <c r="H467" s="7">
        <v>5.378475781250001</v>
      </c>
      <c r="I467" s="7">
        <v>12.791285527478</v>
      </c>
      <c r="J467" s="7">
        <v>5.727981662308684</v>
      </c>
      <c r="K467" s="7">
        <v>1.055348361638988</v>
      </c>
      <c r="L467" s="7">
        <v>0.983164568218426</v>
      </c>
      <c r="M467" s="7">
        <v>0.4130862075445633</v>
      </c>
      <c r="N467" s="7">
        <v>0.2358934920647248</v>
      </c>
      <c r="O467" s="7">
        <v>0.1021431732223069</v>
      </c>
      <c r="P467" s="7">
        <v>9.565055636976403</v>
      </c>
      <c r="Q467" s="7">
        <v>0.0251118327173273</v>
      </c>
      <c r="R467" s="7">
        <v>0.08175612404515</v>
      </c>
      <c r="S467" s="7">
        <v>0.1081031276634732</v>
      </c>
      <c r="T467" s="7">
        <v>0.1567575283145514</v>
      </c>
    </row>
    <row x14ac:dyDescent="0.25" r="468" customHeight="1" ht="19.5">
      <c r="A468" s="2" t="s">
        <v>2780</v>
      </c>
      <c r="B468" s="2" t="s">
        <v>2314</v>
      </c>
      <c r="C468" s="2" t="s">
        <v>31</v>
      </c>
      <c r="D468" s="2" t="s">
        <v>431</v>
      </c>
      <c r="E468" s="6">
        <v>1</v>
      </c>
      <c r="F468" s="6">
        <v>1</v>
      </c>
      <c r="G468" s="7">
        <v>0.6494109630584717</v>
      </c>
      <c r="H468" s="7">
        <v>5.343842968750001</v>
      </c>
      <c r="I468" s="7">
        <v>12.84003817343184</v>
      </c>
      <c r="J468" s="7">
        <v>5.787758016983385</v>
      </c>
      <c r="K468" s="7">
        <v>1.041786504173238</v>
      </c>
      <c r="L468" s="7">
        <v>0.9843364770535672</v>
      </c>
      <c r="M468" s="7">
        <v>0.4073154858311226</v>
      </c>
      <c r="N468" s="7">
        <v>0.2258273211247538</v>
      </c>
      <c r="O468" s="7">
        <v>0.0871111590534241</v>
      </c>
      <c r="P468" s="7">
        <v>9.631458118418749</v>
      </c>
      <c r="Q468" s="7">
        <v>0.0260431737260201</v>
      </c>
      <c r="R468" s="7">
        <v>0.0825075929957918</v>
      </c>
      <c r="S468" s="7">
        <v>0.1126466713480349</v>
      </c>
      <c r="T468" s="7">
        <v>0.1615244889993954</v>
      </c>
    </row>
    <row x14ac:dyDescent="0.25" r="469" customHeight="1" ht="19.5">
      <c r="A469" s="2" t="s">
        <v>2781</v>
      </c>
      <c r="B469" s="2" t="s">
        <v>2314</v>
      </c>
      <c r="C469" s="2" t="s">
        <v>31</v>
      </c>
      <c r="D469" s="2" t="s">
        <v>431</v>
      </c>
      <c r="E469" s="6">
        <v>1</v>
      </c>
      <c r="F469" s="6">
        <v>1</v>
      </c>
      <c r="G469" s="7">
        <v>0.6607361435890198</v>
      </c>
      <c r="H469" s="7">
        <v>5.305746875000001</v>
      </c>
      <c r="I469" s="7">
        <v>12.72825356212507</v>
      </c>
      <c r="J469" s="7">
        <v>5.727179148399294</v>
      </c>
      <c r="K469" s="7">
        <v>1.026304225695167</v>
      </c>
      <c r="L469" s="7">
        <v>0.9840139318908911</v>
      </c>
      <c r="M469" s="7">
        <v>0.4115463499003901</v>
      </c>
      <c r="N469" s="7">
        <v>0.2185441577990216</v>
      </c>
      <c r="O469" s="7">
        <v>0.0785099714357619</v>
      </c>
      <c r="P469" s="7">
        <v>9.711185913356967</v>
      </c>
      <c r="Q469" s="7">
        <v>0.025730785656448</v>
      </c>
      <c r="R469" s="7">
        <v>0.0816047200710572</v>
      </c>
      <c r="S469" s="7">
        <v>0.1113446543049511</v>
      </c>
      <c r="T469" s="7">
        <v>0.1584493106361788</v>
      </c>
    </row>
    <row x14ac:dyDescent="0.25" r="470" customHeight="1" ht="19.5">
      <c r="A470" s="2" t="s">
        <v>2782</v>
      </c>
      <c r="B470" s="2" t="s">
        <v>2314</v>
      </c>
      <c r="C470" s="2" t="s">
        <v>31</v>
      </c>
      <c r="D470" s="2" t="s">
        <v>431</v>
      </c>
      <c r="E470" s="6">
        <v>1</v>
      </c>
      <c r="F470" s="6">
        <v>1</v>
      </c>
      <c r="G470" s="7">
        <v>0.6513241529464722</v>
      </c>
      <c r="H470" s="7">
        <v>5.381939062500001</v>
      </c>
      <c r="I470" s="7">
        <v>12.74253288152417</v>
      </c>
      <c r="J470" s="7">
        <v>5.726429519976648</v>
      </c>
      <c r="K470" s="7">
        <v>1.05578835229432</v>
      </c>
      <c r="L470" s="7">
        <v>0.9832268599556556</v>
      </c>
      <c r="M470" s="7">
        <v>0.4165212031977046</v>
      </c>
      <c r="N470" s="7">
        <v>0.2360696902591849</v>
      </c>
      <c r="O470" s="7">
        <v>0.1020241494393728</v>
      </c>
      <c r="P470" s="7">
        <v>9.51460512588855</v>
      </c>
      <c r="Q470" s="7">
        <v>0.0250960747894411</v>
      </c>
      <c r="R470" s="7">
        <v>0.0803443126991959</v>
      </c>
      <c r="S470" s="7">
        <v>0.1111358147439642</v>
      </c>
      <c r="T470" s="7">
        <v>0.1567600365715197</v>
      </c>
    </row>
    <row x14ac:dyDescent="0.25" r="471" customHeight="1" ht="19.5">
      <c r="A471" s="2" t="s">
        <v>2783</v>
      </c>
      <c r="B471" s="2" t="s">
        <v>2314</v>
      </c>
      <c r="C471" s="2" t="s">
        <v>31</v>
      </c>
      <c r="D471" s="2" t="s">
        <v>431</v>
      </c>
      <c r="E471" s="6">
        <v>1</v>
      </c>
      <c r="F471" s="6">
        <v>1</v>
      </c>
      <c r="G471" s="7">
        <v>0.6483802795410156</v>
      </c>
      <c r="H471" s="7">
        <v>5.31613671875</v>
      </c>
      <c r="I471" s="7">
        <v>12.76272688867982</v>
      </c>
      <c r="J471" s="7">
        <v>5.726055461358698</v>
      </c>
      <c r="K471" s="7">
        <v>1.024600810611822</v>
      </c>
      <c r="L471" s="7">
        <v>0.983881916375008</v>
      </c>
      <c r="M471" s="7">
        <v>0.41012765407199</v>
      </c>
      <c r="N471" s="7">
        <v>0.2158346747905641</v>
      </c>
      <c r="O471" s="7">
        <v>0.078737928906201</v>
      </c>
      <c r="P471" s="7">
        <v>9.664134292791855</v>
      </c>
      <c r="Q471" s="7">
        <v>0.0254214375501231</v>
      </c>
      <c r="R471" s="7">
        <v>0.0811940910996368</v>
      </c>
      <c r="S471" s="7">
        <v>0.1137801167056886</v>
      </c>
      <c r="T471" s="7">
        <v>0.1568509044250493</v>
      </c>
    </row>
    <row x14ac:dyDescent="0.25" r="472" customHeight="1" ht="19.5">
      <c r="A472" s="2" t="s">
        <v>2784</v>
      </c>
      <c r="B472" s="2" t="s">
        <v>2314</v>
      </c>
      <c r="C472" s="2" t="s">
        <v>31</v>
      </c>
      <c r="D472" s="2" t="s">
        <v>431</v>
      </c>
      <c r="E472" s="6">
        <v>1</v>
      </c>
      <c r="F472" s="6">
        <v>1</v>
      </c>
      <c r="G472" s="7">
        <v>0.6581705808639526</v>
      </c>
      <c r="H472" s="7">
        <v>5.34730625</v>
      </c>
      <c r="I472" s="7">
        <v>12.81147953463366</v>
      </c>
      <c r="J472" s="7">
        <v>5.78511448719869</v>
      </c>
      <c r="K472" s="7">
        <v>1.02616078130362</v>
      </c>
      <c r="L472" s="7">
        <v>0.9841182004798464</v>
      </c>
      <c r="M472" s="7">
        <v>0.4093985944747084</v>
      </c>
      <c r="N472" s="7">
        <v>0.2208780759523949</v>
      </c>
      <c r="O472" s="7">
        <v>0.0808891691371203</v>
      </c>
      <c r="P472" s="7">
        <v>9.68013291671323</v>
      </c>
      <c r="Q472" s="7">
        <v>0.0253485393490477</v>
      </c>
      <c r="R472" s="7">
        <v>0.0809428842793466</v>
      </c>
      <c r="S472" s="7">
        <v>0.1095454523371977</v>
      </c>
      <c r="T472" s="7">
        <v>0.1573181305324726</v>
      </c>
    </row>
    <row x14ac:dyDescent="0.25" r="473" customHeight="1" ht="19.5">
      <c r="A473" s="2" t="s">
        <v>2785</v>
      </c>
      <c r="B473" s="2" t="s">
        <v>2314</v>
      </c>
      <c r="C473" s="2" t="s">
        <v>31</v>
      </c>
      <c r="D473" s="2" t="s">
        <v>431</v>
      </c>
      <c r="E473" s="6">
        <v>1</v>
      </c>
      <c r="F473" s="6">
        <v>1</v>
      </c>
      <c r="G473" s="7">
        <v>0.643890380859375</v>
      </c>
      <c r="H473" s="7">
        <v>5.2988203125</v>
      </c>
      <c r="I473" s="7">
        <v>12.72825356212507</v>
      </c>
      <c r="J473" s="7">
        <v>5.726327907166221</v>
      </c>
      <c r="K473" s="7">
        <v>1.025527998018615</v>
      </c>
      <c r="L473" s="7">
        <v>0.9839688137263872</v>
      </c>
      <c r="M473" s="7">
        <v>0.4110090831250633</v>
      </c>
      <c r="N473" s="7">
        <v>0.2187448348035432</v>
      </c>
      <c r="O473" s="7">
        <v>0.0792288514138391</v>
      </c>
      <c r="P473" s="7">
        <v>9.693096522650483</v>
      </c>
      <c r="Q473" s="7">
        <v>0.0259986317471401</v>
      </c>
      <c r="R473" s="7">
        <v>0.0824843127806032</v>
      </c>
      <c r="S473" s="7">
        <v>0.113648771049214</v>
      </c>
      <c r="T473" s="7">
        <v>0.1598896917000925</v>
      </c>
    </row>
    <row x14ac:dyDescent="0.25" r="474" customHeight="1" ht="19.5">
      <c r="A474" s="2" t="s">
        <v>2786</v>
      </c>
      <c r="B474" s="2" t="s">
        <v>2314</v>
      </c>
      <c r="C474" s="2" t="s">
        <v>31</v>
      </c>
      <c r="D474" s="2" t="s">
        <v>431</v>
      </c>
      <c r="E474" s="6">
        <v>1</v>
      </c>
      <c r="F474" s="6">
        <v>1</v>
      </c>
      <c r="G474" s="7">
        <v>0.6534056067466736</v>
      </c>
      <c r="H474" s="7">
        <v>5.28150390625</v>
      </c>
      <c r="I474" s="7">
        <v>12.69378023557032</v>
      </c>
      <c r="J474" s="7">
        <v>5.726697437829744</v>
      </c>
      <c r="K474" s="7">
        <v>1.027017895168779</v>
      </c>
      <c r="L474" s="7">
        <v>0.9839888785745228</v>
      </c>
      <c r="M474" s="7">
        <v>0.411894050502181</v>
      </c>
      <c r="N474" s="7">
        <v>0.2190701439400783</v>
      </c>
      <c r="O474" s="7">
        <v>0.0816748952168971</v>
      </c>
      <c r="P474" s="7">
        <v>9.674302106347746</v>
      </c>
      <c r="Q474" s="7">
        <v>0.0258536308928335</v>
      </c>
      <c r="R474" s="7">
        <v>0.0821259907431488</v>
      </c>
      <c r="S474" s="7">
        <v>0.1078645822183634</v>
      </c>
      <c r="T474" s="7">
        <v>0.1584783458728689</v>
      </c>
    </row>
    <row x14ac:dyDescent="0.25" r="475" customHeight="1" ht="19.5">
      <c r="A475" s="2" t="s">
        <v>2787</v>
      </c>
      <c r="B475" s="2" t="s">
        <v>2314</v>
      </c>
      <c r="C475" s="2" t="s">
        <v>31</v>
      </c>
      <c r="D475" s="2" t="s">
        <v>431</v>
      </c>
      <c r="E475" s="6">
        <v>1</v>
      </c>
      <c r="F475" s="6">
        <v>1</v>
      </c>
      <c r="G475" s="7">
        <v>0.6507837772369385</v>
      </c>
      <c r="H475" s="7">
        <v>5.278040625</v>
      </c>
      <c r="I475" s="7">
        <v>12.62483358246083</v>
      </c>
      <c r="J475" s="7">
        <v>5.725303150670056</v>
      </c>
      <c r="K475" s="7">
        <v>1.024344317936069</v>
      </c>
      <c r="L475" s="7">
        <v>0.9838018808921982</v>
      </c>
      <c r="M475" s="7">
        <v>0.4161321483305157</v>
      </c>
      <c r="N475" s="7">
        <v>0.2189217441814355</v>
      </c>
      <c r="O475" s="7">
        <v>0.0829203260968239</v>
      </c>
      <c r="P475" s="7">
        <v>9.651895786923951</v>
      </c>
      <c r="Q475" s="7">
        <v>0.0257250069947796</v>
      </c>
      <c r="R475" s="7">
        <v>0.0815731195244859</v>
      </c>
      <c r="S475" s="7">
        <v>0.1111281627242283</v>
      </c>
      <c r="T475" s="7">
        <v>0.1575865001100722</v>
      </c>
    </row>
    <row x14ac:dyDescent="0.25" r="476" customHeight="1" ht="19.5">
      <c r="A476" s="2" t="s">
        <v>2788</v>
      </c>
      <c r="B476" s="2" t="s">
        <v>2314</v>
      </c>
      <c r="C476" s="2" t="s">
        <v>31</v>
      </c>
      <c r="D476" s="2" t="s">
        <v>431</v>
      </c>
      <c r="E476" s="6">
        <v>1</v>
      </c>
      <c r="F476" s="6">
        <v>1</v>
      </c>
      <c r="G476" s="7">
        <v>0.6484124660491943</v>
      </c>
      <c r="H476" s="7">
        <v>5.2849671875</v>
      </c>
      <c r="I476" s="7">
        <v>12.74253288152417</v>
      </c>
      <c r="J476" s="7">
        <v>5.726043527058534</v>
      </c>
      <c r="K476" s="7">
        <v>1.029145979492965</v>
      </c>
      <c r="L476" s="7">
        <v>0.9840259394477922</v>
      </c>
      <c r="M476" s="7">
        <v>0.4090163166536019</v>
      </c>
      <c r="N476" s="7">
        <v>0.2195407595407017</v>
      </c>
      <c r="O476" s="7">
        <v>0.0815349077020383</v>
      </c>
      <c r="P476" s="7">
        <v>9.660541608226318</v>
      </c>
      <c r="Q476" s="7">
        <v>0.0257303040686401</v>
      </c>
      <c r="R476" s="7">
        <v>0.0813662270413814</v>
      </c>
      <c r="S476" s="7">
        <v>0.107671132237816</v>
      </c>
      <c r="T476" s="7">
        <v>0.1578257979914761</v>
      </c>
    </row>
    <row x14ac:dyDescent="0.25" r="477" customHeight="1" ht="19.5">
      <c r="A477" s="2" t="s">
        <v>2789</v>
      </c>
      <c r="B477" s="2" t="s">
        <v>2314</v>
      </c>
      <c r="C477" s="2" t="s">
        <v>31</v>
      </c>
      <c r="D477" s="2" t="s">
        <v>431</v>
      </c>
      <c r="E477" s="6">
        <v>1</v>
      </c>
      <c r="F477" s="6">
        <v>1</v>
      </c>
      <c r="G477" s="7">
        <v>0.6535064578056335</v>
      </c>
      <c r="H477" s="7">
        <v>5.305746875000001</v>
      </c>
      <c r="I477" s="7">
        <v>12.72825356212507</v>
      </c>
      <c r="J477" s="7">
        <v>5.727317132204199</v>
      </c>
      <c r="K477" s="7">
        <v>1.025290437105167</v>
      </c>
      <c r="L477" s="7">
        <v>0.9839990166854772</v>
      </c>
      <c r="M477" s="7">
        <v>0.4115463499003902</v>
      </c>
      <c r="N477" s="7">
        <v>0.218040589297955</v>
      </c>
      <c r="O477" s="7">
        <v>0.0787972853107741</v>
      </c>
      <c r="P477" s="7">
        <v>9.670162139404566</v>
      </c>
      <c r="Q477" s="7">
        <v>0.0253979301440901</v>
      </c>
      <c r="R477" s="7">
        <v>0.0804960505786698</v>
      </c>
      <c r="S477" s="7">
        <v>0.1109210357541127</v>
      </c>
      <c r="T477" s="7">
        <v>0.1563995976123036</v>
      </c>
    </row>
    <row x14ac:dyDescent="0.25" r="478" customHeight="1" ht="19.5">
      <c r="A478" s="2" t="s">
        <v>2790</v>
      </c>
      <c r="B478" s="2" t="s">
        <v>2314</v>
      </c>
      <c r="C478" s="2" t="s">
        <v>31</v>
      </c>
      <c r="D478" s="2" t="s">
        <v>431</v>
      </c>
      <c r="E478" s="6">
        <v>1</v>
      </c>
      <c r="F478" s="6">
        <v>1</v>
      </c>
      <c r="G478" s="7">
        <v>0.6537476181983948</v>
      </c>
      <c r="H478" s="7">
        <v>5.2849671875</v>
      </c>
      <c r="I478" s="7">
        <v>12.69378023557033</v>
      </c>
      <c r="J478" s="7">
        <v>5.725355251511754</v>
      </c>
      <c r="K478" s="7">
        <v>1.025619622663416</v>
      </c>
      <c r="L478" s="7">
        <v>0.9839691954091516</v>
      </c>
      <c r="M478" s="7">
        <v>0.4121641449615267</v>
      </c>
      <c r="N478" s="7">
        <v>0.2188157107618677</v>
      </c>
      <c r="O478" s="7">
        <v>0.0809389569157433</v>
      </c>
      <c r="P478" s="7">
        <v>9.64688843978644</v>
      </c>
      <c r="Q478" s="7">
        <v>0.0256785860967207</v>
      </c>
      <c r="R478" s="7">
        <v>0.0817618716582525</v>
      </c>
      <c r="S478" s="7">
        <v>0.114035254851798</v>
      </c>
      <c r="T478" s="7">
        <v>0.1575085677649344</v>
      </c>
    </row>
    <row x14ac:dyDescent="0.25" r="479" customHeight="1" ht="19.5">
      <c r="A479" s="2" t="s">
        <v>2791</v>
      </c>
      <c r="B479" s="2" t="s">
        <v>2314</v>
      </c>
      <c r="C479" s="2" t="s">
        <v>31</v>
      </c>
      <c r="D479" s="2" t="s">
        <v>431</v>
      </c>
      <c r="E479" s="6">
        <v>1</v>
      </c>
      <c r="F479" s="6">
        <v>1</v>
      </c>
      <c r="G479" s="7">
        <v>0.6365638375282288</v>
      </c>
      <c r="H479" s="7">
        <v>5.236481250000001</v>
      </c>
      <c r="I479" s="7">
        <v>12.76272688867982</v>
      </c>
      <c r="J479" s="7">
        <v>5.785532259582318</v>
      </c>
      <c r="K479" s="7">
        <v>0.972330110669937</v>
      </c>
      <c r="L479" s="7">
        <v>0.9854236387602808</v>
      </c>
      <c r="M479" s="7">
        <v>0.4039824188643967</v>
      </c>
      <c r="N479" s="7">
        <v>0.204901693369173</v>
      </c>
      <c r="O479" s="7">
        <v>0.0629924103746357</v>
      </c>
      <c r="P479" s="7">
        <v>9.777079870381598</v>
      </c>
      <c r="Q479" s="7">
        <v>0.0267346524277012</v>
      </c>
      <c r="R479" s="7">
        <v>0.0832160163825216</v>
      </c>
      <c r="S479" s="7">
        <v>0.1113662050955133</v>
      </c>
      <c r="T479" s="7">
        <v>0.1624818574525159</v>
      </c>
    </row>
    <row x14ac:dyDescent="0.25" r="480" customHeight="1" ht="19.5">
      <c r="A480" s="2" t="s">
        <v>2792</v>
      </c>
      <c r="B480" s="2" t="s">
        <v>2314</v>
      </c>
      <c r="C480" s="2" t="s">
        <v>31</v>
      </c>
      <c r="D480" s="2" t="s">
        <v>431</v>
      </c>
      <c r="E480" s="6">
        <v>1</v>
      </c>
      <c r="F480" s="6">
        <v>1</v>
      </c>
      <c r="G480" s="7">
        <v>0.6437559127807617</v>
      </c>
      <c r="H480" s="7">
        <v>5.271114062500001</v>
      </c>
      <c r="I480" s="7">
        <v>12.69378023557033</v>
      </c>
      <c r="J480" s="7">
        <v>5.72789974585196</v>
      </c>
      <c r="K480" s="7">
        <v>1.027574441895852</v>
      </c>
      <c r="L480" s="7">
        <v>0.9840915369814884</v>
      </c>
      <c r="M480" s="7">
        <v>0.4110837671241439</v>
      </c>
      <c r="N480" s="7">
        <v>0.2175843122035204</v>
      </c>
      <c r="O480" s="7">
        <v>0.0824153013417842</v>
      </c>
      <c r="P480" s="7">
        <v>9.677957163483535</v>
      </c>
      <c r="Q480" s="7">
        <v>0.0258675122420934</v>
      </c>
      <c r="R480" s="7">
        <v>0.0811897350991026</v>
      </c>
      <c r="S480" s="7">
        <v>0.1121345083711188</v>
      </c>
      <c r="T480" s="7">
        <v>0.1582515081040422</v>
      </c>
    </row>
    <row x14ac:dyDescent="0.25" r="481" customHeight="1" ht="19.5">
      <c r="A481" s="2" t="s">
        <v>2793</v>
      </c>
      <c r="B481" s="2" t="s">
        <v>2314</v>
      </c>
      <c r="C481" s="2" t="s">
        <v>31</v>
      </c>
      <c r="D481" s="2" t="s">
        <v>431</v>
      </c>
      <c r="E481" s="6">
        <v>1</v>
      </c>
      <c r="F481" s="6">
        <v>1</v>
      </c>
      <c r="G481" s="7">
        <v>0.6454613208770752</v>
      </c>
      <c r="H481" s="7">
        <v>5.288430468750001</v>
      </c>
      <c r="I481" s="7">
        <v>12.72825356212507</v>
      </c>
      <c r="J481" s="7">
        <v>5.726906914264104</v>
      </c>
      <c r="K481" s="7">
        <v>1.023872299875641</v>
      </c>
      <c r="L481" s="7">
        <v>0.984065433645222</v>
      </c>
      <c r="M481" s="7">
        <v>0.410203182962073</v>
      </c>
      <c r="N481" s="7">
        <v>0.2214647187176666</v>
      </c>
      <c r="O481" s="7">
        <v>0.0802107185100693</v>
      </c>
      <c r="P481" s="7">
        <v>9.66327426831936</v>
      </c>
      <c r="Q481" s="7">
        <v>0.0258469051108205</v>
      </c>
      <c r="R481" s="7">
        <v>0.0810354385223113</v>
      </c>
      <c r="S481" s="7">
        <v>0.1103962171981009</v>
      </c>
      <c r="T481" s="7">
        <v>0.1586449043610063</v>
      </c>
    </row>
    <row x14ac:dyDescent="0.25" r="482" customHeight="1" ht="19.5">
      <c r="A482" s="2" t="s">
        <v>2794</v>
      </c>
      <c r="B482" s="2" t="s">
        <v>2314</v>
      </c>
      <c r="C482" s="2" t="s">
        <v>31</v>
      </c>
      <c r="D482" s="2" t="s">
        <v>431</v>
      </c>
      <c r="E482" s="6">
        <v>1</v>
      </c>
      <c r="F482" s="6">
        <v>1</v>
      </c>
      <c r="G482" s="7">
        <v>0.6629236936569214</v>
      </c>
      <c r="H482" s="7">
        <v>5.35076953125</v>
      </c>
      <c r="I482" s="7">
        <v>12.82575885403275</v>
      </c>
      <c r="J482" s="7">
        <v>5.785863302986595</v>
      </c>
      <c r="K482" s="7">
        <v>1.032131488707135</v>
      </c>
      <c r="L482" s="7">
        <v>0.9842216219781152</v>
      </c>
      <c r="M482" s="7">
        <v>0.4087520737976342</v>
      </c>
      <c r="N482" s="7">
        <v>0.2224497114739076</v>
      </c>
      <c r="O482" s="7">
        <v>0.08036885017344</v>
      </c>
      <c r="P482" s="7">
        <v>9.677209525093645</v>
      </c>
      <c r="Q482" s="7">
        <v>0.0251172840824219</v>
      </c>
      <c r="R482" s="7">
        <v>0.0812136446270139</v>
      </c>
      <c r="S482" s="7">
        <v>0.1115812795649016</v>
      </c>
      <c r="T482" s="7">
        <v>0.1559838742994076</v>
      </c>
    </row>
    <row x14ac:dyDescent="0.25" r="483" customHeight="1" ht="19.5">
      <c r="A483" s="2" t="s">
        <v>2795</v>
      </c>
      <c r="B483" s="2" t="s">
        <v>2314</v>
      </c>
      <c r="C483" s="2" t="s">
        <v>31</v>
      </c>
      <c r="D483" s="2" t="s">
        <v>431</v>
      </c>
      <c r="E483" s="6">
        <v>1</v>
      </c>
      <c r="F483" s="6">
        <v>1</v>
      </c>
      <c r="G483" s="7">
        <v>0.6379945278167725</v>
      </c>
      <c r="H483" s="7">
        <v>5.219164843750001</v>
      </c>
      <c r="I483" s="7">
        <v>12.64502758961649</v>
      </c>
      <c r="J483" s="7">
        <v>5.725652757576686</v>
      </c>
      <c r="K483" s="7">
        <v>1.001443062635324</v>
      </c>
      <c r="L483" s="7">
        <v>0.9848159417773747</v>
      </c>
      <c r="M483" s="7">
        <v>0.4101770105054352</v>
      </c>
      <c r="N483" s="7">
        <v>0.2373570970892261</v>
      </c>
      <c r="O483" s="7">
        <v>0.0801348541053204</v>
      </c>
      <c r="P483" s="7">
        <v>9.496609197538758</v>
      </c>
      <c r="Q483" s="7">
        <v>0.0174713272016426</v>
      </c>
      <c r="R483" s="7">
        <v>0.0633223743733631</v>
      </c>
      <c r="S483" s="7">
        <v>0.0930086206111005</v>
      </c>
      <c r="T483" s="7">
        <v>0.1058321676102595</v>
      </c>
    </row>
    <row x14ac:dyDescent="0.25" r="484" customHeight="1" ht="19.5">
      <c r="A484" s="2" t="s">
        <v>2796</v>
      </c>
      <c r="B484" s="2" t="s">
        <v>2314</v>
      </c>
      <c r="C484" s="2" t="s">
        <v>31</v>
      </c>
      <c r="D484" s="2" t="s">
        <v>431</v>
      </c>
      <c r="E484" s="6">
        <v>1</v>
      </c>
      <c r="F484" s="6">
        <v>1</v>
      </c>
      <c r="G484" s="7">
        <v>0.4576185643672943</v>
      </c>
      <c r="H484" s="7">
        <v>5.208775</v>
      </c>
      <c r="I484" s="7">
        <v>12.6164689508183</v>
      </c>
      <c r="J484" s="7">
        <v>5.664578661074424</v>
      </c>
      <c r="K484" s="7">
        <v>0.9503364415510752</v>
      </c>
      <c r="L484" s="7">
        <v>0.9847431200289496</v>
      </c>
      <c r="M484" s="7">
        <v>0.4112158212221825</v>
      </c>
      <c r="N484" s="7">
        <v>0.3128466166773487</v>
      </c>
      <c r="O484" s="7">
        <v>0.0691893913825975</v>
      </c>
      <c r="P484" s="7">
        <v>8.695231357278182</v>
      </c>
      <c r="Q484" s="7">
        <v>0.0017271275947635</v>
      </c>
      <c r="R484" s="7">
        <v>0.0109864002989508</v>
      </c>
      <c r="S484" s="7">
        <v>0.0241672308187838</v>
      </c>
      <c r="T484" s="7">
        <v>0.0104412092881584</v>
      </c>
    </row>
    <row x14ac:dyDescent="0.25" r="485" customHeight="1" ht="19.5">
      <c r="A485" s="2" t="s">
        <v>2797</v>
      </c>
      <c r="B485" s="2" t="s">
        <v>2314</v>
      </c>
      <c r="C485" s="2" t="s">
        <v>31</v>
      </c>
      <c r="D485" s="2" t="s">
        <v>431</v>
      </c>
      <c r="E485" s="6">
        <v>1</v>
      </c>
      <c r="F485" s="6">
        <v>1</v>
      </c>
      <c r="G485" s="7">
        <v>0.5654438138008118</v>
      </c>
      <c r="H485" s="7">
        <v>5.506617187500001</v>
      </c>
      <c r="I485" s="7">
        <v>13.03259881336123</v>
      </c>
      <c r="J485" s="7">
        <v>5.843848586595024</v>
      </c>
      <c r="K485" s="7">
        <v>1.009338829483836</v>
      </c>
      <c r="L485" s="7">
        <v>0.9839495172954552</v>
      </c>
      <c r="M485" s="7">
        <v>0.407410949761285</v>
      </c>
      <c r="N485" s="7">
        <v>0.2582047199443496</v>
      </c>
      <c r="O485" s="7">
        <v>0.0740092443375876</v>
      </c>
      <c r="P485" s="7">
        <v>9.1830347435503</v>
      </c>
      <c r="Q485" s="7">
        <v>0.0077468467201793</v>
      </c>
      <c r="R485" s="7">
        <v>0.0294382324298257</v>
      </c>
      <c r="S485" s="7">
        <v>0.0444701718013982</v>
      </c>
      <c r="T485" s="7">
        <v>0.0495108781308519</v>
      </c>
    </row>
    <row x14ac:dyDescent="0.25" r="486" customHeight="1" ht="19.5">
      <c r="A486" s="2" t="s">
        <v>2798</v>
      </c>
      <c r="B486" s="2" t="s">
        <v>2314</v>
      </c>
      <c r="C486" s="2" t="s">
        <v>31</v>
      </c>
      <c r="D486" s="2" t="s">
        <v>431</v>
      </c>
      <c r="E486" s="6">
        <v>1</v>
      </c>
      <c r="F486" s="6">
        <v>1</v>
      </c>
      <c r="G486" s="7">
        <v>0.6751255393028259</v>
      </c>
      <c r="H486" s="7">
        <v>5.58627265625</v>
      </c>
      <c r="I486" s="7">
        <v>12.65339222125902</v>
      </c>
      <c r="J486" s="7">
        <v>5.722954775991465</v>
      </c>
      <c r="K486" s="7">
        <v>1.128890729475116</v>
      </c>
      <c r="L486" s="7">
        <v>0.9796304897434626</v>
      </c>
      <c r="M486" s="7">
        <v>0.4384479588812933</v>
      </c>
      <c r="N486" s="7">
        <v>0.276100640900395</v>
      </c>
      <c r="O486" s="7">
        <v>0.1256219117771322</v>
      </c>
      <c r="P486" s="7">
        <v>9.150674034041154</v>
      </c>
      <c r="Q486" s="7">
        <v>0.0165597044920179</v>
      </c>
      <c r="R486" s="7">
        <v>0.0573534789013213</v>
      </c>
      <c r="S486" s="7">
        <v>0.0769474321494065</v>
      </c>
      <c r="T486" s="7">
        <v>0.1073656831121242</v>
      </c>
    </row>
    <row x14ac:dyDescent="0.25" r="487" customHeight="1" ht="19.5">
      <c r="A487" s="2" t="s">
        <v>2799</v>
      </c>
      <c r="B487" s="2" t="s">
        <v>2314</v>
      </c>
      <c r="C487" s="2" t="s">
        <v>31</v>
      </c>
      <c r="D487" s="2" t="s">
        <v>431</v>
      </c>
      <c r="E487" s="6">
        <v>1</v>
      </c>
      <c r="F487" s="6">
        <v>1</v>
      </c>
      <c r="G487" s="7">
        <v>0.6944503784179688</v>
      </c>
      <c r="H487" s="7">
        <v>5.451204687500001</v>
      </c>
      <c r="I487" s="7">
        <v>12.72233887436851</v>
      </c>
      <c r="J487" s="7">
        <v>5.724031651612834</v>
      </c>
      <c r="K487" s="7">
        <v>1.080065271438118</v>
      </c>
      <c r="L487" s="7">
        <v>0.9812982248280852</v>
      </c>
      <c r="M487" s="7">
        <v>0.4232221947444757</v>
      </c>
      <c r="N487" s="7">
        <v>0.2454393921854312</v>
      </c>
      <c r="O487" s="7">
        <v>0.1024471926282067</v>
      </c>
      <c r="P487" s="7">
        <v>9.39919961793509</v>
      </c>
      <c r="Q487" s="7">
        <v>0.0234920721283171</v>
      </c>
      <c r="R487" s="7">
        <v>0.0780088340053191</v>
      </c>
      <c r="S487" s="7">
        <v>0.0989164963173397</v>
      </c>
      <c r="T487" s="7">
        <v>0.1486293557631166</v>
      </c>
    </row>
    <row x14ac:dyDescent="0.25" r="488" customHeight="1" ht="19.5">
      <c r="A488" s="2" t="s">
        <v>2800</v>
      </c>
      <c r="B488" s="2" t="s">
        <v>2314</v>
      </c>
      <c r="C488" s="2" t="s">
        <v>31</v>
      </c>
      <c r="D488" s="2" t="s">
        <v>431</v>
      </c>
      <c r="E488" s="6">
        <v>1</v>
      </c>
      <c r="F488" s="6">
        <v>1</v>
      </c>
      <c r="G488" s="7">
        <v>0.7057814598083496</v>
      </c>
      <c r="H488" s="7">
        <v>5.37154921875</v>
      </c>
      <c r="I488" s="7">
        <v>12.63911290185993</v>
      </c>
      <c r="J488" s="7">
        <v>5.664069946147693</v>
      </c>
      <c r="K488" s="7">
        <v>1.07510857784268</v>
      </c>
      <c r="L488" s="7">
        <v>0.9811792412929417</v>
      </c>
      <c r="M488" s="7">
        <v>0.4225481813929894</v>
      </c>
      <c r="N488" s="7">
        <v>0.2474985963168111</v>
      </c>
      <c r="O488" s="7">
        <v>0.1057555571418399</v>
      </c>
      <c r="P488" s="7">
        <v>9.389227493082084</v>
      </c>
      <c r="Q488" s="7">
        <v>0.0243950759797654</v>
      </c>
      <c r="R488" s="7">
        <v>0.0794126989674975</v>
      </c>
      <c r="S488" s="7">
        <v>0.0984423921605717</v>
      </c>
      <c r="T488" s="7">
        <v>0.152087147548449</v>
      </c>
    </row>
    <row x14ac:dyDescent="0.25" r="489" customHeight="1" ht="19.5">
      <c r="A489" s="2" t="s">
        <v>2801</v>
      </c>
      <c r="B489" s="2" t="s">
        <v>2314</v>
      </c>
      <c r="C489" s="2" t="s">
        <v>31</v>
      </c>
      <c r="D489" s="2" t="s">
        <v>431</v>
      </c>
      <c r="E489" s="6">
        <v>1</v>
      </c>
      <c r="F489" s="6">
        <v>1</v>
      </c>
      <c r="G489" s="7">
        <v>0.6902918219566345</v>
      </c>
      <c r="H489" s="7">
        <v>5.35769609375</v>
      </c>
      <c r="I489" s="7">
        <v>12.55588692935134</v>
      </c>
      <c r="J489" s="7">
        <v>5.665156989489647</v>
      </c>
      <c r="K489" s="7">
        <v>1.085053139929341</v>
      </c>
      <c r="L489" s="7">
        <v>0.9811785271416604</v>
      </c>
      <c r="M489" s="7">
        <v>0.4270641807379512</v>
      </c>
      <c r="N489" s="7">
        <v>0.2499420583640903</v>
      </c>
      <c r="O489" s="7">
        <v>0.1073864824392134</v>
      </c>
      <c r="P489" s="7">
        <v>9.367275744710971</v>
      </c>
      <c r="Q489" s="7">
        <v>0.0244303914342941</v>
      </c>
      <c r="R489" s="7">
        <v>0.0798840314315841</v>
      </c>
      <c r="S489" s="7">
        <v>0.0969770625615588</v>
      </c>
      <c r="T489" s="7">
        <v>0.1519145183059748</v>
      </c>
    </row>
    <row x14ac:dyDescent="0.25" r="490" customHeight="1" ht="19.5">
      <c r="A490" s="2" t="s">
        <v>2802</v>
      </c>
      <c r="B490" s="2" t="s">
        <v>2314</v>
      </c>
      <c r="C490" s="2" t="s">
        <v>31</v>
      </c>
      <c r="D490" s="2" t="s">
        <v>431</v>
      </c>
      <c r="E490" s="6">
        <v>1</v>
      </c>
      <c r="F490" s="6">
        <v>1</v>
      </c>
      <c r="G490" s="7">
        <v>0.7042000889778137</v>
      </c>
      <c r="H490" s="7">
        <v>5.38540234375</v>
      </c>
      <c r="I490" s="7">
        <v>12.68786554781376</v>
      </c>
      <c r="J490" s="7">
        <v>5.722457525601465</v>
      </c>
      <c r="K490" s="7">
        <v>1.077421187284383</v>
      </c>
      <c r="L490" s="7">
        <v>0.981434860424942</v>
      </c>
      <c r="M490" s="7">
        <v>0.4203885544869178</v>
      </c>
      <c r="N490" s="7">
        <v>0.2486961455114038</v>
      </c>
      <c r="O490" s="7">
        <v>0.1111950138852739</v>
      </c>
      <c r="P490" s="7">
        <v>9.325587046063683</v>
      </c>
      <c r="Q490" s="7">
        <v>0.0245739209399015</v>
      </c>
      <c r="R490" s="7">
        <v>0.0793577537934774</v>
      </c>
      <c r="S490" s="7">
        <v>0.0945531415028074</v>
      </c>
      <c r="T490" s="7">
        <v>0.1535972328896975</v>
      </c>
    </row>
    <row x14ac:dyDescent="0.25" r="491" customHeight="1" ht="19.5">
      <c r="A491" s="2" t="s">
        <v>2803</v>
      </c>
      <c r="B491" s="2" t="s">
        <v>2314</v>
      </c>
      <c r="C491" s="2" t="s">
        <v>31</v>
      </c>
      <c r="D491" s="2" t="s">
        <v>431</v>
      </c>
      <c r="E491" s="6">
        <v>1</v>
      </c>
      <c r="F491" s="6">
        <v>1</v>
      </c>
      <c r="G491" s="7">
        <v>0.692204475402832</v>
      </c>
      <c r="H491" s="7">
        <v>5.40271875</v>
      </c>
      <c r="I491" s="7">
        <v>12.63911290185993</v>
      </c>
      <c r="J491" s="7">
        <v>5.724513023868492</v>
      </c>
      <c r="K491" s="7">
        <v>1.083842401974621</v>
      </c>
      <c r="L491" s="7">
        <v>0.9814584364576776</v>
      </c>
      <c r="M491" s="7">
        <v>0.4250001050761208</v>
      </c>
      <c r="N491" s="7">
        <v>0.2439870764906859</v>
      </c>
      <c r="O491" s="7">
        <v>0.107614492993169</v>
      </c>
      <c r="P491" s="7">
        <v>9.37931956184788</v>
      </c>
      <c r="Q491" s="7">
        <v>0.0244049801216883</v>
      </c>
      <c r="R491" s="7">
        <v>0.0787395870811687</v>
      </c>
      <c r="S491" s="7">
        <v>0.0989845488408103</v>
      </c>
      <c r="T491" s="7">
        <v>0.1530317689059707</v>
      </c>
    </row>
    <row x14ac:dyDescent="0.25" r="492" customHeight="1" ht="19.5">
      <c r="A492" s="2" t="s">
        <v>2804</v>
      </c>
      <c r="B492" s="2" t="s">
        <v>2314</v>
      </c>
      <c r="C492" s="2" t="s">
        <v>31</v>
      </c>
      <c r="D492" s="2" t="s">
        <v>431</v>
      </c>
      <c r="E492" s="6">
        <v>1</v>
      </c>
      <c r="F492" s="6">
        <v>1</v>
      </c>
      <c r="G492" s="7">
        <v>0.6981152296066284</v>
      </c>
      <c r="H492" s="7">
        <v>5.35769609375</v>
      </c>
      <c r="I492" s="7">
        <v>12.55588692935134</v>
      </c>
      <c r="J492" s="7">
        <v>5.664807414033554</v>
      </c>
      <c r="K492" s="7">
        <v>1.081765409538827</v>
      </c>
      <c r="L492" s="7">
        <v>0.9812518045075028</v>
      </c>
      <c r="M492" s="7">
        <v>0.4270641807379512</v>
      </c>
      <c r="N492" s="7">
        <v>0.2397243906382347</v>
      </c>
      <c r="O492" s="7">
        <v>0.1065339384225935</v>
      </c>
      <c r="P492" s="7">
        <v>9.374388688335578</v>
      </c>
      <c r="Q492" s="7">
        <v>0.0243159213125117</v>
      </c>
      <c r="R492" s="7">
        <v>0.0776171822611621</v>
      </c>
      <c r="S492" s="7">
        <v>0.1002808955518171</v>
      </c>
      <c r="T492" s="7">
        <v>0.1512027133618022</v>
      </c>
    </row>
    <row x14ac:dyDescent="0.25" r="493" customHeight="1" ht="19.5">
      <c r="A493" s="2" t="s">
        <v>2805</v>
      </c>
      <c r="B493" s="2" t="s">
        <v>2314</v>
      </c>
      <c r="C493" s="2" t="s">
        <v>31</v>
      </c>
      <c r="D493" s="2" t="s">
        <v>431</v>
      </c>
      <c r="E493" s="6">
        <v>1</v>
      </c>
      <c r="F493" s="6">
        <v>1</v>
      </c>
      <c r="G493" s="7">
        <v>0.7008920311927795</v>
      </c>
      <c r="H493" s="7">
        <v>5.520470312500001</v>
      </c>
      <c r="I493" s="7">
        <v>12.63911290185993</v>
      </c>
      <c r="J493" s="7">
        <v>5.664812318574135</v>
      </c>
      <c r="K493" s="7">
        <v>1.134445409663558</v>
      </c>
      <c r="L493" s="7">
        <v>0.9798163386513088</v>
      </c>
      <c r="M493" s="7">
        <v>0.4342629278790619</v>
      </c>
      <c r="N493" s="7">
        <v>0.2557624169308201</v>
      </c>
      <c r="O493" s="7">
        <v>0.1235882148984466</v>
      </c>
      <c r="P493" s="7">
        <v>9.2436455858046</v>
      </c>
      <c r="Q493" s="7">
        <v>0.0234517280501203</v>
      </c>
      <c r="R493" s="7">
        <v>0.0769209227038168</v>
      </c>
      <c r="S493" s="7">
        <v>0.0966559543286332</v>
      </c>
      <c r="T493" s="7">
        <v>0.1502594200133381</v>
      </c>
    </row>
    <row x14ac:dyDescent="0.25" r="494" customHeight="1" ht="19.5">
      <c r="A494" s="2" t="s">
        <v>2806</v>
      </c>
      <c r="B494" s="2" t="s">
        <v>2314</v>
      </c>
      <c r="C494" s="2" t="s">
        <v>31</v>
      </c>
      <c r="D494" s="2" t="s">
        <v>431</v>
      </c>
      <c r="E494" s="6">
        <v>1</v>
      </c>
      <c r="F494" s="6">
        <v>1</v>
      </c>
      <c r="G494" s="7">
        <v>0.6813355684280396</v>
      </c>
      <c r="H494" s="7">
        <v>5.39232890625</v>
      </c>
      <c r="I494" s="7">
        <v>12.63911290185992</v>
      </c>
      <c r="J494" s="7">
        <v>5.664993436978715</v>
      </c>
      <c r="K494" s="7">
        <v>1.076954602313162</v>
      </c>
      <c r="L494" s="7">
        <v>0.9814368465200006</v>
      </c>
      <c r="M494" s="7">
        <v>0.4241827971817438</v>
      </c>
      <c r="N494" s="7">
        <v>0.2351433298703282</v>
      </c>
      <c r="O494" s="7">
        <v>0.0992088100423899</v>
      </c>
      <c r="P494" s="7">
        <v>9.43079954366332</v>
      </c>
      <c r="Q494" s="7">
        <v>0.0244232254273503</v>
      </c>
      <c r="R494" s="7">
        <v>0.0784200298355746</v>
      </c>
      <c r="S494" s="7">
        <v>0.0985113241460844</v>
      </c>
      <c r="T494" s="7">
        <v>0.1528516644725007</v>
      </c>
    </row>
    <row x14ac:dyDescent="0.25" r="495" customHeight="1" ht="19.5">
      <c r="A495" s="2" t="s">
        <v>2807</v>
      </c>
      <c r="B495" s="2" t="s">
        <v>2314</v>
      </c>
      <c r="C495" s="2" t="s">
        <v>31</v>
      </c>
      <c r="D495" s="2" t="s">
        <v>431</v>
      </c>
      <c r="E495" s="6">
        <v>1</v>
      </c>
      <c r="F495" s="6">
        <v>1</v>
      </c>
      <c r="G495" s="7">
        <v>0.690118134021759</v>
      </c>
      <c r="H495" s="7">
        <v>5.378475781250001</v>
      </c>
      <c r="I495" s="7">
        <v>12.67358622841467</v>
      </c>
      <c r="J495" s="7">
        <v>5.725054987109889</v>
      </c>
      <c r="K495" s="7">
        <v>1.088176318366389</v>
      </c>
      <c r="L495" s="7">
        <v>0.9819105128282376</v>
      </c>
      <c r="M495" s="7">
        <v>0.4207944792843618</v>
      </c>
      <c r="N495" s="7">
        <v>0.2468113544159744</v>
      </c>
      <c r="O495" s="7">
        <v>0.1094558136093926</v>
      </c>
      <c r="P495" s="7">
        <v>9.330453971758086</v>
      </c>
      <c r="Q495" s="7">
        <v>0.0245705444757372</v>
      </c>
      <c r="R495" s="7">
        <v>0.0783812713190682</v>
      </c>
      <c r="S495" s="7">
        <v>0.0961198015876813</v>
      </c>
      <c r="T495" s="7">
        <v>0.153378603016166</v>
      </c>
    </row>
    <row x14ac:dyDescent="0.25" r="496" customHeight="1" ht="19.5">
      <c r="A496" s="2" t="s">
        <v>2808</v>
      </c>
      <c r="B496" s="2" t="s">
        <v>2314</v>
      </c>
      <c r="C496" s="2" t="s">
        <v>31</v>
      </c>
      <c r="D496" s="2" t="s">
        <v>431</v>
      </c>
      <c r="E496" s="6">
        <v>1</v>
      </c>
      <c r="F496" s="6">
        <v>1</v>
      </c>
      <c r="G496" s="7">
        <v>0.6979944109916687</v>
      </c>
      <c r="H496" s="7">
        <v>5.416571875000001</v>
      </c>
      <c r="I496" s="7">
        <v>12.72233887436851</v>
      </c>
      <c r="J496" s="7">
        <v>5.724464262121092</v>
      </c>
      <c r="K496" s="7">
        <v>1.082508014467676</v>
      </c>
      <c r="L496" s="7">
        <v>0.981526250116999</v>
      </c>
      <c r="M496" s="7">
        <v>0.4205333625034053</v>
      </c>
      <c r="N496" s="7">
        <v>0.2436009131850743</v>
      </c>
      <c r="O496" s="7">
        <v>0.1054298428143148</v>
      </c>
      <c r="P496" s="7">
        <v>9.36267661119466</v>
      </c>
      <c r="Q496" s="7">
        <v>0.0243832514292717</v>
      </c>
      <c r="R496" s="7">
        <v>0.079915080665496</v>
      </c>
      <c r="S496" s="7">
        <v>0.0985363803947328</v>
      </c>
      <c r="T496" s="7">
        <v>0.1532875586284083</v>
      </c>
    </row>
    <row x14ac:dyDescent="0.25" r="497" customHeight="1" ht="19.5">
      <c r="A497" s="2" t="s">
        <v>2809</v>
      </c>
      <c r="B497" s="2" t="s">
        <v>2314</v>
      </c>
      <c r="C497" s="2" t="s">
        <v>31</v>
      </c>
      <c r="D497" s="2" t="s">
        <v>431</v>
      </c>
      <c r="E497" s="6">
        <v>1</v>
      </c>
      <c r="F497" s="6">
        <v>1</v>
      </c>
      <c r="G497" s="7">
        <v>0.7012397646903992</v>
      </c>
      <c r="H497" s="7">
        <v>5.48237421875</v>
      </c>
      <c r="I497" s="7">
        <v>12.60463957530518</v>
      </c>
      <c r="J497" s="7">
        <v>5.664751585010476</v>
      </c>
      <c r="K497" s="7">
        <v>1.138532166999912</v>
      </c>
      <c r="L497" s="7">
        <v>0.9798590066394904</v>
      </c>
      <c r="M497" s="7">
        <v>0.4336283590913153</v>
      </c>
      <c r="N497" s="7">
        <v>0.2653806306037355</v>
      </c>
      <c r="O497" s="7">
        <v>0.1291739318774967</v>
      </c>
      <c r="P497" s="7">
        <v>9.184611138800136</v>
      </c>
      <c r="Q497" s="7">
        <v>0.0237711135168513</v>
      </c>
      <c r="R497" s="7">
        <v>0.0776105906149021</v>
      </c>
      <c r="S497" s="7">
        <v>0.0990732145600092</v>
      </c>
      <c r="T497" s="7">
        <v>0.1512547362256581</v>
      </c>
    </row>
    <row x14ac:dyDescent="0.25" r="498" customHeight="1" ht="19.5">
      <c r="A498" s="2" t="s">
        <v>2810</v>
      </c>
      <c r="B498" s="2" t="s">
        <v>2314</v>
      </c>
      <c r="C498" s="2" t="s">
        <v>31</v>
      </c>
      <c r="D498" s="2" t="s">
        <v>431</v>
      </c>
      <c r="E498" s="6">
        <v>1</v>
      </c>
      <c r="F498" s="6">
        <v>1</v>
      </c>
      <c r="G498" s="7">
        <v>0.7051578760147095</v>
      </c>
      <c r="H498" s="7">
        <v>5.42696171875</v>
      </c>
      <c r="I498" s="7">
        <v>12.61891889470427</v>
      </c>
      <c r="J498" s="7">
        <v>5.722765254357372</v>
      </c>
      <c r="K498" s="7">
        <v>1.136157359660752</v>
      </c>
      <c r="L498" s="7">
        <v>0.9805299571762078</v>
      </c>
      <c r="M498" s="7">
        <v>0.4282746058641289</v>
      </c>
      <c r="N498" s="7">
        <v>0.265947016854994</v>
      </c>
      <c r="O498" s="7">
        <v>0.1385744712026186</v>
      </c>
      <c r="P498" s="7">
        <v>9.15207532678903</v>
      </c>
      <c r="Q498" s="7">
        <v>0.0243314680730435</v>
      </c>
      <c r="R498" s="7">
        <v>0.0791113193485008</v>
      </c>
      <c r="S498" s="7">
        <v>0.0962238894768526</v>
      </c>
      <c r="T498" s="7">
        <v>0.1532554231891989</v>
      </c>
    </row>
    <row x14ac:dyDescent="0.25" r="499" customHeight="1" ht="19.5">
      <c r="A499" s="2" t="s">
        <v>2811</v>
      </c>
      <c r="B499" s="2" t="s">
        <v>2314</v>
      </c>
      <c r="C499" s="2" t="s">
        <v>31</v>
      </c>
      <c r="D499" s="2" t="s">
        <v>431</v>
      </c>
      <c r="E499" s="6">
        <v>1</v>
      </c>
      <c r="F499" s="6">
        <v>1</v>
      </c>
      <c r="G499" s="7">
        <v>0.6989374160766602</v>
      </c>
      <c r="H499" s="7">
        <v>5.520470312500001</v>
      </c>
      <c r="I499" s="7">
        <v>12.60463957530518</v>
      </c>
      <c r="J499" s="7">
        <v>5.663593424202543</v>
      </c>
      <c r="K499" s="7">
        <v>1.129698822393583</v>
      </c>
      <c r="L499" s="7">
        <v>0.9796933879042016</v>
      </c>
      <c r="M499" s="7">
        <v>0.4366415694198083</v>
      </c>
      <c r="N499" s="7">
        <v>0.2619587469578122</v>
      </c>
      <c r="O499" s="7">
        <v>0.1234159774554236</v>
      </c>
      <c r="P499" s="7">
        <v>9.235444494427217</v>
      </c>
      <c r="Q499" s="7">
        <v>0.023808943288772</v>
      </c>
      <c r="R499" s="7">
        <v>0.0783502883517354</v>
      </c>
      <c r="S499" s="7">
        <v>0.0973490460956984</v>
      </c>
      <c r="T499" s="7">
        <v>0.1525481619970853</v>
      </c>
    </row>
    <row x14ac:dyDescent="0.25" r="500" customHeight="1" ht="19.5">
      <c r="A500" s="2" t="s">
        <v>2812</v>
      </c>
      <c r="B500" s="2" t="s">
        <v>2314</v>
      </c>
      <c r="C500" s="2" t="s">
        <v>31</v>
      </c>
      <c r="D500" s="2" t="s">
        <v>431</v>
      </c>
      <c r="E500" s="6">
        <v>1</v>
      </c>
      <c r="F500" s="6">
        <v>1</v>
      </c>
      <c r="G500" s="7">
        <v>0.7053953409194946</v>
      </c>
      <c r="H500" s="7">
        <v>5.48237421875</v>
      </c>
      <c r="I500" s="7">
        <v>12.60463957530518</v>
      </c>
      <c r="J500" s="7">
        <v>5.665923503128341</v>
      </c>
      <c r="K500" s="7">
        <v>1.139397856835459</v>
      </c>
      <c r="L500" s="7">
        <v>0.9801326403806252</v>
      </c>
      <c r="M500" s="7">
        <v>0.4336283590913153</v>
      </c>
      <c r="N500" s="7">
        <v>0.2608549569382799</v>
      </c>
      <c r="O500" s="7">
        <v>0.1278059806435722</v>
      </c>
      <c r="P500" s="7">
        <v>9.222938405635174</v>
      </c>
      <c r="Q500" s="7">
        <v>0.0239646257350976</v>
      </c>
      <c r="R500" s="7">
        <v>0.0794127480357752</v>
      </c>
      <c r="S500" s="7">
        <v>0.0983032214541313</v>
      </c>
      <c r="T500" s="7">
        <v>0.1524860474768765</v>
      </c>
    </row>
    <row x14ac:dyDescent="0.25" r="501" customHeight="1" ht="19.5">
      <c r="A501" s="2" t="s">
        <v>2813</v>
      </c>
      <c r="B501" s="2" t="s">
        <v>2314</v>
      </c>
      <c r="C501" s="2" t="s">
        <v>31</v>
      </c>
      <c r="D501" s="2" t="s">
        <v>431</v>
      </c>
      <c r="E501" s="6">
        <v>1</v>
      </c>
      <c r="F501" s="6">
        <v>1</v>
      </c>
      <c r="G501" s="7">
        <v>0.706630527973175</v>
      </c>
      <c r="H501" s="7">
        <v>5.54471328125</v>
      </c>
      <c r="I501" s="7">
        <v>12.65339222125902</v>
      </c>
      <c r="J501" s="7">
        <v>5.722466246483458</v>
      </c>
      <c r="K501" s="7">
        <v>1.135676538481417</v>
      </c>
      <c r="L501" s="7">
        <v>0.9797960503804424</v>
      </c>
      <c r="M501" s="7">
        <v>0.4351861017786426</v>
      </c>
      <c r="N501" s="7">
        <v>0.2591479018250467</v>
      </c>
      <c r="O501" s="7">
        <v>0.1273576546446037</v>
      </c>
      <c r="P501" s="7">
        <v>9.189488824817374</v>
      </c>
      <c r="Q501" s="7">
        <v>0.0234653463727686</v>
      </c>
      <c r="R501" s="7">
        <v>0.0785164294565818</v>
      </c>
      <c r="S501" s="7">
        <v>0.0960642395118604</v>
      </c>
      <c r="T501" s="7">
        <v>0.1510069176576566</v>
      </c>
    </row>
    <row x14ac:dyDescent="0.25" r="502" customHeight="1" ht="19.5">
      <c r="A502" s="2" t="s">
        <v>2814</v>
      </c>
      <c r="B502" s="2" t="s">
        <v>2314</v>
      </c>
      <c r="C502" s="2" t="s">
        <v>31</v>
      </c>
      <c r="D502" s="2" t="s">
        <v>431</v>
      </c>
      <c r="E502" s="6">
        <v>1</v>
      </c>
      <c r="F502" s="6">
        <v>1</v>
      </c>
      <c r="G502" s="7">
        <v>0.6938618421554565</v>
      </c>
      <c r="H502" s="7">
        <v>5.3126734375</v>
      </c>
      <c r="I502" s="7">
        <v>12.5071342833975</v>
      </c>
      <c r="J502" s="7">
        <v>5.665536995668619</v>
      </c>
      <c r="K502" s="7">
        <v>1.060310586661894</v>
      </c>
      <c r="L502" s="7">
        <v>0.9817166635628536</v>
      </c>
      <c r="M502" s="7">
        <v>0.4267832437185496</v>
      </c>
      <c r="N502" s="7">
        <v>0.2432289983014799</v>
      </c>
      <c r="O502" s="7">
        <v>0.1090028964815994</v>
      </c>
      <c r="P502" s="7">
        <v>9.323369102344934</v>
      </c>
      <c r="Q502" s="7">
        <v>0.0251226906185376</v>
      </c>
      <c r="R502" s="7">
        <v>0.0808849613180994</v>
      </c>
      <c r="S502" s="7">
        <v>0.095691176496144</v>
      </c>
      <c r="T502" s="7">
        <v>0.1549066462295006</v>
      </c>
    </row>
    <row x14ac:dyDescent="0.25" r="503" customHeight="1" ht="19.5">
      <c r="A503" s="2" t="s">
        <v>2815</v>
      </c>
      <c r="B503" s="2" t="s">
        <v>2314</v>
      </c>
      <c r="C503" s="2" t="s">
        <v>31</v>
      </c>
      <c r="D503" s="2" t="s">
        <v>431</v>
      </c>
      <c r="E503" s="6">
        <v>1</v>
      </c>
      <c r="F503" s="6">
        <v>1</v>
      </c>
      <c r="G503" s="7">
        <v>0.6908915638923645</v>
      </c>
      <c r="H503" s="7">
        <v>5.222628125</v>
      </c>
      <c r="I503" s="7">
        <v>12.45838163744366</v>
      </c>
      <c r="J503" s="7">
        <v>5.664455489133076</v>
      </c>
      <c r="K503" s="7">
        <v>1.022736845599906</v>
      </c>
      <c r="L503" s="7">
        <v>0.9826629886360312</v>
      </c>
      <c r="M503" s="7">
        <v>0.4228396515341759</v>
      </c>
      <c r="N503" s="7">
        <v>0.2310846147069892</v>
      </c>
      <c r="O503" s="7">
        <v>0.0892617681052271</v>
      </c>
      <c r="P503" s="7">
        <v>9.4631571814131</v>
      </c>
      <c r="Q503" s="7">
        <v>0.0254041810365491</v>
      </c>
      <c r="R503" s="7">
        <v>0.0786115714163912</v>
      </c>
      <c r="S503" s="7">
        <v>0.1001469073174295</v>
      </c>
      <c r="T503" s="7">
        <v>0.1539873631326257</v>
      </c>
    </row>
    <row x14ac:dyDescent="0.25" r="504" customHeight="1" ht="19.5">
      <c r="A504" s="2" t="s">
        <v>2816</v>
      </c>
      <c r="B504" s="2" t="s">
        <v>2314</v>
      </c>
      <c r="C504" s="2" t="s">
        <v>31</v>
      </c>
      <c r="D504" s="2" t="s">
        <v>431</v>
      </c>
      <c r="E504" s="6">
        <v>1</v>
      </c>
      <c r="F504" s="6">
        <v>1</v>
      </c>
      <c r="G504" s="7">
        <v>0.6963250637054443</v>
      </c>
      <c r="H504" s="7">
        <v>5.361159375000001</v>
      </c>
      <c r="I504" s="7">
        <v>12.68786554781376</v>
      </c>
      <c r="J504" s="7">
        <v>5.723409970510501</v>
      </c>
      <c r="K504" s="7">
        <v>1.079222755886595</v>
      </c>
      <c r="L504" s="7">
        <v>0.9817177151812272</v>
      </c>
      <c r="M504" s="7">
        <v>0.4184961301258836</v>
      </c>
      <c r="N504" s="7">
        <v>0.2482768448552981</v>
      </c>
      <c r="O504" s="7">
        <v>0.1119312122718101</v>
      </c>
      <c r="P504" s="7">
        <v>9.338236523401475</v>
      </c>
      <c r="Q504" s="7">
        <v>0.0248895790813215</v>
      </c>
      <c r="R504" s="7">
        <v>0.0796682899723843</v>
      </c>
      <c r="S504" s="7">
        <v>0.0985723678443226</v>
      </c>
      <c r="T504" s="7">
        <v>0.1548699115048387</v>
      </c>
    </row>
    <row x14ac:dyDescent="0.25" r="505" customHeight="1" ht="19.5">
      <c r="A505" s="2" t="s">
        <v>2817</v>
      </c>
      <c r="B505" s="2" t="s">
        <v>2314</v>
      </c>
      <c r="C505" s="2" t="s">
        <v>31</v>
      </c>
      <c r="D505" s="2" t="s">
        <v>431</v>
      </c>
      <c r="E505" s="6">
        <v>1</v>
      </c>
      <c r="F505" s="6">
        <v>1</v>
      </c>
      <c r="G505" s="7">
        <v>0.7037554979324341</v>
      </c>
      <c r="H505" s="7">
        <v>5.46159453125</v>
      </c>
      <c r="I505" s="7">
        <v>12.70214486721286</v>
      </c>
      <c r="J505" s="7">
        <v>5.72325445550157</v>
      </c>
      <c r="K505" s="7">
        <v>1.135588018661144</v>
      </c>
      <c r="L505" s="7">
        <v>0.9803799798333822</v>
      </c>
      <c r="M505" s="7">
        <v>0.4253781674259303</v>
      </c>
      <c r="N505" s="7">
        <v>0.2699671132668576</v>
      </c>
      <c r="O505" s="7">
        <v>0.1363864836213305</v>
      </c>
      <c r="P505" s="7">
        <v>9.148595639997716</v>
      </c>
      <c r="Q505" s="7">
        <v>0.0238340184565517</v>
      </c>
      <c r="R505" s="7">
        <v>0.0787010741299831</v>
      </c>
      <c r="S505" s="7">
        <v>0.0964951888468057</v>
      </c>
      <c r="T505" s="7">
        <v>0.1510801844458885</v>
      </c>
    </row>
    <row x14ac:dyDescent="0.25" r="506" customHeight="1" ht="19.5">
      <c r="A506" s="2" t="s">
        <v>2818</v>
      </c>
      <c r="B506" s="2" t="s">
        <v>2314</v>
      </c>
      <c r="C506" s="2" t="s">
        <v>31</v>
      </c>
      <c r="D506" s="2" t="s">
        <v>431</v>
      </c>
      <c r="E506" s="6">
        <v>1</v>
      </c>
      <c r="F506" s="6">
        <v>1</v>
      </c>
      <c r="G506" s="7">
        <v>0.6923889517784119</v>
      </c>
      <c r="H506" s="7">
        <v>5.39232890625</v>
      </c>
      <c r="I506" s="7">
        <v>12.62483358246083</v>
      </c>
      <c r="J506" s="7">
        <v>5.666261119376388</v>
      </c>
      <c r="K506" s="7">
        <v>1.081286413752023</v>
      </c>
      <c r="L506" s="7">
        <v>0.9813751467771004</v>
      </c>
      <c r="M506" s="7">
        <v>0.4251428838258614</v>
      </c>
      <c r="N506" s="7">
        <v>0.2501831381276844</v>
      </c>
      <c r="O506" s="7">
        <v>0.107919694776528</v>
      </c>
      <c r="P506" s="7">
        <v>9.353262128800974</v>
      </c>
      <c r="Q506" s="7">
        <v>0.0240244149217646</v>
      </c>
      <c r="R506" s="7">
        <v>0.0781411031260731</v>
      </c>
      <c r="S506" s="7">
        <v>0.0969537875823994</v>
      </c>
      <c r="T506" s="7">
        <v>0.1503557267525129</v>
      </c>
    </row>
    <row x14ac:dyDescent="0.25" r="507" customHeight="1" ht="19.5">
      <c r="A507" s="2" t="s">
        <v>2819</v>
      </c>
      <c r="B507" s="2" t="s">
        <v>2314</v>
      </c>
      <c r="C507" s="2" t="s">
        <v>31</v>
      </c>
      <c r="D507" s="2" t="s">
        <v>431</v>
      </c>
      <c r="E507" s="6">
        <v>1</v>
      </c>
      <c r="F507" s="6">
        <v>1</v>
      </c>
      <c r="G507" s="7">
        <v>0.6370319128036499</v>
      </c>
      <c r="H507" s="7">
        <v>5.503153906250001</v>
      </c>
      <c r="I507" s="7">
        <v>12.77700620807891</v>
      </c>
      <c r="J507" s="7">
        <v>5.783565326366773</v>
      </c>
      <c r="K507" s="7">
        <v>1.067090922166986</v>
      </c>
      <c r="L507" s="7">
        <v>0.9819114809702768</v>
      </c>
      <c r="M507" s="7">
        <v>0.4236071786547992</v>
      </c>
      <c r="N507" s="7">
        <v>0.2900116542487151</v>
      </c>
      <c r="O507" s="7">
        <v>0.1089883426876998</v>
      </c>
      <c r="P507" s="7">
        <v>8.96528082165896</v>
      </c>
      <c r="Q507" s="7">
        <v>0.0109514355658343</v>
      </c>
      <c r="R507" s="7">
        <v>0.0398989505621865</v>
      </c>
      <c r="S507" s="7">
        <v>0.0614864923698331</v>
      </c>
      <c r="T507" s="7">
        <v>0.0699477084531175</v>
      </c>
    </row>
    <row x14ac:dyDescent="0.25" r="508" customHeight="1" ht="19.5">
      <c r="A508" s="2" t="s">
        <v>2820</v>
      </c>
      <c r="B508" s="2" t="s">
        <v>2314</v>
      </c>
      <c r="C508" s="2" t="s">
        <v>31</v>
      </c>
      <c r="D508" s="2" t="s">
        <v>431</v>
      </c>
      <c r="E508" s="6">
        <v>1</v>
      </c>
      <c r="F508" s="6">
        <v>1</v>
      </c>
      <c r="G508" s="7">
        <v>0.2832662761211395</v>
      </c>
      <c r="H508" s="7">
        <v>4.42261015625</v>
      </c>
      <c r="I508" s="7">
        <v>11.37052930707547</v>
      </c>
      <c r="J508" s="7">
        <v>5.068946537536863</v>
      </c>
      <c r="K508" s="7">
        <v>0.8963843895819401</v>
      </c>
      <c r="L508" s="7">
        <v>0.9828533836813952</v>
      </c>
      <c r="M508" s="7">
        <v>0.4298601234946415</v>
      </c>
      <c r="N508" s="7">
        <v>0.3098191632572739</v>
      </c>
      <c r="O508" s="7">
        <v>0.0634419007409279</v>
      </c>
      <c r="P508" s="7">
        <v>8.705918264465572</v>
      </c>
      <c r="Q508" s="7">
        <v>0.0020104784288936</v>
      </c>
      <c r="R508" s="7">
        <v>0.0108334401823394</v>
      </c>
      <c r="S508" s="7">
        <v>0.0217029633094963</v>
      </c>
      <c r="T508" s="7">
        <v>0.0103197424029517</v>
      </c>
    </row>
    <row x14ac:dyDescent="0.25" r="509" customHeight="1" ht="19.5">
      <c r="A509" s="2" t="s">
        <v>2821</v>
      </c>
      <c r="B509" s="2" t="s">
        <v>2314</v>
      </c>
      <c r="C509" s="2" t="s">
        <v>31</v>
      </c>
      <c r="D509" s="2" t="s">
        <v>431</v>
      </c>
      <c r="E509" s="6">
        <v>1</v>
      </c>
      <c r="F509" s="6">
        <v>1</v>
      </c>
      <c r="G509" s="7">
        <v>0.5458099246025085</v>
      </c>
      <c r="H509" s="7">
        <v>4.99751484375</v>
      </c>
      <c r="I509" s="7">
        <v>12.80311490299113</v>
      </c>
      <c r="J509" s="7">
        <v>5.728717254527053</v>
      </c>
      <c r="K509" s="7">
        <v>0.9076938538632312</v>
      </c>
      <c r="L509" s="7">
        <v>0.9871108702712672</v>
      </c>
      <c r="M509" s="7">
        <v>0.383118100230318</v>
      </c>
      <c r="N509" s="7">
        <v>0.268025744928426</v>
      </c>
      <c r="O509" s="7">
        <v>0.0577032067711895</v>
      </c>
      <c r="P509" s="7">
        <v>9.168838700094394</v>
      </c>
      <c r="Q509" s="7">
        <v>0.007459670524238</v>
      </c>
      <c r="R509" s="7">
        <v>0.028057572391262</v>
      </c>
      <c r="S509" s="7">
        <v>0.0413430080014571</v>
      </c>
      <c r="T509" s="7">
        <v>0.0432677706489089</v>
      </c>
    </row>
    <row x14ac:dyDescent="0.25" r="510" customHeight="1" ht="19.5">
      <c r="A510" s="2" t="s">
        <v>2822</v>
      </c>
      <c r="B510" s="2" t="s">
        <v>2314</v>
      </c>
      <c r="C510" s="2" t="s">
        <v>31</v>
      </c>
      <c r="D510" s="2" t="s">
        <v>431</v>
      </c>
      <c r="E510" s="6">
        <v>1</v>
      </c>
      <c r="F510" s="6">
        <v>1</v>
      </c>
      <c r="G510" s="7">
        <v>0.6181802749633789</v>
      </c>
      <c r="H510" s="7">
        <v>5.19145859375</v>
      </c>
      <c r="I510" s="7">
        <v>12.69969492332689</v>
      </c>
      <c r="J510" s="7">
        <v>5.729599434640288</v>
      </c>
      <c r="K510" s="7">
        <v>0.9761376114276106</v>
      </c>
      <c r="L510" s="7">
        <v>0.9853872303208588</v>
      </c>
      <c r="M510" s="7">
        <v>0.4044945569322331</v>
      </c>
      <c r="N510" s="7">
        <v>0.2375311363041705</v>
      </c>
      <c r="O510" s="7">
        <v>0.062371984346359</v>
      </c>
      <c r="P510" s="7">
        <v>9.511254745656732</v>
      </c>
      <c r="Q510" s="7">
        <v>0.015334581860405</v>
      </c>
      <c r="R510" s="7">
        <v>0.0516437936068364</v>
      </c>
      <c r="S510" s="7">
        <v>0.0725202506430521</v>
      </c>
      <c r="T510" s="7">
        <v>0.0923957750439327</v>
      </c>
    </row>
    <row x14ac:dyDescent="0.25" r="511" customHeight="1" ht="19.5">
      <c r="A511" s="2" t="s">
        <v>2823</v>
      </c>
      <c r="B511" s="2" t="s">
        <v>2314</v>
      </c>
      <c r="C511" s="2" t="s">
        <v>31</v>
      </c>
      <c r="D511" s="2" t="s">
        <v>431</v>
      </c>
      <c r="E511" s="6">
        <v>1</v>
      </c>
      <c r="F511" s="6">
        <v>1</v>
      </c>
      <c r="G511" s="7">
        <v>0.6605727672576904</v>
      </c>
      <c r="H511" s="7">
        <v>5.37154921875</v>
      </c>
      <c r="I511" s="7">
        <v>12.77700620807891</v>
      </c>
      <c r="J511" s="7">
        <v>5.728639585422682</v>
      </c>
      <c r="K511" s="7">
        <v>1.087482858505948</v>
      </c>
      <c r="L511" s="7">
        <v>0.983046477398259</v>
      </c>
      <c r="M511" s="7">
        <v>0.4134768622363711</v>
      </c>
      <c r="N511" s="7">
        <v>0.258758822002919</v>
      </c>
      <c r="O511" s="7">
        <v>0.1092000297537137</v>
      </c>
      <c r="P511" s="7">
        <v>9.34419115372874</v>
      </c>
      <c r="Q511" s="7">
        <v>0.0202994862728052</v>
      </c>
      <c r="R511" s="7">
        <v>0.0668134691665385</v>
      </c>
      <c r="S511" s="7">
        <v>0.0887386300358482</v>
      </c>
      <c r="T511" s="7">
        <v>0.1265538572821256</v>
      </c>
    </row>
    <row x14ac:dyDescent="0.25" r="512" customHeight="1" ht="19.5">
      <c r="A512" s="2" t="s">
        <v>2824</v>
      </c>
      <c r="B512" s="2" t="s">
        <v>2314</v>
      </c>
      <c r="C512" s="2" t="s">
        <v>31</v>
      </c>
      <c r="D512" s="2" t="s">
        <v>431</v>
      </c>
      <c r="E512" s="6">
        <v>1</v>
      </c>
      <c r="F512" s="6">
        <v>1</v>
      </c>
      <c r="G512" s="7">
        <v>0.6584586501121521</v>
      </c>
      <c r="H512" s="7">
        <v>5.309210156250001</v>
      </c>
      <c r="I512" s="7">
        <v>12.79720021523457</v>
      </c>
      <c r="J512" s="7">
        <v>5.731921210281683</v>
      </c>
      <c r="K512" s="7">
        <v>1.036440793800592</v>
      </c>
      <c r="L512" s="7">
        <v>0.98384424549694</v>
      </c>
      <c r="M512" s="7">
        <v>0.4073895186492491</v>
      </c>
      <c r="N512" s="7">
        <v>0.2354601890580027</v>
      </c>
      <c r="O512" s="7">
        <v>0.0802135214767599</v>
      </c>
      <c r="P512" s="7">
        <v>9.53685431796822</v>
      </c>
      <c r="Q512" s="7">
        <v>0.0208564910985563</v>
      </c>
      <c r="R512" s="7">
        <v>0.0700763808832596</v>
      </c>
      <c r="S512" s="7">
        <v>0.0934227389127104</v>
      </c>
      <c r="T512" s="7">
        <v>0.1285174029932666</v>
      </c>
    </row>
    <row x14ac:dyDescent="0.25" r="513" customHeight="1" ht="19.5">
      <c r="A513" s="2" t="s">
        <v>2825</v>
      </c>
      <c r="B513" s="2" t="s">
        <v>2314</v>
      </c>
      <c r="C513" s="2" t="s">
        <v>31</v>
      </c>
      <c r="D513" s="2" t="s">
        <v>431</v>
      </c>
      <c r="E513" s="6">
        <v>1</v>
      </c>
      <c r="F513" s="6">
        <v>1</v>
      </c>
      <c r="G513" s="7">
        <v>0.660247266292572</v>
      </c>
      <c r="H513" s="7">
        <v>5.35769609375</v>
      </c>
      <c r="I513" s="7">
        <v>12.77700620807891</v>
      </c>
      <c r="J513" s="7">
        <v>5.729053612595418</v>
      </c>
      <c r="K513" s="7">
        <v>1.08964876776304</v>
      </c>
      <c r="L513" s="7">
        <v>0.982924775962252</v>
      </c>
      <c r="M513" s="7">
        <v>0.4124105131396943</v>
      </c>
      <c r="N513" s="7">
        <v>0.2616713381404325</v>
      </c>
      <c r="O513" s="7">
        <v>0.1113472469111078</v>
      </c>
      <c r="P513" s="7">
        <v>9.332403697164867</v>
      </c>
      <c r="Q513" s="7">
        <v>0.0202887918409284</v>
      </c>
      <c r="R513" s="7">
        <v>0.0672751495952338</v>
      </c>
      <c r="S513" s="7">
        <v>0.089190877869462</v>
      </c>
      <c r="T513" s="7">
        <v>0.1261609764957858</v>
      </c>
    </row>
    <row x14ac:dyDescent="0.25" r="514" customHeight="1" ht="19.5">
      <c r="A514" s="2" t="s">
        <v>2826</v>
      </c>
      <c r="B514" s="2" t="s">
        <v>2314</v>
      </c>
      <c r="C514" s="2" t="s">
        <v>31</v>
      </c>
      <c r="D514" s="2" t="s">
        <v>431</v>
      </c>
      <c r="E514" s="6">
        <v>1</v>
      </c>
      <c r="F514" s="6">
        <v>1</v>
      </c>
      <c r="G514" s="7">
        <v>0.6611992120742798</v>
      </c>
      <c r="H514" s="7">
        <v>5.40271875</v>
      </c>
      <c r="I514" s="7">
        <v>12.81147953463366</v>
      </c>
      <c r="J514" s="7">
        <v>5.728965340993113</v>
      </c>
      <c r="K514" s="7">
        <v>1.085543228588737</v>
      </c>
      <c r="L514" s="7">
        <v>0.9827095707191827</v>
      </c>
      <c r="M514" s="7">
        <v>0.4136410669563117</v>
      </c>
      <c r="N514" s="7">
        <v>0.2563521292629859</v>
      </c>
      <c r="O514" s="7">
        <v>0.1062902794648104</v>
      </c>
      <c r="P514" s="7">
        <v>9.36106678016489</v>
      </c>
      <c r="Q514" s="7">
        <v>0.0202445828306326</v>
      </c>
      <c r="R514" s="7">
        <v>0.0674386603429833</v>
      </c>
      <c r="S514" s="7">
        <v>0.088382495402195</v>
      </c>
      <c r="T514" s="7">
        <v>0.1269439395519911</v>
      </c>
    </row>
    <row x14ac:dyDescent="0.25" r="515" customHeight="1" ht="19.5">
      <c r="A515" s="2" t="s">
        <v>2827</v>
      </c>
      <c r="B515" s="2" t="s">
        <v>2314</v>
      </c>
      <c r="C515" s="2" t="s">
        <v>31</v>
      </c>
      <c r="D515" s="2" t="s">
        <v>431</v>
      </c>
      <c r="E515" s="6">
        <v>1</v>
      </c>
      <c r="F515" s="6">
        <v>1</v>
      </c>
      <c r="G515" s="7">
        <v>0.6495087146759033</v>
      </c>
      <c r="H515" s="7">
        <v>5.36462265625</v>
      </c>
      <c r="I515" s="7">
        <v>12.82575885403275</v>
      </c>
      <c r="J515" s="7">
        <v>5.728376173418076</v>
      </c>
      <c r="K515" s="7">
        <v>1.091513010591943</v>
      </c>
      <c r="L515" s="7">
        <v>0.9829843100649966</v>
      </c>
      <c r="M515" s="7">
        <v>0.409810331593874</v>
      </c>
      <c r="N515" s="7">
        <v>0.2617600367652326</v>
      </c>
      <c r="O515" s="7">
        <v>0.1093952661065216</v>
      </c>
      <c r="P515" s="7">
        <v>9.332341612225424</v>
      </c>
      <c r="Q515" s="7">
        <v>0.020564296570305</v>
      </c>
      <c r="R515" s="7">
        <v>0.0664948328777004</v>
      </c>
      <c r="S515" s="7">
        <v>0.0880057959926995</v>
      </c>
      <c r="T515" s="7">
        <v>0.1280394553070386</v>
      </c>
    </row>
    <row x14ac:dyDescent="0.25" r="516" customHeight="1" ht="19.5">
      <c r="A516" s="2" t="s">
        <v>2828</v>
      </c>
      <c r="B516" s="2" t="s">
        <v>2314</v>
      </c>
      <c r="C516" s="2" t="s">
        <v>31</v>
      </c>
      <c r="D516" s="2" t="s">
        <v>431</v>
      </c>
      <c r="E516" s="6">
        <v>1</v>
      </c>
      <c r="F516" s="6">
        <v>1</v>
      </c>
      <c r="G516" s="7">
        <v>0.6547529101371765</v>
      </c>
      <c r="H516" s="7">
        <v>5.219164843750001</v>
      </c>
      <c r="I516" s="7">
        <v>12.59627494366265</v>
      </c>
      <c r="J516" s="7">
        <v>5.667101226183453</v>
      </c>
      <c r="K516" s="7">
        <v>1.022769037906459</v>
      </c>
      <c r="L516" s="7">
        <v>0.9835957909417604</v>
      </c>
      <c r="M516" s="7">
        <v>0.4133582546890386</v>
      </c>
      <c r="N516" s="7">
        <v>0.2455259161685561</v>
      </c>
      <c r="O516" s="7">
        <v>0.0921199711000088</v>
      </c>
      <c r="P516" s="7">
        <v>9.458398521298337</v>
      </c>
      <c r="Q516" s="7">
        <v>0.0210553048716567</v>
      </c>
      <c r="R516" s="7">
        <v>0.0684703098174634</v>
      </c>
      <c r="S516" s="7">
        <v>0.0916406226238635</v>
      </c>
      <c r="T516" s="7">
        <v>0.127542030925549</v>
      </c>
    </row>
    <row x14ac:dyDescent="0.25" r="517" customHeight="1" ht="19.5">
      <c r="A517" s="2" t="s">
        <v>2829</v>
      </c>
      <c r="B517" s="2" t="s">
        <v>2314</v>
      </c>
      <c r="C517" s="2" t="s">
        <v>31</v>
      </c>
      <c r="D517" s="2" t="s">
        <v>431</v>
      </c>
      <c r="E517" s="6">
        <v>1</v>
      </c>
      <c r="F517" s="6">
        <v>1</v>
      </c>
      <c r="G517" s="7">
        <v>0.6600005030632019</v>
      </c>
      <c r="H517" s="7">
        <v>5.23301796875</v>
      </c>
      <c r="I517" s="7">
        <v>12.71397424272598</v>
      </c>
      <c r="J517" s="7">
        <v>5.728563064853804</v>
      </c>
      <c r="K517" s="7">
        <v>1.028946840452498</v>
      </c>
      <c r="L517" s="7">
        <v>0.9841610848707124</v>
      </c>
      <c r="M517" s="7">
        <v>0.406817320965614</v>
      </c>
      <c r="N517" s="7">
        <v>0.2540800498147627</v>
      </c>
      <c r="O517" s="7">
        <v>0.0968424295604829</v>
      </c>
      <c r="P517" s="7">
        <v>9.43959357717208</v>
      </c>
      <c r="Q517" s="7">
        <v>0.021311203597479</v>
      </c>
      <c r="R517" s="7">
        <v>0.0683562693527969</v>
      </c>
      <c r="S517" s="7">
        <v>0.088088160703987</v>
      </c>
      <c r="T517" s="7">
        <v>0.1294347783103149</v>
      </c>
    </row>
    <row x14ac:dyDescent="0.25" r="518" customHeight="1" ht="19.5">
      <c r="A518" s="2" t="s">
        <v>2830</v>
      </c>
      <c r="B518" s="2" t="s">
        <v>2314</v>
      </c>
      <c r="C518" s="2" t="s">
        <v>31</v>
      </c>
      <c r="D518" s="2" t="s">
        <v>431</v>
      </c>
      <c r="E518" s="6">
        <v>1</v>
      </c>
      <c r="F518" s="6">
        <v>1</v>
      </c>
      <c r="G518" s="7">
        <v>0.6635054349899292</v>
      </c>
      <c r="H518" s="7">
        <v>5.309210156250001</v>
      </c>
      <c r="I518" s="7">
        <v>12.62483358246083</v>
      </c>
      <c r="J518" s="7">
        <v>5.669633280880981</v>
      </c>
      <c r="K518" s="7">
        <v>1.090460133328703</v>
      </c>
      <c r="L518" s="7">
        <v>0.982350966221616</v>
      </c>
      <c r="M518" s="7">
        <v>0.4185896216474281</v>
      </c>
      <c r="N518" s="7">
        <v>0.2631756761148811</v>
      </c>
      <c r="O518" s="7">
        <v>0.1109993394039288</v>
      </c>
      <c r="P518" s="7">
        <v>9.340782749883388</v>
      </c>
      <c r="Q518" s="7">
        <v>0.0206629883822839</v>
      </c>
      <c r="R518" s="7">
        <v>0.0670080025095608</v>
      </c>
      <c r="S518" s="7">
        <v>0.0884174033175231</v>
      </c>
      <c r="T518" s="7">
        <v>0.127325041994</v>
      </c>
    </row>
    <row x14ac:dyDescent="0.25" r="519" customHeight="1" ht="19.5">
      <c r="A519" s="2" t="s">
        <v>2831</v>
      </c>
      <c r="B519" s="2" t="s">
        <v>2314</v>
      </c>
      <c r="C519" s="2" t="s">
        <v>31</v>
      </c>
      <c r="D519" s="2" t="s">
        <v>431</v>
      </c>
      <c r="E519" s="6">
        <v>1</v>
      </c>
      <c r="F519" s="6">
        <v>1</v>
      </c>
      <c r="G519" s="7">
        <v>0.6551660299301147</v>
      </c>
      <c r="H519" s="7">
        <v>5.208775</v>
      </c>
      <c r="I519" s="7">
        <v>12.64502758961649</v>
      </c>
      <c r="J519" s="7">
        <v>5.727552825409637</v>
      </c>
      <c r="K519" s="7">
        <v>1.029594008944663</v>
      </c>
      <c r="L519" s="7">
        <v>0.9841113678136076</v>
      </c>
      <c r="M519" s="7">
        <v>0.4093604670206865</v>
      </c>
      <c r="N519" s="7">
        <v>0.2539553802800586</v>
      </c>
      <c r="O519" s="7">
        <v>0.100810358755572</v>
      </c>
      <c r="P519" s="7">
        <v>9.387906746624576</v>
      </c>
      <c r="Q519" s="7">
        <v>0.0219479697056479</v>
      </c>
      <c r="R519" s="7">
        <v>0.069956922642679</v>
      </c>
      <c r="S519" s="7">
        <v>0.0911779218825142</v>
      </c>
      <c r="T519" s="7">
        <v>0.1326846643187404</v>
      </c>
    </row>
    <row x14ac:dyDescent="0.25" r="520" customHeight="1" ht="19.5">
      <c r="A520" s="2" t="s">
        <v>2832</v>
      </c>
      <c r="B520" s="2" t="s">
        <v>2314</v>
      </c>
      <c r="C520" s="2" t="s">
        <v>31</v>
      </c>
      <c r="D520" s="2" t="s">
        <v>431</v>
      </c>
      <c r="E520" s="6">
        <v>1</v>
      </c>
      <c r="F520" s="6">
        <v>1</v>
      </c>
      <c r="G520" s="7">
        <v>0.6624037027359009</v>
      </c>
      <c r="H520" s="7">
        <v>5.222628125</v>
      </c>
      <c r="I520" s="7">
        <v>12.61055426306174</v>
      </c>
      <c r="J520" s="7">
        <v>5.725796374525345</v>
      </c>
      <c r="K520" s="7">
        <v>1.023352004757477</v>
      </c>
      <c r="L520" s="7">
        <v>0.983893315066924</v>
      </c>
      <c r="M520" s="7">
        <v>0.4126963394056934</v>
      </c>
      <c r="N520" s="7">
        <v>0.2564051953451792</v>
      </c>
      <c r="O520" s="7">
        <v>0.098164271087187</v>
      </c>
      <c r="P520" s="7">
        <v>9.421393233141394</v>
      </c>
      <c r="Q520" s="7">
        <v>0.0217022327085544</v>
      </c>
      <c r="R520" s="7">
        <v>0.070009053078633</v>
      </c>
      <c r="S520" s="7">
        <v>0.0903508563056416</v>
      </c>
      <c r="T520" s="7">
        <v>0.1315480150323662</v>
      </c>
    </row>
    <row x14ac:dyDescent="0.25" r="521" customHeight="1" ht="19.5">
      <c r="A521" s="2" t="s">
        <v>2833</v>
      </c>
      <c r="B521" s="2" t="s">
        <v>2314</v>
      </c>
      <c r="C521" s="2" t="s">
        <v>31</v>
      </c>
      <c r="D521" s="2" t="s">
        <v>431</v>
      </c>
      <c r="E521" s="6">
        <v>1</v>
      </c>
      <c r="F521" s="6">
        <v>1</v>
      </c>
      <c r="G521" s="7">
        <v>0.6462491750717163</v>
      </c>
      <c r="H521" s="7">
        <v>5.37154921875</v>
      </c>
      <c r="I521" s="7">
        <v>12.81147953463366</v>
      </c>
      <c r="J521" s="7">
        <v>5.728816534793452</v>
      </c>
      <c r="K521" s="7">
        <v>1.084843410851229</v>
      </c>
      <c r="L521" s="7">
        <v>0.9830810160682096</v>
      </c>
      <c r="M521" s="7">
        <v>0.4112546761854099</v>
      </c>
      <c r="N521" s="7">
        <v>0.2626135103920882</v>
      </c>
      <c r="O521" s="7">
        <v>0.1087872934185326</v>
      </c>
      <c r="P521" s="7">
        <v>9.325320873232958</v>
      </c>
      <c r="Q521" s="7">
        <v>0.0200867029293671</v>
      </c>
      <c r="R521" s="7">
        <v>0.0669076248076958</v>
      </c>
      <c r="S521" s="7">
        <v>0.0875126150155114</v>
      </c>
      <c r="T521" s="7">
        <v>0.1252272940127115</v>
      </c>
    </row>
    <row x14ac:dyDescent="0.25" r="522" customHeight="1" ht="19.5">
      <c r="A522" s="2" t="s">
        <v>2834</v>
      </c>
      <c r="B522" s="2" t="s">
        <v>2314</v>
      </c>
      <c r="C522" s="2" t="s">
        <v>31</v>
      </c>
      <c r="D522" s="2" t="s">
        <v>431</v>
      </c>
      <c r="E522" s="6">
        <v>1</v>
      </c>
      <c r="F522" s="6">
        <v>1</v>
      </c>
      <c r="G522" s="7">
        <v>0.6539230942726135</v>
      </c>
      <c r="H522" s="7">
        <v>5.1187296875</v>
      </c>
      <c r="I522" s="7">
        <v>12.63074827021739</v>
      </c>
      <c r="J522" s="7">
        <v>5.727890652107557</v>
      </c>
      <c r="K522" s="7">
        <v>0.974352168911952</v>
      </c>
      <c r="L522" s="7">
        <v>0.985122522150126</v>
      </c>
      <c r="M522" s="7">
        <v>0.403193851008047</v>
      </c>
      <c r="N522" s="7">
        <v>0.229145814848193</v>
      </c>
      <c r="O522" s="7">
        <v>0.07070850461977</v>
      </c>
      <c r="P522" s="7">
        <v>9.5862304867495</v>
      </c>
      <c r="Q522" s="7">
        <v>0.0222843435882046</v>
      </c>
      <c r="R522" s="7">
        <v>0.0693923444649547</v>
      </c>
      <c r="S522" s="7">
        <v>0.0895735090513589</v>
      </c>
      <c r="T522" s="7">
        <v>0.1323892804472076</v>
      </c>
    </row>
    <row x14ac:dyDescent="0.25" r="523" customHeight="1" ht="19.5">
      <c r="A523" s="2" t="s">
        <v>2835</v>
      </c>
      <c r="B523" s="2" t="s">
        <v>2314</v>
      </c>
      <c r="C523" s="2" t="s">
        <v>31</v>
      </c>
      <c r="D523" s="2" t="s">
        <v>431</v>
      </c>
      <c r="E523" s="6">
        <v>1</v>
      </c>
      <c r="F523" s="6">
        <v>1</v>
      </c>
      <c r="G523" s="7">
        <v>0.6598383188247681</v>
      </c>
      <c r="H523" s="7">
        <v>5.09795</v>
      </c>
      <c r="I523" s="7">
        <v>12.59627494366265</v>
      </c>
      <c r="J523" s="7">
        <v>5.729024837745452</v>
      </c>
      <c r="K523" s="7">
        <v>0.9783104748413528</v>
      </c>
      <c r="L523" s="7">
        <v>0.9851245115157224</v>
      </c>
      <c r="M523" s="7">
        <v>0.4037580297957961</v>
      </c>
      <c r="N523" s="7">
        <v>0.22936971473668</v>
      </c>
      <c r="O523" s="7">
        <v>0.0729817014003903</v>
      </c>
      <c r="P523" s="7">
        <v>9.555036626955424</v>
      </c>
      <c r="Q523" s="7">
        <v>0.0223704134203347</v>
      </c>
      <c r="R523" s="7">
        <v>0.0684886675689586</v>
      </c>
      <c r="S523" s="7">
        <v>0.0895536145632199</v>
      </c>
      <c r="T523" s="7">
        <v>0.1323610982305745</v>
      </c>
    </row>
    <row x14ac:dyDescent="0.25" r="524" customHeight="1" ht="19.5">
      <c r="A524" s="2" t="s">
        <v>2836</v>
      </c>
      <c r="B524" s="2" t="s">
        <v>2314</v>
      </c>
      <c r="C524" s="2" t="s">
        <v>31</v>
      </c>
      <c r="D524" s="2" t="s">
        <v>431</v>
      </c>
      <c r="E524" s="6">
        <v>1</v>
      </c>
      <c r="F524" s="6">
        <v>1</v>
      </c>
      <c r="G524" s="7">
        <v>0.6384626626968384</v>
      </c>
      <c r="H524" s="7">
        <v>5.2434078125</v>
      </c>
      <c r="I524" s="7">
        <v>12.67950091617123</v>
      </c>
      <c r="J524" s="7">
        <v>5.726253192231338</v>
      </c>
      <c r="K524" s="7">
        <v>1.022694560292768</v>
      </c>
      <c r="L524" s="7">
        <v>0.9841223958126808</v>
      </c>
      <c r="M524" s="7">
        <v>0.4098445666860939</v>
      </c>
      <c r="N524" s="7">
        <v>0.2531673303539525</v>
      </c>
      <c r="O524" s="7">
        <v>0.0959894398138794</v>
      </c>
      <c r="P524" s="7">
        <v>9.414554451967966</v>
      </c>
      <c r="Q524" s="7">
        <v>0.0216773324906345</v>
      </c>
      <c r="R524" s="7">
        <v>0.0681782205233881</v>
      </c>
      <c r="S524" s="7">
        <v>0.0887742148061057</v>
      </c>
      <c r="T524" s="7">
        <v>0.131919882502833</v>
      </c>
    </row>
    <row x14ac:dyDescent="0.25" r="525" customHeight="1" ht="19.5">
      <c r="A525" s="2" t="s">
        <v>2837</v>
      </c>
      <c r="B525" s="2" t="s">
        <v>2314</v>
      </c>
      <c r="C525" s="2" t="s">
        <v>31</v>
      </c>
      <c r="D525" s="2" t="s">
        <v>431</v>
      </c>
      <c r="E525" s="6">
        <v>1</v>
      </c>
      <c r="F525" s="6">
        <v>1</v>
      </c>
      <c r="G525" s="7">
        <v>0.6539969444274902</v>
      </c>
      <c r="H525" s="7">
        <v>5.34730625</v>
      </c>
      <c r="I525" s="7">
        <v>12.77700620807891</v>
      </c>
      <c r="J525" s="7">
        <v>5.728344924559123</v>
      </c>
      <c r="K525" s="7">
        <v>1.085027698351307</v>
      </c>
      <c r="L525" s="7">
        <v>0.982979212051994</v>
      </c>
      <c r="M525" s="7">
        <v>0.4116107513171869</v>
      </c>
      <c r="N525" s="7">
        <v>0.267071439437662</v>
      </c>
      <c r="O525" s="7">
        <v>0.1129745540752902</v>
      </c>
      <c r="P525" s="7">
        <v>9.31236299092357</v>
      </c>
      <c r="Q525" s="7">
        <v>0.0203049889666576</v>
      </c>
      <c r="R525" s="7">
        <v>0.0669602988432205</v>
      </c>
      <c r="S525" s="7">
        <v>0.0879068231196604</v>
      </c>
      <c r="T525" s="7">
        <v>0.1260168430508427</v>
      </c>
    </row>
    <row x14ac:dyDescent="0.25" r="526" customHeight="1" ht="19.5">
      <c r="A526" s="2" t="s">
        <v>2838</v>
      </c>
      <c r="B526" s="2" t="s">
        <v>2314</v>
      </c>
      <c r="C526" s="2" t="s">
        <v>31</v>
      </c>
      <c r="D526" s="2" t="s">
        <v>431</v>
      </c>
      <c r="E526" s="6">
        <v>1</v>
      </c>
      <c r="F526" s="6">
        <v>1</v>
      </c>
      <c r="G526" s="7">
        <v>0.6521907448768616</v>
      </c>
      <c r="H526" s="7">
        <v>5.23301796875</v>
      </c>
      <c r="I526" s="7">
        <v>12.72825356212507</v>
      </c>
      <c r="J526" s="7">
        <v>5.728230106133905</v>
      </c>
      <c r="K526" s="7">
        <v>1.027252256781334</v>
      </c>
      <c r="L526" s="7">
        <v>0.9840804750778434</v>
      </c>
      <c r="M526" s="7">
        <v>0.405905048759458</v>
      </c>
      <c r="N526" s="7">
        <v>0.2566876149853308</v>
      </c>
      <c r="O526" s="7">
        <v>0.0963421599709575</v>
      </c>
      <c r="P526" s="7">
        <v>9.40531640018926</v>
      </c>
      <c r="Q526" s="7">
        <v>0.0217310042158265</v>
      </c>
      <c r="R526" s="7">
        <v>0.0685336902372001</v>
      </c>
      <c r="S526" s="7">
        <v>0.0883824925346444</v>
      </c>
      <c r="T526" s="7">
        <v>0.1319844606744197</v>
      </c>
    </row>
    <row x14ac:dyDescent="0.25" r="527" customHeight="1" ht="19.5">
      <c r="A527" s="2" t="s">
        <v>2839</v>
      </c>
      <c r="B527" s="2" t="s">
        <v>2314</v>
      </c>
      <c r="C527" s="2" t="s">
        <v>31</v>
      </c>
      <c r="D527" s="2" t="s">
        <v>431</v>
      </c>
      <c r="E527" s="6">
        <v>1</v>
      </c>
      <c r="F527" s="6">
        <v>1</v>
      </c>
      <c r="G527" s="7">
        <v>0.6476182341575623</v>
      </c>
      <c r="H527" s="7">
        <v>5.201848437500001</v>
      </c>
      <c r="I527" s="7">
        <v>12.59627494366265</v>
      </c>
      <c r="J527" s="7">
        <v>5.668160238097087</v>
      </c>
      <c r="K527" s="7">
        <v>1.026299286509364</v>
      </c>
      <c r="L527" s="7">
        <v>0.983666617053388</v>
      </c>
      <c r="M527" s="7">
        <v>0.411986793990004</v>
      </c>
      <c r="N527" s="7">
        <v>0.2465879394437528</v>
      </c>
      <c r="O527" s="7">
        <v>0.0940668756974468</v>
      </c>
      <c r="P527" s="7">
        <v>9.43964864572479</v>
      </c>
      <c r="Q527" s="7">
        <v>0.0212134996357559</v>
      </c>
      <c r="R527" s="7">
        <v>0.0699530717027479</v>
      </c>
      <c r="S527" s="7">
        <v>0.0914632442484711</v>
      </c>
      <c r="T527" s="7">
        <v>0.1280739474167525</v>
      </c>
    </row>
    <row x14ac:dyDescent="0.25" r="528" customHeight="1" ht="19.5">
      <c r="A528" s="2" t="s">
        <v>2840</v>
      </c>
      <c r="B528" s="2" t="s">
        <v>2314</v>
      </c>
      <c r="C528" s="2" t="s">
        <v>31</v>
      </c>
      <c r="D528" s="2" t="s">
        <v>431</v>
      </c>
      <c r="E528" s="6">
        <v>1</v>
      </c>
      <c r="F528" s="6">
        <v>1</v>
      </c>
      <c r="G528" s="7">
        <v>0.6491639018058777</v>
      </c>
      <c r="H528" s="7">
        <v>5.23301796875</v>
      </c>
      <c r="I528" s="7">
        <v>12.71397424272598</v>
      </c>
      <c r="J528" s="7">
        <v>5.727177227487056</v>
      </c>
      <c r="K528" s="7">
        <v>1.028955674256401</v>
      </c>
      <c r="L528" s="7">
        <v>0.9840166834307544</v>
      </c>
      <c r="M528" s="7">
        <v>0.406817320965614</v>
      </c>
      <c r="N528" s="7">
        <v>0.2540426223560908</v>
      </c>
      <c r="O528" s="7">
        <v>0.0983098467561991</v>
      </c>
      <c r="P528" s="7">
        <v>9.395557354082095</v>
      </c>
      <c r="Q528" s="7">
        <v>0.021484098119724</v>
      </c>
      <c r="R528" s="7">
        <v>0.0680168686076304</v>
      </c>
      <c r="S528" s="7">
        <v>0.086037401027484</v>
      </c>
      <c r="T528" s="7">
        <v>0.1304848627907852</v>
      </c>
    </row>
    <row x14ac:dyDescent="0.25" r="529" customHeight="1" ht="19.5">
      <c r="A529" s="2" t="s">
        <v>2841</v>
      </c>
      <c r="B529" s="2" t="s">
        <v>2314</v>
      </c>
      <c r="C529" s="2" t="s">
        <v>31</v>
      </c>
      <c r="D529" s="2" t="s">
        <v>431</v>
      </c>
      <c r="E529" s="6">
        <v>1</v>
      </c>
      <c r="F529" s="6">
        <v>1</v>
      </c>
      <c r="G529" s="7">
        <v>0.6577445268630981</v>
      </c>
      <c r="H529" s="7">
        <v>5.198385156250001</v>
      </c>
      <c r="I529" s="7">
        <v>12.5618016171079</v>
      </c>
      <c r="J529" s="7">
        <v>5.666978105484148</v>
      </c>
      <c r="K529" s="7">
        <v>1.024483495065794</v>
      </c>
      <c r="L529" s="7">
        <v>0.9836168395717338</v>
      </c>
      <c r="M529" s="7">
        <v>0.4139753260856368</v>
      </c>
      <c r="N529" s="7">
        <v>0.2543577338431136</v>
      </c>
      <c r="O529" s="7">
        <v>0.0949840034009514</v>
      </c>
      <c r="P529" s="7">
        <v>9.416923961111298</v>
      </c>
      <c r="Q529" s="7">
        <v>0.0214837981305862</v>
      </c>
      <c r="R529" s="7">
        <v>0.0685991466346786</v>
      </c>
      <c r="S529" s="7">
        <v>0.0901514583160007</v>
      </c>
      <c r="T529" s="7">
        <v>0.1296194865823565</v>
      </c>
    </row>
    <row x14ac:dyDescent="0.25" r="530" customHeight="1" ht="19.5">
      <c r="A530" s="2" t="s">
        <v>2842</v>
      </c>
      <c r="B530" s="2" t="s">
        <v>2314</v>
      </c>
      <c r="C530" s="2" t="s">
        <v>31</v>
      </c>
      <c r="D530" s="2" t="s">
        <v>431</v>
      </c>
      <c r="E530" s="6">
        <v>1</v>
      </c>
      <c r="F530" s="6">
        <v>1</v>
      </c>
      <c r="G530" s="7">
        <v>0.6411865949630737</v>
      </c>
      <c r="H530" s="7">
        <v>5.208775</v>
      </c>
      <c r="I530" s="7">
        <v>12.61055426306174</v>
      </c>
      <c r="J530" s="7">
        <v>5.671381440278729</v>
      </c>
      <c r="K530" s="7">
        <v>1.040310847286368</v>
      </c>
      <c r="L530" s="7">
        <v>0.983785744063692</v>
      </c>
      <c r="M530" s="7">
        <v>0.4116016541552805</v>
      </c>
      <c r="N530" s="7">
        <v>0.2511849947195544</v>
      </c>
      <c r="O530" s="7">
        <v>0.0917186033901262</v>
      </c>
      <c r="P530" s="7">
        <v>9.391963947201107</v>
      </c>
      <c r="Q530" s="7">
        <v>0.0199851941819829</v>
      </c>
      <c r="R530" s="7">
        <v>0.064325342603065</v>
      </c>
      <c r="S530" s="7">
        <v>0.0818919315545381</v>
      </c>
      <c r="T530" s="7">
        <v>0.1208188646578493</v>
      </c>
    </row>
    <row x14ac:dyDescent="0.25" r="531" customHeight="1" ht="19.5">
      <c r="A531" s="2" t="s">
        <v>2843</v>
      </c>
      <c r="B531" s="2" t="s">
        <v>2314</v>
      </c>
      <c r="C531" s="2" t="s">
        <v>31</v>
      </c>
      <c r="D531" s="2" t="s">
        <v>431</v>
      </c>
      <c r="E531" s="6">
        <v>1</v>
      </c>
      <c r="F531" s="6">
        <v>1</v>
      </c>
      <c r="G531" s="7">
        <v>0.430263876914978</v>
      </c>
      <c r="H531" s="7">
        <v>5.000978125</v>
      </c>
      <c r="I531" s="7">
        <v>12.51304897115406</v>
      </c>
      <c r="J531" s="7">
        <v>5.614126113787252</v>
      </c>
      <c r="K531" s="7">
        <v>0.98732156637768</v>
      </c>
      <c r="L531" s="7">
        <v>0.98492341119776</v>
      </c>
      <c r="M531" s="7">
        <v>0.4013641055655986</v>
      </c>
      <c r="N531" s="7">
        <v>0.3222737651745526</v>
      </c>
      <c r="O531" s="7">
        <v>0.079813952809916</v>
      </c>
      <c r="P531" s="7">
        <v>8.821805857150558</v>
      </c>
      <c r="Q531" s="7">
        <v>0.004159654652743</v>
      </c>
      <c r="R531" s="7">
        <v>0.0174491087002753</v>
      </c>
      <c r="S531" s="7">
        <v>0.0311643070592741</v>
      </c>
      <c r="T531" s="7">
        <v>0.0241436546652618</v>
      </c>
    </row>
    <row x14ac:dyDescent="0.25" r="532" customHeight="1" ht="19.5">
      <c r="A532" s="2" t="s">
        <v>2844</v>
      </c>
      <c r="B532" s="2" t="s">
        <v>2314</v>
      </c>
      <c r="C532" s="2" t="s">
        <v>31</v>
      </c>
      <c r="D532" s="2" t="s">
        <v>650</v>
      </c>
      <c r="E532" s="6">
        <v>1</v>
      </c>
      <c r="F532" s="6">
        <v>1</v>
      </c>
      <c r="G532" s="7">
        <v>0.2615346610546112</v>
      </c>
      <c r="H532" s="7">
        <v>4.49880234375</v>
      </c>
      <c r="I532" s="7">
        <v>12.02797245550164</v>
      </c>
      <c r="J532" s="7">
        <v>5.340166395910378</v>
      </c>
      <c r="K532" s="7">
        <v>0.9558828524476454</v>
      </c>
      <c r="L532" s="7">
        <v>0.9858121693246368</v>
      </c>
      <c r="M532" s="7">
        <v>0.3907706407358888</v>
      </c>
      <c r="N532" s="7">
        <v>0.4224514936688066</v>
      </c>
      <c r="O532" s="7">
        <v>0.1255401039609245</v>
      </c>
      <c r="P532" s="7">
        <v>8.080207845354185</v>
      </c>
      <c r="Q532" s="7">
        <v>0.0018303041582752</v>
      </c>
      <c r="R532" s="7">
        <v>0.0123817211032733</v>
      </c>
      <c r="S532" s="7">
        <v>0.0230062944327125</v>
      </c>
      <c r="T532" s="7">
        <v>0.0095567661508989</v>
      </c>
    </row>
    <row x14ac:dyDescent="0.25" r="533" customHeight="1" ht="19.5">
      <c r="A533" s="2" t="s">
        <v>2845</v>
      </c>
      <c r="B533" s="2" t="s">
        <v>2314</v>
      </c>
      <c r="C533" s="2" t="s">
        <v>31</v>
      </c>
      <c r="D533" s="2" t="s">
        <v>650</v>
      </c>
      <c r="E533" s="6">
        <v>1</v>
      </c>
      <c r="F533" s="6">
        <v>1</v>
      </c>
      <c r="G533" s="7">
        <v>0.4431814551353454</v>
      </c>
      <c r="H533" s="7">
        <v>4.890153125</v>
      </c>
      <c r="I533" s="7">
        <v>13.17049211958022</v>
      </c>
      <c r="J533" s="7">
        <v>5.986309666643393</v>
      </c>
      <c r="K533" s="7">
        <v>0.9240436002846272</v>
      </c>
      <c r="L533" s="7">
        <v>0.9890158118756384</v>
      </c>
      <c r="M533" s="7">
        <v>0.3542650562097462</v>
      </c>
      <c r="N533" s="7">
        <v>0.3532760929235545</v>
      </c>
      <c r="O533" s="7">
        <v>0.1022675655267722</v>
      </c>
      <c r="P533" s="7">
        <v>8.658149482287122</v>
      </c>
      <c r="Q533" s="7">
        <v>0.0052639130092252</v>
      </c>
      <c r="R533" s="7">
        <v>0.0243256469135897</v>
      </c>
      <c r="S533" s="7">
        <v>0.0407458420652525</v>
      </c>
      <c r="T533" s="7">
        <v>0.0298759650010012</v>
      </c>
    </row>
    <row x14ac:dyDescent="0.25" r="534" customHeight="1" ht="19.5">
      <c r="A534" s="2" t="s">
        <v>2846</v>
      </c>
      <c r="B534" s="2" t="s">
        <v>2314</v>
      </c>
      <c r="C534" s="2" t="s">
        <v>31</v>
      </c>
      <c r="D534" s="2" t="s">
        <v>650</v>
      </c>
      <c r="E534" s="6">
        <v>1</v>
      </c>
      <c r="F534" s="6">
        <v>1</v>
      </c>
      <c r="G534" s="7">
        <v>0.5282204151153564</v>
      </c>
      <c r="H534" s="7">
        <v>5.333453125</v>
      </c>
      <c r="I534" s="7">
        <v>13.28819141864356</v>
      </c>
      <c r="J534" s="7">
        <v>5.890806029134717</v>
      </c>
      <c r="K534" s="7">
        <v>1.002150908438976</v>
      </c>
      <c r="L534" s="7">
        <v>0.9865693604172604</v>
      </c>
      <c r="M534" s="7">
        <v>0.3795653814152446</v>
      </c>
      <c r="N534" s="7">
        <v>0.3471638329977017</v>
      </c>
      <c r="O534" s="7">
        <v>0.1456355602672219</v>
      </c>
      <c r="P534" s="7">
        <v>8.645713270788853</v>
      </c>
      <c r="Q534" s="7">
        <v>0.00680849835642</v>
      </c>
      <c r="R534" s="7">
        <v>0.0288053821976807</v>
      </c>
      <c r="S534" s="7">
        <v>0.0428440509538705</v>
      </c>
      <c r="T534" s="7">
        <v>0.0421454407050549</v>
      </c>
    </row>
    <row x14ac:dyDescent="0.25" r="535" customHeight="1" ht="19.5">
      <c r="A535" s="2" t="s">
        <v>2847</v>
      </c>
      <c r="B535" s="2" t="s">
        <v>2314</v>
      </c>
      <c r="C535" s="2" t="s">
        <v>31</v>
      </c>
      <c r="D535" s="2" t="s">
        <v>650</v>
      </c>
      <c r="E535" s="6">
        <v>1</v>
      </c>
      <c r="F535" s="6">
        <v>1</v>
      </c>
      <c r="G535" s="7">
        <v>0.5945981740951538</v>
      </c>
      <c r="H535" s="7">
        <v>5.873725</v>
      </c>
      <c r="I535" s="7">
        <v>13.80182657309417</v>
      </c>
      <c r="J535" s="7">
        <v>6.1857735325779</v>
      </c>
      <c r="K535" s="7">
        <v>1.127778931281303</v>
      </c>
      <c r="L535" s="7">
        <v>0.9854077137150012</v>
      </c>
      <c r="M535" s="7">
        <v>0.3874809373336452</v>
      </c>
      <c r="N535" s="7">
        <v>0.3486722457373659</v>
      </c>
      <c r="O535" s="7">
        <v>0.1731542689131699</v>
      </c>
      <c r="P535" s="7">
        <v>8.61425192150681</v>
      </c>
      <c r="Q535" s="7">
        <v>0.010695270043624</v>
      </c>
      <c r="R535" s="7">
        <v>0.0435138054400333</v>
      </c>
      <c r="S535" s="7">
        <v>0.0520507890377616</v>
      </c>
      <c r="T535" s="7">
        <v>0.0729115186547074</v>
      </c>
    </row>
    <row x14ac:dyDescent="0.25" r="536" customHeight="1" ht="19.5">
      <c r="A536" s="2" t="s">
        <v>2848</v>
      </c>
      <c r="B536" s="2" t="s">
        <v>2314</v>
      </c>
      <c r="C536" s="2" t="s">
        <v>31</v>
      </c>
      <c r="D536" s="2" t="s">
        <v>650</v>
      </c>
      <c r="E536" s="6">
        <v>1</v>
      </c>
      <c r="F536" s="6">
        <v>1</v>
      </c>
      <c r="G536" s="7">
        <v>0.566983699798584</v>
      </c>
      <c r="H536" s="7">
        <v>5.76636328125</v>
      </c>
      <c r="I536" s="7">
        <v>13.51767532901366</v>
      </c>
      <c r="J536" s="7">
        <v>6.117414588964843</v>
      </c>
      <c r="K536" s="7">
        <v>1.042597546166498</v>
      </c>
      <c r="L536" s="7">
        <v>0.9851781446172306</v>
      </c>
      <c r="M536" s="7">
        <v>0.3965590276684631</v>
      </c>
      <c r="N536" s="7">
        <v>0.2904784006311167</v>
      </c>
      <c r="O536" s="7">
        <v>0.1129819905379573</v>
      </c>
      <c r="P536" s="7">
        <v>9.09564872112022</v>
      </c>
      <c r="Q536" s="7">
        <v>0.0195255980813195</v>
      </c>
      <c r="R536" s="7">
        <v>0.0672149234527918</v>
      </c>
      <c r="S536" s="7">
        <v>0.0815001487733079</v>
      </c>
      <c r="T536" s="7">
        <v>0.1306763889937762</v>
      </c>
    </row>
    <row x14ac:dyDescent="0.25" r="537" customHeight="1" ht="19.5">
      <c r="A537" s="2" t="s">
        <v>2849</v>
      </c>
      <c r="B537" s="2" t="s">
        <v>2314</v>
      </c>
      <c r="C537" s="2" t="s">
        <v>31</v>
      </c>
      <c r="D537" s="2" t="s">
        <v>650</v>
      </c>
      <c r="E537" s="6">
        <v>1</v>
      </c>
      <c r="F537" s="6">
        <v>1</v>
      </c>
      <c r="G537" s="7">
        <v>0.560973584651947</v>
      </c>
      <c r="H537" s="7">
        <v>5.558566406250001</v>
      </c>
      <c r="I537" s="7">
        <v>13.51767532901366</v>
      </c>
      <c r="J537" s="7">
        <v>6.108431031786278</v>
      </c>
      <c r="K537" s="7">
        <v>1.051525107945634</v>
      </c>
      <c r="L537" s="7">
        <v>0.9860183009463824</v>
      </c>
      <c r="M537" s="7">
        <v>0.382268612256987</v>
      </c>
      <c r="N537" s="7">
        <v>0.2748183441932334</v>
      </c>
      <c r="O537" s="7">
        <v>0.1009963963307853</v>
      </c>
      <c r="P537" s="7">
        <v>9.210083164192955</v>
      </c>
      <c r="Q537" s="7">
        <v>0.0259297294812672</v>
      </c>
      <c r="R537" s="7">
        <v>0.0825799496406459</v>
      </c>
      <c r="S537" s="7">
        <v>0.0967460903426358</v>
      </c>
      <c r="T537" s="7">
        <v>0.167282906007968</v>
      </c>
    </row>
    <row x14ac:dyDescent="0.25" r="538" customHeight="1" ht="19.5">
      <c r="A538" s="2" t="s">
        <v>2850</v>
      </c>
      <c r="B538" s="2" t="s">
        <v>2314</v>
      </c>
      <c r="C538" s="2" t="s">
        <v>31</v>
      </c>
      <c r="D538" s="2" t="s">
        <v>650</v>
      </c>
      <c r="E538" s="6">
        <v>1</v>
      </c>
      <c r="F538" s="6">
        <v>1</v>
      </c>
      <c r="G538" s="7">
        <v>0.5545870661735535</v>
      </c>
      <c r="H538" s="7">
        <v>5.575882812500001</v>
      </c>
      <c r="I538" s="7">
        <v>13.46892268305982</v>
      </c>
      <c r="J538" s="7">
        <v>6.10715264067608</v>
      </c>
      <c r="K538" s="7">
        <v>1.057840094631177</v>
      </c>
      <c r="L538" s="7">
        <v>0.9858573508028752</v>
      </c>
      <c r="M538" s="7">
        <v>0.3862404744552956</v>
      </c>
      <c r="N538" s="7">
        <v>0.273581138074964</v>
      </c>
      <c r="O538" s="7">
        <v>0.098197346319319</v>
      </c>
      <c r="P538" s="7">
        <v>9.229629298128632</v>
      </c>
      <c r="Q538" s="7">
        <v>0.0257627374915857</v>
      </c>
      <c r="R538" s="7">
        <v>0.0841808914518571</v>
      </c>
      <c r="S538" s="7">
        <v>0.0970052570814236</v>
      </c>
      <c r="T538" s="7">
        <v>0.1667233492332068</v>
      </c>
    </row>
    <row x14ac:dyDescent="0.25" r="539" customHeight="1" ht="19.5">
      <c r="A539" s="2" t="s">
        <v>2851</v>
      </c>
      <c r="B539" s="2" t="s">
        <v>2314</v>
      </c>
      <c r="C539" s="2" t="s">
        <v>31</v>
      </c>
      <c r="D539" s="2" t="s">
        <v>650</v>
      </c>
      <c r="E539" s="6">
        <v>1</v>
      </c>
      <c r="F539" s="6">
        <v>1</v>
      </c>
      <c r="G539" s="7">
        <v>0.5558105707168579</v>
      </c>
      <c r="H539" s="7">
        <v>5.54471328125</v>
      </c>
      <c r="I539" s="7">
        <v>13.42017003710598</v>
      </c>
      <c r="J539" s="7">
        <v>6.050357575800799</v>
      </c>
      <c r="K539" s="7">
        <v>1.051814414084967</v>
      </c>
      <c r="L539" s="7">
        <v>0.9857756050811236</v>
      </c>
      <c r="M539" s="7">
        <v>0.3868770081114808</v>
      </c>
      <c r="N539" s="7">
        <v>0.2739094403979126</v>
      </c>
      <c r="O539" s="7">
        <v>0.0964165352490483</v>
      </c>
      <c r="P539" s="7">
        <v>9.237285199304557</v>
      </c>
      <c r="Q539" s="7">
        <v>0.0259704169541924</v>
      </c>
      <c r="R539" s="7">
        <v>0.0845377958603463</v>
      </c>
      <c r="S539" s="7">
        <v>0.0973127862770096</v>
      </c>
      <c r="T539" s="7">
        <v>0.1671278383125793</v>
      </c>
    </row>
    <row x14ac:dyDescent="0.25" r="540" customHeight="1" ht="19.5">
      <c r="A540" s="2" t="s">
        <v>2852</v>
      </c>
      <c r="B540" s="2" t="s">
        <v>2314</v>
      </c>
      <c r="C540" s="2" t="s">
        <v>31</v>
      </c>
      <c r="D540" s="2" t="s">
        <v>650</v>
      </c>
      <c r="E540" s="6">
        <v>1</v>
      </c>
      <c r="F540" s="6">
        <v>1</v>
      </c>
      <c r="G540" s="7">
        <v>0.5663944482803345</v>
      </c>
      <c r="H540" s="7">
        <v>5.6035890625</v>
      </c>
      <c r="I540" s="7">
        <v>13.46892268305982</v>
      </c>
      <c r="J540" s="7">
        <v>6.106217194364067</v>
      </c>
      <c r="K540" s="7">
        <v>1.0530074883543</v>
      </c>
      <c r="L540" s="7">
        <v>0.985804434464335</v>
      </c>
      <c r="M540" s="7">
        <v>0.3881596817817815</v>
      </c>
      <c r="N540" s="7">
        <v>0.2719820862120647</v>
      </c>
      <c r="O540" s="7">
        <v>0.0942680662109208</v>
      </c>
      <c r="P540" s="7">
        <v>9.23067855398451</v>
      </c>
      <c r="Q540" s="7">
        <v>0.0257423512711719</v>
      </c>
      <c r="R540" s="7">
        <v>0.0836871115518737</v>
      </c>
      <c r="S540" s="7">
        <v>0.0980731644237719</v>
      </c>
      <c r="T540" s="7">
        <v>0.1674192034244316</v>
      </c>
    </row>
    <row x14ac:dyDescent="0.25" r="541" customHeight="1" ht="19.5">
      <c r="A541" s="2" t="s">
        <v>2853</v>
      </c>
      <c r="B541" s="2" t="s">
        <v>2314</v>
      </c>
      <c r="C541" s="2" t="s">
        <v>31</v>
      </c>
      <c r="D541" s="2" t="s">
        <v>650</v>
      </c>
      <c r="E541" s="6">
        <v>1</v>
      </c>
      <c r="F541" s="6">
        <v>1</v>
      </c>
      <c r="G541" s="7">
        <v>0.5677793025970459</v>
      </c>
      <c r="H541" s="7">
        <v>5.6174421875</v>
      </c>
      <c r="I541" s="7">
        <v>13.46892268305982</v>
      </c>
      <c r="J541" s="7">
        <v>6.106354694874833</v>
      </c>
      <c r="K541" s="7">
        <v>1.05791980362618</v>
      </c>
      <c r="L541" s="7">
        <v>0.985684494450784</v>
      </c>
      <c r="M541" s="7">
        <v>0.3891192854450244</v>
      </c>
      <c r="N541" s="7">
        <v>0.2753874328116789</v>
      </c>
      <c r="O541" s="7">
        <v>0.0941770460522449</v>
      </c>
      <c r="P541" s="7">
        <v>9.232698610609011</v>
      </c>
      <c r="Q541" s="7">
        <v>0.0253897085749007</v>
      </c>
      <c r="R541" s="7">
        <v>0.0830909552565381</v>
      </c>
      <c r="S541" s="7">
        <v>0.0948804030614013</v>
      </c>
      <c r="T541" s="7">
        <v>0.1655339611452367</v>
      </c>
    </row>
    <row x14ac:dyDescent="0.25" r="542" customHeight="1" ht="19.5">
      <c r="A542" s="2" t="s">
        <v>2854</v>
      </c>
      <c r="B542" s="2" t="s">
        <v>2314</v>
      </c>
      <c r="C542" s="2" t="s">
        <v>31</v>
      </c>
      <c r="D542" s="2" t="s">
        <v>650</v>
      </c>
      <c r="E542" s="6">
        <v>1</v>
      </c>
      <c r="F542" s="6">
        <v>1</v>
      </c>
      <c r="G542" s="7">
        <v>0.5615983009338379</v>
      </c>
      <c r="H542" s="7">
        <v>5.62436875</v>
      </c>
      <c r="I542" s="7">
        <v>13.46892268305982</v>
      </c>
      <c r="J542" s="7">
        <v>6.106410589223072</v>
      </c>
      <c r="K542" s="7">
        <v>1.051238290123679</v>
      </c>
      <c r="L542" s="7">
        <v>0.9856554101067068</v>
      </c>
      <c r="M542" s="7">
        <v>0.3895990872766459</v>
      </c>
      <c r="N542" s="7">
        <v>0.276919806925407</v>
      </c>
      <c r="O542" s="7">
        <v>0.0931409504859608</v>
      </c>
      <c r="P542" s="7">
        <v>9.247642075654907</v>
      </c>
      <c r="Q542" s="7">
        <v>0.0251085127702533</v>
      </c>
      <c r="R542" s="7">
        <v>0.0812361334224816</v>
      </c>
      <c r="S542" s="7">
        <v>0.0926015877379169</v>
      </c>
      <c r="T542" s="7">
        <v>0.1639024917062881</v>
      </c>
    </row>
    <row x14ac:dyDescent="0.25" r="543" customHeight="1" ht="19.5">
      <c r="A543" s="2" t="s">
        <v>2855</v>
      </c>
      <c r="B543" s="2" t="s">
        <v>2314</v>
      </c>
      <c r="C543" s="2" t="s">
        <v>31</v>
      </c>
      <c r="D543" s="2" t="s">
        <v>650</v>
      </c>
      <c r="E543" s="6">
        <v>1</v>
      </c>
      <c r="F543" s="6">
        <v>1</v>
      </c>
      <c r="G543" s="7">
        <v>0.5658695697784424</v>
      </c>
      <c r="H543" s="7">
        <v>5.67978125</v>
      </c>
      <c r="I543" s="7">
        <v>13.40589071770689</v>
      </c>
      <c r="J543" s="7">
        <v>6.046095626681234</v>
      </c>
      <c r="K543" s="7">
        <v>1.044363424119583</v>
      </c>
      <c r="L543" s="7">
        <v>0.985401167005952</v>
      </c>
      <c r="M543" s="7">
        <v>0.3971459372655004</v>
      </c>
      <c r="N543" s="7">
        <v>0.2608743771535005</v>
      </c>
      <c r="O543" s="7">
        <v>0.0801258634837902</v>
      </c>
      <c r="P543" s="7">
        <v>9.30413769353447</v>
      </c>
      <c r="Q543" s="7">
        <v>0.0247418980687955</v>
      </c>
      <c r="R543" s="7">
        <v>0.0833475711323461</v>
      </c>
      <c r="S543" s="7">
        <v>0.0963597119331226</v>
      </c>
      <c r="T543" s="7">
        <v>0.1631005415812139</v>
      </c>
    </row>
    <row x14ac:dyDescent="0.25" r="544" customHeight="1" ht="19.5">
      <c r="A544" s="2" t="s">
        <v>2856</v>
      </c>
      <c r="B544" s="2" t="s">
        <v>2314</v>
      </c>
      <c r="C544" s="2" t="s">
        <v>31</v>
      </c>
      <c r="D544" s="2" t="s">
        <v>650</v>
      </c>
      <c r="E544" s="6">
        <v>1</v>
      </c>
      <c r="F544" s="6">
        <v>1</v>
      </c>
      <c r="G544" s="7">
        <v>0.5683678388595581</v>
      </c>
      <c r="H544" s="7">
        <v>5.66939140625</v>
      </c>
      <c r="I544" s="7">
        <v>13.46892268305982</v>
      </c>
      <c r="J544" s="7">
        <v>6.107097739686705</v>
      </c>
      <c r="K544" s="7">
        <v>1.057688274659143</v>
      </c>
      <c r="L544" s="7">
        <v>0.9855917786368684</v>
      </c>
      <c r="M544" s="7">
        <v>0.3927177991821856</v>
      </c>
      <c r="N544" s="7">
        <v>0.2695811535922435</v>
      </c>
      <c r="O544" s="7">
        <v>0.0909551648958724</v>
      </c>
      <c r="P544" s="7">
        <v>9.2901513873623</v>
      </c>
      <c r="Q544" s="7">
        <v>0.0245665145306551</v>
      </c>
      <c r="R544" s="7">
        <v>0.0815782680144173</v>
      </c>
      <c r="S544" s="7">
        <v>0.0951870821039633</v>
      </c>
      <c r="T544" s="7">
        <v>0.161648159723488</v>
      </c>
    </row>
    <row x14ac:dyDescent="0.25" r="545" customHeight="1" ht="19.5">
      <c r="A545" s="2" t="s">
        <v>2857</v>
      </c>
      <c r="B545" s="2" t="s">
        <v>2314</v>
      </c>
      <c r="C545" s="2" t="s">
        <v>31</v>
      </c>
      <c r="D545" s="2" t="s">
        <v>650</v>
      </c>
      <c r="E545" s="6">
        <v>1</v>
      </c>
      <c r="F545" s="6">
        <v>1</v>
      </c>
      <c r="G545" s="7">
        <v>0.5655075907707214</v>
      </c>
      <c r="H545" s="7">
        <v>5.64168515625</v>
      </c>
      <c r="I545" s="7">
        <v>13.46892268305982</v>
      </c>
      <c r="J545" s="7">
        <v>6.107925399627563</v>
      </c>
      <c r="K545" s="7">
        <v>1.05514440502102</v>
      </c>
      <c r="L545" s="7">
        <v>0.985738363149474</v>
      </c>
      <c r="M545" s="7">
        <v>0.3907985918556997</v>
      </c>
      <c r="N545" s="7">
        <v>0.2811599542419484</v>
      </c>
      <c r="O545" s="7">
        <v>0.093554489465381</v>
      </c>
      <c r="P545" s="7">
        <v>9.219153517885555</v>
      </c>
      <c r="Q545" s="7">
        <v>0.0246975951678806</v>
      </c>
      <c r="R545" s="7">
        <v>0.0804746581196915</v>
      </c>
      <c r="S545" s="7">
        <v>0.0935018862993263</v>
      </c>
      <c r="T545" s="7">
        <v>0.1617164851803609</v>
      </c>
    </row>
    <row x14ac:dyDescent="0.25" r="546" customHeight="1" ht="19.5">
      <c r="A546" s="2" t="s">
        <v>2858</v>
      </c>
      <c r="B546" s="2" t="s">
        <v>2314</v>
      </c>
      <c r="C546" s="2" t="s">
        <v>31</v>
      </c>
      <c r="D546" s="2" t="s">
        <v>650</v>
      </c>
      <c r="E546" s="6">
        <v>1</v>
      </c>
      <c r="F546" s="6">
        <v>1</v>
      </c>
      <c r="G546" s="7">
        <v>0.5626038908958435</v>
      </c>
      <c r="H546" s="7">
        <v>5.627832031250001</v>
      </c>
      <c r="I546" s="7">
        <v>13.51767532901366</v>
      </c>
      <c r="J546" s="7">
        <v>6.107624097430138</v>
      </c>
      <c r="K546" s="7">
        <v>1.061542849958288</v>
      </c>
      <c r="L546" s="7">
        <v>0.9855969755163536</v>
      </c>
      <c r="M546" s="7">
        <v>0.3870320840608123</v>
      </c>
      <c r="N546" s="7">
        <v>0.2756616344548017</v>
      </c>
      <c r="O546" s="7">
        <v>0.0957720985426162</v>
      </c>
      <c r="P546" s="7">
        <v>9.209273531904913</v>
      </c>
      <c r="Q546" s="7">
        <v>0.0248288167639718</v>
      </c>
      <c r="R546" s="7">
        <v>0.0816301934367339</v>
      </c>
      <c r="S546" s="7">
        <v>0.09478835600146</v>
      </c>
      <c r="T546" s="7">
        <v>0.1621765025983439</v>
      </c>
    </row>
    <row x14ac:dyDescent="0.25" r="547" customHeight="1" ht="19.5">
      <c r="A547" s="2" t="s">
        <v>2859</v>
      </c>
      <c r="B547" s="2" t="s">
        <v>2314</v>
      </c>
      <c r="C547" s="2" t="s">
        <v>31</v>
      </c>
      <c r="D547" s="2" t="s">
        <v>650</v>
      </c>
      <c r="E547" s="6">
        <v>1</v>
      </c>
      <c r="F547" s="6">
        <v>1</v>
      </c>
      <c r="G547" s="7">
        <v>0.5688153505325317</v>
      </c>
      <c r="H547" s="7">
        <v>5.652075</v>
      </c>
      <c r="I547" s="7">
        <v>13.46892268305982</v>
      </c>
      <c r="J547" s="7">
        <v>6.106937899169678</v>
      </c>
      <c r="K547" s="7">
        <v>1.057246939724117</v>
      </c>
      <c r="L547" s="7">
        <v>0.9856083274129916</v>
      </c>
      <c r="M547" s="7">
        <v>0.3915182946031318</v>
      </c>
      <c r="N547" s="7">
        <v>0.2718290303810695</v>
      </c>
      <c r="O547" s="7">
        <v>0.0917242409702563</v>
      </c>
      <c r="P547" s="7">
        <v>9.261878666178548</v>
      </c>
      <c r="Q547" s="7">
        <v>0.0247226691906204</v>
      </c>
      <c r="R547" s="7">
        <v>0.0801417276086945</v>
      </c>
      <c r="S547" s="7">
        <v>0.0959542261463921</v>
      </c>
      <c r="T547" s="7">
        <v>0.1621787892362807</v>
      </c>
    </row>
    <row x14ac:dyDescent="0.25" r="548" customHeight="1" ht="19.5">
      <c r="A548" s="2" t="s">
        <v>2860</v>
      </c>
      <c r="B548" s="2" t="s">
        <v>2314</v>
      </c>
      <c r="C548" s="2" t="s">
        <v>31</v>
      </c>
      <c r="D548" s="2" t="s">
        <v>650</v>
      </c>
      <c r="E548" s="6">
        <v>1</v>
      </c>
      <c r="F548" s="6">
        <v>1</v>
      </c>
      <c r="G548" s="7">
        <v>0.5629460215568542</v>
      </c>
      <c r="H548" s="7">
        <v>5.6728546875</v>
      </c>
      <c r="I548" s="7">
        <v>13.50339600961457</v>
      </c>
      <c r="J548" s="7">
        <v>6.10959598738598</v>
      </c>
      <c r="K548" s="7">
        <v>1.0582240019035</v>
      </c>
      <c r="L548" s="7">
        <v>0.9856811809995496</v>
      </c>
      <c r="M548" s="7">
        <v>0.3909538682695569</v>
      </c>
      <c r="N548" s="7">
        <v>0.2755402270134878</v>
      </c>
      <c r="O548" s="7">
        <v>0.0902403422916125</v>
      </c>
      <c r="P548" s="7">
        <v>9.261949308960572</v>
      </c>
      <c r="Q548" s="7">
        <v>0.0243717106494447</v>
      </c>
      <c r="R548" s="7">
        <v>0.0796782051339542</v>
      </c>
      <c r="S548" s="7">
        <v>0.0934920446835184</v>
      </c>
      <c r="T548" s="7">
        <v>0.1604643098261018</v>
      </c>
    </row>
    <row x14ac:dyDescent="0.25" r="549" customHeight="1" ht="19.5">
      <c r="A549" s="2" t="s">
        <v>2861</v>
      </c>
      <c r="B549" s="2" t="s">
        <v>2314</v>
      </c>
      <c r="C549" s="2" t="s">
        <v>31</v>
      </c>
      <c r="D549" s="2" t="s">
        <v>650</v>
      </c>
      <c r="E549" s="6">
        <v>1</v>
      </c>
      <c r="F549" s="6">
        <v>1</v>
      </c>
      <c r="G549" s="7">
        <v>0.5684394240379333</v>
      </c>
      <c r="H549" s="7">
        <v>5.63475859375</v>
      </c>
      <c r="I549" s="7">
        <v>13.46892268305982</v>
      </c>
      <c r="J549" s="7">
        <v>6.107960292941966</v>
      </c>
      <c r="K549" s="7">
        <v>1.057661455847478</v>
      </c>
      <c r="L549" s="7">
        <v>0.9856688504703776</v>
      </c>
      <c r="M549" s="7">
        <v>0.3903187900240781</v>
      </c>
      <c r="N549" s="7">
        <v>0.2757500927077304</v>
      </c>
      <c r="O549" s="7">
        <v>0.0947878633125287</v>
      </c>
      <c r="P549" s="7">
        <v>9.220914423530653</v>
      </c>
      <c r="Q549" s="7">
        <v>0.024695305298523</v>
      </c>
      <c r="R549" s="7">
        <v>0.0809263849634799</v>
      </c>
      <c r="S549" s="7">
        <v>0.0944222348017563</v>
      </c>
      <c r="T549" s="7">
        <v>0.161502962893478</v>
      </c>
    </row>
    <row x14ac:dyDescent="0.25" r="550" customHeight="1" ht="19.5">
      <c r="A550" s="2" t="s">
        <v>2862</v>
      </c>
      <c r="B550" s="2" t="s">
        <v>2314</v>
      </c>
      <c r="C550" s="2" t="s">
        <v>31</v>
      </c>
      <c r="D550" s="2" t="s">
        <v>650</v>
      </c>
      <c r="E550" s="6">
        <v>1</v>
      </c>
      <c r="F550" s="6">
        <v>1</v>
      </c>
      <c r="G550" s="7">
        <v>0.5666240453720093</v>
      </c>
      <c r="H550" s="7">
        <v>5.64168515625</v>
      </c>
      <c r="I550" s="7">
        <v>13.46892268305982</v>
      </c>
      <c r="J550" s="7">
        <v>6.108102203804631</v>
      </c>
      <c r="K550" s="7">
        <v>1.050726655348175</v>
      </c>
      <c r="L550" s="7">
        <v>0.9858235842977924</v>
      </c>
      <c r="M550" s="7">
        <v>0.3907985918556996</v>
      </c>
      <c r="N550" s="7">
        <v>0.276845425639426</v>
      </c>
      <c r="O550" s="7">
        <v>0.0937065847407596</v>
      </c>
      <c r="P550" s="7">
        <v>9.24681301746634</v>
      </c>
      <c r="Q550" s="7">
        <v>0.0248866674615423</v>
      </c>
      <c r="R550" s="7">
        <v>0.0816200046941923</v>
      </c>
      <c r="S550" s="7">
        <v>0.0965472154709529</v>
      </c>
      <c r="T550" s="7">
        <v>0.1629545047757153</v>
      </c>
    </row>
    <row x14ac:dyDescent="0.25" r="551" customHeight="1" ht="19.5">
      <c r="A551" s="2" t="s">
        <v>2863</v>
      </c>
      <c r="B551" s="2" t="s">
        <v>2314</v>
      </c>
      <c r="C551" s="2" t="s">
        <v>31</v>
      </c>
      <c r="D551" s="2" t="s">
        <v>650</v>
      </c>
      <c r="E551" s="6">
        <v>1</v>
      </c>
      <c r="F551" s="6">
        <v>1</v>
      </c>
      <c r="G551" s="7">
        <v>0.5695492029190063</v>
      </c>
      <c r="H551" s="7">
        <v>5.638221875</v>
      </c>
      <c r="I551" s="7">
        <v>13.46892268305982</v>
      </c>
      <c r="J551" s="7">
        <v>6.108362512732599</v>
      </c>
      <c r="K551" s="7">
        <v>1.053822992367402</v>
      </c>
      <c r="L551" s="7">
        <v>0.9856799748000408</v>
      </c>
      <c r="M551" s="7">
        <v>0.390558690939889</v>
      </c>
      <c r="N551" s="7">
        <v>0.2746589246766411</v>
      </c>
      <c r="O551" s="7">
        <v>0.0950900016826013</v>
      </c>
      <c r="P551" s="7">
        <v>9.213755995762131</v>
      </c>
      <c r="Q551" s="7">
        <v>0.0248689637924579</v>
      </c>
      <c r="R551" s="7">
        <v>0.0809362611562041</v>
      </c>
      <c r="S551" s="7">
        <v>0.0936788489960227</v>
      </c>
      <c r="T551" s="7">
        <v>0.1627386212667012</v>
      </c>
    </row>
    <row x14ac:dyDescent="0.25" r="552" customHeight="1" ht="19.5">
      <c r="A552" s="2" t="s">
        <v>2864</v>
      </c>
      <c r="B552" s="2" t="s">
        <v>2314</v>
      </c>
      <c r="C552" s="2" t="s">
        <v>31</v>
      </c>
      <c r="D552" s="2" t="s">
        <v>650</v>
      </c>
      <c r="E552" s="6">
        <v>1</v>
      </c>
      <c r="F552" s="6">
        <v>1</v>
      </c>
      <c r="G552" s="7">
        <v>0.5669391751289368</v>
      </c>
      <c r="H552" s="7">
        <v>5.66246484375</v>
      </c>
      <c r="I552" s="7">
        <v>13.50339600961457</v>
      </c>
      <c r="J552" s="7">
        <v>6.10941459282725</v>
      </c>
      <c r="K552" s="7">
        <v>1.057764114086675</v>
      </c>
      <c r="L552" s="7">
        <v>0.9856722173828544</v>
      </c>
      <c r="M552" s="7">
        <v>0.3902378355437885</v>
      </c>
      <c r="N552" s="7">
        <v>0.2751592026996713</v>
      </c>
      <c r="O552" s="7">
        <v>0.0911310581568101</v>
      </c>
      <c r="P552" s="7">
        <v>9.231433762422588</v>
      </c>
      <c r="Q552" s="7">
        <v>0.0244951814857706</v>
      </c>
      <c r="R552" s="7">
        <v>0.0801382638389598</v>
      </c>
      <c r="S552" s="7">
        <v>0.0935834906323275</v>
      </c>
      <c r="T552" s="7">
        <v>0.1609818671382567</v>
      </c>
    </row>
    <row x14ac:dyDescent="0.25" r="553" customHeight="1" ht="19.5">
      <c r="A553" s="2" t="s">
        <v>2865</v>
      </c>
      <c r="B553" s="2" t="s">
        <v>2314</v>
      </c>
      <c r="C553" s="2" t="s">
        <v>31</v>
      </c>
      <c r="D553" s="2" t="s">
        <v>650</v>
      </c>
      <c r="E553" s="6">
        <v>1</v>
      </c>
      <c r="F553" s="6">
        <v>1</v>
      </c>
      <c r="G553" s="7">
        <v>0.5706970691680908</v>
      </c>
      <c r="H553" s="7">
        <v>5.69709765625</v>
      </c>
      <c r="I553" s="7">
        <v>13.46892268305982</v>
      </c>
      <c r="J553" s="7">
        <v>6.105335294522286</v>
      </c>
      <c r="K553" s="7">
        <v>1.048515459592414</v>
      </c>
      <c r="L553" s="7">
        <v>0.9856755622255544</v>
      </c>
      <c r="M553" s="7">
        <v>0.3946370065086715</v>
      </c>
      <c r="N553" s="7">
        <v>0.2714570256553912</v>
      </c>
      <c r="O553" s="7">
        <v>0.0857201645430044</v>
      </c>
      <c r="P553" s="7">
        <v>9.263896518257797</v>
      </c>
      <c r="Q553" s="7">
        <v>0.0239749051011894</v>
      </c>
      <c r="R553" s="7">
        <v>0.0805597405978241</v>
      </c>
      <c r="S553" s="7">
        <v>0.0939276240650914</v>
      </c>
      <c r="T553" s="7">
        <v>0.1585263063808917</v>
      </c>
    </row>
    <row x14ac:dyDescent="0.25" r="554" customHeight="1" ht="19.5">
      <c r="A554" s="2" t="s">
        <v>2866</v>
      </c>
      <c r="B554" s="2" t="s">
        <v>2314</v>
      </c>
      <c r="C554" s="2" t="s">
        <v>31</v>
      </c>
      <c r="D554" s="2" t="s">
        <v>650</v>
      </c>
      <c r="E554" s="6">
        <v>1</v>
      </c>
      <c r="F554" s="6">
        <v>1</v>
      </c>
      <c r="G554" s="7">
        <v>0.5631215572357178</v>
      </c>
      <c r="H554" s="7">
        <v>5.67631796875</v>
      </c>
      <c r="I554" s="7">
        <v>13.46892268305982</v>
      </c>
      <c r="J554" s="7">
        <v>6.106582764530373</v>
      </c>
      <c r="K554" s="7">
        <v>1.049382079813915</v>
      </c>
      <c r="L554" s="7">
        <v>0.9857035701578608</v>
      </c>
      <c r="M554" s="7">
        <v>0.3931976010138071</v>
      </c>
      <c r="N554" s="7">
        <v>0.2733588232195968</v>
      </c>
      <c r="O554" s="7">
        <v>0.0887949624430345</v>
      </c>
      <c r="P554" s="7">
        <v>9.254066342665393</v>
      </c>
      <c r="Q554" s="7">
        <v>0.0239101711989907</v>
      </c>
      <c r="R554" s="7">
        <v>0.0801253299965926</v>
      </c>
      <c r="S554" s="7">
        <v>0.092635052846528</v>
      </c>
      <c r="T554" s="7">
        <v>0.1575216241469329</v>
      </c>
    </row>
    <row x14ac:dyDescent="0.25" r="555" customHeight="1" ht="19.5">
      <c r="A555" s="2" t="s">
        <v>2867</v>
      </c>
      <c r="B555" s="2" t="s">
        <v>2314</v>
      </c>
      <c r="C555" s="2" t="s">
        <v>31</v>
      </c>
      <c r="D555" s="2" t="s">
        <v>650</v>
      </c>
      <c r="E555" s="6">
        <v>1</v>
      </c>
      <c r="F555" s="6">
        <v>1</v>
      </c>
      <c r="G555" s="7">
        <v>0.5676812529563904</v>
      </c>
      <c r="H555" s="7">
        <v>5.648611718750001</v>
      </c>
      <c r="I555" s="7">
        <v>13.51767532901366</v>
      </c>
      <c r="J555" s="7">
        <v>6.106976686687576</v>
      </c>
      <c r="K555" s="7">
        <v>1.052688168232831</v>
      </c>
      <c r="L555" s="7">
        <v>0.9858696105613396</v>
      </c>
      <c r="M555" s="7">
        <v>0.3884611256019599</v>
      </c>
      <c r="N555" s="7">
        <v>0.2747524838881594</v>
      </c>
      <c r="O555" s="7">
        <v>0.0908036737505121</v>
      </c>
      <c r="P555" s="7">
        <v>9.245432479324087</v>
      </c>
      <c r="Q555" s="7">
        <v>0.0246902148407893</v>
      </c>
      <c r="R555" s="7">
        <v>0.0811618744784814</v>
      </c>
      <c r="S555" s="7">
        <v>0.0973245774430373</v>
      </c>
      <c r="T555" s="7">
        <v>0.1618666474168053</v>
      </c>
    </row>
    <row x14ac:dyDescent="0.25" r="556" customHeight="1" ht="19.5">
      <c r="A556" s="2" t="s">
        <v>2868</v>
      </c>
      <c r="B556" s="2" t="s">
        <v>2314</v>
      </c>
      <c r="C556" s="2" t="s">
        <v>31</v>
      </c>
      <c r="D556" s="2" t="s">
        <v>650</v>
      </c>
      <c r="E556" s="6">
        <v>1</v>
      </c>
      <c r="F556" s="6">
        <v>1</v>
      </c>
      <c r="G556" s="7">
        <v>0.5759777426719666</v>
      </c>
      <c r="H556" s="7">
        <v>5.721340625000001</v>
      </c>
      <c r="I556" s="7">
        <v>13.45464336366073</v>
      </c>
      <c r="J556" s="7">
        <v>6.107448143125978</v>
      </c>
      <c r="K556" s="7">
        <v>1.050661888218098</v>
      </c>
      <c r="L556" s="7">
        <v>0.9856137154605876</v>
      </c>
      <c r="M556" s="7">
        <v>0.397157974798949</v>
      </c>
      <c r="N556" s="7">
        <v>0.2687773999401966</v>
      </c>
      <c r="O556" s="7">
        <v>0.0862618851648323</v>
      </c>
      <c r="P556" s="7">
        <v>9.24721787912187</v>
      </c>
      <c r="Q556" s="7">
        <v>0.0224760344770349</v>
      </c>
      <c r="R556" s="7">
        <v>0.0792509777451773</v>
      </c>
      <c r="S556" s="7">
        <v>0.0933596259067622</v>
      </c>
      <c r="T556" s="7">
        <v>0.1492479155424982</v>
      </c>
    </row>
    <row x14ac:dyDescent="0.25" r="557" customHeight="1" ht="19.5">
      <c r="A557" s="2" t="s">
        <v>2869</v>
      </c>
      <c r="B557" s="2" t="s">
        <v>2314</v>
      </c>
      <c r="C557" s="2" t="s">
        <v>31</v>
      </c>
      <c r="D557" s="2" t="s">
        <v>650</v>
      </c>
      <c r="E557" s="6">
        <v>1</v>
      </c>
      <c r="F557" s="6">
        <v>1</v>
      </c>
      <c r="G557" s="7">
        <v>0.519363284111023</v>
      </c>
      <c r="H557" s="7">
        <v>5.953380468750001</v>
      </c>
      <c r="I557" s="7">
        <v>13.64128931583356</v>
      </c>
      <c r="J557" s="7">
        <v>6.107928673238717</v>
      </c>
      <c r="K557" s="7">
        <v>1.094359820294264</v>
      </c>
      <c r="L557" s="7">
        <v>0.984853372171194</v>
      </c>
      <c r="M557" s="7">
        <v>0.4020338885914797</v>
      </c>
      <c r="N557" s="7">
        <v>0.3504959580945629</v>
      </c>
      <c r="O557" s="7">
        <v>0.0980230255593019</v>
      </c>
      <c r="P557" s="7">
        <v>8.524179505685865</v>
      </c>
      <c r="Q557" s="7">
        <v>0.0034573942668494</v>
      </c>
      <c r="R557" s="7">
        <v>0.0226626691133361</v>
      </c>
      <c r="S557" s="7">
        <v>0.0326560412610774</v>
      </c>
      <c r="T557" s="7">
        <v>0.0238892945866498</v>
      </c>
    </row>
    <row x14ac:dyDescent="0.25" r="558" customHeight="1" ht="19.5">
      <c r="A558" s="2" t="s">
        <v>2870</v>
      </c>
      <c r="B558" s="2" t="s">
        <v>2314</v>
      </c>
      <c r="C558" s="2" t="s">
        <v>31</v>
      </c>
      <c r="D558" s="2" t="s">
        <v>650</v>
      </c>
      <c r="E558" s="6">
        <v>1</v>
      </c>
      <c r="F558" s="6">
        <v>1</v>
      </c>
      <c r="G558" s="7">
        <v>0.4744143187999725</v>
      </c>
      <c r="H558" s="7">
        <v>5.915284375000001</v>
      </c>
      <c r="I558" s="7">
        <v>15.91204932459164</v>
      </c>
      <c r="J558" s="7">
        <v>7.455657185485657</v>
      </c>
      <c r="K558" s="7">
        <v>0.832631493275323</v>
      </c>
      <c r="L558" s="7">
        <v>0.9936147440172168</v>
      </c>
      <c r="M558" s="7">
        <v>0.2935845921714783</v>
      </c>
      <c r="N558" s="7">
        <v>0.3195754714746527</v>
      </c>
      <c r="O558" s="7">
        <v>0.0742881618325935</v>
      </c>
      <c r="P558" s="7">
        <v>8.912019954593486</v>
      </c>
      <c r="Q558" s="7">
        <v>0.0041978120429254</v>
      </c>
      <c r="R558" s="7">
        <v>0.026243645655912</v>
      </c>
      <c r="S558" s="7">
        <v>0.0484267612027354</v>
      </c>
      <c r="T558" s="7">
        <v>0.0288196961192144</v>
      </c>
    </row>
    <row x14ac:dyDescent="0.25" r="559" customHeight="1" ht="19.5">
      <c r="A559" s="2" t="s">
        <v>2871</v>
      </c>
      <c r="B559" s="2" t="s">
        <v>2314</v>
      </c>
      <c r="C559" s="2" t="s">
        <v>31</v>
      </c>
      <c r="D559" s="2" t="s">
        <v>650</v>
      </c>
      <c r="E559" s="6">
        <v>1</v>
      </c>
      <c r="F559" s="6">
        <v>1</v>
      </c>
      <c r="G559" s="7">
        <v>0.5014269351959229</v>
      </c>
      <c r="H559" s="7">
        <v>8.256462500000001</v>
      </c>
      <c r="I559" s="7">
        <v>18.46104588967366</v>
      </c>
      <c r="J559" s="7">
        <v>8.593285753489475</v>
      </c>
      <c r="K559" s="7">
        <v>1.078642582791049</v>
      </c>
      <c r="L559" s="7">
        <v>0.9928589226438492</v>
      </c>
      <c r="M559" s="7">
        <v>0.3044326814994599</v>
      </c>
      <c r="N559" s="7">
        <v>0.2645774260332322</v>
      </c>
      <c r="O559" s="7">
        <v>0.0669083436751975</v>
      </c>
      <c r="P559" s="7">
        <v>9.49533396163442</v>
      </c>
      <c r="Q559" s="7">
        <v>0.0026667385451561</v>
      </c>
      <c r="R559" s="7">
        <v>0.0262400853172852</v>
      </c>
      <c r="S559" s="7">
        <v>0.0534012217479654</v>
      </c>
      <c r="T559" s="7">
        <v>0.0255543730855096</v>
      </c>
    </row>
    <row x14ac:dyDescent="0.25" r="560" customHeight="1" ht="19.5">
      <c r="A560" s="2" t="s">
        <v>2872</v>
      </c>
      <c r="B560" s="2" t="s">
        <v>2314</v>
      </c>
      <c r="C560" s="2" t="s">
        <v>31</v>
      </c>
      <c r="D560" s="2" t="s">
        <v>650</v>
      </c>
      <c r="E560" s="6">
        <v>1</v>
      </c>
      <c r="F560" s="6">
        <v>1</v>
      </c>
      <c r="G560" s="7">
        <v>0.556721568107605</v>
      </c>
      <c r="H560" s="7">
        <v>9.34046953125</v>
      </c>
      <c r="I560" s="7">
        <v>19.47995156693236</v>
      </c>
      <c r="J560" s="7">
        <v>8.955323477636366</v>
      </c>
      <c r="K560" s="7">
        <v>1.154767476773712</v>
      </c>
      <c r="L560" s="7">
        <v>0.992226048311841</v>
      </c>
      <c r="M560" s="7">
        <v>0.3093163142796566</v>
      </c>
      <c r="N560" s="7">
        <v>0.2633936642716238</v>
      </c>
      <c r="O560" s="7">
        <v>0.097316484348873</v>
      </c>
      <c r="P560" s="7">
        <v>9.602622117925105</v>
      </c>
      <c r="Q560" s="7">
        <v>0.0030523161029665</v>
      </c>
      <c r="R560" s="7">
        <v>0.0279754432076618</v>
      </c>
      <c r="S560" s="7">
        <v>0.0609914322196922</v>
      </c>
      <c r="T560" s="7">
        <v>0.0330894079043502</v>
      </c>
    </row>
    <row x14ac:dyDescent="0.25" r="561" customHeight="1" ht="19.5">
      <c r="A561" s="2" t="s">
        <v>2873</v>
      </c>
      <c r="B561" s="2" t="s">
        <v>2314</v>
      </c>
      <c r="C561" s="2" t="s">
        <v>31</v>
      </c>
      <c r="D561" s="2" t="s">
        <v>650</v>
      </c>
      <c r="E561" s="6">
        <v>1</v>
      </c>
      <c r="F561" s="6">
        <v>1</v>
      </c>
      <c r="G561" s="7">
        <v>0.5991853475570679</v>
      </c>
      <c r="H561" s="7">
        <v>9.76991640625</v>
      </c>
      <c r="I561" s="7">
        <v>19.99950140913953</v>
      </c>
      <c r="J561" s="7">
        <v>9.19371594317058</v>
      </c>
      <c r="K561" s="7">
        <v>1.24332128046634</v>
      </c>
      <c r="L561" s="7">
        <v>0.9920160751919336</v>
      </c>
      <c r="M561" s="7">
        <v>0.3069462799508362</v>
      </c>
      <c r="N561" s="7">
        <v>0.2629504889633069</v>
      </c>
      <c r="O561" s="7">
        <v>0.1096923365000323</v>
      </c>
      <c r="P561" s="7">
        <v>9.620387233455464</v>
      </c>
      <c r="Q561" s="7">
        <v>0.0066465561073544</v>
      </c>
      <c r="R561" s="7">
        <v>0.0536614504314877</v>
      </c>
      <c r="S561" s="7">
        <v>0.0843458803862854</v>
      </c>
      <c r="T561" s="7">
        <v>0.0753664923435706</v>
      </c>
    </row>
    <row x14ac:dyDescent="0.25" r="562" customHeight="1" ht="19.5">
      <c r="A562" s="2" t="s">
        <v>2874</v>
      </c>
      <c r="B562" s="2" t="s">
        <v>2314</v>
      </c>
      <c r="C562" s="2" t="s">
        <v>31</v>
      </c>
      <c r="D562" s="2" t="s">
        <v>650</v>
      </c>
      <c r="E562" s="6">
        <v>1</v>
      </c>
      <c r="F562" s="6">
        <v>1</v>
      </c>
      <c r="G562" s="7">
        <v>0.5850934982299805</v>
      </c>
      <c r="H562" s="7">
        <v>9.85303515625</v>
      </c>
      <c r="I562" s="7">
        <v>20.20042668071145</v>
      </c>
      <c r="J562" s="7">
        <v>9.363967898454948</v>
      </c>
      <c r="K562" s="7">
        <v>1.221196178477353</v>
      </c>
      <c r="L562" s="7">
        <v>0.9923500842659568</v>
      </c>
      <c r="M562" s="7">
        <v>0.303430205114078</v>
      </c>
      <c r="N562" s="7">
        <v>0.2589562244012716</v>
      </c>
      <c r="O562" s="7">
        <v>0.1148233912736322</v>
      </c>
      <c r="P562" s="7">
        <v>9.639590340895433</v>
      </c>
      <c r="Q562" s="7">
        <v>0.0115575810397655</v>
      </c>
      <c r="R562" s="7">
        <v>0.0747634365652613</v>
      </c>
      <c r="S562" s="7">
        <v>0.1061057462959019</v>
      </c>
      <c r="T562" s="7">
        <v>0.1321684387121481</v>
      </c>
    </row>
    <row x14ac:dyDescent="0.25" r="563" customHeight="1" ht="19.5">
      <c r="A563" s="2" t="s">
        <v>2875</v>
      </c>
      <c r="B563" s="2" t="s">
        <v>2314</v>
      </c>
      <c r="C563" s="2" t="s">
        <v>31</v>
      </c>
      <c r="D563" s="2" t="s">
        <v>650</v>
      </c>
      <c r="E563" s="6">
        <v>1</v>
      </c>
      <c r="F563" s="6">
        <v>1</v>
      </c>
      <c r="G563" s="7">
        <v>0.5899688005447388</v>
      </c>
      <c r="H563" s="7">
        <v>9.74221015625</v>
      </c>
      <c r="I563" s="7">
        <v>20.15167403475761</v>
      </c>
      <c r="J563" s="7">
        <v>9.366207461097046</v>
      </c>
      <c r="K563" s="7">
        <v>1.172483943650936</v>
      </c>
      <c r="L563" s="7">
        <v>0.9926177435393614</v>
      </c>
      <c r="M563" s="7">
        <v>0.3014706925924916</v>
      </c>
      <c r="N563" s="7">
        <v>0.2370729786275337</v>
      </c>
      <c r="O563" s="7">
        <v>0.0898587964248715</v>
      </c>
      <c r="P563" s="7">
        <v>9.833104543912084</v>
      </c>
      <c r="Q563" s="7">
        <v>0.0139049862424471</v>
      </c>
      <c r="R563" s="7">
        <v>0.0841605303653603</v>
      </c>
      <c r="S563" s="7">
        <v>0.1192371601001275</v>
      </c>
      <c r="T563" s="7">
        <v>0.1572239986421653</v>
      </c>
    </row>
    <row x14ac:dyDescent="0.25" r="564" customHeight="1" ht="19.5">
      <c r="A564" s="2" t="s">
        <v>2876</v>
      </c>
      <c r="B564" s="2" t="s">
        <v>2314</v>
      </c>
      <c r="C564" s="2" t="s">
        <v>31</v>
      </c>
      <c r="D564" s="2" t="s">
        <v>650</v>
      </c>
      <c r="E564" s="6">
        <v>1</v>
      </c>
      <c r="F564" s="6">
        <v>1</v>
      </c>
      <c r="G564" s="7">
        <v>0.5827206373214722</v>
      </c>
      <c r="H564" s="7">
        <v>9.75606328125</v>
      </c>
      <c r="I564" s="7">
        <v>20.24917932666529</v>
      </c>
      <c r="J564" s="7">
        <v>9.421249491792883</v>
      </c>
      <c r="K564" s="7">
        <v>1.175636087116227</v>
      </c>
      <c r="L564" s="7">
        <v>0.992745928886918</v>
      </c>
      <c r="M564" s="7">
        <v>0.2989989200080525</v>
      </c>
      <c r="N564" s="7">
        <v>0.2393229431609553</v>
      </c>
      <c r="O564" s="7">
        <v>0.0937930421140346</v>
      </c>
      <c r="P564" s="7">
        <v>9.805737618834378</v>
      </c>
      <c r="Q564" s="7">
        <v>0.0141462086664967</v>
      </c>
      <c r="R564" s="7">
        <v>0.0850390188532013</v>
      </c>
      <c r="S564" s="7">
        <v>0.1230837511116278</v>
      </c>
      <c r="T564" s="7">
        <v>0.1601789522799489</v>
      </c>
    </row>
    <row x14ac:dyDescent="0.25" r="565" customHeight="1" ht="19.5">
      <c r="A565" s="2" t="s">
        <v>2877</v>
      </c>
      <c r="B565" s="2" t="s">
        <v>2314</v>
      </c>
      <c r="C565" s="2" t="s">
        <v>31</v>
      </c>
      <c r="D565" s="2" t="s">
        <v>650</v>
      </c>
      <c r="E565" s="6">
        <v>1</v>
      </c>
      <c r="F565" s="6">
        <v>1</v>
      </c>
      <c r="G565" s="7">
        <v>0.5854930281639099</v>
      </c>
      <c r="H565" s="7">
        <v>9.72489375</v>
      </c>
      <c r="I565" s="7">
        <v>20.29793197261913</v>
      </c>
      <c r="J565" s="7">
        <v>9.42305237179754</v>
      </c>
      <c r="K565" s="7">
        <v>1.170830288546871</v>
      </c>
      <c r="L565" s="7">
        <v>0.992761297442596</v>
      </c>
      <c r="M565" s="7">
        <v>0.2966136572809757</v>
      </c>
      <c r="N565" s="7">
        <v>0.2397265755718123</v>
      </c>
      <c r="O565" s="7">
        <v>0.0969734001551187</v>
      </c>
      <c r="P565" s="7">
        <v>9.792499926200517</v>
      </c>
      <c r="Q565" s="7">
        <v>0.0141811888247052</v>
      </c>
      <c r="R565" s="7">
        <v>0.0827951125351767</v>
      </c>
      <c r="S565" s="7">
        <v>0.1187908062703147</v>
      </c>
      <c r="T565" s="7">
        <v>0.1600620168663906</v>
      </c>
    </row>
    <row x14ac:dyDescent="0.25" r="566" customHeight="1" ht="19.5">
      <c r="A566" s="2" t="s">
        <v>2878</v>
      </c>
      <c r="B566" s="2" t="s">
        <v>2314</v>
      </c>
      <c r="C566" s="2" t="s">
        <v>31</v>
      </c>
      <c r="D566" s="2" t="s">
        <v>650</v>
      </c>
      <c r="E566" s="6">
        <v>1</v>
      </c>
      <c r="F566" s="6">
        <v>1</v>
      </c>
      <c r="G566" s="7">
        <v>0.5814648270606995</v>
      </c>
      <c r="H566" s="7">
        <v>9.74221015625</v>
      </c>
      <c r="I566" s="7">
        <v>20.11720070820287</v>
      </c>
      <c r="J566" s="7">
        <v>9.366874678505765</v>
      </c>
      <c r="K566" s="7">
        <v>1.170263176402984</v>
      </c>
      <c r="L566" s="7">
        <v>0.992606137085386</v>
      </c>
      <c r="M566" s="7">
        <v>0.3025047929500482</v>
      </c>
      <c r="N566" s="7">
        <v>0.2383250025278104</v>
      </c>
      <c r="O566" s="7">
        <v>0.0921014630603236</v>
      </c>
      <c r="P566" s="7">
        <v>9.832685469603865</v>
      </c>
      <c r="Q566" s="7">
        <v>0.0144059209361635</v>
      </c>
      <c r="R566" s="7">
        <v>0.0841216247345499</v>
      </c>
      <c r="S566" s="7">
        <v>0.1180967799908553</v>
      </c>
      <c r="T566" s="7">
        <v>0.162888078723328</v>
      </c>
    </row>
    <row x14ac:dyDescent="0.25" r="567" customHeight="1" ht="19.5">
      <c r="A567" s="2" t="s">
        <v>2879</v>
      </c>
      <c r="B567" s="2" t="s">
        <v>2314</v>
      </c>
      <c r="C567" s="2" t="s">
        <v>31</v>
      </c>
      <c r="D567" s="2" t="s">
        <v>650</v>
      </c>
      <c r="E567" s="6">
        <v>1</v>
      </c>
      <c r="F567" s="6">
        <v>1</v>
      </c>
      <c r="G567" s="7">
        <v>0.5866754651069641</v>
      </c>
      <c r="H567" s="7">
        <v>9.78030625</v>
      </c>
      <c r="I567" s="7">
        <v>20.15167403475761</v>
      </c>
      <c r="J567" s="7">
        <v>9.422914927633869</v>
      </c>
      <c r="K567" s="7">
        <v>1.173526256701113</v>
      </c>
      <c r="L567" s="7">
        <v>0.9926988223390948</v>
      </c>
      <c r="M567" s="7">
        <v>0.302649568390045</v>
      </c>
      <c r="N567" s="7">
        <v>0.2388078885977448</v>
      </c>
      <c r="O567" s="7">
        <v>0.0938850396787225</v>
      </c>
      <c r="P567" s="7">
        <v>9.8115652238365</v>
      </c>
      <c r="Q567" s="7">
        <v>0.0140269512518857</v>
      </c>
      <c r="R567" s="7">
        <v>0.0849443750002413</v>
      </c>
      <c r="S567" s="7">
        <v>0.1164308029409954</v>
      </c>
      <c r="T567" s="7">
        <v>0.1592232637346594</v>
      </c>
    </row>
    <row x14ac:dyDescent="0.25" r="568" customHeight="1" ht="19.5">
      <c r="A568" s="2" t="s">
        <v>2880</v>
      </c>
      <c r="B568" s="2" t="s">
        <v>2314</v>
      </c>
      <c r="C568" s="2" t="s">
        <v>31</v>
      </c>
      <c r="D568" s="2" t="s">
        <v>650</v>
      </c>
      <c r="E568" s="6">
        <v>1</v>
      </c>
      <c r="F568" s="6">
        <v>1</v>
      </c>
      <c r="G568" s="7">
        <v>0.5853625535964966</v>
      </c>
      <c r="H568" s="7">
        <v>9.79069609375</v>
      </c>
      <c r="I568" s="7">
        <v>20.20042668071145</v>
      </c>
      <c r="J568" s="7">
        <v>9.421448304615089</v>
      </c>
      <c r="K568" s="7">
        <v>1.173490378436498</v>
      </c>
      <c r="L568" s="7">
        <v>0.9926597548685338</v>
      </c>
      <c r="M568" s="7">
        <v>0.3015104358022842</v>
      </c>
      <c r="N568" s="7">
        <v>0.2390090333138251</v>
      </c>
      <c r="O568" s="7">
        <v>0.0910994902542483</v>
      </c>
      <c r="P568" s="7">
        <v>9.816048577872497</v>
      </c>
      <c r="Q568" s="7">
        <v>0.0140753484101976</v>
      </c>
      <c r="R568" s="7">
        <v>0.084411623827881</v>
      </c>
      <c r="S568" s="7">
        <v>0.1179482326327796</v>
      </c>
      <c r="T568" s="7">
        <v>0.1599423615354189</v>
      </c>
    </row>
    <row x14ac:dyDescent="0.25" r="569" customHeight="1" ht="19.5">
      <c r="A569" s="2" t="s">
        <v>2881</v>
      </c>
      <c r="B569" s="2" t="s">
        <v>2314</v>
      </c>
      <c r="C569" s="2" t="s">
        <v>31</v>
      </c>
      <c r="D569" s="2" t="s">
        <v>650</v>
      </c>
      <c r="E569" s="6">
        <v>1</v>
      </c>
      <c r="F569" s="6">
        <v>1</v>
      </c>
      <c r="G569" s="7">
        <v>0.5846347808837891</v>
      </c>
      <c r="H569" s="7">
        <v>9.78030625</v>
      </c>
      <c r="I569" s="7">
        <v>20.15167403475761</v>
      </c>
      <c r="J569" s="7">
        <v>9.366597884184424</v>
      </c>
      <c r="K569" s="7">
        <v>1.22369182533502</v>
      </c>
      <c r="L569" s="7">
        <v>0.992592546420946</v>
      </c>
      <c r="M569" s="7">
        <v>0.302649568390045</v>
      </c>
      <c r="N569" s="7">
        <v>0.2681002277968048</v>
      </c>
      <c r="O569" s="7">
        <v>0.1244507695767824</v>
      </c>
      <c r="P569" s="7">
        <v>9.58416184434439</v>
      </c>
      <c r="Q569" s="7">
        <v>0.0144594171902243</v>
      </c>
      <c r="R569" s="7">
        <v>0.0859861425291212</v>
      </c>
      <c r="S569" s="7">
        <v>0.1260090916692536</v>
      </c>
      <c r="T569" s="7">
        <v>0.1641322875788166</v>
      </c>
    </row>
    <row x14ac:dyDescent="0.25" r="570" customHeight="1" ht="19.5">
      <c r="A570" s="2" t="s">
        <v>2882</v>
      </c>
      <c r="B570" s="2" t="s">
        <v>2314</v>
      </c>
      <c r="C570" s="2" t="s">
        <v>31</v>
      </c>
      <c r="D570" s="2" t="s">
        <v>650</v>
      </c>
      <c r="E570" s="6">
        <v>1</v>
      </c>
      <c r="F570" s="6">
        <v>1</v>
      </c>
      <c r="G570" s="7">
        <v>0.5849066376686096</v>
      </c>
      <c r="H570" s="7">
        <v>9.7526</v>
      </c>
      <c r="I570" s="7">
        <v>20.15167403475761</v>
      </c>
      <c r="J570" s="7">
        <v>9.423122076001118</v>
      </c>
      <c r="K570" s="7">
        <v>1.170214937277945</v>
      </c>
      <c r="L570" s="7">
        <v>0.9926965021012532</v>
      </c>
      <c r="M570" s="7">
        <v>0.3017922041736425</v>
      </c>
      <c r="N570" s="7">
        <v>0.2385970544440316</v>
      </c>
      <c r="O570" s="7">
        <v>0.0946187805160514</v>
      </c>
      <c r="P570" s="7">
        <v>9.775928854944995</v>
      </c>
      <c r="Q570" s="7">
        <v>0.0144476146798067</v>
      </c>
      <c r="R570" s="7">
        <v>0.0854623056510813</v>
      </c>
      <c r="S570" s="7">
        <v>0.1234959709325595</v>
      </c>
      <c r="T570" s="7">
        <v>0.1635337300124092</v>
      </c>
    </row>
    <row x14ac:dyDescent="0.25" r="571" customHeight="1" ht="19.5">
      <c r="A571" s="2" t="s">
        <v>2883</v>
      </c>
      <c r="B571" s="2" t="s">
        <v>2314</v>
      </c>
      <c r="C571" s="2" t="s">
        <v>31</v>
      </c>
      <c r="D571" s="2" t="s">
        <v>650</v>
      </c>
      <c r="E571" s="6">
        <v>1</v>
      </c>
      <c r="F571" s="6">
        <v>1</v>
      </c>
      <c r="G571" s="7">
        <v>0.5787448883056641</v>
      </c>
      <c r="H571" s="7">
        <v>9.73528359375</v>
      </c>
      <c r="I571" s="7">
        <v>20.15167403475761</v>
      </c>
      <c r="J571" s="7">
        <v>9.366945140065868</v>
      </c>
      <c r="K571" s="7">
        <v>1.16823544295151</v>
      </c>
      <c r="L571" s="7">
        <v>0.9927016102232948</v>
      </c>
      <c r="M571" s="7">
        <v>0.301256351538391</v>
      </c>
      <c r="N571" s="7">
        <v>0.240284380170268</v>
      </c>
      <c r="O571" s="7">
        <v>0.0929397977490329</v>
      </c>
      <c r="P571" s="7">
        <v>9.795243866135216</v>
      </c>
      <c r="Q571" s="7">
        <v>0.0144668312622455</v>
      </c>
      <c r="R571" s="7">
        <v>0.0842669628141634</v>
      </c>
      <c r="S571" s="7">
        <v>0.118995291516253</v>
      </c>
      <c r="T571" s="7">
        <v>0.1634604925790902</v>
      </c>
    </row>
    <row x14ac:dyDescent="0.25" r="572" customHeight="1" ht="19.5">
      <c r="A572" s="2" t="s">
        <v>2884</v>
      </c>
      <c r="B572" s="2" t="s">
        <v>2314</v>
      </c>
      <c r="C572" s="2" t="s">
        <v>31</v>
      </c>
      <c r="D572" s="2" t="s">
        <v>650</v>
      </c>
      <c r="E572" s="6">
        <v>1</v>
      </c>
      <c r="F572" s="6">
        <v>1</v>
      </c>
      <c r="G572" s="7">
        <v>0.5818493962287903</v>
      </c>
      <c r="H572" s="7">
        <v>9.79069609375</v>
      </c>
      <c r="I572" s="7">
        <v>20.20042668071145</v>
      </c>
      <c r="J572" s="7">
        <v>9.367925100788788</v>
      </c>
      <c r="K572" s="7">
        <v>1.17122222148777</v>
      </c>
      <c r="L572" s="7">
        <v>0.9926782102709524</v>
      </c>
      <c r="M572" s="7">
        <v>0.3015104358022841</v>
      </c>
      <c r="N572" s="7">
        <v>0.2309178998976552</v>
      </c>
      <c r="O572" s="7">
        <v>0.086224285085797</v>
      </c>
      <c r="P572" s="7">
        <v>9.880668863202947</v>
      </c>
      <c r="Q572" s="7">
        <v>0.0145286190162923</v>
      </c>
      <c r="R572" s="7">
        <v>0.0846973922300485</v>
      </c>
      <c r="S572" s="7">
        <v>0.1225886495945187</v>
      </c>
      <c r="T572" s="7">
        <v>0.1650930099627678</v>
      </c>
    </row>
    <row x14ac:dyDescent="0.25" r="573" customHeight="1" ht="19.5">
      <c r="A573" s="2" t="s">
        <v>2885</v>
      </c>
      <c r="B573" s="2" t="s">
        <v>2314</v>
      </c>
      <c r="C573" s="2" t="s">
        <v>31</v>
      </c>
      <c r="D573" s="2" t="s">
        <v>650</v>
      </c>
      <c r="E573" s="6">
        <v>1</v>
      </c>
      <c r="F573" s="6">
        <v>1</v>
      </c>
      <c r="G573" s="7">
        <v>0.5792850852012634</v>
      </c>
      <c r="H573" s="7">
        <v>9.72489375</v>
      </c>
      <c r="I573" s="7">
        <v>20.20042668071145</v>
      </c>
      <c r="J573" s="7">
        <v>9.42016125619147</v>
      </c>
      <c r="K573" s="7">
        <v>1.170100052836655</v>
      </c>
      <c r="L573" s="7">
        <v>0.992715455848406</v>
      </c>
      <c r="M573" s="7">
        <v>0.2994840126398351</v>
      </c>
      <c r="N573" s="7">
        <v>0.2412355485168184</v>
      </c>
      <c r="O573" s="7">
        <v>0.0959888407806177</v>
      </c>
      <c r="P573" s="7">
        <v>9.782408528450269</v>
      </c>
      <c r="Q573" s="7">
        <v>0.0145929619940199</v>
      </c>
      <c r="R573" s="7">
        <v>0.0853490780931929</v>
      </c>
      <c r="S573" s="7">
        <v>0.1227241293736369</v>
      </c>
      <c r="T573" s="7">
        <v>0.1647096698090799</v>
      </c>
    </row>
    <row x14ac:dyDescent="0.25" r="574" customHeight="1" ht="19.5">
      <c r="A574" s="2" t="s">
        <v>2886</v>
      </c>
      <c r="B574" s="2" t="s">
        <v>2314</v>
      </c>
      <c r="C574" s="2" t="s">
        <v>31</v>
      </c>
      <c r="D574" s="2" t="s">
        <v>650</v>
      </c>
      <c r="E574" s="6">
        <v>1</v>
      </c>
      <c r="F574" s="6">
        <v>1</v>
      </c>
      <c r="G574" s="7">
        <v>0.5802524089813232</v>
      </c>
      <c r="H574" s="7">
        <v>9.79069609375</v>
      </c>
      <c r="I574" s="7">
        <v>20.20042668071145</v>
      </c>
      <c r="J574" s="7">
        <v>9.423178888360596</v>
      </c>
      <c r="K574" s="7">
        <v>1.171284799918629</v>
      </c>
      <c r="L574" s="7">
        <v>0.9926671085345998</v>
      </c>
      <c r="M574" s="7">
        <v>0.3015104358022842</v>
      </c>
      <c r="N574" s="7">
        <v>0.2409148552698575</v>
      </c>
      <c r="O574" s="7">
        <v>0.0925506603652438</v>
      </c>
      <c r="P574" s="7">
        <v>9.817426038097585</v>
      </c>
      <c r="Q574" s="7">
        <v>0.014457814000225</v>
      </c>
      <c r="R574" s="7">
        <v>0.0844260759672171</v>
      </c>
      <c r="S574" s="7">
        <v>0.1166478109612554</v>
      </c>
      <c r="T574" s="7">
        <v>0.1642884315503325</v>
      </c>
    </row>
    <row x14ac:dyDescent="0.25" r="575" customHeight="1" ht="19.5">
      <c r="A575" s="2" t="s">
        <v>2887</v>
      </c>
      <c r="B575" s="2" t="s">
        <v>2314</v>
      </c>
      <c r="C575" s="2" t="s">
        <v>31</v>
      </c>
      <c r="D575" s="2" t="s">
        <v>650</v>
      </c>
      <c r="E575" s="6">
        <v>1</v>
      </c>
      <c r="F575" s="6">
        <v>1</v>
      </c>
      <c r="G575" s="7">
        <v>0.5849900245666504</v>
      </c>
      <c r="H575" s="7">
        <v>9.74913671875</v>
      </c>
      <c r="I575" s="7">
        <v>20.10292138880377</v>
      </c>
      <c r="J575" s="7">
        <v>9.368222620347405</v>
      </c>
      <c r="K575" s="7">
        <v>1.172915621776869</v>
      </c>
      <c r="L575" s="7">
        <v>0.9926945136497818</v>
      </c>
      <c r="M575" s="7">
        <v>0.3031500722697627</v>
      </c>
      <c r="N575" s="7">
        <v>0.2390131688231118</v>
      </c>
      <c r="O575" s="7">
        <v>0.0919157815842563</v>
      </c>
      <c r="P575" s="7">
        <v>9.812608853609264</v>
      </c>
      <c r="Q575" s="7">
        <v>0.0141882429517981</v>
      </c>
      <c r="R575" s="7">
        <v>0.0842903230455778</v>
      </c>
      <c r="S575" s="7">
        <v>0.1180200602213297</v>
      </c>
      <c r="T575" s="7">
        <v>0.1605408497516503</v>
      </c>
    </row>
    <row x14ac:dyDescent="0.25" r="576" customHeight="1" ht="19.5">
      <c r="A576" s="2" t="s">
        <v>2888</v>
      </c>
      <c r="B576" s="2" t="s">
        <v>2314</v>
      </c>
      <c r="C576" s="2" t="s">
        <v>31</v>
      </c>
      <c r="D576" s="2" t="s">
        <v>650</v>
      </c>
      <c r="E576" s="6">
        <v>1</v>
      </c>
      <c r="F576" s="6">
        <v>1</v>
      </c>
      <c r="G576" s="7">
        <v>0.5853539705276489</v>
      </c>
      <c r="H576" s="7">
        <v>9.76991640625</v>
      </c>
      <c r="I576" s="7">
        <v>20.18614736131236</v>
      </c>
      <c r="J576" s="7">
        <v>9.421506656547953</v>
      </c>
      <c r="K576" s="7">
        <v>1.172833756276654</v>
      </c>
      <c r="L576" s="7">
        <v>0.9927004139691756</v>
      </c>
      <c r="M576" s="7">
        <v>0.3012963240835974</v>
      </c>
      <c r="N576" s="7">
        <v>0.2382031589301767</v>
      </c>
      <c r="O576" s="7">
        <v>0.0930338419075691</v>
      </c>
      <c r="P576" s="7">
        <v>9.817638701134149</v>
      </c>
      <c r="Q576" s="7">
        <v>0.0143672471071225</v>
      </c>
      <c r="R576" s="7">
        <v>0.0848775078648736</v>
      </c>
      <c r="S576" s="7">
        <v>0.1190192073266217</v>
      </c>
      <c r="T576" s="7">
        <v>0.1629127929724407</v>
      </c>
    </row>
    <row x14ac:dyDescent="0.25" r="577" customHeight="1" ht="19.5">
      <c r="A577" s="2" t="s">
        <v>2889</v>
      </c>
      <c r="B577" s="2" t="s">
        <v>2314</v>
      </c>
      <c r="C577" s="2" t="s">
        <v>31</v>
      </c>
      <c r="D577" s="2" t="s">
        <v>650</v>
      </c>
      <c r="E577" s="6">
        <v>1</v>
      </c>
      <c r="F577" s="6">
        <v>1</v>
      </c>
      <c r="G577" s="7">
        <v>0.5843348503112793</v>
      </c>
      <c r="H577" s="7">
        <v>9.7526</v>
      </c>
      <c r="I577" s="7">
        <v>20.10292138880377</v>
      </c>
      <c r="J577" s="7">
        <v>9.36815280736298</v>
      </c>
      <c r="K577" s="7">
        <v>1.170108174317322</v>
      </c>
      <c r="L577" s="7">
        <v>0.9927314452061912</v>
      </c>
      <c r="M577" s="7">
        <v>0.3032577632368212</v>
      </c>
      <c r="N577" s="7">
        <v>0.2383106061471907</v>
      </c>
      <c r="O577" s="7">
        <v>0.0923745771969782</v>
      </c>
      <c r="P577" s="7">
        <v>9.81188086566819</v>
      </c>
      <c r="Q577" s="7">
        <v>0.0145997824757039</v>
      </c>
      <c r="R577" s="7">
        <v>0.0857363787601153</v>
      </c>
      <c r="S577" s="7">
        <v>0.1240724335411275</v>
      </c>
      <c r="T577" s="7">
        <v>0.1652561297166055</v>
      </c>
    </row>
    <row x14ac:dyDescent="0.25" r="578" customHeight="1" ht="19.5">
      <c r="A578" s="2" t="s">
        <v>2890</v>
      </c>
      <c r="B578" s="2" t="s">
        <v>2314</v>
      </c>
      <c r="C578" s="2" t="s">
        <v>31</v>
      </c>
      <c r="D578" s="2" t="s">
        <v>650</v>
      </c>
      <c r="E578" s="6">
        <v>1</v>
      </c>
      <c r="F578" s="6">
        <v>1</v>
      </c>
      <c r="G578" s="7">
        <v>0.5784674882888794</v>
      </c>
      <c r="H578" s="7">
        <v>9.7733796875</v>
      </c>
      <c r="I578" s="7">
        <v>20.20042668071145</v>
      </c>
      <c r="J578" s="7">
        <v>9.42143649307037</v>
      </c>
      <c r="K578" s="7">
        <v>1.172118023688871</v>
      </c>
      <c r="L578" s="7">
        <v>0.992676100968227</v>
      </c>
      <c r="M578" s="7">
        <v>0.3009771665490081</v>
      </c>
      <c r="N578" s="7">
        <v>0.2380499156561101</v>
      </c>
      <c r="O578" s="7">
        <v>0.0937604553721736</v>
      </c>
      <c r="P578" s="7">
        <v>9.805191892616191</v>
      </c>
      <c r="Q578" s="7">
        <v>0.0141562323371839</v>
      </c>
      <c r="R578" s="7">
        <v>0.0849572884339641</v>
      </c>
      <c r="S578" s="7">
        <v>0.1181793788227531</v>
      </c>
      <c r="T578" s="7">
        <v>0.1605769604607697</v>
      </c>
    </row>
    <row x14ac:dyDescent="0.25" r="579" customHeight="1" ht="19.5">
      <c r="A579" s="2" t="s">
        <v>2891</v>
      </c>
      <c r="B579" s="2" t="s">
        <v>2314</v>
      </c>
      <c r="C579" s="2" t="s">
        <v>31</v>
      </c>
      <c r="D579" s="2" t="s">
        <v>650</v>
      </c>
      <c r="E579" s="6">
        <v>1</v>
      </c>
      <c r="F579" s="6">
        <v>1</v>
      </c>
      <c r="G579" s="7">
        <v>0.5853518843650818</v>
      </c>
      <c r="H579" s="7">
        <v>9.72143046875</v>
      </c>
      <c r="I579" s="7">
        <v>20.01969541629519</v>
      </c>
      <c r="J579" s="7">
        <v>9.308648597277308</v>
      </c>
      <c r="K579" s="7">
        <v>1.171394644890348</v>
      </c>
      <c r="L579" s="7">
        <v>0.9925624807830702</v>
      </c>
      <c r="M579" s="7">
        <v>0.3048071195253264</v>
      </c>
      <c r="N579" s="7">
        <v>0.2341826281638943</v>
      </c>
      <c r="O579" s="7">
        <v>0.0867215551978225</v>
      </c>
      <c r="P579" s="7">
        <v>9.862542673151792</v>
      </c>
      <c r="Q579" s="7">
        <v>0.0141716811669498</v>
      </c>
      <c r="R579" s="7">
        <v>0.0838399384043928</v>
      </c>
      <c r="S579" s="7">
        <v>0.1190908711428544</v>
      </c>
      <c r="T579" s="7">
        <v>0.1598977407187556</v>
      </c>
    </row>
    <row x14ac:dyDescent="0.25" r="580" customHeight="1" ht="19.5">
      <c r="A580" s="2" t="s">
        <v>2892</v>
      </c>
      <c r="B580" s="2" t="s">
        <v>2314</v>
      </c>
      <c r="C580" s="2" t="s">
        <v>31</v>
      </c>
      <c r="D580" s="2" t="s">
        <v>650</v>
      </c>
      <c r="E580" s="6">
        <v>1</v>
      </c>
      <c r="F580" s="6">
        <v>1</v>
      </c>
      <c r="G580" s="7">
        <v>0.5835586786270142</v>
      </c>
      <c r="H580" s="7">
        <v>9.80454921875</v>
      </c>
      <c r="I580" s="7">
        <v>20.20042668071145</v>
      </c>
      <c r="J580" s="7">
        <v>9.42624886671548</v>
      </c>
      <c r="K580" s="7">
        <v>1.171332404065716</v>
      </c>
      <c r="L580" s="7">
        <v>0.9926894816402496</v>
      </c>
      <c r="M580" s="7">
        <v>0.301937051204905</v>
      </c>
      <c r="N580" s="7">
        <v>0.2387442479896016</v>
      </c>
      <c r="O580" s="7">
        <v>0.0925229195415551</v>
      </c>
      <c r="P580" s="7">
        <v>9.79555844574067</v>
      </c>
      <c r="Q580" s="7">
        <v>0.0141024960052527</v>
      </c>
      <c r="R580" s="7">
        <v>0.0828489883046046</v>
      </c>
      <c r="S580" s="7">
        <v>0.1166040962513809</v>
      </c>
      <c r="T580" s="7">
        <v>0.1604775910443327</v>
      </c>
    </row>
    <row x14ac:dyDescent="0.25" r="581" customHeight="1" ht="19.5">
      <c r="A581" s="2" t="s">
        <v>2893</v>
      </c>
      <c r="B581" s="2" t="s">
        <v>2314</v>
      </c>
      <c r="C581" s="2" t="s">
        <v>31</v>
      </c>
      <c r="D581" s="2" t="s">
        <v>650</v>
      </c>
      <c r="E581" s="6">
        <v>1</v>
      </c>
      <c r="F581" s="6">
        <v>1</v>
      </c>
      <c r="G581" s="7">
        <v>0.5723836421966553</v>
      </c>
      <c r="H581" s="7">
        <v>9.766453125</v>
      </c>
      <c r="I581" s="7">
        <v>20.2349000072662</v>
      </c>
      <c r="J581" s="7">
        <v>9.424176175622268</v>
      </c>
      <c r="K581" s="7">
        <v>1.185851802673352</v>
      </c>
      <c r="L581" s="7">
        <v>0.99266693927872</v>
      </c>
      <c r="M581" s="7">
        <v>0.2997399349657676</v>
      </c>
      <c r="N581" s="7">
        <v>0.2343723040697777</v>
      </c>
      <c r="O581" s="7">
        <v>0.0939235017743113</v>
      </c>
      <c r="P581" s="7">
        <v>9.687546723512805</v>
      </c>
      <c r="Q581" s="7">
        <v>0.0118339043027182</v>
      </c>
      <c r="R581" s="7">
        <v>0.0782289530891493</v>
      </c>
      <c r="S581" s="7">
        <v>0.1096305782624672</v>
      </c>
      <c r="T581" s="7">
        <v>0.1341391972450484</v>
      </c>
    </row>
    <row x14ac:dyDescent="0.25" r="582" customHeight="1" ht="19.5">
      <c r="A582" s="2" t="s">
        <v>2894</v>
      </c>
      <c r="B582" s="2" t="s">
        <v>2314</v>
      </c>
      <c r="C582" s="2" t="s">
        <v>31</v>
      </c>
      <c r="D582" s="2" t="s">
        <v>650</v>
      </c>
      <c r="E582" s="6">
        <v>1</v>
      </c>
      <c r="F582" s="6">
        <v>1</v>
      </c>
      <c r="G582" s="7">
        <v>0.4358033537864685</v>
      </c>
      <c r="H582" s="7">
        <v>9.40280859375</v>
      </c>
      <c r="I582" s="7">
        <v>18.79986446746457</v>
      </c>
      <c r="J582" s="7">
        <v>8.58774404210578</v>
      </c>
      <c r="K582" s="7">
        <v>1.177409909665359</v>
      </c>
      <c r="L582" s="7">
        <v>0.9906008158060072</v>
      </c>
      <c r="M582" s="7">
        <v>0.3343166627555358</v>
      </c>
      <c r="N582" s="7">
        <v>0.3379112226124918</v>
      </c>
      <c r="O582" s="7">
        <v>0.0632398348078267</v>
      </c>
      <c r="P582" s="7">
        <v>8.884842463677252</v>
      </c>
      <c r="Q582" s="7">
        <v>0.0020784320802849</v>
      </c>
      <c r="R582" s="7">
        <v>0.017973731086133</v>
      </c>
      <c r="S582" s="7">
        <v>0.0344412162334138</v>
      </c>
      <c r="T582" s="7">
        <v>0.0226821497143788</v>
      </c>
    </row>
    <row x14ac:dyDescent="0.25" r="583" customHeight="1" ht="19.5">
      <c r="A583" s="2" t="s">
        <v>2895</v>
      </c>
      <c r="B583" s="2" t="s">
        <v>2314</v>
      </c>
      <c r="C583" s="2" t="s">
        <v>31</v>
      </c>
      <c r="D583" s="2" t="s">
        <v>650</v>
      </c>
      <c r="E583" s="6">
        <v>1</v>
      </c>
      <c r="F583" s="6">
        <v>1</v>
      </c>
      <c r="G583" s="7">
        <v>0.6187644600868225</v>
      </c>
      <c r="H583" s="7">
        <v>6.933489062500001</v>
      </c>
      <c r="I583" s="7">
        <v>16.0381132552975</v>
      </c>
      <c r="J583" s="7">
        <v>7.22300279897767</v>
      </c>
      <c r="K583" s="7">
        <v>1.04513147114154</v>
      </c>
      <c r="L583" s="7">
        <v>0.9900862746369772</v>
      </c>
      <c r="M583" s="7">
        <v>0.338731158027144</v>
      </c>
      <c r="N583" s="7">
        <v>0.3149902217242755</v>
      </c>
      <c r="O583" s="7">
        <v>0.0931902566686277</v>
      </c>
      <c r="P583" s="7">
        <v>9.044043949793483</v>
      </c>
      <c r="Q583" s="7">
        <v>0.0007009333038162</v>
      </c>
      <c r="R583" s="7">
        <v>0.0038316543644481</v>
      </c>
      <c r="S583" s="7">
        <v>0.0283713632113611</v>
      </c>
      <c r="T583" s="7">
        <v>0.005640522165395</v>
      </c>
    </row>
    <row x14ac:dyDescent="0.25" r="584" customHeight="1" ht="19.5">
      <c r="A584" s="2" t="s">
        <v>2896</v>
      </c>
      <c r="B584" s="2" t="s">
        <v>2314</v>
      </c>
      <c r="C584" s="2" t="s">
        <v>31</v>
      </c>
      <c r="D584" s="2" t="s">
        <v>650</v>
      </c>
      <c r="E584" s="6">
        <v>1</v>
      </c>
      <c r="F584" s="6">
        <v>1</v>
      </c>
      <c r="G584" s="7">
        <v>0.496907889842987</v>
      </c>
      <c r="H584" s="7">
        <v>8.14910078125</v>
      </c>
      <c r="I584" s="7">
        <v>18.4551312019171</v>
      </c>
      <c r="J584" s="7">
        <v>8.353993986789444</v>
      </c>
      <c r="K584" s="7">
        <v>1.044134044618171</v>
      </c>
      <c r="L584" s="7">
        <v>0.9926278020055596</v>
      </c>
      <c r="M584" s="7">
        <v>0.3006666638534436</v>
      </c>
      <c r="N584" s="7">
        <v>0.2404434728214183</v>
      </c>
      <c r="O584" s="7">
        <v>0.0473124972486188</v>
      </c>
      <c r="P584" s="7">
        <v>9.687764732389452</v>
      </c>
      <c r="Q584" s="7">
        <v>0.0014989657631994</v>
      </c>
      <c r="R584" s="7">
        <v>0.013384148176938</v>
      </c>
      <c r="S584" s="7">
        <v>0.032125611999132</v>
      </c>
      <c r="T584" s="7">
        <v>0.0141772560300499</v>
      </c>
    </row>
    <row x14ac:dyDescent="0.25" r="585" customHeight="1" ht="19.5">
      <c r="A585" s="2" t="s">
        <v>2897</v>
      </c>
      <c r="B585" s="2" t="s">
        <v>2314</v>
      </c>
      <c r="C585" s="2" t="s">
        <v>31</v>
      </c>
      <c r="D585" s="2" t="s">
        <v>650</v>
      </c>
      <c r="E585" s="6">
        <v>1</v>
      </c>
      <c r="F585" s="6">
        <v>1</v>
      </c>
      <c r="G585" s="7">
        <v>0.5780944228172302</v>
      </c>
      <c r="H585" s="7">
        <v>9.22964453125</v>
      </c>
      <c r="I585" s="7">
        <v>19.11848903809982</v>
      </c>
      <c r="J585" s="7">
        <v>8.775104536327213</v>
      </c>
      <c r="K585" s="7">
        <v>1.197081009231252</v>
      </c>
      <c r="L585" s="7">
        <v>0.9916527655437936</v>
      </c>
      <c r="M585" s="7">
        <v>0.3173128839800197</v>
      </c>
      <c r="N585" s="7">
        <v>0.2544275903624767</v>
      </c>
      <c r="O585" s="7">
        <v>0.0803227744538384</v>
      </c>
      <c r="P585" s="7">
        <v>9.67107232394108</v>
      </c>
      <c r="Q585" s="7">
        <v>0.0031957835350683</v>
      </c>
      <c r="R585" s="7">
        <v>0.0251159857336283</v>
      </c>
      <c r="S585" s="7">
        <v>0.0430092644367565</v>
      </c>
      <c r="T585" s="7">
        <v>0.03423364241628</v>
      </c>
    </row>
    <row x14ac:dyDescent="0.25" r="586" customHeight="1" ht="19.5">
      <c r="A586" s="2" t="s">
        <v>2898</v>
      </c>
      <c r="B586" s="2" t="s">
        <v>2314</v>
      </c>
      <c r="C586" s="2" t="s">
        <v>31</v>
      </c>
      <c r="D586" s="2" t="s">
        <v>650</v>
      </c>
      <c r="E586" s="6">
        <v>1</v>
      </c>
      <c r="F586" s="6">
        <v>1</v>
      </c>
      <c r="G586" s="7">
        <v>0.5617013573646545</v>
      </c>
      <c r="H586" s="7">
        <v>9.4824640625</v>
      </c>
      <c r="I586" s="7">
        <v>19.74982349161377</v>
      </c>
      <c r="J586" s="7">
        <v>9.010254347454076</v>
      </c>
      <c r="K586" s="7">
        <v>1.177574271481864</v>
      </c>
      <c r="L586" s="7">
        <v>0.9922262602757818</v>
      </c>
      <c r="M586" s="7">
        <v>0.3054953697823825</v>
      </c>
      <c r="N586" s="7">
        <v>0.2260627740281577</v>
      </c>
      <c r="O586" s="7">
        <v>0.0614406695029527</v>
      </c>
      <c r="P586" s="7">
        <v>9.883725230429484</v>
      </c>
      <c r="Q586" s="7">
        <v>0.0073042289927602</v>
      </c>
      <c r="R586" s="7">
        <v>0.0485164930227645</v>
      </c>
      <c r="S586" s="7">
        <v>0.0669960263558528</v>
      </c>
      <c r="T586" s="7">
        <v>0.0803871007615431</v>
      </c>
    </row>
    <row x14ac:dyDescent="0.25" r="587" customHeight="1" ht="19.5">
      <c r="A587" s="2" t="s">
        <v>2899</v>
      </c>
      <c r="B587" s="2" t="s">
        <v>2314</v>
      </c>
      <c r="C587" s="2" t="s">
        <v>31</v>
      </c>
      <c r="D587" s="2" t="s">
        <v>650</v>
      </c>
      <c r="E587" s="6">
        <v>1</v>
      </c>
      <c r="F587" s="6">
        <v>1</v>
      </c>
      <c r="G587" s="7">
        <v>0.5915428400039673</v>
      </c>
      <c r="H587" s="7">
        <v>9.5240234375</v>
      </c>
      <c r="I587" s="7">
        <v>19.68679152626084</v>
      </c>
      <c r="J587" s="7">
        <v>9.12583567191617</v>
      </c>
      <c r="K587" s="7">
        <v>1.156228246339984</v>
      </c>
      <c r="L587" s="7">
        <v>0.9922176038726992</v>
      </c>
      <c r="M587" s="7">
        <v>0.3088022349077586</v>
      </c>
      <c r="N587" s="7">
        <v>0.2245390983957415</v>
      </c>
      <c r="O587" s="7">
        <v>0.0637215151919012</v>
      </c>
      <c r="P587" s="7">
        <v>9.91794063824465</v>
      </c>
      <c r="Q587" s="7">
        <v>0.0130623503194126</v>
      </c>
      <c r="R587" s="7">
        <v>0.070876834501747</v>
      </c>
      <c r="S587" s="7">
        <v>0.0907989496886228</v>
      </c>
      <c r="T587" s="7">
        <v>0.144388485965891</v>
      </c>
    </row>
    <row x14ac:dyDescent="0.25" r="588" customHeight="1" ht="19.5">
      <c r="A588" s="2" t="s">
        <v>2900</v>
      </c>
      <c r="B588" s="2" t="s">
        <v>2314</v>
      </c>
      <c r="C588" s="2" t="s">
        <v>31</v>
      </c>
      <c r="D588" s="2" t="s">
        <v>650</v>
      </c>
      <c r="E588" s="6">
        <v>1</v>
      </c>
      <c r="F588" s="6">
        <v>1</v>
      </c>
      <c r="G588" s="7">
        <v>0.5904794335365295</v>
      </c>
      <c r="H588" s="7">
        <v>9.5863625</v>
      </c>
      <c r="I588" s="7">
        <v>19.85324347127801</v>
      </c>
      <c r="J588" s="7">
        <v>9.184802703264475</v>
      </c>
      <c r="K588" s="7">
        <v>1.155753831109951</v>
      </c>
      <c r="L588" s="7">
        <v>0.9922904648113112</v>
      </c>
      <c r="M588" s="7">
        <v>0.3056333729027017</v>
      </c>
      <c r="N588" s="7">
        <v>0.2228101175728965</v>
      </c>
      <c r="O588" s="7">
        <v>0.0634300655688677</v>
      </c>
      <c r="P588" s="7">
        <v>9.940872760812118</v>
      </c>
      <c r="Q588" s="7">
        <v>0.0135112739666916</v>
      </c>
      <c r="R588" s="7">
        <v>0.0700684495360288</v>
      </c>
      <c r="S588" s="7">
        <v>0.0890714338806094</v>
      </c>
      <c r="T588" s="7">
        <v>0.1503283628188552</v>
      </c>
    </row>
    <row x14ac:dyDescent="0.25" r="589" customHeight="1" ht="19.5">
      <c r="A589" s="2" t="s">
        <v>2901</v>
      </c>
      <c r="B589" s="2" t="s">
        <v>2314</v>
      </c>
      <c r="C589" s="2" t="s">
        <v>31</v>
      </c>
      <c r="D589" s="2" t="s">
        <v>650</v>
      </c>
      <c r="E589" s="6">
        <v>1</v>
      </c>
      <c r="F589" s="6">
        <v>1</v>
      </c>
      <c r="G589" s="7">
        <v>0.5934661626815796</v>
      </c>
      <c r="H589" s="7">
        <v>9.5932890625</v>
      </c>
      <c r="I589" s="7">
        <v>19.80449082532417</v>
      </c>
      <c r="J589" s="7">
        <v>9.185192882667987</v>
      </c>
      <c r="K589" s="7">
        <v>1.155407043348081</v>
      </c>
      <c r="L589" s="7">
        <v>0.9922899493255628</v>
      </c>
      <c r="M589" s="7">
        <v>0.3073619001902052</v>
      </c>
      <c r="N589" s="7">
        <v>0.2226279960863758</v>
      </c>
      <c r="O589" s="7">
        <v>0.0632277063571259</v>
      </c>
      <c r="P589" s="7">
        <v>9.927961450850653</v>
      </c>
      <c r="Q589" s="7">
        <v>0.0133950675066359</v>
      </c>
      <c r="R589" s="7">
        <v>0.070304119306709</v>
      </c>
      <c r="S589" s="7">
        <v>0.0889268718351256</v>
      </c>
      <c r="T589" s="7">
        <v>0.1491431177179251</v>
      </c>
    </row>
    <row x14ac:dyDescent="0.25" r="590" customHeight="1" ht="19.5">
      <c r="A590" s="2" t="s">
        <v>2902</v>
      </c>
      <c r="B590" s="2" t="s">
        <v>2314</v>
      </c>
      <c r="C590" s="2" t="s">
        <v>31</v>
      </c>
      <c r="D590" s="2" t="s">
        <v>650</v>
      </c>
      <c r="E590" s="6">
        <v>1</v>
      </c>
      <c r="F590" s="6">
        <v>1</v>
      </c>
      <c r="G590" s="7">
        <v>0.5892515778541565</v>
      </c>
      <c r="H590" s="7">
        <v>9.544803125</v>
      </c>
      <c r="I590" s="7">
        <v>19.72126485281559</v>
      </c>
      <c r="J590" s="7">
        <v>9.126622779443156</v>
      </c>
      <c r="K590" s="7">
        <v>1.152392168313115</v>
      </c>
      <c r="L590" s="7">
        <v>0.9922043500184018</v>
      </c>
      <c r="M590" s="7">
        <v>0.3083949853924063</v>
      </c>
      <c r="N590" s="7">
        <v>0.2219206722035787</v>
      </c>
      <c r="O590" s="7">
        <v>0.0620415462387581</v>
      </c>
      <c r="P590" s="7">
        <v>9.963058790557344</v>
      </c>
      <c r="Q590" s="7">
        <v>0.0134406736002509</v>
      </c>
      <c r="R590" s="7">
        <v>0.0712133278282105</v>
      </c>
      <c r="S590" s="7">
        <v>0.0873931674535789</v>
      </c>
      <c r="T590" s="7">
        <v>0.1488945458975314</v>
      </c>
    </row>
    <row x14ac:dyDescent="0.25" r="591" customHeight="1" ht="19.5">
      <c r="A591" s="2" t="s">
        <v>2903</v>
      </c>
      <c r="B591" s="2" t="s">
        <v>2314</v>
      </c>
      <c r="C591" s="2" t="s">
        <v>31</v>
      </c>
      <c r="D591" s="2" t="s">
        <v>650</v>
      </c>
      <c r="E591" s="6">
        <v>1</v>
      </c>
      <c r="F591" s="6">
        <v>1</v>
      </c>
      <c r="G591" s="7">
        <v>0.5909832119941711</v>
      </c>
      <c r="H591" s="7">
        <v>9.54133984375</v>
      </c>
      <c r="I591" s="7">
        <v>19.75573817937033</v>
      </c>
      <c r="J591" s="7">
        <v>9.184873970322172</v>
      </c>
      <c r="K591" s="7">
        <v>1.154739382110306</v>
      </c>
      <c r="L591" s="7">
        <v>0.9923158305427252</v>
      </c>
      <c r="M591" s="7">
        <v>0.3072081302668715</v>
      </c>
      <c r="N591" s="7">
        <v>0.229995414286165</v>
      </c>
      <c r="O591" s="7">
        <v>0.0666015166910717</v>
      </c>
      <c r="P591" s="7">
        <v>9.88411363429462</v>
      </c>
      <c r="Q591" s="7">
        <v>0.0138494778805373</v>
      </c>
      <c r="R591" s="7">
        <v>0.0720076709819276</v>
      </c>
      <c r="S591" s="7">
        <v>0.0891125860105767</v>
      </c>
      <c r="T591" s="7">
        <v>0.1533675733029145</v>
      </c>
    </row>
    <row x14ac:dyDescent="0.25" r="592" customHeight="1" ht="19.5">
      <c r="A592" s="2" t="s">
        <v>2904</v>
      </c>
      <c r="B592" s="2" t="s">
        <v>2314</v>
      </c>
      <c r="C592" s="2" t="s">
        <v>31</v>
      </c>
      <c r="D592" s="2" t="s">
        <v>650</v>
      </c>
      <c r="E592" s="6">
        <v>1</v>
      </c>
      <c r="F592" s="6">
        <v>1</v>
      </c>
      <c r="G592" s="7">
        <v>0.5846155881881714</v>
      </c>
      <c r="H592" s="7">
        <v>9.572509375</v>
      </c>
      <c r="I592" s="7">
        <v>19.80449082532417</v>
      </c>
      <c r="J592" s="7">
        <v>9.184901996321578</v>
      </c>
      <c r="K592" s="7">
        <v>1.154711201907518</v>
      </c>
      <c r="L592" s="7">
        <v>0.9923061913688594</v>
      </c>
      <c r="M592" s="7">
        <v>0.3066961343414178</v>
      </c>
      <c r="N592" s="7">
        <v>0.2246317405780548</v>
      </c>
      <c r="O592" s="7">
        <v>0.0627730778441381</v>
      </c>
      <c r="P592" s="7">
        <v>9.954439417356053</v>
      </c>
      <c r="Q592" s="7">
        <v>0.0136774746537375</v>
      </c>
      <c r="R592" s="7">
        <v>0.0706988507165281</v>
      </c>
      <c r="S592" s="7">
        <v>0.092796949236041</v>
      </c>
      <c r="T592" s="7">
        <v>0.1519576256540097</v>
      </c>
    </row>
    <row x14ac:dyDescent="0.25" r="593" customHeight="1" ht="19.5">
      <c r="A593" s="2" t="s">
        <v>2905</v>
      </c>
      <c r="B593" s="2" t="s">
        <v>2314</v>
      </c>
      <c r="C593" s="2" t="s">
        <v>31</v>
      </c>
      <c r="D593" s="2" t="s">
        <v>650</v>
      </c>
      <c r="E593" s="6">
        <v>1</v>
      </c>
      <c r="F593" s="6">
        <v>1</v>
      </c>
      <c r="G593" s="7">
        <v>0.5936577916145325</v>
      </c>
      <c r="H593" s="7">
        <v>9.5794359375</v>
      </c>
      <c r="I593" s="7">
        <v>19.72126485281558</v>
      </c>
      <c r="J593" s="7">
        <v>9.185294350213354</v>
      </c>
      <c r="K593" s="7">
        <v>1.152307538352021</v>
      </c>
      <c r="L593" s="7">
        <v>0.9923118954937208</v>
      </c>
      <c r="M593" s="7">
        <v>0.3095139802595777</v>
      </c>
      <c r="N593" s="7">
        <v>0.2226782358090716</v>
      </c>
      <c r="O593" s="7">
        <v>0.0620283748796619</v>
      </c>
      <c r="P593" s="7">
        <v>9.950606832963985</v>
      </c>
      <c r="Q593" s="7">
        <v>0.0136098621574705</v>
      </c>
      <c r="R593" s="7">
        <v>0.0703514993648512</v>
      </c>
      <c r="S593" s="7">
        <v>0.0896115053996635</v>
      </c>
      <c r="T593" s="7">
        <v>0.1513158577808168</v>
      </c>
    </row>
    <row x14ac:dyDescent="0.25" r="594" customHeight="1" ht="19.5">
      <c r="A594" s="2" t="s">
        <v>2906</v>
      </c>
      <c r="B594" s="2" t="s">
        <v>2314</v>
      </c>
      <c r="C594" s="2" t="s">
        <v>31</v>
      </c>
      <c r="D594" s="2" t="s">
        <v>650</v>
      </c>
      <c r="E594" s="6">
        <v>1</v>
      </c>
      <c r="F594" s="6">
        <v>1</v>
      </c>
      <c r="G594" s="7">
        <v>0.5934882760047913</v>
      </c>
      <c r="H594" s="7">
        <v>9.5378765625</v>
      </c>
      <c r="I594" s="7">
        <v>19.638038880307</v>
      </c>
      <c r="J594" s="7">
        <v>9.125465552968226</v>
      </c>
      <c r="K594" s="7">
        <v>1.153599173352484</v>
      </c>
      <c r="L594" s="7">
        <v>0.9921792039667616</v>
      </c>
      <c r="M594" s="7">
        <v>0.310788779204988</v>
      </c>
      <c r="N594" s="7">
        <v>0.2230165823814695</v>
      </c>
      <c r="O594" s="7">
        <v>0.0613361602373619</v>
      </c>
      <c r="P594" s="7">
        <v>9.94921371753438</v>
      </c>
      <c r="Q594" s="7">
        <v>0.0136096915637133</v>
      </c>
      <c r="R594" s="7">
        <v>0.0718106674578724</v>
      </c>
      <c r="S594" s="7">
        <v>0.094734044217029</v>
      </c>
      <c r="T594" s="7">
        <v>0.1506575014006544</v>
      </c>
    </row>
    <row x14ac:dyDescent="0.25" r="595" customHeight="1" ht="19.5">
      <c r="A595" s="2" t="s">
        <v>2907</v>
      </c>
      <c r="B595" s="2" t="s">
        <v>2314</v>
      </c>
      <c r="C595" s="2" t="s">
        <v>31</v>
      </c>
      <c r="D595" s="2" t="s">
        <v>650</v>
      </c>
      <c r="E595" s="6">
        <v>1</v>
      </c>
      <c r="F595" s="6">
        <v>1</v>
      </c>
      <c r="G595" s="7">
        <v>0.5940097570419312</v>
      </c>
      <c r="H595" s="7">
        <v>9.54133984375</v>
      </c>
      <c r="I595" s="7">
        <v>19.638038880307</v>
      </c>
      <c r="J595" s="7">
        <v>9.12508539054252</v>
      </c>
      <c r="K595" s="7">
        <v>1.154951908016777</v>
      </c>
      <c r="L595" s="7">
        <v>0.992180452335962</v>
      </c>
      <c r="M595" s="7">
        <v>0.3109016291611263</v>
      </c>
      <c r="N595" s="7">
        <v>0.2208010606136552</v>
      </c>
      <c r="O595" s="7">
        <v>0.060865922533529</v>
      </c>
      <c r="P595" s="7">
        <v>9.96815400582151</v>
      </c>
      <c r="Q595" s="7">
        <v>0.0140028990062843</v>
      </c>
      <c r="R595" s="7">
        <v>0.0718856647775031</v>
      </c>
      <c r="S595" s="7">
        <v>0.0918627411274417</v>
      </c>
      <c r="T595" s="7">
        <v>0.1550665417371163</v>
      </c>
    </row>
    <row x14ac:dyDescent="0.25" r="596" customHeight="1" ht="19.5">
      <c r="A596" s="2" t="s">
        <v>2908</v>
      </c>
      <c r="B596" s="2" t="s">
        <v>2314</v>
      </c>
      <c r="C596" s="2" t="s">
        <v>31</v>
      </c>
      <c r="D596" s="2" t="s">
        <v>650</v>
      </c>
      <c r="E596" s="6">
        <v>1</v>
      </c>
      <c r="F596" s="6">
        <v>1</v>
      </c>
      <c r="G596" s="7">
        <v>0.5949105620384216</v>
      </c>
      <c r="H596" s="7">
        <v>9.52056015625</v>
      </c>
      <c r="I596" s="7">
        <v>19.67251220686175</v>
      </c>
      <c r="J596" s="7">
        <v>9.126275009999002</v>
      </c>
      <c r="K596" s="7">
        <v>1.153739021187289</v>
      </c>
      <c r="L596" s="7">
        <v>0.992209986987033</v>
      </c>
      <c r="M596" s="7">
        <v>0.3091382318418726</v>
      </c>
      <c r="N596" s="7">
        <v>0.2214158353114603</v>
      </c>
      <c r="O596" s="7">
        <v>0.0621906907749496</v>
      </c>
      <c r="P596" s="7">
        <v>9.945621179882718</v>
      </c>
      <c r="Q596" s="7">
        <v>0.0138760318452133</v>
      </c>
      <c r="R596" s="7">
        <v>0.0718753700628834</v>
      </c>
      <c r="S596" s="7">
        <v>0.090326255860909</v>
      </c>
      <c r="T596" s="7">
        <v>0.1533269756705723</v>
      </c>
    </row>
    <row x14ac:dyDescent="0.25" r="597" customHeight="1" ht="19.5">
      <c r="A597" s="2" t="s">
        <v>2909</v>
      </c>
      <c r="B597" s="2" t="s">
        <v>2314</v>
      </c>
      <c r="C597" s="2" t="s">
        <v>31</v>
      </c>
      <c r="D597" s="2" t="s">
        <v>650</v>
      </c>
      <c r="E597" s="6">
        <v>1</v>
      </c>
      <c r="F597" s="6">
        <v>1</v>
      </c>
      <c r="G597" s="7">
        <v>0.5954757928848267</v>
      </c>
      <c r="H597" s="7">
        <v>9.5378765625</v>
      </c>
      <c r="I597" s="7">
        <v>19.67251220686175</v>
      </c>
      <c r="J597" s="7">
        <v>9.12621135686344</v>
      </c>
      <c r="K597" s="7">
        <v>1.153803047494862</v>
      </c>
      <c r="L597" s="7">
        <v>0.9922046045391942</v>
      </c>
      <c r="M597" s="7">
        <v>0.3097005058175762</v>
      </c>
      <c r="N597" s="7">
        <v>0.2188193769695526</v>
      </c>
      <c r="O597" s="7">
        <v>0.0605165255576625</v>
      </c>
      <c r="P597" s="7">
        <v>9.966543726303344</v>
      </c>
      <c r="Q597" s="7">
        <v>0.0139173045190357</v>
      </c>
      <c r="R597" s="7">
        <v>0.0700796956381438</v>
      </c>
      <c r="S597" s="7">
        <v>0.0907256387311742</v>
      </c>
      <c r="T597" s="7">
        <v>0.1540627364884873</v>
      </c>
    </row>
    <row x14ac:dyDescent="0.25" r="598" customHeight="1" ht="19.5">
      <c r="A598" s="2" t="s">
        <v>2910</v>
      </c>
      <c r="B598" s="2" t="s">
        <v>2314</v>
      </c>
      <c r="C598" s="2" t="s">
        <v>31</v>
      </c>
      <c r="D598" s="2" t="s">
        <v>650</v>
      </c>
      <c r="E598" s="6">
        <v>1</v>
      </c>
      <c r="F598" s="6">
        <v>1</v>
      </c>
      <c r="G598" s="7">
        <v>0.5957408547401428</v>
      </c>
      <c r="H598" s="7">
        <v>9.55519296875</v>
      </c>
      <c r="I598" s="7">
        <v>19.72126485281558</v>
      </c>
      <c r="J598" s="7">
        <v>9.126208316089794</v>
      </c>
      <c r="K598" s="7">
        <v>1.179444870914851</v>
      </c>
      <c r="L598" s="7">
        <v>0.9921764882249284</v>
      </c>
      <c r="M598" s="7">
        <v>0.3087306838525578</v>
      </c>
      <c r="N598" s="7">
        <v>0.2191281248771279</v>
      </c>
      <c r="O598" s="7">
        <v>0.0603355705222687</v>
      </c>
      <c r="P598" s="7">
        <v>9.969819704246168</v>
      </c>
      <c r="Q598" s="7">
        <v>0.013748829072947</v>
      </c>
      <c r="R598" s="7">
        <v>0.0719452939041605</v>
      </c>
      <c r="S598" s="7">
        <v>0.090702275091216</v>
      </c>
      <c r="T598" s="7">
        <v>0.1524740566206128</v>
      </c>
    </row>
    <row x14ac:dyDescent="0.25" r="599" customHeight="1" ht="19.5">
      <c r="A599" s="2" t="s">
        <v>2911</v>
      </c>
      <c r="B599" s="2" t="s">
        <v>2314</v>
      </c>
      <c r="C599" s="2" t="s">
        <v>31</v>
      </c>
      <c r="D599" s="2" t="s">
        <v>650</v>
      </c>
      <c r="E599" s="6">
        <v>1</v>
      </c>
      <c r="F599" s="6">
        <v>1</v>
      </c>
      <c r="G599" s="7">
        <v>0.5931879878044128</v>
      </c>
      <c r="H599" s="7">
        <v>9.5240234375</v>
      </c>
      <c r="I599" s="7">
        <v>19.67251220686174</v>
      </c>
      <c r="J599" s="7">
        <v>9.12669949204281</v>
      </c>
      <c r="K599" s="7">
        <v>1.153308482309266</v>
      </c>
      <c r="L599" s="7">
        <v>0.9922158043088602</v>
      </c>
      <c r="M599" s="7">
        <v>0.3092506866370133</v>
      </c>
      <c r="N599" s="7">
        <v>0.2243946212438961</v>
      </c>
      <c r="O599" s="7">
        <v>0.0631643334783707</v>
      </c>
      <c r="P599" s="7">
        <v>9.929075803867589</v>
      </c>
      <c r="Q599" s="7">
        <v>0.013690872681319</v>
      </c>
      <c r="R599" s="7">
        <v>0.0704291147765255</v>
      </c>
      <c r="S599" s="7">
        <v>0.0926993032484178</v>
      </c>
      <c r="T599" s="7">
        <v>0.1513360405798944</v>
      </c>
    </row>
    <row x14ac:dyDescent="0.25" r="600" customHeight="1" ht="19.5">
      <c r="A600" s="2" t="s">
        <v>2912</v>
      </c>
      <c r="B600" s="2" t="s">
        <v>2314</v>
      </c>
      <c r="C600" s="2" t="s">
        <v>31</v>
      </c>
      <c r="D600" s="2" t="s">
        <v>650</v>
      </c>
      <c r="E600" s="6">
        <v>1</v>
      </c>
      <c r="F600" s="6">
        <v>1</v>
      </c>
      <c r="G600" s="7">
        <v>0.5909398794174194</v>
      </c>
      <c r="H600" s="7">
        <v>9.572509375</v>
      </c>
      <c r="I600" s="7">
        <v>19.70698553341649</v>
      </c>
      <c r="J600" s="7">
        <v>9.125387466142396</v>
      </c>
      <c r="K600" s="7">
        <v>1.15368738677428</v>
      </c>
      <c r="L600" s="7">
        <v>0.9921733433030446</v>
      </c>
      <c r="M600" s="7">
        <v>0.3097385556271631</v>
      </c>
      <c r="N600" s="7">
        <v>0.2228724581441336</v>
      </c>
      <c r="O600" s="7">
        <v>0.0592530374200298</v>
      </c>
      <c r="P600" s="7">
        <v>9.96454391318001</v>
      </c>
      <c r="Q600" s="7">
        <v>0.0135645479568942</v>
      </c>
      <c r="R600" s="7">
        <v>0.0706738222081789</v>
      </c>
      <c r="S600" s="7">
        <v>0.0908139113338888</v>
      </c>
      <c r="T600" s="7">
        <v>0.1507030027678635</v>
      </c>
    </row>
    <row x14ac:dyDescent="0.25" r="601" customHeight="1" ht="19.5">
      <c r="A601" s="2" t="s">
        <v>2913</v>
      </c>
      <c r="B601" s="2" t="s">
        <v>2314</v>
      </c>
      <c r="C601" s="2" t="s">
        <v>31</v>
      </c>
      <c r="D601" s="2" t="s">
        <v>650</v>
      </c>
      <c r="E601" s="6">
        <v>1</v>
      </c>
      <c r="F601" s="6">
        <v>1</v>
      </c>
      <c r="G601" s="7">
        <v>0.5905082821846008</v>
      </c>
      <c r="H601" s="7">
        <v>9.5655828125</v>
      </c>
      <c r="I601" s="7">
        <v>19.72126485281559</v>
      </c>
      <c r="J601" s="7">
        <v>9.126302328026371</v>
      </c>
      <c r="K601" s="7">
        <v>1.180584289321275</v>
      </c>
      <c r="L601" s="7">
        <v>0.9921235144851884</v>
      </c>
      <c r="M601" s="7">
        <v>0.3090663823127091</v>
      </c>
      <c r="N601" s="7">
        <v>0.222203007484503</v>
      </c>
      <c r="O601" s="7">
        <v>0.0611799375801205</v>
      </c>
      <c r="P601" s="7">
        <v>9.94277510658718</v>
      </c>
      <c r="Q601" s="7">
        <v>0.0136960942643081</v>
      </c>
      <c r="R601" s="7">
        <v>0.0717668432041625</v>
      </c>
      <c r="S601" s="7">
        <v>0.0925894695284314</v>
      </c>
      <c r="T601" s="7">
        <v>0.1520543861765846</v>
      </c>
    </row>
    <row x14ac:dyDescent="0.25" r="602" customHeight="1" ht="19.5">
      <c r="A602" s="2" t="s">
        <v>2914</v>
      </c>
      <c r="B602" s="2" t="s">
        <v>2314</v>
      </c>
      <c r="C602" s="2" t="s">
        <v>31</v>
      </c>
      <c r="D602" s="2" t="s">
        <v>650</v>
      </c>
      <c r="E602" s="6">
        <v>1</v>
      </c>
      <c r="F602" s="6">
        <v>1</v>
      </c>
      <c r="G602" s="7">
        <v>0.5976443886756897</v>
      </c>
      <c r="H602" s="7">
        <v>9.5101703125</v>
      </c>
      <c r="I602" s="7">
        <v>19.67251220686175</v>
      </c>
      <c r="J602" s="7">
        <v>9.06765409250465</v>
      </c>
      <c r="K602" s="7">
        <v>1.180568067896723</v>
      </c>
      <c r="L602" s="7">
        <v>0.9920442421362548</v>
      </c>
      <c r="M602" s="7">
        <v>0.3088008674564503</v>
      </c>
      <c r="N602" s="7">
        <v>0.2245967178869257</v>
      </c>
      <c r="O602" s="7">
        <v>0.0615233931532243</v>
      </c>
      <c r="P602" s="7">
        <v>9.944924320068877</v>
      </c>
      <c r="Q602" s="7">
        <v>0.0141048586815916</v>
      </c>
      <c r="R602" s="7">
        <v>0.0715954083230615</v>
      </c>
      <c r="S602" s="7">
        <v>0.0887289704872203</v>
      </c>
      <c r="T602" s="7">
        <v>0.1556853738467165</v>
      </c>
    </row>
    <row x14ac:dyDescent="0.25" r="603" customHeight="1" ht="19.5">
      <c r="A603" s="2" t="s">
        <v>2915</v>
      </c>
      <c r="B603" s="2" t="s">
        <v>2314</v>
      </c>
      <c r="C603" s="2" t="s">
        <v>31</v>
      </c>
      <c r="D603" s="2" t="s">
        <v>650</v>
      </c>
      <c r="E603" s="6">
        <v>1</v>
      </c>
      <c r="F603" s="6">
        <v>1</v>
      </c>
      <c r="G603" s="7">
        <v>0.5968503952026367</v>
      </c>
      <c r="H603" s="7">
        <v>9.53441328125</v>
      </c>
      <c r="I603" s="7">
        <v>19.75573817937033</v>
      </c>
      <c r="J603" s="7">
        <v>9.126176726281711</v>
      </c>
      <c r="K603" s="7">
        <v>1.180330779235942</v>
      </c>
      <c r="L603" s="7">
        <v>0.9921443869881716</v>
      </c>
      <c r="M603" s="7">
        <v>0.3069851116605071</v>
      </c>
      <c r="N603" s="7">
        <v>0.2266579192419862</v>
      </c>
      <c r="O603" s="7">
        <v>0.0640466757667159</v>
      </c>
      <c r="P603" s="7">
        <v>9.895606570118758</v>
      </c>
      <c r="Q603" s="7">
        <v>0.0141613666420707</v>
      </c>
      <c r="R603" s="7">
        <v>0.0726286059468603</v>
      </c>
      <c r="S603" s="7">
        <v>0.0901332217165173</v>
      </c>
      <c r="T603" s="7">
        <v>0.1567075497280142</v>
      </c>
    </row>
    <row x14ac:dyDescent="0.25" r="604" customHeight="1" ht="19.5">
      <c r="A604" s="2" t="s">
        <v>2916</v>
      </c>
      <c r="B604" s="2" t="s">
        <v>2314</v>
      </c>
      <c r="C604" s="2" t="s">
        <v>31</v>
      </c>
      <c r="D604" s="2" t="s">
        <v>650</v>
      </c>
      <c r="E604" s="6">
        <v>1</v>
      </c>
      <c r="F604" s="6">
        <v>1</v>
      </c>
      <c r="G604" s="7">
        <v>0.5922647714614868</v>
      </c>
      <c r="H604" s="7">
        <v>9.5517296875</v>
      </c>
      <c r="I604" s="7">
        <v>19.77001749876942</v>
      </c>
      <c r="J604" s="7">
        <v>9.185082656566191</v>
      </c>
      <c r="K604" s="7">
        <v>1.154528734127194</v>
      </c>
      <c r="L604" s="7">
        <v>0.9923095743673924</v>
      </c>
      <c r="M604" s="7">
        <v>0.3070985600447175</v>
      </c>
      <c r="N604" s="7">
        <v>0.2272040597030452</v>
      </c>
      <c r="O604" s="7">
        <v>0.0648128453292447</v>
      </c>
      <c r="P604" s="7">
        <v>9.913385717367426</v>
      </c>
      <c r="Q604" s="7">
        <v>0.0136884844778542</v>
      </c>
      <c r="R604" s="7">
        <v>0.0702690437996485</v>
      </c>
      <c r="S604" s="7">
        <v>0.0944208807682187</v>
      </c>
      <c r="T604" s="7">
        <v>0.1517498153823875</v>
      </c>
    </row>
    <row x14ac:dyDescent="0.25" r="605" customHeight="1" ht="19.5">
      <c r="A605" s="2" t="s">
        <v>2917</v>
      </c>
      <c r="B605" s="2" t="s">
        <v>2314</v>
      </c>
      <c r="C605" s="2" t="s">
        <v>31</v>
      </c>
      <c r="D605" s="2" t="s">
        <v>650</v>
      </c>
      <c r="E605" s="6">
        <v>1</v>
      </c>
      <c r="F605" s="6">
        <v>1</v>
      </c>
      <c r="G605" s="7">
        <v>0.5948038697242737</v>
      </c>
      <c r="H605" s="7">
        <v>9.517096875</v>
      </c>
      <c r="I605" s="7">
        <v>19.70698553341649</v>
      </c>
      <c r="J605" s="7">
        <v>9.126469702628402</v>
      </c>
      <c r="K605" s="7">
        <v>1.153542327016753</v>
      </c>
      <c r="L605" s="7">
        <v>0.9922451019996232</v>
      </c>
      <c r="M605" s="7">
        <v>0.3079455683297555</v>
      </c>
      <c r="N605" s="7">
        <v>0.2262080088082445</v>
      </c>
      <c r="O605" s="7">
        <v>0.0634148819332777</v>
      </c>
      <c r="P605" s="7">
        <v>9.924974136146757</v>
      </c>
      <c r="Q605" s="7">
        <v>0.0140299814444326</v>
      </c>
      <c r="R605" s="7">
        <v>0.0714669897889935</v>
      </c>
      <c r="S605" s="7">
        <v>0.0870935008405661</v>
      </c>
      <c r="T605" s="7">
        <v>0.15497168914735</v>
      </c>
    </row>
    <row x14ac:dyDescent="0.25" r="606" customHeight="1" ht="19.5">
      <c r="A606" s="2" t="s">
        <v>2918</v>
      </c>
      <c r="B606" s="2" t="s">
        <v>2314</v>
      </c>
      <c r="C606" s="2" t="s">
        <v>31</v>
      </c>
      <c r="D606" s="2" t="s">
        <v>650</v>
      </c>
      <c r="E606" s="6">
        <v>1</v>
      </c>
      <c r="F606" s="6">
        <v>1</v>
      </c>
      <c r="G606" s="7">
        <v>0.5954493880271912</v>
      </c>
      <c r="H606" s="7">
        <v>9.5517296875</v>
      </c>
      <c r="I606" s="7">
        <v>19.70698553341649</v>
      </c>
      <c r="J606" s="7">
        <v>9.1253491809999</v>
      </c>
      <c r="K606" s="7">
        <v>1.153799029963295</v>
      </c>
      <c r="L606" s="7">
        <v>0.992219145231403</v>
      </c>
      <c r="M606" s="7">
        <v>0.3090661853906352</v>
      </c>
      <c r="N606" s="7">
        <v>0.2202556244023356</v>
      </c>
      <c r="O606" s="7">
        <v>0.0590509560562286</v>
      </c>
      <c r="P606" s="7">
        <v>9.970676764358616</v>
      </c>
      <c r="Q606" s="7">
        <v>0.0140885428140848</v>
      </c>
      <c r="R606" s="7">
        <v>0.0722623649355068</v>
      </c>
      <c r="S606" s="7">
        <v>0.0937382764683408</v>
      </c>
      <c r="T606" s="7">
        <v>0.1561848409517556</v>
      </c>
    </row>
    <row x14ac:dyDescent="0.25" r="607" customHeight="1" ht="19.5">
      <c r="A607" s="2" t="s">
        <v>2919</v>
      </c>
      <c r="B607" s="2" t="s">
        <v>2314</v>
      </c>
      <c r="C607" s="2" t="s">
        <v>31</v>
      </c>
      <c r="D607" s="2" t="s">
        <v>650</v>
      </c>
      <c r="E607" s="6">
        <v>1</v>
      </c>
      <c r="F607" s="6">
        <v>1</v>
      </c>
      <c r="G607" s="7">
        <v>0.5369508266448975</v>
      </c>
      <c r="H607" s="7">
        <v>9.461684375</v>
      </c>
      <c r="I607" s="7">
        <v>19.8128554569667</v>
      </c>
      <c r="J607" s="7">
        <v>9.058397269272929</v>
      </c>
      <c r="K607" s="7">
        <v>1.172399854823259</v>
      </c>
      <c r="L607" s="7">
        <v>0.9921517180608004</v>
      </c>
      <c r="M607" s="7">
        <v>0.302889472110095</v>
      </c>
      <c r="N607" s="7">
        <v>0.2183969873781038</v>
      </c>
      <c r="O607" s="7">
        <v>0.0577718126885775</v>
      </c>
      <c r="P607" s="7">
        <v>9.748401070576204</v>
      </c>
      <c r="Q607" s="7">
        <v>0.0063323429436606</v>
      </c>
      <c r="R607" s="7">
        <v>0.0466256545619789</v>
      </c>
      <c r="S607" s="7">
        <v>0.0640675958354869</v>
      </c>
      <c r="T607" s="7">
        <v>0.0695382350795712</v>
      </c>
    </row>
    <row x14ac:dyDescent="0.25" r="608" customHeight="1" ht="19.5">
      <c r="A608" s="2" t="s">
        <v>2920</v>
      </c>
      <c r="B608" s="2" t="s">
        <v>2314</v>
      </c>
      <c r="C608" s="2" t="s">
        <v>31</v>
      </c>
      <c r="D608" s="2" t="s">
        <v>650</v>
      </c>
      <c r="E608" s="6">
        <v>1</v>
      </c>
      <c r="F608" s="6">
        <v>1</v>
      </c>
      <c r="G608" s="7">
        <v>0.5694372057914734</v>
      </c>
      <c r="H608" s="7">
        <v>6.542138281250001</v>
      </c>
      <c r="I608" s="7">
        <v>15.37230547522881</v>
      </c>
      <c r="J608" s="7">
        <v>7.037843463233306</v>
      </c>
      <c r="K608" s="7">
        <v>0.9790871436833628</v>
      </c>
      <c r="L608" s="7">
        <v>0.990179698532116</v>
      </c>
      <c r="M608" s="7">
        <v>0.3478977110912798</v>
      </c>
      <c r="N608" s="7">
        <v>0.282695676749077</v>
      </c>
      <c r="O608" s="7">
        <v>0.0726983816939139</v>
      </c>
      <c r="P608" s="7">
        <v>9.228553526046817</v>
      </c>
      <c r="Q608" s="7">
        <v>0.0002441227423137</v>
      </c>
      <c r="R608" s="6">
        <v>0</v>
      </c>
      <c r="S608" s="7">
        <v>0.0184906960070106</v>
      </c>
      <c r="T608" s="7">
        <v>0.001853611603841</v>
      </c>
    </row>
    <row x14ac:dyDescent="0.25" r="609" customHeight="1" ht="19.5">
      <c r="A609" s="2" t="s">
        <v>2921</v>
      </c>
      <c r="B609" s="2" t="s">
        <v>2314</v>
      </c>
      <c r="C609" s="2" t="s">
        <v>31</v>
      </c>
      <c r="D609" s="2" t="s">
        <v>650</v>
      </c>
      <c r="E609" s="6">
        <v>1</v>
      </c>
      <c r="F609" s="6">
        <v>1</v>
      </c>
      <c r="G609" s="7">
        <v>0.5634079575538635</v>
      </c>
      <c r="H609" s="7">
        <v>8.453869531250001</v>
      </c>
      <c r="I609" s="7">
        <v>18.27439993750084</v>
      </c>
      <c r="J609" s="7">
        <v>8.349642495797184</v>
      </c>
      <c r="K609" s="7">
        <v>1.124676546553504</v>
      </c>
      <c r="L609" s="7">
        <v>0.9915498203265644</v>
      </c>
      <c r="M609" s="7">
        <v>0.3181113425538181</v>
      </c>
      <c r="N609" s="7">
        <v>0.2496842926561683</v>
      </c>
      <c r="O609" s="7">
        <v>0.0511106412616071</v>
      </c>
      <c r="P609" s="7">
        <v>9.749692157679126</v>
      </c>
      <c r="Q609" s="7">
        <v>0.0010485798515936</v>
      </c>
      <c r="R609" s="7">
        <v>0.0103363100086508</v>
      </c>
      <c r="S609" s="7">
        <v>0.0294839666607723</v>
      </c>
      <c r="T609" s="7">
        <v>0.0102883997374475</v>
      </c>
    </row>
    <row x14ac:dyDescent="0.25" r="610" customHeight="1" ht="19.5">
      <c r="A610" s="2" t="s">
        <v>2922</v>
      </c>
      <c r="B610" s="2" t="s">
        <v>2314</v>
      </c>
      <c r="C610" s="2" t="s">
        <v>31</v>
      </c>
      <c r="D610" s="2" t="s">
        <v>650</v>
      </c>
      <c r="E610" s="6">
        <v>1</v>
      </c>
      <c r="F610" s="6">
        <v>1</v>
      </c>
      <c r="G610" s="7">
        <v>0.5444667339324951</v>
      </c>
      <c r="H610" s="7">
        <v>8.68244609375</v>
      </c>
      <c r="I610" s="7">
        <v>19.33369362907084</v>
      </c>
      <c r="J610" s="7">
        <v>8.889732322241146</v>
      </c>
      <c r="K610" s="7">
        <v>1.056412131892792</v>
      </c>
      <c r="L610" s="7">
        <v>0.9932695191676424</v>
      </c>
      <c r="M610" s="7">
        <v>0.2918920691020583</v>
      </c>
      <c r="N610" s="7">
        <v>0.2116424411328406</v>
      </c>
      <c r="O610" s="7">
        <v>0.0484968829841151</v>
      </c>
      <c r="P610" s="7">
        <v>9.89251855073227</v>
      </c>
      <c r="Q610" s="7">
        <v>0.0050952928990122</v>
      </c>
      <c r="R610" s="7">
        <v>0.0354303124787428</v>
      </c>
      <c r="S610" s="7">
        <v>0.0473498421192338</v>
      </c>
      <c r="T610" s="7">
        <v>0.0513454577299696</v>
      </c>
    </row>
    <row x14ac:dyDescent="0.25" r="611" customHeight="1" ht="19.5">
      <c r="A611" s="2" t="s">
        <v>2923</v>
      </c>
      <c r="B611" s="2" t="s">
        <v>2314</v>
      </c>
      <c r="C611" s="2" t="s">
        <v>31</v>
      </c>
      <c r="D611" s="2" t="s">
        <v>650</v>
      </c>
      <c r="E611" s="6">
        <v>1</v>
      </c>
      <c r="F611" s="6">
        <v>1</v>
      </c>
      <c r="G611" s="7">
        <v>0.5686918497085571</v>
      </c>
      <c r="H611" s="7">
        <v>9.0322375</v>
      </c>
      <c r="I611" s="7">
        <v>19.56909222719751</v>
      </c>
      <c r="J611" s="7">
        <v>9.12741557012831</v>
      </c>
      <c r="K611" s="7">
        <v>1.0651664742016</v>
      </c>
      <c r="L611" s="7">
        <v>0.9932611373865176</v>
      </c>
      <c r="M611" s="7">
        <v>0.2963902087764183</v>
      </c>
      <c r="N611" s="7">
        <v>0.2046886553210675</v>
      </c>
      <c r="O611" s="7">
        <v>0.055652271702929</v>
      </c>
      <c r="P611" s="7">
        <v>9.989266878626362</v>
      </c>
      <c r="Q611" s="7">
        <v>0.0105051079563024</v>
      </c>
      <c r="R611" s="7">
        <v>0.0576501279162345</v>
      </c>
      <c r="S611" s="7">
        <v>0.0739070132233287</v>
      </c>
      <c r="T611" s="7">
        <v>0.1101251843907581</v>
      </c>
    </row>
    <row x14ac:dyDescent="0.25" r="612" customHeight="1" ht="19.5">
      <c r="A612" s="2" t="s">
        <v>2924</v>
      </c>
      <c r="B612" s="2" t="s">
        <v>2314</v>
      </c>
      <c r="C612" s="2" t="s">
        <v>31</v>
      </c>
      <c r="D612" s="2" t="s">
        <v>650</v>
      </c>
      <c r="E612" s="6">
        <v>1</v>
      </c>
      <c r="F612" s="6">
        <v>1</v>
      </c>
      <c r="G612" s="7">
        <v>0.6170699596405029</v>
      </c>
      <c r="H612" s="7">
        <v>9.15345234375</v>
      </c>
      <c r="I612" s="7">
        <v>19.68679152626084</v>
      </c>
      <c r="J612" s="7">
        <v>9.127897425266443</v>
      </c>
      <c r="K612" s="7">
        <v>1.126331176456991</v>
      </c>
      <c r="L612" s="7">
        <v>0.9927533745017368</v>
      </c>
      <c r="M612" s="7">
        <v>0.2967870206768021</v>
      </c>
      <c r="N612" s="7">
        <v>0.2314176009997668</v>
      </c>
      <c r="O612" s="7">
        <v>0.085716609499769</v>
      </c>
      <c r="P612" s="7">
        <v>9.900942106177943</v>
      </c>
      <c r="Q612" s="7">
        <v>0.0172910592705466</v>
      </c>
      <c r="R612" s="7">
        <v>0.0824588155510896</v>
      </c>
      <c r="S612" s="7">
        <v>0.0983572346192258</v>
      </c>
      <c r="T612" s="7">
        <v>0.1836949868602443</v>
      </c>
    </row>
    <row x14ac:dyDescent="0.25" r="613" customHeight="1" ht="19.5">
      <c r="A613" s="2" t="s">
        <v>2925</v>
      </c>
      <c r="B613" s="2" t="s">
        <v>2314</v>
      </c>
      <c r="C613" s="2" t="s">
        <v>31</v>
      </c>
      <c r="D613" s="2" t="s">
        <v>650</v>
      </c>
      <c r="E613" s="6">
        <v>1</v>
      </c>
      <c r="F613" s="6">
        <v>1</v>
      </c>
      <c r="G613" s="7">
        <v>0.6150941848754883</v>
      </c>
      <c r="H613" s="7">
        <v>9.1638421875</v>
      </c>
      <c r="I613" s="7">
        <v>19.73554417221468</v>
      </c>
      <c r="J613" s="7">
        <v>9.18603671232852</v>
      </c>
      <c r="K613" s="7">
        <v>1.125864312066224</v>
      </c>
      <c r="L613" s="7">
        <v>0.992961726525694</v>
      </c>
      <c r="M613" s="7">
        <v>0.2956577407528302</v>
      </c>
      <c r="N613" s="7">
        <v>0.2272748557492764</v>
      </c>
      <c r="O613" s="7">
        <v>0.0871346550724245</v>
      </c>
      <c r="P613" s="7">
        <v>9.90897698485961</v>
      </c>
      <c r="Q613" s="7">
        <v>0.0182272968283088</v>
      </c>
      <c r="R613" s="7">
        <v>0.0842213778804508</v>
      </c>
      <c r="S613" s="7">
        <v>0.1081195432534101</v>
      </c>
      <c r="T613" s="7">
        <v>0.1938610888160738</v>
      </c>
    </row>
    <row x14ac:dyDescent="0.25" r="614" customHeight="1" ht="19.5">
      <c r="A614" s="2" t="s">
        <v>2926</v>
      </c>
      <c r="B614" s="2" t="s">
        <v>2314</v>
      </c>
      <c r="C614" s="2" t="s">
        <v>31</v>
      </c>
      <c r="D614" s="2" t="s">
        <v>650</v>
      </c>
      <c r="E614" s="6">
        <v>1</v>
      </c>
      <c r="F614" s="6">
        <v>1</v>
      </c>
      <c r="G614" s="7">
        <v>0.615854799747467</v>
      </c>
      <c r="H614" s="7">
        <v>9.184621875</v>
      </c>
      <c r="I614" s="7">
        <v>19.72126485281559</v>
      </c>
      <c r="J614" s="7">
        <v>9.187076119546582</v>
      </c>
      <c r="K614" s="7">
        <v>1.126585075788504</v>
      </c>
      <c r="L614" s="7">
        <v>0.9929441113447044</v>
      </c>
      <c r="M614" s="7">
        <v>0.2967574387738249</v>
      </c>
      <c r="N614" s="7">
        <v>0.2249584365264714</v>
      </c>
      <c r="O614" s="7">
        <v>0.0841286035439909</v>
      </c>
      <c r="P614" s="7">
        <v>9.909338130210472</v>
      </c>
      <c r="Q614" s="7">
        <v>0.0178428800578707</v>
      </c>
      <c r="R614" s="7">
        <v>0.0830997794729187</v>
      </c>
      <c r="S614" s="7">
        <v>0.1020770145631427</v>
      </c>
      <c r="T614" s="7">
        <v>0.1902028488788216</v>
      </c>
    </row>
    <row x14ac:dyDescent="0.25" r="615" customHeight="1" ht="19.5">
      <c r="A615" s="2" t="s">
        <v>2927</v>
      </c>
      <c r="B615" s="2" t="s">
        <v>2314</v>
      </c>
      <c r="C615" s="2" t="s">
        <v>31</v>
      </c>
      <c r="D615" s="2" t="s">
        <v>650</v>
      </c>
      <c r="E615" s="6">
        <v>1</v>
      </c>
      <c r="F615" s="6">
        <v>1</v>
      </c>
      <c r="G615" s="7">
        <v>0.6168788075447083</v>
      </c>
      <c r="H615" s="7">
        <v>9.212328125</v>
      </c>
      <c r="I615" s="7">
        <v>19.68679152626084</v>
      </c>
      <c r="J615" s="7">
        <v>9.185382748606177</v>
      </c>
      <c r="K615" s="7">
        <v>1.133383168162733</v>
      </c>
      <c r="L615" s="7">
        <v>0.9928799333512792</v>
      </c>
      <c r="M615" s="7">
        <v>0.2986959799471411</v>
      </c>
      <c r="N615" s="7">
        <v>0.2275944303287621</v>
      </c>
      <c r="O615" s="7">
        <v>0.0830374860806464</v>
      </c>
      <c r="P615" s="7">
        <v>9.909220425355674</v>
      </c>
      <c r="Q615" s="7">
        <v>0.0183153931503159</v>
      </c>
      <c r="R615" s="7">
        <v>0.0868596994339339</v>
      </c>
      <c r="S615" s="7">
        <v>0.1107486239782926</v>
      </c>
      <c r="T615" s="7">
        <v>0.1958287374015606</v>
      </c>
    </row>
    <row x14ac:dyDescent="0.25" r="616" customHeight="1" ht="19.5">
      <c r="A616" s="2" t="s">
        <v>2928</v>
      </c>
      <c r="B616" s="2" t="s">
        <v>2314</v>
      </c>
      <c r="C616" s="2" t="s">
        <v>31</v>
      </c>
      <c r="D616" s="2" t="s">
        <v>650</v>
      </c>
      <c r="E616" s="6">
        <v>1</v>
      </c>
      <c r="F616" s="6">
        <v>1</v>
      </c>
      <c r="G616" s="7">
        <v>0.6129447221755981</v>
      </c>
      <c r="H616" s="7">
        <v>9.212328125</v>
      </c>
      <c r="I616" s="7">
        <v>19.73554417221468</v>
      </c>
      <c r="J616" s="7">
        <v>9.186639499999783</v>
      </c>
      <c r="K616" s="7">
        <v>1.130613414257055</v>
      </c>
      <c r="L616" s="7">
        <v>0.9928083164153246</v>
      </c>
      <c r="M616" s="7">
        <v>0.2972220674234801</v>
      </c>
      <c r="N616" s="7">
        <v>0.2279201479367584</v>
      </c>
      <c r="O616" s="7">
        <v>0.0846018239705402</v>
      </c>
      <c r="P616" s="7">
        <v>9.91287801839022</v>
      </c>
      <c r="Q616" s="7">
        <v>0.0186438758262574</v>
      </c>
      <c r="R616" s="7">
        <v>0.0871040245257822</v>
      </c>
      <c r="S616" s="7">
        <v>0.1073261191186827</v>
      </c>
      <c r="T616" s="7">
        <v>0.1993408841057004</v>
      </c>
    </row>
    <row x14ac:dyDescent="0.25" r="617" customHeight="1" ht="19.5">
      <c r="A617" s="2" t="s">
        <v>2929</v>
      </c>
      <c r="B617" s="2" t="s">
        <v>2314</v>
      </c>
      <c r="C617" s="2" t="s">
        <v>31</v>
      </c>
      <c r="D617" s="2" t="s">
        <v>650</v>
      </c>
      <c r="E617" s="6">
        <v>1</v>
      </c>
      <c r="F617" s="6">
        <v>1</v>
      </c>
      <c r="G617" s="7">
        <v>0.6162680387496948</v>
      </c>
      <c r="H617" s="7">
        <v>9.198475</v>
      </c>
      <c r="I617" s="7">
        <v>19.61784487315134</v>
      </c>
      <c r="J617" s="7">
        <v>9.12582064513899</v>
      </c>
      <c r="K617" s="7">
        <v>1.129873505483881</v>
      </c>
      <c r="L617" s="7">
        <v>0.9927218941444425</v>
      </c>
      <c r="M617" s="7">
        <v>0.3003468657516642</v>
      </c>
      <c r="N617" s="7">
        <v>0.2263942774314084</v>
      </c>
      <c r="O617" s="7">
        <v>0.0802425382573658</v>
      </c>
      <c r="P617" s="7">
        <v>9.93741621886982</v>
      </c>
      <c r="Q617" s="7">
        <v>0.0179890885647012</v>
      </c>
      <c r="R617" s="7">
        <v>0.0845379795733557</v>
      </c>
      <c r="S617" s="7">
        <v>0.1058276456327728</v>
      </c>
      <c r="T617" s="7">
        <v>0.1920506460044486</v>
      </c>
    </row>
    <row x14ac:dyDescent="0.25" r="618" customHeight="1" ht="19.5">
      <c r="A618" s="2" t="s">
        <v>2930</v>
      </c>
      <c r="B618" s="2" t="s">
        <v>2314</v>
      </c>
      <c r="C618" s="2" t="s">
        <v>31</v>
      </c>
      <c r="D618" s="2" t="s">
        <v>650</v>
      </c>
      <c r="E618" s="6">
        <v>1</v>
      </c>
      <c r="F618" s="6">
        <v>1</v>
      </c>
      <c r="G618" s="7">
        <v>0.6166026592254639</v>
      </c>
      <c r="H618" s="7">
        <v>9.23657109375</v>
      </c>
      <c r="I618" s="7">
        <v>19.78429681816852</v>
      </c>
      <c r="J618" s="7">
        <v>9.185550849514597</v>
      </c>
      <c r="K618" s="7">
        <v>1.131568733074487</v>
      </c>
      <c r="L618" s="7">
        <v>0.9927967923933964</v>
      </c>
      <c r="M618" s="7">
        <v>0.2965373508122315</v>
      </c>
      <c r="N618" s="7">
        <v>0.2261745374601709</v>
      </c>
      <c r="O618" s="7">
        <v>0.0796329267152022</v>
      </c>
      <c r="P618" s="7">
        <v>9.979624602363716</v>
      </c>
      <c r="Q618" s="7">
        <v>0.0182355675473482</v>
      </c>
      <c r="R618" s="7">
        <v>0.0868029380562762</v>
      </c>
      <c r="S618" s="7">
        <v>0.111308247063646</v>
      </c>
      <c r="T618" s="7">
        <v>0.1954883323766841</v>
      </c>
    </row>
    <row x14ac:dyDescent="0.25" r="619" customHeight="1" ht="19.5">
      <c r="A619" s="2" t="s">
        <v>2931</v>
      </c>
      <c r="B619" s="2" t="s">
        <v>2314</v>
      </c>
      <c r="C619" s="2" t="s">
        <v>31</v>
      </c>
      <c r="D619" s="2" t="s">
        <v>650</v>
      </c>
      <c r="E619" s="6">
        <v>1</v>
      </c>
      <c r="F619" s="6">
        <v>1</v>
      </c>
      <c r="G619" s="7">
        <v>0.6222149729728699</v>
      </c>
      <c r="H619" s="7">
        <v>9.2192546875</v>
      </c>
      <c r="I619" s="7">
        <v>19.83304946412236</v>
      </c>
      <c r="J619" s="7">
        <v>9.1868524495178</v>
      </c>
      <c r="K619" s="7">
        <v>1.131052777894352</v>
      </c>
      <c r="L619" s="7">
        <v>0.9927434037386308</v>
      </c>
      <c r="M619" s="7">
        <v>0.2945280667658097</v>
      </c>
      <c r="N619" s="7">
        <v>0.2312859839049917</v>
      </c>
      <c r="O619" s="7">
        <v>0.0851701548770551</v>
      </c>
      <c r="P619" s="7">
        <v>9.90803797248669</v>
      </c>
      <c r="Q619" s="7">
        <v>0.0183889753429782</v>
      </c>
      <c r="R619" s="7">
        <v>0.0856286307273189</v>
      </c>
      <c r="S619" s="7">
        <v>0.1054648205292068</v>
      </c>
      <c r="T619" s="7">
        <v>0.1967633116188487</v>
      </c>
    </row>
    <row x14ac:dyDescent="0.25" r="620" customHeight="1" ht="19.5">
      <c r="A620" s="2" t="s">
        <v>2932</v>
      </c>
      <c r="B620" s="2" t="s">
        <v>2314</v>
      </c>
      <c r="C620" s="2" t="s">
        <v>31</v>
      </c>
      <c r="D620" s="2" t="s">
        <v>650</v>
      </c>
      <c r="E620" s="6">
        <v>1</v>
      </c>
      <c r="F620" s="6">
        <v>1</v>
      </c>
      <c r="G620" s="7">
        <v>0.6191232204437256</v>
      </c>
      <c r="H620" s="7">
        <v>9.240034375</v>
      </c>
      <c r="I620" s="7">
        <v>19.83304946412236</v>
      </c>
      <c r="J620" s="7">
        <v>9.245114924875756</v>
      </c>
      <c r="K620" s="7">
        <v>1.131598556857811</v>
      </c>
      <c r="L620" s="7">
        <v>0.9929413937140864</v>
      </c>
      <c r="M620" s="7">
        <v>0.295191916653336</v>
      </c>
      <c r="N620" s="7">
        <v>0.2290217623087886</v>
      </c>
      <c r="O620" s="7">
        <v>0.0830936011073979</v>
      </c>
      <c r="P620" s="7">
        <v>9.9422880198042</v>
      </c>
      <c r="Q620" s="7">
        <v>0.0186646153579977</v>
      </c>
      <c r="R620" s="7">
        <v>0.0869290469708717</v>
      </c>
      <c r="S620" s="7">
        <v>0.1067740401949429</v>
      </c>
      <c r="T620" s="7">
        <v>0.2001628201725442</v>
      </c>
    </row>
    <row x14ac:dyDescent="0.25" r="621" customHeight="1" ht="19.5">
      <c r="A621" s="2" t="s">
        <v>2933</v>
      </c>
      <c r="B621" s="2" t="s">
        <v>2314</v>
      </c>
      <c r="C621" s="2" t="s">
        <v>31</v>
      </c>
      <c r="D621" s="2" t="s">
        <v>650</v>
      </c>
      <c r="E621" s="6">
        <v>1</v>
      </c>
      <c r="F621" s="6">
        <v>1</v>
      </c>
      <c r="G621" s="7">
        <v>0.6215177774429321</v>
      </c>
      <c r="H621" s="7">
        <v>9.23657109375</v>
      </c>
      <c r="I621" s="7">
        <v>19.83304946412236</v>
      </c>
      <c r="J621" s="7">
        <v>9.186437519740622</v>
      </c>
      <c r="K621" s="7">
        <v>1.133621596128519</v>
      </c>
      <c r="L621" s="7">
        <v>0.9928057483220448</v>
      </c>
      <c r="M621" s="7">
        <v>0.295081275005415</v>
      </c>
      <c r="N621" s="7">
        <v>0.2290796875241993</v>
      </c>
      <c r="O621" s="7">
        <v>0.0821149078395004</v>
      </c>
      <c r="P621" s="7">
        <v>9.934366958070864</v>
      </c>
      <c r="Q621" s="7">
        <v>0.018578689834866</v>
      </c>
      <c r="R621" s="7">
        <v>0.0882632301302376</v>
      </c>
      <c r="S621" s="7">
        <v>0.1085437700452152</v>
      </c>
      <c r="T621" s="7">
        <v>0.1991666606554153</v>
      </c>
    </row>
    <row x14ac:dyDescent="0.25" r="622" customHeight="1" ht="19.5">
      <c r="A622" s="2" t="s">
        <v>2934</v>
      </c>
      <c r="B622" s="2" t="s">
        <v>2314</v>
      </c>
      <c r="C622" s="2" t="s">
        <v>31</v>
      </c>
      <c r="D622" s="2" t="s">
        <v>650</v>
      </c>
      <c r="E622" s="6">
        <v>1</v>
      </c>
      <c r="F622" s="6">
        <v>1</v>
      </c>
      <c r="G622" s="7">
        <v>0.6168866753578186</v>
      </c>
      <c r="H622" s="7">
        <v>9.2192546875</v>
      </c>
      <c r="I622" s="7">
        <v>19.74982349161377</v>
      </c>
      <c r="J622" s="7">
        <v>9.185462911452024</v>
      </c>
      <c r="K622" s="7">
        <v>1.131914031335529</v>
      </c>
      <c r="L622" s="7">
        <v>0.9928155987135944</v>
      </c>
      <c r="M622" s="7">
        <v>0.2970155859608117</v>
      </c>
      <c r="N622" s="7">
        <v>0.2268636939348698</v>
      </c>
      <c r="O622" s="7">
        <v>0.0815199953484665</v>
      </c>
      <c r="P622" s="7">
        <v>9.936461649034465</v>
      </c>
      <c r="Q622" s="7">
        <v>0.0184881624654694</v>
      </c>
      <c r="R622" s="7">
        <v>0.0863523837089353</v>
      </c>
      <c r="S622" s="7">
        <v>0.1086530851541789</v>
      </c>
      <c r="T622" s="7">
        <v>0.1978246207090672</v>
      </c>
    </row>
    <row x14ac:dyDescent="0.25" r="623" customHeight="1" ht="19.5">
      <c r="A623" s="2" t="s">
        <v>2935</v>
      </c>
      <c r="B623" s="2" t="s">
        <v>2314</v>
      </c>
      <c r="C623" s="2" t="s">
        <v>31</v>
      </c>
      <c r="D623" s="2" t="s">
        <v>650</v>
      </c>
      <c r="E623" s="6">
        <v>1</v>
      </c>
      <c r="F623" s="6">
        <v>1</v>
      </c>
      <c r="G623" s="7">
        <v>0.6145503520965576</v>
      </c>
      <c r="H623" s="7">
        <v>9.1776953125</v>
      </c>
      <c r="I623" s="7">
        <v>19.79857613756761</v>
      </c>
      <c r="J623" s="7">
        <v>9.18429872122639</v>
      </c>
      <c r="K623" s="7">
        <v>1.128537915200411</v>
      </c>
      <c r="L623" s="7">
        <v>0.9928413241651104</v>
      </c>
      <c r="M623" s="7">
        <v>0.294222298225431</v>
      </c>
      <c r="N623" s="7">
        <v>0.233144271870312</v>
      </c>
      <c r="O623" s="7">
        <v>0.0841716343787532</v>
      </c>
      <c r="P623" s="7">
        <v>9.910616687503126</v>
      </c>
      <c r="Q623" s="7">
        <v>0.0192833622726868</v>
      </c>
      <c r="R623" s="7">
        <v>0.0882720596810536</v>
      </c>
      <c r="S623" s="7">
        <v>0.1125439525760558</v>
      </c>
      <c r="T623" s="7">
        <v>0.2054031861654381</v>
      </c>
    </row>
    <row x14ac:dyDescent="0.25" r="624" customHeight="1" ht="19.5">
      <c r="A624" s="2" t="s">
        <v>2936</v>
      </c>
      <c r="B624" s="2" t="s">
        <v>2314</v>
      </c>
      <c r="C624" s="2" t="s">
        <v>31</v>
      </c>
      <c r="D624" s="2" t="s">
        <v>650</v>
      </c>
      <c r="E624" s="6">
        <v>1</v>
      </c>
      <c r="F624" s="6">
        <v>1</v>
      </c>
      <c r="G624" s="7">
        <v>0.6175739169120789</v>
      </c>
      <c r="H624" s="7">
        <v>9.25735078125</v>
      </c>
      <c r="I624" s="7">
        <v>19.83304946412236</v>
      </c>
      <c r="J624" s="7">
        <v>9.242630445593395</v>
      </c>
      <c r="K624" s="7">
        <v>1.131464529533726</v>
      </c>
      <c r="L624" s="7">
        <v>0.9927865094718328</v>
      </c>
      <c r="M624" s="7">
        <v>0.2957451248929412</v>
      </c>
      <c r="N624" s="7">
        <v>0.2301693391739857</v>
      </c>
      <c r="O624" s="7">
        <v>0.0821220971621521</v>
      </c>
      <c r="P624" s="7">
        <v>9.945878354170034</v>
      </c>
      <c r="Q624" s="7">
        <v>0.0181164994995665</v>
      </c>
      <c r="R624" s="7">
        <v>0.0853033969755986</v>
      </c>
      <c r="S624" s="7">
        <v>0.1077062028421108</v>
      </c>
      <c r="T624" s="7">
        <v>0.1946488251674541</v>
      </c>
    </row>
    <row x14ac:dyDescent="0.25" r="625" customHeight="1" ht="19.5">
      <c r="A625" s="2" t="s">
        <v>2937</v>
      </c>
      <c r="B625" s="2" t="s">
        <v>2314</v>
      </c>
      <c r="C625" s="2" t="s">
        <v>31</v>
      </c>
      <c r="D625" s="2" t="s">
        <v>650</v>
      </c>
      <c r="E625" s="6">
        <v>1</v>
      </c>
      <c r="F625" s="6">
        <v>1</v>
      </c>
      <c r="G625" s="7">
        <v>0.6172555685043335</v>
      </c>
      <c r="H625" s="7">
        <v>9.22618125</v>
      </c>
      <c r="I625" s="7">
        <v>19.78429681816852</v>
      </c>
      <c r="J625" s="7">
        <v>9.24504956655882</v>
      </c>
      <c r="K625" s="7">
        <v>1.130686009206545</v>
      </c>
      <c r="L625" s="7">
        <v>0.993004149861052</v>
      </c>
      <c r="M625" s="7">
        <v>0.2962037879879207</v>
      </c>
      <c r="N625" s="7">
        <v>0.233025269339764</v>
      </c>
      <c r="O625" s="7">
        <v>0.0830646890263702</v>
      </c>
      <c r="P625" s="7">
        <v>9.90594737842282</v>
      </c>
      <c r="Q625" s="7">
        <v>0.0186306759022934</v>
      </c>
      <c r="R625" s="7">
        <v>0.0848067508281627</v>
      </c>
      <c r="S625" s="7">
        <v>0.1082180799079077</v>
      </c>
      <c r="T625" s="7">
        <v>0.1994992986159464</v>
      </c>
    </row>
    <row x14ac:dyDescent="0.25" r="626" customHeight="1" ht="19.5">
      <c r="A626" s="2" t="s">
        <v>2938</v>
      </c>
      <c r="B626" s="2" t="s">
        <v>2314</v>
      </c>
      <c r="C626" s="2" t="s">
        <v>31</v>
      </c>
      <c r="D626" s="2" t="s">
        <v>650</v>
      </c>
      <c r="E626" s="6">
        <v>1</v>
      </c>
      <c r="F626" s="6">
        <v>1</v>
      </c>
      <c r="G626" s="7">
        <v>0.615574300289154</v>
      </c>
      <c r="H626" s="7">
        <v>9.23657109375</v>
      </c>
      <c r="I626" s="7">
        <v>19.74982349161377</v>
      </c>
      <c r="J626" s="7">
        <v>9.184448156372744</v>
      </c>
      <c r="K626" s="7">
        <v>1.133720204504059</v>
      </c>
      <c r="L626" s="7">
        <v>0.9927550832632052</v>
      </c>
      <c r="M626" s="7">
        <v>0.2975734664753888</v>
      </c>
      <c r="N626" s="7">
        <v>0.2306941437866407</v>
      </c>
      <c r="O626" s="7">
        <v>0.0821331589695089</v>
      </c>
      <c r="P626" s="7">
        <v>9.94792595297372</v>
      </c>
      <c r="Q626" s="7">
        <v>0.0183869334736335</v>
      </c>
      <c r="R626" s="7">
        <v>0.0856599083008507</v>
      </c>
      <c r="S626" s="7">
        <v>0.1054914910782754</v>
      </c>
      <c r="T626" s="7">
        <v>0.1971110004088873</v>
      </c>
    </row>
    <row x14ac:dyDescent="0.25" r="627" customHeight="1" ht="19.5">
      <c r="A627" s="2" t="s">
        <v>2939</v>
      </c>
      <c r="B627" s="2" t="s">
        <v>2314</v>
      </c>
      <c r="C627" s="2" t="s">
        <v>31</v>
      </c>
      <c r="D627" s="2" t="s">
        <v>650</v>
      </c>
      <c r="E627" s="6">
        <v>1</v>
      </c>
      <c r="F627" s="6">
        <v>1</v>
      </c>
      <c r="G627" s="7">
        <v>0.609078049659729</v>
      </c>
      <c r="H627" s="7">
        <v>9.198475</v>
      </c>
      <c r="I627" s="7">
        <v>19.78429681816852</v>
      </c>
      <c r="J627" s="7">
        <v>9.186897717589956</v>
      </c>
      <c r="K627" s="7">
        <v>1.12848322612559</v>
      </c>
      <c r="L627" s="7">
        <v>0.9929078299227276</v>
      </c>
      <c r="M627" s="7">
        <v>0.2953142871230923</v>
      </c>
      <c r="N627" s="7">
        <v>0.2279573232546877</v>
      </c>
      <c r="O627" s="7">
        <v>0.0825963756197013</v>
      </c>
      <c r="P627" s="7">
        <v>9.9309859799513</v>
      </c>
      <c r="Q627" s="7">
        <v>0.0189292472989354</v>
      </c>
      <c r="R627" s="7">
        <v>0.0871773131375383</v>
      </c>
      <c r="S627" s="7">
        <v>0.1074805553488689</v>
      </c>
      <c r="T627" s="7">
        <v>0.2020877355216297</v>
      </c>
    </row>
    <row x14ac:dyDescent="0.25" r="628" customHeight="1" ht="19.5">
      <c r="A628" s="2" t="s">
        <v>2940</v>
      </c>
      <c r="B628" s="2" t="s">
        <v>2314</v>
      </c>
      <c r="C628" s="2" t="s">
        <v>31</v>
      </c>
      <c r="D628" s="2" t="s">
        <v>650</v>
      </c>
      <c r="E628" s="6">
        <v>1</v>
      </c>
      <c r="F628" s="6">
        <v>1</v>
      </c>
      <c r="G628" s="7">
        <v>0.6238581538200378</v>
      </c>
      <c r="H628" s="7">
        <v>9.2192546875</v>
      </c>
      <c r="I628" s="7">
        <v>19.78429681816852</v>
      </c>
      <c r="J628" s="7">
        <v>9.186875142065784</v>
      </c>
      <c r="K628" s="7">
        <v>1.132177624272939</v>
      </c>
      <c r="L628" s="7">
        <v>0.9927830476066068</v>
      </c>
      <c r="M628" s="7">
        <v>0.2959814127717137</v>
      </c>
      <c r="N628" s="7">
        <v>0.2269952260178293</v>
      </c>
      <c r="O628" s="7">
        <v>0.0834472356460934</v>
      </c>
      <c r="P628" s="7">
        <v>9.933855484929548</v>
      </c>
      <c r="Q628" s="7">
        <v>0.0189150733379676</v>
      </c>
      <c r="R628" s="7">
        <v>0.0889046930099759</v>
      </c>
      <c r="S628" s="7">
        <v>0.1088583877304143</v>
      </c>
      <c r="T628" s="7">
        <v>0.2023925966550959</v>
      </c>
    </row>
    <row x14ac:dyDescent="0.25" r="629" customHeight="1" ht="19.5">
      <c r="A629" s="2" t="s">
        <v>2941</v>
      </c>
      <c r="B629" s="2" t="s">
        <v>2314</v>
      </c>
      <c r="C629" s="2" t="s">
        <v>31</v>
      </c>
      <c r="D629" s="2" t="s">
        <v>650</v>
      </c>
      <c r="E629" s="6">
        <v>1</v>
      </c>
      <c r="F629" s="6">
        <v>1</v>
      </c>
      <c r="G629" s="7">
        <v>0.6116359829902649</v>
      </c>
      <c r="H629" s="7">
        <v>9.198475</v>
      </c>
      <c r="I629" s="7">
        <v>19.74982349161377</v>
      </c>
      <c r="J629" s="7">
        <v>9.18450816218299</v>
      </c>
      <c r="K629" s="7">
        <v>1.129862879703734</v>
      </c>
      <c r="L629" s="7">
        <v>0.992776000143662</v>
      </c>
      <c r="M629" s="7">
        <v>0.2963461293433192</v>
      </c>
      <c r="N629" s="7">
        <v>0.2329139391485444</v>
      </c>
      <c r="O629" s="7">
        <v>0.0841601324972428</v>
      </c>
      <c r="P629" s="7">
        <v>9.91739934890792</v>
      </c>
      <c r="Q629" s="7">
        <v>0.0185042087518</v>
      </c>
      <c r="R629" s="7">
        <v>0.0851350511349208</v>
      </c>
      <c r="S629" s="7">
        <v>0.1046518369091313</v>
      </c>
      <c r="T629" s="7">
        <v>0.1975500443951142</v>
      </c>
    </row>
    <row x14ac:dyDescent="0.25" r="630" customHeight="1" ht="19.5">
      <c r="A630" s="2" t="s">
        <v>2942</v>
      </c>
      <c r="B630" s="2" t="s">
        <v>2314</v>
      </c>
      <c r="C630" s="2" t="s">
        <v>31</v>
      </c>
      <c r="D630" s="2" t="s">
        <v>650</v>
      </c>
      <c r="E630" s="6">
        <v>1</v>
      </c>
      <c r="F630" s="6">
        <v>1</v>
      </c>
      <c r="G630" s="7">
        <v>0.6185550093650818</v>
      </c>
      <c r="H630" s="7">
        <v>9.22618125</v>
      </c>
      <c r="I630" s="7">
        <v>19.78429681816852</v>
      </c>
      <c r="J630" s="7">
        <v>9.186567695266252</v>
      </c>
      <c r="K630" s="7">
        <v>1.132031721221723</v>
      </c>
      <c r="L630" s="7">
        <v>0.9928154615234408</v>
      </c>
      <c r="M630" s="7">
        <v>0.2962037879879208</v>
      </c>
      <c r="N630" s="7">
        <v>0.2268965064070659</v>
      </c>
      <c r="O630" s="7">
        <v>0.0815667749373281</v>
      </c>
      <c r="P630" s="7">
        <v>9.92914021139117</v>
      </c>
      <c r="Q630" s="7">
        <v>0.0186833987444451</v>
      </c>
      <c r="R630" s="7">
        <v>0.0864593521347731</v>
      </c>
      <c r="S630" s="7">
        <v>0.1069508654685975</v>
      </c>
      <c r="T630" s="7">
        <v>0.2000638605290759</v>
      </c>
    </row>
    <row x14ac:dyDescent="0.25" r="631" customHeight="1" ht="19.5">
      <c r="A631" s="2" t="s">
        <v>2943</v>
      </c>
      <c r="B631" s="2" t="s">
        <v>2314</v>
      </c>
      <c r="C631" s="2" t="s">
        <v>31</v>
      </c>
      <c r="D631" s="2" t="s">
        <v>650</v>
      </c>
      <c r="E631" s="6">
        <v>1</v>
      </c>
      <c r="F631" s="6">
        <v>1</v>
      </c>
      <c r="G631" s="7">
        <v>0.6197171807289124</v>
      </c>
      <c r="H631" s="7">
        <v>9.22964453125</v>
      </c>
      <c r="I631" s="7">
        <v>19.78429681816852</v>
      </c>
      <c r="J631" s="7">
        <v>9.186739732097358</v>
      </c>
      <c r="K631" s="7">
        <v>1.131441802967322</v>
      </c>
      <c r="L631" s="7">
        <v>0.9927805800550392</v>
      </c>
      <c r="M631" s="7">
        <v>0.2963149755960244</v>
      </c>
      <c r="N631" s="7">
        <v>0.2303171319425909</v>
      </c>
      <c r="O631" s="7">
        <v>0.0827480578099229</v>
      </c>
      <c r="P631" s="7">
        <v>9.937408479892769</v>
      </c>
      <c r="Q631" s="7">
        <v>0.0185400483418021</v>
      </c>
      <c r="R631" s="7">
        <v>0.0860229442618483</v>
      </c>
      <c r="S631" s="7">
        <v>0.1068510604173963</v>
      </c>
      <c r="T631" s="7">
        <v>0.1986033717081006</v>
      </c>
    </row>
    <row x14ac:dyDescent="0.25" r="632" customHeight="1" ht="19.5">
      <c r="A632" s="2" t="s">
        <v>2944</v>
      </c>
      <c r="B632" s="2" t="s">
        <v>2314</v>
      </c>
      <c r="C632" s="2" t="s">
        <v>31</v>
      </c>
      <c r="D632" s="2" t="s">
        <v>650</v>
      </c>
      <c r="E632" s="6">
        <v>1</v>
      </c>
      <c r="F632" s="6">
        <v>1</v>
      </c>
      <c r="G632" s="7">
        <v>0.5796874165534973</v>
      </c>
      <c r="H632" s="7">
        <v>9.11535625</v>
      </c>
      <c r="I632" s="7">
        <v>19.65231819970609</v>
      </c>
      <c r="J632" s="7">
        <v>9.181163653634895</v>
      </c>
      <c r="K632" s="7">
        <v>1.098912489819668</v>
      </c>
      <c r="L632" s="7">
        <v>0.9930679537397138</v>
      </c>
      <c r="M632" s="7">
        <v>0.2965896119890452</v>
      </c>
      <c r="N632" s="7">
        <v>0.2047618137013431</v>
      </c>
      <c r="O632" s="7">
        <v>0.0549756766436375</v>
      </c>
      <c r="P632" s="7">
        <v>9.993713060824614</v>
      </c>
      <c r="Q632" s="7">
        <v>0.0131342081686934</v>
      </c>
      <c r="R632" s="7">
        <v>0.0700610016530699</v>
      </c>
      <c r="S632" s="7">
        <v>0.0891648816853998</v>
      </c>
      <c r="T632" s="7">
        <v>0.1389531261580615</v>
      </c>
    </row>
    <row x14ac:dyDescent="0.25" r="633" customHeight="1" ht="19.5">
      <c r="A633" s="2" t="s">
        <v>2945</v>
      </c>
      <c r="B633" s="2" t="s">
        <v>2314</v>
      </c>
      <c r="C633" s="2" t="s">
        <v>31</v>
      </c>
      <c r="D633" s="2" t="s">
        <v>650</v>
      </c>
      <c r="E633" s="6">
        <v>1</v>
      </c>
      <c r="F633" s="6">
        <v>1</v>
      </c>
      <c r="G633" s="7">
        <v>0.2652858793735504</v>
      </c>
      <c r="H633" s="7">
        <v>6.988901562500001</v>
      </c>
      <c r="I633" s="7">
        <v>17.2756882673978</v>
      </c>
      <c r="J633" s="7">
        <v>7.988542315093438</v>
      </c>
      <c r="K633" s="7">
        <v>0.9013060007256574</v>
      </c>
      <c r="L633" s="7">
        <v>0.9932768515022652</v>
      </c>
      <c r="M633" s="7">
        <v>0.2942714098847022</v>
      </c>
      <c r="N633" s="7">
        <v>0.4200079051811051</v>
      </c>
      <c r="O633" s="7">
        <v>0.0857785301066329</v>
      </c>
      <c r="P633" s="7">
        <v>7.824509521507145</v>
      </c>
      <c r="Q633" s="7">
        <v>0.0025074290089618</v>
      </c>
      <c r="R633" s="7">
        <v>0.0134824898593325</v>
      </c>
      <c r="S633" s="7">
        <v>0.0241834560052406</v>
      </c>
      <c r="T633" s="7">
        <v>0.0203389416142335</v>
      </c>
    </row>
    <row x14ac:dyDescent="0.25" r="634" customHeight="1" ht="19.5">
      <c r="A634" s="2" t="s">
        <v>2946</v>
      </c>
      <c r="B634" s="2" t="s">
        <v>2314</v>
      </c>
      <c r="C634" s="2" t="s">
        <v>31</v>
      </c>
      <c r="D634" s="2" t="s">
        <v>650</v>
      </c>
      <c r="E634" s="6">
        <v>1</v>
      </c>
      <c r="F634" s="6">
        <v>1</v>
      </c>
      <c r="G634" s="7">
        <v>0.4891707897186279</v>
      </c>
      <c r="H634" s="7">
        <v>7.1966984375</v>
      </c>
      <c r="I634" s="7">
        <v>17.35299955214982</v>
      </c>
      <c r="J634" s="7">
        <v>8.055239660366269</v>
      </c>
      <c r="K634" s="7">
        <v>0.9649851470042604</v>
      </c>
      <c r="L634" s="7">
        <v>0.9931050464514184</v>
      </c>
      <c r="M634" s="7">
        <v>0.3003267786056401</v>
      </c>
      <c r="N634" s="7">
        <v>0.2948322698418797</v>
      </c>
      <c r="O634" s="7">
        <v>0.0550542972192401</v>
      </c>
      <c r="P634" s="7">
        <v>9.267165967642208</v>
      </c>
      <c r="Q634" s="7">
        <v>0.0025137616197043</v>
      </c>
      <c r="R634" s="7">
        <v>0.0179752983416608</v>
      </c>
      <c r="S634" s="7">
        <v>0.0325445905184236</v>
      </c>
      <c r="T634" s="7">
        <v>0.0209965613881298</v>
      </c>
    </row>
    <row x14ac:dyDescent="0.25" r="635" customHeight="1" ht="19.5">
      <c r="A635" s="2" t="s">
        <v>2947</v>
      </c>
      <c r="B635" s="2" t="s">
        <v>2314</v>
      </c>
      <c r="C635" s="2" t="s">
        <v>31</v>
      </c>
      <c r="D635" s="2" t="s">
        <v>650</v>
      </c>
      <c r="E635" s="6">
        <v>1</v>
      </c>
      <c r="F635" s="6">
        <v>1</v>
      </c>
      <c r="G635" s="7">
        <v>0.5910553932189941</v>
      </c>
      <c r="H635" s="7">
        <v>8.82097734375</v>
      </c>
      <c r="I635" s="7">
        <v>19.57745685884004</v>
      </c>
      <c r="J635" s="7">
        <v>8.893020207742257</v>
      </c>
      <c r="K635" s="7">
        <v>1.134401643194792</v>
      </c>
      <c r="L635" s="7">
        <v>0.9926957503406122</v>
      </c>
      <c r="M635" s="7">
        <v>0.2892104754281285</v>
      </c>
      <c r="N635" s="7">
        <v>0.2561301996590935</v>
      </c>
      <c r="O635" s="7">
        <v>0.0685217132719554</v>
      </c>
      <c r="P635" s="7">
        <v>9.741940089968567</v>
      </c>
      <c r="Q635" s="7">
        <v>0.0026494985748311</v>
      </c>
      <c r="R635" s="7">
        <v>0.0238196180040098</v>
      </c>
      <c r="S635" s="7">
        <v>0.0484899503879407</v>
      </c>
      <c r="T635" s="7">
        <v>0.0271250893187165</v>
      </c>
    </row>
    <row x14ac:dyDescent="0.25" r="636" customHeight="1" ht="19.5">
      <c r="A636" s="2" t="s">
        <v>2948</v>
      </c>
      <c r="B636" s="2" t="s">
        <v>2314</v>
      </c>
      <c r="C636" s="2" t="s">
        <v>31</v>
      </c>
      <c r="D636" s="2" t="s">
        <v>650</v>
      </c>
      <c r="E636" s="6">
        <v>1</v>
      </c>
      <c r="F636" s="6">
        <v>1</v>
      </c>
      <c r="G636" s="7">
        <v>0.5696950554847717</v>
      </c>
      <c r="H636" s="7">
        <v>9.00799453125</v>
      </c>
      <c r="I636" s="7">
        <v>19.99950140913953</v>
      </c>
      <c r="J636" s="7">
        <v>9.135062560103712</v>
      </c>
      <c r="K636" s="7">
        <v>1.103776622570954</v>
      </c>
      <c r="L636" s="7">
        <v>0.9932958058834614</v>
      </c>
      <c r="M636" s="7">
        <v>0.2830086048040146</v>
      </c>
      <c r="N636" s="7">
        <v>0.2487891091266428</v>
      </c>
      <c r="O636" s="7">
        <v>0.0978268769474588</v>
      </c>
      <c r="P636" s="7">
        <v>9.694093017305196</v>
      </c>
      <c r="Q636" s="7">
        <v>0.0067740889825268</v>
      </c>
      <c r="R636" s="7">
        <v>0.0472725841134898</v>
      </c>
      <c r="S636" s="7">
        <v>0.0747394007967173</v>
      </c>
      <c r="T636" s="7">
        <v>0.0708222615770308</v>
      </c>
    </row>
    <row x14ac:dyDescent="0.25" r="637" customHeight="1" ht="19.5">
      <c r="A637" s="2" t="s">
        <v>2949</v>
      </c>
      <c r="B637" s="2" t="s">
        <v>2314</v>
      </c>
      <c r="C637" s="2" t="s">
        <v>31</v>
      </c>
      <c r="D637" s="2" t="s">
        <v>650</v>
      </c>
      <c r="E637" s="6">
        <v>1</v>
      </c>
      <c r="F637" s="6">
        <v>1</v>
      </c>
      <c r="G637" s="7">
        <v>0.5988486409187317</v>
      </c>
      <c r="H637" s="7">
        <v>9.30583671875</v>
      </c>
      <c r="I637" s="7">
        <v>19.95074876318569</v>
      </c>
      <c r="J637" s="7">
        <v>9.30632214000918</v>
      </c>
      <c r="K637" s="7">
        <v>1.15041130717134</v>
      </c>
      <c r="L637" s="7">
        <v>0.9931004871908636</v>
      </c>
      <c r="M637" s="7">
        <v>0.2937966860824195</v>
      </c>
      <c r="N637" s="7">
        <v>0.2403072289490842</v>
      </c>
      <c r="O637" s="7">
        <v>0.1096734193843732</v>
      </c>
      <c r="P637" s="7">
        <v>9.753202297815356</v>
      </c>
      <c r="Q637" s="7">
        <v>0.0119852196593954</v>
      </c>
      <c r="R637" s="7">
        <v>0.0732121472360927</v>
      </c>
      <c r="S637" s="7">
        <v>0.0972529901172975</v>
      </c>
      <c r="T637" s="7">
        <v>0.1294470644539485</v>
      </c>
    </row>
    <row x14ac:dyDescent="0.25" r="638" customHeight="1" ht="19.5">
      <c r="A638" s="2" t="s">
        <v>2950</v>
      </c>
      <c r="B638" s="2" t="s">
        <v>2314</v>
      </c>
      <c r="C638" s="2" t="s">
        <v>31</v>
      </c>
      <c r="D638" s="2" t="s">
        <v>650</v>
      </c>
      <c r="E638" s="6">
        <v>1</v>
      </c>
      <c r="F638" s="6">
        <v>1</v>
      </c>
      <c r="G638" s="7">
        <v>0.642911434173584</v>
      </c>
      <c r="H638" s="7">
        <v>9.2746671875</v>
      </c>
      <c r="I638" s="7">
        <v>19.90199611723185</v>
      </c>
      <c r="J638" s="7">
        <v>9.254708184772332</v>
      </c>
      <c r="K638" s="7">
        <v>1.182665291130754</v>
      </c>
      <c r="L638" s="7">
        <v>0.9927713368642926</v>
      </c>
      <c r="M638" s="7">
        <v>0.2942489515050362</v>
      </c>
      <c r="N638" s="7">
        <v>0.2562102305931224</v>
      </c>
      <c r="O638" s="7">
        <v>0.1199923243365438</v>
      </c>
      <c r="P638" s="7">
        <v>9.708734977304443</v>
      </c>
      <c r="Q638" s="7">
        <v>0.0187846124343073</v>
      </c>
      <c r="R638" s="7">
        <v>0.0988000029127112</v>
      </c>
      <c r="S638" s="7">
        <v>0.1344702026489375</v>
      </c>
      <c r="T638" s="7">
        <v>0.2022047500375346</v>
      </c>
    </row>
    <row x14ac:dyDescent="0.25" r="639" customHeight="1" ht="19.5">
      <c r="A639" s="2" t="s">
        <v>2951</v>
      </c>
      <c r="B639" s="2" t="s">
        <v>2314</v>
      </c>
      <c r="C639" s="2" t="s">
        <v>31</v>
      </c>
      <c r="D639" s="2" t="s">
        <v>650</v>
      </c>
      <c r="E639" s="6">
        <v>1</v>
      </c>
      <c r="F639" s="6">
        <v>1</v>
      </c>
      <c r="G639" s="7">
        <v>0.6340778470039368</v>
      </c>
      <c r="H639" s="7">
        <v>9.33700625</v>
      </c>
      <c r="I639" s="7">
        <v>20.01969541629519</v>
      </c>
      <c r="J639" s="7">
        <v>9.311474810639956</v>
      </c>
      <c r="K639" s="7">
        <v>1.157104820612069</v>
      </c>
      <c r="L639" s="7">
        <v>0.9929696650532472</v>
      </c>
      <c r="M639" s="7">
        <v>0.2927538276595225</v>
      </c>
      <c r="N639" s="7">
        <v>0.2537573337295832</v>
      </c>
      <c r="O639" s="7">
        <v>0.1176991411327787</v>
      </c>
      <c r="P639" s="7">
        <v>9.683648975152511</v>
      </c>
      <c r="Q639" s="7">
        <v>0.019360492652753</v>
      </c>
      <c r="R639" s="7">
        <v>0.1015185550478602</v>
      </c>
      <c r="S639" s="7">
        <v>0.1363926246356577</v>
      </c>
      <c r="T639" s="7">
        <v>0.2098045168782603</v>
      </c>
    </row>
    <row x14ac:dyDescent="0.25" r="640" customHeight="1" ht="19.5">
      <c r="A640" s="2" t="s">
        <v>2952</v>
      </c>
      <c r="B640" s="2" t="s">
        <v>2314</v>
      </c>
      <c r="C640" s="2" t="s">
        <v>31</v>
      </c>
      <c r="D640" s="2" t="s">
        <v>650</v>
      </c>
      <c r="E640" s="6">
        <v>1</v>
      </c>
      <c r="F640" s="6">
        <v>1</v>
      </c>
      <c r="G640" s="7">
        <v>0.636289119720459</v>
      </c>
      <c r="H640" s="7">
        <v>9.27120390625</v>
      </c>
      <c r="I640" s="7">
        <v>19.98522208974044</v>
      </c>
      <c r="J640" s="7">
        <v>9.311624925612913</v>
      </c>
      <c r="K640" s="7">
        <v>1.154559368634236</v>
      </c>
      <c r="L640" s="7">
        <v>0.9930114678598988</v>
      </c>
      <c r="M640" s="7">
        <v>0.2916943648774434</v>
      </c>
      <c r="N640" s="7">
        <v>0.2557696075715031</v>
      </c>
      <c r="O640" s="7">
        <v>0.1210580948200394</v>
      </c>
      <c r="P640" s="7">
        <v>9.661136178223265</v>
      </c>
      <c r="Q640" s="7">
        <v>0.0199991642194221</v>
      </c>
      <c r="R640" s="7">
        <v>0.1025730441099077</v>
      </c>
      <c r="S640" s="7">
        <v>0.1406887759770117</v>
      </c>
      <c r="T640" s="7">
        <v>0.2151982619585998</v>
      </c>
    </row>
    <row x14ac:dyDescent="0.25" r="641" customHeight="1" ht="19.5">
      <c r="A641" s="2" t="s">
        <v>2953</v>
      </c>
      <c r="B641" s="2" t="s">
        <v>2314</v>
      </c>
      <c r="C641" s="2" t="s">
        <v>31</v>
      </c>
      <c r="D641" s="2" t="s">
        <v>650</v>
      </c>
      <c r="E641" s="6">
        <v>1</v>
      </c>
      <c r="F641" s="6">
        <v>1</v>
      </c>
      <c r="G641" s="7">
        <v>0.6305534243583679</v>
      </c>
      <c r="H641" s="7">
        <v>9.29198359375</v>
      </c>
      <c r="I641" s="7">
        <v>19.9364694437866</v>
      </c>
      <c r="J641" s="7">
        <v>9.311672165314192</v>
      </c>
      <c r="K641" s="7">
        <v>1.152529991234273</v>
      </c>
      <c r="L641" s="7">
        <v>0.9930063654430836</v>
      </c>
      <c r="M641" s="7">
        <v>0.2937797084483204</v>
      </c>
      <c r="N641" s="7">
        <v>0.2580417807234884</v>
      </c>
      <c r="O641" s="7">
        <v>0.1206980478896504</v>
      </c>
      <c r="P641" s="7">
        <v>9.662737461595734</v>
      </c>
      <c r="Q641" s="7">
        <v>0.0200004842494289</v>
      </c>
      <c r="R641" s="7">
        <v>0.103249675534526</v>
      </c>
      <c r="S641" s="7">
        <v>0.1389398681458338</v>
      </c>
      <c r="T641" s="7">
        <v>0.2156948248679747</v>
      </c>
    </row>
    <row x14ac:dyDescent="0.25" r="642" customHeight="1" ht="19.5">
      <c r="A642" s="2" t="s">
        <v>2954</v>
      </c>
      <c r="B642" s="2" t="s">
        <v>2314</v>
      </c>
      <c r="C642" s="2" t="s">
        <v>31</v>
      </c>
      <c r="D642" s="2" t="s">
        <v>650</v>
      </c>
      <c r="E642" s="6">
        <v>1</v>
      </c>
      <c r="F642" s="6">
        <v>1</v>
      </c>
      <c r="G642" s="7">
        <v>0.6346156001091003</v>
      </c>
      <c r="H642" s="7">
        <v>9.2608140625</v>
      </c>
      <c r="I642" s="7">
        <v>19.85324347127801</v>
      </c>
      <c r="J642" s="7">
        <v>9.251988220539744</v>
      </c>
      <c r="K642" s="7">
        <v>1.153221028700901</v>
      </c>
      <c r="L642" s="7">
        <v>0.9929445485628304</v>
      </c>
      <c r="M642" s="7">
        <v>0.2952542048922776</v>
      </c>
      <c r="N642" s="7">
        <v>0.2548919486336956</v>
      </c>
      <c r="O642" s="7">
        <v>0.1210936501720228</v>
      </c>
      <c r="P642" s="7">
        <v>9.66835413668618</v>
      </c>
      <c r="Q642" s="7">
        <v>0.0202279339865494</v>
      </c>
      <c r="R642" s="7">
        <v>0.1030469893635826</v>
      </c>
      <c r="S642" s="7">
        <v>0.1392577238133255</v>
      </c>
      <c r="T642" s="7">
        <v>0.217415985444524</v>
      </c>
    </row>
    <row x14ac:dyDescent="0.25" r="643" customHeight="1" ht="19.5">
      <c r="A643" s="2" t="s">
        <v>2955</v>
      </c>
      <c r="B643" s="2" t="s">
        <v>2314</v>
      </c>
      <c r="C643" s="2" t="s">
        <v>31</v>
      </c>
      <c r="D643" s="2" t="s">
        <v>650</v>
      </c>
      <c r="E643" s="6">
        <v>1</v>
      </c>
      <c r="F643" s="6">
        <v>1</v>
      </c>
      <c r="G643" s="7">
        <v>0.638008177280426</v>
      </c>
      <c r="H643" s="7">
        <v>9.295446875</v>
      </c>
      <c r="I643" s="7">
        <v>19.9364694437866</v>
      </c>
      <c r="J643" s="7">
        <v>9.31176897575298</v>
      </c>
      <c r="K643" s="7">
        <v>1.151998381896558</v>
      </c>
      <c r="L643" s="7">
        <v>0.9929751154376996</v>
      </c>
      <c r="M643" s="7">
        <v>0.2938892051715587</v>
      </c>
      <c r="N643" s="7">
        <v>0.2566681177782371</v>
      </c>
      <c r="O643" s="7">
        <v>0.1215573778137053</v>
      </c>
      <c r="P643" s="7">
        <v>9.668692844706454</v>
      </c>
      <c r="Q643" s="7">
        <v>0.0200417190112067</v>
      </c>
      <c r="R643" s="7">
        <v>0.1020502508908018</v>
      </c>
      <c r="S643" s="7">
        <v>0.1400441413132426</v>
      </c>
      <c r="T643" s="7">
        <v>0.2162200792336877</v>
      </c>
    </row>
    <row x14ac:dyDescent="0.25" r="644" customHeight="1" ht="19.5">
      <c r="A644" s="2" t="s">
        <v>2956</v>
      </c>
      <c r="B644" s="2" t="s">
        <v>2314</v>
      </c>
      <c r="C644" s="2" t="s">
        <v>31</v>
      </c>
      <c r="D644" s="2" t="s">
        <v>650</v>
      </c>
      <c r="E644" s="6">
        <v>1</v>
      </c>
      <c r="F644" s="6">
        <v>1</v>
      </c>
      <c r="G644" s="7">
        <v>0.6374551653862</v>
      </c>
      <c r="H644" s="7">
        <v>9.32661640625</v>
      </c>
      <c r="I644" s="7">
        <v>20.08272738164812</v>
      </c>
      <c r="J644" s="7">
        <v>9.311004941856364</v>
      </c>
      <c r="K644" s="7">
        <v>1.178881667808309</v>
      </c>
      <c r="L644" s="7">
        <v>0.9929033068911922</v>
      </c>
      <c r="M644" s="7">
        <v>0.2905953050222136</v>
      </c>
      <c r="N644" s="7">
        <v>0.2514061770850834</v>
      </c>
      <c r="O644" s="7">
        <v>0.1152036210289882</v>
      </c>
      <c r="P644" s="7">
        <v>9.72181483713428</v>
      </c>
      <c r="Q644" s="7">
        <v>0.0200806935935912</v>
      </c>
      <c r="R644" s="7">
        <v>0.1051064578319387</v>
      </c>
      <c r="S644" s="7">
        <v>0.1394418421211145</v>
      </c>
      <c r="T644" s="7">
        <v>0.2173669965215371</v>
      </c>
    </row>
    <row x14ac:dyDescent="0.25" r="645" customHeight="1" ht="19.5">
      <c r="A645" s="2" t="s">
        <v>2957</v>
      </c>
      <c r="B645" s="2" t="s">
        <v>2314</v>
      </c>
      <c r="C645" s="2" t="s">
        <v>31</v>
      </c>
      <c r="D645" s="2" t="s">
        <v>650</v>
      </c>
      <c r="E645" s="6">
        <v>1</v>
      </c>
      <c r="F645" s="6">
        <v>1</v>
      </c>
      <c r="G645" s="7">
        <v>0.6356943249702454</v>
      </c>
      <c r="H645" s="7">
        <v>9.20886484375</v>
      </c>
      <c r="I645" s="7">
        <v>19.9364694437866</v>
      </c>
      <c r="J645" s="7">
        <v>9.309393871082715</v>
      </c>
      <c r="K645" s="7">
        <v>1.127588262033636</v>
      </c>
      <c r="L645" s="7">
        <v>0.9932047539627796</v>
      </c>
      <c r="M645" s="7">
        <v>0.2911517870906015</v>
      </c>
      <c r="N645" s="7">
        <v>0.2315971000765161</v>
      </c>
      <c r="O645" s="7">
        <v>0.0953086974597139</v>
      </c>
      <c r="P645" s="7">
        <v>9.884724790888152</v>
      </c>
      <c r="Q645" s="7">
        <v>0.0208854288018803</v>
      </c>
      <c r="R645" s="7">
        <v>0.1043765908457132</v>
      </c>
      <c r="S645" s="7">
        <v>0.1393388936259296</v>
      </c>
      <c r="T645" s="7">
        <v>0.2232236860640723</v>
      </c>
    </row>
    <row x14ac:dyDescent="0.25" r="646" customHeight="1" ht="19.5">
      <c r="A646" s="2" t="s">
        <v>2958</v>
      </c>
      <c r="B646" s="2" t="s">
        <v>2314</v>
      </c>
      <c r="C646" s="2" t="s">
        <v>31</v>
      </c>
      <c r="D646" s="2" t="s">
        <v>650</v>
      </c>
      <c r="E646" s="6">
        <v>1</v>
      </c>
      <c r="F646" s="6">
        <v>1</v>
      </c>
      <c r="G646" s="7">
        <v>0.6387613415718079</v>
      </c>
      <c r="H646" s="7">
        <v>9.3023734375</v>
      </c>
      <c r="I646" s="7">
        <v>19.9364694437866</v>
      </c>
      <c r="J646" s="7">
        <v>9.311536753955084</v>
      </c>
      <c r="K646" s="7">
        <v>1.15678599584059</v>
      </c>
      <c r="L646" s="7">
        <v>0.9929498779138688</v>
      </c>
      <c r="M646" s="7">
        <v>0.2941081986180352</v>
      </c>
      <c r="N646" s="7">
        <v>0.258592739730228</v>
      </c>
      <c r="O646" s="7">
        <v>0.1191822988153246</v>
      </c>
      <c r="P646" s="7">
        <v>9.680335426170494</v>
      </c>
      <c r="Q646" s="7">
        <v>0.019938340015042</v>
      </c>
      <c r="R646" s="7">
        <v>0.1038788369201493</v>
      </c>
      <c r="S646" s="7">
        <v>0.1374287019767118</v>
      </c>
      <c r="T646" s="7">
        <v>0.2152650616837182</v>
      </c>
    </row>
    <row x14ac:dyDescent="0.25" r="647" customHeight="1" ht="19.5">
      <c r="A647" s="2" t="s">
        <v>2959</v>
      </c>
      <c r="B647" s="2" t="s">
        <v>2314</v>
      </c>
      <c r="C647" s="2" t="s">
        <v>31</v>
      </c>
      <c r="D647" s="2" t="s">
        <v>650</v>
      </c>
      <c r="E647" s="6">
        <v>1</v>
      </c>
      <c r="F647" s="6">
        <v>1</v>
      </c>
      <c r="G647" s="7">
        <v>0.6379689574241638</v>
      </c>
      <c r="H647" s="7">
        <v>9.3993453125</v>
      </c>
      <c r="I647" s="7">
        <v>20.01969541629519</v>
      </c>
      <c r="J647" s="7">
        <v>9.312474182459564</v>
      </c>
      <c r="K647" s="7">
        <v>1.178683259714253</v>
      </c>
      <c r="L647" s="7">
        <v>0.9927857684011132</v>
      </c>
      <c r="M647" s="7">
        <v>0.294708415529653</v>
      </c>
      <c r="N647" s="7">
        <v>0.2500965436859501</v>
      </c>
      <c r="O647" s="7">
        <v>0.1109046359850976</v>
      </c>
      <c r="P647" s="7">
        <v>9.785557989088732</v>
      </c>
      <c r="Q647" s="7">
        <v>0.0194663072512615</v>
      </c>
      <c r="R647" s="7">
        <v>0.103862050735304</v>
      </c>
      <c r="S647" s="7">
        <v>0.1366268028289864</v>
      </c>
      <c r="T647" s="7">
        <v>0.2123596294824593</v>
      </c>
    </row>
    <row x14ac:dyDescent="0.25" r="648" customHeight="1" ht="19.5">
      <c r="A648" s="2" t="s">
        <v>2960</v>
      </c>
      <c r="B648" s="2" t="s">
        <v>2314</v>
      </c>
      <c r="C648" s="2" t="s">
        <v>31</v>
      </c>
      <c r="D648" s="2" t="s">
        <v>650</v>
      </c>
      <c r="E648" s="6">
        <v>1</v>
      </c>
      <c r="F648" s="6">
        <v>1</v>
      </c>
      <c r="G648" s="7">
        <v>0.6381192207336426</v>
      </c>
      <c r="H648" s="7">
        <v>9.30583671875</v>
      </c>
      <c r="I648" s="7">
        <v>19.85324347127801</v>
      </c>
      <c r="J648" s="7">
        <v>9.251736026904805</v>
      </c>
      <c r="K648" s="7">
        <v>1.156302892204179</v>
      </c>
      <c r="L648" s="7">
        <v>0.9927906821001732</v>
      </c>
      <c r="M648" s="7">
        <v>0.2966896217447831</v>
      </c>
      <c r="N648" s="7">
        <v>0.2536647219198086</v>
      </c>
      <c r="O648" s="7">
        <v>0.1168853371574874</v>
      </c>
      <c r="P648" s="7">
        <v>9.709979194182006</v>
      </c>
      <c r="Q648" s="7">
        <v>0.0197189743424671</v>
      </c>
      <c r="R648" s="7">
        <v>0.1045303237523891</v>
      </c>
      <c r="S648" s="7">
        <v>0.1372294879052247</v>
      </c>
      <c r="T648" s="7">
        <v>0.2129759332924791</v>
      </c>
    </row>
    <row x14ac:dyDescent="0.25" r="649" customHeight="1" ht="19.5">
      <c r="A649" s="2" t="s">
        <v>2961</v>
      </c>
      <c r="B649" s="2" t="s">
        <v>2314</v>
      </c>
      <c r="C649" s="2" t="s">
        <v>31</v>
      </c>
      <c r="D649" s="2" t="s">
        <v>650</v>
      </c>
      <c r="E649" s="6">
        <v>1</v>
      </c>
      <c r="F649" s="6">
        <v>1</v>
      </c>
      <c r="G649" s="7">
        <v>0.6335605978965759</v>
      </c>
      <c r="H649" s="7">
        <v>9.323153125</v>
      </c>
      <c r="I649" s="7">
        <v>20.03397473569428</v>
      </c>
      <c r="J649" s="7">
        <v>9.36907144686084</v>
      </c>
      <c r="K649" s="7">
        <v>1.175691285265793</v>
      </c>
      <c r="L649" s="7">
        <v>0.9929910835593536</v>
      </c>
      <c r="M649" s="7">
        <v>0.2919029188600632</v>
      </c>
      <c r="N649" s="7">
        <v>0.2547429175977777</v>
      </c>
      <c r="O649" s="7">
        <v>0.1201532468173494</v>
      </c>
      <c r="P649" s="7">
        <v>9.687926923856548</v>
      </c>
      <c r="Q649" s="7">
        <v>0.0200912755631859</v>
      </c>
      <c r="R649" s="7">
        <v>0.1041817532062686</v>
      </c>
      <c r="S649" s="7">
        <v>0.1356306986140706</v>
      </c>
      <c r="T649" s="7">
        <v>0.217400784818522</v>
      </c>
    </row>
    <row x14ac:dyDescent="0.25" r="650" customHeight="1" ht="19.5">
      <c r="A650" s="2" t="s">
        <v>2962</v>
      </c>
      <c r="B650" s="2" t="s">
        <v>2314</v>
      </c>
      <c r="C650" s="2" t="s">
        <v>31</v>
      </c>
      <c r="D650" s="2" t="s">
        <v>650</v>
      </c>
      <c r="E650" s="6">
        <v>1</v>
      </c>
      <c r="F650" s="6">
        <v>1</v>
      </c>
      <c r="G650" s="7">
        <v>0.6429061889648438</v>
      </c>
      <c r="H650" s="7">
        <v>9.38202890625</v>
      </c>
      <c r="I650" s="7">
        <v>19.98522208974044</v>
      </c>
      <c r="J650" s="7">
        <v>9.310795244266854</v>
      </c>
      <c r="K650" s="7">
        <v>1.180267326965009</v>
      </c>
      <c r="L650" s="7">
        <v>0.9928058639852968</v>
      </c>
      <c r="M650" s="7">
        <v>0.2951811858248017</v>
      </c>
      <c r="N650" s="7">
        <v>0.2510944034729547</v>
      </c>
      <c r="O650" s="7">
        <v>0.1119951355412078</v>
      </c>
      <c r="P650" s="7">
        <v>9.74208126784108</v>
      </c>
      <c r="Q650" s="7">
        <v>0.0194366504801698</v>
      </c>
      <c r="R650" s="7">
        <v>0.1034786231022503</v>
      </c>
      <c r="S650" s="7">
        <v>0.1399288514145843</v>
      </c>
      <c r="T650" s="7">
        <v>0.2116454672641846</v>
      </c>
    </row>
    <row x14ac:dyDescent="0.25" r="651" customHeight="1" ht="19.5">
      <c r="A651" s="2" t="s">
        <v>2963</v>
      </c>
      <c r="B651" s="2" t="s">
        <v>2314</v>
      </c>
      <c r="C651" s="2" t="s">
        <v>31</v>
      </c>
      <c r="D651" s="2" t="s">
        <v>650</v>
      </c>
      <c r="E651" s="6">
        <v>1</v>
      </c>
      <c r="F651" s="6">
        <v>1</v>
      </c>
      <c r="G651" s="7">
        <v>0.6294189691543579</v>
      </c>
      <c r="H651" s="7">
        <v>9.2192546875</v>
      </c>
      <c r="I651" s="7">
        <v>20.01969541629519</v>
      </c>
      <c r="J651" s="7">
        <v>9.36907969140758</v>
      </c>
      <c r="K651" s="7">
        <v>1.126341121380778</v>
      </c>
      <c r="L651" s="7">
        <v>0.9932967688736368</v>
      </c>
      <c r="M651" s="7">
        <v>0.2890618283492763</v>
      </c>
      <c r="N651" s="7">
        <v>0.2354973840950716</v>
      </c>
      <c r="O651" s="7">
        <v>0.0978939327850234</v>
      </c>
      <c r="P651" s="7">
        <v>9.861345231113022</v>
      </c>
      <c r="Q651" s="7">
        <v>0.0210452990060151</v>
      </c>
      <c r="R651" s="7">
        <v>0.1065195440745081</v>
      </c>
      <c r="S651" s="7">
        <v>0.138193667080715</v>
      </c>
      <c r="T651" s="7">
        <v>0.2251861590544573</v>
      </c>
    </row>
    <row x14ac:dyDescent="0.25" r="652" customHeight="1" ht="19.5">
      <c r="A652" s="2" t="s">
        <v>2964</v>
      </c>
      <c r="B652" s="2" t="s">
        <v>2314</v>
      </c>
      <c r="C652" s="2" t="s">
        <v>31</v>
      </c>
      <c r="D652" s="2" t="s">
        <v>650</v>
      </c>
      <c r="E652" s="6">
        <v>1</v>
      </c>
      <c r="F652" s="6">
        <v>1</v>
      </c>
      <c r="G652" s="7">
        <v>0.6354159712791443</v>
      </c>
      <c r="H652" s="7">
        <v>9.2746671875</v>
      </c>
      <c r="I652" s="7">
        <v>20.06844806224903</v>
      </c>
      <c r="J652" s="7">
        <v>9.371198521111497</v>
      </c>
      <c r="K652" s="7">
        <v>1.176171736012915</v>
      </c>
      <c r="L652" s="7">
        <v>0.9930116150477878</v>
      </c>
      <c r="M652" s="7">
        <v>0.2893880681997496</v>
      </c>
      <c r="N652" s="7">
        <v>0.2625519211703656</v>
      </c>
      <c r="O652" s="7">
        <v>0.1258094234141739</v>
      </c>
      <c r="P652" s="7">
        <v>9.629375897578488</v>
      </c>
      <c r="Q652" s="7">
        <v>0.0201807067172927</v>
      </c>
      <c r="R652" s="7">
        <v>0.1035158681103715</v>
      </c>
      <c r="S652" s="7">
        <v>0.1398833505209565</v>
      </c>
      <c r="T652" s="7">
        <v>0.217232842658936</v>
      </c>
    </row>
    <row x14ac:dyDescent="0.25" r="653" customHeight="1" ht="19.5">
      <c r="A653" s="2" t="s">
        <v>2965</v>
      </c>
      <c r="B653" s="2" t="s">
        <v>2314</v>
      </c>
      <c r="C653" s="2" t="s">
        <v>31</v>
      </c>
      <c r="D653" s="2" t="s">
        <v>650</v>
      </c>
      <c r="E653" s="6">
        <v>1</v>
      </c>
      <c r="F653" s="6">
        <v>1</v>
      </c>
      <c r="G653" s="7">
        <v>0.6378923058509827</v>
      </c>
      <c r="H653" s="7">
        <v>9.3162265625</v>
      </c>
      <c r="I653" s="7">
        <v>19.9364694437866</v>
      </c>
      <c r="J653" s="7">
        <v>9.311091208763631</v>
      </c>
      <c r="K653" s="7">
        <v>1.155663355410269</v>
      </c>
      <c r="L653" s="7">
        <v>0.9929430557476232</v>
      </c>
      <c r="M653" s="7">
        <v>0.2945461855109884</v>
      </c>
      <c r="N653" s="7">
        <v>0.2512002703035227</v>
      </c>
      <c r="O653" s="7">
        <v>0.1170596906363129</v>
      </c>
      <c r="P653" s="7">
        <v>9.696990263503793</v>
      </c>
      <c r="Q653" s="7">
        <v>0.0199309548577506</v>
      </c>
      <c r="R653" s="7">
        <v>0.1046550518824022</v>
      </c>
      <c r="S653" s="7">
        <v>0.1404985582626623</v>
      </c>
      <c r="T653" s="7">
        <v>0.215505782241222</v>
      </c>
    </row>
    <row x14ac:dyDescent="0.25" r="654" customHeight="1" ht="19.5">
      <c r="A654" s="2" t="s">
        <v>2966</v>
      </c>
      <c r="B654" s="2" t="s">
        <v>2314</v>
      </c>
      <c r="C654" s="2" t="s">
        <v>31</v>
      </c>
      <c r="D654" s="2" t="s">
        <v>650</v>
      </c>
      <c r="E654" s="6">
        <v>1</v>
      </c>
      <c r="F654" s="6">
        <v>1</v>
      </c>
      <c r="G654" s="7">
        <v>0.6354314684867859</v>
      </c>
      <c r="H654" s="7">
        <v>9.38202890625</v>
      </c>
      <c r="I654" s="7">
        <v>19.98522208974044</v>
      </c>
      <c r="J654" s="7">
        <v>9.310783496724357</v>
      </c>
      <c r="K654" s="7">
        <v>1.176941770482872</v>
      </c>
      <c r="L654" s="7">
        <v>0.9928133937024788</v>
      </c>
      <c r="M654" s="7">
        <v>0.2951811858248017</v>
      </c>
      <c r="N654" s="7">
        <v>0.2470961229713631</v>
      </c>
      <c r="O654" s="7">
        <v>0.1109223845669172</v>
      </c>
      <c r="P654" s="7">
        <v>9.7569156079212</v>
      </c>
      <c r="Q654" s="7">
        <v>0.0196426043773012</v>
      </c>
      <c r="R654" s="7">
        <v>0.1018538505742853</v>
      </c>
      <c r="S654" s="7">
        <v>0.1398417303811815</v>
      </c>
      <c r="T654" s="7">
        <v>0.2138880969208589</v>
      </c>
    </row>
    <row x14ac:dyDescent="0.25" r="655" customHeight="1" ht="19.5">
      <c r="A655" s="2" t="s">
        <v>2967</v>
      </c>
      <c r="B655" s="2" t="s">
        <v>2314</v>
      </c>
      <c r="C655" s="2" t="s">
        <v>31</v>
      </c>
      <c r="D655" s="2" t="s">
        <v>650</v>
      </c>
      <c r="E655" s="6">
        <v>1</v>
      </c>
      <c r="F655" s="6">
        <v>1</v>
      </c>
      <c r="G655" s="7">
        <v>0.63277667760849</v>
      </c>
      <c r="H655" s="7">
        <v>9.323153125</v>
      </c>
      <c r="I655" s="7">
        <v>19.9364694437866</v>
      </c>
      <c r="J655" s="7">
        <v>9.31104242757868</v>
      </c>
      <c r="K655" s="7">
        <v>1.157611970472582</v>
      </c>
      <c r="L655" s="7">
        <v>0.9929331943276788</v>
      </c>
      <c r="M655" s="7">
        <v>0.2947651789574649</v>
      </c>
      <c r="N655" s="7">
        <v>0.2516877149845442</v>
      </c>
      <c r="O655" s="7">
        <v>0.1153442079641359</v>
      </c>
      <c r="P655" s="7">
        <v>9.703828217814229</v>
      </c>
      <c r="Q655" s="7">
        <v>0.0199143618536641</v>
      </c>
      <c r="R655" s="7">
        <v>0.1045930076043325</v>
      </c>
      <c r="S655" s="7">
        <v>0.1389195068618735</v>
      </c>
      <c r="T655" s="7">
        <v>0.2154864623966218</v>
      </c>
    </row>
    <row x14ac:dyDescent="0.25" r="656" customHeight="1" ht="19.5">
      <c r="A656" s="2" t="s">
        <v>2968</v>
      </c>
      <c r="B656" s="2" t="s">
        <v>2314</v>
      </c>
      <c r="C656" s="2" t="s">
        <v>31</v>
      </c>
      <c r="D656" s="2" t="s">
        <v>650</v>
      </c>
      <c r="E656" s="6">
        <v>1</v>
      </c>
      <c r="F656" s="6">
        <v>1</v>
      </c>
      <c r="G656" s="7">
        <v>0.6414199471473694</v>
      </c>
      <c r="H656" s="7">
        <v>9.350859375</v>
      </c>
      <c r="I656" s="7">
        <v>19.9364694437866</v>
      </c>
      <c r="J656" s="7">
        <v>9.310968073542892</v>
      </c>
      <c r="K656" s="7">
        <v>1.15799506564043</v>
      </c>
      <c r="L656" s="7">
        <v>0.9928482745002896</v>
      </c>
      <c r="M656" s="7">
        <v>0.2956411527433712</v>
      </c>
      <c r="N656" s="7">
        <v>0.2507777507009846</v>
      </c>
      <c r="O656" s="7">
        <v>0.1139366041398967</v>
      </c>
      <c r="P656" s="7">
        <v>9.707775410510704</v>
      </c>
      <c r="Q656" s="7">
        <v>0.0196714985041053</v>
      </c>
      <c r="R656" s="7">
        <v>0.1047877076413156</v>
      </c>
      <c r="S656" s="7">
        <v>0.1386556957234191</v>
      </c>
      <c r="T656" s="7">
        <v>0.2134910877815862</v>
      </c>
    </row>
    <row x14ac:dyDescent="0.25" r="657" customHeight="1" ht="19.5">
      <c r="A657" s="2" t="s">
        <v>2969</v>
      </c>
      <c r="B657" s="2" t="s">
        <v>2314</v>
      </c>
      <c r="C657" s="2" t="s">
        <v>31</v>
      </c>
      <c r="D657" s="2" t="s">
        <v>650</v>
      </c>
      <c r="E657" s="6">
        <v>1</v>
      </c>
      <c r="F657" s="6">
        <v>1</v>
      </c>
      <c r="G657" s="7">
        <v>0.6362056732177734</v>
      </c>
      <c r="H657" s="7">
        <v>9.3300796875</v>
      </c>
      <c r="I657" s="7">
        <v>20.03397473569428</v>
      </c>
      <c r="J657" s="7">
        <v>9.368979379530469</v>
      </c>
      <c r="K657" s="7">
        <v>1.17896944652002</v>
      </c>
      <c r="L657" s="7">
        <v>0.9929778181896196</v>
      </c>
      <c r="M657" s="7">
        <v>0.2921197858131539</v>
      </c>
      <c r="N657" s="7">
        <v>0.2512730688331832</v>
      </c>
      <c r="O657" s="7">
        <v>0.1163364772165158</v>
      </c>
      <c r="P657" s="7">
        <v>9.709330816055374</v>
      </c>
      <c r="Q657" s="7">
        <v>0.0200898121161809</v>
      </c>
      <c r="R657" s="7">
        <v>0.1054799714502419</v>
      </c>
      <c r="S657" s="7">
        <v>0.1385117987432044</v>
      </c>
      <c r="T657" s="7">
        <v>0.2175464537816943</v>
      </c>
    </row>
    <row x14ac:dyDescent="0.25" r="658" customHeight="1" ht="19.5">
      <c r="A658" s="2" t="s">
        <v>2970</v>
      </c>
      <c r="B658" s="2" t="s">
        <v>2314</v>
      </c>
      <c r="C658" s="2" t="s">
        <v>31</v>
      </c>
      <c r="D658" s="2" t="s">
        <v>650</v>
      </c>
      <c r="E658" s="6">
        <v>1</v>
      </c>
      <c r="F658" s="6">
        <v>1</v>
      </c>
      <c r="G658" s="7">
        <v>0.6163115501403809</v>
      </c>
      <c r="H658" s="7">
        <v>9.30583671875</v>
      </c>
      <c r="I658" s="7">
        <v>20.01378072853862</v>
      </c>
      <c r="J658" s="7">
        <v>9.306544609773358</v>
      </c>
      <c r="K658" s="7">
        <v>1.177520050107174</v>
      </c>
      <c r="L658" s="7">
        <v>0.9928553080875824</v>
      </c>
      <c r="M658" s="7">
        <v>0.2919490170871674</v>
      </c>
      <c r="N658" s="7">
        <v>0.2445009749065342</v>
      </c>
      <c r="O658" s="7">
        <v>0.1127282599053781</v>
      </c>
      <c r="P658" s="7">
        <v>9.691381278322051</v>
      </c>
      <c r="Q658" s="7">
        <v>0.0142763688360093</v>
      </c>
      <c r="R658" s="7">
        <v>0.0886660228287465</v>
      </c>
      <c r="S658" s="7">
        <v>0.1204957013947477</v>
      </c>
      <c r="T658" s="7">
        <v>0.1541927548599034</v>
      </c>
    </row>
    <row x14ac:dyDescent="0.25" r="659" customHeight="1" ht="19.5">
      <c r="A659" s="2" t="s">
        <v>2971</v>
      </c>
      <c r="B659" s="2" t="s">
        <v>2314</v>
      </c>
      <c r="C659" s="2" t="s">
        <v>31</v>
      </c>
      <c r="D659" s="2" t="s">
        <v>650</v>
      </c>
      <c r="E659" s="6">
        <v>1</v>
      </c>
      <c r="F659" s="6">
        <v>1</v>
      </c>
      <c r="G659" s="7">
        <v>0.3178717195987701</v>
      </c>
      <c r="H659" s="7">
        <v>6.78456796875</v>
      </c>
      <c r="I659" s="7">
        <v>17.58003351863396</v>
      </c>
      <c r="J659" s="7">
        <v>8.17083523497293</v>
      </c>
      <c r="K659" s="7">
        <v>0.8622023789615958</v>
      </c>
      <c r="L659" s="7">
        <v>0.9943413420728144</v>
      </c>
      <c r="M659" s="7">
        <v>0.2758624977356048</v>
      </c>
      <c r="N659" s="7">
        <v>0.4104744817864215</v>
      </c>
      <c r="O659" s="7">
        <v>0.0735844186395665</v>
      </c>
      <c r="P659" s="7">
        <v>8.083963480129755</v>
      </c>
      <c r="Q659" s="7">
        <v>0.0044125205805812</v>
      </c>
      <c r="R659" s="7">
        <v>0.0227165391961854</v>
      </c>
      <c r="S659" s="7">
        <v>0.0354411422093361</v>
      </c>
      <c r="T659" s="7">
        <v>0.0347455924859421</v>
      </c>
    </row>
    <row x14ac:dyDescent="0.25" r="660" customHeight="1" ht="19.5">
      <c r="A660" s="2" t="s">
        <v>2972</v>
      </c>
      <c r="B660" s="2" t="s">
        <v>2314</v>
      </c>
      <c r="C660" s="2" t="s">
        <v>31</v>
      </c>
      <c r="D660" s="2" t="s">
        <v>650</v>
      </c>
      <c r="E660" s="6">
        <v>1</v>
      </c>
      <c r="F660" s="6">
        <v>1</v>
      </c>
      <c r="G660" s="7">
        <v>0.3860408961772918</v>
      </c>
      <c r="H660" s="7">
        <v>5.288430468750001</v>
      </c>
      <c r="I660" s="7">
        <v>13.47483737081638</v>
      </c>
      <c r="J660" s="7">
        <v>6.044411863070683</v>
      </c>
      <c r="K660" s="7">
        <v>1.036329579391942</v>
      </c>
      <c r="L660" s="7">
        <v>0.9884571722898736</v>
      </c>
      <c r="M660" s="7">
        <v>0.3638499608609944</v>
      </c>
      <c r="N660" s="7">
        <v>0.3664595379696489</v>
      </c>
      <c r="O660" s="7">
        <v>0.090217619822145</v>
      </c>
      <c r="P660" s="7">
        <v>8.687338255034508</v>
      </c>
      <c r="Q660" s="7">
        <v>0.0024314847957546</v>
      </c>
      <c r="R660" s="7">
        <v>0.0156561216909499</v>
      </c>
      <c r="S660" s="7">
        <v>0.0301116487408737</v>
      </c>
      <c r="T660" s="7">
        <v>0.014924133903995</v>
      </c>
    </row>
    <row x14ac:dyDescent="0.25" r="661" customHeight="1" ht="19.5">
      <c r="A661" s="2" t="s">
        <v>2973</v>
      </c>
      <c r="B661" s="2" t="s">
        <v>2314</v>
      </c>
      <c r="C661" s="2" t="s">
        <v>31</v>
      </c>
      <c r="D661" s="2" t="s">
        <v>650</v>
      </c>
      <c r="E661" s="6">
        <v>1</v>
      </c>
      <c r="F661" s="6">
        <v>1</v>
      </c>
      <c r="G661" s="7">
        <v>0.4910533726215362</v>
      </c>
      <c r="H661" s="7">
        <v>5.4373515625</v>
      </c>
      <c r="I661" s="7">
        <v>13.7447092954978</v>
      </c>
      <c r="J661" s="7">
        <v>6.118140794573806</v>
      </c>
      <c r="K661" s="7">
        <v>0.998485310219902</v>
      </c>
      <c r="L661" s="7">
        <v>0.9880964380321724</v>
      </c>
      <c r="M661" s="7">
        <v>0.3616813877842005</v>
      </c>
      <c r="N661" s="7">
        <v>0.3350925148157913</v>
      </c>
      <c r="O661" s="7">
        <v>0.1225941561661008</v>
      </c>
      <c r="P661" s="7">
        <v>8.8930350354557</v>
      </c>
      <c r="Q661" s="7">
        <v>0.005772727160159</v>
      </c>
      <c r="R661" s="7">
        <v>0.024172226114673</v>
      </c>
      <c r="S661" s="7">
        <v>0.0348849660846192</v>
      </c>
      <c r="T661" s="7">
        <v>0.0364300045757662</v>
      </c>
    </row>
    <row x14ac:dyDescent="0.25" r="662" customHeight="1" ht="19.5">
      <c r="A662" s="2" t="s">
        <v>2974</v>
      </c>
      <c r="B662" s="2" t="s">
        <v>2314</v>
      </c>
      <c r="C662" s="2" t="s">
        <v>31</v>
      </c>
      <c r="D662" s="2" t="s">
        <v>650</v>
      </c>
      <c r="E662" s="6">
        <v>1</v>
      </c>
      <c r="F662" s="6">
        <v>1</v>
      </c>
      <c r="G662" s="7">
        <v>0.5362088084220886</v>
      </c>
      <c r="H662" s="7">
        <v>5.5897359375</v>
      </c>
      <c r="I662" s="7">
        <v>13.77918262205254</v>
      </c>
      <c r="J662" s="7">
        <v>6.159872415747047</v>
      </c>
      <c r="K662" s="7">
        <v>0.974103039223838</v>
      </c>
      <c r="L662" s="7">
        <v>0.987680269310644</v>
      </c>
      <c r="M662" s="7">
        <v>0.3699595511630643</v>
      </c>
      <c r="N662" s="7">
        <v>0.2569451449605763</v>
      </c>
      <c r="O662" s="7">
        <v>0.0640197984227604</v>
      </c>
      <c r="P662" s="7">
        <v>9.38885767827259</v>
      </c>
      <c r="Q662" s="7">
        <v>0.0146590902308738</v>
      </c>
      <c r="R662" s="7">
        <v>0.0506048061400259</v>
      </c>
      <c r="S662" s="7">
        <v>0.0665953999206238</v>
      </c>
      <c r="T662" s="7">
        <v>0.0951018773469538</v>
      </c>
    </row>
    <row x14ac:dyDescent="0.25" r="663" customHeight="1" ht="19.5">
      <c r="A663" s="2" t="s">
        <v>2975</v>
      </c>
      <c r="B663" s="2" t="s">
        <v>2314</v>
      </c>
      <c r="C663" s="2" t="s">
        <v>31</v>
      </c>
      <c r="D663" s="2" t="s">
        <v>650</v>
      </c>
      <c r="E663" s="6">
        <v>1</v>
      </c>
      <c r="F663" s="6">
        <v>1</v>
      </c>
      <c r="G663" s="7">
        <v>0.5546127557754517</v>
      </c>
      <c r="H663" s="7">
        <v>5.575882812500001</v>
      </c>
      <c r="I663" s="7">
        <v>13.60681598927881</v>
      </c>
      <c r="J663" s="7">
        <v>6.159656146984752</v>
      </c>
      <c r="K663" s="7">
        <v>0.9914161749498198</v>
      </c>
      <c r="L663" s="7">
        <v>0.9874418547511552</v>
      </c>
      <c r="M663" s="7">
        <v>0.378451715619407</v>
      </c>
      <c r="N663" s="7">
        <v>0.2351672057351432</v>
      </c>
      <c r="O663" s="7">
        <v>0.0672388435448005</v>
      </c>
      <c r="P663" s="7">
        <v>9.48925620427968</v>
      </c>
      <c r="Q663" s="7">
        <v>0.0244694865284713</v>
      </c>
      <c r="R663" s="7">
        <v>0.0782628057525823</v>
      </c>
      <c r="S663" s="7">
        <v>0.0911997602986028</v>
      </c>
      <c r="T663" s="7">
        <v>0.1583540859885718</v>
      </c>
    </row>
    <row x14ac:dyDescent="0.25" r="664" customHeight="1" ht="19.5">
      <c r="A664" s="2" t="s">
        <v>2976</v>
      </c>
      <c r="B664" s="2" t="s">
        <v>2314</v>
      </c>
      <c r="C664" s="2" t="s">
        <v>31</v>
      </c>
      <c r="D664" s="2" t="s">
        <v>650</v>
      </c>
      <c r="E664" s="6">
        <v>1</v>
      </c>
      <c r="F664" s="6">
        <v>1</v>
      </c>
      <c r="G664" s="7">
        <v>0.5732176899909973</v>
      </c>
      <c r="H664" s="7">
        <v>5.85640859375</v>
      </c>
      <c r="I664" s="7">
        <v>13.60681598927881</v>
      </c>
      <c r="J664" s="7">
        <v>6.052790374287085</v>
      </c>
      <c r="K664" s="7">
        <v>1.101084850200359</v>
      </c>
      <c r="L664" s="7">
        <v>0.9846476599029116</v>
      </c>
      <c r="M664" s="7">
        <v>0.3974918329890791</v>
      </c>
      <c r="N664" s="7">
        <v>0.2776620656705856</v>
      </c>
      <c r="O664" s="7">
        <v>0.1239546962436864</v>
      </c>
      <c r="P664" s="7">
        <v>9.26594243418636</v>
      </c>
      <c r="Q664" s="7">
        <v>0.0272805484746989</v>
      </c>
      <c r="R664" s="7">
        <v>0.0999363197237272</v>
      </c>
      <c r="S664" s="7">
        <v>0.117351484856842</v>
      </c>
      <c r="T664" s="7">
        <v>0.185427971294185</v>
      </c>
    </row>
    <row x14ac:dyDescent="0.25" r="665" customHeight="1" ht="19.5">
      <c r="A665" s="2" t="s">
        <v>2977</v>
      </c>
      <c r="B665" s="2" t="s">
        <v>2314</v>
      </c>
      <c r="C665" s="2" t="s">
        <v>31</v>
      </c>
      <c r="D665" s="2" t="s">
        <v>650</v>
      </c>
      <c r="E665" s="6">
        <v>1</v>
      </c>
      <c r="F665" s="6">
        <v>1</v>
      </c>
      <c r="G665" s="7">
        <v>0.5785539746284485</v>
      </c>
      <c r="H665" s="7">
        <v>5.887578125</v>
      </c>
      <c r="I665" s="7">
        <v>13.6900419617874</v>
      </c>
      <c r="J665" s="7">
        <v>6.109800124501648</v>
      </c>
      <c r="K665" s="7">
        <v>1.108253890587463</v>
      </c>
      <c r="L665" s="7">
        <v>0.9849806577298116</v>
      </c>
      <c r="M665" s="7">
        <v>0.3947634978523323</v>
      </c>
      <c r="N665" s="7">
        <v>0.2777690524688218</v>
      </c>
      <c r="O665" s="7">
        <v>0.127529547470525</v>
      </c>
      <c r="P665" s="7">
        <v>9.26591770409483</v>
      </c>
      <c r="Q665" s="7">
        <v>0.0276473633748415</v>
      </c>
      <c r="R665" s="7">
        <v>0.0998483218276307</v>
      </c>
      <c r="S665" s="7">
        <v>0.1148409640803107</v>
      </c>
      <c r="T665" s="7">
        <v>0.1889214123658255</v>
      </c>
    </row>
    <row x14ac:dyDescent="0.25" r="666" customHeight="1" ht="19.5">
      <c r="A666" s="2" t="s">
        <v>2978</v>
      </c>
      <c r="B666" s="2" t="s">
        <v>2314</v>
      </c>
      <c r="C666" s="2" t="s">
        <v>31</v>
      </c>
      <c r="D666" s="2" t="s">
        <v>650</v>
      </c>
      <c r="E666" s="6">
        <v>1</v>
      </c>
      <c r="F666" s="6">
        <v>1</v>
      </c>
      <c r="G666" s="7">
        <v>0.5640196800231934</v>
      </c>
      <c r="H666" s="7">
        <v>5.807922656250001</v>
      </c>
      <c r="I666" s="7">
        <v>13.6757626423883</v>
      </c>
      <c r="J666" s="7">
        <v>6.113488903455256</v>
      </c>
      <c r="K666" s="7">
        <v>1.057787461954213</v>
      </c>
      <c r="L666" s="7">
        <v>0.985712355552332</v>
      </c>
      <c r="M666" s="7">
        <v>0.3902362226738868</v>
      </c>
      <c r="N666" s="7">
        <v>0.2637150358632856</v>
      </c>
      <c r="O666" s="7">
        <v>0.1041768866721116</v>
      </c>
      <c r="P666" s="7">
        <v>9.41267219878731</v>
      </c>
      <c r="Q666" s="7">
        <v>0.0290727062956228</v>
      </c>
      <c r="R666" s="7">
        <v>0.1006915130892334</v>
      </c>
      <c r="S666" s="7">
        <v>0.115958554619756</v>
      </c>
      <c r="T666" s="7">
        <v>0.1959733719430608</v>
      </c>
    </row>
    <row x14ac:dyDescent="0.25" r="667" customHeight="1" ht="19.5">
      <c r="A667" s="2" t="s">
        <v>2979</v>
      </c>
      <c r="B667" s="2" t="s">
        <v>2314</v>
      </c>
      <c r="C667" s="2" t="s">
        <v>31</v>
      </c>
      <c r="D667" s="2" t="s">
        <v>650</v>
      </c>
      <c r="E667" s="6">
        <v>1</v>
      </c>
      <c r="F667" s="6">
        <v>1</v>
      </c>
      <c r="G667" s="7">
        <v>0.5621305108070374</v>
      </c>
      <c r="H667" s="7">
        <v>5.8529453125</v>
      </c>
      <c r="I667" s="7">
        <v>13.72451528834214</v>
      </c>
      <c r="J667" s="7">
        <v>6.113414860880273</v>
      </c>
      <c r="K667" s="7">
        <v>1.105898947750501</v>
      </c>
      <c r="L667" s="7">
        <v>0.9852227721222184</v>
      </c>
      <c r="M667" s="7">
        <v>0.3904723621025853</v>
      </c>
      <c r="N667" s="7">
        <v>0.2813488938318391</v>
      </c>
      <c r="O667" s="7">
        <v>0.1319780428015511</v>
      </c>
      <c r="P667" s="7">
        <v>9.209685987177362</v>
      </c>
      <c r="Q667" s="7">
        <v>0.0287646722497447</v>
      </c>
      <c r="R667" s="7">
        <v>0.1025044975863183</v>
      </c>
      <c r="S667" s="7">
        <v>0.1183633452407278</v>
      </c>
      <c r="T667" s="7">
        <v>0.1954000525971577</v>
      </c>
    </row>
    <row x14ac:dyDescent="0.25" r="668" customHeight="1" ht="19.5">
      <c r="A668" s="2" t="s">
        <v>2980</v>
      </c>
      <c r="B668" s="2" t="s">
        <v>2314</v>
      </c>
      <c r="C668" s="2" t="s">
        <v>31</v>
      </c>
      <c r="D668" s="2" t="s">
        <v>650</v>
      </c>
      <c r="E668" s="6">
        <v>1</v>
      </c>
      <c r="F668" s="6">
        <v>1</v>
      </c>
      <c r="G668" s="7">
        <v>0.5769580006599426</v>
      </c>
      <c r="H668" s="7">
        <v>5.87718828125</v>
      </c>
      <c r="I668" s="7">
        <v>13.69004196178739</v>
      </c>
      <c r="J668" s="7">
        <v>6.109526286568631</v>
      </c>
      <c r="K668" s="7">
        <v>1.103510937329041</v>
      </c>
      <c r="L668" s="7">
        <v>0.9851992586557012</v>
      </c>
      <c r="M668" s="7">
        <v>0.3940668563855342</v>
      </c>
      <c r="N668" s="7">
        <v>0.2816631549168996</v>
      </c>
      <c r="O668" s="7">
        <v>0.1282757758595613</v>
      </c>
      <c r="P668" s="7">
        <v>9.245421709563942</v>
      </c>
      <c r="Q668" s="7">
        <v>0.0280785385939684</v>
      </c>
      <c r="R668" s="7">
        <v>0.101924655019412</v>
      </c>
      <c r="S668" s="7">
        <v>0.1175050641153168</v>
      </c>
      <c r="T668" s="7">
        <v>0.1915291513383414</v>
      </c>
    </row>
    <row x14ac:dyDescent="0.25" r="669" customHeight="1" ht="19.5">
      <c r="A669" s="2" t="s">
        <v>2981</v>
      </c>
      <c r="B669" s="2" t="s">
        <v>2314</v>
      </c>
      <c r="C669" s="2" t="s">
        <v>31</v>
      </c>
      <c r="D669" s="2" t="s">
        <v>650</v>
      </c>
      <c r="E669" s="6">
        <v>1</v>
      </c>
      <c r="F669" s="6">
        <v>1</v>
      </c>
      <c r="G669" s="7">
        <v>0.5699064135551453</v>
      </c>
      <c r="H669" s="7">
        <v>5.776753125</v>
      </c>
      <c r="I669" s="7">
        <v>13.67785380029893</v>
      </c>
      <c r="J669" s="7">
        <v>6.110780393071087</v>
      </c>
      <c r="K669" s="7">
        <v>1.045353708075709</v>
      </c>
      <c r="L669" s="7">
        <v>0.985940394623179</v>
      </c>
      <c r="M669" s="7">
        <v>0.3880232574981868</v>
      </c>
      <c r="N669" s="7">
        <v>0.2610252475364624</v>
      </c>
      <c r="O669" s="7">
        <v>0.1065695210858908</v>
      </c>
      <c r="P669" s="7">
        <v>9.356444211340287</v>
      </c>
      <c r="Q669" s="7">
        <v>0.0289709500581318</v>
      </c>
      <c r="R669" s="7">
        <v>0.1016473892587297</v>
      </c>
      <c r="S669" s="7">
        <v>0.1191165767783831</v>
      </c>
      <c r="T669" s="7">
        <v>0.1942393989298947</v>
      </c>
    </row>
    <row x14ac:dyDescent="0.25" r="670" customHeight="1" ht="19.5">
      <c r="A670" s="2" t="s">
        <v>2982</v>
      </c>
      <c r="B670" s="2" t="s">
        <v>2314</v>
      </c>
      <c r="C670" s="2" t="s">
        <v>31</v>
      </c>
      <c r="D670" s="2" t="s">
        <v>650</v>
      </c>
      <c r="E670" s="6">
        <v>1</v>
      </c>
      <c r="F670" s="6">
        <v>1</v>
      </c>
      <c r="G670" s="7">
        <v>0.5635658502578735</v>
      </c>
      <c r="H670" s="7">
        <v>5.87026171875</v>
      </c>
      <c r="I670" s="7">
        <v>13.69004196178739</v>
      </c>
      <c r="J670" s="7">
        <v>6.110343912257703</v>
      </c>
      <c r="K670" s="7">
        <v>1.101030493231607</v>
      </c>
      <c r="L670" s="7">
        <v>0.9851144442801346</v>
      </c>
      <c r="M670" s="7">
        <v>0.393602428741002</v>
      </c>
      <c r="N670" s="7">
        <v>0.2810552355860026</v>
      </c>
      <c r="O670" s="7">
        <v>0.1291464071545361</v>
      </c>
      <c r="P670" s="7">
        <v>9.255553701017975</v>
      </c>
      <c r="Q670" s="7">
        <v>0.0282709294014953</v>
      </c>
      <c r="R670" s="7">
        <v>0.1019448695066213</v>
      </c>
      <c r="S670" s="7">
        <v>0.1184998690036415</v>
      </c>
      <c r="T670" s="7">
        <v>0.1926142129003468</v>
      </c>
    </row>
    <row x14ac:dyDescent="0.25" r="671" customHeight="1" ht="19.5">
      <c r="A671" s="2" t="s">
        <v>2983</v>
      </c>
      <c r="B671" s="2" t="s">
        <v>2314</v>
      </c>
      <c r="C671" s="2" t="s">
        <v>31</v>
      </c>
      <c r="D671" s="2" t="s">
        <v>650</v>
      </c>
      <c r="E671" s="6">
        <v>1</v>
      </c>
      <c r="F671" s="6">
        <v>1</v>
      </c>
      <c r="G671" s="7">
        <v>0.568057119846344</v>
      </c>
      <c r="H671" s="7">
        <v>5.776753125</v>
      </c>
      <c r="I671" s="7">
        <v>13.64128931583356</v>
      </c>
      <c r="J671" s="7">
        <v>6.110943385978847</v>
      </c>
      <c r="K671" s="7">
        <v>1.045343252892992</v>
      </c>
      <c r="L671" s="7">
        <v>0.9859270060543136</v>
      </c>
      <c r="M671" s="7">
        <v>0.3901061816001095</v>
      </c>
      <c r="N671" s="7">
        <v>0.2597096351504502</v>
      </c>
      <c r="O671" s="7">
        <v>0.106502155766844</v>
      </c>
      <c r="P671" s="7">
        <v>9.39365688764378</v>
      </c>
      <c r="Q671" s="7">
        <v>0.0291477609532862</v>
      </c>
      <c r="R671" s="7">
        <v>0.102814949952937</v>
      </c>
      <c r="S671" s="7">
        <v>0.1213910540718942</v>
      </c>
      <c r="T671" s="7">
        <v>0.1954248499396174</v>
      </c>
    </row>
    <row x14ac:dyDescent="0.25" r="672" customHeight="1" ht="19.5">
      <c r="A672" s="2" t="s">
        <v>2984</v>
      </c>
      <c r="B672" s="2" t="s">
        <v>2314</v>
      </c>
      <c r="C672" s="2" t="s">
        <v>31</v>
      </c>
      <c r="D672" s="2" t="s">
        <v>650</v>
      </c>
      <c r="E672" s="6">
        <v>1</v>
      </c>
      <c r="F672" s="6">
        <v>1</v>
      </c>
      <c r="G672" s="7">
        <v>0.5693878531455994</v>
      </c>
      <c r="H672" s="7">
        <v>5.83562890625</v>
      </c>
      <c r="I672" s="7">
        <v>13.69004196178739</v>
      </c>
      <c r="J672" s="7">
        <v>6.11119297298206</v>
      </c>
      <c r="K672" s="7">
        <v>1.095894448722508</v>
      </c>
      <c r="L672" s="7">
        <v>0.9852698716497102</v>
      </c>
      <c r="M672" s="7">
        <v>0.3912802905183412</v>
      </c>
      <c r="N672" s="7">
        <v>0.2813352592531702</v>
      </c>
      <c r="O672" s="7">
        <v>0.1337717964241645</v>
      </c>
      <c r="P672" s="7">
        <v>9.217088742465824</v>
      </c>
      <c r="Q672" s="7">
        <v>0.0285593043807025</v>
      </c>
      <c r="R672" s="7">
        <v>0.100640848271564</v>
      </c>
      <c r="S672" s="7">
        <v>0.1181272767981483</v>
      </c>
      <c r="T672" s="7">
        <v>0.1934309977747528</v>
      </c>
    </row>
    <row x14ac:dyDescent="0.25" r="673" customHeight="1" ht="19.5">
      <c r="A673" s="2" t="s">
        <v>2985</v>
      </c>
      <c r="B673" s="2" t="s">
        <v>2314</v>
      </c>
      <c r="C673" s="2" t="s">
        <v>31</v>
      </c>
      <c r="D673" s="2" t="s">
        <v>650</v>
      </c>
      <c r="E673" s="6">
        <v>1</v>
      </c>
      <c r="F673" s="6">
        <v>1</v>
      </c>
      <c r="G673" s="7">
        <v>0.5733394622802734</v>
      </c>
      <c r="H673" s="7">
        <v>5.8945046875</v>
      </c>
      <c r="I673" s="7">
        <v>13.65556863523265</v>
      </c>
      <c r="J673" s="7">
        <v>6.109848973426562</v>
      </c>
      <c r="K673" s="7">
        <v>1.101105859833002</v>
      </c>
      <c r="L673" s="7">
        <v>0.9847804647504418</v>
      </c>
      <c r="M673" s="7">
        <v>0.3972259410400166</v>
      </c>
      <c r="N673" s="7">
        <v>0.278281520314745</v>
      </c>
      <c r="O673" s="7">
        <v>0.1256264831007335</v>
      </c>
      <c r="P673" s="7">
        <v>9.263190006915096</v>
      </c>
      <c r="Q673" s="7">
        <v>0.027434683255206</v>
      </c>
      <c r="R673" s="7">
        <v>0.1000689293780448</v>
      </c>
      <c r="S673" s="7">
        <v>0.1184282281279106</v>
      </c>
      <c r="T673" s="7">
        <v>0.1876886661501473</v>
      </c>
    </row>
    <row x14ac:dyDescent="0.25" r="674" customHeight="1" ht="19.5">
      <c r="A674" s="2" t="s">
        <v>2986</v>
      </c>
      <c r="B674" s="2" t="s">
        <v>2314</v>
      </c>
      <c r="C674" s="2" t="s">
        <v>31</v>
      </c>
      <c r="D674" s="2" t="s">
        <v>650</v>
      </c>
      <c r="E674" s="6">
        <v>1</v>
      </c>
      <c r="F674" s="6">
        <v>1</v>
      </c>
      <c r="G674" s="7">
        <v>0.5682351589202881</v>
      </c>
      <c r="H674" s="7">
        <v>5.88411484375</v>
      </c>
      <c r="I674" s="7">
        <v>13.6900419617874</v>
      </c>
      <c r="J674" s="7">
        <v>6.11025860103209</v>
      </c>
      <c r="K674" s="7">
        <v>1.103463657140596</v>
      </c>
      <c r="L674" s="7">
        <v>0.98500296436788</v>
      </c>
      <c r="M674" s="7">
        <v>0.3945312840300662</v>
      </c>
      <c r="N674" s="7">
        <v>0.2789205678937421</v>
      </c>
      <c r="O674" s="7">
        <v>0.1277153367416947</v>
      </c>
      <c r="P674" s="7">
        <v>9.236684991815212</v>
      </c>
      <c r="Q674" s="7">
        <v>0.0276763717588901</v>
      </c>
      <c r="R674" s="7">
        <v>0.1012034899661999</v>
      </c>
      <c r="S674" s="7">
        <v>0.1199832486264478</v>
      </c>
      <c r="T674" s="7">
        <v>0.1890083871324731</v>
      </c>
    </row>
    <row x14ac:dyDescent="0.25" r="675" customHeight="1" ht="19.5">
      <c r="A675" s="2" t="s">
        <v>2987</v>
      </c>
      <c r="B675" s="2" t="s">
        <v>2314</v>
      </c>
      <c r="C675" s="2" t="s">
        <v>31</v>
      </c>
      <c r="D675" s="2" t="s">
        <v>650</v>
      </c>
      <c r="E675" s="6">
        <v>1</v>
      </c>
      <c r="F675" s="6">
        <v>1</v>
      </c>
      <c r="G675" s="7">
        <v>0.568405270576477</v>
      </c>
      <c r="H675" s="7">
        <v>5.8667984375</v>
      </c>
      <c r="I675" s="7">
        <v>13.72451528834214</v>
      </c>
      <c r="J675" s="7">
        <v>6.113516233239864</v>
      </c>
      <c r="K675" s="7">
        <v>1.100915678896767</v>
      </c>
      <c r="L675" s="7">
        <v>0.9851274863300696</v>
      </c>
      <c r="M675" s="7">
        <v>0.3913965570424731</v>
      </c>
      <c r="N675" s="7">
        <v>0.2816328049007517</v>
      </c>
      <c r="O675" s="7">
        <v>0.1303994437348541</v>
      </c>
      <c r="P675" s="7">
        <v>9.220314992352591</v>
      </c>
      <c r="Q675" s="7">
        <v>0.0282761978842809</v>
      </c>
      <c r="R675" s="7">
        <v>0.0996159899416912</v>
      </c>
      <c r="S675" s="7">
        <v>0.1194175020825526</v>
      </c>
      <c r="T675" s="7">
        <v>0.1925364500073497</v>
      </c>
    </row>
    <row x14ac:dyDescent="0.25" r="676" customHeight="1" ht="19.5">
      <c r="A676" s="2" t="s">
        <v>2988</v>
      </c>
      <c r="B676" s="2" t="s">
        <v>2314</v>
      </c>
      <c r="C676" s="2" t="s">
        <v>31</v>
      </c>
      <c r="D676" s="2" t="s">
        <v>650</v>
      </c>
      <c r="E676" s="6">
        <v>1</v>
      </c>
      <c r="F676" s="6">
        <v>1</v>
      </c>
      <c r="G676" s="7">
        <v>0.5747129321098328</v>
      </c>
      <c r="H676" s="7">
        <v>5.88411484375</v>
      </c>
      <c r="I676" s="7">
        <v>13.72451528834214</v>
      </c>
      <c r="J676" s="7">
        <v>6.112862811708573</v>
      </c>
      <c r="K676" s="7">
        <v>1.105888524664121</v>
      </c>
      <c r="L676" s="7">
        <v>0.9849253591842086</v>
      </c>
      <c r="M676" s="7">
        <v>0.3925518007173328</v>
      </c>
      <c r="N676" s="7">
        <v>0.2764378267708344</v>
      </c>
      <c r="O676" s="7">
        <v>0.1282163329785929</v>
      </c>
      <c r="P676" s="7">
        <v>9.257399562341831</v>
      </c>
      <c r="Q676" s="7">
        <v>0.0277802950636833</v>
      </c>
      <c r="R676" s="7">
        <v>0.1010818499190378</v>
      </c>
      <c r="S676" s="7">
        <v>0.1170204816685677</v>
      </c>
      <c r="T676" s="7">
        <v>0.1897181035792512</v>
      </c>
    </row>
    <row x14ac:dyDescent="0.25" r="677" customHeight="1" ht="19.5">
      <c r="A677" s="2" t="s">
        <v>2989</v>
      </c>
      <c r="B677" s="2" t="s">
        <v>2314</v>
      </c>
      <c r="C677" s="2" t="s">
        <v>31</v>
      </c>
      <c r="D677" s="2" t="s">
        <v>650</v>
      </c>
      <c r="E677" s="6">
        <v>1</v>
      </c>
      <c r="F677" s="6">
        <v>1</v>
      </c>
      <c r="G677" s="7">
        <v>0.5697804093360901</v>
      </c>
      <c r="H677" s="7">
        <v>5.828702343750001</v>
      </c>
      <c r="I677" s="7">
        <v>13.6757626423883</v>
      </c>
      <c r="J677" s="7">
        <v>6.111914883571167</v>
      </c>
      <c r="K677" s="7">
        <v>1.047790099150336</v>
      </c>
      <c r="L677" s="7">
        <v>0.9856829360314372</v>
      </c>
      <c r="M677" s="7">
        <v>0.3916324166727201</v>
      </c>
      <c r="N677" s="7">
        <v>0.2506492503517183</v>
      </c>
      <c r="O677" s="7">
        <v>0.0997715177632725</v>
      </c>
      <c r="P677" s="7">
        <v>9.410794922459331</v>
      </c>
      <c r="Q677" s="7">
        <v>0.0284838924492144</v>
      </c>
      <c r="R677" s="7">
        <v>0.1028803027258815</v>
      </c>
      <c r="S677" s="7">
        <v>0.1210670207748766</v>
      </c>
      <c r="T677" s="7">
        <v>0.1926912504111642</v>
      </c>
    </row>
    <row x14ac:dyDescent="0.25" r="678" customHeight="1" ht="19.5">
      <c r="A678" s="2" t="s">
        <v>2990</v>
      </c>
      <c r="B678" s="2" t="s">
        <v>2314</v>
      </c>
      <c r="C678" s="2" t="s">
        <v>31</v>
      </c>
      <c r="D678" s="2" t="s">
        <v>650</v>
      </c>
      <c r="E678" s="6">
        <v>1</v>
      </c>
      <c r="F678" s="6">
        <v>1</v>
      </c>
      <c r="G678" s="7">
        <v>0.5642027854919434</v>
      </c>
      <c r="H678" s="7">
        <v>5.7975328125</v>
      </c>
      <c r="I678" s="7">
        <v>13.60681598927881</v>
      </c>
      <c r="J678" s="7">
        <v>6.054251275454641</v>
      </c>
      <c r="K678" s="7">
        <v>1.100877280378931</v>
      </c>
      <c r="L678" s="7">
        <v>0.9850545440913628</v>
      </c>
      <c r="M678" s="7">
        <v>0.393495758973222</v>
      </c>
      <c r="N678" s="7">
        <v>0.280088912473849</v>
      </c>
      <c r="O678" s="7">
        <v>0.13228660053248</v>
      </c>
      <c r="P678" s="7">
        <v>9.214362238397811</v>
      </c>
      <c r="Q678" s="7">
        <v>0.0285185491132581</v>
      </c>
      <c r="R678" s="7">
        <v>0.10150891446246</v>
      </c>
      <c r="S678" s="7">
        <v>0.1189349232223276</v>
      </c>
      <c r="T678" s="7">
        <v>0.191894011731759</v>
      </c>
    </row>
    <row x14ac:dyDescent="0.25" r="679" customHeight="1" ht="19.5">
      <c r="A679" s="2" t="s">
        <v>2991</v>
      </c>
      <c r="B679" s="2" t="s">
        <v>2314</v>
      </c>
      <c r="C679" s="2" t="s">
        <v>31</v>
      </c>
      <c r="D679" s="2" t="s">
        <v>650</v>
      </c>
      <c r="E679" s="6">
        <v>1</v>
      </c>
      <c r="F679" s="6">
        <v>1</v>
      </c>
      <c r="G679" s="7">
        <v>0.5574291348457336</v>
      </c>
      <c r="H679" s="7">
        <v>5.897967968750001</v>
      </c>
      <c r="I679" s="7">
        <v>13.72451528834214</v>
      </c>
      <c r="J679" s="7">
        <v>6.112417413707451</v>
      </c>
      <c r="K679" s="7">
        <v>1.105879712514012</v>
      </c>
      <c r="L679" s="7">
        <v>0.9849037499885496</v>
      </c>
      <c r="M679" s="7">
        <v>0.3934759956572205</v>
      </c>
      <c r="N679" s="7">
        <v>0.2756246508967001</v>
      </c>
      <c r="O679" s="7">
        <v>0.1262307971448467</v>
      </c>
      <c r="P679" s="7">
        <v>9.279221118734169</v>
      </c>
      <c r="Q679" s="7">
        <v>0.027857587776147</v>
      </c>
      <c r="R679" s="7">
        <v>0.1016857079866131</v>
      </c>
      <c r="S679" s="7">
        <v>0.1197055664535097</v>
      </c>
      <c r="T679" s="7">
        <v>0.1906938545189813</v>
      </c>
    </row>
    <row x14ac:dyDescent="0.25" r="680" customHeight="1" ht="19.5">
      <c r="A680" s="2" t="s">
        <v>2992</v>
      </c>
      <c r="B680" s="2" t="s">
        <v>2314</v>
      </c>
      <c r="C680" s="2" t="s">
        <v>31</v>
      </c>
      <c r="D680" s="2" t="s">
        <v>650</v>
      </c>
      <c r="E680" s="6">
        <v>1</v>
      </c>
      <c r="F680" s="6">
        <v>1</v>
      </c>
      <c r="G680" s="7">
        <v>0.564234733581543</v>
      </c>
      <c r="H680" s="7">
        <v>5.85640859375</v>
      </c>
      <c r="I680" s="7">
        <v>13.70432128118649</v>
      </c>
      <c r="J680" s="7">
        <v>6.110667898144392</v>
      </c>
      <c r="K680" s="7">
        <v>1.096068773713648</v>
      </c>
      <c r="L680" s="7">
        <v>0.9849890318409038</v>
      </c>
      <c r="M680" s="7">
        <v>0.3918557014721098</v>
      </c>
      <c r="N680" s="7">
        <v>0.2781475753220111</v>
      </c>
      <c r="O680" s="7">
        <v>0.1304643124200868</v>
      </c>
      <c r="P680" s="7">
        <v>9.222628616834577</v>
      </c>
      <c r="Q680" s="7">
        <v>0.0279203852604406</v>
      </c>
      <c r="R680" s="7">
        <v>0.1007934003151005</v>
      </c>
      <c r="S680" s="7">
        <v>0.116466863599127</v>
      </c>
      <c r="T680" s="7">
        <v>0.1897769907887719</v>
      </c>
    </row>
    <row x14ac:dyDescent="0.25" r="681" customHeight="1" ht="19.5">
      <c r="A681" s="2" t="s">
        <v>2993</v>
      </c>
      <c r="B681" s="2" t="s">
        <v>2314</v>
      </c>
      <c r="C681" s="2" t="s">
        <v>31</v>
      </c>
      <c r="D681" s="2" t="s">
        <v>650</v>
      </c>
      <c r="E681" s="6">
        <v>1</v>
      </c>
      <c r="F681" s="6">
        <v>1</v>
      </c>
      <c r="G681" s="7">
        <v>0.5555500984191895</v>
      </c>
      <c r="H681" s="7">
        <v>5.915284375000001</v>
      </c>
      <c r="I681" s="7">
        <v>13.69004196178739</v>
      </c>
      <c r="J681" s="7">
        <v>6.109431856600992</v>
      </c>
      <c r="K681" s="7">
        <v>1.103516910340778</v>
      </c>
      <c r="L681" s="7">
        <v>0.984837863137068</v>
      </c>
      <c r="M681" s="7">
        <v>0.396621208430461</v>
      </c>
      <c r="N681" s="7">
        <v>0.2741429642589589</v>
      </c>
      <c r="O681" s="7">
        <v>0.1240757845414208</v>
      </c>
      <c r="P681" s="7">
        <v>9.278357629611502</v>
      </c>
      <c r="Q681" s="7">
        <v>0.0277304943148419</v>
      </c>
      <c r="R681" s="7">
        <v>0.1013669986024435</v>
      </c>
      <c r="S681" s="7">
        <v>0.1196805520013008</v>
      </c>
      <c r="T681" s="7">
        <v>0.1903811822009065</v>
      </c>
    </row>
    <row x14ac:dyDescent="0.25" r="682" customHeight="1" ht="19.5">
      <c r="A682" s="2" t="s">
        <v>2994</v>
      </c>
      <c r="B682" s="2" t="s">
        <v>2314</v>
      </c>
      <c r="C682" s="2" t="s">
        <v>31</v>
      </c>
      <c r="D682" s="2" t="s">
        <v>650</v>
      </c>
      <c r="E682" s="6">
        <v>1</v>
      </c>
      <c r="F682" s="6">
        <v>1</v>
      </c>
      <c r="G682" s="7">
        <v>0.5593704581260681</v>
      </c>
      <c r="H682" s="7">
        <v>5.7421203125</v>
      </c>
      <c r="I682" s="7">
        <v>13.59253666987972</v>
      </c>
      <c r="J682" s="7">
        <v>6.053809537860822</v>
      </c>
      <c r="K682" s="7">
        <v>1.050301263759879</v>
      </c>
      <c r="L682" s="7">
        <v>0.9857156363268836</v>
      </c>
      <c r="M682" s="7">
        <v>0.3905540315771201</v>
      </c>
      <c r="N682" s="7">
        <v>0.2558435747852831</v>
      </c>
      <c r="O682" s="7">
        <v>0.1045255091482241</v>
      </c>
      <c r="P682" s="7">
        <v>9.40764999082209</v>
      </c>
      <c r="Q682" s="7">
        <v>0.0292549299063675</v>
      </c>
      <c r="R682" s="7">
        <v>0.1027457250586071</v>
      </c>
      <c r="S682" s="7">
        <v>0.1201847699970373</v>
      </c>
      <c r="T682" s="7">
        <v>0.1949674582095346</v>
      </c>
    </row>
    <row x14ac:dyDescent="0.25" r="683" customHeight="1" ht="19.5">
      <c r="A683" s="2" t="s">
        <v>2995</v>
      </c>
      <c r="B683" s="2" t="s">
        <v>2314</v>
      </c>
      <c r="C683" s="2" t="s">
        <v>31</v>
      </c>
      <c r="D683" s="2" t="s">
        <v>650</v>
      </c>
      <c r="E683" s="6">
        <v>1</v>
      </c>
      <c r="F683" s="6">
        <v>1</v>
      </c>
      <c r="G683" s="7">
        <v>0.5652694702148438</v>
      </c>
      <c r="H683" s="7">
        <v>5.846018750000001</v>
      </c>
      <c r="I683" s="7">
        <v>13.64128931583356</v>
      </c>
      <c r="J683" s="7">
        <v>6.052650904237426</v>
      </c>
      <c r="K683" s="7">
        <v>1.101104269966819</v>
      </c>
      <c r="L683" s="7">
        <v>0.984834615714609</v>
      </c>
      <c r="M683" s="7">
        <v>0.394783713753588</v>
      </c>
      <c r="N683" s="7">
        <v>0.2747296271107232</v>
      </c>
      <c r="O683" s="7">
        <v>0.1252280897684932</v>
      </c>
      <c r="P683" s="7">
        <v>9.278373689891602</v>
      </c>
      <c r="Q683" s="7">
        <v>0.0275724469393911</v>
      </c>
      <c r="R683" s="7">
        <v>0.1009948526707514</v>
      </c>
      <c r="S683" s="7">
        <v>0.1194198283736143</v>
      </c>
      <c r="T683" s="7">
        <v>0.1870795401155442</v>
      </c>
    </row>
    <row x14ac:dyDescent="0.25" r="684" customHeight="1" ht="19.5">
      <c r="A684" s="2" t="s">
        <v>2996</v>
      </c>
      <c r="B684" s="2" t="s">
        <v>2314</v>
      </c>
      <c r="C684" s="2" t="s">
        <v>31</v>
      </c>
      <c r="D684" s="2" t="s">
        <v>650</v>
      </c>
      <c r="E684" s="6">
        <v>1</v>
      </c>
      <c r="F684" s="6">
        <v>1</v>
      </c>
      <c r="G684" s="7">
        <v>0.5485976934432983</v>
      </c>
      <c r="H684" s="7">
        <v>5.40618203125</v>
      </c>
      <c r="I684" s="7">
        <v>13.50931069737113</v>
      </c>
      <c r="J684" s="7">
        <v>6.092139395697818</v>
      </c>
      <c r="K684" s="7">
        <v>0.9346913433722336</v>
      </c>
      <c r="L684" s="7">
        <v>0.9881766101359082</v>
      </c>
      <c r="M684" s="7">
        <v>0.3722495219313262</v>
      </c>
      <c r="N684" s="7">
        <v>0.2444832416317748</v>
      </c>
      <c r="O684" s="7">
        <v>0.052305072135161</v>
      </c>
      <c r="P684" s="7">
        <v>9.446077131880791</v>
      </c>
      <c r="Q684" s="7">
        <v>0.0204512661860681</v>
      </c>
      <c r="R684" s="7">
        <v>0.0694682660908077</v>
      </c>
      <c r="S684" s="7">
        <v>0.083168738367364</v>
      </c>
      <c r="T684" s="7">
        <v>0.1283221555170162</v>
      </c>
    </row>
    <row x14ac:dyDescent="0.25" r="685" customHeight="1" ht="19.5">
      <c r="A685" s="2" t="s">
        <v>2997</v>
      </c>
      <c r="B685" s="2" t="s">
        <v>2314</v>
      </c>
      <c r="C685" s="2" t="s">
        <v>31</v>
      </c>
      <c r="D685" s="2" t="s">
        <v>650</v>
      </c>
      <c r="E685" s="6">
        <v>1</v>
      </c>
      <c r="F685" s="6">
        <v>1</v>
      </c>
      <c r="G685" s="7">
        <v>0.4011715054512024</v>
      </c>
      <c r="H685" s="7">
        <v>5.6174421875</v>
      </c>
      <c r="I685" s="7">
        <v>13.48911669021548</v>
      </c>
      <c r="J685" s="7">
        <v>6.092908757204679</v>
      </c>
      <c r="K685" s="7">
        <v>1.000542839492593</v>
      </c>
      <c r="L685" s="7">
        <v>0.9869376959991636</v>
      </c>
      <c r="M685" s="7">
        <v>0.387955088268777</v>
      </c>
      <c r="N685" s="7">
        <v>0.2993705336645005</v>
      </c>
      <c r="O685" s="7">
        <v>0.0614546109456895</v>
      </c>
      <c r="P685" s="7">
        <v>9.243918270884215</v>
      </c>
      <c r="Q685" s="7">
        <v>0.0028221169512943</v>
      </c>
      <c r="R685" s="7">
        <v>0.0224080817288676</v>
      </c>
      <c r="S685" s="7">
        <v>0.0387509888536808</v>
      </c>
      <c r="T685" s="7">
        <v>0.0183994312650239</v>
      </c>
    </row>
    <row x14ac:dyDescent="0.25" r="686" customHeight="1" ht="19.5">
      <c r="A686" s="2" t="s">
        <v>2998</v>
      </c>
      <c r="B686" s="2" t="s">
        <v>2314</v>
      </c>
      <c r="C686" s="2" t="s">
        <v>31</v>
      </c>
      <c r="D686" s="2" t="s">
        <v>650</v>
      </c>
      <c r="E686" s="6">
        <v>1</v>
      </c>
      <c r="F686" s="6">
        <v>1</v>
      </c>
      <c r="G686" s="7">
        <v>0.4582754373550415</v>
      </c>
      <c r="H686" s="7">
        <v>5.485837500000001</v>
      </c>
      <c r="I686" s="7">
        <v>13.52359001677022</v>
      </c>
      <c r="J686" s="7">
        <v>6.037044182632708</v>
      </c>
      <c r="K686" s="7">
        <v>0.966777672877732</v>
      </c>
      <c r="L686" s="7">
        <v>0.9874622407115746</v>
      </c>
      <c r="M686" s="7">
        <v>0.3769370354852644</v>
      </c>
      <c r="N686" s="7">
        <v>0.2530709137567898</v>
      </c>
      <c r="O686" s="7">
        <v>0.0599894621135356</v>
      </c>
      <c r="P686" s="7">
        <v>9.479882673196418</v>
      </c>
      <c r="Q686" s="7">
        <v>0.0106840339531807</v>
      </c>
      <c r="R686" s="7">
        <v>0.0436313098943208</v>
      </c>
      <c r="S686" s="7">
        <v>0.0587505789356543</v>
      </c>
      <c r="T686" s="7">
        <v>0.0680250670438709</v>
      </c>
    </row>
    <row x14ac:dyDescent="0.25" r="687" customHeight="1" ht="19.5">
      <c r="A687" s="2" t="s">
        <v>2999</v>
      </c>
      <c r="B687" s="2" t="s">
        <v>2314</v>
      </c>
      <c r="C687" s="2" t="s">
        <v>31</v>
      </c>
      <c r="D687" s="2" t="s">
        <v>650</v>
      </c>
      <c r="E687" s="6">
        <v>1</v>
      </c>
      <c r="F687" s="6">
        <v>1</v>
      </c>
      <c r="G687" s="7">
        <v>0.4804273843765259</v>
      </c>
      <c r="H687" s="7">
        <v>5.499690625</v>
      </c>
      <c r="I687" s="7">
        <v>13.53786933616931</v>
      </c>
      <c r="J687" s="7">
        <v>6.038948441386701</v>
      </c>
      <c r="K687" s="7">
        <v>1.009929345893799</v>
      </c>
      <c r="L687" s="7">
        <v>0.9869729091140884</v>
      </c>
      <c r="M687" s="7">
        <v>0.3770921464211478</v>
      </c>
      <c r="N687" s="7">
        <v>0.2490101177950463</v>
      </c>
      <c r="O687" s="7">
        <v>0.0846730580352242</v>
      </c>
      <c r="P687" s="7">
        <v>9.441141757627134</v>
      </c>
      <c r="Q687" s="7">
        <v>0.0209918967429419</v>
      </c>
      <c r="R687" s="7">
        <v>0.0760226923072355</v>
      </c>
      <c r="S687" s="7">
        <v>0.0902274702892702</v>
      </c>
      <c r="T687" s="7">
        <v>0.1339925713010406</v>
      </c>
    </row>
    <row x14ac:dyDescent="0.25" r="688" customHeight="1" ht="19.5">
      <c r="A688" s="2" t="s">
        <v>3000</v>
      </c>
      <c r="B688" s="2" t="s">
        <v>2314</v>
      </c>
      <c r="C688" s="2" t="s">
        <v>31</v>
      </c>
      <c r="D688" s="2" t="s">
        <v>650</v>
      </c>
      <c r="E688" s="6">
        <v>1</v>
      </c>
      <c r="F688" s="6">
        <v>1</v>
      </c>
      <c r="G688" s="7">
        <v>0.5124190449714661</v>
      </c>
      <c r="H688" s="7">
        <v>5.305746875000001</v>
      </c>
      <c r="I688" s="7">
        <v>13.37141739115214</v>
      </c>
      <c r="J688" s="7">
        <v>5.981318960915679</v>
      </c>
      <c r="K688" s="7">
        <v>0.969749732930136</v>
      </c>
      <c r="L688" s="7">
        <v>0.9872189568442236</v>
      </c>
      <c r="M688" s="7">
        <v>0.3729078277469678</v>
      </c>
      <c r="N688" s="7">
        <v>0.223847774984069</v>
      </c>
      <c r="O688" s="7">
        <v>0.0724834478213913</v>
      </c>
      <c r="P688" s="7">
        <v>9.643938279904752</v>
      </c>
      <c r="Q688" s="7">
        <v>0.0325502785845413</v>
      </c>
      <c r="R688" s="7">
        <v>0.1030147344872396</v>
      </c>
      <c r="S688" s="7">
        <v>0.1184505486904632</v>
      </c>
      <c r="T688" s="7">
        <v>0.2004435181886368</v>
      </c>
    </row>
    <row x14ac:dyDescent="0.25" r="689" customHeight="1" ht="19.5">
      <c r="A689" s="2" t="s">
        <v>3001</v>
      </c>
      <c r="B689" s="2" t="s">
        <v>2314</v>
      </c>
      <c r="C689" s="2" t="s">
        <v>31</v>
      </c>
      <c r="D689" s="2" t="s">
        <v>650</v>
      </c>
      <c r="E689" s="6">
        <v>1</v>
      </c>
      <c r="F689" s="6">
        <v>1</v>
      </c>
      <c r="G689" s="7">
        <v>0.4939624667167663</v>
      </c>
      <c r="H689" s="7">
        <v>5.01829453125</v>
      </c>
      <c r="I689" s="7">
        <v>13.28819141864356</v>
      </c>
      <c r="J689" s="7">
        <v>5.979234655646309</v>
      </c>
      <c r="K689" s="7">
        <v>0.9792549290386908</v>
      </c>
      <c r="L689" s="7">
        <v>0.9890485673191016</v>
      </c>
      <c r="M689" s="7">
        <v>0.356890046941087</v>
      </c>
      <c r="N689" s="7">
        <v>0.2227908722709591</v>
      </c>
      <c r="O689" s="7">
        <v>0.0721583165038523</v>
      </c>
      <c r="P689" s="7">
        <v>9.586725343725917</v>
      </c>
      <c r="Q689" s="7">
        <v>0.0411861026659848</v>
      </c>
      <c r="R689" s="7">
        <v>0.1209229640127356</v>
      </c>
      <c r="S689" s="7">
        <v>0.1367422467087733</v>
      </c>
      <c r="T689" s="7">
        <v>0.2398819800310641</v>
      </c>
    </row>
    <row x14ac:dyDescent="0.25" r="690" customHeight="1" ht="19.5">
      <c r="A690" s="2" t="s">
        <v>3002</v>
      </c>
      <c r="B690" s="2" t="s">
        <v>2314</v>
      </c>
      <c r="C690" s="2" t="s">
        <v>31</v>
      </c>
      <c r="D690" s="2" t="s">
        <v>650</v>
      </c>
      <c r="E690" s="6">
        <v>1</v>
      </c>
      <c r="F690" s="6">
        <v>1</v>
      </c>
      <c r="G690" s="7">
        <v>0.5105246305465698</v>
      </c>
      <c r="H690" s="7">
        <v>5.111803125000001</v>
      </c>
      <c r="I690" s="7">
        <v>13.28819141864356</v>
      </c>
      <c r="J690" s="7">
        <v>5.980236350450904</v>
      </c>
      <c r="K690" s="7">
        <v>0.9710588062611069</v>
      </c>
      <c r="L690" s="7">
        <v>0.9882752129784472</v>
      </c>
      <c r="M690" s="7">
        <v>0.3637912356940916</v>
      </c>
      <c r="N690" s="7">
        <v>0.2373108129096756</v>
      </c>
      <c r="O690" s="7">
        <v>0.0948031506734912</v>
      </c>
      <c r="P690" s="7">
        <v>9.47060655739417</v>
      </c>
      <c r="Q690" s="7">
        <v>0.0399668972353048</v>
      </c>
      <c r="R690" s="7">
        <v>0.1178399031334107</v>
      </c>
      <c r="S690" s="7">
        <v>0.1323299337940088</v>
      </c>
      <c r="T690" s="7">
        <v>0.237118442152108</v>
      </c>
    </row>
    <row x14ac:dyDescent="0.25" r="691" customHeight="1" ht="19.5">
      <c r="A691" s="2" t="s">
        <v>3003</v>
      </c>
      <c r="B691" s="2" t="s">
        <v>2314</v>
      </c>
      <c r="C691" s="2" t="s">
        <v>31</v>
      </c>
      <c r="D691" s="2" t="s">
        <v>650</v>
      </c>
      <c r="E691" s="6">
        <v>1</v>
      </c>
      <c r="F691" s="6">
        <v>1</v>
      </c>
      <c r="G691" s="7">
        <v>0.5056321620941162</v>
      </c>
      <c r="H691" s="7">
        <v>5.11526640625</v>
      </c>
      <c r="I691" s="7">
        <v>13.28819141864356</v>
      </c>
      <c r="J691" s="7">
        <v>5.981340635660011</v>
      </c>
      <c r="K691" s="7">
        <v>0.963875105642287</v>
      </c>
      <c r="L691" s="7">
        <v>0.98824387294256</v>
      </c>
      <c r="M691" s="7">
        <v>0.3640377067209845</v>
      </c>
      <c r="N691" s="7">
        <v>0.2414855236911667</v>
      </c>
      <c r="O691" s="7">
        <v>0.0965698658974404</v>
      </c>
      <c r="P691" s="7">
        <v>9.442521829857732</v>
      </c>
      <c r="Q691" s="7">
        <v>0.0400380069049108</v>
      </c>
      <c r="R691" s="7">
        <v>0.1182639329230508</v>
      </c>
      <c r="S691" s="7">
        <v>0.1342949762047271</v>
      </c>
      <c r="T691" s="7">
        <v>0.2377012618233088</v>
      </c>
    </row>
    <row x14ac:dyDescent="0.25" r="692" customHeight="1" ht="19.5">
      <c r="A692" s="2" t="s">
        <v>3004</v>
      </c>
      <c r="B692" s="2" t="s">
        <v>2314</v>
      </c>
      <c r="C692" s="2" t="s">
        <v>31</v>
      </c>
      <c r="D692" s="2" t="s">
        <v>650</v>
      </c>
      <c r="E692" s="6">
        <v>1</v>
      </c>
      <c r="F692" s="6">
        <v>1</v>
      </c>
      <c r="G692" s="7">
        <v>0.4986661672592163</v>
      </c>
      <c r="H692" s="7">
        <v>5.1187296875</v>
      </c>
      <c r="I692" s="7">
        <v>13.28819141864356</v>
      </c>
      <c r="J692" s="7">
        <v>5.980645449394906</v>
      </c>
      <c r="K692" s="7">
        <v>0.9664014228912718</v>
      </c>
      <c r="L692" s="7">
        <v>0.9881668705154298</v>
      </c>
      <c r="M692" s="7">
        <v>0.3642841777478775</v>
      </c>
      <c r="N692" s="7">
        <v>0.2431565531220396</v>
      </c>
      <c r="O692" s="7">
        <v>0.0950955012688275</v>
      </c>
      <c r="P692" s="7">
        <v>9.450073647931289</v>
      </c>
      <c r="Q692" s="7">
        <v>0.0396921231069976</v>
      </c>
      <c r="R692" s="7">
        <v>0.1181181718863984</v>
      </c>
      <c r="S692" s="7">
        <v>0.1310075182782872</v>
      </c>
      <c r="T692" s="7">
        <v>0.2358073324779842</v>
      </c>
    </row>
    <row x14ac:dyDescent="0.25" r="693" customHeight="1" ht="19.5">
      <c r="A693" s="2" t="s">
        <v>3005</v>
      </c>
      <c r="B693" s="2" t="s">
        <v>2314</v>
      </c>
      <c r="C693" s="2" t="s">
        <v>31</v>
      </c>
      <c r="D693" s="2" t="s">
        <v>650</v>
      </c>
      <c r="E693" s="6">
        <v>1</v>
      </c>
      <c r="F693" s="6">
        <v>1</v>
      </c>
      <c r="G693" s="7">
        <v>0.5031363368034363</v>
      </c>
      <c r="H693" s="7">
        <v>5.23301796875</v>
      </c>
      <c r="I693" s="7">
        <v>13.30247073804264</v>
      </c>
      <c r="J693" s="7">
        <v>5.978222719879354</v>
      </c>
      <c r="K693" s="7">
        <v>0.9636144892292892</v>
      </c>
      <c r="L693" s="7">
        <v>0.987432323128861</v>
      </c>
      <c r="M693" s="7">
        <v>0.3716186193466546</v>
      </c>
      <c r="N693" s="7">
        <v>0.2239999545296498</v>
      </c>
      <c r="O693" s="7">
        <v>0.0774034848720001</v>
      </c>
      <c r="P693" s="7">
        <v>9.580943383197216</v>
      </c>
      <c r="Q693" s="7">
        <v>0.0373616672141127</v>
      </c>
      <c r="R693" s="7">
        <v>0.1179528411307019</v>
      </c>
      <c r="S693" s="7">
        <v>0.1327700765254609</v>
      </c>
      <c r="T693" s="7">
        <v>0.2269181602551297</v>
      </c>
    </row>
    <row x14ac:dyDescent="0.25" r="694" customHeight="1" ht="19.5">
      <c r="A694" s="2" t="s">
        <v>3006</v>
      </c>
      <c r="B694" s="2" t="s">
        <v>2314</v>
      </c>
      <c r="C694" s="2" t="s">
        <v>31</v>
      </c>
      <c r="D694" s="2" t="s">
        <v>650</v>
      </c>
      <c r="E694" s="6">
        <v>1</v>
      </c>
      <c r="F694" s="6">
        <v>1</v>
      </c>
      <c r="G694" s="7">
        <v>0.5055885314941406</v>
      </c>
      <c r="H694" s="7">
        <v>5.201848437500001</v>
      </c>
      <c r="I694" s="7">
        <v>13.37141739115214</v>
      </c>
      <c r="J694" s="7">
        <v>6.041290422549663</v>
      </c>
      <c r="K694" s="7">
        <v>0.9587036998548012</v>
      </c>
      <c r="L694" s="7">
        <v>0.988216157055858</v>
      </c>
      <c r="M694" s="7">
        <v>0.3656054551409567</v>
      </c>
      <c r="N694" s="7">
        <v>0.2361681656105073</v>
      </c>
      <c r="O694" s="7">
        <v>0.0912952610444549</v>
      </c>
      <c r="P694" s="7">
        <v>9.490892738803389</v>
      </c>
      <c r="Q694" s="7">
        <v>0.0380276825702447</v>
      </c>
      <c r="R694" s="7">
        <v>0.1181217302684237</v>
      </c>
      <c r="S694" s="7">
        <v>0.1300964011000865</v>
      </c>
      <c r="T694" s="7">
        <v>0.2295875504517588</v>
      </c>
    </row>
    <row x14ac:dyDescent="0.25" r="695" customHeight="1" ht="19.5">
      <c r="A695" s="2" t="s">
        <v>3007</v>
      </c>
      <c r="B695" s="2" t="s">
        <v>2314</v>
      </c>
      <c r="C695" s="2" t="s">
        <v>31</v>
      </c>
      <c r="D695" s="2" t="s">
        <v>650</v>
      </c>
      <c r="E695" s="6">
        <v>1</v>
      </c>
      <c r="F695" s="6">
        <v>1</v>
      </c>
      <c r="G695" s="7">
        <v>0.5079389214515686</v>
      </c>
      <c r="H695" s="7">
        <v>5.305746875000001</v>
      </c>
      <c r="I695" s="7">
        <v>13.53996049407995</v>
      </c>
      <c r="J695" s="7">
        <v>6.039203421596476</v>
      </c>
      <c r="K695" s="7">
        <v>0.964566974319616</v>
      </c>
      <c r="L695" s="7">
        <v>0.987559579574152</v>
      </c>
      <c r="M695" s="7">
        <v>0.3636818240328671</v>
      </c>
      <c r="N695" s="7">
        <v>0.2240486381157968</v>
      </c>
      <c r="O695" s="7">
        <v>0.079183566196083</v>
      </c>
      <c r="P695" s="7">
        <v>9.604309490929095</v>
      </c>
      <c r="Q695" s="7">
        <v>0.0364743715634805</v>
      </c>
      <c r="R695" s="7">
        <v>0.1182665805183411</v>
      </c>
      <c r="S695" s="7">
        <v>0.1314466887931005</v>
      </c>
      <c r="T695" s="7">
        <v>0.2246079504639241</v>
      </c>
    </row>
    <row x14ac:dyDescent="0.25" r="696" customHeight="1" ht="19.5">
      <c r="A696" s="2" t="s">
        <v>3008</v>
      </c>
      <c r="B696" s="2" t="s">
        <v>2314</v>
      </c>
      <c r="C696" s="2" t="s">
        <v>31</v>
      </c>
      <c r="D696" s="2" t="s">
        <v>650</v>
      </c>
      <c r="E696" s="6">
        <v>1</v>
      </c>
      <c r="F696" s="6">
        <v>1</v>
      </c>
      <c r="G696" s="7">
        <v>0.4861634373664856</v>
      </c>
      <c r="H696" s="7">
        <v>5.3126734375</v>
      </c>
      <c r="I696" s="7">
        <v>13.3369440645974</v>
      </c>
      <c r="J696" s="7">
        <v>5.978517298649406</v>
      </c>
      <c r="K696" s="7">
        <v>1.031572551083692</v>
      </c>
      <c r="L696" s="7">
        <v>0.9871976754425584</v>
      </c>
      <c r="M696" s="7">
        <v>0.3750827755504466</v>
      </c>
      <c r="N696" s="7">
        <v>0.2153797335798718</v>
      </c>
      <c r="O696" s="7">
        <v>0.0701621136813839</v>
      </c>
      <c r="P696" s="7">
        <v>9.651490181449256</v>
      </c>
      <c r="Q696" s="7">
        <v>0.0357596523142072</v>
      </c>
      <c r="R696" s="7">
        <v>0.1162795468367737</v>
      </c>
      <c r="S696" s="7">
        <v>0.1315323315738953</v>
      </c>
      <c r="T696" s="7">
        <v>0.2204942095748058</v>
      </c>
    </row>
    <row x14ac:dyDescent="0.25" r="697" customHeight="1" ht="19.5">
      <c r="A697" s="2" t="s">
        <v>3009</v>
      </c>
      <c r="B697" s="2" t="s">
        <v>2314</v>
      </c>
      <c r="C697" s="2" t="s">
        <v>31</v>
      </c>
      <c r="D697" s="2" t="s">
        <v>650</v>
      </c>
      <c r="E697" s="6">
        <v>1</v>
      </c>
      <c r="F697" s="6">
        <v>1</v>
      </c>
      <c r="G697" s="7">
        <v>0.502907931804657</v>
      </c>
      <c r="H697" s="7">
        <v>5.22609140625</v>
      </c>
      <c r="I697" s="7">
        <v>13.37141739115214</v>
      </c>
      <c r="J697" s="7">
        <v>6.041662754213871</v>
      </c>
      <c r="K697" s="7">
        <v>0.9711224794417284</v>
      </c>
      <c r="L697" s="7">
        <v>0.987987251870048</v>
      </c>
      <c r="M697" s="7">
        <v>0.3673093420823594</v>
      </c>
      <c r="N697" s="7">
        <v>0.2362289489155826</v>
      </c>
      <c r="O697" s="7">
        <v>0.0904896031772645</v>
      </c>
      <c r="P697" s="7">
        <v>9.517154488872094</v>
      </c>
      <c r="Q697" s="7">
        <v>0.0381017256449056</v>
      </c>
      <c r="R697" s="7">
        <v>0.1182284408784812</v>
      </c>
      <c r="S697" s="7">
        <v>0.1322317831922239</v>
      </c>
      <c r="T697" s="7">
        <v>0.2311066418618109</v>
      </c>
    </row>
    <row x14ac:dyDescent="0.25" r="698" customHeight="1" ht="19.5">
      <c r="A698" s="2" t="s">
        <v>3010</v>
      </c>
      <c r="B698" s="2" t="s">
        <v>2314</v>
      </c>
      <c r="C698" s="2" t="s">
        <v>31</v>
      </c>
      <c r="D698" s="2" t="s">
        <v>650</v>
      </c>
      <c r="E698" s="6">
        <v>1</v>
      </c>
      <c r="F698" s="6">
        <v>1</v>
      </c>
      <c r="G698" s="7">
        <v>0.5001926422119141</v>
      </c>
      <c r="H698" s="7">
        <v>5.35769609375</v>
      </c>
      <c r="I698" s="7">
        <v>13.37141739115214</v>
      </c>
      <c r="J698" s="7">
        <v>6.03788815078441</v>
      </c>
      <c r="K698" s="7">
        <v>0.968690371978406</v>
      </c>
      <c r="L698" s="7">
        <v>0.9872485624016072</v>
      </c>
      <c r="M698" s="7">
        <v>0.3765590140499735</v>
      </c>
      <c r="N698" s="7">
        <v>0.2179325836602069</v>
      </c>
      <c r="O698" s="7">
        <v>0.0709769354153911</v>
      </c>
      <c r="P698" s="7">
        <v>9.667876798623034</v>
      </c>
      <c r="Q698" s="7">
        <v>0.0360694442212188</v>
      </c>
      <c r="R698" s="7">
        <v>0.1173606900998564</v>
      </c>
      <c r="S698" s="7">
        <v>0.1320830151095882</v>
      </c>
      <c r="T698" s="7">
        <v>0.2242891710993578</v>
      </c>
    </row>
    <row x14ac:dyDescent="0.25" r="699" customHeight="1" ht="19.5">
      <c r="A699" s="2" t="s">
        <v>3011</v>
      </c>
      <c r="B699" s="2" t="s">
        <v>2314</v>
      </c>
      <c r="C699" s="2" t="s">
        <v>31</v>
      </c>
      <c r="D699" s="2" t="s">
        <v>650</v>
      </c>
      <c r="E699" s="6">
        <v>1</v>
      </c>
      <c r="F699" s="6">
        <v>1</v>
      </c>
      <c r="G699" s="7">
        <v>0.5025053024291992</v>
      </c>
      <c r="H699" s="7">
        <v>5.274577343750001</v>
      </c>
      <c r="I699" s="7">
        <v>13.42017003710598</v>
      </c>
      <c r="J699" s="7">
        <v>6.040218445864058</v>
      </c>
      <c r="K699" s="7">
        <v>0.96827908954797</v>
      </c>
      <c r="L699" s="7">
        <v>0.9876185548019868</v>
      </c>
      <c r="M699" s="7">
        <v>0.3680285342622019</v>
      </c>
      <c r="N699" s="7">
        <v>0.2338507322244768</v>
      </c>
      <c r="O699" s="7">
        <v>0.0834040778768905</v>
      </c>
      <c r="P699" s="7">
        <v>9.550156554447216</v>
      </c>
      <c r="Q699" s="7">
        <v>0.0364915846369401</v>
      </c>
      <c r="R699" s="7">
        <v>0.1164654867191813</v>
      </c>
      <c r="S699" s="7">
        <v>0.1326281822748171</v>
      </c>
      <c r="T699" s="7">
        <v>0.2233938268856213</v>
      </c>
    </row>
    <row x14ac:dyDescent="0.25" r="700" customHeight="1" ht="19.5">
      <c r="A700" s="2" t="s">
        <v>3012</v>
      </c>
      <c r="B700" s="2" t="s">
        <v>2314</v>
      </c>
      <c r="C700" s="2" t="s">
        <v>31</v>
      </c>
      <c r="D700" s="2" t="s">
        <v>650</v>
      </c>
      <c r="E700" s="6">
        <v>1</v>
      </c>
      <c r="F700" s="6">
        <v>1</v>
      </c>
      <c r="G700" s="7">
        <v>0.5090827345848083</v>
      </c>
      <c r="H700" s="7">
        <v>5.2849671875</v>
      </c>
      <c r="I700" s="7">
        <v>13.42017003710598</v>
      </c>
      <c r="J700" s="7">
        <v>6.039307057310047</v>
      </c>
      <c r="K700" s="7">
        <v>0.9612403724675196</v>
      </c>
      <c r="L700" s="7">
        <v>0.9877941083916646</v>
      </c>
      <c r="M700" s="7">
        <v>0.3687534755640973</v>
      </c>
      <c r="N700" s="7">
        <v>0.227042091751929</v>
      </c>
      <c r="O700" s="7">
        <v>0.0806419222963399</v>
      </c>
      <c r="P700" s="7">
        <v>9.550782237281837</v>
      </c>
      <c r="Q700" s="7">
        <v>0.0368619645409746</v>
      </c>
      <c r="R700" s="7">
        <v>0.1180752806556283</v>
      </c>
      <c r="S700" s="7">
        <v>0.1328144965798431</v>
      </c>
      <c r="T700" s="7">
        <v>0.2261057216305293</v>
      </c>
    </row>
    <row x14ac:dyDescent="0.25" r="701" customHeight="1" ht="19.5">
      <c r="A701" s="2" t="s">
        <v>3013</v>
      </c>
      <c r="B701" s="2" t="s">
        <v>2314</v>
      </c>
      <c r="C701" s="2" t="s">
        <v>31</v>
      </c>
      <c r="D701" s="2" t="s">
        <v>650</v>
      </c>
      <c r="E701" s="6">
        <v>1</v>
      </c>
      <c r="F701" s="6">
        <v>1</v>
      </c>
      <c r="G701" s="7">
        <v>0.500701904296875</v>
      </c>
      <c r="H701" s="7">
        <v>5.236481250000001</v>
      </c>
      <c r="I701" s="7">
        <v>13.40589071770689</v>
      </c>
      <c r="J701" s="7">
        <v>6.043793378245982</v>
      </c>
      <c r="K701" s="7">
        <v>0.9694796466047853</v>
      </c>
      <c r="L701" s="7">
        <v>0.9879058658498416</v>
      </c>
      <c r="M701" s="7">
        <v>0.3661491811862418</v>
      </c>
      <c r="N701" s="7">
        <v>0.2348118934850897</v>
      </c>
      <c r="O701" s="7">
        <v>0.0897070027706254</v>
      </c>
      <c r="P701" s="7">
        <v>9.509553032722406</v>
      </c>
      <c r="Q701" s="7">
        <v>0.0378154745162916</v>
      </c>
      <c r="R701" s="7">
        <v>0.1174727291804209</v>
      </c>
      <c r="S701" s="7">
        <v>0.132267714987931</v>
      </c>
      <c r="T701" s="7">
        <v>0.2298263856794667</v>
      </c>
    </row>
    <row x14ac:dyDescent="0.25" r="702" customHeight="1" ht="19.5">
      <c r="A702" s="2" t="s">
        <v>3014</v>
      </c>
      <c r="B702" s="2" t="s">
        <v>2314</v>
      </c>
      <c r="C702" s="2" t="s">
        <v>31</v>
      </c>
      <c r="D702" s="2" t="s">
        <v>650</v>
      </c>
      <c r="E702" s="6">
        <v>1</v>
      </c>
      <c r="F702" s="6">
        <v>1</v>
      </c>
      <c r="G702" s="7">
        <v>0.5090198516845703</v>
      </c>
      <c r="H702" s="7">
        <v>5.208775</v>
      </c>
      <c r="I702" s="7">
        <v>13.37141739115214</v>
      </c>
      <c r="J702" s="7">
        <v>6.04127278276823</v>
      </c>
      <c r="K702" s="7">
        <v>0.9664589253073862</v>
      </c>
      <c r="L702" s="7">
        <v>0.9881336919770264</v>
      </c>
      <c r="M702" s="7">
        <v>0.3660922799813575</v>
      </c>
      <c r="N702" s="7">
        <v>0.2382015511205111</v>
      </c>
      <c r="O702" s="7">
        <v>0.0910324490822706</v>
      </c>
      <c r="P702" s="7">
        <v>9.48987180128201</v>
      </c>
      <c r="Q702" s="7">
        <v>0.0384378764216287</v>
      </c>
      <c r="R702" s="7">
        <v>0.1189324161030036</v>
      </c>
      <c r="S702" s="7">
        <v>0.133900338392788</v>
      </c>
      <c r="T702" s="7">
        <v>0.2323730531128177</v>
      </c>
    </row>
    <row x14ac:dyDescent="0.25" r="703" customHeight="1" ht="19.5">
      <c r="A703" s="2" t="s">
        <v>3015</v>
      </c>
      <c r="B703" s="2" t="s">
        <v>2314</v>
      </c>
      <c r="C703" s="2" t="s">
        <v>31</v>
      </c>
      <c r="D703" s="2" t="s">
        <v>650</v>
      </c>
      <c r="E703" s="6">
        <v>1</v>
      </c>
      <c r="F703" s="6">
        <v>1</v>
      </c>
      <c r="G703" s="7">
        <v>0.5131965279579163</v>
      </c>
      <c r="H703" s="7">
        <v>5.22609140625</v>
      </c>
      <c r="I703" s="7">
        <v>13.42017003710598</v>
      </c>
      <c r="J703" s="7">
        <v>6.040961222260528</v>
      </c>
      <c r="K703" s="7">
        <v>0.963989062132662</v>
      </c>
      <c r="L703" s="7">
        <v>0.9879908390309876</v>
      </c>
      <c r="M703" s="7">
        <v>0.3646454748533569</v>
      </c>
      <c r="N703" s="7">
        <v>0.2344568969373933</v>
      </c>
      <c r="O703" s="7">
        <v>0.0884348763133988</v>
      </c>
      <c r="P703" s="7">
        <v>9.518910547677477</v>
      </c>
      <c r="Q703" s="7">
        <v>0.0377838853469058</v>
      </c>
      <c r="R703" s="7">
        <v>0.1172393641380359</v>
      </c>
      <c r="S703" s="7">
        <v>0.1300384343079516</v>
      </c>
      <c r="T703" s="7">
        <v>0.2291787763209252</v>
      </c>
    </row>
    <row x14ac:dyDescent="0.25" r="704" customHeight="1" ht="19.5">
      <c r="A704" s="2" t="s">
        <v>3016</v>
      </c>
      <c r="B704" s="2" t="s">
        <v>2314</v>
      </c>
      <c r="C704" s="2" t="s">
        <v>31</v>
      </c>
      <c r="D704" s="2" t="s">
        <v>650</v>
      </c>
      <c r="E704" s="6">
        <v>1</v>
      </c>
      <c r="F704" s="6">
        <v>1</v>
      </c>
      <c r="G704" s="7">
        <v>0.5023148059844971</v>
      </c>
      <c r="H704" s="7">
        <v>5.28150390625</v>
      </c>
      <c r="I704" s="7">
        <v>13.42017003710598</v>
      </c>
      <c r="J704" s="7">
        <v>6.039974573192563</v>
      </c>
      <c r="K704" s="7">
        <v>0.986013852820538</v>
      </c>
      <c r="L704" s="7">
        <v>0.9875620829968852</v>
      </c>
      <c r="M704" s="7">
        <v>0.3685118284634656</v>
      </c>
      <c r="N704" s="7">
        <v>0.2263493812307892</v>
      </c>
      <c r="O704" s="7">
        <v>0.0814353109126667</v>
      </c>
      <c r="P704" s="7">
        <v>9.554112460228591</v>
      </c>
      <c r="Q704" s="7">
        <v>0.0365088946619564</v>
      </c>
      <c r="R704" s="7">
        <v>0.1162353021003827</v>
      </c>
      <c r="S704" s="7">
        <v>0.1326892595739461</v>
      </c>
      <c r="T704" s="7">
        <v>0.2237932946307158</v>
      </c>
    </row>
    <row x14ac:dyDescent="0.25" r="705" customHeight="1" ht="19.5">
      <c r="A705" s="2" t="s">
        <v>3017</v>
      </c>
      <c r="B705" s="2" t="s">
        <v>2314</v>
      </c>
      <c r="C705" s="2" t="s">
        <v>31</v>
      </c>
      <c r="D705" s="2" t="s">
        <v>650</v>
      </c>
      <c r="E705" s="6">
        <v>1</v>
      </c>
      <c r="F705" s="6">
        <v>1</v>
      </c>
      <c r="G705" s="7">
        <v>0.5076526403427124</v>
      </c>
      <c r="H705" s="7">
        <v>5.3403796875</v>
      </c>
      <c r="I705" s="7">
        <v>13.43444935650507</v>
      </c>
      <c r="J705" s="7">
        <v>6.04097890883306</v>
      </c>
      <c r="K705" s="7">
        <v>1.024030387095848</v>
      </c>
      <c r="L705" s="7">
        <v>0.9870094598850476</v>
      </c>
      <c r="M705" s="7">
        <v>0.3718281436010131</v>
      </c>
      <c r="N705" s="7">
        <v>0.2558600800681213</v>
      </c>
      <c r="O705" s="7">
        <v>0.1117677574683</v>
      </c>
      <c r="P705" s="7">
        <v>9.386787090877236</v>
      </c>
      <c r="Q705" s="7">
        <v>0.0353927915240447</v>
      </c>
      <c r="R705" s="7">
        <v>0.1138877144335282</v>
      </c>
      <c r="S705" s="7">
        <v>0.1289422323005827</v>
      </c>
      <c r="T705" s="7">
        <v>0.2193702516193052</v>
      </c>
    </row>
    <row x14ac:dyDescent="0.25" r="706" customHeight="1" ht="19.5">
      <c r="A706" s="2" t="s">
        <v>3018</v>
      </c>
      <c r="B706" s="2" t="s">
        <v>2314</v>
      </c>
      <c r="C706" s="2" t="s">
        <v>31</v>
      </c>
      <c r="D706" s="2" t="s">
        <v>650</v>
      </c>
      <c r="E706" s="6">
        <v>1</v>
      </c>
      <c r="F706" s="6">
        <v>1</v>
      </c>
      <c r="G706" s="7">
        <v>0.5036725401878357</v>
      </c>
      <c r="H706" s="7">
        <v>5.250334375</v>
      </c>
      <c r="I706" s="7">
        <v>13.42017003710598</v>
      </c>
      <c r="J706" s="7">
        <v>6.040929027779255</v>
      </c>
      <c r="K706" s="7">
        <v>0.9620230764508156</v>
      </c>
      <c r="L706" s="7">
        <v>0.9878261071004508</v>
      </c>
      <c r="M706" s="7">
        <v>0.3663370045577794</v>
      </c>
      <c r="N706" s="7">
        <v>0.233344441184543</v>
      </c>
      <c r="O706" s="7">
        <v>0.085565312168116</v>
      </c>
      <c r="P706" s="7">
        <v>9.5302995523446</v>
      </c>
      <c r="Q706" s="7">
        <v>0.0374964717119984</v>
      </c>
      <c r="R706" s="7">
        <v>0.1170777831077211</v>
      </c>
      <c r="S706" s="7">
        <v>0.1338634586492247</v>
      </c>
      <c r="T706" s="7">
        <v>0.228490499491991</v>
      </c>
    </row>
    <row x14ac:dyDescent="0.25" r="707" customHeight="1" ht="19.5">
      <c r="A707" s="2" t="s">
        <v>3019</v>
      </c>
      <c r="B707" s="2" t="s">
        <v>2314</v>
      </c>
      <c r="C707" s="2" t="s">
        <v>31</v>
      </c>
      <c r="D707" s="2" t="s">
        <v>650</v>
      </c>
      <c r="E707" s="6">
        <v>1</v>
      </c>
      <c r="F707" s="6">
        <v>1</v>
      </c>
      <c r="G707" s="7">
        <v>0.5010631084442139</v>
      </c>
      <c r="H707" s="7">
        <v>5.44081484375</v>
      </c>
      <c r="I707" s="7">
        <v>13.45464336366073</v>
      </c>
      <c r="J707" s="7">
        <v>6.041087216130098</v>
      </c>
      <c r="K707" s="7">
        <v>0.9929830178826634</v>
      </c>
      <c r="L707" s="7">
        <v>0.9871543789542178</v>
      </c>
      <c r="M707" s="7">
        <v>0.3776847326931893</v>
      </c>
      <c r="N707" s="7">
        <v>0.2404691182623349</v>
      </c>
      <c r="O707" s="7">
        <v>0.0916711359712332</v>
      </c>
      <c r="P707" s="7">
        <v>9.476597045451143</v>
      </c>
      <c r="Q707" s="7">
        <v>0.0319712417591965</v>
      </c>
      <c r="R707" s="7">
        <v>0.1081660493141591</v>
      </c>
      <c r="S707" s="7">
        <v>0.1248991019743508</v>
      </c>
      <c r="T707" s="7">
        <v>0.2018897318946623</v>
      </c>
    </row>
    <row x14ac:dyDescent="0.25" r="708" customHeight="1" ht="19.5">
      <c r="A708" s="2" t="s">
        <v>3020</v>
      </c>
      <c r="B708" s="2" t="s">
        <v>2314</v>
      </c>
      <c r="C708" s="2" t="s">
        <v>31</v>
      </c>
      <c r="D708" s="2" t="s">
        <v>650</v>
      </c>
      <c r="E708" s="6">
        <v>1</v>
      </c>
      <c r="F708" s="6">
        <v>1</v>
      </c>
      <c r="G708" s="7">
        <v>0.4833812117576599</v>
      </c>
      <c r="H708" s="7">
        <v>5.47544765625</v>
      </c>
      <c r="I708" s="7">
        <v>13.47483737081638</v>
      </c>
      <c r="J708" s="7">
        <v>6.095077063720701</v>
      </c>
      <c r="K708" s="7">
        <v>0.9464645960270616</v>
      </c>
      <c r="L708" s="7">
        <v>0.9878557523114254</v>
      </c>
      <c r="M708" s="7">
        <v>0.3789504533077946</v>
      </c>
      <c r="N708" s="7">
        <v>0.2850391735463165</v>
      </c>
      <c r="O708" s="7">
        <v>0.0642530080470992</v>
      </c>
      <c r="P708" s="7">
        <v>9.269124352713416</v>
      </c>
      <c r="Q708" s="7">
        <v>0.0096448796617867</v>
      </c>
      <c r="R708" s="7">
        <v>0.0433240884815799</v>
      </c>
      <c r="S708" s="7">
        <v>0.0608380262144366</v>
      </c>
      <c r="T708" s="7">
        <v>0.061292484374802</v>
      </c>
    </row>
    <row x14ac:dyDescent="0.25" r="709" customHeight="1" ht="19.5">
      <c r="A709" s="2" t="s">
        <v>3021</v>
      </c>
      <c r="B709" s="2" t="s">
        <v>2314</v>
      </c>
      <c r="C709" s="2" t="s">
        <v>31</v>
      </c>
      <c r="D709" s="2" t="s">
        <v>650</v>
      </c>
      <c r="E709" s="6">
        <v>1</v>
      </c>
      <c r="F709" s="6">
        <v>1</v>
      </c>
      <c r="G709" s="7">
        <v>0.4639725089073181</v>
      </c>
      <c r="H709" s="7">
        <v>7.581122656250001</v>
      </c>
      <c r="I709" s="7">
        <v>17.53964550432265</v>
      </c>
      <c r="J709" s="7">
        <v>8.166655815422038</v>
      </c>
      <c r="K709" s="7">
        <v>0.9634746660405896</v>
      </c>
      <c r="L709" s="7">
        <v>0.9925692385380372</v>
      </c>
      <c r="M709" s="7">
        <v>0.3096718753341973</v>
      </c>
      <c r="N709" s="7">
        <v>0.2996233550459514</v>
      </c>
      <c r="O709" s="7">
        <v>0.0533245627171665</v>
      </c>
      <c r="P709" s="7">
        <v>9.218268209124169</v>
      </c>
      <c r="Q709" s="7">
        <v>0.0024653857458352</v>
      </c>
      <c r="R709" s="7">
        <v>0.0194713475724913</v>
      </c>
      <c r="S709" s="7">
        <v>0.0307422060461748</v>
      </c>
      <c r="T709" s="7">
        <v>0.0216924789138961</v>
      </c>
    </row>
    <row x14ac:dyDescent="0.25" r="710" customHeight="1" ht="19.5">
      <c r="A710" s="2" t="s">
        <v>3022</v>
      </c>
      <c r="B710" s="2" t="s">
        <v>2314</v>
      </c>
      <c r="C710" s="2" t="s">
        <v>31</v>
      </c>
      <c r="D710" s="2" t="s">
        <v>650</v>
      </c>
      <c r="E710" s="6">
        <v>1</v>
      </c>
      <c r="F710" s="6">
        <v>1</v>
      </c>
      <c r="G710" s="7">
        <v>0.5415253639221191</v>
      </c>
      <c r="H710" s="7">
        <v>8.266852343750001</v>
      </c>
      <c r="I710" s="7">
        <v>19.48795741259955</v>
      </c>
      <c r="J710" s="7">
        <v>8.885356687340446</v>
      </c>
      <c r="K710" s="7">
        <v>1.077816231867725</v>
      </c>
      <c r="L710" s="7">
        <v>0.9939669759886522</v>
      </c>
      <c r="M710" s="7">
        <v>0.2735378322763132</v>
      </c>
      <c r="N710" s="7">
        <v>0.2347600521688603</v>
      </c>
      <c r="O710" s="7">
        <v>0.0454233950878022</v>
      </c>
      <c r="P710" s="7">
        <v>9.756216206598255</v>
      </c>
      <c r="Q710" s="7">
        <v>0.0056755670035241</v>
      </c>
      <c r="R710" s="7">
        <v>0.0409711391879301</v>
      </c>
      <c r="S710" s="7">
        <v>0.0613409299980603</v>
      </c>
      <c r="T710" s="7">
        <v>0.0544553076381391</v>
      </c>
    </row>
    <row x14ac:dyDescent="0.25" r="711" customHeight="1" ht="19.5">
      <c r="A711" s="2" t="s">
        <v>3023</v>
      </c>
      <c r="B711" s="2" t="s">
        <v>2314</v>
      </c>
      <c r="C711" s="2" t="s">
        <v>31</v>
      </c>
      <c r="D711" s="2" t="s">
        <v>650</v>
      </c>
      <c r="E711" s="6">
        <v>1</v>
      </c>
      <c r="F711" s="6">
        <v>1</v>
      </c>
      <c r="G711" s="7">
        <v>0.5776165723800659</v>
      </c>
      <c r="H711" s="7">
        <v>8.15602734375</v>
      </c>
      <c r="I711" s="7">
        <v>19.11848903809982</v>
      </c>
      <c r="J711" s="7">
        <v>8.944590476367953</v>
      </c>
      <c r="K711" s="7">
        <v>1.035545707787972</v>
      </c>
      <c r="L711" s="7">
        <v>0.9939582065796608</v>
      </c>
      <c r="M711" s="7">
        <v>0.2804021920348766</v>
      </c>
      <c r="N711" s="7">
        <v>0.2208073247159781</v>
      </c>
      <c r="O711" s="7">
        <v>0.0661634754202575</v>
      </c>
      <c r="P711" s="7">
        <v>9.807186520422558</v>
      </c>
      <c r="Q711" s="7">
        <v>0.011007819123955</v>
      </c>
      <c r="R711" s="7">
        <v>0.070262483459078</v>
      </c>
      <c r="S711" s="7">
        <v>0.0972608640868491</v>
      </c>
      <c r="T711" s="7">
        <v>0.1042007243532647</v>
      </c>
    </row>
    <row x14ac:dyDescent="0.25" r="712" customHeight="1" ht="19.5">
      <c r="A712" s="2" t="s">
        <v>3024</v>
      </c>
      <c r="B712" s="2" t="s">
        <v>2314</v>
      </c>
      <c r="C712" s="2" t="s">
        <v>31</v>
      </c>
      <c r="D712" s="2" t="s">
        <v>650</v>
      </c>
      <c r="E712" s="6">
        <v>1</v>
      </c>
      <c r="F712" s="6">
        <v>1</v>
      </c>
      <c r="G712" s="7">
        <v>0.5861939191818237</v>
      </c>
      <c r="H712" s="7">
        <v>7.9447671875</v>
      </c>
      <c r="I712" s="7">
        <v>19.31941430967174</v>
      </c>
      <c r="J712" s="7">
        <v>8.89248950000065</v>
      </c>
      <c r="K712" s="7">
        <v>1.047338215424634</v>
      </c>
      <c r="L712" s="7">
        <v>0.9943653485111068</v>
      </c>
      <c r="M712" s="7">
        <v>0.2674872753204333</v>
      </c>
      <c r="N712" s="7">
        <v>0.2078550026507981</v>
      </c>
      <c r="O712" s="7">
        <v>0.0634960934017112</v>
      </c>
      <c r="P712" s="7">
        <v>9.897443316773078</v>
      </c>
      <c r="Q712" s="7">
        <v>0.0211608069994264</v>
      </c>
      <c r="R712" s="7">
        <v>0.0976083923800758</v>
      </c>
      <c r="S712" s="7">
        <v>0.125645828379182</v>
      </c>
      <c r="T712" s="7">
        <v>0.1951210756401729</v>
      </c>
    </row>
    <row x14ac:dyDescent="0.25" r="713" customHeight="1" ht="19.5">
      <c r="A713" s="2" t="s">
        <v>3025</v>
      </c>
      <c r="B713" s="2" t="s">
        <v>2314</v>
      </c>
      <c r="C713" s="2" t="s">
        <v>31</v>
      </c>
      <c r="D713" s="2" t="s">
        <v>650</v>
      </c>
      <c r="E713" s="6">
        <v>1</v>
      </c>
      <c r="F713" s="6">
        <v>1</v>
      </c>
      <c r="G713" s="7">
        <v>0.5868762135505676</v>
      </c>
      <c r="H713" s="7">
        <v>7.560342968750001</v>
      </c>
      <c r="I713" s="7">
        <v>19.15887705241113</v>
      </c>
      <c r="J713" s="7">
        <v>8.949317614543498</v>
      </c>
      <c r="K713" s="7">
        <v>0.9454588460484036</v>
      </c>
      <c r="L713" s="7">
        <v>0.995005324531596</v>
      </c>
      <c r="M713" s="7">
        <v>0.2588280023768843</v>
      </c>
      <c r="N713" s="7">
        <v>0.2136670959664988</v>
      </c>
      <c r="O713" s="7">
        <v>0.0656565377128473</v>
      </c>
      <c r="P713" s="7">
        <v>9.850445056222918</v>
      </c>
      <c r="Q713" s="7">
        <v>0.0347888089820708</v>
      </c>
      <c r="R713" s="7">
        <v>0.1361569863465933</v>
      </c>
      <c r="S713" s="7">
        <v>0.1642186670781488</v>
      </c>
      <c r="T713" s="7">
        <v>0.3052613623272461</v>
      </c>
    </row>
    <row x14ac:dyDescent="0.25" r="714" customHeight="1" ht="19.5">
      <c r="A714" s="2" t="s">
        <v>3026</v>
      </c>
      <c r="B714" s="2" t="s">
        <v>2314</v>
      </c>
      <c r="C714" s="2" t="s">
        <v>31</v>
      </c>
      <c r="D714" s="2" t="s">
        <v>650</v>
      </c>
      <c r="E714" s="6">
        <v>1</v>
      </c>
      <c r="F714" s="6">
        <v>1</v>
      </c>
      <c r="G714" s="7">
        <v>0.5786118507385254</v>
      </c>
      <c r="H714" s="7">
        <v>7.6815578125</v>
      </c>
      <c r="I714" s="7">
        <v>19.25638234431881</v>
      </c>
      <c r="J714" s="7">
        <v>9.006894614523695</v>
      </c>
      <c r="K714" s="7">
        <v>0.9405602548118028</v>
      </c>
      <c r="L714" s="7">
        <v>0.994977419937882</v>
      </c>
      <c r="M714" s="7">
        <v>0.2603213372583139</v>
      </c>
      <c r="N714" s="7">
        <v>0.205398211458585</v>
      </c>
      <c r="O714" s="7">
        <v>0.0569738772184627</v>
      </c>
      <c r="P714" s="7">
        <v>9.904134851122532</v>
      </c>
      <c r="Q714" s="7">
        <v>0.0365626317236939</v>
      </c>
      <c r="R714" s="7">
        <v>0.1418308458212327</v>
      </c>
      <c r="S714" s="7">
        <v>0.1741912075661405</v>
      </c>
      <c r="T714" s="7">
        <v>0.3259699242723203</v>
      </c>
    </row>
    <row x14ac:dyDescent="0.25" r="715" customHeight="1" ht="19.5">
      <c r="A715" s="2" t="s">
        <v>3027</v>
      </c>
      <c r="B715" s="2" t="s">
        <v>2314</v>
      </c>
      <c r="C715" s="2" t="s">
        <v>31</v>
      </c>
      <c r="D715" s="2" t="s">
        <v>650</v>
      </c>
      <c r="E715" s="6">
        <v>1</v>
      </c>
      <c r="F715" s="6">
        <v>1</v>
      </c>
      <c r="G715" s="7">
        <v>0.5871776342391968</v>
      </c>
      <c r="H715" s="7">
        <v>7.62960859375</v>
      </c>
      <c r="I715" s="7">
        <v>19.20762969836497</v>
      </c>
      <c r="J715" s="7">
        <v>8.947174642215963</v>
      </c>
      <c r="K715" s="7">
        <v>0.9373316409263904</v>
      </c>
      <c r="L715" s="7">
        <v>0.9949346758141052</v>
      </c>
      <c r="M715" s="7">
        <v>0.259875042874224</v>
      </c>
      <c r="N715" s="7">
        <v>0.204104789216647</v>
      </c>
      <c r="O715" s="7">
        <v>0.0563603354277133</v>
      </c>
      <c r="P715" s="7">
        <v>9.894603248113985</v>
      </c>
      <c r="Q715" s="7">
        <v>0.0373284965681414</v>
      </c>
      <c r="R715" s="7">
        <v>0.142863976991288</v>
      </c>
      <c r="S715" s="7">
        <v>0.1716470789766394</v>
      </c>
      <c r="T715" s="7">
        <v>0.3305472418124981</v>
      </c>
    </row>
    <row x14ac:dyDescent="0.25" r="716" customHeight="1" ht="19.5">
      <c r="A716" s="2" t="s">
        <v>3028</v>
      </c>
      <c r="B716" s="2" t="s">
        <v>2314</v>
      </c>
      <c r="C716" s="2" t="s">
        <v>31</v>
      </c>
      <c r="D716" s="2" t="s">
        <v>650</v>
      </c>
      <c r="E716" s="6">
        <v>1</v>
      </c>
      <c r="F716" s="6">
        <v>1</v>
      </c>
      <c r="G716" s="7">
        <v>0.5850381851196289</v>
      </c>
      <c r="H716" s="7">
        <v>7.58804921875</v>
      </c>
      <c r="I716" s="7">
        <v>19.20762969836497</v>
      </c>
      <c r="J716" s="7">
        <v>8.948765797397755</v>
      </c>
      <c r="K716" s="7">
        <v>0.9425904585803244</v>
      </c>
      <c r="L716" s="7">
        <v>0.9949521979993108</v>
      </c>
      <c r="M716" s="7">
        <v>0.2584594729629709</v>
      </c>
      <c r="N716" s="7">
        <v>0.2074440692296352</v>
      </c>
      <c r="O716" s="7">
        <v>0.0615520800066552</v>
      </c>
      <c r="P716" s="7">
        <v>9.877644672621129</v>
      </c>
      <c r="Q716" s="7">
        <v>0.0377537540652167</v>
      </c>
      <c r="R716" s="7">
        <v>0.1428692290107698</v>
      </c>
      <c r="S716" s="7">
        <v>0.173336799960809</v>
      </c>
      <c r="T716" s="7">
        <v>0.3324918938713776</v>
      </c>
    </row>
    <row x14ac:dyDescent="0.25" r="717" customHeight="1" ht="19.5">
      <c r="A717" s="2" t="s">
        <v>3029</v>
      </c>
      <c r="B717" s="2" t="s">
        <v>2314</v>
      </c>
      <c r="C717" s="2" t="s">
        <v>31</v>
      </c>
      <c r="D717" s="2" t="s">
        <v>650</v>
      </c>
      <c r="E717" s="6">
        <v>1</v>
      </c>
      <c r="F717" s="6">
        <v>1</v>
      </c>
      <c r="G717" s="7">
        <v>0.579505443572998</v>
      </c>
      <c r="H717" s="7">
        <v>7.740433593750001</v>
      </c>
      <c r="I717" s="7">
        <v>19.20762969836497</v>
      </c>
      <c r="J717" s="7">
        <v>8.951533558473079</v>
      </c>
      <c r="K717" s="7">
        <v>0.9606955769906284</v>
      </c>
      <c r="L717" s="7">
        <v>0.9948229077061028</v>
      </c>
      <c r="M717" s="7">
        <v>0.263649895970899</v>
      </c>
      <c r="N717" s="7">
        <v>0.2111179696678372</v>
      </c>
      <c r="O717" s="7">
        <v>0.0715377366960941</v>
      </c>
      <c r="P717" s="7">
        <v>9.834184052015493</v>
      </c>
      <c r="Q717" s="7">
        <v>0.0360558067154525</v>
      </c>
      <c r="R717" s="7">
        <v>0.1374911700829473</v>
      </c>
      <c r="S717" s="7">
        <v>0.1700325178689851</v>
      </c>
      <c r="T717" s="7">
        <v>0.3239151686732058</v>
      </c>
    </row>
    <row x14ac:dyDescent="0.25" r="718" customHeight="1" ht="19.5">
      <c r="A718" s="2" t="s">
        <v>3030</v>
      </c>
      <c r="B718" s="2" t="s">
        <v>2314</v>
      </c>
      <c r="C718" s="2" t="s">
        <v>31</v>
      </c>
      <c r="D718" s="2" t="s">
        <v>650</v>
      </c>
      <c r="E718" s="6">
        <v>1</v>
      </c>
      <c r="F718" s="6">
        <v>1</v>
      </c>
      <c r="G718" s="7">
        <v>0.5870925784111023</v>
      </c>
      <c r="H718" s="7">
        <v>7.830478906250001</v>
      </c>
      <c r="I718" s="7">
        <v>19.3396083168274</v>
      </c>
      <c r="J718" s="7">
        <v>9.069366745016175</v>
      </c>
      <c r="K718" s="7">
        <v>0.9613936813048158</v>
      </c>
      <c r="L718" s="7">
        <v>0.9949221251397128</v>
      </c>
      <c r="M718" s="7">
        <v>0.263089090619965</v>
      </c>
      <c r="N718" s="7">
        <v>0.2098707911601543</v>
      </c>
      <c r="O718" s="7">
        <v>0.0719719988637426</v>
      </c>
      <c r="P718" s="7">
        <v>9.8511586068395</v>
      </c>
      <c r="Q718" s="7">
        <v>0.0355698753498112</v>
      </c>
      <c r="R718" s="7">
        <v>0.1375677140147931</v>
      </c>
      <c r="S718" s="7">
        <v>0.1666738391433754</v>
      </c>
      <c r="T718" s="7">
        <v>0.3232670554106904</v>
      </c>
    </row>
    <row x14ac:dyDescent="0.25" r="719" customHeight="1" ht="19.5">
      <c r="A719" s="2" t="s">
        <v>3031</v>
      </c>
      <c r="B719" s="2" t="s">
        <v>2314</v>
      </c>
      <c r="C719" s="2" t="s">
        <v>31</v>
      </c>
      <c r="D719" s="2" t="s">
        <v>650</v>
      </c>
      <c r="E719" s="6">
        <v>1</v>
      </c>
      <c r="F719" s="6">
        <v>1</v>
      </c>
      <c r="G719" s="7">
        <v>0.5861497521400452</v>
      </c>
      <c r="H719" s="7">
        <v>7.813162500000001</v>
      </c>
      <c r="I719" s="7">
        <v>19.30513499027265</v>
      </c>
      <c r="J719" s="7">
        <v>9.067829004558844</v>
      </c>
      <c r="K719" s="7">
        <v>0.9598887042738944</v>
      </c>
      <c r="L719" s="7">
        <v>0.9949255628137104</v>
      </c>
      <c r="M719" s="7">
        <v>0.2634456521555026</v>
      </c>
      <c r="N719" s="7">
        <v>0.212429441986493</v>
      </c>
      <c r="O719" s="7">
        <v>0.0737484596625581</v>
      </c>
      <c r="P719" s="7">
        <v>9.842273034928184</v>
      </c>
      <c r="Q719" s="7">
        <v>0.0361994380563892</v>
      </c>
      <c r="R719" s="7">
        <v>0.1380834242644593</v>
      </c>
      <c r="S719" s="7">
        <v>0.1705680009662711</v>
      </c>
      <c r="T719" s="7">
        <v>0.3282611342726878</v>
      </c>
    </row>
    <row x14ac:dyDescent="0.25" r="720" customHeight="1" ht="19.5">
      <c r="A720" s="2" t="s">
        <v>3032</v>
      </c>
      <c r="B720" s="2" t="s">
        <v>2314</v>
      </c>
      <c r="C720" s="2" t="s">
        <v>31</v>
      </c>
      <c r="D720" s="2" t="s">
        <v>650</v>
      </c>
      <c r="E720" s="6">
        <v>1</v>
      </c>
      <c r="F720" s="6">
        <v>1</v>
      </c>
      <c r="G720" s="7">
        <v>0.578423261642456</v>
      </c>
      <c r="H720" s="7">
        <v>7.53263671875</v>
      </c>
      <c r="I720" s="7">
        <v>19.08993039930164</v>
      </c>
      <c r="J720" s="7">
        <v>8.948043703989956</v>
      </c>
      <c r="K720" s="7">
        <v>0.9419768402444596</v>
      </c>
      <c r="L720" s="7">
        <v>0.9949970500165964</v>
      </c>
      <c r="M720" s="7">
        <v>0.2597455985036886</v>
      </c>
      <c r="N720" s="7">
        <v>0.2109443399199883</v>
      </c>
      <c r="O720" s="7">
        <v>0.0665327872458196</v>
      </c>
      <c r="P720" s="7">
        <v>9.884944075662288</v>
      </c>
      <c r="Q720" s="7">
        <v>0.0385755267987186</v>
      </c>
      <c r="R720" s="7">
        <v>0.1456611259202009</v>
      </c>
      <c r="S720" s="7">
        <v>0.1784645183982933</v>
      </c>
      <c r="T720" s="7">
        <v>0.3372482219394386</v>
      </c>
    </row>
    <row x14ac:dyDescent="0.25" r="721" customHeight="1" ht="19.5">
      <c r="A721" s="2" t="s">
        <v>3033</v>
      </c>
      <c r="B721" s="2" t="s">
        <v>2314</v>
      </c>
      <c r="C721" s="2" t="s">
        <v>31</v>
      </c>
      <c r="D721" s="2" t="s">
        <v>650</v>
      </c>
      <c r="E721" s="6">
        <v>1</v>
      </c>
      <c r="F721" s="6">
        <v>1</v>
      </c>
      <c r="G721" s="7">
        <v>0.5897027850151062</v>
      </c>
      <c r="H721" s="7">
        <v>7.577659375</v>
      </c>
      <c r="I721" s="7">
        <v>19.20762969836497</v>
      </c>
      <c r="J721" s="7">
        <v>9.007436944102816</v>
      </c>
      <c r="K721" s="7">
        <v>0.9416840149167957</v>
      </c>
      <c r="L721" s="7">
        <v>0.9950488993902484</v>
      </c>
      <c r="M721" s="7">
        <v>0.2581055804851576</v>
      </c>
      <c r="N721" s="7">
        <v>0.2136850726805166</v>
      </c>
      <c r="O721" s="7">
        <v>0.0683614644030576</v>
      </c>
      <c r="P721" s="7">
        <v>9.853067798101948</v>
      </c>
      <c r="Q721" s="7">
        <v>0.0380343004484403</v>
      </c>
      <c r="R721" s="7">
        <v>0.1432899083672989</v>
      </c>
      <c r="S721" s="7">
        <v>0.1799193458025604</v>
      </c>
      <c r="T721" s="7">
        <v>0.3345039821206377</v>
      </c>
    </row>
    <row x14ac:dyDescent="0.25" r="722" customHeight="1" ht="19.5">
      <c r="A722" s="2" t="s">
        <v>3034</v>
      </c>
      <c r="B722" s="2" t="s">
        <v>2314</v>
      </c>
      <c r="C722" s="2" t="s">
        <v>31</v>
      </c>
      <c r="D722" s="2" t="s">
        <v>650</v>
      </c>
      <c r="E722" s="6">
        <v>1</v>
      </c>
      <c r="F722" s="6">
        <v>1</v>
      </c>
      <c r="G722" s="7">
        <v>0.5805457234382629</v>
      </c>
      <c r="H722" s="7">
        <v>7.761213281250001</v>
      </c>
      <c r="I722" s="7">
        <v>19.25638234431881</v>
      </c>
      <c r="J722" s="7">
        <v>8.951509472524148</v>
      </c>
      <c r="K722" s="7">
        <v>0.9605104148866492</v>
      </c>
      <c r="L722" s="7">
        <v>0.9947873952652466</v>
      </c>
      <c r="M722" s="7">
        <v>0.2630207920630665</v>
      </c>
      <c r="N722" s="7">
        <v>0.2094959715488971</v>
      </c>
      <c r="O722" s="7">
        <v>0.0701669498270699</v>
      </c>
      <c r="P722" s="7">
        <v>9.862971670071351</v>
      </c>
      <c r="Q722" s="7">
        <v>0.0364395719038306</v>
      </c>
      <c r="R722" s="7">
        <v>0.1390995252890485</v>
      </c>
      <c r="S722" s="7">
        <v>0.169657629506683</v>
      </c>
      <c r="T722" s="7">
        <v>0.3282416328989406</v>
      </c>
    </row>
    <row x14ac:dyDescent="0.25" r="723" customHeight="1" ht="19.5">
      <c r="A723" s="2" t="s">
        <v>3035</v>
      </c>
      <c r="B723" s="2" t="s">
        <v>2314</v>
      </c>
      <c r="C723" s="2" t="s">
        <v>31</v>
      </c>
      <c r="D723" s="2" t="s">
        <v>650</v>
      </c>
      <c r="E723" s="6">
        <v>1</v>
      </c>
      <c r="F723" s="6">
        <v>1</v>
      </c>
      <c r="G723" s="7">
        <v>0.5835007429122925</v>
      </c>
      <c r="H723" s="7">
        <v>7.778529687500001</v>
      </c>
      <c r="I723" s="7">
        <v>19.29085567087356</v>
      </c>
      <c r="J723" s="7">
        <v>9.011179365622349</v>
      </c>
      <c r="K723" s="7">
        <v>0.9613077810964898</v>
      </c>
      <c r="L723" s="7">
        <v>0.9948797513508852</v>
      </c>
      <c r="M723" s="7">
        <v>0.2626663227095321</v>
      </c>
      <c r="N723" s="7">
        <v>0.2116867776134078</v>
      </c>
      <c r="O723" s="7">
        <v>0.0727034042144921</v>
      </c>
      <c r="P723" s="7">
        <v>9.84290007170487</v>
      </c>
      <c r="Q723" s="7">
        <v>0.0363563014914542</v>
      </c>
      <c r="R723" s="7">
        <v>0.1363665341068813</v>
      </c>
      <c r="S723" s="7">
        <v>0.1688884000889496</v>
      </c>
      <c r="T723" s="7">
        <v>0.3282222285254286</v>
      </c>
    </row>
    <row x14ac:dyDescent="0.25" r="724" customHeight="1" ht="19.5">
      <c r="A724" s="2" t="s">
        <v>3036</v>
      </c>
      <c r="B724" s="2" t="s">
        <v>2314</v>
      </c>
      <c r="C724" s="2" t="s">
        <v>31</v>
      </c>
      <c r="D724" s="2" t="s">
        <v>650</v>
      </c>
      <c r="E724" s="6">
        <v>1</v>
      </c>
      <c r="F724" s="6">
        <v>1</v>
      </c>
      <c r="G724" s="7">
        <v>0.5839894413948059</v>
      </c>
      <c r="H724" s="7">
        <v>7.525710156250001</v>
      </c>
      <c r="I724" s="7">
        <v>19.08993039930164</v>
      </c>
      <c r="J724" s="7">
        <v>8.948201855026007</v>
      </c>
      <c r="K724" s="7">
        <v>0.9420665923537672</v>
      </c>
      <c r="L724" s="7">
        <v>0.9950040484042002</v>
      </c>
      <c r="M724" s="7">
        <v>0.2595067519763289</v>
      </c>
      <c r="N724" s="7">
        <v>0.2130334003674757</v>
      </c>
      <c r="O724" s="7">
        <v>0.0682511881515195</v>
      </c>
      <c r="P724" s="7">
        <v>9.857389961331345</v>
      </c>
      <c r="Q724" s="7">
        <v>0.0381809178381758</v>
      </c>
      <c r="R724" s="7">
        <v>0.1445813802114115</v>
      </c>
      <c r="S724" s="7">
        <v>0.1779164785625576</v>
      </c>
      <c r="T724" s="7">
        <v>0.3334913949289883</v>
      </c>
    </row>
    <row x14ac:dyDescent="0.25" r="725" customHeight="1" ht="19.5">
      <c r="A725" s="2" t="s">
        <v>3037</v>
      </c>
      <c r="B725" s="2" t="s">
        <v>2314</v>
      </c>
      <c r="C725" s="2" t="s">
        <v>31</v>
      </c>
      <c r="D725" s="2" t="s">
        <v>650</v>
      </c>
      <c r="E725" s="6">
        <v>1</v>
      </c>
      <c r="F725" s="6">
        <v>1</v>
      </c>
      <c r="G725" s="7">
        <v>0.5926221609115601</v>
      </c>
      <c r="H725" s="7">
        <v>7.78545625</v>
      </c>
      <c r="I725" s="7">
        <v>19.3396083168274</v>
      </c>
      <c r="J725" s="7">
        <v>9.011081060009872</v>
      </c>
      <c r="K725" s="7">
        <v>0.9605486316589098</v>
      </c>
      <c r="L725" s="7">
        <v>0.9948653215047892</v>
      </c>
      <c r="M725" s="7">
        <v>0.2615764156186118</v>
      </c>
      <c r="N725" s="7">
        <v>0.2094285247385793</v>
      </c>
      <c r="O725" s="7">
        <v>0.070877949859387</v>
      </c>
      <c r="P725" s="7">
        <v>9.852631190216318</v>
      </c>
      <c r="Q725" s="7">
        <v>0.0367575154143346</v>
      </c>
      <c r="R725" s="7">
        <v>0.1379029386898159</v>
      </c>
      <c r="S725" s="7">
        <v>0.169095838462234</v>
      </c>
      <c r="T725" s="7">
        <v>0.3321398587537913</v>
      </c>
    </row>
    <row x14ac:dyDescent="0.25" r="726" customHeight="1" ht="19.5">
      <c r="A726" s="2" t="s">
        <v>3038</v>
      </c>
      <c r="B726" s="2" t="s">
        <v>2314</v>
      </c>
      <c r="C726" s="2" t="s">
        <v>31</v>
      </c>
      <c r="D726" s="2" t="s">
        <v>650</v>
      </c>
      <c r="E726" s="6">
        <v>1</v>
      </c>
      <c r="F726" s="6">
        <v>1</v>
      </c>
      <c r="G726" s="7">
        <v>0.5798365473747253</v>
      </c>
      <c r="H726" s="7">
        <v>7.605365625</v>
      </c>
      <c r="I726" s="7">
        <v>19.15887705241113</v>
      </c>
      <c r="J726" s="7">
        <v>8.950195013859206</v>
      </c>
      <c r="K726" s="7">
        <v>0.9013084301397538</v>
      </c>
      <c r="L726" s="7">
        <v>0.9950973947965452</v>
      </c>
      <c r="M726" s="7">
        <v>0.260369350993879</v>
      </c>
      <c r="N726" s="7">
        <v>0.1878241900269998</v>
      </c>
      <c r="O726" s="7">
        <v>0.0508834037431644</v>
      </c>
      <c r="P726" s="7">
        <v>9.947551688701038</v>
      </c>
      <c r="Q726" s="7">
        <v>0.0374516073835329</v>
      </c>
      <c r="R726" s="7">
        <v>0.1382252544268992</v>
      </c>
      <c r="S726" s="7">
        <v>0.1695751928072813</v>
      </c>
      <c r="T726" s="7">
        <v>0.3305836263678313</v>
      </c>
    </row>
    <row x14ac:dyDescent="0.25" r="727" customHeight="1" ht="19.5">
      <c r="A727" s="2" t="s">
        <v>3039</v>
      </c>
      <c r="B727" s="2" t="s">
        <v>2314</v>
      </c>
      <c r="C727" s="2" t="s">
        <v>31</v>
      </c>
      <c r="D727" s="2" t="s">
        <v>650</v>
      </c>
      <c r="E727" s="6">
        <v>1</v>
      </c>
      <c r="F727" s="6">
        <v>1</v>
      </c>
      <c r="G727" s="7">
        <v>0.5816616415977478</v>
      </c>
      <c r="H727" s="7">
        <v>7.799309375000001</v>
      </c>
      <c r="I727" s="7">
        <v>19.30513499027265</v>
      </c>
      <c r="J727" s="7">
        <v>9.06781814093324</v>
      </c>
      <c r="K727" s="7">
        <v>0.96117772465325</v>
      </c>
      <c r="L727" s="7">
        <v>0.9949303826581876</v>
      </c>
      <c r="M727" s="7">
        <v>0.2629785499353687</v>
      </c>
      <c r="N727" s="7">
        <v>0.2147808851832801</v>
      </c>
      <c r="O727" s="7">
        <v>0.074511087858571</v>
      </c>
      <c r="P727" s="7">
        <v>9.8290178487957</v>
      </c>
      <c r="Q727" s="7">
        <v>0.0365617037174932</v>
      </c>
      <c r="R727" s="7">
        <v>0.1385855377489191</v>
      </c>
      <c r="S727" s="7">
        <v>0.1714170611894566</v>
      </c>
      <c r="T727" s="7">
        <v>0.3309583577397405</v>
      </c>
    </row>
    <row x14ac:dyDescent="0.25" r="728" customHeight="1" ht="19.5">
      <c r="A728" s="2" t="s">
        <v>3040</v>
      </c>
      <c r="B728" s="2" t="s">
        <v>2314</v>
      </c>
      <c r="C728" s="2" t="s">
        <v>31</v>
      </c>
      <c r="D728" s="2" t="s">
        <v>650</v>
      </c>
      <c r="E728" s="6">
        <v>1</v>
      </c>
      <c r="F728" s="6">
        <v>1</v>
      </c>
      <c r="G728" s="7">
        <v>0.5881313681602478</v>
      </c>
      <c r="H728" s="7">
        <v>7.7923828125</v>
      </c>
      <c r="I728" s="7">
        <v>19.30513499027265</v>
      </c>
      <c r="J728" s="7">
        <v>9.009816222300866</v>
      </c>
      <c r="K728" s="7">
        <v>0.9615325291812068</v>
      </c>
      <c r="L728" s="7">
        <v>0.9948461903789816</v>
      </c>
      <c r="M728" s="7">
        <v>0.2627449988253018</v>
      </c>
      <c r="N728" s="7">
        <v>0.2081345339088883</v>
      </c>
      <c r="O728" s="7">
        <v>0.0711517743146703</v>
      </c>
      <c r="P728" s="7">
        <v>9.873013039585384</v>
      </c>
      <c r="Q728" s="7">
        <v>0.0361438358557951</v>
      </c>
      <c r="R728" s="7">
        <v>0.1379197687247903</v>
      </c>
      <c r="S728" s="7">
        <v>0.1686657462422163</v>
      </c>
      <c r="T728" s="7">
        <v>0.3268852324528643</v>
      </c>
    </row>
    <row x14ac:dyDescent="0.25" r="729" customHeight="1" ht="19.5">
      <c r="A729" s="2" t="s">
        <v>3041</v>
      </c>
      <c r="B729" s="2" t="s">
        <v>2314</v>
      </c>
      <c r="C729" s="2" t="s">
        <v>31</v>
      </c>
      <c r="D729" s="2" t="s">
        <v>650</v>
      </c>
      <c r="E729" s="6">
        <v>1</v>
      </c>
      <c r="F729" s="6">
        <v>1</v>
      </c>
      <c r="G729" s="7">
        <v>0.5860375165939331</v>
      </c>
      <c r="H729" s="7">
        <v>7.421811718750001</v>
      </c>
      <c r="I729" s="7">
        <v>19.15887705241113</v>
      </c>
      <c r="J729" s="7">
        <v>9.006668499483006</v>
      </c>
      <c r="K729" s="7">
        <v>0.883658171396808</v>
      </c>
      <c r="L729" s="7">
        <v>0.9953570020129064</v>
      </c>
      <c r="M729" s="7">
        <v>0.2540853912476697</v>
      </c>
      <c r="N729" s="7">
        <v>0.1875242899797853</v>
      </c>
      <c r="O729" s="7">
        <v>0.0470044208886587</v>
      </c>
      <c r="P729" s="7">
        <v>9.95719983853921</v>
      </c>
      <c r="Q729" s="7">
        <v>0.0402051485967333</v>
      </c>
      <c r="R729" s="7">
        <v>0.1439056654735148</v>
      </c>
      <c r="S729" s="7">
        <v>0.1756913208472342</v>
      </c>
      <c r="T729" s="7">
        <v>0.346323836897687</v>
      </c>
    </row>
    <row x14ac:dyDescent="0.25" r="730" customHeight="1" ht="19.5">
      <c r="A730" s="2" t="s">
        <v>3042</v>
      </c>
      <c r="B730" s="2" t="s">
        <v>2314</v>
      </c>
      <c r="C730" s="2" t="s">
        <v>31</v>
      </c>
      <c r="D730" s="2" t="s">
        <v>650</v>
      </c>
      <c r="E730" s="6">
        <v>1</v>
      </c>
      <c r="F730" s="6">
        <v>1</v>
      </c>
      <c r="G730" s="7">
        <v>0.5831363797187805</v>
      </c>
      <c r="H730" s="7">
        <v>7.39410546875</v>
      </c>
      <c r="I730" s="7">
        <v>19.0411777533478</v>
      </c>
      <c r="J730" s="7">
        <v>8.946884054703833</v>
      </c>
      <c r="K730" s="7">
        <v>0.8828899926322875</v>
      </c>
      <c r="L730" s="7">
        <v>0.9952892228896516</v>
      </c>
      <c r="M730" s="7">
        <v>0.2562759726440585</v>
      </c>
      <c r="N730" s="7">
        <v>0.1893399658889434</v>
      </c>
      <c r="O730" s="7">
        <v>0.0458547382264624</v>
      </c>
      <c r="P730" s="7">
        <v>9.965293020546492</v>
      </c>
      <c r="Q730" s="7">
        <v>0.0401273621604991</v>
      </c>
      <c r="R730" s="7">
        <v>0.1441822159256208</v>
      </c>
      <c r="S730" s="7">
        <v>0.1741145760521443</v>
      </c>
      <c r="T730" s="7">
        <v>0.3443634361500961</v>
      </c>
    </row>
    <row x14ac:dyDescent="0.25" r="731" customHeight="1" ht="19.5">
      <c r="A731" s="2" t="s">
        <v>3043</v>
      </c>
      <c r="B731" s="2" t="s">
        <v>2314</v>
      </c>
      <c r="C731" s="2" t="s">
        <v>31</v>
      </c>
      <c r="D731" s="2" t="s">
        <v>650</v>
      </c>
      <c r="E731" s="6">
        <v>1</v>
      </c>
      <c r="F731" s="6">
        <v>1</v>
      </c>
      <c r="G731" s="7">
        <v>0.586003303527832</v>
      </c>
      <c r="H731" s="7">
        <v>8.145637500000001</v>
      </c>
      <c r="I731" s="7">
        <v>19.31941430967174</v>
      </c>
      <c r="J731" s="7">
        <v>8.948071153110398</v>
      </c>
      <c r="K731" s="7">
        <v>1.038656360342031</v>
      </c>
      <c r="L731" s="7">
        <v>0.9941931318966508</v>
      </c>
      <c r="M731" s="7">
        <v>0.2742502491515515</v>
      </c>
      <c r="N731" s="7">
        <v>0.2029711566110453</v>
      </c>
      <c r="O731" s="7">
        <v>0.0553386301595776</v>
      </c>
      <c r="P731" s="7">
        <v>9.99452978751885</v>
      </c>
      <c r="Q731" s="7">
        <v>0.0276901945630811</v>
      </c>
      <c r="R731" s="7">
        <v>0.1242858929996334</v>
      </c>
      <c r="S731" s="7">
        <v>0.1574448250264477</v>
      </c>
      <c r="T731" s="7">
        <v>0.2617832568173596</v>
      </c>
    </row>
    <row x14ac:dyDescent="0.25" r="732" customHeight="1" ht="19.5">
      <c r="A732" s="2" t="s">
        <v>3044</v>
      </c>
      <c r="B732" s="2" t="s">
        <v>2314</v>
      </c>
      <c r="C732" s="2" t="s">
        <v>31</v>
      </c>
      <c r="D732" s="2" t="s">
        <v>650</v>
      </c>
      <c r="E732" s="6">
        <v>1</v>
      </c>
      <c r="F732" s="6">
        <v>1</v>
      </c>
      <c r="G732" s="7">
        <v>0.5407227873802185</v>
      </c>
      <c r="H732" s="7">
        <v>7.74736015625</v>
      </c>
      <c r="I732" s="7">
        <v>18.9865104196374</v>
      </c>
      <c r="J732" s="7">
        <v>8.824026028974115</v>
      </c>
      <c r="K732" s="7">
        <v>0.922939120446737</v>
      </c>
      <c r="L732" s="7">
        <v>0.9946032833052136</v>
      </c>
      <c r="M732" s="7">
        <v>0.2700681104448847</v>
      </c>
      <c r="N732" s="7">
        <v>0.2552131311343253</v>
      </c>
      <c r="O732" s="7">
        <v>0.0454208069464154</v>
      </c>
      <c r="P732" s="7">
        <v>9.451299061759132</v>
      </c>
      <c r="Q732" s="7">
        <v>0.0085200270960672</v>
      </c>
      <c r="R732" s="7">
        <v>0.048919204224962</v>
      </c>
      <c r="S732" s="7">
        <v>0.0661573868286502</v>
      </c>
      <c r="T732" s="7">
        <v>0.0766100069538392</v>
      </c>
    </row>
    <row x14ac:dyDescent="0.25" r="733" customHeight="1" ht="19.5">
      <c r="A733" s="2" t="s">
        <v>3045</v>
      </c>
      <c r="B733" s="2" t="s">
        <v>2314</v>
      </c>
      <c r="C733" s="2" t="s">
        <v>31</v>
      </c>
      <c r="D733" s="2" t="s">
        <v>650</v>
      </c>
      <c r="E733" s="6">
        <v>1</v>
      </c>
      <c r="F733" s="6">
        <v>1</v>
      </c>
      <c r="G733" s="7">
        <v>0.5696284770965576</v>
      </c>
      <c r="H733" s="7">
        <v>7.53956328125</v>
      </c>
      <c r="I733" s="7">
        <v>17.26977357964124</v>
      </c>
      <c r="J733" s="7">
        <v>7.991762177190853</v>
      </c>
      <c r="K733" s="7">
        <v>1.012235993647303</v>
      </c>
      <c r="L733" s="7">
        <v>0.9920092610946256</v>
      </c>
      <c r="M733" s="7">
        <v>0.3176748016227345</v>
      </c>
      <c r="N733" s="7">
        <v>0.2802652592624646</v>
      </c>
      <c r="O733" s="7">
        <v>0.0533123499322509</v>
      </c>
      <c r="P733" s="7">
        <v>9.320329411763144</v>
      </c>
      <c r="Q733" s="7">
        <v>0.0013725035719244</v>
      </c>
      <c r="R733" s="7">
        <v>0.0118031043271824</v>
      </c>
      <c r="S733" s="7">
        <v>0.0239727764975768</v>
      </c>
      <c r="T733" s="7">
        <v>0.0120102059338489</v>
      </c>
    </row>
    <row x14ac:dyDescent="0.25" r="734" customHeight="1" ht="19.5">
      <c r="A734" s="2" t="s">
        <v>3046</v>
      </c>
      <c r="B734" s="2" t="s">
        <v>2314</v>
      </c>
      <c r="C734" s="2" t="s">
        <v>31</v>
      </c>
      <c r="D734" s="2" t="s">
        <v>650</v>
      </c>
      <c r="E734" s="6">
        <v>1</v>
      </c>
      <c r="F734" s="6">
        <v>1</v>
      </c>
      <c r="G734" s="7">
        <v>0.591292142868042</v>
      </c>
      <c r="H734" s="7">
        <v>8.076371875000001</v>
      </c>
      <c r="I734" s="7">
        <v>18.66197116124559</v>
      </c>
      <c r="J734" s="7">
        <v>8.532586974728943</v>
      </c>
      <c r="K734" s="7">
        <v>1.06246851440874</v>
      </c>
      <c r="L734" s="7">
        <v>0.9931712537167182</v>
      </c>
      <c r="M734" s="7">
        <v>0.2914144909619245</v>
      </c>
      <c r="N734" s="7">
        <v>0.244034993111489</v>
      </c>
      <c r="O734" s="7">
        <v>0.0597516682918168</v>
      </c>
      <c r="P734" s="7">
        <v>9.682279952756344</v>
      </c>
      <c r="Q734" s="7">
        <v>0.0038786911479031</v>
      </c>
      <c r="R734" s="7">
        <v>0.024213055893171</v>
      </c>
      <c r="S734" s="7">
        <v>0.0350350459830105</v>
      </c>
      <c r="T734" s="7">
        <v>0.0363573555080854</v>
      </c>
    </row>
    <row x14ac:dyDescent="0.25" r="735" customHeight="1" ht="19.5">
      <c r="A735" s="2" t="s">
        <v>3047</v>
      </c>
      <c r="B735" s="2" t="s">
        <v>2314</v>
      </c>
      <c r="C735" s="2" t="s">
        <v>31</v>
      </c>
      <c r="D735" s="2" t="s">
        <v>650</v>
      </c>
      <c r="E735" s="6">
        <v>1</v>
      </c>
      <c r="F735" s="6">
        <v>1</v>
      </c>
      <c r="G735" s="7">
        <v>0.5864832997322083</v>
      </c>
      <c r="H735" s="7">
        <v>8.31533828125</v>
      </c>
      <c r="I735" s="7">
        <v>19.42283428933599</v>
      </c>
      <c r="J735" s="7">
        <v>9.01154680956607</v>
      </c>
      <c r="K735" s="7">
        <v>1.025216634501203</v>
      </c>
      <c r="L735" s="7">
        <v>0.9941762893046232</v>
      </c>
      <c r="M735" s="7">
        <v>0.2769903097542009</v>
      </c>
      <c r="N735" s="7">
        <v>0.2289563300030367</v>
      </c>
      <c r="O735" s="7">
        <v>0.0710079954100979</v>
      </c>
      <c r="P735" s="7">
        <v>9.71891226132622</v>
      </c>
      <c r="Q735" s="7">
        <v>0.0115342941096678</v>
      </c>
      <c r="R735" s="7">
        <v>0.0505290166685211</v>
      </c>
      <c r="S735" s="7">
        <v>0.0650338116324841</v>
      </c>
      <c r="T735" s="7">
        <v>0.1113170587950455</v>
      </c>
    </row>
    <row x14ac:dyDescent="0.25" r="736" customHeight="1" ht="19.5">
      <c r="A736" s="2" t="s">
        <v>3048</v>
      </c>
      <c r="B736" s="2" t="s">
        <v>2314</v>
      </c>
      <c r="C736" s="2" t="s">
        <v>31</v>
      </c>
      <c r="D736" s="2" t="s">
        <v>650</v>
      </c>
      <c r="E736" s="6">
        <v>1</v>
      </c>
      <c r="F736" s="6">
        <v>1</v>
      </c>
      <c r="G736" s="7">
        <v>0.5959395170211792</v>
      </c>
      <c r="H736" s="7">
        <v>7.9863265625</v>
      </c>
      <c r="I736" s="7">
        <v>19.17315637181022</v>
      </c>
      <c r="J736" s="7">
        <v>8.896217374764072</v>
      </c>
      <c r="K736" s="7">
        <v>0.9830729529489348</v>
      </c>
      <c r="L736" s="7">
        <v>0.994331166232199</v>
      </c>
      <c r="M736" s="7">
        <v>0.2730044336024709</v>
      </c>
      <c r="N736" s="7">
        <v>0.2341400309123258</v>
      </c>
      <c r="O736" s="7">
        <v>0.0922930682269149</v>
      </c>
      <c r="P736" s="7">
        <v>9.662211311221188</v>
      </c>
      <c r="Q736" s="7">
        <v>0.0243964500002701</v>
      </c>
      <c r="R736" s="7">
        <v>0.0870111488886489</v>
      </c>
      <c r="S736" s="7">
        <v>0.1040949364398818</v>
      </c>
      <c r="T736" s="7">
        <v>0.2261332789762237</v>
      </c>
    </row>
    <row x14ac:dyDescent="0.25" r="737" customHeight="1" ht="19.5">
      <c r="A737" s="2" t="s">
        <v>3049</v>
      </c>
      <c r="B737" s="2" t="s">
        <v>2314</v>
      </c>
      <c r="C737" s="2" t="s">
        <v>31</v>
      </c>
      <c r="D737" s="2" t="s">
        <v>650</v>
      </c>
      <c r="E737" s="6">
        <v>1</v>
      </c>
      <c r="F737" s="6">
        <v>1</v>
      </c>
      <c r="G737" s="7">
        <v>0.5922560691833496</v>
      </c>
      <c r="H737" s="7">
        <v>8.041739062500001</v>
      </c>
      <c r="I737" s="7">
        <v>19.47158693528982</v>
      </c>
      <c r="J737" s="7">
        <v>9.072408759151411</v>
      </c>
      <c r="K737" s="7">
        <v>0.9918445252306756</v>
      </c>
      <c r="L737" s="7">
        <v>0.9946595846617644</v>
      </c>
      <c r="M737" s="7">
        <v>0.266536778989659</v>
      </c>
      <c r="N737" s="7">
        <v>0.2337476589190011</v>
      </c>
      <c r="O737" s="7">
        <v>0.1008449309331563</v>
      </c>
      <c r="P737" s="7">
        <v>9.668957748535089</v>
      </c>
      <c r="Q737" s="7">
        <v>0.0326601125921022</v>
      </c>
      <c r="R737" s="7">
        <v>0.1107551613809012</v>
      </c>
      <c r="S737" s="7">
        <v>0.1267733640501277</v>
      </c>
      <c r="T737" s="7">
        <v>0.304830511417092</v>
      </c>
    </row>
    <row x14ac:dyDescent="0.25" r="738" customHeight="1" ht="19.5">
      <c r="A738" s="2" t="s">
        <v>3050</v>
      </c>
      <c r="B738" s="2" t="s">
        <v>2314</v>
      </c>
      <c r="C738" s="2" t="s">
        <v>31</v>
      </c>
      <c r="D738" s="2" t="s">
        <v>650</v>
      </c>
      <c r="E738" s="6">
        <v>1</v>
      </c>
      <c r="F738" s="6">
        <v>1</v>
      </c>
      <c r="G738" s="7">
        <v>0.5908796787261963</v>
      </c>
      <c r="H738" s="7">
        <v>7.889354687500001</v>
      </c>
      <c r="I738" s="7">
        <v>19.25638234431881</v>
      </c>
      <c r="J738" s="7">
        <v>9.01055416034393</v>
      </c>
      <c r="K738" s="7">
        <v>0.9592215291395144</v>
      </c>
      <c r="L738" s="7">
        <v>0.9948003800457996</v>
      </c>
      <c r="M738" s="7">
        <v>0.2673633932707119</v>
      </c>
      <c r="N738" s="7">
        <v>0.2005466103296469</v>
      </c>
      <c r="O738" s="7">
        <v>0.0622363263308556</v>
      </c>
      <c r="P738" s="7">
        <v>9.87340764441566</v>
      </c>
      <c r="Q738" s="7">
        <v>0.0351824777645993</v>
      </c>
      <c r="R738" s="7">
        <v>0.1166451944318355</v>
      </c>
      <c r="S738" s="7">
        <v>0.1338669881494459</v>
      </c>
      <c r="T738" s="7">
        <v>0.3221504062286129</v>
      </c>
    </row>
    <row x14ac:dyDescent="0.25" r="739" customHeight="1" ht="19.5">
      <c r="A739" s="2" t="s">
        <v>3051</v>
      </c>
      <c r="B739" s="2" t="s">
        <v>2314</v>
      </c>
      <c r="C739" s="2" t="s">
        <v>31</v>
      </c>
      <c r="D739" s="2" t="s">
        <v>650</v>
      </c>
      <c r="E739" s="6">
        <v>1</v>
      </c>
      <c r="F739" s="6">
        <v>1</v>
      </c>
      <c r="G739" s="7">
        <v>0.5992203950881958</v>
      </c>
      <c r="H739" s="7">
        <v>7.795846093750001</v>
      </c>
      <c r="I739" s="7">
        <v>19.37408164338214</v>
      </c>
      <c r="J739" s="7">
        <v>9.126778594712798</v>
      </c>
      <c r="K739" s="7">
        <v>0.8980393248285412</v>
      </c>
      <c r="L739" s="7">
        <v>0.9951801348806848</v>
      </c>
      <c r="M739" s="7">
        <v>0.2609942080188557</v>
      </c>
      <c r="N739" s="7">
        <v>0.1856408182195289</v>
      </c>
      <c r="O739" s="7">
        <v>0.0482073047106452</v>
      </c>
      <c r="P739" s="7">
        <v>9.934167441573258</v>
      </c>
      <c r="Q739" s="7">
        <v>0.0363837744044532</v>
      </c>
      <c r="R739" s="7">
        <v>0.1157637966521625</v>
      </c>
      <c r="S739" s="7">
        <v>0.1382410793404043</v>
      </c>
      <c r="T739" s="7">
        <v>0.3292014859889788</v>
      </c>
    </row>
    <row x14ac:dyDescent="0.25" r="740" customHeight="1" ht="19.5">
      <c r="A740" s="2" t="s">
        <v>3052</v>
      </c>
      <c r="B740" s="2" t="s">
        <v>2314</v>
      </c>
      <c r="C740" s="2" t="s">
        <v>31</v>
      </c>
      <c r="D740" s="2" t="s">
        <v>650</v>
      </c>
      <c r="E740" s="6">
        <v>1</v>
      </c>
      <c r="F740" s="6">
        <v>1</v>
      </c>
      <c r="G740" s="7">
        <v>0.5993374586105347</v>
      </c>
      <c r="H740" s="7">
        <v>7.923987500000001</v>
      </c>
      <c r="I740" s="7">
        <v>19.47158693528983</v>
      </c>
      <c r="J740" s="7">
        <v>9.127956723114696</v>
      </c>
      <c r="K740" s="7">
        <v>0.9530602666879922</v>
      </c>
      <c r="L740" s="7">
        <v>0.9949671310708657</v>
      </c>
      <c r="M740" s="7">
        <v>0.2626340010027302</v>
      </c>
      <c r="N740" s="7">
        <v>0.216628580460539</v>
      </c>
      <c r="O740" s="7">
        <v>0.0777690781589593</v>
      </c>
      <c r="P740" s="7">
        <v>9.825775396897228</v>
      </c>
      <c r="Q740" s="7">
        <v>0.0343271471090527</v>
      </c>
      <c r="R740" s="7">
        <v>0.1117959707635846</v>
      </c>
      <c r="S740" s="7">
        <v>0.1308922970132392</v>
      </c>
      <c r="T740" s="7">
        <v>0.3156983216343869</v>
      </c>
    </row>
    <row x14ac:dyDescent="0.25" r="741" customHeight="1" ht="19.5">
      <c r="A741" s="2" t="s">
        <v>3053</v>
      </c>
      <c r="B741" s="2" t="s">
        <v>2314</v>
      </c>
      <c r="C741" s="2" t="s">
        <v>31</v>
      </c>
      <c r="D741" s="2" t="s">
        <v>650</v>
      </c>
      <c r="E741" s="6">
        <v>1</v>
      </c>
      <c r="F741" s="6">
        <v>1</v>
      </c>
      <c r="G741" s="7">
        <v>0.5909276604652405</v>
      </c>
      <c r="H741" s="7">
        <v>8.059055468750001</v>
      </c>
      <c r="I741" s="7">
        <v>19.43711360873508</v>
      </c>
      <c r="J741" s="7">
        <v>9.06977254428909</v>
      </c>
      <c r="K741" s="7">
        <v>1.001445395113097</v>
      </c>
      <c r="L741" s="7">
        <v>0.9946151050611068</v>
      </c>
      <c r="M741" s="7">
        <v>0.268059042992514</v>
      </c>
      <c r="N741" s="7">
        <v>0.236328254235739</v>
      </c>
      <c r="O741" s="7">
        <v>0.0948225484346506</v>
      </c>
      <c r="P741" s="7">
        <v>9.67339503479257</v>
      </c>
      <c r="Q741" s="7">
        <v>0.0337690537044201</v>
      </c>
      <c r="R741" s="7">
        <v>0.1145896478887065</v>
      </c>
      <c r="S741" s="7">
        <v>0.1349587614846001</v>
      </c>
      <c r="T741" s="7">
        <v>0.3158594070572304</v>
      </c>
    </row>
    <row x14ac:dyDescent="0.25" r="742" customHeight="1" ht="19.5">
      <c r="A742" s="2" t="s">
        <v>3054</v>
      </c>
      <c r="B742" s="2" t="s">
        <v>2314</v>
      </c>
      <c r="C742" s="2" t="s">
        <v>31</v>
      </c>
      <c r="D742" s="2" t="s">
        <v>650</v>
      </c>
      <c r="E742" s="6">
        <v>1</v>
      </c>
      <c r="F742" s="6">
        <v>1</v>
      </c>
      <c r="G742" s="7">
        <v>0.6062273383140564</v>
      </c>
      <c r="H742" s="7">
        <v>7.89974453125</v>
      </c>
      <c r="I742" s="7">
        <v>19.47158693528982</v>
      </c>
      <c r="J742" s="7">
        <v>9.07050175590734</v>
      </c>
      <c r="K742" s="7">
        <v>0.9562211521156944</v>
      </c>
      <c r="L742" s="7">
        <v>0.9948583782506456</v>
      </c>
      <c r="M742" s="7">
        <v>0.2618304878877744</v>
      </c>
      <c r="N742" s="7">
        <v>0.2191120116467717</v>
      </c>
      <c r="O742" s="7">
        <v>0.0755091886478503</v>
      </c>
      <c r="P742" s="7">
        <v>9.79249994455038</v>
      </c>
      <c r="Q742" s="7">
        <v>0.0342484098256139</v>
      </c>
      <c r="R742" s="7">
        <v>0.1117668345300371</v>
      </c>
      <c r="S742" s="7">
        <v>0.1285069583640585</v>
      </c>
      <c r="T742" s="7">
        <v>0.3140105493964115</v>
      </c>
    </row>
    <row x14ac:dyDescent="0.25" r="743" customHeight="1" ht="19.5">
      <c r="A743" s="2" t="s">
        <v>3055</v>
      </c>
      <c r="B743" s="2" t="s">
        <v>2314</v>
      </c>
      <c r="C743" s="2" t="s">
        <v>31</v>
      </c>
      <c r="D743" s="2" t="s">
        <v>650</v>
      </c>
      <c r="E743" s="6">
        <v>1</v>
      </c>
      <c r="F743" s="6">
        <v>1</v>
      </c>
      <c r="G743" s="7">
        <v>0.6091868281364441</v>
      </c>
      <c r="H743" s="7">
        <v>7.91359765625</v>
      </c>
      <c r="I743" s="7">
        <v>19.47158693528982</v>
      </c>
      <c r="J743" s="7">
        <v>9.07062315521806</v>
      </c>
      <c r="K743" s="7">
        <v>0.9536825774170834</v>
      </c>
      <c r="L743" s="7">
        <v>0.994886843143436</v>
      </c>
      <c r="M743" s="7">
        <v>0.2622896382391778</v>
      </c>
      <c r="N743" s="7">
        <v>0.2146645712315396</v>
      </c>
      <c r="O743" s="7">
        <v>0.0748911562304549</v>
      </c>
      <c r="P743" s="7">
        <v>9.82654897057236</v>
      </c>
      <c r="Q743" s="7">
        <v>0.0348224225207196</v>
      </c>
      <c r="R743" s="7">
        <v>0.1140679742202882</v>
      </c>
      <c r="S743" s="7">
        <v>0.1341415798006701</v>
      </c>
      <c r="T743" s="7">
        <v>0.3198333351982447</v>
      </c>
    </row>
    <row x14ac:dyDescent="0.25" r="744" customHeight="1" ht="19.5">
      <c r="A744" s="2" t="s">
        <v>3056</v>
      </c>
      <c r="B744" s="2" t="s">
        <v>2314</v>
      </c>
      <c r="C744" s="2" t="s">
        <v>31</v>
      </c>
      <c r="D744" s="2" t="s">
        <v>650</v>
      </c>
      <c r="E744" s="6">
        <v>1</v>
      </c>
      <c r="F744" s="6">
        <v>1</v>
      </c>
      <c r="G744" s="7">
        <v>0.6025787591934204</v>
      </c>
      <c r="H744" s="7">
        <v>7.96208359375</v>
      </c>
      <c r="I744" s="7">
        <v>19.42283428933598</v>
      </c>
      <c r="J744" s="7">
        <v>9.07076961291343</v>
      </c>
      <c r="K744" s="7">
        <v>0.953983638481774</v>
      </c>
      <c r="L744" s="7">
        <v>0.99481432394193</v>
      </c>
      <c r="M744" s="7">
        <v>0.2652231245834686</v>
      </c>
      <c r="N744" s="7">
        <v>0.2129233423779833</v>
      </c>
      <c r="O744" s="7">
        <v>0.0719965820878742</v>
      </c>
      <c r="P744" s="7">
        <v>9.82821985386537</v>
      </c>
      <c r="Q744" s="7">
        <v>0.0343101739869799</v>
      </c>
      <c r="R744" s="7">
        <v>0.1151840034485038</v>
      </c>
      <c r="S744" s="7">
        <v>0.1309989810693757</v>
      </c>
      <c r="T744" s="7">
        <v>0.3170592539320844</v>
      </c>
    </row>
    <row x14ac:dyDescent="0.25" r="745" customHeight="1" ht="19.5">
      <c r="A745" s="2" t="s">
        <v>3057</v>
      </c>
      <c r="B745" s="2" t="s">
        <v>2314</v>
      </c>
      <c r="C745" s="2" t="s">
        <v>31</v>
      </c>
      <c r="D745" s="2" t="s">
        <v>650</v>
      </c>
      <c r="E745" s="6">
        <v>1</v>
      </c>
      <c r="F745" s="6">
        <v>1</v>
      </c>
      <c r="G745" s="7">
        <v>0.603859007358551</v>
      </c>
      <c r="H745" s="7">
        <v>8.0555921875</v>
      </c>
      <c r="I745" s="7">
        <v>19.5690922271975</v>
      </c>
      <c r="J745" s="7">
        <v>9.1304485485467</v>
      </c>
      <c r="K745" s="7">
        <v>0.9914559326802952</v>
      </c>
      <c r="L745" s="7">
        <v>0.9947103255564972</v>
      </c>
      <c r="M745" s="7">
        <v>0.2643418809869437</v>
      </c>
      <c r="N745" s="7">
        <v>0.2368865052555063</v>
      </c>
      <c r="O745" s="7">
        <v>0.1024548025764164</v>
      </c>
      <c r="P745" s="7">
        <v>9.659523516370996</v>
      </c>
      <c r="Q745" s="7">
        <v>0.0336865402758604</v>
      </c>
      <c r="R745" s="7">
        <v>0.1141166786010016</v>
      </c>
      <c r="S745" s="7">
        <v>0.1325830680105325</v>
      </c>
      <c r="T745" s="7">
        <v>0.3149522112490351</v>
      </c>
    </row>
    <row x14ac:dyDescent="0.25" r="746" customHeight="1" ht="19.5">
      <c r="A746" s="2" t="s">
        <v>3058</v>
      </c>
      <c r="B746" s="2" t="s">
        <v>2314</v>
      </c>
      <c r="C746" s="2" t="s">
        <v>31</v>
      </c>
      <c r="D746" s="2" t="s">
        <v>650</v>
      </c>
      <c r="E746" s="6">
        <v>1</v>
      </c>
      <c r="F746" s="6">
        <v>1</v>
      </c>
      <c r="G746" s="7">
        <v>0.6064904928207397</v>
      </c>
      <c r="H746" s="7">
        <v>7.85818515625</v>
      </c>
      <c r="I746" s="7">
        <v>19.47158693528982</v>
      </c>
      <c r="J746" s="7">
        <v>9.07044991430785</v>
      </c>
      <c r="K746" s="7">
        <v>0.9450059881593172</v>
      </c>
      <c r="L746" s="7">
        <v>0.9949680639337444</v>
      </c>
      <c r="M746" s="7">
        <v>0.2604530368335643</v>
      </c>
      <c r="N746" s="7">
        <v>0.2163581938463198</v>
      </c>
      <c r="O746" s="7">
        <v>0.0770161774868881</v>
      </c>
      <c r="P746" s="7">
        <v>9.792117092447224</v>
      </c>
      <c r="Q746" s="7">
        <v>0.0357161937559463</v>
      </c>
      <c r="R746" s="7">
        <v>0.1149701287947568</v>
      </c>
      <c r="S746" s="7">
        <v>0.1363073254900519</v>
      </c>
      <c r="T746" s="7">
        <v>0.3257453372489901</v>
      </c>
    </row>
    <row x14ac:dyDescent="0.25" r="747" customHeight="1" ht="19.5">
      <c r="A747" s="2" t="s">
        <v>3059</v>
      </c>
      <c r="B747" s="2" t="s">
        <v>2314</v>
      </c>
      <c r="C747" s="2" t="s">
        <v>31</v>
      </c>
      <c r="D747" s="2" t="s">
        <v>650</v>
      </c>
      <c r="E747" s="6">
        <v>1</v>
      </c>
      <c r="F747" s="6">
        <v>1</v>
      </c>
      <c r="G747" s="7">
        <v>0.5995585918426514</v>
      </c>
      <c r="H747" s="7">
        <v>7.882428125000001</v>
      </c>
      <c r="I747" s="7">
        <v>19.42283428933599</v>
      </c>
      <c r="J747" s="7">
        <v>9.070804222254305</v>
      </c>
      <c r="K747" s="7">
        <v>0.9463475672820364</v>
      </c>
      <c r="L747" s="7">
        <v>0.9949620161461088</v>
      </c>
      <c r="M747" s="7">
        <v>0.2625697396920288</v>
      </c>
      <c r="N747" s="7">
        <v>0.2144129994066071</v>
      </c>
      <c r="O747" s="7">
        <v>0.0742660240332816</v>
      </c>
      <c r="P747" s="7">
        <v>9.832954556179642</v>
      </c>
      <c r="Q747" s="7">
        <v>0.0352061322197704</v>
      </c>
      <c r="R747" s="7">
        <v>0.1144912473558265</v>
      </c>
      <c r="S747" s="7">
        <v>0.1316766078753454</v>
      </c>
      <c r="T747" s="7">
        <v>0.3220839732861547</v>
      </c>
    </row>
    <row x14ac:dyDescent="0.25" r="748" customHeight="1" ht="19.5">
      <c r="A748" s="2" t="s">
        <v>3060</v>
      </c>
      <c r="B748" s="2" t="s">
        <v>2314</v>
      </c>
      <c r="C748" s="2" t="s">
        <v>31</v>
      </c>
      <c r="D748" s="2" t="s">
        <v>650</v>
      </c>
      <c r="E748" s="6">
        <v>1</v>
      </c>
      <c r="F748" s="6">
        <v>1</v>
      </c>
      <c r="G748" s="7">
        <v>0.6044789552688599</v>
      </c>
      <c r="H748" s="7">
        <v>7.8755015625</v>
      </c>
      <c r="I748" s="7">
        <v>19.43711360873508</v>
      </c>
      <c r="J748" s="7">
        <v>9.069188268050386</v>
      </c>
      <c r="K748" s="7">
        <v>0.9479412992016776</v>
      </c>
      <c r="L748" s="7">
        <v>0.9949404517415512</v>
      </c>
      <c r="M748" s="7">
        <v>0.2619537016609269</v>
      </c>
      <c r="N748" s="7">
        <v>0.2129230873320317</v>
      </c>
      <c r="O748" s="7">
        <v>0.0766438525414297</v>
      </c>
      <c r="P748" s="7">
        <v>9.81596399033725</v>
      </c>
      <c r="Q748" s="7">
        <v>0.0355001037835108</v>
      </c>
      <c r="R748" s="7">
        <v>0.1145616769755577</v>
      </c>
      <c r="S748" s="7">
        <v>0.1329440302271524</v>
      </c>
      <c r="T748" s="7">
        <v>0.3244879881424826</v>
      </c>
    </row>
    <row x14ac:dyDescent="0.25" r="749" customHeight="1" ht="19.5">
      <c r="A749" s="2" t="s">
        <v>3061</v>
      </c>
      <c r="B749" s="2" t="s">
        <v>2314</v>
      </c>
      <c r="C749" s="2" t="s">
        <v>31</v>
      </c>
      <c r="D749" s="2" t="s">
        <v>650</v>
      </c>
      <c r="E749" s="6">
        <v>1</v>
      </c>
      <c r="F749" s="6">
        <v>1</v>
      </c>
      <c r="G749" s="7">
        <v>0.6045899987220764</v>
      </c>
      <c r="H749" s="7">
        <v>7.84433203125</v>
      </c>
      <c r="I749" s="7">
        <v>19.38836096278124</v>
      </c>
      <c r="J749" s="7">
        <v>9.069695849685605</v>
      </c>
      <c r="K749" s="7">
        <v>0.9466167859520892</v>
      </c>
      <c r="L749" s="7">
        <v>0.9949569876514528</v>
      </c>
      <c r="M749" s="7">
        <v>0.2622307631290696</v>
      </c>
      <c r="N749" s="7">
        <v>0.2184109717824624</v>
      </c>
      <c r="O749" s="7">
        <v>0.079078996222131</v>
      </c>
      <c r="P749" s="7">
        <v>9.790423797886962</v>
      </c>
      <c r="Q749" s="7">
        <v>0.0354462580368592</v>
      </c>
      <c r="R749" s="7">
        <v>0.1137096801850204</v>
      </c>
      <c r="S749" s="7">
        <v>0.1315823247106368</v>
      </c>
      <c r="T749" s="7">
        <v>0.3227135068476474</v>
      </c>
    </row>
    <row x14ac:dyDescent="0.25" r="750" customHeight="1" ht="19.5">
      <c r="A750" s="2" t="s">
        <v>3062</v>
      </c>
      <c r="B750" s="2" t="s">
        <v>2314</v>
      </c>
      <c r="C750" s="2" t="s">
        <v>31</v>
      </c>
      <c r="D750" s="2" t="s">
        <v>650</v>
      </c>
      <c r="E750" s="6">
        <v>1</v>
      </c>
      <c r="F750" s="6">
        <v>1</v>
      </c>
      <c r="G750" s="7">
        <v>0.6026161909103394</v>
      </c>
      <c r="H750" s="7">
        <v>7.889354687500001</v>
      </c>
      <c r="I750" s="7">
        <v>19.43711360873508</v>
      </c>
      <c r="J750" s="7">
        <v>9.069171191241772</v>
      </c>
      <c r="K750" s="7">
        <v>0.947911175283682</v>
      </c>
      <c r="L750" s="7">
        <v>0.994931655925643</v>
      </c>
      <c r="M750" s="7">
        <v>0.2624144821387825</v>
      </c>
      <c r="N750" s="7">
        <v>0.2164246114742499</v>
      </c>
      <c r="O750" s="7">
        <v>0.0752710422380783</v>
      </c>
      <c r="P750" s="7">
        <v>9.808726880375607</v>
      </c>
      <c r="Q750" s="7">
        <v>0.0350656531551415</v>
      </c>
      <c r="R750" s="7">
        <v>0.1136955283587833</v>
      </c>
      <c r="S750" s="7">
        <v>0.1337824365459389</v>
      </c>
      <c r="T750" s="7">
        <v>0.3210806948897426</v>
      </c>
    </row>
    <row x14ac:dyDescent="0.25" r="751" customHeight="1" ht="19.5">
      <c r="A751" s="2" t="s">
        <v>3063</v>
      </c>
      <c r="B751" s="2" t="s">
        <v>2314</v>
      </c>
      <c r="C751" s="2" t="s">
        <v>31</v>
      </c>
      <c r="D751" s="2" t="s">
        <v>650</v>
      </c>
      <c r="E751" s="6">
        <v>1</v>
      </c>
      <c r="F751" s="6">
        <v>1</v>
      </c>
      <c r="G751" s="7">
        <v>0.6044694185256958</v>
      </c>
      <c r="H751" s="7">
        <v>7.8616484375</v>
      </c>
      <c r="I751" s="7">
        <v>19.42283428933599</v>
      </c>
      <c r="J751" s="7">
        <v>9.012922973625514</v>
      </c>
      <c r="K751" s="7">
        <v>0.9472739058240368</v>
      </c>
      <c r="L751" s="7">
        <v>0.9948655813648604</v>
      </c>
      <c r="M751" s="7">
        <v>0.2618775523290446</v>
      </c>
      <c r="N751" s="7">
        <v>0.2149485164522571</v>
      </c>
      <c r="O751" s="7">
        <v>0.0724603238708613</v>
      </c>
      <c r="P751" s="7">
        <v>9.813032053987364</v>
      </c>
      <c r="Q751" s="7">
        <v>0.0355354559851587</v>
      </c>
      <c r="R751" s="7">
        <v>0.1151765057343706</v>
      </c>
      <c r="S751" s="7">
        <v>0.1330711632405165</v>
      </c>
      <c r="T751" s="7">
        <v>0.3242397766101316</v>
      </c>
    </row>
    <row x14ac:dyDescent="0.25" r="752" customHeight="1" ht="19.5">
      <c r="A752" s="2" t="s">
        <v>3064</v>
      </c>
      <c r="B752" s="2" t="s">
        <v>2314</v>
      </c>
      <c r="C752" s="2" t="s">
        <v>31</v>
      </c>
      <c r="D752" s="2" t="s">
        <v>650</v>
      </c>
      <c r="E752" s="6">
        <v>1</v>
      </c>
      <c r="F752" s="6">
        <v>1</v>
      </c>
      <c r="G752" s="7">
        <v>0.6061615347862244</v>
      </c>
      <c r="H752" s="7">
        <v>8.0555921875</v>
      </c>
      <c r="I752" s="7">
        <v>19.48586625468892</v>
      </c>
      <c r="J752" s="7">
        <v>9.0708790454292</v>
      </c>
      <c r="K752" s="7">
        <v>0.9882081390089652</v>
      </c>
      <c r="L752" s="7">
        <v>0.9945956379453388</v>
      </c>
      <c r="M752" s="7">
        <v>0.2666047613849009</v>
      </c>
      <c r="N752" s="7">
        <v>0.2311992001016017</v>
      </c>
      <c r="O752" s="7">
        <v>0.0962304999668816</v>
      </c>
      <c r="P752" s="7">
        <v>9.66431583811238</v>
      </c>
      <c r="Q752" s="7">
        <v>0.0339205830972926</v>
      </c>
      <c r="R752" s="7">
        <v>0.1123085627757733</v>
      </c>
      <c r="S752" s="7">
        <v>0.1316933512028847</v>
      </c>
      <c r="T752" s="7">
        <v>0.3171403939336737</v>
      </c>
    </row>
    <row x14ac:dyDescent="0.25" r="753" customHeight="1" ht="19.5">
      <c r="A753" s="2" t="s">
        <v>3065</v>
      </c>
      <c r="B753" s="2" t="s">
        <v>2314</v>
      </c>
      <c r="C753" s="2" t="s">
        <v>31</v>
      </c>
      <c r="D753" s="2" t="s">
        <v>650</v>
      </c>
      <c r="E753" s="6">
        <v>1</v>
      </c>
      <c r="F753" s="6">
        <v>1</v>
      </c>
      <c r="G753" s="7">
        <v>0.5974665880203247</v>
      </c>
      <c r="H753" s="7">
        <v>7.885891406250001</v>
      </c>
      <c r="I753" s="7">
        <v>19.38836096278124</v>
      </c>
      <c r="J753" s="7">
        <v>9.06990601976814</v>
      </c>
      <c r="K753" s="7">
        <v>0.9537359725340346</v>
      </c>
      <c r="L753" s="7">
        <v>0.9949004031887873</v>
      </c>
      <c r="M753" s="7">
        <v>0.2636200651853826</v>
      </c>
      <c r="N753" s="7">
        <v>0.2183064516836531</v>
      </c>
      <c r="O753" s="7">
        <v>0.07910966404935</v>
      </c>
      <c r="P753" s="7">
        <v>9.797478753120298</v>
      </c>
      <c r="Q753" s="7">
        <v>0.034880771101029</v>
      </c>
      <c r="R753" s="7">
        <v>0.1133784565948742</v>
      </c>
      <c r="S753" s="7">
        <v>0.1335671714432788</v>
      </c>
      <c r="T753" s="7">
        <v>0.3192476062354323</v>
      </c>
    </row>
    <row x14ac:dyDescent="0.25" r="754" customHeight="1" ht="19.5">
      <c r="A754" s="2" t="s">
        <v>3066</v>
      </c>
      <c r="B754" s="2" t="s">
        <v>2314</v>
      </c>
      <c r="C754" s="2" t="s">
        <v>31</v>
      </c>
      <c r="D754" s="2" t="s">
        <v>650</v>
      </c>
      <c r="E754" s="6">
        <v>1</v>
      </c>
      <c r="F754" s="6">
        <v>1</v>
      </c>
      <c r="G754" s="7">
        <v>0.5997399687767029</v>
      </c>
      <c r="H754" s="7">
        <v>8.00710625</v>
      </c>
      <c r="I754" s="7">
        <v>19.43711360873508</v>
      </c>
      <c r="J754" s="7">
        <v>9.07066311670476</v>
      </c>
      <c r="K754" s="7">
        <v>0.9958304863575372</v>
      </c>
      <c r="L754" s="7">
        <v>0.9946696800608552</v>
      </c>
      <c r="M754" s="7">
        <v>0.2663311162005554</v>
      </c>
      <c r="N754" s="7">
        <v>0.2380632238831361</v>
      </c>
      <c r="O754" s="7">
        <v>0.1036802230959736</v>
      </c>
      <c r="P754" s="7">
        <v>9.608547174720751</v>
      </c>
      <c r="Q754" s="7">
        <v>0.0345694663857978</v>
      </c>
      <c r="R754" s="7">
        <v>0.1131295177226759</v>
      </c>
      <c r="S754" s="7">
        <v>0.1337672042286055</v>
      </c>
      <c r="T754" s="7">
        <v>0.3212617696334093</v>
      </c>
    </row>
    <row x14ac:dyDescent="0.25" r="755" customHeight="1" ht="19.5">
      <c r="A755" s="2" t="s">
        <v>3067</v>
      </c>
      <c r="B755" s="2" t="s">
        <v>2314</v>
      </c>
      <c r="C755" s="2" t="s">
        <v>31</v>
      </c>
      <c r="D755" s="2" t="s">
        <v>650</v>
      </c>
      <c r="E755" s="6">
        <v>1</v>
      </c>
      <c r="F755" s="6">
        <v>1</v>
      </c>
      <c r="G755" s="7">
        <v>0.6030189990997314</v>
      </c>
      <c r="H755" s="7">
        <v>7.89281796875</v>
      </c>
      <c r="I755" s="7">
        <v>19.38836096278124</v>
      </c>
      <c r="J755" s="7">
        <v>9.06988260444372</v>
      </c>
      <c r="K755" s="7">
        <v>0.9488494409253184</v>
      </c>
      <c r="L755" s="7">
        <v>0.9948922191439624</v>
      </c>
      <c r="M755" s="7">
        <v>0.2638516155281014</v>
      </c>
      <c r="N755" s="7">
        <v>0.2174513502127659</v>
      </c>
      <c r="O755" s="7">
        <v>0.0766303788594903</v>
      </c>
      <c r="P755" s="7">
        <v>9.814583598263756</v>
      </c>
      <c r="Q755" s="7">
        <v>0.0351192134052491</v>
      </c>
      <c r="R755" s="7">
        <v>0.1129899786253643</v>
      </c>
      <c r="S755" s="7">
        <v>0.1347103242849505</v>
      </c>
      <c r="T755" s="7">
        <v>0.3217122862323872</v>
      </c>
    </row>
    <row x14ac:dyDescent="0.25" r="756" customHeight="1" ht="19.5">
      <c r="A756" s="2" t="s">
        <v>3068</v>
      </c>
      <c r="B756" s="2" t="s">
        <v>2314</v>
      </c>
      <c r="C756" s="2" t="s">
        <v>31</v>
      </c>
      <c r="D756" s="2" t="s">
        <v>650</v>
      </c>
      <c r="E756" s="6">
        <v>1</v>
      </c>
      <c r="F756" s="6">
        <v>1</v>
      </c>
      <c r="G756" s="7">
        <v>0.6046130061149597</v>
      </c>
      <c r="H756" s="7">
        <v>7.865111718750001</v>
      </c>
      <c r="I756" s="7">
        <v>19.3396083168274</v>
      </c>
      <c r="J756" s="7">
        <v>9.06978861206803</v>
      </c>
      <c r="K756" s="7">
        <v>0.9477230270393991</v>
      </c>
      <c r="L756" s="7">
        <v>0.9949213839999584</v>
      </c>
      <c r="M756" s="7">
        <v>0.2642526867748521</v>
      </c>
      <c r="N756" s="7">
        <v>0.2174088572488026</v>
      </c>
      <c r="O756" s="7">
        <v>0.0787340239225261</v>
      </c>
      <c r="P756" s="7">
        <v>9.77647872327391</v>
      </c>
      <c r="Q756" s="7">
        <v>0.0355043999805699</v>
      </c>
      <c r="R756" s="7">
        <v>0.1148542365655342</v>
      </c>
      <c r="S756" s="7">
        <v>0.136088448608571</v>
      </c>
      <c r="T756" s="7">
        <v>0.3240991212221745</v>
      </c>
    </row>
    <row x14ac:dyDescent="0.25" r="757" customHeight="1" ht="19.5">
      <c r="A757" s="2" t="s">
        <v>3069</v>
      </c>
      <c r="B757" s="2" t="s">
        <v>2314</v>
      </c>
      <c r="C757" s="2" t="s">
        <v>31</v>
      </c>
      <c r="D757" s="2" t="s">
        <v>650</v>
      </c>
      <c r="E757" s="6">
        <v>1</v>
      </c>
      <c r="F757" s="6">
        <v>1</v>
      </c>
      <c r="G757" s="7">
        <v>0.60882169008255</v>
      </c>
      <c r="H757" s="7">
        <v>8.2772421875</v>
      </c>
      <c r="I757" s="7">
        <v>19.40264028218033</v>
      </c>
      <c r="J757" s="7">
        <v>8.949128493356586</v>
      </c>
      <c r="K757" s="7">
        <v>1.058061677804858</v>
      </c>
      <c r="L757" s="7">
        <v>0.9939765969097692</v>
      </c>
      <c r="M757" s="7">
        <v>0.2762955323037508</v>
      </c>
      <c r="N757" s="7">
        <v>0.207407547719076</v>
      </c>
      <c r="O757" s="7">
        <v>0.0641623050025245</v>
      </c>
      <c r="P757" s="7">
        <v>9.784214056502664</v>
      </c>
      <c r="Q757" s="7">
        <v>0.0220226702473893</v>
      </c>
      <c r="R757" s="7">
        <v>0.0865018626455541</v>
      </c>
      <c r="S757" s="7">
        <v>0.1007253395596599</v>
      </c>
      <c r="T757" s="7">
        <v>0.2115662648060567</v>
      </c>
    </row>
    <row x14ac:dyDescent="0.25" r="758" customHeight="1" ht="19.5">
      <c r="A758" s="2" t="s">
        <v>3070</v>
      </c>
      <c r="B758" s="2" t="s">
        <v>2314</v>
      </c>
      <c r="C758" s="2" t="s">
        <v>31</v>
      </c>
      <c r="D758" s="2" t="s">
        <v>650</v>
      </c>
      <c r="E758" s="6">
        <v>1</v>
      </c>
      <c r="F758" s="6">
        <v>1</v>
      </c>
      <c r="G758" s="7">
        <v>0.2964949011802673</v>
      </c>
      <c r="H758" s="7">
        <v>6.51096875</v>
      </c>
      <c r="I758" s="7">
        <v>16.90831105080871</v>
      </c>
      <c r="J758" s="7">
        <v>7.87550183196087</v>
      </c>
      <c r="K758" s="7">
        <v>0.8548735030447072</v>
      </c>
      <c r="L758" s="7">
        <v>0.9939784111679988</v>
      </c>
      <c r="M758" s="7">
        <v>0.2861903709921883</v>
      </c>
      <c r="N758" s="7">
        <v>0.4700811648932494</v>
      </c>
      <c r="O758" s="7">
        <v>0.0893069835242226</v>
      </c>
      <c r="P758" s="7">
        <v>7.513269997159999</v>
      </c>
      <c r="Q758" s="7">
        <v>0.0058775291201166</v>
      </c>
      <c r="R758" s="7">
        <v>0.0222192284700262</v>
      </c>
      <c r="S758" s="7">
        <v>0.0317441546914987</v>
      </c>
      <c r="T758" s="7">
        <v>0.0444151548403598</v>
      </c>
    </row>
    <row x14ac:dyDescent="0.25" r="759" customHeight="1" ht="19.5">
      <c r="A759" s="2" t="s">
        <v>3071</v>
      </c>
      <c r="B759" s="2" t="s">
        <v>2314</v>
      </c>
      <c r="C759" s="2" t="s">
        <v>31</v>
      </c>
      <c r="D759" s="2" t="s">
        <v>840</v>
      </c>
      <c r="E759" s="6">
        <v>1</v>
      </c>
      <c r="F759" s="6">
        <v>1</v>
      </c>
      <c r="G759" s="7">
        <v>0.3705955743789673</v>
      </c>
      <c r="H759" s="7">
        <v>5.39232890625</v>
      </c>
      <c r="I759" s="7">
        <v>13.52950470452678</v>
      </c>
      <c r="J759" s="7">
        <v>6.028982275927664</v>
      </c>
      <c r="K759" s="7">
        <v>0.9098428980759184</v>
      </c>
      <c r="L759" s="7">
        <v>0.9884148038081458</v>
      </c>
      <c r="M759" s="7">
        <v>0.3701880900721934</v>
      </c>
      <c r="N759" s="7">
        <v>0.3525727317441741</v>
      </c>
      <c r="O759" s="7">
        <v>0.0620291909326135</v>
      </c>
      <c r="P759" s="7">
        <v>8.57973373389995</v>
      </c>
      <c r="Q759" s="7">
        <v>0.0145607381998348</v>
      </c>
      <c r="R759" s="7">
        <v>0.0367573324074004</v>
      </c>
      <c r="S759" s="7">
        <v>0.0441873599877628</v>
      </c>
      <c r="T759" s="7">
        <v>0.0911277290713907</v>
      </c>
    </row>
    <row x14ac:dyDescent="0.25" r="760" customHeight="1" ht="19.5">
      <c r="A760" s="2" t="s">
        <v>3072</v>
      </c>
      <c r="B760" s="2" t="s">
        <v>2314</v>
      </c>
      <c r="C760" s="2" t="s">
        <v>31</v>
      </c>
      <c r="D760" s="2" t="s">
        <v>840</v>
      </c>
      <c r="E760" s="6">
        <v>1</v>
      </c>
      <c r="F760" s="6">
        <v>1</v>
      </c>
      <c r="G760" s="7">
        <v>0.3547416925430298</v>
      </c>
      <c r="H760" s="7">
        <v>5.3126734375</v>
      </c>
      <c r="I760" s="7">
        <v>13.54378402392588</v>
      </c>
      <c r="J760" s="7">
        <v>6.093805058128709</v>
      </c>
      <c r="K760" s="7">
        <v>0.9232244994077808</v>
      </c>
      <c r="L760" s="7">
        <v>0.9889466312172024</v>
      </c>
      <c r="M760" s="7">
        <v>0.3639510242534437</v>
      </c>
      <c r="N760" s="7">
        <v>0.3351895028520813</v>
      </c>
      <c r="O760" s="7">
        <v>0.0625740883105771</v>
      </c>
      <c r="P760" s="7">
        <v>8.764868431290688</v>
      </c>
      <c r="Q760" s="7">
        <v>0.025164616349416</v>
      </c>
      <c r="R760" s="7">
        <v>0.0587817057998564</v>
      </c>
      <c r="S760" s="7">
        <v>0.0688374377544826</v>
      </c>
      <c r="T760" s="7">
        <v>0.1551651605128515</v>
      </c>
    </row>
    <row x14ac:dyDescent="0.25" r="761" customHeight="1" ht="19.5">
      <c r="A761" s="2" t="s">
        <v>3073</v>
      </c>
      <c r="B761" s="2" t="s">
        <v>2314</v>
      </c>
      <c r="C761" s="2" t="s">
        <v>31</v>
      </c>
      <c r="D761" s="2" t="s">
        <v>840</v>
      </c>
      <c r="E761" s="6">
        <v>1</v>
      </c>
      <c r="F761" s="6">
        <v>1</v>
      </c>
      <c r="G761" s="7">
        <v>0.3583304584026336</v>
      </c>
      <c r="H761" s="7">
        <v>5.01136796875</v>
      </c>
      <c r="I761" s="7">
        <v>13.22515945329062</v>
      </c>
      <c r="J761" s="7">
        <v>5.906542014224259</v>
      </c>
      <c r="K761" s="7">
        <v>0.8616492592063234</v>
      </c>
      <c r="L761" s="7">
        <v>0.989135854032821</v>
      </c>
      <c r="M761" s="7">
        <v>0.3600512499066517</v>
      </c>
      <c r="N761" s="7">
        <v>0.2951570840573445</v>
      </c>
      <c r="O761" s="7">
        <v>0.0533670408914675</v>
      </c>
      <c r="P761" s="7">
        <v>8.94767365244666</v>
      </c>
      <c r="Q761" s="7">
        <v>0.0382248921565284</v>
      </c>
      <c r="R761" s="7">
        <v>0.0813080197673924</v>
      </c>
      <c r="S761" s="7">
        <v>0.0894123259295949</v>
      </c>
      <c r="T761" s="7">
        <v>0.222327580442977</v>
      </c>
    </row>
    <row x14ac:dyDescent="0.25" r="762" customHeight="1" ht="19.5">
      <c r="A762" s="2" t="s">
        <v>3074</v>
      </c>
      <c r="B762" s="2" t="s">
        <v>2314</v>
      </c>
      <c r="C762" s="2" t="s">
        <v>31</v>
      </c>
      <c r="D762" s="2" t="s">
        <v>840</v>
      </c>
      <c r="E762" s="6">
        <v>1</v>
      </c>
      <c r="F762" s="6">
        <v>1</v>
      </c>
      <c r="G762" s="7">
        <v>0.421068787574768</v>
      </c>
      <c r="H762" s="7">
        <v>5.291893750000001</v>
      </c>
      <c r="I762" s="7">
        <v>13.3916113983078</v>
      </c>
      <c r="J762" s="7">
        <v>5.969891941096733</v>
      </c>
      <c r="K762" s="7">
        <v>0.9356508350273836</v>
      </c>
      <c r="L762" s="7">
        <v>0.9883560007853488</v>
      </c>
      <c r="M762" s="7">
        <v>0.370813300494701</v>
      </c>
      <c r="N762" s="7">
        <v>0.2741706399823517</v>
      </c>
      <c r="O762" s="7">
        <v>0.0542616759083118</v>
      </c>
      <c r="P762" s="7">
        <v>9.12943597999363</v>
      </c>
      <c r="Q762" s="7">
        <v>0.0466193647211091</v>
      </c>
      <c r="R762" s="7">
        <v>0.1065698876159463</v>
      </c>
      <c r="S762" s="7">
        <v>0.1188421172735765</v>
      </c>
      <c r="T762" s="7">
        <v>0.2863309189411717</v>
      </c>
    </row>
    <row x14ac:dyDescent="0.25" r="763" customHeight="1" ht="19.5">
      <c r="A763" s="2" t="s">
        <v>3075</v>
      </c>
      <c r="B763" s="2" t="s">
        <v>2314</v>
      </c>
      <c r="C763" s="2" t="s">
        <v>31</v>
      </c>
      <c r="D763" s="2" t="s">
        <v>840</v>
      </c>
      <c r="E763" s="6">
        <v>1</v>
      </c>
      <c r="F763" s="6">
        <v>1</v>
      </c>
      <c r="G763" s="7">
        <v>0.4373531341552734</v>
      </c>
      <c r="H763" s="7">
        <v>5.395792187500001</v>
      </c>
      <c r="I763" s="7">
        <v>13.54587518183651</v>
      </c>
      <c r="J763" s="7">
        <v>5.97649890093331</v>
      </c>
      <c r="K763" s="7">
        <v>0.9499411230465468</v>
      </c>
      <c r="L763" s="7">
        <v>0.987912627489478</v>
      </c>
      <c r="M763" s="7">
        <v>0.3695310533931111</v>
      </c>
      <c r="N763" s="7">
        <v>0.2824515057388134</v>
      </c>
      <c r="O763" s="7">
        <v>0.0669160100043952</v>
      </c>
      <c r="P763" s="7">
        <v>9.08477963146412</v>
      </c>
      <c r="Q763" s="7">
        <v>0.0473456225438674</v>
      </c>
      <c r="R763" s="7">
        <v>0.1110533511405074</v>
      </c>
      <c r="S763" s="7">
        <v>0.1216535809274348</v>
      </c>
      <c r="T763" s="7">
        <v>0.2965007706395987</v>
      </c>
    </row>
    <row x14ac:dyDescent="0.25" r="764" customHeight="1" ht="19.5">
      <c r="A764" s="2" t="s">
        <v>3076</v>
      </c>
      <c r="B764" s="2" t="s">
        <v>2314</v>
      </c>
      <c r="C764" s="2" t="s">
        <v>31</v>
      </c>
      <c r="D764" s="2" t="s">
        <v>840</v>
      </c>
      <c r="E764" s="6">
        <v>1</v>
      </c>
      <c r="F764" s="6">
        <v>1</v>
      </c>
      <c r="G764" s="7">
        <v>0.42903733253479</v>
      </c>
      <c r="H764" s="7">
        <v>5.4650578125</v>
      </c>
      <c r="I764" s="7">
        <v>13.47483737081638</v>
      </c>
      <c r="J764" s="7">
        <v>5.972222396958174</v>
      </c>
      <c r="K764" s="7">
        <v>0.9843429014053068</v>
      </c>
      <c r="L764" s="7">
        <v>0.987577613514384</v>
      </c>
      <c r="M764" s="7">
        <v>0.3782313822388994</v>
      </c>
      <c r="N764" s="7">
        <v>0.2711222373012521</v>
      </c>
      <c r="O764" s="7">
        <v>0.0604240818440102</v>
      </c>
      <c r="P764" s="7">
        <v>9.1752395811758</v>
      </c>
      <c r="Q764" s="7">
        <v>0.0450612729391959</v>
      </c>
      <c r="R764" s="7">
        <v>0.1089275272664113</v>
      </c>
      <c r="S764" s="7">
        <v>0.11954972757657</v>
      </c>
      <c r="T764" s="7">
        <v>0.2858176187036287</v>
      </c>
    </row>
    <row x14ac:dyDescent="0.25" r="765" customHeight="1" ht="19.5">
      <c r="A765" s="2" t="s">
        <v>3077</v>
      </c>
      <c r="B765" s="2" t="s">
        <v>2314</v>
      </c>
      <c r="C765" s="2" t="s">
        <v>31</v>
      </c>
      <c r="D765" s="2" t="s">
        <v>840</v>
      </c>
      <c r="E765" s="6">
        <v>1</v>
      </c>
      <c r="F765" s="6">
        <v>1</v>
      </c>
      <c r="G765" s="7">
        <v>0.4281365871429443</v>
      </c>
      <c r="H765" s="7">
        <v>5.194921875</v>
      </c>
      <c r="I765" s="7">
        <v>13.34285875235396</v>
      </c>
      <c r="J765" s="7">
        <v>5.969952968524862</v>
      </c>
      <c r="K765" s="7">
        <v>0.9032978255232906</v>
      </c>
      <c r="L765" s="7">
        <v>0.988819640647409</v>
      </c>
      <c r="M765" s="7">
        <v>0.3666832800355667</v>
      </c>
      <c r="N765" s="7">
        <v>0.2839974720302579</v>
      </c>
      <c r="O765" s="7">
        <v>0.0604878941711418</v>
      </c>
      <c r="P765" s="7">
        <v>9.083432958234225</v>
      </c>
      <c r="Q765" s="7">
        <v>0.051065010500284</v>
      </c>
      <c r="R765" s="7">
        <v>0.1125165597228372</v>
      </c>
      <c r="S765" s="7">
        <v>0.1265544265008467</v>
      </c>
      <c r="T765" s="7">
        <v>0.3078883288092204</v>
      </c>
    </row>
    <row x14ac:dyDescent="0.25" r="766" customHeight="1" ht="19.5">
      <c r="A766" s="2" t="s">
        <v>3078</v>
      </c>
      <c r="B766" s="2" t="s">
        <v>2314</v>
      </c>
      <c r="C766" s="2" t="s">
        <v>31</v>
      </c>
      <c r="D766" s="2" t="s">
        <v>840</v>
      </c>
      <c r="E766" s="6">
        <v>1</v>
      </c>
      <c r="F766" s="6">
        <v>1</v>
      </c>
      <c r="G766" s="7">
        <v>0.4417726993560791</v>
      </c>
      <c r="H766" s="7">
        <v>5.08756015625</v>
      </c>
      <c r="I766" s="7">
        <v>13.32857943295486</v>
      </c>
      <c r="J766" s="7">
        <v>5.963754246296742</v>
      </c>
      <c r="K766" s="7">
        <v>0.8479279547170578</v>
      </c>
      <c r="L766" s="7">
        <v>0.9894679303866296</v>
      </c>
      <c r="M766" s="7">
        <v>0.3598750120054788</v>
      </c>
      <c r="N766" s="7">
        <v>0.2673009503999749</v>
      </c>
      <c r="O766" s="7">
        <v>0.0493362450128708</v>
      </c>
      <c r="P766" s="7">
        <v>9.120241385846388</v>
      </c>
      <c r="Q766" s="7">
        <v>0.0524648670819384</v>
      </c>
      <c r="R766" s="7">
        <v>0.1145596419554028</v>
      </c>
      <c r="S766" s="7">
        <v>0.1274494082982284</v>
      </c>
      <c r="T766" s="7">
        <v>0.3097910840899971</v>
      </c>
    </row>
    <row x14ac:dyDescent="0.25" r="767" customHeight="1" ht="19.5">
      <c r="A767" s="2" t="s">
        <v>3079</v>
      </c>
      <c r="B767" s="2" t="s">
        <v>2314</v>
      </c>
      <c r="C767" s="2" t="s">
        <v>31</v>
      </c>
      <c r="D767" s="2" t="s">
        <v>840</v>
      </c>
      <c r="E767" s="6">
        <v>1</v>
      </c>
      <c r="F767" s="6">
        <v>1</v>
      </c>
      <c r="G767" s="7">
        <v>0.4350729584693908</v>
      </c>
      <c r="H767" s="7">
        <v>5.056390625000001</v>
      </c>
      <c r="I767" s="7">
        <v>13.3773320789087</v>
      </c>
      <c r="J767" s="7">
        <v>5.965350402067529</v>
      </c>
      <c r="K767" s="7">
        <v>0.8562079156929358</v>
      </c>
      <c r="L767" s="7">
        <v>0.9895160695524164</v>
      </c>
      <c r="M767" s="7">
        <v>0.3550679438386821</v>
      </c>
      <c r="N767" s="7">
        <v>0.2686127748028034</v>
      </c>
      <c r="O767" s="7">
        <v>0.0508688510031953</v>
      </c>
      <c r="P767" s="7">
        <v>9.086384481002622</v>
      </c>
      <c r="Q767" s="7">
        <v>0.0536182863624847</v>
      </c>
      <c r="R767" s="7">
        <v>0.1147152689452666</v>
      </c>
      <c r="S767" s="7">
        <v>0.1261897963338484</v>
      </c>
      <c r="T767" s="7">
        <v>0.3146620207357706</v>
      </c>
    </row>
    <row x14ac:dyDescent="0.25" r="768" customHeight="1" ht="19.5">
      <c r="A768" s="2" t="s">
        <v>3080</v>
      </c>
      <c r="B768" s="2" t="s">
        <v>2314</v>
      </c>
      <c r="C768" s="2" t="s">
        <v>31</v>
      </c>
      <c r="D768" s="2" t="s">
        <v>840</v>
      </c>
      <c r="E768" s="6">
        <v>1</v>
      </c>
      <c r="F768" s="6">
        <v>1</v>
      </c>
      <c r="G768" s="7">
        <v>0.417481005191803</v>
      </c>
      <c r="H768" s="7">
        <v>5.26072421875</v>
      </c>
      <c r="I768" s="7">
        <v>13.42608472486254</v>
      </c>
      <c r="J768" s="7">
        <v>5.967367172819742</v>
      </c>
      <c r="K768" s="7">
        <v>0.9270792001800277</v>
      </c>
      <c r="L768" s="7">
        <v>0.9885625209428948</v>
      </c>
      <c r="M768" s="7">
        <v>0.3667386083229202</v>
      </c>
      <c r="N768" s="7">
        <v>0.2830837213860742</v>
      </c>
      <c r="O768" s="7">
        <v>0.0566442088716409</v>
      </c>
      <c r="P768" s="7">
        <v>9.085544795443264</v>
      </c>
      <c r="Q768" s="7">
        <v>0.0485144174205799</v>
      </c>
      <c r="R768" s="7">
        <v>0.111086977069509</v>
      </c>
      <c r="S768" s="7">
        <v>0.122976108311766</v>
      </c>
      <c r="T768" s="7">
        <v>0.2962150608544961</v>
      </c>
    </row>
    <row x14ac:dyDescent="0.25" r="769" customHeight="1" ht="19.5">
      <c r="A769" s="2" t="s">
        <v>3081</v>
      </c>
      <c r="B769" s="2" t="s">
        <v>2314</v>
      </c>
      <c r="C769" s="2" t="s">
        <v>31</v>
      </c>
      <c r="D769" s="2" t="s">
        <v>840</v>
      </c>
      <c r="E769" s="6">
        <v>1</v>
      </c>
      <c r="F769" s="6">
        <v>1</v>
      </c>
      <c r="G769" s="7">
        <v>0.4175002574920654</v>
      </c>
      <c r="H769" s="7">
        <v>5.250334375</v>
      </c>
      <c r="I769" s="7">
        <v>13.3916113983078</v>
      </c>
      <c r="J769" s="7">
        <v>5.968724656717908</v>
      </c>
      <c r="K769" s="7">
        <v>0.935012639952455</v>
      </c>
      <c r="L769" s="7">
        <v>0.9886182637252764</v>
      </c>
      <c r="M769" s="7">
        <v>0.3679011541557374</v>
      </c>
      <c r="N769" s="7">
        <v>0.2824364381928583</v>
      </c>
      <c r="O769" s="7">
        <v>0.0582418919153616</v>
      </c>
      <c r="P769" s="7">
        <v>9.077428125997267</v>
      </c>
      <c r="Q769" s="7">
        <v>0.0496803006288176</v>
      </c>
      <c r="R769" s="7">
        <v>0.1121915515580037</v>
      </c>
      <c r="S769" s="7">
        <v>0.1246534862942895</v>
      </c>
      <c r="T769" s="7">
        <v>0.3027345290719311</v>
      </c>
    </row>
    <row x14ac:dyDescent="0.25" r="770" customHeight="1" ht="19.5">
      <c r="A770" s="2" t="s">
        <v>3082</v>
      </c>
      <c r="B770" s="2" t="s">
        <v>2314</v>
      </c>
      <c r="C770" s="2" t="s">
        <v>31</v>
      </c>
      <c r="D770" s="2" t="s">
        <v>840</v>
      </c>
      <c r="E770" s="6">
        <v>1</v>
      </c>
      <c r="F770" s="6">
        <v>1</v>
      </c>
      <c r="G770" s="7">
        <v>0.4278393983840942</v>
      </c>
      <c r="H770" s="7">
        <v>5.236481250000001</v>
      </c>
      <c r="I770" s="7">
        <v>13.42608472486254</v>
      </c>
      <c r="J770" s="7">
        <v>5.969082131823448</v>
      </c>
      <c r="K770" s="7">
        <v>0.9348168233457156</v>
      </c>
      <c r="L770" s="7">
        <v>0.9886921354774916</v>
      </c>
      <c r="M770" s="7">
        <v>0.3650485686532294</v>
      </c>
      <c r="N770" s="7">
        <v>0.2872479303142711</v>
      </c>
      <c r="O770" s="7">
        <v>0.0591968333714926</v>
      </c>
      <c r="P770" s="7">
        <v>9.041893588862465</v>
      </c>
      <c r="Q770" s="7">
        <v>0.049241222031947</v>
      </c>
      <c r="R770" s="7">
        <v>0.1101657610521496</v>
      </c>
      <c r="S770" s="7">
        <v>0.1204902316772732</v>
      </c>
      <c r="T770" s="7">
        <v>0.299267224087508</v>
      </c>
    </row>
    <row x14ac:dyDescent="0.25" r="771" customHeight="1" ht="19.5">
      <c r="A771" s="2" t="s">
        <v>3083</v>
      </c>
      <c r="B771" s="2" t="s">
        <v>2314</v>
      </c>
      <c r="C771" s="2" t="s">
        <v>31</v>
      </c>
      <c r="D771" s="2" t="s">
        <v>840</v>
      </c>
      <c r="E771" s="6">
        <v>1</v>
      </c>
      <c r="F771" s="6">
        <v>1</v>
      </c>
      <c r="G771" s="7">
        <v>0.4145286679267883</v>
      </c>
      <c r="H771" s="7">
        <v>5.288430468750001</v>
      </c>
      <c r="I771" s="7">
        <v>13.42608472486254</v>
      </c>
      <c r="J771" s="7">
        <v>5.96891294188962</v>
      </c>
      <c r="K771" s="7">
        <v>0.9322656510007268</v>
      </c>
      <c r="L771" s="7">
        <v>0.9884589912605004</v>
      </c>
      <c r="M771" s="7">
        <v>0.3686700822311383</v>
      </c>
      <c r="N771" s="7">
        <v>0.2777164103750559</v>
      </c>
      <c r="O771" s="7">
        <v>0.0558685535279724</v>
      </c>
      <c r="P771" s="7">
        <v>9.092508994966366</v>
      </c>
      <c r="Q771" s="7">
        <v>0.0480383921578834</v>
      </c>
      <c r="R771" s="7">
        <v>0.110215201366062</v>
      </c>
      <c r="S771" s="7">
        <v>0.1215451067975356</v>
      </c>
      <c r="T771" s="7">
        <v>0.2948533333823962</v>
      </c>
    </row>
    <row x14ac:dyDescent="0.25" r="772" customHeight="1" ht="19.5">
      <c r="A772" s="2" t="s">
        <v>3084</v>
      </c>
      <c r="B772" s="2" t="s">
        <v>2314</v>
      </c>
      <c r="C772" s="2" t="s">
        <v>31</v>
      </c>
      <c r="D772" s="2" t="s">
        <v>840</v>
      </c>
      <c r="E772" s="6">
        <v>1</v>
      </c>
      <c r="F772" s="6">
        <v>1</v>
      </c>
      <c r="G772" s="7">
        <v>0.4303312003612518</v>
      </c>
      <c r="H772" s="7">
        <v>5.4927640625</v>
      </c>
      <c r="I772" s="7">
        <v>13.50931069737113</v>
      </c>
      <c r="J772" s="7">
        <v>5.974367878483839</v>
      </c>
      <c r="K772" s="7">
        <v>0.9850426934009192</v>
      </c>
      <c r="L772" s="7">
        <v>0.9875583863536924</v>
      </c>
      <c r="M772" s="7">
        <v>0.3782112375292013</v>
      </c>
      <c r="N772" s="7">
        <v>0.276687812215376</v>
      </c>
      <c r="O772" s="7">
        <v>0.0592017381375284</v>
      </c>
      <c r="P772" s="7">
        <v>9.102921162561376</v>
      </c>
      <c r="Q772" s="7">
        <v>0.0449221246042283</v>
      </c>
      <c r="R772" s="7">
        <v>0.1082455672139479</v>
      </c>
      <c r="S772" s="7">
        <v>0.1205164999988331</v>
      </c>
      <c r="T772" s="7">
        <v>0.2863795569403087</v>
      </c>
    </row>
    <row x14ac:dyDescent="0.25" r="773" customHeight="1" ht="19.5">
      <c r="A773" s="2" t="s">
        <v>3085</v>
      </c>
      <c r="B773" s="2" t="s">
        <v>2314</v>
      </c>
      <c r="C773" s="2" t="s">
        <v>31</v>
      </c>
      <c r="D773" s="2" t="s">
        <v>840</v>
      </c>
      <c r="E773" s="6">
        <v>1</v>
      </c>
      <c r="F773" s="6">
        <v>1</v>
      </c>
      <c r="G773" s="7">
        <v>0.4375677704811096</v>
      </c>
      <c r="H773" s="7">
        <v>5.278040625</v>
      </c>
      <c r="I773" s="7">
        <v>13.35713807175305</v>
      </c>
      <c r="J773" s="7">
        <v>5.968248696874216</v>
      </c>
      <c r="K773" s="7">
        <v>0.9334979003588408</v>
      </c>
      <c r="L773" s="7">
        <v>0.9883776422565222</v>
      </c>
      <c r="M773" s="7">
        <v>0.3717540958738906</v>
      </c>
      <c r="N773" s="7">
        <v>0.2842377789041563</v>
      </c>
      <c r="O773" s="7">
        <v>0.0561749175326592</v>
      </c>
      <c r="P773" s="7">
        <v>9.103845869554386</v>
      </c>
      <c r="Q773" s="7">
        <v>0.0482499670226418</v>
      </c>
      <c r="R773" s="7">
        <v>0.1081870804218278</v>
      </c>
      <c r="S773" s="7">
        <v>0.1191111238159239</v>
      </c>
      <c r="T773" s="7">
        <v>0.2955701211302889</v>
      </c>
    </row>
    <row x14ac:dyDescent="0.25" r="774" customHeight="1" ht="19.5">
      <c r="A774" s="2" t="s">
        <v>3086</v>
      </c>
      <c r="B774" s="2" t="s">
        <v>2314</v>
      </c>
      <c r="C774" s="2" t="s">
        <v>31</v>
      </c>
      <c r="D774" s="2" t="s">
        <v>840</v>
      </c>
      <c r="E774" s="6">
        <v>1</v>
      </c>
      <c r="F774" s="6">
        <v>1</v>
      </c>
      <c r="G774" s="7">
        <v>0.4133431315422058</v>
      </c>
      <c r="H774" s="7">
        <v>5.26765078125</v>
      </c>
      <c r="I774" s="7">
        <v>13.3916113983078</v>
      </c>
      <c r="J774" s="7">
        <v>5.967657659926566</v>
      </c>
      <c r="K774" s="7">
        <v>0.9289375247195324</v>
      </c>
      <c r="L774" s="7">
        <v>0.9884928547198872</v>
      </c>
      <c r="M774" s="7">
        <v>0.3691145484636388</v>
      </c>
      <c r="N774" s="7">
        <v>0.2783866182830787</v>
      </c>
      <c r="O774" s="7">
        <v>0.0565736219161066</v>
      </c>
      <c r="P774" s="7">
        <v>9.066850578825022</v>
      </c>
      <c r="Q774" s="7">
        <v>0.048393383587699</v>
      </c>
      <c r="R774" s="7">
        <v>0.1086951929621072</v>
      </c>
      <c r="S774" s="7">
        <v>0.119648609808174</v>
      </c>
      <c r="T774" s="7">
        <v>0.2958651033691955</v>
      </c>
    </row>
    <row x14ac:dyDescent="0.25" r="775" customHeight="1" ht="19.5">
      <c r="A775" s="2" t="s">
        <v>3087</v>
      </c>
      <c r="B775" s="2" t="s">
        <v>2314</v>
      </c>
      <c r="C775" s="2" t="s">
        <v>31</v>
      </c>
      <c r="D775" s="2" t="s">
        <v>840</v>
      </c>
      <c r="E775" s="6">
        <v>1</v>
      </c>
      <c r="F775" s="6">
        <v>1</v>
      </c>
      <c r="G775" s="7">
        <v>0.4277387857437134</v>
      </c>
      <c r="H775" s="7">
        <v>5.26072421875</v>
      </c>
      <c r="I775" s="7">
        <v>13.42608472486254</v>
      </c>
      <c r="J775" s="7">
        <v>5.968701690191454</v>
      </c>
      <c r="K775" s="7">
        <v>0.9332690041579011</v>
      </c>
      <c r="L775" s="7">
        <v>0.9885591456532854</v>
      </c>
      <c r="M775" s="7">
        <v>0.3667386083229203</v>
      </c>
      <c r="N775" s="7">
        <v>0.2820880011590432</v>
      </c>
      <c r="O775" s="7">
        <v>0.0567774569871094</v>
      </c>
      <c r="P775" s="7">
        <v>9.073574399663276</v>
      </c>
      <c r="Q775" s="7">
        <v>0.0491730873270966</v>
      </c>
      <c r="R775" s="7">
        <v>0.1089272451478347</v>
      </c>
      <c r="S775" s="7">
        <v>0.1220865068433283</v>
      </c>
      <c r="T775" s="7">
        <v>0.3002367096099668</v>
      </c>
    </row>
    <row x14ac:dyDescent="0.25" r="776" customHeight="1" ht="19.5">
      <c r="A776" s="2" t="s">
        <v>3088</v>
      </c>
      <c r="B776" s="2" t="s">
        <v>2314</v>
      </c>
      <c r="C776" s="2" t="s">
        <v>31</v>
      </c>
      <c r="D776" s="2" t="s">
        <v>840</v>
      </c>
      <c r="E776" s="6">
        <v>1</v>
      </c>
      <c r="F776" s="6">
        <v>1</v>
      </c>
      <c r="G776" s="7">
        <v>0.4276861548423767</v>
      </c>
      <c r="H776" s="7">
        <v>5.26765078125</v>
      </c>
      <c r="I776" s="7">
        <v>13.42608472486254</v>
      </c>
      <c r="J776" s="7">
        <v>5.968366890002859</v>
      </c>
      <c r="K776" s="7">
        <v>0.9319563546744908</v>
      </c>
      <c r="L776" s="7">
        <v>0.9885352123904606</v>
      </c>
      <c r="M776" s="7">
        <v>0.3672214767999748</v>
      </c>
      <c r="N776" s="7">
        <v>0.285491511068355</v>
      </c>
      <c r="O776" s="7">
        <v>0.0569466495102091</v>
      </c>
      <c r="P776" s="7">
        <v>9.072420161322327</v>
      </c>
      <c r="Q776" s="7">
        <v>0.0489386582901571</v>
      </c>
      <c r="R776" s="7">
        <v>0.1104007023783394</v>
      </c>
      <c r="S776" s="7">
        <v>0.1218787245932623</v>
      </c>
      <c r="T776" s="7">
        <v>0.2991987771949778</v>
      </c>
    </row>
    <row x14ac:dyDescent="0.25" r="777" customHeight="1" ht="19.5">
      <c r="A777" s="2" t="s">
        <v>3089</v>
      </c>
      <c r="B777" s="2" t="s">
        <v>2314</v>
      </c>
      <c r="C777" s="2" t="s">
        <v>31</v>
      </c>
      <c r="D777" s="2" t="s">
        <v>840</v>
      </c>
      <c r="E777" s="6">
        <v>1</v>
      </c>
      <c r="F777" s="6">
        <v>1</v>
      </c>
      <c r="G777" s="7">
        <v>0.4192648828029632</v>
      </c>
      <c r="H777" s="7">
        <v>5.29535703125</v>
      </c>
      <c r="I777" s="7">
        <v>13.42608472486254</v>
      </c>
      <c r="J777" s="7">
        <v>5.967671230741844</v>
      </c>
      <c r="K777" s="7">
        <v>0.9290244801680538</v>
      </c>
      <c r="L777" s="7">
        <v>0.9884214453534026</v>
      </c>
      <c r="M777" s="7">
        <v>0.3691529507081929</v>
      </c>
      <c r="N777" s="7">
        <v>0.2782721136061697</v>
      </c>
      <c r="O777" s="7">
        <v>0.0545349265930893</v>
      </c>
      <c r="P777" s="7">
        <v>9.113231874332918</v>
      </c>
      <c r="Q777" s="7">
        <v>0.0476769720140977</v>
      </c>
      <c r="R777" s="7">
        <v>0.1080235382835538</v>
      </c>
      <c r="S777" s="7">
        <v>0.1191605031112333</v>
      </c>
      <c r="T777" s="7">
        <v>0.293018264993522</v>
      </c>
    </row>
    <row x14ac:dyDescent="0.25" r="778" customHeight="1" ht="19.5">
      <c r="A778" s="2" t="s">
        <v>3090</v>
      </c>
      <c r="B778" s="2" t="s">
        <v>2314</v>
      </c>
      <c r="C778" s="2" t="s">
        <v>31</v>
      </c>
      <c r="D778" s="2" t="s">
        <v>840</v>
      </c>
      <c r="E778" s="6">
        <v>1</v>
      </c>
      <c r="F778" s="6">
        <v>1</v>
      </c>
      <c r="G778" s="7">
        <v>0.4480517208576202</v>
      </c>
      <c r="H778" s="7">
        <v>5.236481250000001</v>
      </c>
      <c r="I778" s="7">
        <v>13.35713807175305</v>
      </c>
      <c r="J778" s="7">
        <v>5.969748860690664</v>
      </c>
      <c r="K778" s="7">
        <v>0.9407197905463665</v>
      </c>
      <c r="L778" s="7">
        <v>0.988561235170036</v>
      </c>
      <c r="M778" s="7">
        <v>0.3688268982685844</v>
      </c>
      <c r="N778" s="7">
        <v>0.2866992510756839</v>
      </c>
      <c r="O778" s="7">
        <v>0.0590476044514167</v>
      </c>
      <c r="P778" s="7">
        <v>9.04345937953896</v>
      </c>
      <c r="Q778" s="7">
        <v>0.0496954028709606</v>
      </c>
      <c r="R778" s="7">
        <v>0.1104824302300577</v>
      </c>
      <c r="S778" s="7">
        <v>0.1223364973943058</v>
      </c>
      <c r="T778" s="7">
        <v>0.3020275422379624</v>
      </c>
    </row>
    <row x14ac:dyDescent="0.25" r="779" customHeight="1" ht="19.5">
      <c r="A779" s="2" t="s">
        <v>3091</v>
      </c>
      <c r="B779" s="2" t="s">
        <v>2314</v>
      </c>
      <c r="C779" s="2" t="s">
        <v>31</v>
      </c>
      <c r="D779" s="2" t="s">
        <v>840</v>
      </c>
      <c r="E779" s="6">
        <v>1</v>
      </c>
      <c r="F779" s="6">
        <v>1</v>
      </c>
      <c r="G779" s="7">
        <v>0.4153452813625335</v>
      </c>
      <c r="H779" s="7">
        <v>5.10833984375</v>
      </c>
      <c r="I779" s="7">
        <v>13.29410610640012</v>
      </c>
      <c r="J779" s="7">
        <v>5.963677131720642</v>
      </c>
      <c r="K779" s="7">
        <v>0.8474294222934495</v>
      </c>
      <c r="L779" s="7">
        <v>0.9893062283011678</v>
      </c>
      <c r="M779" s="7">
        <v>0.3632213468433803</v>
      </c>
      <c r="N779" s="7">
        <v>0.2717802858577574</v>
      </c>
      <c r="O779" s="7">
        <v>0.0507892345388562</v>
      </c>
      <c r="P779" s="7">
        <v>9.06057734067364</v>
      </c>
      <c r="Q779" s="7">
        <v>0.0508480936188069</v>
      </c>
      <c r="R779" s="7">
        <v>0.1114958894758059</v>
      </c>
      <c r="S779" s="7">
        <v>0.1229488942264108</v>
      </c>
      <c r="T779" s="7">
        <v>0.3014707887158823</v>
      </c>
    </row>
    <row x14ac:dyDescent="0.25" r="780" customHeight="1" ht="19.5">
      <c r="A780" s="2" t="s">
        <v>3092</v>
      </c>
      <c r="B780" s="2" t="s">
        <v>2314</v>
      </c>
      <c r="C780" s="2" t="s">
        <v>31</v>
      </c>
      <c r="D780" s="2" t="s">
        <v>840</v>
      </c>
      <c r="E780" s="6">
        <v>1</v>
      </c>
      <c r="F780" s="6">
        <v>1</v>
      </c>
      <c r="G780" s="7">
        <v>0.4135420024394989</v>
      </c>
      <c r="H780" s="7">
        <v>5.2641875</v>
      </c>
      <c r="I780" s="7">
        <v>13.3916113983078</v>
      </c>
      <c r="J780" s="7">
        <v>5.968963043426285</v>
      </c>
      <c r="K780" s="7">
        <v>0.9365401412228967</v>
      </c>
      <c r="L780" s="7">
        <v>0.9884902790516492</v>
      </c>
      <c r="M780" s="7">
        <v>0.3688718696020586</v>
      </c>
      <c r="N780" s="7">
        <v>0.285631577291277</v>
      </c>
      <c r="O780" s="7">
        <v>0.0575357579086432</v>
      </c>
      <c r="P780" s="7">
        <v>9.050682582376384</v>
      </c>
      <c r="Q780" s="7">
        <v>0.0488929701331413</v>
      </c>
      <c r="R780" s="7">
        <v>0.1094026088613079</v>
      </c>
      <c r="S780" s="7">
        <v>0.1219241541459421</v>
      </c>
      <c r="T780" s="7">
        <v>0.2987229229348339</v>
      </c>
    </row>
    <row x14ac:dyDescent="0.25" r="781" customHeight="1" ht="19.5">
      <c r="A781" s="2" t="s">
        <v>3093</v>
      </c>
      <c r="B781" s="2" t="s">
        <v>2314</v>
      </c>
      <c r="C781" s="2" t="s">
        <v>31</v>
      </c>
      <c r="D781" s="2" t="s">
        <v>840</v>
      </c>
      <c r="E781" s="6">
        <v>1</v>
      </c>
      <c r="F781" s="6">
        <v>1</v>
      </c>
      <c r="G781" s="7">
        <v>0.425337016582489</v>
      </c>
      <c r="H781" s="7">
        <v>5.278040625</v>
      </c>
      <c r="I781" s="7">
        <v>13.3916113983078</v>
      </c>
      <c r="J781" s="7">
        <v>5.969517445662744</v>
      </c>
      <c r="K781" s="7">
        <v>0.935084798526992</v>
      </c>
      <c r="L781" s="7">
        <v>0.9884583371434756</v>
      </c>
      <c r="M781" s="7">
        <v>0.3698425850483797</v>
      </c>
      <c r="N781" s="7">
        <v>0.2813058750114971</v>
      </c>
      <c r="O781" s="7">
        <v>0.056046395344435</v>
      </c>
      <c r="P781" s="7">
        <v>9.079522234792936</v>
      </c>
      <c r="Q781" s="7">
        <v>0.0479364708028081</v>
      </c>
      <c r="R781" s="7">
        <v>0.1088615539228754</v>
      </c>
      <c r="S781" s="7">
        <v>0.1198317879289103</v>
      </c>
      <c r="T781" s="7">
        <v>0.2936497029126624</v>
      </c>
    </row>
    <row x14ac:dyDescent="0.25" r="782" customHeight="1" ht="19.5">
      <c r="A782" s="2" t="s">
        <v>3094</v>
      </c>
      <c r="B782" s="2" t="s">
        <v>2314</v>
      </c>
      <c r="C782" s="2" t="s">
        <v>31</v>
      </c>
      <c r="D782" s="2" t="s">
        <v>840</v>
      </c>
      <c r="E782" s="6">
        <v>1</v>
      </c>
      <c r="F782" s="6">
        <v>1</v>
      </c>
      <c r="G782" s="7">
        <v>0.3275434970855713</v>
      </c>
      <c r="H782" s="7">
        <v>5.1325828125</v>
      </c>
      <c r="I782" s="7">
        <v>13.17640680733678</v>
      </c>
      <c r="J782" s="7">
        <v>5.901097988604076</v>
      </c>
      <c r="K782" s="7">
        <v>0.8306162767424673</v>
      </c>
      <c r="L782" s="7">
        <v>0.9888021009088231</v>
      </c>
      <c r="M782" s="7">
        <v>0.3714940307688389</v>
      </c>
      <c r="N782" s="7">
        <v>0.3106294788893019</v>
      </c>
      <c r="O782" s="7">
        <v>0.0564795125656346</v>
      </c>
      <c r="P782" s="7">
        <v>8.70581079128779</v>
      </c>
      <c r="Q782" s="7">
        <v>0.0391187005906101</v>
      </c>
      <c r="R782" s="7">
        <v>0.0872592430878623</v>
      </c>
      <c r="S782" s="7">
        <v>0.0978749965613176</v>
      </c>
      <c r="T782" s="7">
        <v>0.2330296407902366</v>
      </c>
    </row>
    <row x14ac:dyDescent="0.25" r="783" customHeight="1" ht="19.5">
      <c r="A783" s="2" t="s">
        <v>3095</v>
      </c>
      <c r="B783" s="2" t="s">
        <v>2314</v>
      </c>
      <c r="C783" s="2" t="s">
        <v>31</v>
      </c>
      <c r="D783" s="2" t="s">
        <v>840</v>
      </c>
      <c r="E783" s="6">
        <v>1</v>
      </c>
      <c r="F783" s="6">
        <v>1</v>
      </c>
      <c r="G783" s="7">
        <v>0.4930779635906219</v>
      </c>
      <c r="H783" s="7">
        <v>7.636535156250001</v>
      </c>
      <c r="I783" s="7">
        <v>19.3942756505378</v>
      </c>
      <c r="J783" s="7">
        <v>9.06250817100412</v>
      </c>
      <c r="K783" s="7">
        <v>0.850522457032618</v>
      </c>
      <c r="L783" s="7">
        <v>0.9953877073502988</v>
      </c>
      <c r="M783" s="7">
        <v>0.2551285681052443</v>
      </c>
      <c r="N783" s="7">
        <v>0.3972684689477014</v>
      </c>
      <c r="O783" s="7">
        <v>0.0879202653180411</v>
      </c>
      <c r="P783" s="7">
        <v>8.174177191354925</v>
      </c>
      <c r="Q783" s="7">
        <v>0.0085937009866984</v>
      </c>
      <c r="R783" s="7">
        <v>0.0329844000373212</v>
      </c>
      <c r="S783" s="7">
        <v>0.0462021621086766</v>
      </c>
      <c r="T783" s="7">
        <v>0.0761670918592493</v>
      </c>
    </row>
    <row x14ac:dyDescent="0.25" r="784" customHeight="1" ht="19.5">
      <c r="A784" s="2" t="s">
        <v>3096</v>
      </c>
      <c r="B784" s="2" t="s">
        <v>2314</v>
      </c>
      <c r="C784" s="2" t="s">
        <v>31</v>
      </c>
      <c r="D784" s="2" t="s">
        <v>840</v>
      </c>
      <c r="E784" s="6">
        <v>1</v>
      </c>
      <c r="F784" s="6">
        <v>1</v>
      </c>
      <c r="G784" s="7">
        <v>0.4960337877273559</v>
      </c>
      <c r="H784" s="7">
        <v>8.131784375</v>
      </c>
      <c r="I784" s="7">
        <v>20.14922409087164</v>
      </c>
      <c r="J784" s="7">
        <v>9.36532448342847</v>
      </c>
      <c r="K784" s="7">
        <v>0.9146543842774276</v>
      </c>
      <c r="L784" s="7">
        <v>0.9953236128007178</v>
      </c>
      <c r="M784" s="7">
        <v>0.2516975941666992</v>
      </c>
      <c r="N784" s="7">
        <v>0.3034152474293745</v>
      </c>
      <c r="O784" s="7">
        <v>0.059785912395516</v>
      </c>
      <c r="P784" s="7">
        <v>8.900052980318176</v>
      </c>
      <c r="Q784" s="7">
        <v>0.015716702940673</v>
      </c>
      <c r="R784" s="7">
        <v>0.046812452913526</v>
      </c>
      <c r="S784" s="7">
        <v>0.0581287614343456</v>
      </c>
      <c r="T784" s="7">
        <v>0.1483331020131546</v>
      </c>
    </row>
    <row x14ac:dyDescent="0.25" r="785" customHeight="1" ht="19.5">
      <c r="A785" s="2" t="s">
        <v>3097</v>
      </c>
      <c r="B785" s="2" t="s">
        <v>2314</v>
      </c>
      <c r="C785" s="2" t="s">
        <v>31</v>
      </c>
      <c r="D785" s="2" t="s">
        <v>840</v>
      </c>
      <c r="E785" s="6">
        <v>1</v>
      </c>
      <c r="F785" s="6">
        <v>1</v>
      </c>
      <c r="G785" s="7">
        <v>0.5295404195785522</v>
      </c>
      <c r="H785" s="7">
        <v>7.9863265625</v>
      </c>
      <c r="I785" s="7">
        <v>20.27283807769153</v>
      </c>
      <c r="J785" s="7">
        <v>9.540426455832083</v>
      </c>
      <c r="K785" s="7">
        <v>0.8515960508736011</v>
      </c>
      <c r="L785" s="7">
        <v>0.9958599102379264</v>
      </c>
      <c r="M785" s="7">
        <v>0.2441899721885756</v>
      </c>
      <c r="N785" s="7">
        <v>0.2517318973289244</v>
      </c>
      <c r="O785" s="7">
        <v>0.0520326958412655</v>
      </c>
      <c r="P785" s="7">
        <v>9.061147117832242</v>
      </c>
      <c r="Q785" s="7">
        <v>0.0299390681313178</v>
      </c>
      <c r="R785" s="7">
        <v>0.0695703680054999</v>
      </c>
      <c r="S785" s="7">
        <v>0.0867931664164979</v>
      </c>
      <c r="T785" s="7">
        <v>0.2775083934733333</v>
      </c>
    </row>
    <row x14ac:dyDescent="0.25" r="786" customHeight="1" ht="19.5">
      <c r="A786" s="2" t="s">
        <v>3098</v>
      </c>
      <c r="B786" s="2" t="s">
        <v>2314</v>
      </c>
      <c r="C786" s="2" t="s">
        <v>31</v>
      </c>
      <c r="D786" s="2" t="s">
        <v>840</v>
      </c>
      <c r="E786" s="6">
        <v>1</v>
      </c>
      <c r="F786" s="6">
        <v>1</v>
      </c>
      <c r="G786" s="7">
        <v>0.5553655028343201</v>
      </c>
      <c r="H786" s="7">
        <v>8.3326546875</v>
      </c>
      <c r="I786" s="7">
        <v>20.76627922498649</v>
      </c>
      <c r="J786" s="7">
        <v>9.720630899745384</v>
      </c>
      <c r="K786" s="7">
        <v>0.8846927677827021</v>
      </c>
      <c r="L786" s="7">
        <v>0.9957932433179068</v>
      </c>
      <c r="M786" s="7">
        <v>0.2428152002542289</v>
      </c>
      <c r="N786" s="7">
        <v>0.2156700351756396</v>
      </c>
      <c r="O786" s="7">
        <v>0.0466569145241864</v>
      </c>
      <c r="P786" s="7">
        <v>9.405945254422168</v>
      </c>
      <c r="Q786" s="7">
        <v>0.0413006830958428</v>
      </c>
      <c r="R786" s="7">
        <v>0.0932936500243641</v>
      </c>
      <c r="S786" s="7">
        <v>0.1096593501366713</v>
      </c>
      <c r="T786" s="7">
        <v>0.3994214642992782</v>
      </c>
    </row>
    <row x14ac:dyDescent="0.25" r="787" customHeight="1" ht="19.5">
      <c r="A787" s="2" t="s">
        <v>3099</v>
      </c>
      <c r="B787" s="2" t="s">
        <v>2314</v>
      </c>
      <c r="C787" s="2" t="s">
        <v>31</v>
      </c>
      <c r="D787" s="2" t="s">
        <v>840</v>
      </c>
      <c r="E787" s="6">
        <v>1</v>
      </c>
      <c r="F787" s="6">
        <v>1</v>
      </c>
      <c r="G787" s="7">
        <v>0.5253353118896484</v>
      </c>
      <c r="H787" s="7">
        <v>8.232219531250001</v>
      </c>
      <c r="I787" s="7">
        <v>20.43929002270871</v>
      </c>
      <c r="J787" s="7">
        <v>9.656519251942925</v>
      </c>
      <c r="K787" s="7">
        <v>0.8492154133621252</v>
      </c>
      <c r="L787" s="7">
        <v>0.9958475219868296</v>
      </c>
      <c r="M787" s="7">
        <v>0.2476254029060027</v>
      </c>
      <c r="N787" s="7">
        <v>0.1997937344669252</v>
      </c>
      <c r="O787" s="7">
        <v>0.0469133315126963</v>
      </c>
      <c r="P787" s="7">
        <v>9.308512443240176</v>
      </c>
      <c r="Q787" s="7">
        <v>0.0551818040785159</v>
      </c>
      <c r="R787" s="7">
        <v>0.1247318329668301</v>
      </c>
      <c r="S787" s="7">
        <v>0.144433431802894</v>
      </c>
      <c r="T787" s="7">
        <v>0.5272342541067454</v>
      </c>
    </row>
    <row x14ac:dyDescent="0.25" r="788" customHeight="1" ht="19.5">
      <c r="A788" s="2" t="s">
        <v>3100</v>
      </c>
      <c r="B788" s="2" t="s">
        <v>2314</v>
      </c>
      <c r="C788" s="2" t="s">
        <v>31</v>
      </c>
      <c r="D788" s="2" t="s">
        <v>840</v>
      </c>
      <c r="E788" s="6">
        <v>1</v>
      </c>
      <c r="F788" s="6">
        <v>1</v>
      </c>
      <c r="G788" s="7">
        <v>0.5172860622406006</v>
      </c>
      <c r="H788" s="7">
        <v>8.2079765625</v>
      </c>
      <c r="I788" s="7">
        <v>20.43929002270871</v>
      </c>
      <c r="J788" s="7">
        <v>9.596373547772814</v>
      </c>
      <c r="K788" s="7">
        <v>0.8508326291733195</v>
      </c>
      <c r="L788" s="7">
        <v>0.995802716944817</v>
      </c>
      <c r="M788" s="7">
        <v>0.2468961737009787</v>
      </c>
      <c r="N788" s="7">
        <v>0.2027393456035086</v>
      </c>
      <c r="O788" s="7">
        <v>0.0463282191923643</v>
      </c>
      <c r="P788" s="7">
        <v>9.308553392164384</v>
      </c>
      <c r="Q788" s="7">
        <v>0.0552517205205882</v>
      </c>
      <c r="R788" s="7">
        <v>0.1245860895376025</v>
      </c>
      <c r="S788" s="7">
        <v>0.141234815347222</v>
      </c>
      <c r="T788" s="7">
        <v>0.5263476570482829</v>
      </c>
    </row>
    <row x14ac:dyDescent="0.25" r="789" customHeight="1" ht="19.5">
      <c r="A789" s="2" t="s">
        <v>3101</v>
      </c>
      <c r="B789" s="2" t="s">
        <v>2314</v>
      </c>
      <c r="C789" s="2" t="s">
        <v>31</v>
      </c>
      <c r="D789" s="2" t="s">
        <v>840</v>
      </c>
      <c r="E789" s="6">
        <v>1</v>
      </c>
      <c r="F789" s="6">
        <v>1</v>
      </c>
      <c r="G789" s="7">
        <v>0.5181483030319214</v>
      </c>
      <c r="H789" s="7">
        <v>8.298021875</v>
      </c>
      <c r="I789" s="7">
        <v>20.57126864117113</v>
      </c>
      <c r="J789" s="7">
        <v>9.714753925250356</v>
      </c>
      <c r="K789" s="7">
        <v>0.8477075969901351</v>
      </c>
      <c r="L789" s="7">
        <v>0.9958926748580624</v>
      </c>
      <c r="M789" s="7">
        <v>0.2464122464263955</v>
      </c>
      <c r="N789" s="7">
        <v>0.1984279580360311</v>
      </c>
      <c r="O789" s="7">
        <v>0.0457533358981296</v>
      </c>
      <c r="P789" s="7">
        <v>9.348800883250474</v>
      </c>
      <c r="Q789" s="7">
        <v>0.0556554849296448</v>
      </c>
      <c r="R789" s="7">
        <v>0.1275074929924978</v>
      </c>
      <c r="S789" s="7">
        <v>0.1450430072226933</v>
      </c>
      <c r="T789" s="7">
        <v>0.5360105361971564</v>
      </c>
    </row>
    <row x14ac:dyDescent="0.25" r="790" customHeight="1" ht="19.5">
      <c r="A790" s="2" t="s">
        <v>3102</v>
      </c>
      <c r="B790" s="2" t="s">
        <v>2314</v>
      </c>
      <c r="C790" s="2" t="s">
        <v>31</v>
      </c>
      <c r="D790" s="2" t="s">
        <v>840</v>
      </c>
      <c r="E790" s="6">
        <v>1</v>
      </c>
      <c r="F790" s="6">
        <v>1</v>
      </c>
      <c r="G790" s="7">
        <v>0.5207945704460144</v>
      </c>
      <c r="H790" s="7">
        <v>8.2633890625</v>
      </c>
      <c r="I790" s="7">
        <v>20.47376334926346</v>
      </c>
      <c r="J790" s="7">
        <v>9.65555939373057</v>
      </c>
      <c r="K790" s="7">
        <v>0.8439591824677147</v>
      </c>
      <c r="L790" s="7">
        <v>0.9958511692734204</v>
      </c>
      <c r="M790" s="7">
        <v>0.2477266369345864</v>
      </c>
      <c r="N790" s="7">
        <v>0.1976900002720454</v>
      </c>
      <c r="O790" s="7">
        <v>0.0466066000412967</v>
      </c>
      <c r="P790" s="7">
        <v>9.291751104991125</v>
      </c>
      <c r="Q790" s="7">
        <v>0.0552902061719462</v>
      </c>
      <c r="R790" s="7">
        <v>0.1248846462220492</v>
      </c>
      <c r="S790" s="7">
        <v>0.1431670648449858</v>
      </c>
      <c r="T790" s="7">
        <v>0.5302701621625314</v>
      </c>
    </row>
    <row x14ac:dyDescent="0.25" r="791" customHeight="1" ht="19.5">
      <c r="A791" s="2" t="s">
        <v>3103</v>
      </c>
      <c r="B791" s="2" t="s">
        <v>2314</v>
      </c>
      <c r="C791" s="2" t="s">
        <v>31</v>
      </c>
      <c r="D791" s="2" t="s">
        <v>840</v>
      </c>
      <c r="E791" s="6">
        <v>1</v>
      </c>
      <c r="F791" s="6">
        <v>1</v>
      </c>
      <c r="G791" s="7">
        <v>0.5257388353347778</v>
      </c>
      <c r="H791" s="7">
        <v>8.21836640625</v>
      </c>
      <c r="I791" s="7">
        <v>20.40481669615396</v>
      </c>
      <c r="J791" s="7">
        <v>9.596303253012303</v>
      </c>
      <c r="K791" s="7">
        <v>0.8500552570644513</v>
      </c>
      <c r="L791" s="7">
        <v>0.995786162864942</v>
      </c>
      <c r="M791" s="7">
        <v>0.2480447095012273</v>
      </c>
      <c r="N791" s="7">
        <v>0.197474815419501</v>
      </c>
      <c r="O791" s="7">
        <v>0.046779282573072</v>
      </c>
      <c r="P791" s="7">
        <v>9.29780024621184</v>
      </c>
      <c r="Q791" s="7">
        <v>0.0549199519649231</v>
      </c>
      <c r="R791" s="7">
        <v>0.1254443000170833</v>
      </c>
      <c r="S791" s="7">
        <v>0.1415493403808092</v>
      </c>
      <c r="T791" s="7">
        <v>0.5238493732563524</v>
      </c>
    </row>
    <row x14ac:dyDescent="0.25" r="792" customHeight="1" ht="19.5">
      <c r="A792" s="2" t="s">
        <v>3104</v>
      </c>
      <c r="B792" s="2" t="s">
        <v>2314</v>
      </c>
      <c r="C792" s="2" t="s">
        <v>31</v>
      </c>
      <c r="D792" s="2" t="s">
        <v>840</v>
      </c>
      <c r="E792" s="6">
        <v>1</v>
      </c>
      <c r="F792" s="6">
        <v>1</v>
      </c>
      <c r="G792" s="7">
        <v>0.5275732278823853</v>
      </c>
      <c r="H792" s="7">
        <v>8.24607265625</v>
      </c>
      <c r="I792" s="7">
        <v>20.47376334926346</v>
      </c>
      <c r="J792" s="7">
        <v>9.656303643903987</v>
      </c>
      <c r="K792" s="7">
        <v>0.8481763786083052</v>
      </c>
      <c r="L792" s="7">
        <v>0.9958471938919652</v>
      </c>
      <c r="M792" s="7">
        <v>0.2472075115428543</v>
      </c>
      <c r="N792" s="7">
        <v>0.1962886443400014</v>
      </c>
      <c r="O792" s="7">
        <v>0.0469226801055213</v>
      </c>
      <c r="P792" s="7">
        <v>9.28199415046802</v>
      </c>
      <c r="Q792" s="7">
        <v>0.0556090786810967</v>
      </c>
      <c r="R792" s="7">
        <v>0.1269650843066163</v>
      </c>
      <c r="S792" s="7">
        <v>0.1434989031303414</v>
      </c>
      <c r="T792" s="7">
        <v>0.532210743195338</v>
      </c>
    </row>
    <row x14ac:dyDescent="0.25" r="793" customHeight="1" ht="19.5">
      <c r="A793" s="2" t="s">
        <v>3105</v>
      </c>
      <c r="B793" s="2" t="s">
        <v>2314</v>
      </c>
      <c r="C793" s="2" t="s">
        <v>31</v>
      </c>
      <c r="D793" s="2" t="s">
        <v>840</v>
      </c>
      <c r="E793" s="6">
        <v>1</v>
      </c>
      <c r="F793" s="6">
        <v>1</v>
      </c>
      <c r="G793" s="7">
        <v>0.5270300507545471</v>
      </c>
      <c r="H793" s="7">
        <v>8.2633890625</v>
      </c>
      <c r="I793" s="7">
        <v>20.48804266866255</v>
      </c>
      <c r="J793" s="7">
        <v>9.715892984866446</v>
      </c>
      <c r="K793" s="7">
        <v>0.8506717812329972</v>
      </c>
      <c r="L793" s="7">
        <v>0.995888922589945</v>
      </c>
      <c r="M793" s="7">
        <v>0.2473814468029538</v>
      </c>
      <c r="N793" s="7">
        <v>0.1941261461701725</v>
      </c>
      <c r="O793" s="7">
        <v>0.0458082015445809</v>
      </c>
      <c r="P793" s="7">
        <v>9.347939702144917</v>
      </c>
      <c r="Q793" s="7">
        <v>0.0561359788977191</v>
      </c>
      <c r="R793" s="7">
        <v>0.1272709224654627</v>
      </c>
      <c r="S793" s="7">
        <v>0.1467184673299034</v>
      </c>
      <c r="T793" s="7">
        <v>0.5383816898904893</v>
      </c>
    </row>
    <row x14ac:dyDescent="0.25" r="794" customHeight="1" ht="19.5">
      <c r="A794" s="2" t="s">
        <v>3106</v>
      </c>
      <c r="B794" s="2" t="s">
        <v>2314</v>
      </c>
      <c r="C794" s="2" t="s">
        <v>31</v>
      </c>
      <c r="D794" s="2" t="s">
        <v>840</v>
      </c>
      <c r="E794" s="6">
        <v>1</v>
      </c>
      <c r="F794" s="6">
        <v>1</v>
      </c>
      <c r="G794" s="7">
        <v>0.5326465964317322</v>
      </c>
      <c r="H794" s="7">
        <v>8.266852343750001</v>
      </c>
      <c r="I794" s="7">
        <v>20.4535693421078</v>
      </c>
      <c r="J794" s="7">
        <v>9.71531265279356</v>
      </c>
      <c r="K794" s="7">
        <v>0.8482199266852979</v>
      </c>
      <c r="L794" s="7">
        <v>0.9958820707093315</v>
      </c>
      <c r="M794" s="7">
        <v>0.2483200744252262</v>
      </c>
      <c r="N794" s="7">
        <v>0.1967335748589709</v>
      </c>
      <c r="O794" s="7">
        <v>0.0457115831699043</v>
      </c>
      <c r="P794" s="7">
        <v>9.342594690825145</v>
      </c>
      <c r="Q794" s="7">
        <v>0.055752231549169</v>
      </c>
      <c r="R794" s="7">
        <v>0.1274180068375789</v>
      </c>
      <c r="S794" s="7">
        <v>0.1438795143340353</v>
      </c>
      <c r="T794" s="7">
        <v>0.5349253948790685</v>
      </c>
    </row>
    <row x14ac:dyDescent="0.25" r="795" customHeight="1" ht="19.5">
      <c r="A795" s="2" t="s">
        <v>3107</v>
      </c>
      <c r="B795" s="2" t="s">
        <v>2314</v>
      </c>
      <c r="C795" s="2" t="s">
        <v>31</v>
      </c>
      <c r="D795" s="2" t="s">
        <v>840</v>
      </c>
      <c r="E795" s="6">
        <v>1</v>
      </c>
      <c r="F795" s="6">
        <v>1</v>
      </c>
      <c r="G795" s="7">
        <v>0.5228203535079956</v>
      </c>
      <c r="H795" s="7">
        <v>8.249535937500001</v>
      </c>
      <c r="I795" s="7">
        <v>20.4535693421078</v>
      </c>
      <c r="J795" s="7">
        <v>9.655669244022388</v>
      </c>
      <c r="K795" s="7">
        <v>0.8501180139784962</v>
      </c>
      <c r="L795" s="7">
        <v>0.9958351744405572</v>
      </c>
      <c r="M795" s="7">
        <v>0.2477999234524043</v>
      </c>
      <c r="N795" s="7">
        <v>0.1906298618914321</v>
      </c>
      <c r="O795" s="7">
        <v>0.0462118435551668</v>
      </c>
      <c r="P795" s="7">
        <v>9.302141954083377</v>
      </c>
      <c r="Q795" s="7">
        <v>0.0560879567340942</v>
      </c>
      <c r="R795" s="7">
        <v>0.1281156308586507</v>
      </c>
      <c r="S795" s="7">
        <v>0.1481466786474592</v>
      </c>
      <c r="T795" s="7">
        <v>0.5370193294478981</v>
      </c>
    </row>
    <row x14ac:dyDescent="0.25" r="796" customHeight="1" ht="19.5">
      <c r="A796" s="2" t="s">
        <v>3108</v>
      </c>
      <c r="B796" s="2" t="s">
        <v>2314</v>
      </c>
      <c r="C796" s="2" t="s">
        <v>31</v>
      </c>
      <c r="D796" s="2" t="s">
        <v>840</v>
      </c>
      <c r="E796" s="6">
        <v>1</v>
      </c>
      <c r="F796" s="6">
        <v>1</v>
      </c>
      <c r="G796" s="7">
        <v>0.526746928691864</v>
      </c>
      <c r="H796" s="7">
        <v>8.2356828125</v>
      </c>
      <c r="I796" s="7">
        <v>20.40481669615396</v>
      </c>
      <c r="J796" s="7">
        <v>9.655973177484832</v>
      </c>
      <c r="K796" s="7">
        <v>0.8478924471644071</v>
      </c>
      <c r="L796" s="7">
        <v>0.9958344101121752</v>
      </c>
      <c r="M796" s="7">
        <v>0.2485673490071296</v>
      </c>
      <c r="N796" s="7">
        <v>0.1965650501672159</v>
      </c>
      <c r="O796" s="7">
        <v>0.0458320800643647</v>
      </c>
      <c r="P796" s="7">
        <v>9.331914763484518</v>
      </c>
      <c r="Q796" s="7">
        <v>0.0564828086351306</v>
      </c>
      <c r="R796" s="7">
        <v>0.1285895638967917</v>
      </c>
      <c r="S796" s="7">
        <v>0.1455736319589132</v>
      </c>
      <c r="T796" s="7">
        <v>0.539891731287703</v>
      </c>
    </row>
    <row x14ac:dyDescent="0.25" r="797" customHeight="1" ht="19.5">
      <c r="A797" s="2" t="s">
        <v>3109</v>
      </c>
      <c r="B797" s="2" t="s">
        <v>2314</v>
      </c>
      <c r="C797" s="2" t="s">
        <v>31</v>
      </c>
      <c r="D797" s="2" t="s">
        <v>840</v>
      </c>
      <c r="E797" s="6">
        <v>1</v>
      </c>
      <c r="F797" s="6">
        <v>1</v>
      </c>
      <c r="G797" s="7">
        <v>0.5237162709236145</v>
      </c>
      <c r="H797" s="7">
        <v>8.23914609375</v>
      </c>
      <c r="I797" s="7">
        <v>20.43929002270871</v>
      </c>
      <c r="J797" s="7">
        <v>9.65626895229515</v>
      </c>
      <c r="K797" s="7">
        <v>0.8478514143188203</v>
      </c>
      <c r="L797" s="7">
        <v>0.9958407722177848</v>
      </c>
      <c r="M797" s="7">
        <v>0.2478337541074381</v>
      </c>
      <c r="N797" s="7">
        <v>0.1928715540540512</v>
      </c>
      <c r="O797" s="7">
        <v>0.0463456668218392</v>
      </c>
      <c r="P797" s="7">
        <v>9.335058989479656</v>
      </c>
      <c r="Q797" s="7">
        <v>0.0557461692595467</v>
      </c>
      <c r="R797" s="7">
        <v>0.1270083913122461</v>
      </c>
      <c r="S797" s="7">
        <v>0.1452303016808459</v>
      </c>
      <c r="T797" s="7">
        <v>0.5330746284036758</v>
      </c>
    </row>
    <row x14ac:dyDescent="0.25" r="798" customHeight="1" ht="19.5">
      <c r="A798" s="2" t="s">
        <v>3110</v>
      </c>
      <c r="B798" s="2" t="s">
        <v>2314</v>
      </c>
      <c r="C798" s="2" t="s">
        <v>31</v>
      </c>
      <c r="D798" s="2" t="s">
        <v>840</v>
      </c>
      <c r="E798" s="6">
        <v>1</v>
      </c>
      <c r="F798" s="6">
        <v>1</v>
      </c>
      <c r="G798" s="7">
        <v>0.5269813537597656</v>
      </c>
      <c r="H798" s="7">
        <v>8.197586718750001</v>
      </c>
      <c r="I798" s="7">
        <v>20.35606405020012</v>
      </c>
      <c r="J798" s="7">
        <v>9.596517250798776</v>
      </c>
      <c r="K798" s="7">
        <v>0.8459775420449941</v>
      </c>
      <c r="L798" s="7">
        <v>0.9958006659118084</v>
      </c>
      <c r="M798" s="7">
        <v>0.2486040882084711</v>
      </c>
      <c r="N798" s="7">
        <v>0.1954862495037869</v>
      </c>
      <c r="O798" s="7">
        <v>0.0463626833469292</v>
      </c>
      <c r="P798" s="7">
        <v>9.320041539388848</v>
      </c>
      <c r="Q798" s="7">
        <v>0.0561126863375193</v>
      </c>
      <c r="R798" s="7">
        <v>0.1278521764777603</v>
      </c>
      <c r="S798" s="7">
        <v>0.1469603877077843</v>
      </c>
      <c r="T798" s="7">
        <v>0.5338728804785821</v>
      </c>
    </row>
    <row x14ac:dyDescent="0.25" r="799" customHeight="1" ht="19.5">
      <c r="A799" s="2" t="s">
        <v>3111</v>
      </c>
      <c r="B799" s="2" t="s">
        <v>2314</v>
      </c>
      <c r="C799" s="2" t="s">
        <v>31</v>
      </c>
      <c r="D799" s="2" t="s">
        <v>840</v>
      </c>
      <c r="E799" s="6">
        <v>1</v>
      </c>
      <c r="F799" s="6">
        <v>1</v>
      </c>
      <c r="G799" s="7">
        <v>0.5277353525161743</v>
      </c>
      <c r="H799" s="7">
        <v>8.2079765625</v>
      </c>
      <c r="I799" s="7">
        <v>20.35606405020012</v>
      </c>
      <c r="J799" s="7">
        <v>9.596489999063676</v>
      </c>
      <c r="K799" s="7">
        <v>0.846016416219284</v>
      </c>
      <c r="L799" s="7">
        <v>0.9957921914279018</v>
      </c>
      <c r="M799" s="7">
        <v>0.2489191757727404</v>
      </c>
      <c r="N799" s="7">
        <v>0.1904235634716409</v>
      </c>
      <c r="O799" s="7">
        <v>0.0466238460549646</v>
      </c>
      <c r="P799" s="7">
        <v>9.31570343760068</v>
      </c>
      <c r="Q799" s="7">
        <v>0.0558636827315296</v>
      </c>
      <c r="R799" s="7">
        <v>0.1268204043498839</v>
      </c>
      <c r="S799" s="7">
        <v>0.1441828360510975</v>
      </c>
      <c r="T799" s="7">
        <v>0.5321774280110007</v>
      </c>
    </row>
    <row x14ac:dyDescent="0.25" r="800" customHeight="1" ht="19.5">
      <c r="A800" s="2" t="s">
        <v>3112</v>
      </c>
      <c r="B800" s="2" t="s">
        <v>2314</v>
      </c>
      <c r="C800" s="2" t="s">
        <v>31</v>
      </c>
      <c r="D800" s="2" t="s">
        <v>840</v>
      </c>
      <c r="E800" s="6">
        <v>1</v>
      </c>
      <c r="F800" s="6">
        <v>1</v>
      </c>
      <c r="G800" s="7">
        <v>0.5273169875144958</v>
      </c>
      <c r="H800" s="7">
        <v>8.28070546875</v>
      </c>
      <c r="I800" s="7">
        <v>20.55698932177204</v>
      </c>
      <c r="J800" s="7">
        <v>9.71598508300956</v>
      </c>
      <c r="K800" s="7">
        <v>0.8491045305867708</v>
      </c>
      <c r="L800" s="7">
        <v>0.9958861717685784</v>
      </c>
      <c r="M800" s="7">
        <v>0.2462397611402616</v>
      </c>
      <c r="N800" s="7">
        <v>0.1978343417229619</v>
      </c>
      <c r="O800" s="7">
        <v>0.0462610791566901</v>
      </c>
      <c r="P800" s="7">
        <v>9.324816460319864</v>
      </c>
      <c r="Q800" s="7">
        <v>0.0560671223237629</v>
      </c>
      <c r="R800" s="7">
        <v>0.1289678033313038</v>
      </c>
      <c r="S800" s="7">
        <v>0.1444115391423048</v>
      </c>
      <c r="T800" s="7">
        <v>0.5388481350402413</v>
      </c>
    </row>
    <row x14ac:dyDescent="0.25" r="801" customHeight="1" ht="19.5">
      <c r="A801" s="2" t="s">
        <v>3113</v>
      </c>
      <c r="B801" s="2" t="s">
        <v>2314</v>
      </c>
      <c r="C801" s="2" t="s">
        <v>31</v>
      </c>
      <c r="D801" s="2" t="s">
        <v>840</v>
      </c>
      <c r="E801" s="6">
        <v>1</v>
      </c>
      <c r="F801" s="6">
        <v>1</v>
      </c>
      <c r="G801" s="7">
        <v>0.5235816240310669</v>
      </c>
      <c r="H801" s="7">
        <v>8.242609375</v>
      </c>
      <c r="I801" s="7">
        <v>20.47376334926346</v>
      </c>
      <c r="J801" s="7">
        <v>9.656202307382104</v>
      </c>
      <c r="K801" s="7">
        <v>0.8469260475682396</v>
      </c>
      <c r="L801" s="7">
        <v>0.9958505876718704</v>
      </c>
      <c r="M801" s="7">
        <v>0.2471036864645078</v>
      </c>
      <c r="N801" s="7">
        <v>0.1946430595975244</v>
      </c>
      <c r="O801" s="7">
        <v>0.0468680811829398</v>
      </c>
      <c r="P801" s="7">
        <v>9.31408897959691</v>
      </c>
      <c r="Q801" s="7">
        <v>0.0562128530035798</v>
      </c>
      <c r="R801" s="7">
        <v>0.1247963523570773</v>
      </c>
      <c r="S801" s="7">
        <v>0.1415810171803836</v>
      </c>
      <c r="T801" s="7">
        <v>0.5377632584341724</v>
      </c>
    </row>
    <row x14ac:dyDescent="0.25" r="802" customHeight="1" ht="19.5">
      <c r="A802" s="2" t="s">
        <v>3114</v>
      </c>
      <c r="B802" s="2" t="s">
        <v>2314</v>
      </c>
      <c r="C802" s="2" t="s">
        <v>31</v>
      </c>
      <c r="D802" s="2" t="s">
        <v>840</v>
      </c>
      <c r="E802" s="6">
        <v>1</v>
      </c>
      <c r="F802" s="6">
        <v>1</v>
      </c>
      <c r="G802" s="7">
        <v>0.5261083245277405</v>
      </c>
      <c r="H802" s="7">
        <v>8.270315625</v>
      </c>
      <c r="I802" s="7">
        <v>20.48804266866255</v>
      </c>
      <c r="J802" s="7">
        <v>9.715274151270409</v>
      </c>
      <c r="K802" s="7">
        <v>0.847791481500517</v>
      </c>
      <c r="L802" s="7">
        <v>0.995885310934617</v>
      </c>
      <c r="M802" s="7">
        <v>0.2475888076133501</v>
      </c>
      <c r="N802" s="7">
        <v>0.191909990915199</v>
      </c>
      <c r="O802" s="7">
        <v>0.0468866733459931</v>
      </c>
      <c r="P802" s="7">
        <v>9.31410159931793</v>
      </c>
      <c r="Q802" s="7">
        <v>0.0560694102388279</v>
      </c>
      <c r="R802" s="7">
        <v>0.1272400005882417</v>
      </c>
      <c r="S802" s="7">
        <v>0.1462347234413437</v>
      </c>
      <c r="T802" s="7">
        <v>0.5381940005460932</v>
      </c>
    </row>
    <row x14ac:dyDescent="0.25" r="803" customHeight="1" ht="19.5">
      <c r="A803" s="2" t="s">
        <v>3115</v>
      </c>
      <c r="B803" s="2" t="s">
        <v>2314</v>
      </c>
      <c r="C803" s="2" t="s">
        <v>31</v>
      </c>
      <c r="D803" s="2" t="s">
        <v>840</v>
      </c>
      <c r="E803" s="6">
        <v>1</v>
      </c>
      <c r="F803" s="6">
        <v>1</v>
      </c>
      <c r="G803" s="7">
        <v>0.522747814655304</v>
      </c>
      <c r="H803" s="7">
        <v>8.23914609375</v>
      </c>
      <c r="I803" s="7">
        <v>20.40481669615396</v>
      </c>
      <c r="J803" s="7">
        <v>9.655850754451</v>
      </c>
      <c r="K803" s="7">
        <v>0.8466448154462325</v>
      </c>
      <c r="L803" s="7">
        <v>0.9958388856701784</v>
      </c>
      <c r="M803" s="7">
        <v>0.2486718769083101</v>
      </c>
      <c r="N803" s="7">
        <v>0.1953844551539267</v>
      </c>
      <c r="O803" s="7">
        <v>0.0461608232889291</v>
      </c>
      <c r="P803" s="7">
        <v>9.329762969938043</v>
      </c>
      <c r="Q803" s="7">
        <v>0.0558768143334917</v>
      </c>
      <c r="R803" s="7">
        <v>0.125593279749754</v>
      </c>
      <c r="S803" s="7">
        <v>0.1427076723021325</v>
      </c>
      <c r="T803" s="7">
        <v>0.534323926340576</v>
      </c>
    </row>
    <row x14ac:dyDescent="0.25" r="804" customHeight="1" ht="19.5">
      <c r="A804" s="2" t="s">
        <v>3116</v>
      </c>
      <c r="B804" s="2" t="s">
        <v>2314</v>
      </c>
      <c r="C804" s="2" t="s">
        <v>31</v>
      </c>
      <c r="D804" s="2" t="s">
        <v>840</v>
      </c>
      <c r="E804" s="6">
        <v>1</v>
      </c>
      <c r="F804" s="6">
        <v>1</v>
      </c>
      <c r="G804" s="7">
        <v>0.5236485004425049</v>
      </c>
      <c r="H804" s="7">
        <v>8.20451328125</v>
      </c>
      <c r="I804" s="7">
        <v>20.35606405020012</v>
      </c>
      <c r="J804" s="7">
        <v>9.596052497566657</v>
      </c>
      <c r="K804" s="7">
        <v>0.8447330573908234</v>
      </c>
      <c r="L804" s="7">
        <v>0.9957922487017988</v>
      </c>
      <c r="M804" s="7">
        <v>0.2488141465846507</v>
      </c>
      <c r="N804" s="7">
        <v>0.1953782355094853</v>
      </c>
      <c r="O804" s="7">
        <v>0.0461943351846589</v>
      </c>
      <c r="P804" s="7">
        <v>9.342357945212292</v>
      </c>
      <c r="Q804" s="7">
        <v>0.0555835173840997</v>
      </c>
      <c r="R804" s="7">
        <v>0.1272094458749137</v>
      </c>
      <c r="S804" s="7">
        <v>0.1434025020249438</v>
      </c>
      <c r="T804" s="7">
        <v>0.5292850513803364</v>
      </c>
    </row>
    <row x14ac:dyDescent="0.25" r="805" customHeight="1" ht="19.5">
      <c r="A805" s="2" t="s">
        <v>3117</v>
      </c>
      <c r="B805" s="2" t="s">
        <v>2314</v>
      </c>
      <c r="C805" s="2" t="s">
        <v>31</v>
      </c>
      <c r="D805" s="2" t="s">
        <v>840</v>
      </c>
      <c r="E805" s="6">
        <v>1</v>
      </c>
      <c r="F805" s="6">
        <v>1</v>
      </c>
      <c r="G805" s="7">
        <v>0.532759428024292</v>
      </c>
      <c r="H805" s="7">
        <v>8.22529296875</v>
      </c>
      <c r="I805" s="7">
        <v>20.48804266866255</v>
      </c>
      <c r="J805" s="7">
        <v>9.656073367283586</v>
      </c>
      <c r="K805" s="7">
        <v>0.8489160927149209</v>
      </c>
      <c r="L805" s="7">
        <v>0.995843132798384</v>
      </c>
      <c r="M805" s="7">
        <v>0.2462409623457734</v>
      </c>
      <c r="N805" s="7">
        <v>0.1904006874803077</v>
      </c>
      <c r="O805" s="7">
        <v>0.0459446968080441</v>
      </c>
      <c r="P805" s="7">
        <v>9.338396016558026</v>
      </c>
      <c r="Q805" s="7">
        <v>0.0560594305723211</v>
      </c>
      <c r="R805" s="7">
        <v>0.1286934240066001</v>
      </c>
      <c r="S805" s="7">
        <v>0.1463235946798457</v>
      </c>
      <c r="T805" s="7">
        <v>0.5351688632660343</v>
      </c>
    </row>
    <row x14ac:dyDescent="0.25" r="806" customHeight="1" ht="19.5">
      <c r="A806" s="2" t="s">
        <v>3118</v>
      </c>
      <c r="B806" s="2" t="s">
        <v>2314</v>
      </c>
      <c r="C806" s="2" t="s">
        <v>31</v>
      </c>
      <c r="D806" s="2" t="s">
        <v>840</v>
      </c>
      <c r="E806" s="6">
        <v>1</v>
      </c>
      <c r="F806" s="6">
        <v>1</v>
      </c>
      <c r="G806" s="7">
        <v>0.5296033620834351</v>
      </c>
      <c r="H806" s="7">
        <v>8.2356828125</v>
      </c>
      <c r="I806" s="7">
        <v>20.40481669615396</v>
      </c>
      <c r="J806" s="7">
        <v>9.65587723539488</v>
      </c>
      <c r="K806" s="7">
        <v>0.8469143923685762</v>
      </c>
      <c r="L806" s="7">
        <v>0.9958307451361544</v>
      </c>
      <c r="M806" s="7">
        <v>0.2485673490071296</v>
      </c>
      <c r="N806" s="7">
        <v>0.1946035226793732</v>
      </c>
      <c r="O806" s="7">
        <v>0.0462454057774806</v>
      </c>
      <c r="P806" s="7">
        <v>9.327232698932004</v>
      </c>
      <c r="Q806" s="7">
        <v>0.0551077452337477</v>
      </c>
      <c r="R806" s="7">
        <v>0.1267992512394746</v>
      </c>
      <c r="S806" s="7">
        <v>0.1418364800991445</v>
      </c>
      <c r="T806" s="7">
        <v>0.5267481681692573</v>
      </c>
    </row>
    <row x14ac:dyDescent="0.25" r="807" customHeight="1" ht="19.5">
      <c r="A807" s="2" t="s">
        <v>3119</v>
      </c>
      <c r="B807" s="2" t="s">
        <v>2314</v>
      </c>
      <c r="C807" s="2" t="s">
        <v>31</v>
      </c>
      <c r="D807" s="2" t="s">
        <v>840</v>
      </c>
      <c r="E807" s="6">
        <v>1</v>
      </c>
      <c r="F807" s="6">
        <v>1</v>
      </c>
      <c r="G807" s="7">
        <v>0.5556054711341858</v>
      </c>
      <c r="H807" s="7">
        <v>8.464259375000001</v>
      </c>
      <c r="I807" s="7">
        <v>20.51660130746074</v>
      </c>
      <c r="J807" s="7">
        <v>9.53416660129826</v>
      </c>
      <c r="K807" s="7">
        <v>0.8789321986477809</v>
      </c>
      <c r="L807" s="7">
        <v>0.9953858053711542</v>
      </c>
      <c r="M807" s="7">
        <v>0.252689961467351</v>
      </c>
      <c r="N807" s="7">
        <v>0.2366587375681151</v>
      </c>
      <c r="O807" s="7">
        <v>0.0509948661977103</v>
      </c>
      <c r="P807" s="7">
        <v>9.147645098977096</v>
      </c>
      <c r="Q807" s="7">
        <v>0.0340104953472989</v>
      </c>
      <c r="R807" s="7">
        <v>0.0937572745410149</v>
      </c>
      <c r="S807" s="7">
        <v>0.1145077442628581</v>
      </c>
      <c r="T807" s="7">
        <v>0.3341124819680898</v>
      </c>
    </row>
    <row x14ac:dyDescent="0.25" r="808" customHeight="1" ht="19.5">
      <c r="A808" s="2" t="s">
        <v>3120</v>
      </c>
      <c r="B808" s="2" t="s">
        <v>2314</v>
      </c>
      <c r="C808" s="2" t="s">
        <v>31</v>
      </c>
      <c r="D808" s="2" t="s">
        <v>840</v>
      </c>
      <c r="E808" s="6">
        <v>1</v>
      </c>
      <c r="F808" s="6">
        <v>1</v>
      </c>
      <c r="G808" s="7">
        <v>0.4592854976654053</v>
      </c>
      <c r="H808" s="7">
        <v>7.241721093750001</v>
      </c>
      <c r="I808" s="7">
        <v>17.30424690619598</v>
      </c>
      <c r="J808" s="7">
        <v>8.108171132024527</v>
      </c>
      <c r="K808" s="7">
        <v>0.919944041024738</v>
      </c>
      <c r="L808" s="7">
        <v>0.9931746637723154</v>
      </c>
      <c r="M808" s="7">
        <v>0.3039108827742337</v>
      </c>
      <c r="N808" s="7">
        <v>0.3943885848871816</v>
      </c>
      <c r="O808" s="7">
        <v>0.0788089457766675</v>
      </c>
      <c r="P808" s="7">
        <v>8.202028950576715</v>
      </c>
      <c r="Q808" s="7">
        <v>0.0066096786135633</v>
      </c>
      <c r="R808" s="7">
        <v>0.0323670145793119</v>
      </c>
      <c r="S808" s="7">
        <v>0.0422884071302919</v>
      </c>
      <c r="T808" s="7">
        <v>0.0555536908346456</v>
      </c>
    </row>
    <row x14ac:dyDescent="0.25" r="809" customHeight="1" ht="19.5">
      <c r="A809" s="2" t="s">
        <v>3121</v>
      </c>
      <c r="B809" s="2" t="s">
        <v>2314</v>
      </c>
      <c r="C809" s="2" t="s">
        <v>31</v>
      </c>
      <c r="D809" s="2" t="s">
        <v>840</v>
      </c>
      <c r="E809" s="6">
        <v>1</v>
      </c>
      <c r="F809" s="6">
        <v>1</v>
      </c>
      <c r="G809" s="7">
        <v>0.5222521424293518</v>
      </c>
      <c r="H809" s="7">
        <v>7.743896875000001</v>
      </c>
      <c r="I809" s="7">
        <v>19.73309422832871</v>
      </c>
      <c r="J809" s="7">
        <v>9.178485386111404</v>
      </c>
      <c r="K809" s="7">
        <v>0.8372280960531817</v>
      </c>
      <c r="L809" s="7">
        <v>0.995579673045172</v>
      </c>
      <c r="M809" s="7">
        <v>0.2499073593018085</v>
      </c>
      <c r="N809" s="7">
        <v>0.2975147662160534</v>
      </c>
      <c r="O809" s="7">
        <v>0.0561612672596953</v>
      </c>
      <c r="P809" s="7">
        <v>8.901438596592174</v>
      </c>
      <c r="Q809" s="7">
        <v>0.0233883719745934</v>
      </c>
      <c r="R809" s="7">
        <v>0.0626333584275252</v>
      </c>
      <c r="S809" s="7">
        <v>0.0738165661992537</v>
      </c>
      <c r="T809" s="7">
        <v>0.2102085290816676</v>
      </c>
    </row>
    <row x14ac:dyDescent="0.25" r="810" customHeight="1" ht="19.5">
      <c r="A810" s="2" t="s">
        <v>3122</v>
      </c>
      <c r="B810" s="2" t="s">
        <v>2314</v>
      </c>
      <c r="C810" s="2" t="s">
        <v>31</v>
      </c>
      <c r="D810" s="2" t="s">
        <v>840</v>
      </c>
      <c r="E810" s="6">
        <v>1</v>
      </c>
      <c r="F810" s="6">
        <v>1</v>
      </c>
      <c r="G810" s="7">
        <v>0.5476852059364319</v>
      </c>
      <c r="H810" s="7">
        <v>8.343044531250001</v>
      </c>
      <c r="I810" s="7">
        <v>20.08027743776215</v>
      </c>
      <c r="J810" s="7">
        <v>9.354999197347391</v>
      </c>
      <c r="K810" s="7">
        <v>0.8769760227046859</v>
      </c>
      <c r="L810" s="7">
        <v>0.995146225669909</v>
      </c>
      <c r="M810" s="7">
        <v>0.2600129674855277</v>
      </c>
      <c r="N810" s="7">
        <v>0.2352288090528763</v>
      </c>
      <c r="O810" s="7">
        <v>0.0477875056940027</v>
      </c>
      <c r="P810" s="7">
        <v>9.288129758923514</v>
      </c>
      <c r="Q810" s="7">
        <v>0.0327770882771889</v>
      </c>
      <c r="R810" s="7">
        <v>0.0856510161372339</v>
      </c>
      <c r="S810" s="7">
        <v>0.0967417332639414</v>
      </c>
      <c r="T810" s="7">
        <v>0.3173844993166277</v>
      </c>
    </row>
    <row x14ac:dyDescent="0.25" r="811" customHeight="1" ht="19.5">
      <c r="A811" s="2" t="s">
        <v>3123</v>
      </c>
      <c r="B811" s="2" t="s">
        <v>2314</v>
      </c>
      <c r="C811" s="2" t="s">
        <v>31</v>
      </c>
      <c r="D811" s="2" t="s">
        <v>840</v>
      </c>
      <c r="E811" s="6">
        <v>1</v>
      </c>
      <c r="F811" s="6">
        <v>1</v>
      </c>
      <c r="G811" s="7">
        <v>0.5940709114074707</v>
      </c>
      <c r="H811" s="7">
        <v>7.989789843750001</v>
      </c>
      <c r="I811" s="7">
        <v>19.8020408814382</v>
      </c>
      <c r="J811" s="7">
        <v>9.295775284921415</v>
      </c>
      <c r="K811" s="7">
        <v>0.8224905879153288</v>
      </c>
      <c r="L811" s="7">
        <v>0.9954584167752132</v>
      </c>
      <c r="M811" s="7">
        <v>0.2560503151077072</v>
      </c>
      <c r="N811" s="7">
        <v>0.2206704544927005</v>
      </c>
      <c r="O811" s="7">
        <v>0.0457512575129177</v>
      </c>
      <c r="P811" s="7">
        <v>9.352582978393112</v>
      </c>
      <c r="Q811" s="7">
        <v>0.0473066141086144</v>
      </c>
      <c r="R811" s="7">
        <v>0.1091622265905423</v>
      </c>
      <c r="S811" s="7">
        <v>0.1269129431389025</v>
      </c>
      <c r="T811" s="7">
        <v>0.4386801683869876</v>
      </c>
    </row>
    <row x14ac:dyDescent="0.25" r="812" customHeight="1" ht="19.5">
      <c r="A812" s="2" t="s">
        <v>3124</v>
      </c>
      <c r="B812" s="2" t="s">
        <v>2314</v>
      </c>
      <c r="C812" s="2" t="s">
        <v>31</v>
      </c>
      <c r="D812" s="2" t="s">
        <v>840</v>
      </c>
      <c r="E812" s="6">
        <v>1</v>
      </c>
      <c r="F812" s="6">
        <v>1</v>
      </c>
      <c r="G812" s="7">
        <v>0.5894781947135925</v>
      </c>
      <c r="H812" s="7">
        <v>7.989789843750001</v>
      </c>
      <c r="I812" s="7">
        <v>19.96849282645537</v>
      </c>
      <c r="J812" s="7">
        <v>9.355814020313662</v>
      </c>
      <c r="K812" s="7">
        <v>0.8274748952545158</v>
      </c>
      <c r="L812" s="7">
        <v>0.995563388764663</v>
      </c>
      <c r="M812" s="7">
        <v>0.2517993745233198</v>
      </c>
      <c r="N812" s="7">
        <v>0.228610072391969</v>
      </c>
      <c r="O812" s="7">
        <v>0.0461071625928516</v>
      </c>
      <c r="P812" s="7">
        <v>9.347202256285986</v>
      </c>
      <c r="Q812" s="7">
        <v>0.0475377544732769</v>
      </c>
      <c r="R812" s="7">
        <v>0.1081790368110362</v>
      </c>
      <c r="S812" s="7">
        <v>0.1252468680811929</v>
      </c>
      <c r="T812" s="7">
        <v>0.4408235619906474</v>
      </c>
    </row>
    <row x14ac:dyDescent="0.25" r="813" customHeight="1" ht="19.5">
      <c r="A813" s="2" t="s">
        <v>3125</v>
      </c>
      <c r="B813" s="2" t="s">
        <v>2314</v>
      </c>
      <c r="C813" s="2" t="s">
        <v>31</v>
      </c>
      <c r="D813" s="2" t="s">
        <v>840</v>
      </c>
      <c r="E813" s="6">
        <v>1</v>
      </c>
      <c r="F813" s="6">
        <v>1</v>
      </c>
      <c r="G813" s="7">
        <v>0.5947032570838928</v>
      </c>
      <c r="H813" s="7">
        <v>8.01056953125</v>
      </c>
      <c r="I813" s="7">
        <v>19.96849282645537</v>
      </c>
      <c r="J813" s="7">
        <v>9.355795081891657</v>
      </c>
      <c r="K813" s="7">
        <v>0.8271564117632964</v>
      </c>
      <c r="L813" s="7">
        <v>0.9955354929876286</v>
      </c>
      <c r="M813" s="7">
        <v>0.2524542493595312</v>
      </c>
      <c r="N813" s="7">
        <v>0.2306782303291504</v>
      </c>
      <c r="O813" s="7">
        <v>0.0461295544579792</v>
      </c>
      <c r="P813" s="7">
        <v>9.351855076518028</v>
      </c>
      <c r="Q813" s="7">
        <v>0.048435315515502</v>
      </c>
      <c r="R813" s="7">
        <v>0.1111198365739992</v>
      </c>
      <c r="S813" s="7">
        <v>0.1247343031412526</v>
      </c>
      <c r="T813" s="7">
        <v>0.4503148901667297</v>
      </c>
    </row>
    <row x14ac:dyDescent="0.25" r="814" customHeight="1" ht="19.5">
      <c r="A814" s="2" t="s">
        <v>3126</v>
      </c>
      <c r="B814" s="2" t="s">
        <v>2314</v>
      </c>
      <c r="C814" s="2" t="s">
        <v>31</v>
      </c>
      <c r="D814" s="2" t="s">
        <v>840</v>
      </c>
      <c r="E814" s="6">
        <v>1</v>
      </c>
      <c r="F814" s="6">
        <v>1</v>
      </c>
      <c r="G814" s="7">
        <v>0.5935145020484924</v>
      </c>
      <c r="H814" s="7">
        <v>8.059055468750001</v>
      </c>
      <c r="I814" s="7">
        <v>19.96849282645538</v>
      </c>
      <c r="J814" s="7">
        <v>9.415081912024682</v>
      </c>
      <c r="K814" s="7">
        <v>0.8249564465114151</v>
      </c>
      <c r="L814" s="7">
        <v>0.9955617303952474</v>
      </c>
      <c r="M814" s="7">
        <v>0.2539822906440247</v>
      </c>
      <c r="N814" s="7">
        <v>0.2313012833453946</v>
      </c>
      <c r="O814" s="7">
        <v>0.0464564054023669</v>
      </c>
      <c r="P814" s="7">
        <v>9.33590182662619</v>
      </c>
      <c r="Q814" s="7">
        <v>0.0480241533296023</v>
      </c>
      <c r="R814" s="7">
        <v>0.1109929817471383</v>
      </c>
      <c r="S814" s="7">
        <v>0.126329074103636</v>
      </c>
      <c r="T814" s="7">
        <v>0.4491947191617091</v>
      </c>
    </row>
    <row x14ac:dyDescent="0.25" r="815" customHeight="1" ht="19.5">
      <c r="A815" s="2" t="s">
        <v>3127</v>
      </c>
      <c r="B815" s="2" t="s">
        <v>2314</v>
      </c>
      <c r="C815" s="2" t="s">
        <v>31</v>
      </c>
      <c r="D815" s="2" t="s">
        <v>840</v>
      </c>
      <c r="E815" s="6">
        <v>1</v>
      </c>
      <c r="F815" s="6">
        <v>1</v>
      </c>
      <c r="G815" s="7">
        <v>0.5930183529853821</v>
      </c>
      <c r="H815" s="7">
        <v>8.0278859375</v>
      </c>
      <c r="I815" s="7">
        <v>20.00296615301012</v>
      </c>
      <c r="J815" s="7">
        <v>9.356162132141325</v>
      </c>
      <c r="K815" s="7">
        <v>0.8300210421136396</v>
      </c>
      <c r="L815" s="7">
        <v>0.9955099860977108</v>
      </c>
      <c r="M815" s="7">
        <v>0.2521286840799354</v>
      </c>
      <c r="N815" s="7">
        <v>0.2253826157669784</v>
      </c>
      <c r="O815" s="7">
        <v>0.0460604492375074</v>
      </c>
      <c r="P815" s="7">
        <v>9.344162358896998</v>
      </c>
      <c r="Q815" s="7">
        <v>0.0469579104785199</v>
      </c>
      <c r="R815" s="7">
        <v>0.1090347138564234</v>
      </c>
      <c r="S815" s="7">
        <v>0.1266397654283441</v>
      </c>
      <c r="T815" s="7">
        <v>0.4375228475209756</v>
      </c>
    </row>
    <row x14ac:dyDescent="0.25" r="816" customHeight="1" ht="19.5">
      <c r="A816" s="2" t="s">
        <v>3128</v>
      </c>
      <c r="B816" s="2" t="s">
        <v>2314</v>
      </c>
      <c r="C816" s="2" t="s">
        <v>31</v>
      </c>
      <c r="D816" s="2" t="s">
        <v>840</v>
      </c>
      <c r="E816" s="6">
        <v>1</v>
      </c>
      <c r="F816" s="6">
        <v>1</v>
      </c>
      <c r="G816" s="7">
        <v>0.5940638184547424</v>
      </c>
      <c r="H816" s="7">
        <v>8.069445312500001</v>
      </c>
      <c r="I816" s="7">
        <v>20.00296615301012</v>
      </c>
      <c r="J816" s="7">
        <v>9.415179669151382</v>
      </c>
      <c r="K816" s="7">
        <v>0.8260722257377503</v>
      </c>
      <c r="L816" s="7">
        <v>0.9955663147950768</v>
      </c>
      <c r="M816" s="7">
        <v>0.2534339231692189</v>
      </c>
      <c r="N816" s="7">
        <v>0.2323172867183546</v>
      </c>
      <c r="O816" s="7">
        <v>0.0467362142716195</v>
      </c>
      <c r="P816" s="7">
        <v>9.313923557804689</v>
      </c>
      <c r="Q816" s="7">
        <v>0.0482499824964943</v>
      </c>
      <c r="R816" s="7">
        <v>0.1097844204822029</v>
      </c>
      <c r="S816" s="7">
        <v>0.1237153746056872</v>
      </c>
      <c r="T816" s="7">
        <v>0.4518888471745324</v>
      </c>
    </row>
    <row x14ac:dyDescent="0.25" r="817" customHeight="1" ht="19.5">
      <c r="A817" s="2" t="s">
        <v>3129</v>
      </c>
      <c r="B817" s="2" t="s">
        <v>2314</v>
      </c>
      <c r="C817" s="2" t="s">
        <v>31</v>
      </c>
      <c r="D817" s="2" t="s">
        <v>840</v>
      </c>
      <c r="E817" s="6">
        <v>1</v>
      </c>
      <c r="F817" s="6">
        <v>1</v>
      </c>
      <c r="G817" s="7">
        <v>0.5916877388954163</v>
      </c>
      <c r="H817" s="7">
        <v>8.02442265625</v>
      </c>
      <c r="I817" s="7">
        <v>19.93401949990063</v>
      </c>
      <c r="J817" s="7">
        <v>9.356083238298956</v>
      </c>
      <c r="K817" s="7">
        <v>0.8305220611002082</v>
      </c>
      <c r="L817" s="7">
        <v>0.995507061782504</v>
      </c>
      <c r="M817" s="7">
        <v>0.2537662733421113</v>
      </c>
      <c r="N817" s="7">
        <v>0.2253538837950501</v>
      </c>
      <c r="O817" s="7">
        <v>0.0463196462758803</v>
      </c>
      <c r="P817" s="7">
        <v>9.343708472029723</v>
      </c>
      <c r="Q817" s="7">
        <v>0.0480246322313934</v>
      </c>
      <c r="R817" s="7">
        <v>0.1093002642457459</v>
      </c>
      <c r="S817" s="7">
        <v>0.1248375317426165</v>
      </c>
      <c r="T817" s="7">
        <v>0.4472688195549198</v>
      </c>
    </row>
    <row x14ac:dyDescent="0.25" r="818" customHeight="1" ht="19.5">
      <c r="A818" s="2" t="s">
        <v>3130</v>
      </c>
      <c r="B818" s="2" t="s">
        <v>2314</v>
      </c>
      <c r="C818" s="2" t="s">
        <v>31</v>
      </c>
      <c r="D818" s="2" t="s">
        <v>840</v>
      </c>
      <c r="E818" s="6">
        <v>1</v>
      </c>
      <c r="F818" s="6">
        <v>1</v>
      </c>
      <c r="G818" s="7">
        <v>0.5934926271438599</v>
      </c>
      <c r="H818" s="7">
        <v>8.041739062500001</v>
      </c>
      <c r="I818" s="7">
        <v>19.96849282645537</v>
      </c>
      <c r="J818" s="7">
        <v>9.356312859973446</v>
      </c>
      <c r="K818" s="7">
        <v>0.8331342044213293</v>
      </c>
      <c r="L818" s="7">
        <v>0.995512860817494</v>
      </c>
      <c r="M818" s="7">
        <v>0.2534365616138485</v>
      </c>
      <c r="N818" s="7">
        <v>0.2220151977910536</v>
      </c>
      <c r="O818" s="7">
        <v>0.0459868386533037</v>
      </c>
      <c r="P818" s="7">
        <v>9.34854137481338</v>
      </c>
      <c r="Q818" s="7">
        <v>0.0482086334876218</v>
      </c>
      <c r="R818" s="7">
        <v>0.1099619093009307</v>
      </c>
      <c r="S818" s="7">
        <v>0.1273764395304771</v>
      </c>
      <c r="T818" s="7">
        <v>0.4499513698646753</v>
      </c>
    </row>
    <row x14ac:dyDescent="0.25" r="819" customHeight="1" ht="19.5">
      <c r="A819" s="2" t="s">
        <v>3131</v>
      </c>
      <c r="B819" s="2" t="s">
        <v>2314</v>
      </c>
      <c r="C819" s="2" t="s">
        <v>31</v>
      </c>
      <c r="D819" s="2" t="s">
        <v>840</v>
      </c>
      <c r="E819" s="6">
        <v>1</v>
      </c>
      <c r="F819" s="6">
        <v>1</v>
      </c>
      <c r="G819" s="7">
        <v>0.5967831611633301</v>
      </c>
      <c r="H819" s="7">
        <v>8.03827578125</v>
      </c>
      <c r="I819" s="7">
        <v>19.93401949990063</v>
      </c>
      <c r="J819" s="7">
        <v>9.35648624652368</v>
      </c>
      <c r="K819" s="7">
        <v>0.8351147591345025</v>
      </c>
      <c r="L819" s="7">
        <v>0.9955055292057958</v>
      </c>
      <c r="M819" s="7">
        <v>0.2542043679011828</v>
      </c>
      <c r="N819" s="7">
        <v>0.224209018317084</v>
      </c>
      <c r="O819" s="7">
        <v>0.046098411169332</v>
      </c>
      <c r="P819" s="7">
        <v>9.34444078328958</v>
      </c>
      <c r="Q819" s="7">
        <v>0.0478529040032912</v>
      </c>
      <c r="R819" s="7">
        <v>0.1091645953463236</v>
      </c>
      <c r="S819" s="7">
        <v>0.1247753115631134</v>
      </c>
      <c r="T819" s="7">
        <v>0.4464388499499353</v>
      </c>
    </row>
    <row x14ac:dyDescent="0.25" r="820" customHeight="1" ht="19.5">
      <c r="A820" s="2" t="s">
        <v>3132</v>
      </c>
      <c r="B820" s="2" t="s">
        <v>2314</v>
      </c>
      <c r="C820" s="2" t="s">
        <v>31</v>
      </c>
      <c r="D820" s="2" t="s">
        <v>840</v>
      </c>
      <c r="E820" s="6">
        <v>1</v>
      </c>
      <c r="F820" s="6">
        <v>1</v>
      </c>
      <c r="G820" s="7">
        <v>0.5960265398025513</v>
      </c>
      <c r="H820" s="7">
        <v>8.03827578125</v>
      </c>
      <c r="I820" s="7">
        <v>19.96849282645537</v>
      </c>
      <c r="J820" s="7">
        <v>9.356109149832836</v>
      </c>
      <c r="K820" s="7">
        <v>0.8308162172995313</v>
      </c>
      <c r="L820" s="7">
        <v>0.9955168062504338</v>
      </c>
      <c r="M820" s="7">
        <v>0.2533274158078132</v>
      </c>
      <c r="N820" s="7">
        <v>0.2215822469644863</v>
      </c>
      <c r="O820" s="7">
        <v>0.0457819433225982</v>
      </c>
      <c r="P820" s="7">
        <v>9.36001066595016</v>
      </c>
      <c r="Q820" s="7">
        <v>0.0482830682836052</v>
      </c>
      <c r="R820" s="7">
        <v>0.1102340488586175</v>
      </c>
      <c r="S820" s="7">
        <v>0.1243822491066023</v>
      </c>
      <c r="T820" s="7">
        <v>0.4504520242931209</v>
      </c>
    </row>
    <row x14ac:dyDescent="0.25" r="821" customHeight="1" ht="19.5">
      <c r="A821" s="2" t="s">
        <v>3133</v>
      </c>
      <c r="B821" s="2" t="s">
        <v>2314</v>
      </c>
      <c r="C821" s="2" t="s">
        <v>31</v>
      </c>
      <c r="D821" s="2" t="s">
        <v>840</v>
      </c>
      <c r="E821" s="6">
        <v>1</v>
      </c>
      <c r="F821" s="6">
        <v>1</v>
      </c>
      <c r="G821" s="7">
        <v>0.597164511680603</v>
      </c>
      <c r="H821" s="7">
        <v>8.03134921875</v>
      </c>
      <c r="I821" s="7">
        <v>19.93401949990063</v>
      </c>
      <c r="J821" s="7">
        <v>9.356087457020497</v>
      </c>
      <c r="K821" s="7">
        <v>0.8305699428834534</v>
      </c>
      <c r="L821" s="7">
        <v>0.9955081919799954</v>
      </c>
      <c r="M821" s="7">
        <v>0.2539853206216471</v>
      </c>
      <c r="N821" s="7">
        <v>0.2241470198768173</v>
      </c>
      <c r="O821" s="7">
        <v>0.0459247850336145</v>
      </c>
      <c r="P821" s="7">
        <v>9.355851027024691</v>
      </c>
      <c r="Q821" s="7">
        <v>0.0478261490571382</v>
      </c>
      <c r="R821" s="7">
        <v>0.1089510303784119</v>
      </c>
      <c r="S821" s="7">
        <v>0.1227166355248725</v>
      </c>
      <c r="T821" s="7">
        <v>0.4458047621991708</v>
      </c>
    </row>
    <row x14ac:dyDescent="0.25" r="822" customHeight="1" ht="19.5">
      <c r="A822" s="2" t="s">
        <v>3134</v>
      </c>
      <c r="B822" s="2" t="s">
        <v>2314</v>
      </c>
      <c r="C822" s="2" t="s">
        <v>31</v>
      </c>
      <c r="D822" s="2" t="s">
        <v>840</v>
      </c>
      <c r="E822" s="6">
        <v>1</v>
      </c>
      <c r="F822" s="6">
        <v>1</v>
      </c>
      <c r="G822" s="7">
        <v>0.5933382511138916</v>
      </c>
      <c r="H822" s="7">
        <v>8.0278859375</v>
      </c>
      <c r="I822" s="7">
        <v>19.96849282645537</v>
      </c>
      <c r="J822" s="7">
        <v>9.35617301716722</v>
      </c>
      <c r="K822" s="7">
        <v>0.83154192056811</v>
      </c>
      <c r="L822" s="7">
        <v>0.9955109385992188</v>
      </c>
      <c r="M822" s="7">
        <v>0.2529999783897075</v>
      </c>
      <c r="N822" s="7">
        <v>0.2223816063571562</v>
      </c>
      <c r="O822" s="7">
        <v>0.0456482238454564</v>
      </c>
      <c r="P822" s="7">
        <v>9.357268654853726</v>
      </c>
      <c r="Q822" s="7">
        <v>0.04794340864206</v>
      </c>
      <c r="R822" s="7">
        <v>0.1092589645423783</v>
      </c>
      <c r="S822" s="7">
        <v>0.1245575625787109</v>
      </c>
      <c r="T822" s="7">
        <v>0.4467050696076254</v>
      </c>
    </row>
    <row x14ac:dyDescent="0.25" r="823" customHeight="1" ht="19.5">
      <c r="A823" s="2" t="s">
        <v>3135</v>
      </c>
      <c r="B823" s="2" t="s">
        <v>2314</v>
      </c>
      <c r="C823" s="2" t="s">
        <v>31</v>
      </c>
      <c r="D823" s="2" t="s">
        <v>840</v>
      </c>
      <c r="E823" s="6">
        <v>1</v>
      </c>
      <c r="F823" s="6">
        <v>1</v>
      </c>
      <c r="G823" s="7">
        <v>0.5922096967697144</v>
      </c>
      <c r="H823" s="7">
        <v>8.0140328125</v>
      </c>
      <c r="I823" s="7">
        <v>19.88526685394679</v>
      </c>
      <c r="J823" s="7">
        <v>9.355854895896542</v>
      </c>
      <c r="K823" s="7">
        <v>0.8280464707104662</v>
      </c>
      <c r="L823" s="7">
        <v>0.9955051217859644</v>
      </c>
      <c r="M823" s="7">
        <v>0.2546819306200534</v>
      </c>
      <c r="N823" s="7">
        <v>0.2225980028470648</v>
      </c>
      <c r="O823" s="7">
        <v>0.0457552463696612</v>
      </c>
      <c r="P823" s="7">
        <v>9.354250519272588</v>
      </c>
      <c r="Q823" s="7">
        <v>0.048242548329994</v>
      </c>
      <c r="R823" s="7">
        <v>0.1112698076616165</v>
      </c>
      <c r="S823" s="7">
        <v>0.1269758077045001</v>
      </c>
      <c r="T823" s="7">
        <v>0.448716600661479</v>
      </c>
    </row>
    <row x14ac:dyDescent="0.25" r="824" customHeight="1" ht="19.5">
      <c r="A824" s="2" t="s">
        <v>3136</v>
      </c>
      <c r="B824" s="2" t="s">
        <v>2314</v>
      </c>
      <c r="C824" s="2" t="s">
        <v>31</v>
      </c>
      <c r="D824" s="2" t="s">
        <v>840</v>
      </c>
      <c r="E824" s="6">
        <v>1</v>
      </c>
      <c r="F824" s="6">
        <v>1</v>
      </c>
      <c r="G824" s="7">
        <v>0.5943974852561951</v>
      </c>
      <c r="H824" s="7">
        <v>8.0832984375</v>
      </c>
      <c r="I824" s="7">
        <v>20.01724547240921</v>
      </c>
      <c r="J824" s="7">
        <v>9.415759432323698</v>
      </c>
      <c r="K824" s="7">
        <v>0.833410737538252</v>
      </c>
      <c r="L824" s="7">
        <v>0.995561153672163</v>
      </c>
      <c r="M824" s="7">
        <v>0.2535069367055765</v>
      </c>
      <c r="N824" s="7">
        <v>0.226130449052915</v>
      </c>
      <c r="O824" s="7">
        <v>0.0461288602448997</v>
      </c>
      <c r="P824" s="7">
        <v>9.344137895171944</v>
      </c>
      <c r="Q824" s="7">
        <v>0.0487438576645364</v>
      </c>
      <c r="R824" s="7">
        <v>0.1094025044133522</v>
      </c>
      <c r="S824" s="7">
        <v>0.1264301822261333</v>
      </c>
      <c r="T824" s="7">
        <v>0.457297987768</v>
      </c>
    </row>
    <row x14ac:dyDescent="0.25" r="825" customHeight="1" ht="19.5">
      <c r="A825" s="2" t="s">
        <v>3137</v>
      </c>
      <c r="B825" s="2" t="s">
        <v>2314</v>
      </c>
      <c r="C825" s="2" t="s">
        <v>31</v>
      </c>
      <c r="D825" s="2" t="s">
        <v>840</v>
      </c>
      <c r="E825" s="6">
        <v>1</v>
      </c>
      <c r="F825" s="6">
        <v>1</v>
      </c>
      <c r="G825" s="7">
        <v>0.5967366099357605</v>
      </c>
      <c r="H825" s="7">
        <v>7.993253125000001</v>
      </c>
      <c r="I825" s="7">
        <v>19.88526685394679</v>
      </c>
      <c r="J825" s="7">
        <v>9.29650118992431</v>
      </c>
      <c r="K825" s="7">
        <v>0.8293296718394367</v>
      </c>
      <c r="L825" s="7">
        <v>0.9954589650520296</v>
      </c>
      <c r="M825" s="7">
        <v>0.2540215626063454</v>
      </c>
      <c r="N825" s="7">
        <v>0.2242832731407126</v>
      </c>
      <c r="O825" s="7">
        <v>0.0464840762099738</v>
      </c>
      <c r="P825" s="7">
        <v>9.332901518368455</v>
      </c>
      <c r="Q825" s="7">
        <v>0.0485666973858747</v>
      </c>
      <c r="R825" s="7">
        <v>0.11078263429218</v>
      </c>
      <c r="S825" s="7">
        <v>0.1280898937289721</v>
      </c>
      <c r="T825" s="7">
        <v>0.4505602954907276</v>
      </c>
    </row>
    <row x14ac:dyDescent="0.25" r="826" customHeight="1" ht="19.5">
      <c r="A826" s="2" t="s">
        <v>3138</v>
      </c>
      <c r="B826" s="2" t="s">
        <v>2314</v>
      </c>
      <c r="C826" s="2" t="s">
        <v>31</v>
      </c>
      <c r="D826" s="2" t="s">
        <v>840</v>
      </c>
      <c r="E826" s="6">
        <v>1</v>
      </c>
      <c r="F826" s="6">
        <v>1</v>
      </c>
      <c r="G826" s="7">
        <v>0.5961806178092957</v>
      </c>
      <c r="H826" s="7">
        <v>8.03134921875</v>
      </c>
      <c r="I826" s="7">
        <v>19.93401949990063</v>
      </c>
      <c r="J826" s="7">
        <v>9.35610885928105</v>
      </c>
      <c r="K826" s="7">
        <v>0.8306806317750717</v>
      </c>
      <c r="L826" s="7">
        <v>0.9955113654623852</v>
      </c>
      <c r="M826" s="7">
        <v>0.2539853206216471</v>
      </c>
      <c r="N826" s="7">
        <v>0.222941769733478</v>
      </c>
      <c r="O826" s="7">
        <v>0.0466446717004679</v>
      </c>
      <c r="P826" s="7">
        <v>9.329619390064853</v>
      </c>
      <c r="Q826" s="7">
        <v>0.0483479135304442</v>
      </c>
      <c r="R826" s="7">
        <v>0.1097374773535427</v>
      </c>
      <c r="S826" s="7">
        <v>0.1248729148896601</v>
      </c>
      <c r="T826" s="7">
        <v>0.4506683167928773</v>
      </c>
    </row>
    <row x14ac:dyDescent="0.25" r="827" customHeight="1" ht="19.5">
      <c r="A827" s="2" t="s">
        <v>3139</v>
      </c>
      <c r="B827" s="2" t="s">
        <v>2314</v>
      </c>
      <c r="C827" s="2" t="s">
        <v>31</v>
      </c>
      <c r="D827" s="2" t="s">
        <v>840</v>
      </c>
      <c r="E827" s="6">
        <v>1</v>
      </c>
      <c r="F827" s="6">
        <v>1</v>
      </c>
      <c r="G827" s="7">
        <v>0.5973966717720032</v>
      </c>
      <c r="H827" s="7">
        <v>8.017496093750001</v>
      </c>
      <c r="I827" s="7">
        <v>19.85079352739204</v>
      </c>
      <c r="J827" s="7">
        <v>9.296900100547925</v>
      </c>
      <c r="K827" s="7">
        <v>0.8352453214073776</v>
      </c>
      <c r="L827" s="7">
        <v>0.995453113174757</v>
      </c>
      <c r="M827" s="7">
        <v>0.2556777151751562</v>
      </c>
      <c r="N827" s="7">
        <v>0.2242981347072762</v>
      </c>
      <c r="O827" s="7">
        <v>0.0455894678257218</v>
      </c>
      <c r="P827" s="7">
        <v>9.349305718921462</v>
      </c>
      <c r="Q827" s="7">
        <v>0.0480166215297322</v>
      </c>
      <c r="R827" s="7">
        <v>0.110192441014092</v>
      </c>
      <c r="S827" s="7">
        <v>0.1247324793561778</v>
      </c>
      <c r="T827" s="7">
        <v>0.4468082019127609</v>
      </c>
    </row>
    <row x14ac:dyDescent="0.25" r="828" customHeight="1" ht="19.5">
      <c r="A828" s="2" t="s">
        <v>3140</v>
      </c>
      <c r="B828" s="2" t="s">
        <v>2314</v>
      </c>
      <c r="C828" s="2" t="s">
        <v>31</v>
      </c>
      <c r="D828" s="2" t="s">
        <v>840</v>
      </c>
      <c r="E828" s="6">
        <v>1</v>
      </c>
      <c r="F828" s="6">
        <v>1</v>
      </c>
      <c r="G828" s="7">
        <v>0.5948275327682495</v>
      </c>
      <c r="H828" s="7">
        <v>8.017496093750001</v>
      </c>
      <c r="I828" s="7">
        <v>19.93401949990063</v>
      </c>
      <c r="J828" s="7">
        <v>9.35592843150576</v>
      </c>
      <c r="K828" s="7">
        <v>0.8288842795053725</v>
      </c>
      <c r="L828" s="7">
        <v>0.9955055710253796</v>
      </c>
      <c r="M828" s="7">
        <v>0.2535472260625755</v>
      </c>
      <c r="N828" s="7">
        <v>0.2255835712506824</v>
      </c>
      <c r="O828" s="7">
        <v>0.0464657277014976</v>
      </c>
      <c r="P828" s="7">
        <v>9.323555229027518</v>
      </c>
      <c r="Q828" s="7">
        <v>0.0480432774742139</v>
      </c>
      <c r="R828" s="7">
        <v>0.1094757909909317</v>
      </c>
      <c r="S828" s="7">
        <v>0.1246262011536727</v>
      </c>
      <c r="T828" s="7">
        <v>0.447056242991969</v>
      </c>
    </row>
    <row x14ac:dyDescent="0.25" r="829" customHeight="1" ht="19.5">
      <c r="A829" s="2" t="s">
        <v>3141</v>
      </c>
      <c r="B829" s="2" t="s">
        <v>2314</v>
      </c>
      <c r="C829" s="2" t="s">
        <v>31</v>
      </c>
      <c r="D829" s="2" t="s">
        <v>840</v>
      </c>
      <c r="E829" s="6">
        <v>1</v>
      </c>
      <c r="F829" s="6">
        <v>1</v>
      </c>
      <c r="G829" s="7">
        <v>0.5949171781539917</v>
      </c>
      <c r="H829" s="7">
        <v>8.0140328125</v>
      </c>
      <c r="I829" s="7">
        <v>19.93401949990063</v>
      </c>
      <c r="J829" s="7">
        <v>9.356005006559936</v>
      </c>
      <c r="K829" s="7">
        <v>0.8296348840086565</v>
      </c>
      <c r="L829" s="7">
        <v>0.9955055876098162</v>
      </c>
      <c r="M829" s="7">
        <v>0.2534377024228077</v>
      </c>
      <c r="N829" s="7">
        <v>0.2209430222798821</v>
      </c>
      <c r="O829" s="7">
        <v>0.0454791797093541</v>
      </c>
      <c r="P829" s="7">
        <v>9.355627729605317</v>
      </c>
      <c r="Q829" s="7">
        <v>0.0487328257183444</v>
      </c>
      <c r="R829" s="7">
        <v>0.1101652568006269</v>
      </c>
      <c r="S829" s="7">
        <v>0.1225859206905593</v>
      </c>
      <c r="T829" s="7">
        <v>0.4532767992972751</v>
      </c>
    </row>
    <row x14ac:dyDescent="0.25" r="830" customHeight="1" ht="19.5">
      <c r="A830" s="2" t="s">
        <v>3142</v>
      </c>
      <c r="B830" s="2" t="s">
        <v>2314</v>
      </c>
      <c r="C830" s="2" t="s">
        <v>31</v>
      </c>
      <c r="D830" s="2" t="s">
        <v>840</v>
      </c>
      <c r="E830" s="6">
        <v>1</v>
      </c>
      <c r="F830" s="6">
        <v>1</v>
      </c>
      <c r="G830" s="7">
        <v>0.6003384590148926</v>
      </c>
      <c r="H830" s="7">
        <v>8.04520234375</v>
      </c>
      <c r="I830" s="7">
        <v>19.88526685394679</v>
      </c>
      <c r="J830" s="7">
        <v>9.35723668621413</v>
      </c>
      <c r="K830" s="7">
        <v>0.8433040106776523</v>
      </c>
      <c r="L830" s="7">
        <v>0.995506707362962</v>
      </c>
      <c r="M830" s="7">
        <v>0.2556724826406154</v>
      </c>
      <c r="N830" s="7">
        <v>0.2224827331237039</v>
      </c>
      <c r="O830" s="7">
        <v>0.0464926950347991</v>
      </c>
      <c r="P830" s="7">
        <v>9.320360213000685</v>
      </c>
      <c r="Q830" s="7">
        <v>0.0483246315898806</v>
      </c>
      <c r="R830" s="7">
        <v>0.1108280306469247</v>
      </c>
      <c r="S830" s="7">
        <v>0.1218237612717195</v>
      </c>
      <c r="T830" s="7">
        <v>0.4512282725098433</v>
      </c>
    </row>
    <row x14ac:dyDescent="0.25" r="831" customHeight="1" ht="19.5">
      <c r="A831" s="2" t="s">
        <v>3143</v>
      </c>
      <c r="B831" s="2" t="s">
        <v>2314</v>
      </c>
      <c r="C831" s="2" t="s">
        <v>31</v>
      </c>
      <c r="D831" s="2" t="s">
        <v>840</v>
      </c>
      <c r="E831" s="6">
        <v>1</v>
      </c>
      <c r="F831" s="6">
        <v>1</v>
      </c>
      <c r="G831" s="7">
        <v>0.5232076644897461</v>
      </c>
      <c r="H831" s="7">
        <v>8.11446796875</v>
      </c>
      <c r="I831" s="7">
        <v>19.83651420799295</v>
      </c>
      <c r="J831" s="7">
        <v>9.245166273350051</v>
      </c>
      <c r="K831" s="7">
        <v>0.8938616215035868</v>
      </c>
      <c r="L831" s="7">
        <v>0.9951897774306442</v>
      </c>
      <c r="M831" s="7">
        <v>0.259142831013731</v>
      </c>
      <c r="N831" s="7">
        <v>0.2857296834307876</v>
      </c>
      <c r="O831" s="7">
        <v>0.0531668706720411</v>
      </c>
      <c r="P831" s="7">
        <v>9.02088318701311</v>
      </c>
      <c r="Q831" s="7">
        <v>0.0259908387830268</v>
      </c>
      <c r="R831" s="7">
        <v>0.0660135967994554</v>
      </c>
      <c r="S831" s="7">
        <v>0.0802128132563457</v>
      </c>
      <c r="T831" s="7">
        <v>0.2447772919322977</v>
      </c>
    </row>
    <row x14ac:dyDescent="0.25" r="832" customHeight="1" ht="19.5">
      <c r="A832" s="2" t="s">
        <v>3144</v>
      </c>
      <c r="B832" s="2" t="s">
        <v>2314</v>
      </c>
      <c r="C832" s="2" t="s">
        <v>31</v>
      </c>
      <c r="D832" s="2" t="s">
        <v>840</v>
      </c>
      <c r="E832" s="6">
        <v>1</v>
      </c>
      <c r="F832" s="6">
        <v>1</v>
      </c>
      <c r="G832" s="7">
        <v>0.3266998827457428</v>
      </c>
      <c r="H832" s="7">
        <v>6.35512109375</v>
      </c>
      <c r="I832" s="7">
        <v>16.06422195020972</v>
      </c>
      <c r="J832" s="7">
        <v>7.508884007628781</v>
      </c>
      <c r="K832" s="7">
        <v>0.8319282517269939</v>
      </c>
      <c r="L832" s="7">
        <v>0.9929608471846546</v>
      </c>
      <c r="M832" s="7">
        <v>0.3094669697851439</v>
      </c>
      <c r="N832" s="7">
        <v>0.3903325689552359</v>
      </c>
      <c r="O832" s="7">
        <v>0.0775088174380852</v>
      </c>
      <c r="P832" s="7">
        <v>8.113122464951434</v>
      </c>
      <c r="Q832" s="7">
        <v>0.0054984497483025</v>
      </c>
      <c r="R832" s="7">
        <v>0.0203732051937514</v>
      </c>
      <c r="S832" s="7">
        <v>0.0277105095633866</v>
      </c>
      <c r="T832" s="7">
        <v>0.0405559772336058</v>
      </c>
    </row>
    <row x14ac:dyDescent="0.25" r="833" customHeight="1" ht="19.5">
      <c r="A833" s="2" t="s">
        <v>3145</v>
      </c>
      <c r="B833" s="2" t="s">
        <v>2314</v>
      </c>
      <c r="C833" s="2" t="s">
        <v>31</v>
      </c>
      <c r="D833" s="2" t="s">
        <v>840</v>
      </c>
      <c r="E833" s="6">
        <v>1</v>
      </c>
      <c r="F833" s="6">
        <v>1</v>
      </c>
      <c r="G833" s="7">
        <v>0.4907526671886444</v>
      </c>
      <c r="H833" s="7">
        <v>7.401032031250001</v>
      </c>
      <c r="I833" s="7">
        <v>18.40392861207729</v>
      </c>
      <c r="J833" s="7">
        <v>8.640802913484407</v>
      </c>
      <c r="K833" s="7">
        <v>0.8291188600475745</v>
      </c>
      <c r="L833" s="7">
        <v>0.9947050499983536</v>
      </c>
      <c r="M833" s="7">
        <v>0.2745876927271162</v>
      </c>
      <c r="N833" s="7">
        <v>0.3263398769882663</v>
      </c>
      <c r="O833" s="7">
        <v>0.0559746838877415</v>
      </c>
      <c r="P833" s="7">
        <v>8.88222891204359</v>
      </c>
      <c r="Q833" s="7">
        <v>0.0113075541548048</v>
      </c>
      <c r="R833" s="7">
        <v>0.0350055353276906</v>
      </c>
      <c r="S833" s="7">
        <v>0.05114679166171</v>
      </c>
      <c r="T833" s="7">
        <v>0.0971296313173039</v>
      </c>
    </row>
    <row x14ac:dyDescent="0.25" r="834" customHeight="1" ht="19.5">
      <c r="A834" s="2" t="s">
        <v>3146</v>
      </c>
      <c r="B834" s="2" t="s">
        <v>2314</v>
      </c>
      <c r="C834" s="2" t="s">
        <v>31</v>
      </c>
      <c r="D834" s="2" t="s">
        <v>840</v>
      </c>
      <c r="E834" s="6">
        <v>1</v>
      </c>
      <c r="F834" s="6">
        <v>1</v>
      </c>
      <c r="G834" s="7">
        <v>0.5229764580726624</v>
      </c>
      <c r="H834" s="7">
        <v>7.47029765625</v>
      </c>
      <c r="I834" s="7">
        <v>19.60111560986628</v>
      </c>
      <c r="J834" s="7">
        <v>9.236487484028164</v>
      </c>
      <c r="K834" s="7">
        <v>0.7695655801950946</v>
      </c>
      <c r="L834" s="7">
        <v>0.9959777479254912</v>
      </c>
      <c r="M834" s="7">
        <v>0.2443352858079533</v>
      </c>
      <c r="N834" s="7">
        <v>0.2803440972241353</v>
      </c>
      <c r="O834" s="7">
        <v>0.0497392039713033</v>
      </c>
      <c r="P834" s="7">
        <v>9.137799060173355</v>
      </c>
      <c r="Q834" s="7">
        <v>0.0248931617870929</v>
      </c>
      <c r="R834" s="7">
        <v>0.0595175400077442</v>
      </c>
      <c r="S834" s="7">
        <v>0.0731817328493016</v>
      </c>
      <c r="T834" s="7">
        <v>0.215828478194476</v>
      </c>
    </row>
    <row x14ac:dyDescent="0.25" r="835" customHeight="1" ht="19.5">
      <c r="A835" s="2" t="s">
        <v>3147</v>
      </c>
      <c r="B835" s="2" t="s">
        <v>2314</v>
      </c>
      <c r="C835" s="2" t="s">
        <v>31</v>
      </c>
      <c r="D835" s="2" t="s">
        <v>840</v>
      </c>
      <c r="E835" s="6">
        <v>1</v>
      </c>
      <c r="F835" s="6">
        <v>1</v>
      </c>
      <c r="G835" s="7">
        <v>0.4994055032730102</v>
      </c>
      <c r="H835" s="7">
        <v>7.636535156250001</v>
      </c>
      <c r="I835" s="7">
        <v>19.84487883963548</v>
      </c>
      <c r="J835" s="7">
        <v>9.237272188558858</v>
      </c>
      <c r="K835" s="7">
        <v>0.8332749164628706</v>
      </c>
      <c r="L835" s="7">
        <v>0.9957505490639936</v>
      </c>
      <c r="M835" s="7">
        <v>0.2436740693325607</v>
      </c>
      <c r="N835" s="7">
        <v>0.2168222637775437</v>
      </c>
      <c r="O835" s="7">
        <v>0.0425885490965152</v>
      </c>
      <c r="P835" s="7">
        <v>9.577145680706195</v>
      </c>
      <c r="Q835" s="7">
        <v>0.0381268410680204</v>
      </c>
      <c r="R835" s="7">
        <v>0.0890125638942186</v>
      </c>
      <c r="S835" s="7">
        <v>0.0998675515030978</v>
      </c>
      <c r="T835" s="7">
        <v>0.3379231614441587</v>
      </c>
    </row>
    <row x14ac:dyDescent="0.25" r="836" customHeight="1" ht="19.5">
      <c r="A836" s="2" t="s">
        <v>3148</v>
      </c>
      <c r="B836" s="2" t="s">
        <v>2314</v>
      </c>
      <c r="C836" s="2" t="s">
        <v>31</v>
      </c>
      <c r="D836" s="2" t="s">
        <v>840</v>
      </c>
      <c r="E836" s="6">
        <v>1</v>
      </c>
      <c r="F836" s="6">
        <v>1</v>
      </c>
      <c r="G836" s="7">
        <v>0.5245038270950317</v>
      </c>
      <c r="H836" s="7">
        <v>7.75428671875</v>
      </c>
      <c r="I836" s="7">
        <v>19.91382549274497</v>
      </c>
      <c r="J836" s="7">
        <v>9.29585765393494</v>
      </c>
      <c r="K836" s="7">
        <v>0.823564885820809</v>
      </c>
      <c r="L836" s="7">
        <v>0.995707939663799</v>
      </c>
      <c r="M836" s="7">
        <v>0.2457210289144534</v>
      </c>
      <c r="N836" s="7">
        <v>0.1926546546081174</v>
      </c>
      <c r="O836" s="7">
        <v>0.0403948478803943</v>
      </c>
      <c r="P836" s="7">
        <v>9.69200983145813</v>
      </c>
      <c r="Q836" s="7">
        <v>0.0542773901898934</v>
      </c>
      <c r="R836" s="7">
        <v>0.1192113832025136</v>
      </c>
      <c r="S836" s="7">
        <v>0.1347151073220951</v>
      </c>
      <c r="T836" s="7">
        <v>0.4884854053516075</v>
      </c>
    </row>
    <row x14ac:dyDescent="0.25" r="837" customHeight="1" ht="19.5">
      <c r="A837" s="2" t="s">
        <v>3149</v>
      </c>
      <c r="B837" s="2" t="s">
        <v>2314</v>
      </c>
      <c r="C837" s="2" t="s">
        <v>31</v>
      </c>
      <c r="D837" s="2" t="s">
        <v>840</v>
      </c>
      <c r="E837" s="6">
        <v>1</v>
      </c>
      <c r="F837" s="6">
        <v>1</v>
      </c>
      <c r="G837" s="7">
        <v>0.5396642088890076</v>
      </c>
      <c r="H837" s="7">
        <v>8.000179687500001</v>
      </c>
      <c r="I837" s="7">
        <v>19.96257813869881</v>
      </c>
      <c r="J837" s="7">
        <v>9.296352066230003</v>
      </c>
      <c r="K837" s="7">
        <v>0.8836934193538559</v>
      </c>
      <c r="L837" s="7">
        <v>0.9954229913082489</v>
      </c>
      <c r="M837" s="7">
        <v>0.2522762387617336</v>
      </c>
      <c r="N837" s="7">
        <v>0.1971275119419902</v>
      </c>
      <c r="O837" s="7">
        <v>0.0381688685297802</v>
      </c>
      <c r="P837" s="7">
        <v>9.900048821696984</v>
      </c>
      <c r="Q837" s="7">
        <v>0.0574717092460326</v>
      </c>
      <c r="R837" s="7">
        <v>0.1286887102402965</v>
      </c>
      <c r="S837" s="7">
        <v>0.1448678416646138</v>
      </c>
      <c r="T837" s="7">
        <v>0.5336354040453373</v>
      </c>
    </row>
    <row x14ac:dyDescent="0.25" r="838" customHeight="1" ht="19.5">
      <c r="A838" s="2" t="s">
        <v>3150</v>
      </c>
      <c r="B838" s="2" t="s">
        <v>2314</v>
      </c>
      <c r="C838" s="2" t="s">
        <v>31</v>
      </c>
      <c r="D838" s="2" t="s">
        <v>840</v>
      </c>
      <c r="E838" s="6">
        <v>1</v>
      </c>
      <c r="F838" s="6">
        <v>1</v>
      </c>
      <c r="G838" s="7">
        <v>0.5398667454719543</v>
      </c>
      <c r="H838" s="7">
        <v>8.06598203125</v>
      </c>
      <c r="I838" s="7">
        <v>20.09455675716124</v>
      </c>
      <c r="J838" s="7">
        <v>9.41540054990254</v>
      </c>
      <c r="K838" s="7">
        <v>0.8847466257821137</v>
      </c>
      <c r="L838" s="7">
        <v>0.9955107249414522</v>
      </c>
      <c r="M838" s="7">
        <v>0.2510211137470328</v>
      </c>
      <c r="N838" s="7">
        <v>0.1854761315743738</v>
      </c>
      <c r="O838" s="7">
        <v>0.0377880333921177</v>
      </c>
      <c r="P838" s="7">
        <v>9.90895645377534</v>
      </c>
      <c r="Q838" s="7">
        <v>0.057797783724088</v>
      </c>
      <c r="R838" s="7">
        <v>0.1296033380895422</v>
      </c>
      <c r="S838" s="7">
        <v>0.1441020172278891</v>
      </c>
      <c r="T838" s="7">
        <v>0.5410771774174506</v>
      </c>
    </row>
    <row x14ac:dyDescent="0.25" r="839" customHeight="1" ht="19.5">
      <c r="A839" s="2" t="s">
        <v>3151</v>
      </c>
      <c r="B839" s="2" t="s">
        <v>2314</v>
      </c>
      <c r="C839" s="2" t="s">
        <v>31</v>
      </c>
      <c r="D839" s="2" t="s">
        <v>840</v>
      </c>
      <c r="E839" s="6">
        <v>1</v>
      </c>
      <c r="F839" s="6">
        <v>1</v>
      </c>
      <c r="G839" s="7">
        <v>0.5438234806060791</v>
      </c>
      <c r="H839" s="7">
        <v>7.993253125000001</v>
      </c>
      <c r="I839" s="7">
        <v>19.96257813869881</v>
      </c>
      <c r="J839" s="7">
        <v>9.2962787432578</v>
      </c>
      <c r="K839" s="7">
        <v>0.8829338522341117</v>
      </c>
      <c r="L839" s="7">
        <v>0.9954080614308406</v>
      </c>
      <c r="M839" s="7">
        <v>0.2520578177757927</v>
      </c>
      <c r="N839" s="7">
        <v>0.1994868286647118</v>
      </c>
      <c r="O839" s="7">
        <v>0.0378324509522578</v>
      </c>
      <c r="P839" s="7">
        <v>9.914896183001886</v>
      </c>
      <c r="Q839" s="7">
        <v>0.0581900907220633</v>
      </c>
      <c r="R839" s="7">
        <v>0.1289283347012293</v>
      </c>
      <c r="S839" s="7">
        <v>0.1449635082802496</v>
      </c>
      <c r="T839" s="7">
        <v>0.5398379111936578</v>
      </c>
    </row>
    <row x14ac:dyDescent="0.25" r="840" customHeight="1" ht="19.5">
      <c r="A840" s="2" t="s">
        <v>3152</v>
      </c>
      <c r="B840" s="2" t="s">
        <v>2314</v>
      </c>
      <c r="C840" s="2" t="s">
        <v>31</v>
      </c>
      <c r="D840" s="2" t="s">
        <v>840</v>
      </c>
      <c r="E840" s="6">
        <v>1</v>
      </c>
      <c r="F840" s="6">
        <v>1</v>
      </c>
      <c r="G840" s="7">
        <v>0.5315340161323547</v>
      </c>
      <c r="H840" s="7">
        <v>8.000179687500001</v>
      </c>
      <c r="I840" s="7">
        <v>19.89954617334588</v>
      </c>
      <c r="J840" s="7">
        <v>9.355466209273985</v>
      </c>
      <c r="K840" s="7">
        <v>0.8248046338199579</v>
      </c>
      <c r="L840" s="7">
        <v>0.9955318340007946</v>
      </c>
      <c r="M840" s="7">
        <v>0.2538769437237376</v>
      </c>
      <c r="N840" s="7">
        <v>0.1853820755282872</v>
      </c>
      <c r="O840" s="7">
        <v>0.0391630568090316</v>
      </c>
      <c r="P840" s="7">
        <v>9.77280581524297</v>
      </c>
      <c r="Q840" s="7">
        <v>0.059014475924109</v>
      </c>
      <c r="R840" s="7">
        <v>0.1315823547684315</v>
      </c>
      <c r="S840" s="7">
        <v>0.1455391522417377</v>
      </c>
      <c r="T840" s="7">
        <v>0.5479602767592944</v>
      </c>
    </row>
    <row x14ac:dyDescent="0.25" r="841" customHeight="1" ht="19.5">
      <c r="A841" s="2" t="s">
        <v>3153</v>
      </c>
      <c r="B841" s="2" t="s">
        <v>2314</v>
      </c>
      <c r="C841" s="2" t="s">
        <v>31</v>
      </c>
      <c r="D841" s="2" t="s">
        <v>840</v>
      </c>
      <c r="E841" s="6">
        <v>1</v>
      </c>
      <c r="F841" s="6">
        <v>1</v>
      </c>
      <c r="G841" s="7">
        <v>0.5370741486549377</v>
      </c>
      <c r="H841" s="7">
        <v>7.96901015625</v>
      </c>
      <c r="I841" s="7">
        <v>19.86507284679113</v>
      </c>
      <c r="J841" s="7">
        <v>9.296212851958572</v>
      </c>
      <c r="K841" s="7">
        <v>0.8275870767005734</v>
      </c>
      <c r="L841" s="7">
        <v>0.9954708385168785</v>
      </c>
      <c r="M841" s="7">
        <v>0.2537662841105207</v>
      </c>
      <c r="N841" s="7">
        <v>0.186847495890856</v>
      </c>
      <c r="O841" s="7">
        <v>0.039524296284965</v>
      </c>
      <c r="P841" s="7">
        <v>9.769415495123006</v>
      </c>
      <c r="Q841" s="7">
        <v>0.0586145984988971</v>
      </c>
      <c r="R841" s="7">
        <v>0.1307808324845229</v>
      </c>
      <c r="S841" s="7">
        <v>0.1453268481424489</v>
      </c>
      <c r="T841" s="7">
        <v>0.5421268970402228</v>
      </c>
    </row>
    <row x14ac:dyDescent="0.25" r="842" customHeight="1" ht="19.5">
      <c r="A842" s="2" t="s">
        <v>3154</v>
      </c>
      <c r="B842" s="2" t="s">
        <v>2314</v>
      </c>
      <c r="C842" s="2" t="s">
        <v>31</v>
      </c>
      <c r="D842" s="2" t="s">
        <v>840</v>
      </c>
      <c r="E842" s="6">
        <v>1</v>
      </c>
      <c r="F842" s="6">
        <v>1</v>
      </c>
      <c r="G842" s="7">
        <v>0.5316886305809021</v>
      </c>
      <c r="H842" s="7">
        <v>8.04520234375</v>
      </c>
      <c r="I842" s="7">
        <v>19.94829881929972</v>
      </c>
      <c r="J842" s="7">
        <v>9.415377400016531</v>
      </c>
      <c r="K842" s="7">
        <v>0.8304169124739771</v>
      </c>
      <c r="L842" s="7">
        <v>0.9955355410030656</v>
      </c>
      <c r="M842" s="7">
        <v>0.2540593046404848</v>
      </c>
      <c r="N842" s="7">
        <v>0.1883468258361057</v>
      </c>
      <c r="O842" s="7">
        <v>0.0396737871438532</v>
      </c>
      <c r="P842" s="7">
        <v>9.75375388570738</v>
      </c>
      <c r="Q842" s="7">
        <v>0.0585332080794087</v>
      </c>
      <c r="R842" s="7">
        <v>0.130369296861008</v>
      </c>
      <c r="S842" s="7">
        <v>0.1522693676771039</v>
      </c>
      <c r="T842" s="7">
        <v>0.5465502270204906</v>
      </c>
    </row>
    <row x14ac:dyDescent="0.25" r="843" customHeight="1" ht="19.5">
      <c r="A843" s="2" t="s">
        <v>3155</v>
      </c>
      <c r="B843" s="2" t="s">
        <v>2314</v>
      </c>
      <c r="C843" s="2" t="s">
        <v>31</v>
      </c>
      <c r="D843" s="2" t="s">
        <v>840</v>
      </c>
      <c r="E843" s="6">
        <v>1</v>
      </c>
      <c r="F843" s="6">
        <v>1</v>
      </c>
      <c r="G843" s="7">
        <v>0.5363755226135254</v>
      </c>
      <c r="H843" s="7">
        <v>8.0555921875</v>
      </c>
      <c r="I843" s="7">
        <v>19.94829881929972</v>
      </c>
      <c r="J843" s="7">
        <v>9.415470630382838</v>
      </c>
      <c r="K843" s="7">
        <v>0.8726898554131342</v>
      </c>
      <c r="L843" s="7">
        <v>0.9955253727094852</v>
      </c>
      <c r="M843" s="7">
        <v>0.2543874053352422</v>
      </c>
      <c r="N843" s="7">
        <v>0.1915762779054906</v>
      </c>
      <c r="O843" s="7">
        <v>0.0383820176358486</v>
      </c>
      <c r="P843" s="7">
        <v>9.872414478518523</v>
      </c>
      <c r="Q843" s="7">
        <v>0.058701904238939</v>
      </c>
      <c r="R843" s="7">
        <v>0.1312611824990688</v>
      </c>
      <c r="S843" s="7">
        <v>0.1462675124293584</v>
      </c>
      <c r="T843" s="7">
        <v>0.5488332845457429</v>
      </c>
    </row>
    <row x14ac:dyDescent="0.25" r="844" customHeight="1" ht="19.5">
      <c r="A844" s="2" t="s">
        <v>3156</v>
      </c>
      <c r="B844" s="2" t="s">
        <v>2314</v>
      </c>
      <c r="C844" s="2" t="s">
        <v>31</v>
      </c>
      <c r="D844" s="2" t="s">
        <v>840</v>
      </c>
      <c r="E844" s="6">
        <v>1</v>
      </c>
      <c r="F844" s="6">
        <v>1</v>
      </c>
      <c r="G844" s="7">
        <v>0.5281194448471069</v>
      </c>
      <c r="H844" s="7">
        <v>7.9863265625</v>
      </c>
      <c r="I844" s="7">
        <v>19.81632020083729</v>
      </c>
      <c r="J844" s="7">
        <v>9.296024241845709</v>
      </c>
      <c r="K844" s="7">
        <v>0.8265950223678628</v>
      </c>
      <c r="L844" s="7">
        <v>0.9954444833300364</v>
      </c>
      <c r="M844" s="7">
        <v>0.2555706081014171</v>
      </c>
      <c r="N844" s="7">
        <v>0.1891730523688705</v>
      </c>
      <c r="O844" s="7">
        <v>0.0402718225897769</v>
      </c>
      <c r="P844" s="7">
        <v>9.730701879012296</v>
      </c>
      <c r="Q844" s="7">
        <v>0.0592796040474729</v>
      </c>
      <c r="R844" s="7">
        <v>0.1311205204933845</v>
      </c>
      <c r="S844" s="7">
        <v>0.145542796715275</v>
      </c>
      <c r="T844" s="7">
        <v>0.5494689284514284</v>
      </c>
    </row>
    <row x14ac:dyDescent="0.25" r="845" customHeight="1" ht="19.5">
      <c r="A845" s="2" t="s">
        <v>3157</v>
      </c>
      <c r="B845" s="2" t="s">
        <v>2314</v>
      </c>
      <c r="C845" s="2" t="s">
        <v>31</v>
      </c>
      <c r="D845" s="2" t="s">
        <v>840</v>
      </c>
      <c r="E845" s="6">
        <v>1</v>
      </c>
      <c r="F845" s="6">
        <v>1</v>
      </c>
      <c r="G845" s="7">
        <v>0.5343199372291565</v>
      </c>
      <c r="H845" s="7">
        <v>8.041739062500001</v>
      </c>
      <c r="I845" s="7">
        <v>19.89954617334588</v>
      </c>
      <c r="J845" s="7">
        <v>9.355643499010046</v>
      </c>
      <c r="K845" s="7">
        <v>0.8271522277657057</v>
      </c>
      <c r="L845" s="7">
        <v>0.9954983701474012</v>
      </c>
      <c r="M845" s="7">
        <v>0.255195784989835</v>
      </c>
      <c r="N845" s="7">
        <v>0.1803664183051815</v>
      </c>
      <c r="O845" s="7">
        <v>0.0392590365099798</v>
      </c>
      <c r="P845" s="7">
        <v>9.76554630160298</v>
      </c>
      <c r="Q845" s="7">
        <v>0.0588028931470139</v>
      </c>
      <c r="R845" s="7">
        <v>0.1309254480615998</v>
      </c>
      <c r="S845" s="7">
        <v>0.146082735996982</v>
      </c>
      <c r="T845" s="7">
        <v>0.5488320329656005</v>
      </c>
    </row>
    <row x14ac:dyDescent="0.25" r="846" customHeight="1" ht="19.5">
      <c r="A846" s="2" t="s">
        <v>3158</v>
      </c>
      <c r="B846" s="2" t="s">
        <v>2314</v>
      </c>
      <c r="C846" s="2" t="s">
        <v>31</v>
      </c>
      <c r="D846" s="2" t="s">
        <v>840</v>
      </c>
      <c r="E846" s="6">
        <v>1</v>
      </c>
      <c r="F846" s="6">
        <v>1</v>
      </c>
      <c r="G846" s="7">
        <v>0.5359500646591187</v>
      </c>
      <c r="H846" s="7">
        <v>8.0278859375</v>
      </c>
      <c r="I846" s="7">
        <v>19.89954617334588</v>
      </c>
      <c r="J846" s="7">
        <v>9.355757940261476</v>
      </c>
      <c r="K846" s="7">
        <v>0.828508075249109</v>
      </c>
      <c r="L846" s="7">
        <v>0.9954998182520542</v>
      </c>
      <c r="M846" s="7">
        <v>0.2547561712344692</v>
      </c>
      <c r="N846" s="7">
        <v>0.183824406264557</v>
      </c>
      <c r="O846" s="7">
        <v>0.0394450606489231</v>
      </c>
      <c r="P846" s="7">
        <v>9.768980921730291</v>
      </c>
      <c r="Q846" s="7">
        <v>0.0589443476866949</v>
      </c>
      <c r="R846" s="7">
        <v>0.1304564802746372</v>
      </c>
      <c r="S846" s="7">
        <v>0.1450819569107406</v>
      </c>
      <c r="T846" s="7">
        <v>0.5492045660112193</v>
      </c>
    </row>
    <row x14ac:dyDescent="0.25" r="847" customHeight="1" ht="19.5">
      <c r="A847" s="2" t="s">
        <v>3159</v>
      </c>
      <c r="B847" s="2" t="s">
        <v>2314</v>
      </c>
      <c r="C847" s="2" t="s">
        <v>31</v>
      </c>
      <c r="D847" s="2" t="s">
        <v>840</v>
      </c>
      <c r="E847" s="6">
        <v>1</v>
      </c>
      <c r="F847" s="6">
        <v>1</v>
      </c>
      <c r="G847" s="7">
        <v>0.5332695245742798</v>
      </c>
      <c r="H847" s="7">
        <v>8.0278859375</v>
      </c>
      <c r="I847" s="7">
        <v>19.94829881929972</v>
      </c>
      <c r="J847" s="7">
        <v>9.355898126845547</v>
      </c>
      <c r="K847" s="7">
        <v>0.8722463780411815</v>
      </c>
      <c r="L847" s="7">
        <v>0.9954958704871664</v>
      </c>
      <c r="M847" s="7">
        <v>0.2535124701492224</v>
      </c>
      <c r="N847" s="7">
        <v>0.1941750811736299</v>
      </c>
      <c r="O847" s="7">
        <v>0.0384389127705004</v>
      </c>
      <c r="P847" s="7">
        <v>9.868048954237445</v>
      </c>
      <c r="Q847" s="7">
        <v>0.0587081484125716</v>
      </c>
      <c r="R847" s="7">
        <v>0.1303063590364723</v>
      </c>
      <c r="S847" s="7">
        <v>0.1478478769408159</v>
      </c>
      <c r="T847" s="7">
        <v>0.5470038169160457</v>
      </c>
    </row>
    <row x14ac:dyDescent="0.25" r="848" customHeight="1" ht="19.5">
      <c r="A848" s="2" t="s">
        <v>3160</v>
      </c>
      <c r="B848" s="2" t="s">
        <v>2314</v>
      </c>
      <c r="C848" s="2" t="s">
        <v>31</v>
      </c>
      <c r="D848" s="2" t="s">
        <v>840</v>
      </c>
      <c r="E848" s="6">
        <v>1</v>
      </c>
      <c r="F848" s="6">
        <v>1</v>
      </c>
      <c r="G848" s="7">
        <v>0.5331436991691589</v>
      </c>
      <c r="H848" s="7">
        <v>7.989789843750001</v>
      </c>
      <c r="I848" s="7">
        <v>19.85079352739204</v>
      </c>
      <c r="J848" s="7">
        <v>9.296306919696482</v>
      </c>
      <c r="K848" s="7">
        <v>0.8287871428771194</v>
      </c>
      <c r="L848" s="7">
        <v>0.9954449238984374</v>
      </c>
      <c r="M848" s="7">
        <v>0.2547941636756307</v>
      </c>
      <c r="N848" s="7">
        <v>0.1850119996319127</v>
      </c>
      <c r="O848" s="7">
        <v>0.0395900144036553</v>
      </c>
      <c r="P848" s="7">
        <v>9.755025607239352</v>
      </c>
      <c r="Q848" s="7">
        <v>0.0590777801099073</v>
      </c>
      <c r="R848" s="7">
        <v>0.1309186312670398</v>
      </c>
      <c r="S848" s="7">
        <v>0.1455248673303654</v>
      </c>
      <c r="T848" s="7">
        <v>0.5478356676941779</v>
      </c>
    </row>
    <row x14ac:dyDescent="0.25" r="849" customHeight="1" ht="19.5">
      <c r="A849" s="2" t="s">
        <v>3161</v>
      </c>
      <c r="B849" s="2" t="s">
        <v>2314</v>
      </c>
      <c r="C849" s="2" t="s">
        <v>31</v>
      </c>
      <c r="D849" s="2" t="s">
        <v>840</v>
      </c>
      <c r="E849" s="6">
        <v>1</v>
      </c>
      <c r="F849" s="6">
        <v>1</v>
      </c>
      <c r="G849" s="7">
        <v>0.5310153365135193</v>
      </c>
      <c r="H849" s="7">
        <v>8.03134921875</v>
      </c>
      <c r="I849" s="7">
        <v>19.89954617334588</v>
      </c>
      <c r="J849" s="7">
        <v>9.35569954448355</v>
      </c>
      <c r="K849" s="7">
        <v>0.8277646905308862</v>
      </c>
      <c r="L849" s="7">
        <v>0.9955006981997568</v>
      </c>
      <c r="M849" s="7">
        <v>0.2548660746733107</v>
      </c>
      <c r="N849" s="7">
        <v>0.1839433749148731</v>
      </c>
      <c r="O849" s="7">
        <v>0.0393704971335115</v>
      </c>
      <c r="P849" s="7">
        <v>9.770289323676865</v>
      </c>
      <c r="Q849" s="7">
        <v>0.0593932736339003</v>
      </c>
      <c r="R849" s="7">
        <v>0.1310939236623989</v>
      </c>
      <c r="S849" s="7">
        <v>0.1480401109043068</v>
      </c>
      <c r="T849" s="7">
        <v>0.5536260968232665</v>
      </c>
    </row>
    <row x14ac:dyDescent="0.25" r="850" customHeight="1" ht="19.5">
      <c r="A850" s="2" t="s">
        <v>3162</v>
      </c>
      <c r="B850" s="2" t="s">
        <v>2314</v>
      </c>
      <c r="C850" s="2" t="s">
        <v>31</v>
      </c>
      <c r="D850" s="2" t="s">
        <v>840</v>
      </c>
      <c r="E850" s="6">
        <v>1</v>
      </c>
      <c r="F850" s="6">
        <v>1</v>
      </c>
      <c r="G850" s="7">
        <v>0.5334361791610718</v>
      </c>
      <c r="H850" s="7">
        <v>8.000179687500001</v>
      </c>
      <c r="I850" s="7">
        <v>19.85079352739204</v>
      </c>
      <c r="J850" s="7">
        <v>9.296238366812965</v>
      </c>
      <c r="K850" s="7">
        <v>0.8279887791704557</v>
      </c>
      <c r="L850" s="7">
        <v>0.9954428348573622</v>
      </c>
      <c r="M850" s="7">
        <v>0.2551254954879527</v>
      </c>
      <c r="N850" s="7">
        <v>0.183530256688105</v>
      </c>
      <c r="O850" s="7">
        <v>0.0394234554856367</v>
      </c>
      <c r="P850" s="7">
        <v>9.782924956134826</v>
      </c>
      <c r="Q850" s="7">
        <v>0.0584087439336501</v>
      </c>
      <c r="R850" s="7">
        <v>0.1304495086244021</v>
      </c>
      <c r="S850" s="7">
        <v>0.14647992705038</v>
      </c>
      <c r="T850" s="7">
        <v>0.5423359436793795</v>
      </c>
    </row>
    <row x14ac:dyDescent="0.25" r="851" customHeight="1" ht="19.5">
      <c r="A851" s="2" t="s">
        <v>3163</v>
      </c>
      <c r="B851" s="2" t="s">
        <v>2314</v>
      </c>
      <c r="C851" s="2" t="s">
        <v>31</v>
      </c>
      <c r="D851" s="2" t="s">
        <v>840</v>
      </c>
      <c r="E851" s="6">
        <v>1</v>
      </c>
      <c r="F851" s="6">
        <v>1</v>
      </c>
      <c r="G851" s="7">
        <v>0.5344718098640442</v>
      </c>
      <c r="H851" s="7">
        <v>8.03827578125</v>
      </c>
      <c r="I851" s="7">
        <v>19.89954617334588</v>
      </c>
      <c r="J851" s="7">
        <v>9.356078826560154</v>
      </c>
      <c r="K851" s="7">
        <v>0.8324698969279936</v>
      </c>
      <c r="L851" s="7">
        <v>0.9954991833453216</v>
      </c>
      <c r="M851" s="7">
        <v>0.2550858815509935</v>
      </c>
      <c r="N851" s="7">
        <v>0.1852770145745828</v>
      </c>
      <c r="O851" s="7">
        <v>0.0405630678488401</v>
      </c>
      <c r="P851" s="7">
        <v>9.722308238710884</v>
      </c>
      <c r="Q851" s="7">
        <v>0.0590734984295401</v>
      </c>
      <c r="R851" s="7">
        <v>0.1316073433116219</v>
      </c>
      <c r="S851" s="7">
        <v>0.1476381781613789</v>
      </c>
      <c r="T851" s="7">
        <v>0.5511202559324165</v>
      </c>
    </row>
    <row x14ac:dyDescent="0.25" r="852" customHeight="1" ht="19.5">
      <c r="A852" s="2" t="s">
        <v>3164</v>
      </c>
      <c r="B852" s="2" t="s">
        <v>2314</v>
      </c>
      <c r="C852" s="2" t="s">
        <v>31</v>
      </c>
      <c r="D852" s="2" t="s">
        <v>840</v>
      </c>
      <c r="E852" s="6">
        <v>1</v>
      </c>
      <c r="F852" s="6">
        <v>1</v>
      </c>
      <c r="G852" s="7">
        <v>0.5304871201515198</v>
      </c>
      <c r="H852" s="7">
        <v>7.993253125000001</v>
      </c>
      <c r="I852" s="7">
        <v>19.81632020083729</v>
      </c>
      <c r="J852" s="7">
        <v>9.29629116935219</v>
      </c>
      <c r="K852" s="7">
        <v>0.8298713086562721</v>
      </c>
      <c r="L852" s="7">
        <v>0.9954459577297422</v>
      </c>
      <c r="M852" s="7">
        <v>0.2557922651769604</v>
      </c>
      <c r="N852" s="7">
        <v>0.1813303687062762</v>
      </c>
      <c r="O852" s="7">
        <v>0.038814764643303</v>
      </c>
      <c r="P852" s="7">
        <v>9.802735131724829</v>
      </c>
      <c r="Q852" s="7">
        <v>0.0595701853470076</v>
      </c>
      <c r="R852" s="7">
        <v>0.1312716863562709</v>
      </c>
      <c r="S852" s="7">
        <v>0.1502176598861809</v>
      </c>
      <c r="T852" s="7">
        <v>0.5526412491904659</v>
      </c>
    </row>
    <row x14ac:dyDescent="0.25" r="853" customHeight="1" ht="19.5">
      <c r="A853" s="2" t="s">
        <v>3165</v>
      </c>
      <c r="B853" s="2" t="s">
        <v>2314</v>
      </c>
      <c r="C853" s="2" t="s">
        <v>31</v>
      </c>
      <c r="D853" s="2" t="s">
        <v>840</v>
      </c>
      <c r="E853" s="6">
        <v>1</v>
      </c>
      <c r="F853" s="6">
        <v>1</v>
      </c>
      <c r="G853" s="7">
        <v>0.5271223187446594</v>
      </c>
      <c r="H853" s="7">
        <v>8.041739062500001</v>
      </c>
      <c r="I853" s="7">
        <v>19.89954617334588</v>
      </c>
      <c r="J853" s="7">
        <v>9.35600844032873</v>
      </c>
      <c r="K853" s="7">
        <v>0.8317088618814374</v>
      </c>
      <c r="L853" s="7">
        <v>0.9954993396934848</v>
      </c>
      <c r="M853" s="7">
        <v>0.255195784989835</v>
      </c>
      <c r="N853" s="7">
        <v>0.1784576820264245</v>
      </c>
      <c r="O853" s="7">
        <v>0.0392033074597399</v>
      </c>
      <c r="P853" s="7">
        <v>9.770145584290043</v>
      </c>
      <c r="Q853" s="7">
        <v>0.0590986458597599</v>
      </c>
      <c r="R853" s="7">
        <v>0.1309909497239578</v>
      </c>
      <c r="S853" s="7">
        <v>0.1441865265286228</v>
      </c>
      <c r="T853" s="7">
        <v>0.5515924169178948</v>
      </c>
    </row>
    <row x14ac:dyDescent="0.25" r="854" customHeight="1" ht="19.5">
      <c r="A854" s="2" t="s">
        <v>3166</v>
      </c>
      <c r="B854" s="2" t="s">
        <v>2314</v>
      </c>
      <c r="C854" s="2" t="s">
        <v>31</v>
      </c>
      <c r="D854" s="2" t="s">
        <v>840</v>
      </c>
      <c r="E854" s="6">
        <v>1</v>
      </c>
      <c r="F854" s="6">
        <v>1</v>
      </c>
      <c r="G854" s="7">
        <v>0.5267440676689148</v>
      </c>
      <c r="H854" s="7">
        <v>7.9863265625</v>
      </c>
      <c r="I854" s="7">
        <v>19.81632020083729</v>
      </c>
      <c r="J854" s="7">
        <v>9.296150062137272</v>
      </c>
      <c r="K854" s="7">
        <v>0.8281942301363816</v>
      </c>
      <c r="L854" s="7">
        <v>0.9954438568322208</v>
      </c>
      <c r="M854" s="7">
        <v>0.2555706081014171</v>
      </c>
      <c r="N854" s="7">
        <v>0.1831225881193642</v>
      </c>
      <c r="O854" s="7">
        <v>0.0394802108568743</v>
      </c>
      <c r="P854" s="7">
        <v>9.769495286831289</v>
      </c>
      <c r="Q854" s="7">
        <v>0.0597388023915727</v>
      </c>
      <c r="R854" s="7">
        <v>0.1325568458034214</v>
      </c>
      <c r="S854" s="7">
        <v>0.1478118043060988</v>
      </c>
      <c r="T854" s="7">
        <v>0.5537252865383877</v>
      </c>
    </row>
    <row x14ac:dyDescent="0.25" r="855" customHeight="1" ht="19.5">
      <c r="A855" s="2" t="s">
        <v>3167</v>
      </c>
      <c r="B855" s="2" t="s">
        <v>2314</v>
      </c>
      <c r="C855" s="2" t="s">
        <v>31</v>
      </c>
      <c r="D855" s="2" t="s">
        <v>840</v>
      </c>
      <c r="E855" s="6">
        <v>1</v>
      </c>
      <c r="F855" s="6">
        <v>1</v>
      </c>
      <c r="G855" s="7">
        <v>0.5252313613891602</v>
      </c>
      <c r="H855" s="7">
        <v>8.020959375</v>
      </c>
      <c r="I855" s="7">
        <v>20.12903008371599</v>
      </c>
      <c r="J855" s="7">
        <v>9.417279858362347</v>
      </c>
      <c r="K855" s="7">
        <v>0.9020579391564638</v>
      </c>
      <c r="L855" s="7">
        <v>0.9955518918390136</v>
      </c>
      <c r="M855" s="7">
        <v>0.2487656905820215</v>
      </c>
      <c r="N855" s="7">
        <v>0.1777710315263036</v>
      </c>
      <c r="O855" s="7">
        <v>0.039418480863195</v>
      </c>
      <c r="P855" s="7">
        <v>9.79403171397916</v>
      </c>
      <c r="Q855" s="7">
        <v>0.0588182062861139</v>
      </c>
      <c r="R855" s="7">
        <v>0.1286647782265709</v>
      </c>
      <c r="S855" s="7">
        <v>0.1448842231994796</v>
      </c>
      <c r="T855" s="7">
        <v>0.5475564169668254</v>
      </c>
    </row>
    <row x14ac:dyDescent="0.25" r="856" customHeight="1" ht="19.5">
      <c r="A856" s="2" t="s">
        <v>3168</v>
      </c>
      <c r="B856" s="2" t="s">
        <v>2314</v>
      </c>
      <c r="C856" s="2" t="s">
        <v>31</v>
      </c>
      <c r="D856" s="2" t="s">
        <v>840</v>
      </c>
      <c r="E856" s="6">
        <v>1</v>
      </c>
      <c r="F856" s="6">
        <v>1</v>
      </c>
      <c r="G856" s="7">
        <v>0.4988609254360199</v>
      </c>
      <c r="H856" s="7">
        <v>7.761213281250001</v>
      </c>
      <c r="I856" s="7">
        <v>19.86507284679113</v>
      </c>
      <c r="J856" s="7">
        <v>9.298169503492574</v>
      </c>
      <c r="K856" s="7">
        <v>0.846161583408223</v>
      </c>
      <c r="L856" s="7">
        <v>0.9956998944900936</v>
      </c>
      <c r="M856" s="7">
        <v>0.2471491710959048</v>
      </c>
      <c r="N856" s="7">
        <v>0.2465274211616223</v>
      </c>
      <c r="O856" s="7">
        <v>0.0464414093306037</v>
      </c>
      <c r="P856" s="7">
        <v>9.33409239464245</v>
      </c>
      <c r="Q856" s="7">
        <v>0.0282860688326938</v>
      </c>
      <c r="R856" s="7">
        <v>0.0643108992942504</v>
      </c>
      <c r="S856" s="7">
        <v>0.0788510279744688</v>
      </c>
      <c r="T856" s="7">
        <v>0.2547962266526856</v>
      </c>
    </row>
    <row x14ac:dyDescent="0.25" r="857" customHeight="1" ht="19.5">
      <c r="A857" s="2" t="s">
        <v>3169</v>
      </c>
      <c r="B857" s="2" t="s">
        <v>2314</v>
      </c>
      <c r="C857" s="2" t="s">
        <v>31</v>
      </c>
      <c r="D857" s="2" t="s">
        <v>840</v>
      </c>
      <c r="E857" s="6">
        <v>1</v>
      </c>
      <c r="F857" s="6">
        <v>1</v>
      </c>
      <c r="G857" s="7">
        <v>0.3394450545310974</v>
      </c>
      <c r="H857" s="7">
        <v>7.78545625</v>
      </c>
      <c r="I857" s="7">
        <v>19.27657635147447</v>
      </c>
      <c r="J857" s="7">
        <v>9.058982034786272</v>
      </c>
      <c r="K857" s="7">
        <v>0.8408461628929571</v>
      </c>
      <c r="L857" s="7">
        <v>0.9951178161174232</v>
      </c>
      <c r="M857" s="7">
        <v>0.2632898559693932</v>
      </c>
      <c r="N857" s="7">
        <v>0.422935462471796</v>
      </c>
      <c r="O857" s="7">
        <v>0.0831937098812479</v>
      </c>
      <c r="P857" s="7">
        <v>8.171200886397465</v>
      </c>
      <c r="Q857" s="7">
        <v>0.0034731331396211</v>
      </c>
      <c r="R857" s="7">
        <v>0.0166714984758134</v>
      </c>
      <c r="S857" s="7">
        <v>0.0237172337329528</v>
      </c>
      <c r="T857" s="7">
        <v>0.031383131787439</v>
      </c>
    </row>
    <row x14ac:dyDescent="0.25" r="858" customHeight="1" ht="19.5">
      <c r="A858" s="2" t="s">
        <v>3170</v>
      </c>
      <c r="B858" s="2" t="s">
        <v>2314</v>
      </c>
      <c r="C858" s="2" t="s">
        <v>31</v>
      </c>
      <c r="D858" s="2" t="s">
        <v>840</v>
      </c>
      <c r="E858" s="6">
        <v>1</v>
      </c>
      <c r="F858" s="6">
        <v>1</v>
      </c>
      <c r="G858" s="7">
        <v>0.5137590169906616</v>
      </c>
      <c r="H858" s="7">
        <v>7.8616484375</v>
      </c>
      <c r="I858" s="7">
        <v>19.85079352739204</v>
      </c>
      <c r="J858" s="7">
        <v>9.23851023571596</v>
      </c>
      <c r="K858" s="7">
        <v>0.8437183847568928</v>
      </c>
      <c r="L858" s="7">
        <v>0.9955391923862716</v>
      </c>
      <c r="M858" s="7">
        <v>0.2507077379903258</v>
      </c>
      <c r="N858" s="7">
        <v>0.3368133871144114</v>
      </c>
      <c r="O858" s="7">
        <v>0.0603638397574267</v>
      </c>
      <c r="P858" s="7">
        <v>8.835901735800531</v>
      </c>
      <c r="Q858" s="7">
        <v>0.0086881194278781</v>
      </c>
      <c r="R858" s="7">
        <v>0.0367700261940507</v>
      </c>
      <c r="S858" s="7">
        <v>0.0452234634043674</v>
      </c>
      <c r="T858" s="7">
        <v>0.0792738920708903</v>
      </c>
    </row>
    <row x14ac:dyDescent="0.25" r="859" customHeight="1" ht="19.5">
      <c r="A859" s="2" t="s">
        <v>3171</v>
      </c>
      <c r="B859" s="2" t="s">
        <v>2314</v>
      </c>
      <c r="C859" s="2" t="s">
        <v>31</v>
      </c>
      <c r="D859" s="2" t="s">
        <v>840</v>
      </c>
      <c r="E859" s="6">
        <v>1</v>
      </c>
      <c r="F859" s="6">
        <v>1</v>
      </c>
      <c r="G859" s="7">
        <v>0.5188383460044861</v>
      </c>
      <c r="H859" s="7">
        <v>7.567269531250001</v>
      </c>
      <c r="I859" s="7">
        <v>19.85079352739204</v>
      </c>
      <c r="J859" s="7">
        <v>9.355758694719048</v>
      </c>
      <c r="K859" s="7">
        <v>0.7721695211318803</v>
      </c>
      <c r="L859" s="7">
        <v>0.996103220562526</v>
      </c>
      <c r="M859" s="7">
        <v>0.2413200033078687</v>
      </c>
      <c r="N859" s="7">
        <v>0.2433394246795832</v>
      </c>
      <c r="O859" s="7">
        <v>0.0489420292193044</v>
      </c>
      <c r="P859" s="7">
        <v>9.206246851376342</v>
      </c>
      <c r="Q859" s="7">
        <v>0.0248453994883368</v>
      </c>
      <c r="R859" s="7">
        <v>0.0600819473259952</v>
      </c>
      <c r="S859" s="7">
        <v>0.0762269393443387</v>
      </c>
      <c r="T859" s="7">
        <v>0.2182106621589279</v>
      </c>
    </row>
    <row x14ac:dyDescent="0.25" r="860" customHeight="1" ht="19.5">
      <c r="A860" s="2" t="s">
        <v>3172</v>
      </c>
      <c r="B860" s="2" t="s">
        <v>2314</v>
      </c>
      <c r="C860" s="2" t="s">
        <v>31</v>
      </c>
      <c r="D860" s="2" t="s">
        <v>840</v>
      </c>
      <c r="E860" s="6">
        <v>1</v>
      </c>
      <c r="F860" s="6">
        <v>1</v>
      </c>
      <c r="G860" s="7">
        <v>0.5043646097183228</v>
      </c>
      <c r="H860" s="7">
        <v>7.421811718750001</v>
      </c>
      <c r="I860" s="7">
        <v>20.00296615301012</v>
      </c>
      <c r="J860" s="7">
        <v>9.41853847408958</v>
      </c>
      <c r="K860" s="7">
        <v>0.7942931600771093</v>
      </c>
      <c r="L860" s="7">
        <v>0.9962714406529916</v>
      </c>
      <c r="M860" s="7">
        <v>0.2330939473612172</v>
      </c>
      <c r="N860" s="7">
        <v>0.1970340833128352</v>
      </c>
      <c r="O860" s="7">
        <v>0.0442947376619913</v>
      </c>
      <c r="P860" s="7">
        <v>9.426638620746868</v>
      </c>
      <c r="Q860" s="7">
        <v>0.0441450273427658</v>
      </c>
      <c r="R860" s="7">
        <v>0.0941389357835979</v>
      </c>
      <c r="S860" s="7">
        <v>0.1117522730893554</v>
      </c>
      <c r="T860" s="7">
        <v>0.3802616277493916</v>
      </c>
    </row>
    <row x14ac:dyDescent="0.25" r="861" customHeight="1" ht="19.5">
      <c r="A861" s="2" t="s">
        <v>3173</v>
      </c>
      <c r="B861" s="2" t="s">
        <v>2314</v>
      </c>
      <c r="C861" s="2" t="s">
        <v>31</v>
      </c>
      <c r="D861" s="2" t="s">
        <v>840</v>
      </c>
      <c r="E861" s="6">
        <v>1</v>
      </c>
      <c r="F861" s="6">
        <v>1</v>
      </c>
      <c r="G861" s="7">
        <v>0.5249093770980835</v>
      </c>
      <c r="H861" s="7">
        <v>7.98286328125</v>
      </c>
      <c r="I861" s="7">
        <v>20.35014936244356</v>
      </c>
      <c r="J861" s="7">
        <v>9.54105680136289</v>
      </c>
      <c r="K861" s="7">
        <v>0.8588680873080652</v>
      </c>
      <c r="L861" s="7">
        <v>0.9959444832488502</v>
      </c>
      <c r="M861" s="7">
        <v>0.2422330252606866</v>
      </c>
      <c r="N861" s="7">
        <v>0.1795794313587842</v>
      </c>
      <c r="O861" s="7">
        <v>0.0408110913933916</v>
      </c>
      <c r="P861" s="7">
        <v>9.800909881437484</v>
      </c>
      <c r="Q861" s="7">
        <v>0.0564215027538019</v>
      </c>
      <c r="R861" s="7">
        <v>0.1239651976720727</v>
      </c>
      <c r="S861" s="7">
        <v>0.1436096383630234</v>
      </c>
      <c r="T861" s="7">
        <v>0.5227500952185105</v>
      </c>
    </row>
    <row x14ac:dyDescent="0.25" r="862" customHeight="1" ht="19.5">
      <c r="A862" s="2" t="s">
        <v>3174</v>
      </c>
      <c r="B862" s="2" t="s">
        <v>2314</v>
      </c>
      <c r="C862" s="2" t="s">
        <v>31</v>
      </c>
      <c r="D862" s="2" t="s">
        <v>840</v>
      </c>
      <c r="E862" s="6">
        <v>1</v>
      </c>
      <c r="F862" s="6">
        <v>1</v>
      </c>
      <c r="G862" s="7">
        <v>0.5372779965400696</v>
      </c>
      <c r="H862" s="7">
        <v>8.187196875</v>
      </c>
      <c r="I862" s="7">
        <v>20.3989020083974</v>
      </c>
      <c r="J862" s="7">
        <v>9.539012725778464</v>
      </c>
      <c r="K862" s="7">
        <v>0.8929842152957859</v>
      </c>
      <c r="L862" s="7">
        <v>0.99550650625766</v>
      </c>
      <c r="M862" s="7">
        <v>0.2472472753833301</v>
      </c>
      <c r="N862" s="7">
        <v>0.1656579423296793</v>
      </c>
      <c r="O862" s="7">
        <v>0.0385660232319902</v>
      </c>
      <c r="P862" s="7">
        <v>9.917078986858678</v>
      </c>
      <c r="Q862" s="7">
        <v>0.0641578632412745</v>
      </c>
      <c r="R862" s="7">
        <v>0.150074721026232</v>
      </c>
      <c r="S862" s="7">
        <v>0.17352516612591</v>
      </c>
      <c r="T862" s="7">
        <v>0.6096434405728646</v>
      </c>
    </row>
    <row x14ac:dyDescent="0.25" r="863" customHeight="1" ht="19.5">
      <c r="A863" s="2" t="s">
        <v>3175</v>
      </c>
      <c r="B863" s="2" t="s">
        <v>2314</v>
      </c>
      <c r="C863" s="2" t="s">
        <v>31</v>
      </c>
      <c r="D863" s="2" t="s">
        <v>840</v>
      </c>
      <c r="E863" s="6">
        <v>1</v>
      </c>
      <c r="F863" s="6">
        <v>1</v>
      </c>
      <c r="G863" s="7">
        <v>0.5478869676589966</v>
      </c>
      <c r="H863" s="7">
        <v>8.25992578125</v>
      </c>
      <c r="I863" s="7">
        <v>20.36442868184265</v>
      </c>
      <c r="J863" s="7">
        <v>9.596862082742453</v>
      </c>
      <c r="K863" s="7">
        <v>0.8912047665410912</v>
      </c>
      <c r="L863" s="7">
        <v>0.995567338271697</v>
      </c>
      <c r="M863" s="7">
        <v>0.2502888759438351</v>
      </c>
      <c r="N863" s="7">
        <v>0.1668887030807304</v>
      </c>
      <c r="O863" s="7">
        <v>0.0375330394484303</v>
      </c>
      <c r="P863" s="7">
        <v>9.932152507167274</v>
      </c>
      <c r="Q863" s="7">
        <v>0.064358564284303</v>
      </c>
      <c r="R863" s="7">
        <v>0.1499136747051987</v>
      </c>
      <c r="S863" s="7">
        <v>0.1735994279661868</v>
      </c>
      <c r="T863" s="7">
        <v>0.6169831057822258</v>
      </c>
    </row>
    <row x14ac:dyDescent="0.25" r="864" customHeight="1" ht="19.5">
      <c r="A864" s="2" t="s">
        <v>3176</v>
      </c>
      <c r="B864" s="2" t="s">
        <v>2314</v>
      </c>
      <c r="C864" s="2" t="s">
        <v>31</v>
      </c>
      <c r="D864" s="2" t="s">
        <v>840</v>
      </c>
      <c r="E864" s="6">
        <v>1</v>
      </c>
      <c r="F864" s="6">
        <v>1</v>
      </c>
      <c r="G864" s="7">
        <v>0.5438611507415771</v>
      </c>
      <c r="H864" s="7">
        <v>8.2218296875</v>
      </c>
      <c r="I864" s="7">
        <v>20.31567603588881</v>
      </c>
      <c r="J864" s="7">
        <v>9.53765792136829</v>
      </c>
      <c r="K864" s="7">
        <v>0.8910084027752605</v>
      </c>
      <c r="L864" s="7">
        <v>0.9955256885441598</v>
      </c>
      <c r="M864" s="7">
        <v>0.2503316620535058</v>
      </c>
      <c r="N864" s="7">
        <v>0.16777735025214</v>
      </c>
      <c r="O864" s="7">
        <v>0.0376504324201809</v>
      </c>
      <c r="P864" s="7">
        <v>9.923654928678248</v>
      </c>
      <c r="Q864" s="7">
        <v>0.0646271272228367</v>
      </c>
      <c r="R864" s="7">
        <v>0.1508271872865896</v>
      </c>
      <c r="S864" s="7">
        <v>0.1723296974208785</v>
      </c>
      <c r="T864" s="7">
        <v>0.6167002260506548</v>
      </c>
    </row>
    <row x14ac:dyDescent="0.25" r="865" customHeight="1" ht="19.5">
      <c r="A865" s="2" t="s">
        <v>3177</v>
      </c>
      <c r="B865" s="2" t="s">
        <v>2314</v>
      </c>
      <c r="C865" s="2" t="s">
        <v>31</v>
      </c>
      <c r="D865" s="2" t="s">
        <v>840</v>
      </c>
      <c r="E865" s="6">
        <v>1</v>
      </c>
      <c r="F865" s="6">
        <v>1</v>
      </c>
      <c r="G865" s="7">
        <v>0.5438166856765747</v>
      </c>
      <c r="H865" s="7">
        <v>8.266852343750001</v>
      </c>
      <c r="I865" s="7">
        <v>20.36442868184265</v>
      </c>
      <c r="J865" s="7">
        <v>9.59670657412265</v>
      </c>
      <c r="K865" s="7">
        <v>0.8895705624398742</v>
      </c>
      <c r="L865" s="7">
        <v>0.9955799622139196</v>
      </c>
      <c r="M865" s="7">
        <v>0.2504987617936832</v>
      </c>
      <c r="N865" s="7">
        <v>0.1672822432138035</v>
      </c>
      <c r="O865" s="7">
        <v>0.0377629548624191</v>
      </c>
      <c r="P865" s="7">
        <v>9.904235917815544</v>
      </c>
      <c r="Q865" s="7">
        <v>0.0637331819779146</v>
      </c>
      <c r="R865" s="7">
        <v>0.151633151631406</v>
      </c>
      <c r="S865" s="7">
        <v>0.1734726488634513</v>
      </c>
      <c r="T865" s="7">
        <v>0.6115001424896973</v>
      </c>
    </row>
    <row x14ac:dyDescent="0.25" r="866" customHeight="1" ht="19.5">
      <c r="A866" s="2" t="s">
        <v>3178</v>
      </c>
      <c r="B866" s="2" t="s">
        <v>2314</v>
      </c>
      <c r="C866" s="2" t="s">
        <v>31</v>
      </c>
      <c r="D866" s="2" t="s">
        <v>840</v>
      </c>
      <c r="E866" s="6">
        <v>1</v>
      </c>
      <c r="F866" s="6">
        <v>1</v>
      </c>
      <c r="G866" s="7">
        <v>0.5413783192634583</v>
      </c>
      <c r="H866" s="7">
        <v>8.284168750000001</v>
      </c>
      <c r="I866" s="7">
        <v>20.44765465435124</v>
      </c>
      <c r="J866" s="7">
        <v>9.655894018042485</v>
      </c>
      <c r="K866" s="7">
        <v>0.8904383206813564</v>
      </c>
      <c r="L866" s="7">
        <v>0.9956190075288652</v>
      </c>
      <c r="M866" s="7">
        <v>0.2489842052458654</v>
      </c>
      <c r="N866" s="7">
        <v>0.1724179127543418</v>
      </c>
      <c r="O866" s="7">
        <v>0.038915865778537</v>
      </c>
      <c r="P866" s="7">
        <v>9.879227192691342</v>
      </c>
      <c r="Q866" s="7">
        <v>0.0640063954450474</v>
      </c>
      <c r="R866" s="7">
        <v>0.1517639905599215</v>
      </c>
      <c r="S866" s="7">
        <v>0.1768707463738587</v>
      </c>
      <c r="T866" s="7">
        <v>0.6154079289020677</v>
      </c>
    </row>
    <row x14ac:dyDescent="0.25" r="867" customHeight="1" ht="19.5">
      <c r="A867" s="2" t="s">
        <v>3179</v>
      </c>
      <c r="B867" s="2" t="s">
        <v>2314</v>
      </c>
      <c r="C867" s="2" t="s">
        <v>31</v>
      </c>
      <c r="D867" s="2" t="s">
        <v>840</v>
      </c>
      <c r="E867" s="6">
        <v>1</v>
      </c>
      <c r="F867" s="6">
        <v>1</v>
      </c>
      <c r="G867" s="7">
        <v>0.5448125004768372</v>
      </c>
      <c r="H867" s="7">
        <v>8.266852343750001</v>
      </c>
      <c r="I867" s="7">
        <v>20.41318132779649</v>
      </c>
      <c r="J867" s="7">
        <v>9.656134492020488</v>
      </c>
      <c r="K867" s="7">
        <v>0.8914116871576461</v>
      </c>
      <c r="L867" s="7">
        <v>0.9956110814937414</v>
      </c>
      <c r="M867" s="7">
        <v>0.2493036620425807</v>
      </c>
      <c r="N867" s="7">
        <v>0.1712155670762988</v>
      </c>
      <c r="O867" s="7">
        <v>0.0384155208703029</v>
      </c>
      <c r="P867" s="7">
        <v>9.921573249225546</v>
      </c>
      <c r="Q867" s="7">
        <v>0.0643058891005046</v>
      </c>
      <c r="R867" s="7">
        <v>0.1526014364138284</v>
      </c>
      <c r="S867" s="7">
        <v>0.1755296024977977</v>
      </c>
      <c r="T867" s="7">
        <v>0.6169950899597612</v>
      </c>
    </row>
    <row x14ac:dyDescent="0.25" r="868" customHeight="1" ht="19.5">
      <c r="A868" s="2" t="s">
        <v>3180</v>
      </c>
      <c r="B868" s="2" t="s">
        <v>2314</v>
      </c>
      <c r="C868" s="2" t="s">
        <v>31</v>
      </c>
      <c r="D868" s="2" t="s">
        <v>840</v>
      </c>
      <c r="E868" s="6">
        <v>1</v>
      </c>
      <c r="F868" s="6">
        <v>1</v>
      </c>
      <c r="G868" s="7">
        <v>0.543655514717102</v>
      </c>
      <c r="H868" s="7">
        <v>8.28070546875</v>
      </c>
      <c r="I868" s="7">
        <v>20.44765465435124</v>
      </c>
      <c r="J868" s="7">
        <v>9.65690250175738</v>
      </c>
      <c r="K868" s="7">
        <v>0.8936231800601913</v>
      </c>
      <c r="L868" s="7">
        <v>0.995601801430898</v>
      </c>
      <c r="M868" s="7">
        <v>0.2488801148590569</v>
      </c>
      <c r="N868" s="7">
        <v>0.1675729579469005</v>
      </c>
      <c r="O868" s="7">
        <v>0.03761024857626</v>
      </c>
      <c r="P868" s="7">
        <v>9.955743830165725</v>
      </c>
      <c r="Q868" s="7">
        <v>0.0638857274422661</v>
      </c>
      <c r="R868" s="7">
        <v>0.1510829460321922</v>
      </c>
      <c r="S868" s="7">
        <v>0.1743877035203376</v>
      </c>
      <c r="T868" s="7">
        <v>0.6139909390955854</v>
      </c>
    </row>
    <row x14ac:dyDescent="0.25" r="869" customHeight="1" ht="19.5">
      <c r="A869" s="2" t="s">
        <v>3181</v>
      </c>
      <c r="B869" s="2" t="s">
        <v>2314</v>
      </c>
      <c r="C869" s="2" t="s">
        <v>31</v>
      </c>
      <c r="D869" s="2" t="s">
        <v>840</v>
      </c>
      <c r="E869" s="6">
        <v>1</v>
      </c>
      <c r="F869" s="6">
        <v>1</v>
      </c>
      <c r="G869" s="7">
        <v>0.5387526154518127</v>
      </c>
      <c r="H869" s="7">
        <v>8.2218296875</v>
      </c>
      <c r="I869" s="7">
        <v>20.31567603588881</v>
      </c>
      <c r="J869" s="7">
        <v>9.53785867364406</v>
      </c>
      <c r="K869" s="7">
        <v>0.891504489219878</v>
      </c>
      <c r="L869" s="7">
        <v>0.99551140876096</v>
      </c>
      <c r="M869" s="7">
        <v>0.2503316620535058</v>
      </c>
      <c r="N869" s="7">
        <v>0.1723118363615882</v>
      </c>
      <c r="O869" s="7">
        <v>0.0377523505657329</v>
      </c>
      <c r="P869" s="7">
        <v>9.908980658886342</v>
      </c>
      <c r="Q869" s="7">
        <v>0.064786907159697</v>
      </c>
      <c r="R869" s="7">
        <v>0.1529051114337541</v>
      </c>
      <c r="S869" s="7">
        <v>0.1736945013688181</v>
      </c>
      <c r="T869" s="7">
        <v>0.6182249158738669</v>
      </c>
    </row>
    <row x14ac:dyDescent="0.25" r="870" customHeight="1" ht="19.5">
      <c r="A870" s="2" t="s">
        <v>3182</v>
      </c>
      <c r="B870" s="2" t="s">
        <v>2314</v>
      </c>
      <c r="C870" s="2" t="s">
        <v>31</v>
      </c>
      <c r="D870" s="2" t="s">
        <v>840</v>
      </c>
      <c r="E870" s="6">
        <v>1</v>
      </c>
      <c r="F870" s="6">
        <v>1</v>
      </c>
      <c r="G870" s="7">
        <v>0.538256824016571</v>
      </c>
      <c r="H870" s="7">
        <v>8.2633890625</v>
      </c>
      <c r="I870" s="7">
        <v>20.44765465435124</v>
      </c>
      <c r="J870" s="7">
        <v>9.656613735649852</v>
      </c>
      <c r="K870" s="7">
        <v>0.8920957467762807</v>
      </c>
      <c r="L870" s="7">
        <v>0.9956124895242412</v>
      </c>
      <c r="M870" s="7">
        <v>0.2483596629250145</v>
      </c>
      <c r="N870" s="7">
        <v>0.171705812552486</v>
      </c>
      <c r="O870" s="7">
        <v>0.0381069741898729</v>
      </c>
      <c r="P870" s="7">
        <v>9.931619329871095</v>
      </c>
      <c r="Q870" s="7">
        <v>0.0645068068128489</v>
      </c>
      <c r="R870" s="7">
        <v>0.1524021897953204</v>
      </c>
      <c r="S870" s="7">
        <v>0.1735331079786836</v>
      </c>
      <c r="T870" s="7">
        <v>0.6186635441882715</v>
      </c>
    </row>
    <row x14ac:dyDescent="0.25" r="871" customHeight="1" ht="19.5">
      <c r="A871" s="2" t="s">
        <v>3183</v>
      </c>
      <c r="B871" s="2" t="s">
        <v>2314</v>
      </c>
      <c r="C871" s="2" t="s">
        <v>31</v>
      </c>
      <c r="D871" s="2" t="s">
        <v>840</v>
      </c>
      <c r="E871" s="6">
        <v>1</v>
      </c>
      <c r="F871" s="6">
        <v>1</v>
      </c>
      <c r="G871" s="7">
        <v>0.542709469795227</v>
      </c>
      <c r="H871" s="7">
        <v>8.24607265625</v>
      </c>
      <c r="I871" s="7">
        <v>20.3989020083974</v>
      </c>
      <c r="J871" s="7">
        <v>9.59766512467202</v>
      </c>
      <c r="K871" s="7">
        <v>0.8930142328681878</v>
      </c>
      <c r="L871" s="7">
        <v>0.995543427325214</v>
      </c>
      <c r="M871" s="7">
        <v>0.24902528032475</v>
      </c>
      <c r="N871" s="7">
        <v>0.1676203851702701</v>
      </c>
      <c r="O871" s="7">
        <v>0.037605667805422</v>
      </c>
      <c r="P871" s="7">
        <v>9.917319453323664</v>
      </c>
      <c r="Q871" s="7">
        <v>0.0640405667406384</v>
      </c>
      <c r="R871" s="7">
        <v>0.1505495334516755</v>
      </c>
      <c r="S871" s="7">
        <v>0.1705874871690994</v>
      </c>
      <c r="T871" s="7">
        <v>0.61290491459395</v>
      </c>
    </row>
    <row x14ac:dyDescent="0.25" r="872" customHeight="1" ht="19.5">
      <c r="A872" s="2" t="s">
        <v>3184</v>
      </c>
      <c r="B872" s="2" t="s">
        <v>2314</v>
      </c>
      <c r="C872" s="2" t="s">
        <v>31</v>
      </c>
      <c r="D872" s="2" t="s">
        <v>840</v>
      </c>
      <c r="E872" s="6">
        <v>1</v>
      </c>
      <c r="F872" s="6">
        <v>1</v>
      </c>
      <c r="G872" s="7">
        <v>0.5410193204879761</v>
      </c>
      <c r="H872" s="7">
        <v>8.29455859375</v>
      </c>
      <c r="I872" s="7">
        <v>20.49640730030508</v>
      </c>
      <c r="J872" s="7">
        <v>9.71584087816347</v>
      </c>
      <c r="K872" s="7">
        <v>0.8925986270755255</v>
      </c>
      <c r="L872" s="7">
        <v>0.9956518164505856</v>
      </c>
      <c r="M872" s="7">
        <v>0.2481119362947504</v>
      </c>
      <c r="N872" s="7">
        <v>0.1732436338945915</v>
      </c>
      <c r="O872" s="7">
        <v>0.0380263112076761</v>
      </c>
      <c r="P872" s="7">
        <v>9.919964609923408</v>
      </c>
      <c r="Q872" s="7">
        <v>0.0641570393226702</v>
      </c>
      <c r="R872" s="7">
        <v>0.1533500898376844</v>
      </c>
      <c r="S872" s="7">
        <v>0.1758219189392192</v>
      </c>
      <c r="T872" s="7">
        <v>0.6176299871163295</v>
      </c>
    </row>
    <row x14ac:dyDescent="0.25" r="873" customHeight="1" ht="19.5">
      <c r="A873" s="2" t="s">
        <v>3185</v>
      </c>
      <c r="B873" s="2" t="s">
        <v>2314</v>
      </c>
      <c r="C873" s="2" t="s">
        <v>31</v>
      </c>
      <c r="D873" s="2" t="s">
        <v>840</v>
      </c>
      <c r="E873" s="6">
        <v>1</v>
      </c>
      <c r="F873" s="6">
        <v>1</v>
      </c>
      <c r="G873" s="7">
        <v>0.540668785572052</v>
      </c>
      <c r="H873" s="7">
        <v>8.21143984375</v>
      </c>
      <c r="I873" s="7">
        <v>20.35014936244356</v>
      </c>
      <c r="J873" s="7">
        <v>9.537965881163917</v>
      </c>
      <c r="K873" s="7">
        <v>0.8924568837914804</v>
      </c>
      <c r="L873" s="7">
        <v>0.995515675506366</v>
      </c>
      <c r="M873" s="7">
        <v>0.2491689817323592</v>
      </c>
      <c r="N873" s="7">
        <v>0.1689507451504968</v>
      </c>
      <c r="O873" s="7">
        <v>0.0379011113361249</v>
      </c>
      <c r="P873" s="7">
        <v>9.921820563843015</v>
      </c>
      <c r="Q873" s="7">
        <v>0.0646614874822268</v>
      </c>
      <c r="R873" s="7">
        <v>0.1531459481923851</v>
      </c>
      <c r="S873" s="7">
        <v>0.172535687157342</v>
      </c>
      <c r="T873" s="7">
        <v>0.6162483743947116</v>
      </c>
    </row>
    <row x14ac:dyDescent="0.25" r="874" customHeight="1" ht="19.5">
      <c r="A874" s="2" t="s">
        <v>3186</v>
      </c>
      <c r="B874" s="2" t="s">
        <v>2314</v>
      </c>
      <c r="C874" s="2" t="s">
        <v>31</v>
      </c>
      <c r="D874" s="2" t="s">
        <v>840</v>
      </c>
      <c r="E874" s="6">
        <v>1</v>
      </c>
      <c r="F874" s="6">
        <v>1</v>
      </c>
      <c r="G874" s="7">
        <v>0.5417580604553223</v>
      </c>
      <c r="H874" s="7">
        <v>8.2356828125</v>
      </c>
      <c r="I874" s="7">
        <v>20.41318132779649</v>
      </c>
      <c r="J874" s="7">
        <v>9.596820223171443</v>
      </c>
      <c r="K874" s="7">
        <v>0.8909862384837235</v>
      </c>
      <c r="L874" s="7">
        <v>0.9955606686123364</v>
      </c>
      <c r="M874" s="7">
        <v>0.2483636817500029</v>
      </c>
      <c r="N874" s="7">
        <v>0.1700600630025234</v>
      </c>
      <c r="O874" s="7">
        <v>0.0377984498815385</v>
      </c>
      <c r="P874" s="7">
        <v>9.928674683880642</v>
      </c>
      <c r="Q874" s="7">
        <v>0.06483201059512</v>
      </c>
      <c r="R874" s="7">
        <v>0.1526052858448624</v>
      </c>
      <c r="S874" s="7">
        <v>0.1774058215575379</v>
      </c>
      <c r="T874" s="7">
        <v>0.619697697208557</v>
      </c>
    </row>
    <row x14ac:dyDescent="0.25" r="875" customHeight="1" ht="19.5">
      <c r="A875" s="2" t="s">
        <v>3187</v>
      </c>
      <c r="B875" s="2" t="s">
        <v>2314</v>
      </c>
      <c r="C875" s="2" t="s">
        <v>31</v>
      </c>
      <c r="D875" s="2" t="s">
        <v>840</v>
      </c>
      <c r="E875" s="6">
        <v>1</v>
      </c>
      <c r="F875" s="6">
        <v>1</v>
      </c>
      <c r="G875" s="7">
        <v>0.5420952439308167</v>
      </c>
      <c r="H875" s="7">
        <v>8.24607265625</v>
      </c>
      <c r="I875" s="7">
        <v>20.49640730030508</v>
      </c>
      <c r="J875" s="7">
        <v>9.6566435928469</v>
      </c>
      <c r="K875" s="7">
        <v>0.890892710359148</v>
      </c>
      <c r="L875" s="7">
        <v>0.9956231251208298</v>
      </c>
      <c r="M875" s="7">
        <v>0.246661595122255</v>
      </c>
      <c r="N875" s="7">
        <v>0.1697474104779703</v>
      </c>
      <c r="O875" s="7">
        <v>0.037913341342156</v>
      </c>
      <c r="P875" s="7">
        <v>9.93311068767911</v>
      </c>
      <c r="Q875" s="7">
        <v>0.0649130501565633</v>
      </c>
      <c r="R875" s="7">
        <v>0.1518019148146707</v>
      </c>
      <c r="S875" s="7">
        <v>0.1769593918645147</v>
      </c>
      <c r="T875" s="7">
        <v>0.6212550807579656</v>
      </c>
    </row>
    <row x14ac:dyDescent="0.25" r="876" customHeight="1" ht="19.5">
      <c r="A876" s="2" t="s">
        <v>3188</v>
      </c>
      <c r="B876" s="2" t="s">
        <v>2314</v>
      </c>
      <c r="C876" s="2" t="s">
        <v>31</v>
      </c>
      <c r="D876" s="2" t="s">
        <v>840</v>
      </c>
      <c r="E876" s="6">
        <v>1</v>
      </c>
      <c r="F876" s="6">
        <v>1</v>
      </c>
      <c r="G876" s="7">
        <v>0.538684606552124</v>
      </c>
      <c r="H876" s="7">
        <v>8.23914609375</v>
      </c>
      <c r="I876" s="7">
        <v>20.41318132779649</v>
      </c>
      <c r="J876" s="7">
        <v>9.59694743110004</v>
      </c>
      <c r="K876" s="7">
        <v>0.8916513494396208</v>
      </c>
      <c r="L876" s="7">
        <v>0.9955369157281226</v>
      </c>
      <c r="M876" s="7">
        <v>0.2484681240047337</v>
      </c>
      <c r="N876" s="7">
        <v>0.1727970344592714</v>
      </c>
      <c r="O876" s="7">
        <v>0.038361957108507</v>
      </c>
      <c r="P876" s="7">
        <v>9.910474370089588</v>
      </c>
      <c r="Q876" s="7">
        <v>0.0644982121533239</v>
      </c>
      <c r="R876" s="7">
        <v>0.1514741727818234</v>
      </c>
      <c r="S876" s="7">
        <v>0.1720724488937254</v>
      </c>
      <c r="T876" s="7">
        <v>0.6167663344947508</v>
      </c>
    </row>
    <row x14ac:dyDescent="0.25" r="877" customHeight="1" ht="19.5">
      <c r="A877" s="2" t="s">
        <v>3189</v>
      </c>
      <c r="B877" s="2" t="s">
        <v>2314</v>
      </c>
      <c r="C877" s="2" t="s">
        <v>31</v>
      </c>
      <c r="D877" s="2" t="s">
        <v>840</v>
      </c>
      <c r="E877" s="6">
        <v>1</v>
      </c>
      <c r="F877" s="6">
        <v>1</v>
      </c>
      <c r="G877" s="7">
        <v>0.5420154333114624</v>
      </c>
      <c r="H877" s="7">
        <v>8.273778906250001</v>
      </c>
      <c r="I877" s="7">
        <v>20.3989020083974</v>
      </c>
      <c r="J877" s="7">
        <v>9.656920791506346</v>
      </c>
      <c r="K877" s="7">
        <v>0.8937204787068092</v>
      </c>
      <c r="L877" s="7">
        <v>0.9955903599258044</v>
      </c>
      <c r="M877" s="7">
        <v>0.249861988532477</v>
      </c>
      <c r="N877" s="7">
        <v>0.1735288422327037</v>
      </c>
      <c r="O877" s="7">
        <v>0.0384636154553157</v>
      </c>
      <c r="P877" s="7">
        <v>9.90394000713399</v>
      </c>
      <c r="Q877" s="7">
        <v>0.0640240155470848</v>
      </c>
      <c r="R877" s="7">
        <v>0.1515492818618029</v>
      </c>
      <c r="S877" s="7">
        <v>0.1752740689566137</v>
      </c>
      <c r="T877" s="7">
        <v>0.6148052972874276</v>
      </c>
    </row>
    <row x14ac:dyDescent="0.25" r="878" customHeight="1" ht="19.5">
      <c r="A878" s="2" t="s">
        <v>3190</v>
      </c>
      <c r="B878" s="2" t="s">
        <v>2314</v>
      </c>
      <c r="C878" s="2" t="s">
        <v>31</v>
      </c>
      <c r="D878" s="2" t="s">
        <v>840</v>
      </c>
      <c r="E878" s="6">
        <v>1</v>
      </c>
      <c r="F878" s="6">
        <v>1</v>
      </c>
      <c r="G878" s="7">
        <v>0.5370171666145325</v>
      </c>
      <c r="H878" s="7">
        <v>8.21143984375</v>
      </c>
      <c r="I878" s="7">
        <v>20.36442868184265</v>
      </c>
      <c r="J878" s="7">
        <v>9.596912138035997</v>
      </c>
      <c r="K878" s="7">
        <v>0.890594741887667</v>
      </c>
      <c r="L878" s="7">
        <v>0.9955708638192636</v>
      </c>
      <c r="M878" s="7">
        <v>0.2488196749948985</v>
      </c>
      <c r="N878" s="7">
        <v>0.1710984739317372</v>
      </c>
      <c r="O878" s="7">
        <v>0.0382920494765006</v>
      </c>
      <c r="P878" s="7">
        <v>9.90693288357746</v>
      </c>
      <c r="Q878" s="7">
        <v>0.0648552510700966</v>
      </c>
      <c r="R878" s="7">
        <v>0.1519437448781845</v>
      </c>
      <c r="S878" s="7">
        <v>0.1702068721969521</v>
      </c>
      <c r="T878" s="7">
        <v>0.6180950144998353</v>
      </c>
    </row>
    <row x14ac:dyDescent="0.25" r="879" customHeight="1" ht="19.5">
      <c r="A879" s="2" t="s">
        <v>3191</v>
      </c>
      <c r="B879" s="2" t="s">
        <v>2314</v>
      </c>
      <c r="C879" s="2" t="s">
        <v>31</v>
      </c>
      <c r="D879" s="2" t="s">
        <v>840</v>
      </c>
      <c r="E879" s="6">
        <v>1</v>
      </c>
      <c r="F879" s="6">
        <v>1</v>
      </c>
      <c r="G879" s="7">
        <v>0.5391495823860168</v>
      </c>
      <c r="H879" s="7">
        <v>8.266852343750001</v>
      </c>
      <c r="I879" s="7">
        <v>20.44765465435124</v>
      </c>
      <c r="J879" s="7">
        <v>9.656830108248515</v>
      </c>
      <c r="K879" s="7">
        <v>0.8922879799549441</v>
      </c>
      <c r="L879" s="7">
        <v>0.9956004594373868</v>
      </c>
      <c r="M879" s="7">
        <v>0.248463753311823</v>
      </c>
      <c r="N879" s="7">
        <v>0.1721613998585297</v>
      </c>
      <c r="O879" s="7">
        <v>0.0379405656920312</v>
      </c>
      <c r="P879" s="7">
        <v>9.95110908768564</v>
      </c>
      <c r="Q879" s="7">
        <v>0.0640921953116935</v>
      </c>
      <c r="R879" s="7">
        <v>0.1516847760328475</v>
      </c>
      <c r="S879" s="7">
        <v>0.1758230401758198</v>
      </c>
      <c r="T879" s="7">
        <v>0.6149447642384996</v>
      </c>
    </row>
    <row x14ac:dyDescent="0.25" r="880" customHeight="1" ht="19.5">
      <c r="A880" s="2" t="s">
        <v>3192</v>
      </c>
      <c r="B880" s="2" t="s">
        <v>2314</v>
      </c>
      <c r="C880" s="2" t="s">
        <v>31</v>
      </c>
      <c r="D880" s="2" t="s">
        <v>840</v>
      </c>
      <c r="E880" s="6">
        <v>1</v>
      </c>
      <c r="F880" s="6">
        <v>1</v>
      </c>
      <c r="G880" s="7">
        <v>0.5413280725479126</v>
      </c>
      <c r="H880" s="7">
        <v>8.24607265625</v>
      </c>
      <c r="I880" s="7">
        <v>20.31567603588881</v>
      </c>
      <c r="J880" s="7">
        <v>9.597163265668396</v>
      </c>
      <c r="K880" s="7">
        <v>0.8927868916353126</v>
      </c>
      <c r="L880" s="7">
        <v>0.995546385298386</v>
      </c>
      <c r="M880" s="7">
        <v>0.2510697924807907</v>
      </c>
      <c r="N880" s="7">
        <v>0.1692615705954774</v>
      </c>
      <c r="O880" s="7">
        <v>0.0384007992731379</v>
      </c>
      <c r="P880" s="7">
        <v>9.912176684536496</v>
      </c>
      <c r="Q880" s="7">
        <v>0.0647530154853044</v>
      </c>
      <c r="R880" s="7">
        <v>0.1525411816419056</v>
      </c>
      <c r="S880" s="7">
        <v>0.1741064144201516</v>
      </c>
      <c r="T880" s="7">
        <v>0.6197234572650434</v>
      </c>
    </row>
    <row x14ac:dyDescent="0.25" r="881" customHeight="1" ht="19.5">
      <c r="A881" s="2" t="s">
        <v>3193</v>
      </c>
      <c r="B881" s="2" t="s">
        <v>2314</v>
      </c>
      <c r="C881" s="2" t="s">
        <v>31</v>
      </c>
      <c r="D881" s="2" t="s">
        <v>840</v>
      </c>
      <c r="E881" s="6">
        <v>1</v>
      </c>
      <c r="F881" s="6">
        <v>1</v>
      </c>
      <c r="G881" s="7">
        <v>0.5408310294151306</v>
      </c>
      <c r="H881" s="7">
        <v>8.13524765625</v>
      </c>
      <c r="I881" s="7">
        <v>20.44765465435124</v>
      </c>
      <c r="J881" s="7">
        <v>9.595987921071927</v>
      </c>
      <c r="K881" s="7">
        <v>0.8860475312485474</v>
      </c>
      <c r="L881" s="7">
        <v>0.9956486377069776</v>
      </c>
      <c r="M881" s="7">
        <v>0.244508318613101</v>
      </c>
      <c r="N881" s="7">
        <v>0.177718405053783</v>
      </c>
      <c r="O881" s="7">
        <v>0.0396955264897804</v>
      </c>
      <c r="P881" s="7">
        <v>9.883450288202166</v>
      </c>
      <c r="Q881" s="7">
        <v>0.0652750567315539</v>
      </c>
      <c r="R881" s="7">
        <v>0.1521103064419243</v>
      </c>
      <c r="S881" s="7">
        <v>0.1749346951976915</v>
      </c>
      <c r="T881" s="7">
        <v>0.6163236263588564</v>
      </c>
    </row>
    <row x14ac:dyDescent="0.25" r="882" customHeight="1" ht="19.5">
      <c r="A882" s="2" t="s">
        <v>3194</v>
      </c>
      <c r="B882" s="2" t="s">
        <v>2314</v>
      </c>
      <c r="C882" s="2" t="s">
        <v>31</v>
      </c>
      <c r="D882" s="2" t="s">
        <v>840</v>
      </c>
      <c r="E882" s="6">
        <v>1</v>
      </c>
      <c r="F882" s="6">
        <v>1</v>
      </c>
      <c r="G882" s="7">
        <v>0.5240352749824524</v>
      </c>
      <c r="H882" s="7">
        <v>7.94823046875</v>
      </c>
      <c r="I882" s="7">
        <v>20.23245006338023</v>
      </c>
      <c r="J882" s="7">
        <v>9.417848768744058</v>
      </c>
      <c r="K882" s="7">
        <v>0.8650369298054607</v>
      </c>
      <c r="L882" s="7">
        <v>0.9957241504953452</v>
      </c>
      <c r="M882" s="7">
        <v>0.2439963677236042</v>
      </c>
      <c r="N882" s="7">
        <v>0.1838270665396957</v>
      </c>
      <c r="O882" s="7">
        <v>0.0407837893298437</v>
      </c>
      <c r="P882" s="7">
        <v>9.710110225237695</v>
      </c>
      <c r="Q882" s="7">
        <v>0.0483041998265457</v>
      </c>
      <c r="R882" s="7">
        <v>0.1222830512479192</v>
      </c>
      <c r="S882" s="7">
        <v>0.1422732548914945</v>
      </c>
      <c r="T882" s="7">
        <v>0.445600966227903</v>
      </c>
    </row>
    <row x14ac:dyDescent="0.25" r="883" customHeight="1" ht="19.5">
      <c r="A883" s="2" t="s">
        <v>3195</v>
      </c>
      <c r="B883" s="2" t="s">
        <v>2314</v>
      </c>
      <c r="C883" s="2" t="s">
        <v>31</v>
      </c>
      <c r="D883" s="2" t="s">
        <v>840</v>
      </c>
      <c r="E883" s="6">
        <v>1</v>
      </c>
      <c r="F883" s="6">
        <v>1</v>
      </c>
      <c r="G883" s="7">
        <v>0.401291012763977</v>
      </c>
      <c r="H883" s="7">
        <v>4.945565625</v>
      </c>
      <c r="I883" s="7">
        <v>13.36305275950961</v>
      </c>
      <c r="J883" s="7">
        <v>6.079329724088918</v>
      </c>
      <c r="K883" s="7">
        <v>0.7708029101254452</v>
      </c>
      <c r="L883" s="7">
        <v>0.990703627905702</v>
      </c>
      <c r="M883" s="7">
        <v>0.3480282253318557</v>
      </c>
      <c r="N883" s="7">
        <v>0.320249505158887</v>
      </c>
      <c r="O883" s="7">
        <v>0.0520240816119616</v>
      </c>
      <c r="P883" s="7">
        <v>9.045626238313227</v>
      </c>
      <c r="Q883" s="7">
        <v>0.026310513660731</v>
      </c>
      <c r="R883" s="7">
        <v>0.0528846221540016</v>
      </c>
      <c r="S883" s="7">
        <v>0.0681873780036664</v>
      </c>
      <c r="T883" s="7">
        <v>0.1510205599033069</v>
      </c>
    </row>
    <row x14ac:dyDescent="0.25" r="884" customHeight="1" ht="19.5">
      <c r="A884" s="2" t="s">
        <v>3196</v>
      </c>
      <c r="B884" s="2" t="s">
        <v>2314</v>
      </c>
      <c r="C884" s="2" t="s">
        <v>31</v>
      </c>
      <c r="D884" s="2" t="s">
        <v>840</v>
      </c>
      <c r="E884" s="6">
        <v>1</v>
      </c>
      <c r="F884" s="6">
        <v>1</v>
      </c>
      <c r="G884" s="7">
        <v>0.4209385812282562</v>
      </c>
      <c r="H884" s="7">
        <v>4.84513046875</v>
      </c>
      <c r="I884" s="7">
        <v>13.3773320789087</v>
      </c>
      <c r="J884" s="7">
        <v>6.083384482087442</v>
      </c>
      <c r="K884" s="7">
        <v>0.7949219640628811</v>
      </c>
      <c r="L884" s="7">
        <v>0.990920754980454</v>
      </c>
      <c r="M884" s="7">
        <v>0.3402329133084358</v>
      </c>
      <c r="N884" s="7">
        <v>0.2604250632490549</v>
      </c>
      <c r="O884" s="7">
        <v>0.0464493308505558</v>
      </c>
      <c r="P884" s="7">
        <v>9.330600006794867</v>
      </c>
      <c r="Q884" s="7">
        <v>0.0452376027748722</v>
      </c>
      <c r="R884" s="7">
        <v>0.087002166343907</v>
      </c>
      <c r="S884" s="7">
        <v>0.0958695977969157</v>
      </c>
      <c r="T884" s="7">
        <v>0.2543875419972875</v>
      </c>
    </row>
    <row x14ac:dyDescent="0.25" r="885" customHeight="1" ht="19.5">
      <c r="A885" s="2" t="s">
        <v>3197</v>
      </c>
      <c r="B885" s="2" t="s">
        <v>2314</v>
      </c>
      <c r="C885" s="2" t="s">
        <v>31</v>
      </c>
      <c r="D885" s="2" t="s">
        <v>840</v>
      </c>
      <c r="E885" s="6">
        <v>1</v>
      </c>
      <c r="F885" s="6">
        <v>1</v>
      </c>
      <c r="G885" s="7">
        <v>0.4303539097309112</v>
      </c>
      <c r="H885" s="7">
        <v>5.12565625</v>
      </c>
      <c r="I885" s="7">
        <v>13.42608472486254</v>
      </c>
      <c r="J885" s="7">
        <v>5.97235022008562</v>
      </c>
      <c r="K885" s="7">
        <v>0.8730535509180791</v>
      </c>
      <c r="L885" s="7">
        <v>0.9892926396344434</v>
      </c>
      <c r="M885" s="7">
        <v>0.3573226730203567</v>
      </c>
      <c r="N885" s="7">
        <v>0.234023294384442</v>
      </c>
      <c r="O885" s="7">
        <v>0.0529503609815895</v>
      </c>
      <c r="P885" s="7">
        <v>9.55950063467469</v>
      </c>
      <c r="Q885" s="7">
        <v>0.0552270029287283</v>
      </c>
      <c r="R885" s="7">
        <v>0.1162118879528948</v>
      </c>
      <c r="S885" s="7">
        <v>0.125718709069703</v>
      </c>
      <c r="T885" s="7">
        <v>0.3285426324341961</v>
      </c>
    </row>
    <row x14ac:dyDescent="0.25" r="886" customHeight="1" ht="19.5">
      <c r="A886" s="2" t="s">
        <v>3198</v>
      </c>
      <c r="B886" s="2" t="s">
        <v>2314</v>
      </c>
      <c r="C886" s="2" t="s">
        <v>31</v>
      </c>
      <c r="D886" s="2" t="s">
        <v>840</v>
      </c>
      <c r="E886" s="6">
        <v>1</v>
      </c>
      <c r="F886" s="6">
        <v>1</v>
      </c>
      <c r="G886" s="7">
        <v>0.4371139407157898</v>
      </c>
      <c r="H886" s="7">
        <v>5.1602890625</v>
      </c>
      <c r="I886" s="7">
        <v>13.41389656337408</v>
      </c>
      <c r="J886" s="7">
        <v>5.975165944148744</v>
      </c>
      <c r="K886" s="7">
        <v>0.8742495030188739</v>
      </c>
      <c r="L886" s="7">
        <v>0.9889626599489456</v>
      </c>
      <c r="M886" s="7">
        <v>0.3603910423332874</v>
      </c>
      <c r="N886" s="7">
        <v>0.2146944533583397</v>
      </c>
      <c r="O886" s="7">
        <v>0.0494899668012125</v>
      </c>
      <c r="P886" s="7">
        <v>9.738371836368303</v>
      </c>
      <c r="Q886" s="7">
        <v>0.0671347943632944</v>
      </c>
      <c r="R886" s="7">
        <v>0.1473177871986153</v>
      </c>
      <c r="S886" s="7">
        <v>0.1582498671019448</v>
      </c>
      <c r="T886" s="7">
        <v>0.4020800017344185</v>
      </c>
    </row>
    <row x14ac:dyDescent="0.25" r="887" customHeight="1" ht="19.5">
      <c r="A887" s="2" t="s">
        <v>3199</v>
      </c>
      <c r="B887" s="2" t="s">
        <v>2314</v>
      </c>
      <c r="C887" s="2" t="s">
        <v>31</v>
      </c>
      <c r="D887" s="2" t="s">
        <v>840</v>
      </c>
      <c r="E887" s="6">
        <v>1</v>
      </c>
      <c r="F887" s="6">
        <v>1</v>
      </c>
      <c r="G887" s="7">
        <v>0.4480254352092743</v>
      </c>
      <c r="H887" s="7">
        <v>5.201848437500001</v>
      </c>
      <c r="I887" s="7">
        <v>13.50931069737113</v>
      </c>
      <c r="J887" s="7">
        <v>6.093866079818845</v>
      </c>
      <c r="K887" s="7">
        <v>0.8683688743649572</v>
      </c>
      <c r="L887" s="7">
        <v>0.9895310119076346</v>
      </c>
      <c r="M887" s="7">
        <v>0.3581798731203408</v>
      </c>
      <c r="N887" s="7">
        <v>0.2181495335836388</v>
      </c>
      <c r="O887" s="7">
        <v>0.0537253349946356</v>
      </c>
      <c r="P887" s="7">
        <v>9.679524188021812</v>
      </c>
      <c r="Q887" s="7">
        <v>0.0683944715302349</v>
      </c>
      <c r="R887" s="7">
        <v>0.1497329528072551</v>
      </c>
      <c r="S887" s="7">
        <v>0.1631241182183619</v>
      </c>
      <c r="T887" s="7">
        <v>0.4129233790164179</v>
      </c>
    </row>
    <row x14ac:dyDescent="0.25" r="888" customHeight="1" ht="19.5">
      <c r="A888" s="2" t="s">
        <v>3200</v>
      </c>
      <c r="B888" s="2" t="s">
        <v>2314</v>
      </c>
      <c r="C888" s="2" t="s">
        <v>31</v>
      </c>
      <c r="D888" s="2" t="s">
        <v>840</v>
      </c>
      <c r="E888" s="6">
        <v>1</v>
      </c>
      <c r="F888" s="6">
        <v>1</v>
      </c>
      <c r="G888" s="7">
        <v>0.4210714399814605</v>
      </c>
      <c r="H888" s="7">
        <v>5.01136796875</v>
      </c>
      <c r="I888" s="7">
        <v>13.29410610640012</v>
      </c>
      <c r="J888" s="7">
        <v>5.967451527354161</v>
      </c>
      <c r="K888" s="7">
        <v>0.8492686485565586</v>
      </c>
      <c r="L888" s="7">
        <v>0.989554920803734</v>
      </c>
      <c r="M888" s="7">
        <v>0.3563262975473703</v>
      </c>
      <c r="N888" s="7">
        <v>0.210876620564793</v>
      </c>
      <c r="O888" s="7">
        <v>0.0435086346696925</v>
      </c>
      <c r="P888" s="7">
        <v>9.713938225041415</v>
      </c>
      <c r="Q888" s="7">
        <v>0.0713004406300975</v>
      </c>
      <c r="R888" s="7">
        <v>0.1522222108818699</v>
      </c>
      <c r="S888" s="7">
        <v>0.1666321526662279</v>
      </c>
      <c r="T888" s="7">
        <v>0.4147050143371129</v>
      </c>
    </row>
    <row x14ac:dyDescent="0.25" r="889" customHeight="1" ht="19.5">
      <c r="A889" s="2" t="s">
        <v>3201</v>
      </c>
      <c r="B889" s="2" t="s">
        <v>2314</v>
      </c>
      <c r="C889" s="2" t="s">
        <v>31</v>
      </c>
      <c r="D889" s="2" t="s">
        <v>840</v>
      </c>
      <c r="E889" s="6">
        <v>1</v>
      </c>
      <c r="F889" s="6">
        <v>1</v>
      </c>
      <c r="G889" s="7">
        <v>0.4329194724559784</v>
      </c>
      <c r="H889" s="7">
        <v>5.201848437500001</v>
      </c>
      <c r="I889" s="7">
        <v>13.46055805141729</v>
      </c>
      <c r="J889" s="7">
        <v>6.095280448649986</v>
      </c>
      <c r="K889" s="7">
        <v>0.8701606993517221</v>
      </c>
      <c r="L889" s="7">
        <v>0.9894089391360338</v>
      </c>
      <c r="M889" s="7">
        <v>0.3607791471741263</v>
      </c>
      <c r="N889" s="7">
        <v>0.2198160262083564</v>
      </c>
      <c r="O889" s="7">
        <v>0.0537506594814471</v>
      </c>
      <c r="P889" s="7">
        <v>9.676511978540002</v>
      </c>
      <c r="Q889" s="7">
        <v>0.0692296629554967</v>
      </c>
      <c r="R889" s="7">
        <v>0.1511557916684634</v>
      </c>
      <c r="S889" s="7">
        <v>0.165512327926241</v>
      </c>
      <c r="T889" s="7">
        <v>0.4179657465898291</v>
      </c>
    </row>
    <row x14ac:dyDescent="0.25" r="890" customHeight="1" ht="19.5">
      <c r="A890" s="2" t="s">
        <v>3202</v>
      </c>
      <c r="B890" s="2" t="s">
        <v>2314</v>
      </c>
      <c r="C890" s="2" t="s">
        <v>31</v>
      </c>
      <c r="D890" s="2" t="s">
        <v>840</v>
      </c>
      <c r="E890" s="6">
        <v>1</v>
      </c>
      <c r="F890" s="6">
        <v>1</v>
      </c>
      <c r="G890" s="7">
        <v>0.4259732663631439</v>
      </c>
      <c r="H890" s="7">
        <v>5.2434078125</v>
      </c>
      <c r="I890" s="7">
        <v>13.6757626423883</v>
      </c>
      <c r="J890" s="7">
        <v>6.15256155869556</v>
      </c>
      <c r="K890" s="7">
        <v>0.8750226414519289</v>
      </c>
      <c r="L890" s="7">
        <v>0.989668619712381</v>
      </c>
      <c r="M890" s="7">
        <v>0.3523062857055841</v>
      </c>
      <c r="N890" s="7">
        <v>0.2163111946804554</v>
      </c>
      <c r="O890" s="7">
        <v>0.053181479984242</v>
      </c>
      <c r="P890" s="7">
        <v>9.70015825461421</v>
      </c>
      <c r="Q890" s="7">
        <v>0.0687582436242918</v>
      </c>
      <c r="R890" s="7">
        <v>0.1512886312521538</v>
      </c>
      <c r="S890" s="7">
        <v>0.1648229325826733</v>
      </c>
      <c r="T890" s="7">
        <v>0.4184361440198688</v>
      </c>
    </row>
    <row x14ac:dyDescent="0.25" r="891" customHeight="1" ht="19.5">
      <c r="A891" s="2" t="s">
        <v>3203</v>
      </c>
      <c r="B891" s="2" t="s">
        <v>2314</v>
      </c>
      <c r="C891" s="2" t="s">
        <v>31</v>
      </c>
      <c r="D891" s="2" t="s">
        <v>840</v>
      </c>
      <c r="E891" s="6">
        <v>1</v>
      </c>
      <c r="F891" s="6">
        <v>1</v>
      </c>
      <c r="G891" s="7">
        <v>0.453099250793457</v>
      </c>
      <c r="H891" s="7">
        <v>5.184532031250001</v>
      </c>
      <c r="I891" s="7">
        <v>13.40589071770689</v>
      </c>
      <c r="J891" s="7">
        <v>6.031806146818664</v>
      </c>
      <c r="K891" s="7">
        <v>0.8707007753649494</v>
      </c>
      <c r="L891" s="7">
        <v>0.9892238333535244</v>
      </c>
      <c r="M891" s="7">
        <v>0.3625167488332038</v>
      </c>
      <c r="N891" s="7">
        <v>0.2113608127849646</v>
      </c>
      <c r="O891" s="7">
        <v>0.0506097287660389</v>
      </c>
      <c r="P891" s="7">
        <v>9.72532990034916</v>
      </c>
      <c r="Q891" s="7">
        <v>0.0676934699473232</v>
      </c>
      <c r="R891" s="7">
        <v>0.1496179028914548</v>
      </c>
      <c r="S891" s="7">
        <v>0.1655329046334247</v>
      </c>
      <c r="T891" s="7">
        <v>0.4073306765421322</v>
      </c>
    </row>
    <row x14ac:dyDescent="0.25" r="892" customHeight="1" ht="19.5">
      <c r="A892" s="2" t="s">
        <v>3204</v>
      </c>
      <c r="B892" s="2" t="s">
        <v>2314</v>
      </c>
      <c r="C892" s="2" t="s">
        <v>31</v>
      </c>
      <c r="D892" s="2" t="s">
        <v>840</v>
      </c>
      <c r="E892" s="6">
        <v>1</v>
      </c>
      <c r="F892" s="6">
        <v>1</v>
      </c>
      <c r="G892" s="7">
        <v>0.4492964744567871</v>
      </c>
      <c r="H892" s="7">
        <v>5.181068750000001</v>
      </c>
      <c r="I892" s="7">
        <v>13.35713807175305</v>
      </c>
      <c r="J892" s="7">
        <v>6.032665498696906</v>
      </c>
      <c r="K892" s="7">
        <v>0.8707580027374446</v>
      </c>
      <c r="L892" s="7">
        <v>0.9891594335313106</v>
      </c>
      <c r="M892" s="7">
        <v>0.3649239681281761</v>
      </c>
      <c r="N892" s="7">
        <v>0.2190836626448405</v>
      </c>
      <c r="O892" s="7">
        <v>0.0516981463490759</v>
      </c>
      <c r="P892" s="7">
        <v>9.719207957956282</v>
      </c>
      <c r="Q892" s="7">
        <v>0.0678244252994503</v>
      </c>
      <c r="R892" s="7">
        <v>0.149568529292621</v>
      </c>
      <c r="S892" s="7">
        <v>0.1643448352995411</v>
      </c>
      <c r="T892" s="7">
        <v>0.4078460474200824</v>
      </c>
    </row>
    <row x14ac:dyDescent="0.25" r="893" customHeight="1" ht="19.5">
      <c r="A893" s="2" t="s">
        <v>3205</v>
      </c>
      <c r="B893" s="2" t="s">
        <v>2314</v>
      </c>
      <c r="C893" s="2" t="s">
        <v>31</v>
      </c>
      <c r="D893" s="2" t="s">
        <v>840</v>
      </c>
      <c r="E893" s="6">
        <v>1</v>
      </c>
      <c r="F893" s="6">
        <v>1</v>
      </c>
      <c r="G893" s="7">
        <v>0.4223615527153015</v>
      </c>
      <c r="H893" s="7">
        <v>5.03214765625</v>
      </c>
      <c r="I893" s="7">
        <v>13.4462787320182</v>
      </c>
      <c r="J893" s="7">
        <v>6.088402785742546</v>
      </c>
      <c r="K893" s="7">
        <v>0.8322108943089039</v>
      </c>
      <c r="L893" s="7">
        <v>0.990279703708441</v>
      </c>
      <c r="M893" s="7">
        <v>0.349751044946556</v>
      </c>
      <c r="N893" s="7">
        <v>0.2171685303065483</v>
      </c>
      <c r="O893" s="7">
        <v>0.0465010935204955</v>
      </c>
      <c r="P893" s="7">
        <v>9.636347653788915</v>
      </c>
      <c r="Q893" s="7">
        <v>0.0730491835997869</v>
      </c>
      <c r="R893" s="7">
        <v>0.1512464388766699</v>
      </c>
      <c r="S893" s="7">
        <v>0.1628819798574824</v>
      </c>
      <c r="T893" s="7">
        <v>0.4266379880492422</v>
      </c>
    </row>
    <row x14ac:dyDescent="0.25" r="894" customHeight="1" ht="19.5">
      <c r="A894" s="2" t="s">
        <v>3206</v>
      </c>
      <c r="B894" s="2" t="s">
        <v>2314</v>
      </c>
      <c r="C894" s="2" t="s">
        <v>31</v>
      </c>
      <c r="D894" s="2" t="s">
        <v>840</v>
      </c>
      <c r="E894" s="6">
        <v>1</v>
      </c>
      <c r="F894" s="6">
        <v>1</v>
      </c>
      <c r="G894" s="7">
        <v>0.4284736812114715</v>
      </c>
      <c r="H894" s="7">
        <v>5.059853906250001</v>
      </c>
      <c r="I894" s="7">
        <v>13.54378402392588</v>
      </c>
      <c r="J894" s="7">
        <v>6.088133006881489</v>
      </c>
      <c r="K894" s="7">
        <v>0.8473247437532606</v>
      </c>
      <c r="L894" s="7">
        <v>0.9901403446167504</v>
      </c>
      <c r="M894" s="7">
        <v>0.3466313210132211</v>
      </c>
      <c r="N894" s="7">
        <v>0.2154742080126063</v>
      </c>
      <c r="O894" s="7">
        <v>0.0449628674773901</v>
      </c>
      <c r="P894" s="7">
        <v>9.660660540890936</v>
      </c>
      <c r="Q894" s="7">
        <v>0.0725941743896137</v>
      </c>
      <c r="R894" s="7">
        <v>0.1511768890911547</v>
      </c>
      <c r="S894" s="7">
        <v>0.1640167840817052</v>
      </c>
      <c r="T894" s="7">
        <v>0.4263149159461252</v>
      </c>
    </row>
    <row x14ac:dyDescent="0.25" r="895" customHeight="1" ht="19.5">
      <c r="A895" s="2" t="s">
        <v>3207</v>
      </c>
      <c r="B895" s="2" t="s">
        <v>2314</v>
      </c>
      <c r="C895" s="2" t="s">
        <v>31</v>
      </c>
      <c r="D895" s="2" t="s">
        <v>840</v>
      </c>
      <c r="E895" s="6">
        <v>1</v>
      </c>
      <c r="F895" s="6">
        <v>1</v>
      </c>
      <c r="G895" s="7">
        <v>0.4224259853363037</v>
      </c>
      <c r="H895" s="7">
        <v>5.17760546875</v>
      </c>
      <c r="I895" s="7">
        <v>13.34285875235396</v>
      </c>
      <c r="J895" s="7">
        <v>6.03430996377668</v>
      </c>
      <c r="K895" s="7">
        <v>0.8749470984570036</v>
      </c>
      <c r="L895" s="7">
        <v>0.9892011301376676</v>
      </c>
      <c r="M895" s="7">
        <v>0.3654610024354482</v>
      </c>
      <c r="N895" s="7">
        <v>0.2234361383871166</v>
      </c>
      <c r="O895" s="7">
        <v>0.0523178078273849</v>
      </c>
      <c r="P895" s="7">
        <v>9.708381251692083</v>
      </c>
      <c r="Q895" s="7">
        <v>0.0685632740619547</v>
      </c>
      <c r="R895" s="7">
        <v>0.1496652833671034</v>
      </c>
      <c r="S895" s="7">
        <v>0.164738940973939</v>
      </c>
      <c r="T895" s="7">
        <v>0.4120133444852234</v>
      </c>
    </row>
    <row x14ac:dyDescent="0.25" r="896" customHeight="1" ht="19.5">
      <c r="A896" s="2" t="s">
        <v>3208</v>
      </c>
      <c r="B896" s="2" t="s">
        <v>2314</v>
      </c>
      <c r="C896" s="2" t="s">
        <v>31</v>
      </c>
      <c r="D896" s="2" t="s">
        <v>840</v>
      </c>
      <c r="E896" s="6">
        <v>1</v>
      </c>
      <c r="F896" s="6">
        <v>1</v>
      </c>
      <c r="G896" s="7">
        <v>0.438086986541748</v>
      </c>
      <c r="H896" s="7">
        <v>5.17760546875</v>
      </c>
      <c r="I896" s="7">
        <v>13.47483737081638</v>
      </c>
      <c r="J896" s="7">
        <v>6.034874884429174</v>
      </c>
      <c r="K896" s="7">
        <v>0.8710401498638181</v>
      </c>
      <c r="L896" s="7">
        <v>0.98926913792842</v>
      </c>
      <c r="M896" s="7">
        <v>0.3583370826661309</v>
      </c>
      <c r="N896" s="7">
        <v>0.2195671108000212</v>
      </c>
      <c r="O896" s="7">
        <v>0.0523016823189791</v>
      </c>
      <c r="P896" s="7">
        <v>9.683995723788591</v>
      </c>
      <c r="Q896" s="7">
        <v>0.068452793315838</v>
      </c>
      <c r="R896" s="7">
        <v>0.1507814347789682</v>
      </c>
      <c r="S896" s="7">
        <v>0.1642619579852785</v>
      </c>
      <c r="T896" s="7">
        <v>0.4113494388836962</v>
      </c>
    </row>
    <row x14ac:dyDescent="0.25" r="897" customHeight="1" ht="19.5">
      <c r="A897" s="2" t="s">
        <v>3209</v>
      </c>
      <c r="B897" s="2" t="s">
        <v>2314</v>
      </c>
      <c r="C897" s="2" t="s">
        <v>31</v>
      </c>
      <c r="D897" s="2" t="s">
        <v>840</v>
      </c>
      <c r="E897" s="6">
        <v>1</v>
      </c>
      <c r="F897" s="6">
        <v>1</v>
      </c>
      <c r="G897" s="7">
        <v>0.4427616894245147</v>
      </c>
      <c r="H897" s="7">
        <v>5.07024375</v>
      </c>
      <c r="I897" s="7">
        <v>13.49503137797204</v>
      </c>
      <c r="J897" s="7">
        <v>6.088282884563087</v>
      </c>
      <c r="K897" s="7">
        <v>0.866150895602608</v>
      </c>
      <c r="L897" s="7">
        <v>0.9900703174406272</v>
      </c>
      <c r="M897" s="7">
        <v>0.349857271667488</v>
      </c>
      <c r="N897" s="7">
        <v>0.2165225086829341</v>
      </c>
      <c r="O897" s="7">
        <v>0.0442877115732246</v>
      </c>
      <c r="P897" s="7">
        <v>9.68291961266555</v>
      </c>
      <c r="Q897" s="7">
        <v>0.0720386119157618</v>
      </c>
      <c r="R897" s="7">
        <v>0.1505260893398866</v>
      </c>
      <c r="S897" s="7">
        <v>0.1663714453838975</v>
      </c>
      <c r="T897" s="7">
        <v>0.423921022876907</v>
      </c>
    </row>
    <row x14ac:dyDescent="0.25" r="898" customHeight="1" ht="19.5">
      <c r="A898" s="2" t="s">
        <v>3210</v>
      </c>
      <c r="B898" s="2" t="s">
        <v>2314</v>
      </c>
      <c r="C898" s="2" t="s">
        <v>31</v>
      </c>
      <c r="D898" s="2" t="s">
        <v>840</v>
      </c>
      <c r="E898" s="6">
        <v>1</v>
      </c>
      <c r="F898" s="6">
        <v>1</v>
      </c>
      <c r="G898" s="7">
        <v>0.4314854443073272</v>
      </c>
      <c r="H898" s="7">
        <v>5.073707031250001</v>
      </c>
      <c r="I898" s="7">
        <v>13.57825735048062</v>
      </c>
      <c r="J898" s="7">
        <v>6.088181556717542</v>
      </c>
      <c r="K898" s="7">
        <v>0.8664555969479841</v>
      </c>
      <c r="L898" s="7">
        <v>0.9900668878194452</v>
      </c>
      <c r="M898" s="7">
        <v>0.345817668972353</v>
      </c>
      <c r="N898" s="7">
        <v>0.2115864285377744</v>
      </c>
      <c r="O898" s="7">
        <v>0.0448027850282627</v>
      </c>
      <c r="P898" s="7">
        <v>9.652067366543882</v>
      </c>
      <c r="Q898" s="7">
        <v>0.0711605394930441</v>
      </c>
      <c r="R898" s="7">
        <v>0.1510521312431829</v>
      </c>
      <c r="S898" s="7">
        <v>0.1649478826859835</v>
      </c>
      <c r="T898" s="7">
        <v>0.4190399201944959</v>
      </c>
    </row>
    <row x14ac:dyDescent="0.25" r="899" customHeight="1" ht="19.5">
      <c r="A899" s="2" t="s">
        <v>3211</v>
      </c>
      <c r="B899" s="2" t="s">
        <v>2314</v>
      </c>
      <c r="C899" s="2" t="s">
        <v>31</v>
      </c>
      <c r="D899" s="2" t="s">
        <v>840</v>
      </c>
      <c r="E899" s="6">
        <v>1</v>
      </c>
      <c r="F899" s="6">
        <v>1</v>
      </c>
      <c r="G899" s="7">
        <v>0.4340634644031524</v>
      </c>
      <c r="H899" s="7">
        <v>5.073707031250001</v>
      </c>
      <c r="I899" s="7">
        <v>13.54378402392588</v>
      </c>
      <c r="J899" s="7">
        <v>6.088127011080925</v>
      </c>
      <c r="K899" s="7">
        <v>0.8727337641802886</v>
      </c>
      <c r="L899" s="7">
        <v>0.9900398472299908</v>
      </c>
      <c r="M899" s="7">
        <v>0.3475803458483018</v>
      </c>
      <c r="N899" s="7">
        <v>0.2160673981232144</v>
      </c>
      <c r="O899" s="7">
        <v>0.0441009447474976</v>
      </c>
      <c r="P899" s="7">
        <v>9.705237570685158</v>
      </c>
      <c r="Q899" s="7">
        <v>0.0723286476292473</v>
      </c>
      <c r="R899" s="7">
        <v>0.1517167606572473</v>
      </c>
      <c r="S899" s="7">
        <v>0.1667325979308066</v>
      </c>
      <c r="T899" s="7">
        <v>0.4259185068895982</v>
      </c>
    </row>
    <row x14ac:dyDescent="0.25" r="900" customHeight="1" ht="19.5">
      <c r="A900" s="2" t="s">
        <v>3212</v>
      </c>
      <c r="B900" s="2" t="s">
        <v>2314</v>
      </c>
      <c r="C900" s="2" t="s">
        <v>31</v>
      </c>
      <c r="D900" s="2" t="s">
        <v>840</v>
      </c>
      <c r="E900" s="6">
        <v>1</v>
      </c>
      <c r="F900" s="6">
        <v>1</v>
      </c>
      <c r="G900" s="7">
        <v>0.4215627610683441</v>
      </c>
      <c r="H900" s="7">
        <v>5.167215625000001</v>
      </c>
      <c r="I900" s="7">
        <v>13.42608472486254</v>
      </c>
      <c r="J900" s="7">
        <v>6.034159231923391</v>
      </c>
      <c r="K900" s="7">
        <v>0.8756255662685227</v>
      </c>
      <c r="L900" s="7">
        <v>0.989271375032002</v>
      </c>
      <c r="M900" s="7">
        <v>0.360219883882684</v>
      </c>
      <c r="N900" s="7">
        <v>0.2211961418886281</v>
      </c>
      <c r="O900" s="7">
        <v>0.053232873061333</v>
      </c>
      <c r="P900" s="7">
        <v>9.689452582267016</v>
      </c>
      <c r="Q900" s="7">
        <v>0.0687796971750921</v>
      </c>
      <c r="R900" s="7">
        <v>0.1504693578690737</v>
      </c>
      <c r="S900" s="7">
        <v>0.1639711819336675</v>
      </c>
      <c r="T900" s="7">
        <v>0.4124844910591685</v>
      </c>
    </row>
    <row x14ac:dyDescent="0.25" r="901" customHeight="1" ht="19.5">
      <c r="A901" s="2" t="s">
        <v>3213</v>
      </c>
      <c r="B901" s="2" t="s">
        <v>2314</v>
      </c>
      <c r="C901" s="2" t="s">
        <v>31</v>
      </c>
      <c r="D901" s="2" t="s">
        <v>840</v>
      </c>
      <c r="E901" s="6">
        <v>1</v>
      </c>
      <c r="F901" s="6">
        <v>1</v>
      </c>
      <c r="G901" s="7">
        <v>0.4258641302585602</v>
      </c>
      <c r="H901" s="7">
        <v>5.059853906250001</v>
      </c>
      <c r="I901" s="7">
        <v>13.46055805141729</v>
      </c>
      <c r="J901" s="7">
        <v>6.088898632948565</v>
      </c>
      <c r="K901" s="7">
        <v>0.870207339138066</v>
      </c>
      <c r="L901" s="7">
        <v>0.9900532942181643</v>
      </c>
      <c r="M901" s="7">
        <v>0.3509309813724358</v>
      </c>
      <c r="N901" s="7">
        <v>0.2204389104315985</v>
      </c>
      <c r="O901" s="7">
        <v>0.0450098758002385</v>
      </c>
      <c r="P901" s="7">
        <v>9.6922509686809</v>
      </c>
      <c r="Q901" s="7">
        <v>0.0724341123517416</v>
      </c>
      <c r="R901" s="7">
        <v>0.15211663283603</v>
      </c>
      <c r="S901" s="7">
        <v>0.1658443306096708</v>
      </c>
      <c r="T901" s="7">
        <v>0.4253749392221615</v>
      </c>
    </row>
    <row x14ac:dyDescent="0.25" r="902" customHeight="1" ht="19.5">
      <c r="A902" s="2" t="s">
        <v>3214</v>
      </c>
      <c r="B902" s="2" t="s">
        <v>2314</v>
      </c>
      <c r="C902" s="2" t="s">
        <v>31</v>
      </c>
      <c r="D902" s="2" t="s">
        <v>840</v>
      </c>
      <c r="E902" s="6">
        <v>1</v>
      </c>
      <c r="F902" s="6">
        <v>1</v>
      </c>
      <c r="G902" s="7">
        <v>0.4237600266933441</v>
      </c>
      <c r="H902" s="7">
        <v>5.056390625000001</v>
      </c>
      <c r="I902" s="7">
        <v>13.54378402392588</v>
      </c>
      <c r="J902" s="7">
        <v>6.088206686825428</v>
      </c>
      <c r="K902" s="7">
        <v>0.8657597736440912</v>
      </c>
      <c r="L902" s="7">
        <v>0.9901489557316968</v>
      </c>
      <c r="M902" s="7">
        <v>0.346394064804451</v>
      </c>
      <c r="N902" s="7">
        <v>0.2170631193398457</v>
      </c>
      <c r="O902" s="7">
        <v>0.044881142805659</v>
      </c>
      <c r="P902" s="7">
        <v>9.674697541948287</v>
      </c>
      <c r="Q902" s="7">
        <v>0.0724464995285406</v>
      </c>
      <c r="R902" s="7">
        <v>0.1511425355887208</v>
      </c>
      <c r="S902" s="7">
        <v>0.1631384360542296</v>
      </c>
      <c r="T902" s="7">
        <v>0.4251564808090083</v>
      </c>
    </row>
    <row x14ac:dyDescent="0.25" r="903" customHeight="1" ht="19.5">
      <c r="A903" s="2" t="s">
        <v>3215</v>
      </c>
      <c r="B903" s="2" t="s">
        <v>2314</v>
      </c>
      <c r="C903" s="2" t="s">
        <v>31</v>
      </c>
      <c r="D903" s="2" t="s">
        <v>840</v>
      </c>
      <c r="E903" s="6">
        <v>1</v>
      </c>
      <c r="F903" s="6">
        <v>1</v>
      </c>
      <c r="G903" s="7">
        <v>0.4250855147838592</v>
      </c>
      <c r="H903" s="7">
        <v>5.1741421875</v>
      </c>
      <c r="I903" s="7">
        <v>13.30838542579921</v>
      </c>
      <c r="J903" s="7">
        <v>6.0328772817871</v>
      </c>
      <c r="K903" s="7">
        <v>0.8742410972596738</v>
      </c>
      <c r="L903" s="7">
        <v>0.9891936845628456</v>
      </c>
      <c r="M903" s="7">
        <v>0.367111072120159</v>
      </c>
      <c r="N903" s="7">
        <v>0.2199567282686001</v>
      </c>
      <c r="O903" s="7">
        <v>0.0522668966790245</v>
      </c>
      <c r="P903" s="7">
        <v>9.703863405532672</v>
      </c>
      <c r="Q903" s="7">
        <v>0.0681248544446268</v>
      </c>
      <c r="R903" s="7">
        <v>0.1497297943268299</v>
      </c>
      <c r="S903" s="7">
        <v>0.163391404363731</v>
      </c>
      <c r="T903" s="7">
        <v>0.4091049427057309</v>
      </c>
    </row>
    <row x14ac:dyDescent="0.25" r="904" customHeight="1" ht="19.5">
      <c r="A904" s="2" t="s">
        <v>3216</v>
      </c>
      <c r="B904" s="2" t="s">
        <v>2314</v>
      </c>
      <c r="C904" s="2" t="s">
        <v>31</v>
      </c>
      <c r="D904" s="2" t="s">
        <v>840</v>
      </c>
      <c r="E904" s="6">
        <v>1</v>
      </c>
      <c r="F904" s="6">
        <v>1</v>
      </c>
      <c r="G904" s="7">
        <v>0.418657898902893</v>
      </c>
      <c r="H904" s="7">
        <v>5.07024375</v>
      </c>
      <c r="I904" s="7">
        <v>13.59253666987972</v>
      </c>
      <c r="J904" s="7">
        <v>6.087534972781716</v>
      </c>
      <c r="K904" s="7">
        <v>0.871591729514352</v>
      </c>
      <c r="L904" s="7">
        <v>0.990100752445198</v>
      </c>
      <c r="M904" s="7">
        <v>0.3448559120801592</v>
      </c>
      <c r="N904" s="7">
        <v>0.2135341719220632</v>
      </c>
      <c r="O904" s="7">
        <v>0.0445229195573674</v>
      </c>
      <c r="P904" s="7">
        <v>9.670119985048284</v>
      </c>
      <c r="Q904" s="7">
        <v>0.0719798943317711</v>
      </c>
      <c r="R904" s="7">
        <v>0.1525780632508862</v>
      </c>
      <c r="S904" s="7">
        <v>0.1655348686273426</v>
      </c>
      <c r="T904" s="7">
        <v>0.4235754912570677</v>
      </c>
    </row>
    <row x14ac:dyDescent="0.25" r="905" customHeight="1" ht="19.5">
      <c r="A905" s="2" t="s">
        <v>3217</v>
      </c>
      <c r="B905" s="2" t="s">
        <v>2314</v>
      </c>
      <c r="C905" s="2" t="s">
        <v>31</v>
      </c>
      <c r="D905" s="2" t="s">
        <v>840</v>
      </c>
      <c r="E905" s="6">
        <v>1</v>
      </c>
      <c r="F905" s="6">
        <v>1</v>
      </c>
      <c r="G905" s="7">
        <v>0.4272982478141784</v>
      </c>
      <c r="H905" s="7">
        <v>5.06678046875</v>
      </c>
      <c r="I905" s="7">
        <v>13.54378402392588</v>
      </c>
      <c r="J905" s="7">
        <v>6.087948093516042</v>
      </c>
      <c r="K905" s="7">
        <v>0.8652405870470739</v>
      </c>
      <c r="L905" s="7">
        <v>0.9900993721890716</v>
      </c>
      <c r="M905" s="7">
        <v>0.3471058334307615</v>
      </c>
      <c r="N905" s="7">
        <v>0.2131400862682771</v>
      </c>
      <c r="O905" s="7">
        <v>0.0446683206060993</v>
      </c>
      <c r="P905" s="7">
        <v>9.68783740746221</v>
      </c>
      <c r="Q905" s="7">
        <v>0.0723643814536732</v>
      </c>
      <c r="R905" s="7">
        <v>0.1501225563782237</v>
      </c>
      <c r="S905" s="7">
        <v>0.1670585351853779</v>
      </c>
      <c r="T905" s="7">
        <v>0.4255471850993443</v>
      </c>
    </row>
    <row x14ac:dyDescent="0.25" r="906" customHeight="1" ht="19.5">
      <c r="A906" s="2" t="s">
        <v>3218</v>
      </c>
      <c r="B906" s="2" t="s">
        <v>2314</v>
      </c>
      <c r="C906" s="2" t="s">
        <v>31</v>
      </c>
      <c r="D906" s="2" t="s">
        <v>840</v>
      </c>
      <c r="E906" s="6">
        <v>1</v>
      </c>
      <c r="F906" s="6">
        <v>1</v>
      </c>
      <c r="G906" s="7">
        <v>0.4069172143936157</v>
      </c>
      <c r="H906" s="7">
        <v>5.04600078125</v>
      </c>
      <c r="I906" s="7">
        <v>13.3773320789087</v>
      </c>
      <c r="J906" s="7">
        <v>5.963211184123975</v>
      </c>
      <c r="K906" s="7">
        <v>0.8457235107532752</v>
      </c>
      <c r="L906" s="7">
        <v>0.989620656961016</v>
      </c>
      <c r="M906" s="7">
        <v>0.3543383521732601</v>
      </c>
      <c r="N906" s="7">
        <v>0.2290980399263181</v>
      </c>
      <c r="O906" s="7">
        <v>0.0442111140511963</v>
      </c>
      <c r="P906" s="7">
        <v>9.564724301348662</v>
      </c>
      <c r="Q906" s="7">
        <v>0.0568570788205701</v>
      </c>
      <c r="R906" s="7">
        <v>0.1242741026038896</v>
      </c>
      <c r="S906" s="7">
        <v>0.13730349791802</v>
      </c>
      <c r="T906" s="7">
        <v>0.3329834406061481</v>
      </c>
    </row>
    <row x14ac:dyDescent="0.25" r="907" customHeight="1" ht="19.5">
      <c r="A907" s="2" t="s">
        <v>3219</v>
      </c>
      <c r="B907" s="2" t="s">
        <v>2314</v>
      </c>
      <c r="C907" s="2" t="s">
        <v>31</v>
      </c>
      <c r="D907" s="2" t="s">
        <v>840</v>
      </c>
      <c r="E907" s="6">
        <v>1</v>
      </c>
      <c r="F907" s="6">
        <v>1</v>
      </c>
      <c r="G907" s="7">
        <v>0.3696489036083221</v>
      </c>
      <c r="H907" s="7">
        <v>5.3750125</v>
      </c>
      <c r="I907" s="7">
        <v>13.7304299760987</v>
      </c>
      <c r="J907" s="7">
        <v>6.199828436479939</v>
      </c>
      <c r="K907" s="7">
        <v>0.8381022504833853</v>
      </c>
      <c r="L907" s="7">
        <v>0.9898155829004482</v>
      </c>
      <c r="M907" s="7">
        <v>0.3582787640354259</v>
      </c>
      <c r="N907" s="7">
        <v>0.318539870445703</v>
      </c>
      <c r="O907" s="7">
        <v>0.0493964087608454</v>
      </c>
      <c r="P907" s="7">
        <v>9.148055946439872</v>
      </c>
      <c r="Q907" s="7">
        <v>0.0154967089899762</v>
      </c>
      <c r="R907" s="7">
        <v>0.0388313643787453</v>
      </c>
      <c r="S907" s="7">
        <v>0.0550914693418156</v>
      </c>
      <c r="T907" s="7">
        <v>0.0966740106414352</v>
      </c>
    </row>
    <row x14ac:dyDescent="0.25" r="908" customHeight="1" ht="19.5">
      <c r="A908" s="2" t="s">
        <v>3220</v>
      </c>
      <c r="B908" s="2" t="s">
        <v>2314</v>
      </c>
      <c r="C908" s="2" t="s">
        <v>31</v>
      </c>
      <c r="D908" s="2" t="s">
        <v>840</v>
      </c>
      <c r="E908" s="6">
        <v>1</v>
      </c>
      <c r="F908" s="6">
        <v>1</v>
      </c>
      <c r="G908" s="7">
        <v>0.459901213645935</v>
      </c>
      <c r="H908" s="7">
        <v>5.21223828125</v>
      </c>
      <c r="I908" s="7">
        <v>13.59253666987972</v>
      </c>
      <c r="J908" s="7">
        <v>6.08171146469435</v>
      </c>
      <c r="K908" s="7">
        <v>0.8453459572659014</v>
      </c>
      <c r="L908" s="7">
        <v>0.9896807539537292</v>
      </c>
      <c r="M908" s="7">
        <v>0.3545137620769394</v>
      </c>
      <c r="N908" s="7">
        <v>0.2777628037708544</v>
      </c>
      <c r="O908" s="7">
        <v>0.0453722133754104</v>
      </c>
      <c r="P908" s="7">
        <v>9.399308082174551</v>
      </c>
      <c r="Q908" s="7">
        <v>0.0282634995063562</v>
      </c>
      <c r="R908" s="7">
        <v>0.0661506037794572</v>
      </c>
      <c r="S908" s="7">
        <v>0.0837259951262413</v>
      </c>
      <c r="T908" s="7">
        <v>0.1709782924917133</v>
      </c>
    </row>
    <row x14ac:dyDescent="0.25" r="909" customHeight="1" ht="19.5">
      <c r="A909" s="2" t="s">
        <v>3221</v>
      </c>
      <c r="B909" s="2" t="s">
        <v>2314</v>
      </c>
      <c r="C909" s="2" t="s">
        <v>31</v>
      </c>
      <c r="D909" s="2" t="s">
        <v>840</v>
      </c>
      <c r="E909" s="6">
        <v>1</v>
      </c>
      <c r="F909" s="6">
        <v>1</v>
      </c>
      <c r="G909" s="7">
        <v>0.4878267347812652</v>
      </c>
      <c r="H909" s="7">
        <v>4.96288203125</v>
      </c>
      <c r="I909" s="7">
        <v>13.39752608606436</v>
      </c>
      <c r="J909" s="7">
        <v>6.079114897279574</v>
      </c>
      <c r="K909" s="7">
        <v>0.7679547546021868</v>
      </c>
      <c r="L909" s="7">
        <v>0.9907378960427085</v>
      </c>
      <c r="M909" s="7">
        <v>0.3474518220081188</v>
      </c>
      <c r="N909" s="7">
        <v>0.248493338885557</v>
      </c>
      <c r="O909" s="7">
        <v>0.0431657541957788</v>
      </c>
      <c r="P909" s="7">
        <v>9.473116811171906</v>
      </c>
      <c r="Q909" s="7">
        <v>0.0485668224189634</v>
      </c>
      <c r="R909" s="7">
        <v>0.1052684596288445</v>
      </c>
      <c r="S909" s="7">
        <v>0.116851731263889</v>
      </c>
      <c r="T909" s="7">
        <v>0.2797463456008247</v>
      </c>
    </row>
    <row x14ac:dyDescent="0.25" r="910" customHeight="1" ht="19.5">
      <c r="A910" s="2" t="s">
        <v>3222</v>
      </c>
      <c r="B910" s="2" t="s">
        <v>2314</v>
      </c>
      <c r="C910" s="2" t="s">
        <v>31</v>
      </c>
      <c r="D910" s="2" t="s">
        <v>840</v>
      </c>
      <c r="E910" s="6">
        <v>1</v>
      </c>
      <c r="F910" s="6">
        <v>1</v>
      </c>
      <c r="G910" s="7">
        <v>0.4706558287143707</v>
      </c>
      <c r="H910" s="7">
        <v>4.84513046875</v>
      </c>
      <c r="I910" s="7">
        <v>13.29410610640012</v>
      </c>
      <c r="J910" s="7">
        <v>6.021896706280929</v>
      </c>
      <c r="K910" s="7">
        <v>0.78770165012843</v>
      </c>
      <c r="L910" s="7">
        <v>0.9906393618070684</v>
      </c>
      <c r="M910" s="7">
        <v>0.3445062130399248</v>
      </c>
      <c r="N910" s="7">
        <v>0.2194812679096343</v>
      </c>
      <c r="O910" s="7">
        <v>0.0413190490268212</v>
      </c>
      <c r="P910" s="7">
        <v>9.614381121745224</v>
      </c>
      <c r="Q910" s="7">
        <v>0.064235959014939</v>
      </c>
      <c r="R910" s="7">
        <v>0.136696352032119</v>
      </c>
      <c r="S910" s="7">
        <v>0.1486724012999639</v>
      </c>
      <c r="T910" s="7">
        <v>0.361222229280583</v>
      </c>
    </row>
    <row x14ac:dyDescent="0.25" r="911" customHeight="1" ht="19.5">
      <c r="A911" s="2" t="s">
        <v>3223</v>
      </c>
      <c r="B911" s="2" t="s">
        <v>2314</v>
      </c>
      <c r="C911" s="2" t="s">
        <v>31</v>
      </c>
      <c r="D911" s="2" t="s">
        <v>840</v>
      </c>
      <c r="E911" s="6">
        <v>1</v>
      </c>
      <c r="F911" s="6">
        <v>1</v>
      </c>
      <c r="G911" s="7">
        <v>0.4721315801143646</v>
      </c>
      <c r="H911" s="7">
        <v>4.897079687500001</v>
      </c>
      <c r="I911" s="7">
        <v>13.24535346044628</v>
      </c>
      <c r="J911" s="7">
        <v>6.019782607543537</v>
      </c>
      <c r="K911" s="7">
        <v>0.7709437966135373</v>
      </c>
      <c r="L911" s="7">
        <v>0.9905191551638648</v>
      </c>
      <c r="M911" s="7">
        <v>0.3507679710937899</v>
      </c>
      <c r="N911" s="7">
        <v>0.2096745659003285</v>
      </c>
      <c r="O911" s="7">
        <v>0.0392019272648643</v>
      </c>
      <c r="P911" s="7">
        <v>9.714106099771511</v>
      </c>
      <c r="Q911" s="7">
        <v>0.0712178955889439</v>
      </c>
      <c r="R911" s="7">
        <v>0.1549119562758235</v>
      </c>
      <c r="S911" s="7">
        <v>0.1690265310382405</v>
      </c>
      <c r="T911" s="7">
        <v>0.4047781748019877</v>
      </c>
    </row>
    <row x14ac:dyDescent="0.25" r="912" customHeight="1" ht="19.5">
      <c r="A912" s="2" t="s">
        <v>3224</v>
      </c>
      <c r="B912" s="2" t="s">
        <v>2314</v>
      </c>
      <c r="C912" s="2" t="s">
        <v>31</v>
      </c>
      <c r="D912" s="2" t="s">
        <v>840</v>
      </c>
      <c r="E912" s="6">
        <v>1</v>
      </c>
      <c r="F912" s="6">
        <v>1</v>
      </c>
      <c r="G912" s="7">
        <v>0.464501142501831</v>
      </c>
      <c r="H912" s="7">
        <v>4.86591015625</v>
      </c>
      <c r="I912" s="7">
        <v>13.19660081449244</v>
      </c>
      <c r="J912" s="7">
        <v>5.959979047165982</v>
      </c>
      <c r="K912" s="7">
        <v>0.7680590019955288</v>
      </c>
      <c r="L912" s="7">
        <v>0.9903615731467346</v>
      </c>
      <c r="M912" s="7">
        <v>0.3511153288836725</v>
      </c>
      <c r="N912" s="7">
        <v>0.2060078066653303</v>
      </c>
      <c r="O912" s="7">
        <v>0.0398310227521923</v>
      </c>
      <c r="P912" s="7">
        <v>9.68454551844336</v>
      </c>
      <c r="Q912" s="7">
        <v>0.0720355008043589</v>
      </c>
      <c r="R912" s="7">
        <v>0.1539793061263019</v>
      </c>
      <c r="S912" s="7">
        <v>0.1692008560987029</v>
      </c>
      <c r="T912" s="7">
        <v>0.4068192040580594</v>
      </c>
    </row>
    <row x14ac:dyDescent="0.25" r="913" customHeight="1" ht="19.5">
      <c r="A913" s="2" t="s">
        <v>3225</v>
      </c>
      <c r="B913" s="2" t="s">
        <v>2314</v>
      </c>
      <c r="C913" s="2" t="s">
        <v>31</v>
      </c>
      <c r="D913" s="2" t="s">
        <v>840</v>
      </c>
      <c r="E913" s="6">
        <v>1</v>
      </c>
      <c r="F913" s="6">
        <v>1</v>
      </c>
      <c r="G913" s="7">
        <v>0.4593254923820495</v>
      </c>
      <c r="H913" s="7">
        <v>4.89361640625</v>
      </c>
      <c r="I913" s="7">
        <v>13.24535346044628</v>
      </c>
      <c r="J913" s="7">
        <v>6.019951438798747</v>
      </c>
      <c r="K913" s="7">
        <v>0.7721716197129815</v>
      </c>
      <c r="L913" s="7">
        <v>0.9905218612359088</v>
      </c>
      <c r="M913" s="7">
        <v>0.3505199032217292</v>
      </c>
      <c r="N913" s="7">
        <v>0.212225378176816</v>
      </c>
      <c r="O913" s="7">
        <v>0.0395728864412298</v>
      </c>
      <c r="P913" s="7">
        <v>9.691138034354111</v>
      </c>
      <c r="Q913" s="7">
        <v>0.0713164182117281</v>
      </c>
      <c r="R913" s="7">
        <v>0.154581634738955</v>
      </c>
      <c r="S913" s="7">
        <v>0.1692040911165936</v>
      </c>
      <c r="T913" s="7">
        <v>0.4050514830737383</v>
      </c>
    </row>
    <row x14ac:dyDescent="0.25" r="914" customHeight="1" ht="19.5">
      <c r="A914" s="2" t="s">
        <v>3226</v>
      </c>
      <c r="B914" s="2" t="s">
        <v>2314</v>
      </c>
      <c r="C914" s="2" t="s">
        <v>31</v>
      </c>
      <c r="D914" s="2" t="s">
        <v>840</v>
      </c>
      <c r="E914" s="6">
        <v>1</v>
      </c>
      <c r="F914" s="6">
        <v>1</v>
      </c>
      <c r="G914" s="7">
        <v>0.4555460512638092</v>
      </c>
      <c r="H914" s="7">
        <v>4.89361640625</v>
      </c>
      <c r="I914" s="7">
        <v>13.24535346044628</v>
      </c>
      <c r="J914" s="7">
        <v>6.019859825700655</v>
      </c>
      <c r="K914" s="7">
        <v>0.7715855139088597</v>
      </c>
      <c r="L914" s="7">
        <v>0.990501583085452</v>
      </c>
      <c r="M914" s="7">
        <v>0.3505199032217292</v>
      </c>
      <c r="N914" s="7">
        <v>0.2074722315163354</v>
      </c>
      <c r="O914" s="7">
        <v>0.0397856546482706</v>
      </c>
      <c r="P914" s="7">
        <v>9.699238079670945</v>
      </c>
      <c r="Q914" s="7">
        <v>0.0720587813246699</v>
      </c>
      <c r="R914" s="7">
        <v>0.1553558523918473</v>
      </c>
      <c r="S914" s="7">
        <v>0.1680859504489771</v>
      </c>
      <c r="T914" s="7">
        <v>0.4092678372796322</v>
      </c>
    </row>
    <row x14ac:dyDescent="0.25" r="915" customHeight="1" ht="19.5">
      <c r="A915" s="2" t="s">
        <v>3227</v>
      </c>
      <c r="B915" s="2" t="s">
        <v>2314</v>
      </c>
      <c r="C915" s="2" t="s">
        <v>31</v>
      </c>
      <c r="D915" s="2" t="s">
        <v>840</v>
      </c>
      <c r="E915" s="6">
        <v>1</v>
      </c>
      <c r="F915" s="6">
        <v>1</v>
      </c>
      <c r="G915" s="7">
        <v>0.4548645317554474</v>
      </c>
      <c r="H915" s="7">
        <v>4.8832265625</v>
      </c>
      <c r="I915" s="7">
        <v>13.21088013389153</v>
      </c>
      <c r="J915" s="7">
        <v>6.020264402494149</v>
      </c>
      <c r="K915" s="7">
        <v>0.7747545896493986</v>
      </c>
      <c r="L915" s="7">
        <v>0.9904802901141992</v>
      </c>
      <c r="M915" s="7">
        <v>0.3516035360805489</v>
      </c>
      <c r="N915" s="7">
        <v>0.2129261272627199</v>
      </c>
      <c r="O915" s="7">
        <v>0.0406419936287937</v>
      </c>
      <c r="P915" s="7">
        <v>9.645740691250683</v>
      </c>
      <c r="Q915" s="7">
        <v>0.0718861115218577</v>
      </c>
      <c r="R915" s="7">
        <v>0.1554777765974787</v>
      </c>
      <c r="S915" s="7">
        <v>0.1696384735085503</v>
      </c>
      <c r="T915" s="7">
        <v>0.4074202835320838</v>
      </c>
    </row>
    <row x14ac:dyDescent="0.25" r="916" customHeight="1" ht="19.5">
      <c r="A916" s="2" t="s">
        <v>3228</v>
      </c>
      <c r="B916" s="2" t="s">
        <v>2314</v>
      </c>
      <c r="C916" s="2" t="s">
        <v>31</v>
      </c>
      <c r="D916" s="2" t="s">
        <v>840</v>
      </c>
      <c r="E916" s="6">
        <v>1</v>
      </c>
      <c r="F916" s="6">
        <v>1</v>
      </c>
      <c r="G916" s="7">
        <v>0.452058732509613</v>
      </c>
      <c r="H916" s="7">
        <v>4.862446875000001</v>
      </c>
      <c r="I916" s="7">
        <v>13.19660081449244</v>
      </c>
      <c r="J916" s="7">
        <v>5.960167300046196</v>
      </c>
      <c r="K916" s="7">
        <v>0.7693490650260637</v>
      </c>
      <c r="L916" s="7">
        <v>0.9903636359051124</v>
      </c>
      <c r="M916" s="7">
        <v>0.3508654247350009</v>
      </c>
      <c r="N916" s="7">
        <v>0.2097048648107064</v>
      </c>
      <c r="O916" s="7">
        <v>0.0396621664535095</v>
      </c>
      <c r="P916" s="7">
        <v>9.69678920782415</v>
      </c>
      <c r="Q916" s="7">
        <v>0.072429141475671</v>
      </c>
      <c r="R916" s="7">
        <v>0.15549181758622</v>
      </c>
      <c r="S916" s="7">
        <v>0.1679362459028223</v>
      </c>
      <c r="T916" s="7">
        <v>0.4087511494205777</v>
      </c>
    </row>
    <row x14ac:dyDescent="0.25" r="917" customHeight="1" ht="19.5">
      <c r="A917" s="2" t="s">
        <v>3229</v>
      </c>
      <c r="B917" s="2" t="s">
        <v>2314</v>
      </c>
      <c r="C917" s="2" t="s">
        <v>31</v>
      </c>
      <c r="D917" s="2" t="s">
        <v>840</v>
      </c>
      <c r="E917" s="6">
        <v>1</v>
      </c>
      <c r="F917" s="6">
        <v>1</v>
      </c>
      <c r="G917" s="7">
        <v>0.4597994685173034</v>
      </c>
      <c r="H917" s="7">
        <v>4.89361640625</v>
      </c>
      <c r="I917" s="7">
        <v>13.24535346044628</v>
      </c>
      <c r="J917" s="7">
        <v>6.019951438798747</v>
      </c>
      <c r="K917" s="7">
        <v>0.7721716197129815</v>
      </c>
      <c r="L917" s="7">
        <v>0.9905218612359088</v>
      </c>
      <c r="M917" s="7">
        <v>0.3505199032217292</v>
      </c>
      <c r="N917" s="7">
        <v>0.2133127151104276</v>
      </c>
      <c r="O917" s="7">
        <v>0.0392710650880275</v>
      </c>
      <c r="P917" s="7">
        <v>9.712124992889413</v>
      </c>
      <c r="Q917" s="7">
        <v>0.0716820426190894</v>
      </c>
      <c r="R917" s="7">
        <v>0.1563167605828855</v>
      </c>
      <c r="S917" s="7">
        <v>0.1714382258119794</v>
      </c>
      <c r="T917" s="7">
        <v>0.4071280975779885</v>
      </c>
    </row>
    <row x14ac:dyDescent="0.25" r="918" customHeight="1" ht="19.5">
      <c r="A918" s="2" t="s">
        <v>3230</v>
      </c>
      <c r="B918" s="2" t="s">
        <v>2314</v>
      </c>
      <c r="C918" s="2" t="s">
        <v>31</v>
      </c>
      <c r="D918" s="2" t="s">
        <v>840</v>
      </c>
      <c r="E918" s="6">
        <v>1</v>
      </c>
      <c r="F918" s="6">
        <v>1</v>
      </c>
      <c r="G918" s="7">
        <v>0.4583892822265625</v>
      </c>
      <c r="H918" s="7">
        <v>4.8832265625</v>
      </c>
      <c r="I918" s="7">
        <v>13.21088013389153</v>
      </c>
      <c r="J918" s="7">
        <v>6.020264402494149</v>
      </c>
      <c r="K918" s="7">
        <v>0.7747545896493986</v>
      </c>
      <c r="L918" s="7">
        <v>0.9904802901141992</v>
      </c>
      <c r="M918" s="7">
        <v>0.3516035360805489</v>
      </c>
      <c r="N918" s="7">
        <v>0.2112997851351756</v>
      </c>
      <c r="O918" s="7">
        <v>0.0392176857680973</v>
      </c>
      <c r="P918" s="7">
        <v>9.7192136098707</v>
      </c>
      <c r="Q918" s="7">
        <v>0.0722977898089912</v>
      </c>
      <c r="R918" s="7">
        <v>0.1550759127463786</v>
      </c>
      <c r="S918" s="7">
        <v>0.1682885629861942</v>
      </c>
      <c r="T918" s="7">
        <v>0.4097535031334376</v>
      </c>
    </row>
    <row x14ac:dyDescent="0.25" r="919" customHeight="1" ht="19.5">
      <c r="A919" s="2" t="s">
        <v>3231</v>
      </c>
      <c r="B919" s="2" t="s">
        <v>2314</v>
      </c>
      <c r="C919" s="2" t="s">
        <v>31</v>
      </c>
      <c r="D919" s="2" t="s">
        <v>840</v>
      </c>
      <c r="E919" s="6">
        <v>1</v>
      </c>
      <c r="F919" s="6">
        <v>1</v>
      </c>
      <c r="G919" s="7">
        <v>0.4610205292701721</v>
      </c>
      <c r="H919" s="7">
        <v>4.862446875000001</v>
      </c>
      <c r="I919" s="7">
        <v>13.19660081449244</v>
      </c>
      <c r="J919" s="7">
        <v>5.960167300046196</v>
      </c>
      <c r="K919" s="7">
        <v>0.7693490650260637</v>
      </c>
      <c r="L919" s="7">
        <v>0.9903636359051124</v>
      </c>
      <c r="M919" s="7">
        <v>0.3508654247350009</v>
      </c>
      <c r="N919" s="7">
        <v>0.2116904779372741</v>
      </c>
      <c r="O919" s="7">
        <v>0.039200164428352</v>
      </c>
      <c r="P919" s="7">
        <v>9.713948167377886</v>
      </c>
      <c r="Q919" s="7">
        <v>0.0716343530831472</v>
      </c>
      <c r="R919" s="7">
        <v>0.1556161683704944</v>
      </c>
      <c r="S919" s="7">
        <v>0.1692961801048331</v>
      </c>
      <c r="T919" s="7">
        <v>0.4042657908705339</v>
      </c>
    </row>
    <row x14ac:dyDescent="0.25" r="920" customHeight="1" ht="19.5">
      <c r="A920" s="2" t="s">
        <v>3232</v>
      </c>
      <c r="B920" s="2" t="s">
        <v>2314</v>
      </c>
      <c r="C920" s="2" t="s">
        <v>31</v>
      </c>
      <c r="D920" s="2" t="s">
        <v>840</v>
      </c>
      <c r="E920" s="6">
        <v>1</v>
      </c>
      <c r="F920" s="6">
        <v>1</v>
      </c>
      <c r="G920" s="7">
        <v>0.4620623588562011</v>
      </c>
      <c r="H920" s="7">
        <v>4.858983593750001</v>
      </c>
      <c r="I920" s="7">
        <v>13.24535346044628</v>
      </c>
      <c r="J920" s="7">
        <v>5.960309610570246</v>
      </c>
      <c r="K920" s="7">
        <v>0.7704251454826482</v>
      </c>
      <c r="L920" s="7">
        <v>0.9903728152221972</v>
      </c>
      <c r="M920" s="7">
        <v>0.3480392245011224</v>
      </c>
      <c r="N920" s="7">
        <v>0.205663134178452</v>
      </c>
      <c r="O920" s="7">
        <v>0.0392733915160438</v>
      </c>
      <c r="P920" s="7">
        <v>9.720310202807042</v>
      </c>
      <c r="Q920" s="7">
        <v>0.0720892253213576</v>
      </c>
      <c r="R920" s="7">
        <v>0.1559936743482328</v>
      </c>
      <c r="S920" s="7">
        <v>0.1697001818441632</v>
      </c>
      <c r="T920" s="7">
        <v>0.4065430783404568</v>
      </c>
    </row>
    <row x14ac:dyDescent="0.25" r="921" customHeight="1" ht="19.5">
      <c r="A921" s="2" t="s">
        <v>3233</v>
      </c>
      <c r="B921" s="2" t="s">
        <v>2314</v>
      </c>
      <c r="C921" s="2" t="s">
        <v>31</v>
      </c>
      <c r="D921" s="2" t="s">
        <v>840</v>
      </c>
      <c r="E921" s="6">
        <v>1</v>
      </c>
      <c r="F921" s="6">
        <v>1</v>
      </c>
      <c r="G921" s="7">
        <v>0.458949327468872</v>
      </c>
      <c r="H921" s="7">
        <v>4.8832265625</v>
      </c>
      <c r="I921" s="7">
        <v>13.29410610640012</v>
      </c>
      <c r="J921" s="7">
        <v>6.020345105600454</v>
      </c>
      <c r="K921" s="7">
        <v>0.7754223470229546</v>
      </c>
      <c r="L921" s="7">
        <v>0.9905489019984698</v>
      </c>
      <c r="M921" s="7">
        <v>0.3472149824062144</v>
      </c>
      <c r="N921" s="7">
        <v>0.2126490481408118</v>
      </c>
      <c r="O921" s="7">
        <v>0.0391442510083097</v>
      </c>
      <c r="P921" s="7">
        <v>9.718799560212071</v>
      </c>
      <c r="Q921" s="7">
        <v>0.0717282252053984</v>
      </c>
      <c r="R921" s="7">
        <v>0.1549726299327596</v>
      </c>
      <c r="S921" s="7">
        <v>0.1687633912658113</v>
      </c>
      <c r="T921" s="7">
        <v>0.4065254502123244</v>
      </c>
    </row>
    <row x14ac:dyDescent="0.25" r="922" customHeight="1" ht="19.5">
      <c r="A922" s="2" t="s">
        <v>3234</v>
      </c>
      <c r="B922" s="2" t="s">
        <v>2314</v>
      </c>
      <c r="C922" s="2" t="s">
        <v>31</v>
      </c>
      <c r="D922" s="2" t="s">
        <v>840</v>
      </c>
      <c r="E922" s="6">
        <v>1</v>
      </c>
      <c r="F922" s="6">
        <v>1</v>
      </c>
      <c r="G922" s="7">
        <v>0.4589603245258331</v>
      </c>
      <c r="H922" s="7">
        <v>4.862446875000001</v>
      </c>
      <c r="I922" s="7">
        <v>13.19660081449244</v>
      </c>
      <c r="J922" s="7">
        <v>5.960167300046196</v>
      </c>
      <c r="K922" s="7">
        <v>0.7693490650260637</v>
      </c>
      <c r="L922" s="7">
        <v>0.9903636359051124</v>
      </c>
      <c r="M922" s="7">
        <v>0.3508654247350009</v>
      </c>
      <c r="N922" s="7">
        <v>0.209757203963418</v>
      </c>
      <c r="O922" s="7">
        <v>0.0394642453590757</v>
      </c>
      <c r="P922" s="7">
        <v>9.701552618825684</v>
      </c>
      <c r="Q922" s="7">
        <v>0.072206353277371</v>
      </c>
      <c r="R922" s="7">
        <v>0.1569948718030691</v>
      </c>
      <c r="S922" s="7">
        <v>0.1712270513651472</v>
      </c>
      <c r="T922" s="7">
        <v>0.4074938525608176</v>
      </c>
    </row>
    <row x14ac:dyDescent="0.25" r="923" customHeight="1" ht="19.5">
      <c r="A923" s="2" t="s">
        <v>3235</v>
      </c>
      <c r="B923" s="2" t="s">
        <v>2314</v>
      </c>
      <c r="C923" s="2" t="s">
        <v>31</v>
      </c>
      <c r="D923" s="2" t="s">
        <v>840</v>
      </c>
      <c r="E923" s="6">
        <v>1</v>
      </c>
      <c r="F923" s="6">
        <v>1</v>
      </c>
      <c r="G923" s="7">
        <v>0.462900161743164</v>
      </c>
      <c r="H923" s="7">
        <v>4.88668984375</v>
      </c>
      <c r="I923" s="7">
        <v>13.21088013389153</v>
      </c>
      <c r="J923" s="7">
        <v>6.019766296772468</v>
      </c>
      <c r="K923" s="7">
        <v>0.7718762657776586</v>
      </c>
      <c r="L923" s="7">
        <v>0.99052274241476</v>
      </c>
      <c r="M923" s="7">
        <v>0.351852900290535</v>
      </c>
      <c r="N923" s="7">
        <v>0.2095613589267039</v>
      </c>
      <c r="O923" s="7">
        <v>0.039394862499785</v>
      </c>
      <c r="P923" s="7">
        <v>9.710147971259271</v>
      </c>
      <c r="Q923" s="7">
        <v>0.0725538465914058</v>
      </c>
      <c r="R923" s="7">
        <v>0.1572239878209413</v>
      </c>
      <c r="S923" s="7">
        <v>0.1694979224306275</v>
      </c>
      <c r="T923" s="7">
        <v>0.4114963599736506</v>
      </c>
    </row>
    <row x14ac:dyDescent="0.25" r="924" customHeight="1" ht="19.5">
      <c r="A924" s="2" t="s">
        <v>3236</v>
      </c>
      <c r="B924" s="2" t="s">
        <v>2314</v>
      </c>
      <c r="C924" s="2" t="s">
        <v>31</v>
      </c>
      <c r="D924" s="2" t="s">
        <v>840</v>
      </c>
      <c r="E924" s="6">
        <v>1</v>
      </c>
      <c r="F924" s="6">
        <v>1</v>
      </c>
      <c r="G924" s="7">
        <v>0.4631406962871551</v>
      </c>
      <c r="H924" s="7">
        <v>4.862446875000001</v>
      </c>
      <c r="I924" s="7">
        <v>13.19660081449244</v>
      </c>
      <c r="J924" s="7">
        <v>5.960167300046196</v>
      </c>
      <c r="K924" s="7">
        <v>0.7693490650260637</v>
      </c>
      <c r="L924" s="7">
        <v>0.9903636359051124</v>
      </c>
      <c r="M924" s="7">
        <v>0.3508654247350009</v>
      </c>
      <c r="N924" s="7">
        <v>0.2127865185903704</v>
      </c>
      <c r="O924" s="7">
        <v>0.0397343808052635</v>
      </c>
      <c r="P924" s="7">
        <v>9.69485395439194</v>
      </c>
      <c r="Q924" s="7">
        <v>0.0725907557765871</v>
      </c>
      <c r="R924" s="7">
        <v>0.1578070865493222</v>
      </c>
      <c r="S924" s="7">
        <v>0.1696702977788796</v>
      </c>
      <c r="T924" s="7">
        <v>0.4096632136797466</v>
      </c>
    </row>
    <row x14ac:dyDescent="0.25" r="925" customHeight="1" ht="19.5">
      <c r="A925" s="2" t="s">
        <v>3237</v>
      </c>
      <c r="B925" s="2" t="s">
        <v>2314</v>
      </c>
      <c r="C925" s="2" t="s">
        <v>31</v>
      </c>
      <c r="D925" s="2" t="s">
        <v>840</v>
      </c>
      <c r="E925" s="6">
        <v>1</v>
      </c>
      <c r="F925" s="6">
        <v>1</v>
      </c>
      <c r="G925" s="7">
        <v>0.4563902616500854</v>
      </c>
      <c r="H925" s="7">
        <v>4.862446875000001</v>
      </c>
      <c r="I925" s="7">
        <v>13.19660081449244</v>
      </c>
      <c r="J925" s="7">
        <v>5.960167300046196</v>
      </c>
      <c r="K925" s="7">
        <v>0.7693490650260637</v>
      </c>
      <c r="L925" s="7">
        <v>0.9903636359051124</v>
      </c>
      <c r="M925" s="7">
        <v>0.3508654247350009</v>
      </c>
      <c r="N925" s="7">
        <v>0.2113154056261733</v>
      </c>
      <c r="O925" s="7">
        <v>0.0399315471322701</v>
      </c>
      <c r="P925" s="7">
        <v>9.681912958008398</v>
      </c>
      <c r="Q925" s="7">
        <v>0.0718031119637383</v>
      </c>
      <c r="R925" s="7">
        <v>0.1557422633114563</v>
      </c>
      <c r="S925" s="7">
        <v>0.1699438139889898</v>
      </c>
      <c r="T925" s="7">
        <v>0.4052181752977288</v>
      </c>
    </row>
    <row x14ac:dyDescent="0.25" r="926" customHeight="1" ht="19.5">
      <c r="A926" s="2" t="s">
        <v>3238</v>
      </c>
      <c r="B926" s="2" t="s">
        <v>2314</v>
      </c>
      <c r="C926" s="2" t="s">
        <v>31</v>
      </c>
      <c r="D926" s="2" t="s">
        <v>840</v>
      </c>
      <c r="E926" s="6">
        <v>1</v>
      </c>
      <c r="F926" s="6">
        <v>1</v>
      </c>
      <c r="G926" s="7">
        <v>0.473540723323822</v>
      </c>
      <c r="H926" s="7">
        <v>4.8555203125</v>
      </c>
      <c r="I926" s="7">
        <v>13.16212748793769</v>
      </c>
      <c r="J926" s="7">
        <v>5.960427650939888</v>
      </c>
      <c r="K926" s="7">
        <v>0.7713189513604679</v>
      </c>
      <c r="L926" s="7">
        <v>0.990337839699887</v>
      </c>
      <c r="M926" s="7">
        <v>0.3522033262758549</v>
      </c>
      <c r="N926" s="7">
        <v>0.2158949303681847</v>
      </c>
      <c r="O926" s="7">
        <v>0.0395166438566903</v>
      </c>
      <c r="P926" s="7">
        <v>9.693171933793996</v>
      </c>
      <c r="Q926" s="7">
        <v>0.0724191052770219</v>
      </c>
      <c r="R926" s="7">
        <v>0.1559570968406676</v>
      </c>
      <c r="S926" s="7">
        <v>0.1718016305613591</v>
      </c>
      <c r="T926" s="7">
        <v>0.4081123245966775</v>
      </c>
    </row>
    <row x14ac:dyDescent="0.25" r="927" customHeight="1" ht="19.5">
      <c r="A927" s="2" t="s">
        <v>3239</v>
      </c>
      <c r="B927" s="2" t="s">
        <v>2314</v>
      </c>
      <c r="C927" s="2" t="s">
        <v>31</v>
      </c>
      <c r="D927" s="2" t="s">
        <v>840</v>
      </c>
      <c r="E927" s="6">
        <v>1</v>
      </c>
      <c r="F927" s="6">
        <v>1</v>
      </c>
      <c r="G927" s="7">
        <v>0.4572438299655914</v>
      </c>
      <c r="H927" s="7">
        <v>4.8555203125</v>
      </c>
      <c r="I927" s="7">
        <v>13.16212748793769</v>
      </c>
      <c r="J927" s="7">
        <v>5.960427650939888</v>
      </c>
      <c r="K927" s="7">
        <v>0.7713189513604679</v>
      </c>
      <c r="L927" s="7">
        <v>0.990337839699887</v>
      </c>
      <c r="M927" s="7">
        <v>0.3522033262758549</v>
      </c>
      <c r="N927" s="7">
        <v>0.2111800303897013</v>
      </c>
      <c r="O927" s="7">
        <v>0.0388461497806224</v>
      </c>
      <c r="P927" s="7">
        <v>9.720832139734089</v>
      </c>
      <c r="Q927" s="7">
        <v>0.0718463847806411</v>
      </c>
      <c r="R927" s="7">
        <v>0.1551722241457857</v>
      </c>
      <c r="S927" s="7">
        <v>0.1684154700398829</v>
      </c>
      <c r="T927" s="7">
        <v>0.4048848020771985</v>
      </c>
    </row>
    <row x14ac:dyDescent="0.25" r="928" customHeight="1" ht="19.5">
      <c r="A928" s="2" t="s">
        <v>3240</v>
      </c>
      <c r="B928" s="2" t="s">
        <v>2314</v>
      </c>
      <c r="C928" s="2" t="s">
        <v>31</v>
      </c>
      <c r="D928" s="2" t="s">
        <v>840</v>
      </c>
      <c r="E928" s="6">
        <v>1</v>
      </c>
      <c r="F928" s="6">
        <v>1</v>
      </c>
      <c r="G928" s="7">
        <v>0.4788677394390106</v>
      </c>
      <c r="H928" s="7">
        <v>4.88668984375</v>
      </c>
      <c r="I928" s="7">
        <v>13.29410610640012</v>
      </c>
      <c r="J928" s="7">
        <v>6.020202222365503</v>
      </c>
      <c r="K928" s="7">
        <v>0.7742405711998417</v>
      </c>
      <c r="L928" s="7">
        <v>0.9905413963656348</v>
      </c>
      <c r="M928" s="7">
        <v>0.3474612341667861</v>
      </c>
      <c r="N928" s="7">
        <v>0.2173883518357177</v>
      </c>
      <c r="O928" s="7">
        <v>0.0392402671244956</v>
      </c>
      <c r="P928" s="7">
        <v>9.729454840597684</v>
      </c>
      <c r="Q928" s="7">
        <v>0.0714583083509063</v>
      </c>
      <c r="R928" s="7">
        <v>0.1556072111796663</v>
      </c>
      <c r="S928" s="7">
        <v>0.1695195199167175</v>
      </c>
      <c r="T928" s="7">
        <v>0.4052829058377692</v>
      </c>
    </row>
    <row x14ac:dyDescent="0.25" r="929" customHeight="1" ht="19.5">
      <c r="A929" s="2" t="s">
        <v>3241</v>
      </c>
      <c r="B929" s="2" t="s">
        <v>2314</v>
      </c>
      <c r="C929" s="2" t="s">
        <v>31</v>
      </c>
      <c r="D929" s="2" t="s">
        <v>840</v>
      </c>
      <c r="E929" s="6">
        <v>1</v>
      </c>
      <c r="F929" s="6">
        <v>1</v>
      </c>
      <c r="G929" s="7">
        <v>0.4682044386863708</v>
      </c>
      <c r="H929" s="7">
        <v>4.83127734375</v>
      </c>
      <c r="I929" s="7">
        <v>13.21088013389153</v>
      </c>
      <c r="J929" s="7">
        <v>5.960966166196799</v>
      </c>
      <c r="K929" s="7">
        <v>0.7768843868845825</v>
      </c>
      <c r="L929" s="7">
        <v>0.9904261567769332</v>
      </c>
      <c r="M929" s="7">
        <v>0.3478630729307558</v>
      </c>
      <c r="N929" s="7">
        <v>0.2154906107641196</v>
      </c>
      <c r="O929" s="7">
        <v>0.0403859075410698</v>
      </c>
      <c r="P929" s="7">
        <v>9.662509155456746</v>
      </c>
      <c r="Q929" s="7">
        <v>0.0709691271845846</v>
      </c>
      <c r="R929" s="7">
        <v>0.1527133048252881</v>
      </c>
      <c r="S929" s="7">
        <v>0.1656102661519012</v>
      </c>
      <c r="T929" s="7">
        <v>0.3979442312693544</v>
      </c>
    </row>
    <row x14ac:dyDescent="0.25" r="930" customHeight="1" ht="19.5">
      <c r="A930" s="2" t="s">
        <v>3242</v>
      </c>
      <c r="B930" s="2" t="s">
        <v>2314</v>
      </c>
      <c r="C930" s="2" t="s">
        <v>31</v>
      </c>
      <c r="D930" s="2" t="s">
        <v>840</v>
      </c>
      <c r="E930" s="6">
        <v>1</v>
      </c>
      <c r="F930" s="6">
        <v>1</v>
      </c>
      <c r="G930" s="7">
        <v>0.4414206445217132</v>
      </c>
      <c r="H930" s="7">
        <v>5.31613671875</v>
      </c>
      <c r="I930" s="7">
        <v>13.61273067703537</v>
      </c>
      <c r="J930" s="7">
        <v>6.138427750891415</v>
      </c>
      <c r="K930" s="7">
        <v>0.8248687596501967</v>
      </c>
      <c r="L930" s="7">
        <v>0.9895711971099604</v>
      </c>
      <c r="M930" s="7">
        <v>0.3605084934523752</v>
      </c>
      <c r="N930" s="7">
        <v>0.2763604168450296</v>
      </c>
      <c r="O930" s="7">
        <v>0.045626508364693</v>
      </c>
      <c r="P930" s="7">
        <v>9.408602174149104</v>
      </c>
      <c r="Q930" s="7">
        <v>0.0354350242881821</v>
      </c>
      <c r="R930" s="7">
        <v>0.0923681547966116</v>
      </c>
      <c r="S930" s="7">
        <v>0.1041785971345027</v>
      </c>
      <c r="T930" s="7">
        <v>0.2186349846253306</v>
      </c>
    </row>
    <row x14ac:dyDescent="0.25" r="931" customHeight="1" ht="19.5">
      <c r="A931" s="2" t="s">
        <v>3243</v>
      </c>
      <c r="B931" s="2" t="s">
        <v>2314</v>
      </c>
      <c r="C931" s="2" t="s">
        <v>31</v>
      </c>
      <c r="D931" s="2" t="s">
        <v>840</v>
      </c>
      <c r="E931" s="6">
        <v>1</v>
      </c>
      <c r="F931" s="6">
        <v>1</v>
      </c>
      <c r="G931" s="7">
        <v>0.3538021445274353</v>
      </c>
      <c r="H931" s="7">
        <v>7.421811718750001</v>
      </c>
      <c r="I931" s="7">
        <v>19.29677035863012</v>
      </c>
      <c r="J931" s="7">
        <v>9.116288712373104</v>
      </c>
      <c r="K931" s="7">
        <v>0.75621659387125</v>
      </c>
      <c r="L931" s="7">
        <v>0.9958657305698776</v>
      </c>
      <c r="M931" s="7">
        <v>0.2504670147776109</v>
      </c>
      <c r="N931" s="7">
        <v>0.3782688604290775</v>
      </c>
      <c r="O931" s="7">
        <v>0.0647152627457906</v>
      </c>
      <c r="P931" s="7">
        <v>8.533514132278311</v>
      </c>
      <c r="Q931" s="7">
        <v>0.0055111561231822</v>
      </c>
      <c r="R931" s="7">
        <v>0.0217300730895156</v>
      </c>
      <c r="S931" s="7">
        <v>0.0375583660962679</v>
      </c>
      <c r="T931" s="7">
        <v>0.0474726446969964</v>
      </c>
    </row>
    <row x14ac:dyDescent="0.25" r="932" customHeight="1" ht="19.5">
      <c r="A932" s="2" t="s">
        <v>3244</v>
      </c>
      <c r="B932" s="2" t="s">
        <v>2314</v>
      </c>
      <c r="C932" s="2" t="s">
        <v>31</v>
      </c>
      <c r="D932" s="2" t="s">
        <v>840</v>
      </c>
      <c r="E932" s="6">
        <v>1</v>
      </c>
      <c r="F932" s="6">
        <v>1</v>
      </c>
      <c r="G932" s="7">
        <v>0.4968934655189514</v>
      </c>
      <c r="H932" s="7">
        <v>7.67809453125</v>
      </c>
      <c r="I932" s="7">
        <v>19.49769563020204</v>
      </c>
      <c r="J932" s="7">
        <v>9.117251406764352</v>
      </c>
      <c r="K932" s="7">
        <v>0.8232820654322643</v>
      </c>
      <c r="L932" s="7">
        <v>0.9954691957211582</v>
      </c>
      <c r="M932" s="7">
        <v>0.2538029967823897</v>
      </c>
      <c r="N932" s="7">
        <v>0.2555588434652737</v>
      </c>
      <c r="O932" s="7">
        <v>0.0468252133088955</v>
      </c>
      <c r="P932" s="7">
        <v>9.32249307801269</v>
      </c>
      <c r="Q932" s="7">
        <v>0.0155014755994372</v>
      </c>
      <c r="R932" s="7">
        <v>0.042741533230652</v>
      </c>
      <c r="S932" s="7">
        <v>0.0608052083105782</v>
      </c>
      <c r="T932" s="7">
        <v>0.1381393079196903</v>
      </c>
    </row>
    <row x14ac:dyDescent="0.25" r="933" customHeight="1" ht="19.5">
      <c r="A933" s="2" t="s">
        <v>3245</v>
      </c>
      <c r="B933" s="2" t="s">
        <v>2314</v>
      </c>
      <c r="C933" s="2" t="s">
        <v>31</v>
      </c>
      <c r="D933" s="2" t="s">
        <v>840</v>
      </c>
      <c r="E933" s="6">
        <v>1</v>
      </c>
      <c r="F933" s="6">
        <v>1</v>
      </c>
      <c r="G933" s="7">
        <v>0.5497843623161316</v>
      </c>
      <c r="H933" s="7">
        <v>7.4322015625</v>
      </c>
      <c r="I933" s="7">
        <v>19.43466366484911</v>
      </c>
      <c r="J933" s="7">
        <v>9.11670305213228</v>
      </c>
      <c r="K933" s="7">
        <v>0.7612994609176826</v>
      </c>
      <c r="L933" s="7">
        <v>0.995875328278647</v>
      </c>
      <c r="M933" s="7">
        <v>0.2472710568211864</v>
      </c>
      <c r="N933" s="7">
        <v>0.2199395515533627</v>
      </c>
      <c r="O933" s="7">
        <v>0.0463104792137691</v>
      </c>
      <c r="P933" s="7">
        <v>9.340689609569289</v>
      </c>
      <c r="Q933" s="7">
        <v>0.0328414734651608</v>
      </c>
      <c r="R933" s="7">
        <v>0.0724728155546991</v>
      </c>
      <c r="S933" s="7">
        <v>0.0894892449394698</v>
      </c>
      <c r="T933" s="7">
        <v>0.2832897709625864</v>
      </c>
    </row>
    <row x14ac:dyDescent="0.25" r="934" customHeight="1" ht="19.5">
      <c r="A934" s="2" t="s">
        <v>3246</v>
      </c>
      <c r="B934" s="2" t="s">
        <v>2314</v>
      </c>
      <c r="C934" s="2" t="s">
        <v>31</v>
      </c>
      <c r="D934" s="2" t="s">
        <v>840</v>
      </c>
      <c r="E934" s="6">
        <v>1</v>
      </c>
      <c r="F934" s="6">
        <v>1</v>
      </c>
      <c r="G934" s="7">
        <v>0.5685428380966187</v>
      </c>
      <c r="H934" s="7">
        <v>7.5568796875</v>
      </c>
      <c r="I934" s="7">
        <v>19.96849282645537</v>
      </c>
      <c r="J934" s="7">
        <v>9.415061969013516</v>
      </c>
      <c r="K934" s="7">
        <v>0.7693807974576805</v>
      </c>
      <c r="L934" s="7">
        <v>0.9961510238612772</v>
      </c>
      <c r="M934" s="7">
        <v>0.2381561487689136</v>
      </c>
      <c r="N934" s="7">
        <v>0.1891152194763846</v>
      </c>
      <c r="O934" s="7">
        <v>0.0420870612034074</v>
      </c>
      <c r="P934" s="7">
        <v>9.59950729240914</v>
      </c>
      <c r="Q934" s="7">
        <v>0.0512065168780481</v>
      </c>
      <c r="R934" s="7">
        <v>0.1096083843889158</v>
      </c>
      <c r="S934" s="7">
        <v>0.1292025429401928</v>
      </c>
      <c r="T934" s="7">
        <v>0.4491159961946557</v>
      </c>
    </row>
    <row x14ac:dyDescent="0.25" r="935" customHeight="1" ht="19.5">
      <c r="A935" s="2" t="s">
        <v>3247</v>
      </c>
      <c r="B935" s="2" t="s">
        <v>2314</v>
      </c>
      <c r="C935" s="2" t="s">
        <v>31</v>
      </c>
      <c r="D935" s="2" t="s">
        <v>840</v>
      </c>
      <c r="E935" s="6">
        <v>1</v>
      </c>
      <c r="F935" s="6">
        <v>1</v>
      </c>
      <c r="G935" s="7">
        <v>0.5603428483009338</v>
      </c>
      <c r="H935" s="7">
        <v>7.57419609375</v>
      </c>
      <c r="I935" s="7">
        <v>20.13494477147255</v>
      </c>
      <c r="J935" s="7">
        <v>9.593157949404262</v>
      </c>
      <c r="K935" s="7">
        <v>0.760037318520186</v>
      </c>
      <c r="L935" s="7">
        <v>0.9963034571096168</v>
      </c>
      <c r="M935" s="7">
        <v>0.2347715802948143</v>
      </c>
      <c r="N935" s="7">
        <v>0.1869474836613539</v>
      </c>
      <c r="O935" s="7">
        <v>0.0406862049283619</v>
      </c>
      <c r="P935" s="7">
        <v>9.704038414597472</v>
      </c>
      <c r="Q935" s="7">
        <v>0.0663486660576362</v>
      </c>
      <c r="R935" s="7">
        <v>0.1410231848661515</v>
      </c>
      <c r="S935" s="7">
        <v>0.1652031746808009</v>
      </c>
      <c r="T935" s="7">
        <v>0.5832564101866512</v>
      </c>
    </row>
    <row x14ac:dyDescent="0.25" r="936" customHeight="1" ht="19.5">
      <c r="A936" s="2" t="s">
        <v>3248</v>
      </c>
      <c r="B936" s="2" t="s">
        <v>2314</v>
      </c>
      <c r="C936" s="2" t="s">
        <v>31</v>
      </c>
      <c r="D936" s="2" t="s">
        <v>840</v>
      </c>
      <c r="E936" s="6">
        <v>1</v>
      </c>
      <c r="F936" s="6">
        <v>1</v>
      </c>
      <c r="G936" s="7">
        <v>0.5559784173965454</v>
      </c>
      <c r="H936" s="7">
        <v>7.757750000000001</v>
      </c>
      <c r="I936" s="7">
        <v>20.18369741742638</v>
      </c>
      <c r="J936" s="7">
        <v>9.652678869920564</v>
      </c>
      <c r="K936" s="7">
        <v>0.7601802880253263</v>
      </c>
      <c r="L936" s="7">
        <v>0.996273224295495</v>
      </c>
      <c r="M936" s="7">
        <v>0.2393008219255452</v>
      </c>
      <c r="N936" s="7">
        <v>0.1775361696056285</v>
      </c>
      <c r="O936" s="7">
        <v>0.0414796901853159</v>
      </c>
      <c r="P936" s="7">
        <v>9.61969994294083</v>
      </c>
      <c r="Q936" s="7">
        <v>0.0709300509291716</v>
      </c>
      <c r="R936" s="7">
        <v>0.1546075792057213</v>
      </c>
      <c r="S936" s="7">
        <v>0.1876400443887624</v>
      </c>
      <c r="T936" s="7">
        <v>0.6386410521140635</v>
      </c>
    </row>
    <row x14ac:dyDescent="0.25" r="937" customHeight="1" ht="19.5">
      <c r="A937" s="2" t="s">
        <v>3249</v>
      </c>
      <c r="B937" s="2" t="s">
        <v>2314</v>
      </c>
      <c r="C937" s="2" t="s">
        <v>31</v>
      </c>
      <c r="D937" s="2" t="s">
        <v>840</v>
      </c>
      <c r="E937" s="6">
        <v>1</v>
      </c>
      <c r="F937" s="6">
        <v>1</v>
      </c>
      <c r="G937" s="7">
        <v>0.5592601895332336</v>
      </c>
      <c r="H937" s="7">
        <v>7.71272734375</v>
      </c>
      <c r="I937" s="7">
        <v>20.14922409087164</v>
      </c>
      <c r="J937" s="7">
        <v>9.593161669326069</v>
      </c>
      <c r="K937" s="7">
        <v>0.7602651267464705</v>
      </c>
      <c r="L937" s="7">
        <v>0.9962434651290528</v>
      </c>
      <c r="M937" s="7">
        <v>0.238726806733066</v>
      </c>
      <c r="N937" s="7">
        <v>0.1826589367691166</v>
      </c>
      <c r="O937" s="7">
        <v>0.0405628706649854</v>
      </c>
      <c r="P937" s="7">
        <v>9.677550667206566</v>
      </c>
      <c r="Q937" s="7">
        <v>0.0718761570426461</v>
      </c>
      <c r="R937" s="7">
        <v>0.1557410752587991</v>
      </c>
      <c r="S937" s="7">
        <v>0.1846668145621002</v>
      </c>
      <c r="T937" s="7">
        <v>0.6434037794116843</v>
      </c>
    </row>
    <row x14ac:dyDescent="0.25" r="938" customHeight="1" ht="19.5">
      <c r="A938" s="2" t="s">
        <v>3250</v>
      </c>
      <c r="B938" s="2" t="s">
        <v>2314</v>
      </c>
      <c r="C938" s="2" t="s">
        <v>31</v>
      </c>
      <c r="D938" s="2" t="s">
        <v>840</v>
      </c>
      <c r="E938" s="6">
        <v>1</v>
      </c>
      <c r="F938" s="6">
        <v>1</v>
      </c>
      <c r="G938" s="7">
        <v>0.555591344833374</v>
      </c>
      <c r="H938" s="7">
        <v>7.716190625</v>
      </c>
      <c r="I938" s="7">
        <v>20.1004714449178</v>
      </c>
      <c r="J938" s="7">
        <v>9.593422196108776</v>
      </c>
      <c r="K938" s="7">
        <v>0.765190432769836</v>
      </c>
      <c r="L938" s="7">
        <v>0.9962339257019408</v>
      </c>
      <c r="M938" s="7">
        <v>0.2399939671919506</v>
      </c>
      <c r="N938" s="7">
        <v>0.1820568644073351</v>
      </c>
      <c r="O938" s="7">
        <v>0.039786786930714</v>
      </c>
      <c r="P938" s="7">
        <v>9.716191293595646</v>
      </c>
      <c r="Q938" s="7">
        <v>0.0721213251919317</v>
      </c>
      <c r="R938" s="7">
        <v>0.1581200730346011</v>
      </c>
      <c r="S938" s="7">
        <v>0.1926172047803601</v>
      </c>
      <c r="T938" s="7">
        <v>0.6458883129818874</v>
      </c>
    </row>
    <row x14ac:dyDescent="0.25" r="939" customHeight="1" ht="19.5">
      <c r="A939" s="2" t="s">
        <v>3251</v>
      </c>
      <c r="B939" s="2" t="s">
        <v>2314</v>
      </c>
      <c r="C939" s="2" t="s">
        <v>31</v>
      </c>
      <c r="D939" s="2" t="s">
        <v>840</v>
      </c>
      <c r="E939" s="6">
        <v>1</v>
      </c>
      <c r="F939" s="6">
        <v>1</v>
      </c>
      <c r="G939" s="7">
        <v>0.5587051510810852</v>
      </c>
      <c r="H939" s="7">
        <v>7.709264062500001</v>
      </c>
      <c r="I939" s="7">
        <v>20.23245006338023</v>
      </c>
      <c r="J939" s="7">
        <v>9.652727467767315</v>
      </c>
      <c r="K939" s="7">
        <v>0.7611548182939456</v>
      </c>
      <c r="L939" s="7">
        <v>0.996285960542634</v>
      </c>
      <c r="M939" s="7">
        <v>0.2366605292168815</v>
      </c>
      <c r="N939" s="7">
        <v>0.1829663181406026</v>
      </c>
      <c r="O939" s="7">
        <v>0.0411526280475637</v>
      </c>
      <c r="P939" s="7">
        <v>9.646839244626076</v>
      </c>
      <c r="Q939" s="7">
        <v>0.0721324437201476</v>
      </c>
      <c r="R939" s="7">
        <v>0.1565196402898991</v>
      </c>
      <c r="S939" s="7">
        <v>0.1870834540034511</v>
      </c>
      <c r="T939" s="7">
        <v>0.6454080044475865</v>
      </c>
    </row>
    <row x14ac:dyDescent="0.25" r="940" customHeight="1" ht="19.5">
      <c r="A940" s="2" t="s">
        <v>3252</v>
      </c>
      <c r="B940" s="2" t="s">
        <v>2314</v>
      </c>
      <c r="C940" s="2" t="s">
        <v>31</v>
      </c>
      <c r="D940" s="2" t="s">
        <v>840</v>
      </c>
      <c r="E940" s="6">
        <v>1</v>
      </c>
      <c r="F940" s="6">
        <v>1</v>
      </c>
      <c r="G940" s="7">
        <v>0.5576561689376831</v>
      </c>
      <c r="H940" s="7">
        <v>7.667704687500001</v>
      </c>
      <c r="I940" s="7">
        <v>20.14922409087164</v>
      </c>
      <c r="J940" s="7">
        <v>9.59342498251138</v>
      </c>
      <c r="K940" s="7">
        <v>0.7647825728026764</v>
      </c>
      <c r="L940" s="7">
        <v>0.9962523418090306</v>
      </c>
      <c r="M940" s="7">
        <v>0.2373332510583781</v>
      </c>
      <c r="N940" s="7">
        <v>0.1848877430412677</v>
      </c>
      <c r="O940" s="7">
        <v>0.0400262622155021</v>
      </c>
      <c r="P940" s="7">
        <v>9.729328065320349</v>
      </c>
      <c r="Q940" s="7">
        <v>0.0728458848296712</v>
      </c>
      <c r="R940" s="7">
        <v>0.1578820856354189</v>
      </c>
      <c r="S940" s="7">
        <v>0.1887666578209004</v>
      </c>
      <c r="T940" s="7">
        <v>0.6482778470258111</v>
      </c>
    </row>
    <row x14ac:dyDescent="0.25" r="941" customHeight="1" ht="19.5">
      <c r="A941" s="2" t="s">
        <v>3253</v>
      </c>
      <c r="B941" s="2" t="s">
        <v>2314</v>
      </c>
      <c r="C941" s="2" t="s">
        <v>31</v>
      </c>
      <c r="D941" s="2" t="s">
        <v>840</v>
      </c>
      <c r="E941" s="6">
        <v>1</v>
      </c>
      <c r="F941" s="6">
        <v>1</v>
      </c>
      <c r="G941" s="7">
        <v>0.5632306337356567</v>
      </c>
      <c r="H941" s="7">
        <v>7.6954109375</v>
      </c>
      <c r="I941" s="7">
        <v>20.26692338993497</v>
      </c>
      <c r="J941" s="7">
        <v>9.652967329282069</v>
      </c>
      <c r="K941" s="7">
        <v>0.7639158239638868</v>
      </c>
      <c r="L941" s="7">
        <v>0.9963105068109924</v>
      </c>
      <c r="M941" s="7">
        <v>0.2354322909010834</v>
      </c>
      <c r="N941" s="7">
        <v>0.1862477082071623</v>
      </c>
      <c r="O941" s="7">
        <v>0.0410643200658875</v>
      </c>
      <c r="P941" s="7">
        <v>9.650526806673357</v>
      </c>
      <c r="Q941" s="7">
        <v>0.0722035501534321</v>
      </c>
      <c r="R941" s="7">
        <v>0.1561783727291847</v>
      </c>
      <c r="S941" s="7">
        <v>0.1871880635481416</v>
      </c>
      <c r="T941" s="7">
        <v>0.6448833261039029</v>
      </c>
    </row>
    <row x14ac:dyDescent="0.25" r="942" customHeight="1" ht="19.5">
      <c r="A942" s="2" t="s">
        <v>3254</v>
      </c>
      <c r="B942" s="2" t="s">
        <v>2314</v>
      </c>
      <c r="C942" s="2" t="s">
        <v>31</v>
      </c>
      <c r="D942" s="2" t="s">
        <v>840</v>
      </c>
      <c r="E942" s="6">
        <v>1</v>
      </c>
      <c r="F942" s="6">
        <v>1</v>
      </c>
      <c r="G942" s="7">
        <v>0.5613883137702942</v>
      </c>
      <c r="H942" s="7">
        <v>7.68502109375</v>
      </c>
      <c r="I942" s="7">
        <v>20.26692338993498</v>
      </c>
      <c r="J942" s="7">
        <v>9.652750449287607</v>
      </c>
      <c r="K942" s="7">
        <v>0.7607236661305796</v>
      </c>
      <c r="L942" s="7">
        <v>0.9963050084229472</v>
      </c>
      <c r="M942" s="7">
        <v>0.2351144255218289</v>
      </c>
      <c r="N942" s="7">
        <v>0.1849384146110549</v>
      </c>
      <c r="O942" s="7">
        <v>0.0403835562623687</v>
      </c>
      <c r="P942" s="7">
        <v>9.681093552038645</v>
      </c>
      <c r="Q942" s="7">
        <v>0.0724430558027813</v>
      </c>
      <c r="R942" s="7">
        <v>0.1572438207061638</v>
      </c>
      <c r="S942" s="7">
        <v>0.1842162459542839</v>
      </c>
      <c r="T942" s="7">
        <v>0.6461488942339747</v>
      </c>
    </row>
    <row x14ac:dyDescent="0.25" r="943" customHeight="1" ht="19.5">
      <c r="A943" s="2" t="s">
        <v>3255</v>
      </c>
      <c r="B943" s="2" t="s">
        <v>2314</v>
      </c>
      <c r="C943" s="2" t="s">
        <v>31</v>
      </c>
      <c r="D943" s="2" t="s">
        <v>840</v>
      </c>
      <c r="E943" s="6">
        <v>1</v>
      </c>
      <c r="F943" s="6">
        <v>1</v>
      </c>
      <c r="G943" s="7">
        <v>0.5607603192329407</v>
      </c>
      <c r="H943" s="7">
        <v>7.650388281250001</v>
      </c>
      <c r="I943" s="7">
        <v>20.21817074398113</v>
      </c>
      <c r="J943" s="7">
        <v>9.593326262011797</v>
      </c>
      <c r="K943" s="7">
        <v>0.7621096957849056</v>
      </c>
      <c r="L943" s="7">
        <v>0.9962641717887144</v>
      </c>
      <c r="M943" s="7">
        <v>0.2351850014237991</v>
      </c>
      <c r="N943" s="7">
        <v>0.1844049166787937</v>
      </c>
      <c r="O943" s="7">
        <v>0.040236327001235</v>
      </c>
      <c r="P943" s="7">
        <v>9.720242215794654</v>
      </c>
      <c r="Q943" s="7">
        <v>0.0727260842829568</v>
      </c>
      <c r="R943" s="7">
        <v>0.1587760772422039</v>
      </c>
      <c r="S943" s="7">
        <v>0.1911899581570328</v>
      </c>
      <c r="T943" s="7">
        <v>0.645750070873038</v>
      </c>
    </row>
    <row x14ac:dyDescent="0.25" r="944" customHeight="1" ht="19.5">
      <c r="A944" s="2" t="s">
        <v>3256</v>
      </c>
      <c r="B944" s="2" t="s">
        <v>2314</v>
      </c>
      <c r="C944" s="2" t="s">
        <v>31</v>
      </c>
      <c r="D944" s="2" t="s">
        <v>840</v>
      </c>
      <c r="E944" s="6">
        <v>1</v>
      </c>
      <c r="F944" s="6">
        <v>1</v>
      </c>
      <c r="G944" s="7">
        <v>0.5616797208786011</v>
      </c>
      <c r="H944" s="7">
        <v>7.66424140625</v>
      </c>
      <c r="I944" s="7">
        <v>20.18369741742638</v>
      </c>
      <c r="J944" s="7">
        <v>9.593380562257956</v>
      </c>
      <c r="K944" s="7">
        <v>0.762976497368401</v>
      </c>
      <c r="L944" s="7">
        <v>0.9962676593227576</v>
      </c>
      <c r="M944" s="7">
        <v>0.2364163923755498</v>
      </c>
      <c r="N944" s="7">
        <v>0.1883904846199199</v>
      </c>
      <c r="O944" s="7">
        <v>0.0401724758981381</v>
      </c>
      <c r="P944" s="7">
        <v>9.71795029417616</v>
      </c>
      <c r="Q944" s="7">
        <v>0.0724516714991429</v>
      </c>
      <c r="R944" s="7">
        <v>0.1569841253915997</v>
      </c>
      <c r="S944" s="7">
        <v>0.1850845978862894</v>
      </c>
      <c r="T944" s="7">
        <v>0.6444783979634883</v>
      </c>
    </row>
    <row x14ac:dyDescent="0.25" r="945" customHeight="1" ht="19.5">
      <c r="A945" s="2" t="s">
        <v>3257</v>
      </c>
      <c r="B945" s="2" t="s">
        <v>2314</v>
      </c>
      <c r="C945" s="2" t="s">
        <v>31</v>
      </c>
      <c r="D945" s="2" t="s">
        <v>840</v>
      </c>
      <c r="E945" s="6">
        <v>1</v>
      </c>
      <c r="F945" s="6">
        <v>1</v>
      </c>
      <c r="G945" s="7">
        <v>0.5575547814369202</v>
      </c>
      <c r="H945" s="7">
        <v>7.67809453125</v>
      </c>
      <c r="I945" s="7">
        <v>20.26692338993498</v>
      </c>
      <c r="J945" s="7">
        <v>9.652805623884886</v>
      </c>
      <c r="K945" s="7">
        <v>0.761027064921808</v>
      </c>
      <c r="L945" s="7">
        <v>0.9963062471226312</v>
      </c>
      <c r="M945" s="7">
        <v>0.2349025152689927</v>
      </c>
      <c r="N945" s="7">
        <v>0.187267103434187</v>
      </c>
      <c r="O945" s="7">
        <v>0.040246054956661</v>
      </c>
      <c r="P945" s="7">
        <v>9.688176043692964</v>
      </c>
      <c r="Q945" s="7">
        <v>0.0731980475412259</v>
      </c>
      <c r="R945" s="7">
        <v>0.1566205710078248</v>
      </c>
      <c r="S945" s="7">
        <v>0.1863590053478241</v>
      </c>
      <c r="T945" s="7">
        <v>0.652294522773341</v>
      </c>
    </row>
    <row x14ac:dyDescent="0.25" r="946" customHeight="1" ht="19.5">
      <c r="A946" s="2" t="s">
        <v>3258</v>
      </c>
      <c r="B946" s="2" t="s">
        <v>2314</v>
      </c>
      <c r="C946" s="2" t="s">
        <v>31</v>
      </c>
      <c r="D946" s="2" t="s">
        <v>840</v>
      </c>
      <c r="E946" s="6">
        <v>1</v>
      </c>
      <c r="F946" s="6">
        <v>1</v>
      </c>
      <c r="G946" s="7">
        <v>0.5639289021492004</v>
      </c>
      <c r="H946" s="7">
        <v>7.653851562500001</v>
      </c>
      <c r="I946" s="7">
        <v>20.21817074398113</v>
      </c>
      <c r="J946" s="7">
        <v>9.65265953827971</v>
      </c>
      <c r="K946" s="7">
        <v>0.7587937545485794</v>
      </c>
      <c r="L946" s="7">
        <v>0.9963091392906752</v>
      </c>
      <c r="M946" s="7">
        <v>0.2352914681514694</v>
      </c>
      <c r="N946" s="7">
        <v>0.1861238890277377</v>
      </c>
      <c r="O946" s="7">
        <v>0.0409282906944582</v>
      </c>
      <c r="P946" s="7">
        <v>9.669484258334217</v>
      </c>
      <c r="Q946" s="7">
        <v>0.0728116260124663</v>
      </c>
      <c r="R946" s="7">
        <v>0.1572440431341713</v>
      </c>
      <c r="S946" s="7">
        <v>0.1846338101720097</v>
      </c>
      <c r="T946" s="7">
        <v>0.6468022844477898</v>
      </c>
    </row>
    <row x14ac:dyDescent="0.25" r="947" customHeight="1" ht="19.5">
      <c r="A947" s="2" t="s">
        <v>3259</v>
      </c>
      <c r="B947" s="2" t="s">
        <v>2314</v>
      </c>
      <c r="C947" s="2" t="s">
        <v>31</v>
      </c>
      <c r="D947" s="2" t="s">
        <v>840</v>
      </c>
      <c r="E947" s="6">
        <v>1</v>
      </c>
      <c r="F947" s="6">
        <v>1</v>
      </c>
      <c r="G947" s="7">
        <v>0.561809778213501</v>
      </c>
      <c r="H947" s="7">
        <v>7.674631250000001</v>
      </c>
      <c r="I947" s="7">
        <v>20.26692338993498</v>
      </c>
      <c r="J947" s="7">
        <v>9.652756674793066</v>
      </c>
      <c r="K947" s="7">
        <v>0.7608134983949965</v>
      </c>
      <c r="L947" s="7">
        <v>0.9963031881448716</v>
      </c>
      <c r="M947" s="7">
        <v>0.2347965601425746</v>
      </c>
      <c r="N947" s="7">
        <v>0.1840919390644462</v>
      </c>
      <c r="O947" s="7">
        <v>0.0405016504208215</v>
      </c>
      <c r="P947" s="7">
        <v>9.680677891688704</v>
      </c>
      <c r="Q947" s="7">
        <v>0.0729088337408899</v>
      </c>
      <c r="R947" s="7">
        <v>0.1565879515548027</v>
      </c>
      <c r="S947" s="7">
        <v>0.1865369785999096</v>
      </c>
      <c r="T947" s="7">
        <v>0.6494241715710487</v>
      </c>
    </row>
    <row x14ac:dyDescent="0.25" r="948" customHeight="1" ht="19.5">
      <c r="A948" s="2" t="s">
        <v>3260</v>
      </c>
      <c r="B948" s="2" t="s">
        <v>2314</v>
      </c>
      <c r="C948" s="2" t="s">
        <v>31</v>
      </c>
      <c r="D948" s="2" t="s">
        <v>840</v>
      </c>
      <c r="E948" s="6">
        <v>1</v>
      </c>
      <c r="F948" s="6">
        <v>1</v>
      </c>
      <c r="G948" s="7">
        <v>0.5617238879203796</v>
      </c>
      <c r="H948" s="7">
        <v>7.66424140625</v>
      </c>
      <c r="I948" s="7">
        <v>20.23245006338023</v>
      </c>
      <c r="J948" s="7">
        <v>9.652675435686117</v>
      </c>
      <c r="K948" s="7">
        <v>0.7596998097627496</v>
      </c>
      <c r="L948" s="7">
        <v>0.9963058373245348</v>
      </c>
      <c r="M948" s="7">
        <v>0.2352784147156149</v>
      </c>
      <c r="N948" s="7">
        <v>0.1828616338401082</v>
      </c>
      <c r="O948" s="7">
        <v>0.0406353988514273</v>
      </c>
      <c r="P948" s="7">
        <v>9.67632054611906</v>
      </c>
      <c r="Q948" s="7">
        <v>0.0726323389935364</v>
      </c>
      <c r="R948" s="7">
        <v>0.1569815018597445</v>
      </c>
      <c r="S948" s="7">
        <v>0.1885308033683528</v>
      </c>
      <c r="T948" s="7">
        <v>0.6460854871436479</v>
      </c>
    </row>
    <row x14ac:dyDescent="0.25" r="949" customHeight="1" ht="19.5">
      <c r="A949" s="2" t="s">
        <v>3261</v>
      </c>
      <c r="B949" s="2" t="s">
        <v>2314</v>
      </c>
      <c r="C949" s="2" t="s">
        <v>31</v>
      </c>
      <c r="D949" s="2" t="s">
        <v>840</v>
      </c>
      <c r="E949" s="6">
        <v>1</v>
      </c>
      <c r="F949" s="6">
        <v>1</v>
      </c>
      <c r="G949" s="7">
        <v>0.5634276866912842</v>
      </c>
      <c r="H949" s="7">
        <v>7.671167968750001</v>
      </c>
      <c r="I949" s="7">
        <v>20.26692338993498</v>
      </c>
      <c r="J949" s="7">
        <v>9.652806416890122</v>
      </c>
      <c r="K949" s="7">
        <v>0.7610016437868654</v>
      </c>
      <c r="L949" s="7">
        <v>0.9963106652977564</v>
      </c>
      <c r="M949" s="7">
        <v>0.2346906050161564</v>
      </c>
      <c r="N949" s="7">
        <v>0.1887614677684975</v>
      </c>
      <c r="O949" s="7">
        <v>0.0407159768634004</v>
      </c>
      <c r="P949" s="7">
        <v>9.67668579805453</v>
      </c>
      <c r="Q949" s="7">
        <v>0.0727488361482051</v>
      </c>
      <c r="R949" s="7">
        <v>0.1557760371369173</v>
      </c>
      <c r="S949" s="7">
        <v>0.1822674886854271</v>
      </c>
      <c r="T949" s="7">
        <v>0.6477065994057657</v>
      </c>
    </row>
    <row x14ac:dyDescent="0.25" r="950" customHeight="1" ht="19.5">
      <c r="A950" s="2" t="s">
        <v>3262</v>
      </c>
      <c r="B950" s="2" t="s">
        <v>2314</v>
      </c>
      <c r="C950" s="2" t="s">
        <v>31</v>
      </c>
      <c r="D950" s="2" t="s">
        <v>840</v>
      </c>
      <c r="E950" s="6">
        <v>1</v>
      </c>
      <c r="F950" s="6">
        <v>1</v>
      </c>
      <c r="G950" s="7">
        <v>0.5640264749526978</v>
      </c>
      <c r="H950" s="7">
        <v>7.66424140625</v>
      </c>
      <c r="I950" s="7">
        <v>20.21817074398113</v>
      </c>
      <c r="J950" s="7">
        <v>9.652720466847196</v>
      </c>
      <c r="K950" s="7">
        <v>0.7595143695204167</v>
      </c>
      <c r="L950" s="7">
        <v>0.9963087544376328</v>
      </c>
      <c r="M950" s="7">
        <v>0.2356108683344805</v>
      </c>
      <c r="N950" s="7">
        <v>0.186695100693341</v>
      </c>
      <c r="O950" s="7">
        <v>0.0404192057770529</v>
      </c>
      <c r="P950" s="7">
        <v>9.69080442038401</v>
      </c>
      <c r="Q950" s="7">
        <v>0.0723663243505225</v>
      </c>
      <c r="R950" s="7">
        <v>0.156588356956139</v>
      </c>
      <c r="S950" s="7">
        <v>0.1810644133031593</v>
      </c>
      <c r="T950" s="7">
        <v>0.643719210597959</v>
      </c>
    </row>
    <row x14ac:dyDescent="0.25" r="951" customHeight="1" ht="19.5">
      <c r="A951" s="2" t="s">
        <v>3263</v>
      </c>
      <c r="B951" s="2" t="s">
        <v>2314</v>
      </c>
      <c r="C951" s="2" t="s">
        <v>31</v>
      </c>
      <c r="D951" s="2" t="s">
        <v>840</v>
      </c>
      <c r="E951" s="6">
        <v>1</v>
      </c>
      <c r="F951" s="6">
        <v>1</v>
      </c>
      <c r="G951" s="7">
        <v>0.5626531839370728</v>
      </c>
      <c r="H951" s="7">
        <v>7.6399984375</v>
      </c>
      <c r="I951" s="7">
        <v>20.16941809802729</v>
      </c>
      <c r="J951" s="7">
        <v>9.593085438109986</v>
      </c>
      <c r="K951" s="7">
        <v>0.7583048907310947</v>
      </c>
      <c r="L951" s="7">
        <v>0.9962660272150126</v>
      </c>
      <c r="M951" s="7">
        <v>0.2360023874442464</v>
      </c>
      <c r="N951" s="7">
        <v>0.1831694228285894</v>
      </c>
      <c r="O951" s="7">
        <v>0.0400289749601174</v>
      </c>
      <c r="P951" s="7">
        <v>9.725714832992823</v>
      </c>
      <c r="Q951" s="7">
        <v>0.0732117995146849</v>
      </c>
      <c r="R951" s="7">
        <v>0.1590606166610456</v>
      </c>
      <c r="S951" s="7">
        <v>0.1864591244439203</v>
      </c>
      <c r="T951" s="7">
        <v>0.6491800000061503</v>
      </c>
    </row>
    <row x14ac:dyDescent="0.25" r="952" customHeight="1" ht="19.5">
      <c r="A952" s="2" t="s">
        <v>3264</v>
      </c>
      <c r="B952" s="2" t="s">
        <v>2314</v>
      </c>
      <c r="C952" s="2" t="s">
        <v>31</v>
      </c>
      <c r="D952" s="2" t="s">
        <v>840</v>
      </c>
      <c r="E952" s="6">
        <v>1</v>
      </c>
      <c r="F952" s="6">
        <v>1</v>
      </c>
      <c r="G952" s="7">
        <v>0.5636082887649536</v>
      </c>
      <c r="H952" s="7">
        <v>7.671167968750001</v>
      </c>
      <c r="I952" s="7">
        <v>20.23245006338023</v>
      </c>
      <c r="J952" s="7">
        <v>9.65262380510094</v>
      </c>
      <c r="K952" s="7">
        <v>0.7581360270265929</v>
      </c>
      <c r="L952" s="7">
        <v>0.9963032993916892</v>
      </c>
      <c r="M952" s="7">
        <v>0.2354910477158097</v>
      </c>
      <c r="N952" s="7">
        <v>0.1841945320035909</v>
      </c>
      <c r="O952" s="7">
        <v>0.0411739926340773</v>
      </c>
      <c r="P952" s="7">
        <v>9.652945562665211</v>
      </c>
      <c r="Q952" s="7">
        <v>0.0724945830063292</v>
      </c>
      <c r="R952" s="7">
        <v>0.1560337201339375</v>
      </c>
      <c r="S952" s="7">
        <v>0.1843460274531704</v>
      </c>
      <c r="T952" s="7">
        <v>0.6454429008143933</v>
      </c>
    </row>
    <row x14ac:dyDescent="0.25" r="953" customHeight="1" ht="19.5">
      <c r="A953" s="2" t="s">
        <v>3265</v>
      </c>
      <c r="B953" s="2" t="s">
        <v>2314</v>
      </c>
      <c r="C953" s="2" t="s">
        <v>31</v>
      </c>
      <c r="D953" s="2" t="s">
        <v>840</v>
      </c>
      <c r="E953" s="6">
        <v>1</v>
      </c>
      <c r="F953" s="6">
        <v>1</v>
      </c>
      <c r="G953" s="7">
        <v>0.5599448084831238</v>
      </c>
      <c r="H953" s="7">
        <v>7.62960859375</v>
      </c>
      <c r="I953" s="7">
        <v>20.16941809802729</v>
      </c>
      <c r="J953" s="7">
        <v>9.593309867741606</v>
      </c>
      <c r="K953" s="7">
        <v>0.7617130299840846</v>
      </c>
      <c r="L953" s="7">
        <v>0.996275704150106</v>
      </c>
      <c r="M953" s="7">
        <v>0.2356814413144491</v>
      </c>
      <c r="N953" s="7">
        <v>0.1810655647645864</v>
      </c>
      <c r="O953" s="7">
        <v>0.0400806807253222</v>
      </c>
      <c r="P953" s="7">
        <v>9.717442500238866</v>
      </c>
      <c r="Q953" s="7">
        <v>0.072985264336426</v>
      </c>
      <c r="R953" s="7">
        <v>0.1570960557011854</v>
      </c>
      <c r="S953" s="7">
        <v>0.1863993106447827</v>
      </c>
      <c r="T953" s="7">
        <v>0.6462911726252492</v>
      </c>
    </row>
    <row x14ac:dyDescent="0.25" r="954" customHeight="1" ht="19.5">
      <c r="A954" s="2" t="s">
        <v>3266</v>
      </c>
      <c r="B954" s="2" t="s">
        <v>2314</v>
      </c>
      <c r="C954" s="2" t="s">
        <v>31</v>
      </c>
      <c r="D954" s="2" t="s">
        <v>840</v>
      </c>
      <c r="E954" s="6">
        <v>1</v>
      </c>
      <c r="F954" s="6">
        <v>1</v>
      </c>
      <c r="G954" s="7">
        <v>0.566112220287323</v>
      </c>
      <c r="H954" s="7">
        <v>7.816625781250001</v>
      </c>
      <c r="I954" s="7">
        <v>20.37870800124175</v>
      </c>
      <c r="J954" s="7">
        <v>9.593832708219695</v>
      </c>
      <c r="K954" s="7">
        <v>0.828504113247949</v>
      </c>
      <c r="L954" s="7">
        <v>0.9960064086502122</v>
      </c>
      <c r="M954" s="7">
        <v>0.2365243685517966</v>
      </c>
      <c r="N954" s="7">
        <v>0.1750864908149675</v>
      </c>
      <c r="O954" s="7">
        <v>0.041067708889283</v>
      </c>
      <c r="P954" s="7">
        <v>9.714457378250184</v>
      </c>
      <c r="Q954" s="7">
        <v>0.0664271974378932</v>
      </c>
      <c r="R954" s="7">
        <v>0.1482369746403065</v>
      </c>
      <c r="S954" s="7">
        <v>0.178451305378255</v>
      </c>
      <c r="T954" s="7">
        <v>0.6026373306540838</v>
      </c>
    </row>
    <row x14ac:dyDescent="0.25" r="955" customHeight="1" ht="19.5">
      <c r="A955" s="2" t="s">
        <v>3267</v>
      </c>
      <c r="B955" s="2" t="s">
        <v>2314</v>
      </c>
      <c r="C955" s="2" t="s">
        <v>31</v>
      </c>
      <c r="D955" s="2" t="s">
        <v>840</v>
      </c>
      <c r="E955" s="6">
        <v>1</v>
      </c>
      <c r="F955" s="6">
        <v>1</v>
      </c>
      <c r="G955" s="7">
        <v>0.5133794546127319</v>
      </c>
      <c r="H955" s="7">
        <v>7.96901015625</v>
      </c>
      <c r="I955" s="7">
        <v>20.26100870217841</v>
      </c>
      <c r="J955" s="7">
        <v>9.41536831791024</v>
      </c>
      <c r="K955" s="7">
        <v>0.8825495288193888</v>
      </c>
      <c r="L955" s="7">
        <v>0.9956066992834232</v>
      </c>
      <c r="M955" s="7">
        <v>0.2439451107246829</v>
      </c>
      <c r="N955" s="7">
        <v>0.2267649731134709</v>
      </c>
      <c r="O955" s="7">
        <v>0.0442496614856622</v>
      </c>
      <c r="P955" s="7">
        <v>9.506243068777058</v>
      </c>
      <c r="Q955" s="7">
        <v>0.0287294613011222</v>
      </c>
      <c r="R955" s="7">
        <v>0.0789720813525939</v>
      </c>
      <c r="S955" s="7">
        <v>0.0958923669318783</v>
      </c>
      <c r="T955" s="7">
        <v>0.2657190206482028</v>
      </c>
    </row>
    <row x14ac:dyDescent="0.25" r="956" customHeight="1" ht="19.5">
      <c r="A956" s="2" t="s">
        <v>3268</v>
      </c>
      <c r="B956" s="2" t="s">
        <v>2314</v>
      </c>
      <c r="C956" s="2" t="s">
        <v>31</v>
      </c>
      <c r="D956" s="2" t="s">
        <v>840</v>
      </c>
      <c r="E956" s="6">
        <v>1</v>
      </c>
      <c r="F956" s="6">
        <v>1</v>
      </c>
      <c r="G956" s="7">
        <v>0.3814420998096466</v>
      </c>
      <c r="H956" s="7">
        <v>7.619218750000001</v>
      </c>
      <c r="I956" s="7">
        <v>18.86044648893153</v>
      </c>
      <c r="J956" s="7">
        <v>8.819741296846669</v>
      </c>
      <c r="K956" s="7">
        <v>0.8305391633422137</v>
      </c>
      <c r="L956" s="7">
        <v>0.9949467213628465</v>
      </c>
      <c r="M956" s="7">
        <v>0.2691636240656984</v>
      </c>
      <c r="N956" s="7">
        <v>0.2967221008415773</v>
      </c>
      <c r="O956" s="7">
        <v>0.0520811936690668</v>
      </c>
      <c r="P956" s="7">
        <v>9.01490073875423</v>
      </c>
      <c r="Q956" s="7">
        <v>0.0150751118396517</v>
      </c>
      <c r="R956" s="7">
        <v>0.0409381462487764</v>
      </c>
      <c r="S956" s="7">
        <v>0.0509221846116535</v>
      </c>
      <c r="T956" s="7">
        <v>0.133309704368221</v>
      </c>
    </row>
    <row x14ac:dyDescent="0.25" r="957" customHeight="1" ht="19.5">
      <c r="A957" s="2" t="s">
        <v>3269</v>
      </c>
      <c r="B957" s="2" t="s">
        <v>2314</v>
      </c>
      <c r="C957" s="2" t="s">
        <v>31</v>
      </c>
      <c r="D957" s="2" t="s">
        <v>840</v>
      </c>
      <c r="E957" s="6">
        <v>1</v>
      </c>
      <c r="F957" s="6">
        <v>1</v>
      </c>
      <c r="G957" s="7">
        <v>0.515886664390564</v>
      </c>
      <c r="H957" s="7">
        <v>7.78891953125</v>
      </c>
      <c r="I957" s="7">
        <v>19.4489429842482</v>
      </c>
      <c r="J957" s="7">
        <v>9.058245259195264</v>
      </c>
      <c r="K957" s="7">
        <v>0.8301379984156783</v>
      </c>
      <c r="L957" s="7">
        <v>0.9952360184413936</v>
      </c>
      <c r="M957" s="7">
        <v>0.2587587680399889</v>
      </c>
      <c r="N957" s="7">
        <v>0.2474062304878468</v>
      </c>
      <c r="O957" s="7">
        <v>0.0461904700422102</v>
      </c>
      <c r="P957" s="7">
        <v>9.327301829755603</v>
      </c>
      <c r="Q957" s="7">
        <v>0.027265881483258</v>
      </c>
      <c r="R957" s="7">
        <v>0.0651201501263388</v>
      </c>
      <c r="S957" s="7">
        <v>0.0765513341035782</v>
      </c>
      <c r="T957" s="7">
        <v>0.2464833226766939</v>
      </c>
    </row>
    <row x14ac:dyDescent="0.25" r="958" customHeight="1" ht="19.5">
      <c r="A958" s="2" t="s">
        <v>3270</v>
      </c>
      <c r="B958" s="2" t="s">
        <v>2314</v>
      </c>
      <c r="C958" s="2" t="s">
        <v>31</v>
      </c>
      <c r="D958" s="2" t="s">
        <v>840</v>
      </c>
      <c r="E958" s="6">
        <v>1</v>
      </c>
      <c r="F958" s="6">
        <v>1</v>
      </c>
      <c r="G958" s="7">
        <v>0.564319372177124</v>
      </c>
      <c r="H958" s="7">
        <v>7.726580468750001</v>
      </c>
      <c r="I958" s="7">
        <v>19.94829881929972</v>
      </c>
      <c r="J958" s="7">
        <v>9.35661156739013</v>
      </c>
      <c r="K958" s="7">
        <v>0.8343516324919233</v>
      </c>
      <c r="L958" s="7">
        <v>0.9957911865462163</v>
      </c>
      <c r="M958" s="7">
        <v>0.2439975500012577</v>
      </c>
      <c r="N958" s="7">
        <v>0.21543467017408</v>
      </c>
      <c r="O958" s="7">
        <v>0.0420475409819341</v>
      </c>
      <c r="P958" s="7">
        <v>9.589582246190115</v>
      </c>
      <c r="Q958" s="7">
        <v>0.0456046568905126</v>
      </c>
      <c r="R958" s="7">
        <v>0.0991760687428786</v>
      </c>
      <c r="S958" s="7">
        <v>0.1132553218798694</v>
      </c>
      <c r="T958" s="7">
        <v>0.4089660949658551</v>
      </c>
    </row>
    <row x14ac:dyDescent="0.25" r="959" customHeight="1" ht="19.5">
      <c r="A959" s="2" t="s">
        <v>3271</v>
      </c>
      <c r="B959" s="2" t="s">
        <v>2314</v>
      </c>
      <c r="C959" s="2" t="s">
        <v>31</v>
      </c>
      <c r="D959" s="2" t="s">
        <v>840</v>
      </c>
      <c r="E959" s="6">
        <v>1</v>
      </c>
      <c r="F959" s="6">
        <v>1</v>
      </c>
      <c r="G959" s="7">
        <v>0.568833589553833</v>
      </c>
      <c r="H959" s="7">
        <v>7.5153203125</v>
      </c>
      <c r="I959" s="7">
        <v>19.83059952023639</v>
      </c>
      <c r="J959" s="7">
        <v>9.355239634736058</v>
      </c>
      <c r="K959" s="7">
        <v>0.7671170874178204</v>
      </c>
      <c r="L959" s="7">
        <v>0.9961088632711717</v>
      </c>
      <c r="M959" s="7">
        <v>0.2401517034117133</v>
      </c>
      <c r="N959" s="7">
        <v>0.1916112235999042</v>
      </c>
      <c r="O959" s="7">
        <v>0.0423744155172212</v>
      </c>
      <c r="P959" s="7">
        <v>9.560552483050126</v>
      </c>
      <c r="Q959" s="7">
        <v>0.0625240701351799</v>
      </c>
      <c r="R959" s="7">
        <v>0.1295813411833522</v>
      </c>
      <c r="S959" s="7">
        <v>0.1434109713737124</v>
      </c>
      <c r="T959" s="7">
        <v>0.5453628080260008</v>
      </c>
    </row>
    <row x14ac:dyDescent="0.25" r="960" customHeight="1" ht="19.5">
      <c r="A960" s="2" t="s">
        <v>3272</v>
      </c>
      <c r="B960" s="2" t="s">
        <v>2314</v>
      </c>
      <c r="C960" s="2" t="s">
        <v>31</v>
      </c>
      <c r="D960" s="2" t="s">
        <v>840</v>
      </c>
      <c r="E960" s="6">
        <v>1</v>
      </c>
      <c r="F960" s="6">
        <v>1</v>
      </c>
      <c r="G960" s="7">
        <v>0.5634952783584595</v>
      </c>
      <c r="H960" s="7">
        <v>7.5014671875</v>
      </c>
      <c r="I960" s="7">
        <v>19.85079352739204</v>
      </c>
      <c r="J960" s="7">
        <v>9.355442402367483</v>
      </c>
      <c r="K960" s="7">
        <v>0.7708210503133948</v>
      </c>
      <c r="L960" s="7">
        <v>0.9961312629251105</v>
      </c>
      <c r="M960" s="7">
        <v>0.2392215684964959</v>
      </c>
      <c r="N960" s="7">
        <v>0.1901650772931651</v>
      </c>
      <c r="O960" s="7">
        <v>0.0405453532746373</v>
      </c>
      <c r="P960" s="7">
        <v>9.668211553799754</v>
      </c>
      <c r="Q960" s="7">
        <v>0.0687846069592282</v>
      </c>
      <c r="R960" s="7">
        <v>0.1382291702501243</v>
      </c>
      <c r="S960" s="7">
        <v>0.1495895081278684</v>
      </c>
      <c r="T960" s="7">
        <v>0.5988640651745882</v>
      </c>
    </row>
    <row x14ac:dyDescent="0.25" r="961" customHeight="1" ht="19.5">
      <c r="A961" s="2" t="s">
        <v>3273</v>
      </c>
      <c r="B961" s="2" t="s">
        <v>2314</v>
      </c>
      <c r="C961" s="2" t="s">
        <v>31</v>
      </c>
      <c r="D961" s="2" t="s">
        <v>840</v>
      </c>
      <c r="E961" s="6">
        <v>1</v>
      </c>
      <c r="F961" s="6">
        <v>1</v>
      </c>
      <c r="G961" s="7">
        <v>0.57203608751297</v>
      </c>
      <c r="H961" s="7">
        <v>7.511857031250001</v>
      </c>
      <c r="I961" s="7">
        <v>19.85079352739204</v>
      </c>
      <c r="J961" s="7">
        <v>9.35555607379736</v>
      </c>
      <c r="K961" s="7">
        <v>0.7709903353590086</v>
      </c>
      <c r="L961" s="7">
        <v>0.9961214555304596</v>
      </c>
      <c r="M961" s="7">
        <v>0.2395529003088179</v>
      </c>
      <c r="N961" s="7">
        <v>0.1907170267100265</v>
      </c>
      <c r="O961" s="7">
        <v>0.0406349322875704</v>
      </c>
      <c r="P961" s="7">
        <v>9.681014306073688</v>
      </c>
      <c r="Q961" s="7">
        <v>0.0694979802030432</v>
      </c>
      <c r="R961" s="7">
        <v>0.1412444867709666</v>
      </c>
      <c r="S961" s="7">
        <v>0.1519139472261737</v>
      </c>
      <c r="T961" s="7">
        <v>0.6059130087398483</v>
      </c>
    </row>
    <row x14ac:dyDescent="0.25" r="962" customHeight="1" ht="19.5">
      <c r="A962" s="2" t="s">
        <v>3274</v>
      </c>
      <c r="B962" s="2" t="s">
        <v>2314</v>
      </c>
      <c r="C962" s="2" t="s">
        <v>31</v>
      </c>
      <c r="D962" s="2" t="s">
        <v>840</v>
      </c>
      <c r="E962" s="6">
        <v>1</v>
      </c>
      <c r="F962" s="6">
        <v>1</v>
      </c>
      <c r="G962" s="7">
        <v>0.569334089756012</v>
      </c>
      <c r="H962" s="7">
        <v>7.529173437500001</v>
      </c>
      <c r="I962" s="7">
        <v>19.85079352739204</v>
      </c>
      <c r="J962" s="7">
        <v>9.35519948922461</v>
      </c>
      <c r="K962" s="7">
        <v>0.7653721479950808</v>
      </c>
      <c r="L962" s="7">
        <v>0.9961111261409556</v>
      </c>
      <c r="M962" s="7">
        <v>0.2401051199960213</v>
      </c>
      <c r="N962" s="7">
        <v>0.1973355165285547</v>
      </c>
      <c r="O962" s="7">
        <v>0.0409768469419142</v>
      </c>
      <c r="P962" s="7">
        <v>9.6663213285534</v>
      </c>
      <c r="Q962" s="7">
        <v>0.0695086962988183</v>
      </c>
      <c r="R962" s="7">
        <v>0.1408802739297069</v>
      </c>
      <c r="S962" s="7">
        <v>0.1528976343068948</v>
      </c>
      <c r="T962" s="7">
        <v>0.6074034081895553</v>
      </c>
    </row>
    <row x14ac:dyDescent="0.25" r="963" customHeight="1" ht="19.5">
      <c r="A963" s="2" t="s">
        <v>3275</v>
      </c>
      <c r="B963" s="2" t="s">
        <v>2314</v>
      </c>
      <c r="C963" s="2" t="s">
        <v>31</v>
      </c>
      <c r="D963" s="2" t="s">
        <v>840</v>
      </c>
      <c r="E963" s="6">
        <v>1</v>
      </c>
      <c r="F963" s="6">
        <v>1</v>
      </c>
      <c r="G963" s="7">
        <v>0.569968581199646</v>
      </c>
      <c r="H963" s="7">
        <v>7.57419609375</v>
      </c>
      <c r="I963" s="7">
        <v>19.93401949990063</v>
      </c>
      <c r="J963" s="7">
        <v>9.414413599140392</v>
      </c>
      <c r="K963" s="7">
        <v>0.7599465236638829</v>
      </c>
      <c r="L963" s="7">
        <v>0.9961473553317785</v>
      </c>
      <c r="M963" s="7">
        <v>0.2395282001722907</v>
      </c>
      <c r="N963" s="7">
        <v>0.1870643330526098</v>
      </c>
      <c r="O963" s="7">
        <v>0.0403197493638433</v>
      </c>
      <c r="P963" s="7">
        <v>9.693177738040102</v>
      </c>
      <c r="Q963" s="7">
        <v>0.0690150312620298</v>
      </c>
      <c r="R963" s="7">
        <v>0.1409366572006936</v>
      </c>
      <c r="S963" s="7">
        <v>0.1513934399786805</v>
      </c>
      <c r="T963" s="7">
        <v>0.6066958354195602</v>
      </c>
    </row>
    <row x14ac:dyDescent="0.25" r="964" customHeight="1" ht="19.5">
      <c r="A964" s="2" t="s">
        <v>3276</v>
      </c>
      <c r="B964" s="2" t="s">
        <v>2314</v>
      </c>
      <c r="C964" s="2" t="s">
        <v>31</v>
      </c>
      <c r="D964" s="2" t="s">
        <v>840</v>
      </c>
      <c r="E964" s="6">
        <v>1</v>
      </c>
      <c r="F964" s="6">
        <v>1</v>
      </c>
      <c r="G964" s="7">
        <v>0.5726382732391357</v>
      </c>
      <c r="H964" s="7">
        <v>7.53263671875</v>
      </c>
      <c r="I964" s="7">
        <v>19.88526685394679</v>
      </c>
      <c r="J964" s="7">
        <v>9.354849172125594</v>
      </c>
      <c r="K964" s="7">
        <v>0.7598097604009608</v>
      </c>
      <c r="L964" s="7">
        <v>0.9961038032987136</v>
      </c>
      <c r="M964" s="7">
        <v>0.2393834049691513</v>
      </c>
      <c r="N964" s="7">
        <v>0.1855263759669702</v>
      </c>
      <c r="O964" s="7">
        <v>0.0406595944919124</v>
      </c>
      <c r="P964" s="7">
        <v>9.671963714271389</v>
      </c>
      <c r="Q964" s="7">
        <v>0.069590664306846</v>
      </c>
      <c r="R964" s="7">
        <v>0.1422429736320437</v>
      </c>
      <c r="S964" s="7">
        <v>0.155475690430428</v>
      </c>
      <c r="T964" s="7">
        <v>0.6083994114591776</v>
      </c>
    </row>
    <row x14ac:dyDescent="0.25" r="965" customHeight="1" ht="19.5">
      <c r="A965" s="2" t="s">
        <v>3277</v>
      </c>
      <c r="B965" s="2" t="s">
        <v>2314</v>
      </c>
      <c r="C965" s="2" t="s">
        <v>31</v>
      </c>
      <c r="D965" s="2" t="s">
        <v>840</v>
      </c>
      <c r="E965" s="6">
        <v>1</v>
      </c>
      <c r="F965" s="6">
        <v>1</v>
      </c>
      <c r="G965" s="7">
        <v>0.5733444094657898</v>
      </c>
      <c r="H965" s="7">
        <v>7.636535156250001</v>
      </c>
      <c r="I965" s="7">
        <v>19.88526685394679</v>
      </c>
      <c r="J965" s="7">
        <v>9.41467354483554</v>
      </c>
      <c r="K965" s="7">
        <v>0.7632651470105889</v>
      </c>
      <c r="L965" s="7">
        <v>0.9961240428450684</v>
      </c>
      <c r="M965" s="7">
        <v>0.2426852450376913</v>
      </c>
      <c r="N965" s="7">
        <v>0.190014742991873</v>
      </c>
      <c r="O965" s="7">
        <v>0.04142892108359</v>
      </c>
      <c r="P965" s="7">
        <v>9.632243773625383</v>
      </c>
      <c r="Q965" s="7">
        <v>0.0684464773728207</v>
      </c>
      <c r="R965" s="7">
        <v>0.1415674213360892</v>
      </c>
      <c r="S965" s="7">
        <v>0.1567590301090413</v>
      </c>
      <c r="T965" s="7">
        <v>0.606650049561542</v>
      </c>
    </row>
    <row x14ac:dyDescent="0.25" r="966" customHeight="1" ht="19.5">
      <c r="A966" s="2" t="s">
        <v>3278</v>
      </c>
      <c r="B966" s="2" t="s">
        <v>2314</v>
      </c>
      <c r="C966" s="2" t="s">
        <v>31</v>
      </c>
      <c r="D966" s="2" t="s">
        <v>840</v>
      </c>
      <c r="E966" s="6">
        <v>1</v>
      </c>
      <c r="F966" s="6">
        <v>1</v>
      </c>
      <c r="G966" s="7">
        <v>0.57057785987854</v>
      </c>
      <c r="H966" s="7">
        <v>7.5707328125</v>
      </c>
      <c r="I966" s="7">
        <v>19.93401949990063</v>
      </c>
      <c r="J966" s="7">
        <v>9.354902150244358</v>
      </c>
      <c r="K966" s="7">
        <v>0.7599785831648589</v>
      </c>
      <c r="L966" s="7">
        <v>0.9960874865928474</v>
      </c>
      <c r="M966" s="7">
        <v>0.2394186765325228</v>
      </c>
      <c r="N966" s="7">
        <v>0.1878383263356544</v>
      </c>
      <c r="O966" s="7">
        <v>0.0420071217667407</v>
      </c>
      <c r="P966" s="7">
        <v>9.595298683544325</v>
      </c>
      <c r="Q966" s="7">
        <v>0.068979294126926</v>
      </c>
      <c r="R966" s="7">
        <v>0.1404463010403357</v>
      </c>
      <c r="S966" s="7">
        <v>0.15132687152976</v>
      </c>
      <c r="T966" s="7">
        <v>0.6061044117616686</v>
      </c>
    </row>
    <row x14ac:dyDescent="0.25" r="967" customHeight="1" ht="19.5">
      <c r="A967" s="2" t="s">
        <v>3279</v>
      </c>
      <c r="B967" s="2" t="s">
        <v>2314</v>
      </c>
      <c r="C967" s="2" t="s">
        <v>31</v>
      </c>
      <c r="D967" s="2" t="s">
        <v>840</v>
      </c>
      <c r="E967" s="6">
        <v>1</v>
      </c>
      <c r="F967" s="6">
        <v>1</v>
      </c>
      <c r="G967" s="7">
        <v>0.572998583316803</v>
      </c>
      <c r="H967" s="7">
        <v>7.619218750000001</v>
      </c>
      <c r="I967" s="7">
        <v>19.88526685394679</v>
      </c>
      <c r="J967" s="7">
        <v>9.41483209888946</v>
      </c>
      <c r="K967" s="7">
        <v>0.765471071608752</v>
      </c>
      <c r="L967" s="7">
        <v>0.996125032746908</v>
      </c>
      <c r="M967" s="7">
        <v>0.2421349383596013</v>
      </c>
      <c r="N967" s="7">
        <v>0.1891843770448274</v>
      </c>
      <c r="O967" s="7">
        <v>0.041755342092105</v>
      </c>
      <c r="P967" s="7">
        <v>9.626258935269863</v>
      </c>
      <c r="Q967" s="7">
        <v>0.0684992830292471</v>
      </c>
      <c r="R967" s="7">
        <v>0.1407299310294948</v>
      </c>
      <c r="S967" s="7">
        <v>0.1536062952812245</v>
      </c>
      <c r="T967" s="7">
        <v>0.6057413880038564</v>
      </c>
    </row>
    <row x14ac:dyDescent="0.25" r="968" customHeight="1" ht="19.5">
      <c r="A968" s="2" t="s">
        <v>3280</v>
      </c>
      <c r="B968" s="2" t="s">
        <v>2314</v>
      </c>
      <c r="C968" s="2" t="s">
        <v>31</v>
      </c>
      <c r="D968" s="2" t="s">
        <v>840</v>
      </c>
      <c r="E968" s="6">
        <v>1</v>
      </c>
      <c r="F968" s="6">
        <v>1</v>
      </c>
      <c r="G968" s="7">
        <v>0.5703981518745422</v>
      </c>
      <c r="H968" s="7">
        <v>7.59497578125</v>
      </c>
      <c r="I968" s="7">
        <v>19.83651420799295</v>
      </c>
      <c r="J968" s="7">
        <v>9.355395657658738</v>
      </c>
      <c r="K968" s="7">
        <v>0.7666284901582259</v>
      </c>
      <c r="L968" s="7">
        <v>0.996080288539874</v>
      </c>
      <c r="M968" s="7">
        <v>0.2425523808848109</v>
      </c>
      <c r="N968" s="7">
        <v>0.1894858415988507</v>
      </c>
      <c r="O968" s="7">
        <v>0.0414562206002364</v>
      </c>
      <c r="P968" s="7">
        <v>9.616344519863306</v>
      </c>
      <c r="Q968" s="7">
        <v>0.0681539030754974</v>
      </c>
      <c r="R968" s="7">
        <v>0.1393726387368389</v>
      </c>
      <c r="S968" s="7">
        <v>0.1537138143121101</v>
      </c>
      <c r="T968" s="7">
        <v>0.6007695408050483</v>
      </c>
    </row>
    <row x14ac:dyDescent="0.25" r="969" customHeight="1" ht="19.5">
      <c r="A969" s="2" t="s">
        <v>3281</v>
      </c>
      <c r="B969" s="2" t="s">
        <v>2314</v>
      </c>
      <c r="C969" s="2" t="s">
        <v>31</v>
      </c>
      <c r="D969" s="2" t="s">
        <v>840</v>
      </c>
      <c r="E969" s="6">
        <v>1</v>
      </c>
      <c r="F969" s="6">
        <v>1</v>
      </c>
      <c r="G969" s="7">
        <v>0.5728359818458557</v>
      </c>
      <c r="H969" s="7">
        <v>7.636535156250001</v>
      </c>
      <c r="I969" s="7">
        <v>19.88526685394679</v>
      </c>
      <c r="J969" s="7">
        <v>9.414788600137785</v>
      </c>
      <c r="K969" s="7">
        <v>0.765014691106012</v>
      </c>
      <c r="L969" s="7">
        <v>0.9961231821470592</v>
      </c>
      <c r="M969" s="7">
        <v>0.2426852450376913</v>
      </c>
      <c r="N969" s="7">
        <v>0.1902161791886263</v>
      </c>
      <c r="O969" s="7">
        <v>0.0410009804000328</v>
      </c>
      <c r="P969" s="7">
        <v>9.630495058526494</v>
      </c>
      <c r="Q969" s="7">
        <v>0.0675661551978043</v>
      </c>
      <c r="R969" s="7">
        <v>0.1383208882717262</v>
      </c>
      <c r="S969" s="7">
        <v>0.1503300022972999</v>
      </c>
      <c r="T969" s="7">
        <v>0.5988476393922808</v>
      </c>
    </row>
    <row x14ac:dyDescent="0.25" r="970" customHeight="1" ht="19.5">
      <c r="A970" s="2" t="s">
        <v>3282</v>
      </c>
      <c r="B970" s="2" t="s">
        <v>2314</v>
      </c>
      <c r="C970" s="2" t="s">
        <v>31</v>
      </c>
      <c r="D970" s="2" t="s">
        <v>840</v>
      </c>
      <c r="E970" s="6">
        <v>1</v>
      </c>
      <c r="F970" s="6">
        <v>1</v>
      </c>
      <c r="G970" s="7">
        <v>0.5699087977409363</v>
      </c>
      <c r="H970" s="7">
        <v>7.619218750000001</v>
      </c>
      <c r="I970" s="7">
        <v>19.88526685394679</v>
      </c>
      <c r="J970" s="7">
        <v>9.41483209888946</v>
      </c>
      <c r="K970" s="7">
        <v>0.765471071608752</v>
      </c>
      <c r="L970" s="7">
        <v>0.996125032746908</v>
      </c>
      <c r="M970" s="7">
        <v>0.2421349383596013</v>
      </c>
      <c r="N970" s="7">
        <v>0.193530559282791</v>
      </c>
      <c r="O970" s="7">
        <v>0.041462057585339</v>
      </c>
      <c r="P970" s="7">
        <v>9.612772250439338</v>
      </c>
      <c r="Q970" s="7">
        <v>0.068128841573149</v>
      </c>
      <c r="R970" s="7">
        <v>0.1400336012177904</v>
      </c>
      <c r="S970" s="7">
        <v>0.1517631266918257</v>
      </c>
      <c r="T970" s="7">
        <v>0.6024655621576909</v>
      </c>
    </row>
    <row x14ac:dyDescent="0.25" r="971" customHeight="1" ht="19.5">
      <c r="A971" s="2" t="s">
        <v>3283</v>
      </c>
      <c r="B971" s="2" t="s">
        <v>2314</v>
      </c>
      <c r="C971" s="2" t="s">
        <v>31</v>
      </c>
      <c r="D971" s="2" t="s">
        <v>840</v>
      </c>
      <c r="E971" s="6">
        <v>1</v>
      </c>
      <c r="F971" s="6">
        <v>1</v>
      </c>
      <c r="G971" s="7">
        <v>0.5733910202980042</v>
      </c>
      <c r="H971" s="7">
        <v>7.6261453125</v>
      </c>
      <c r="I971" s="7">
        <v>19.88526685394679</v>
      </c>
      <c r="J971" s="7">
        <v>9.41483916822971</v>
      </c>
      <c r="K971" s="7">
        <v>0.7656462718225325</v>
      </c>
      <c r="L971" s="7">
        <v>0.9961247414670416</v>
      </c>
      <c r="M971" s="7">
        <v>0.2423550610308373</v>
      </c>
      <c r="N971" s="7">
        <v>0.1913285836912723</v>
      </c>
      <c r="O971" s="7">
        <v>0.0421866219670408</v>
      </c>
      <c r="P971" s="7">
        <v>9.58690935985426</v>
      </c>
      <c r="Q971" s="7">
        <v>0.068515441069655</v>
      </c>
      <c r="R971" s="7">
        <v>0.1403649354521977</v>
      </c>
      <c r="S971" s="7">
        <v>0.1518605286113407</v>
      </c>
      <c r="T971" s="7">
        <v>0.6064350779663079</v>
      </c>
    </row>
    <row x14ac:dyDescent="0.25" r="972" customHeight="1" ht="19.5">
      <c r="A972" s="2" t="s">
        <v>3284</v>
      </c>
      <c r="B972" s="2" t="s">
        <v>2314</v>
      </c>
      <c r="C972" s="2" t="s">
        <v>31</v>
      </c>
      <c r="D972" s="2" t="s">
        <v>840</v>
      </c>
      <c r="E972" s="6">
        <v>1</v>
      </c>
      <c r="F972" s="6">
        <v>1</v>
      </c>
      <c r="G972" s="7">
        <v>0.5745206475257874</v>
      </c>
      <c r="H972" s="7">
        <v>7.58804921875</v>
      </c>
      <c r="I972" s="7">
        <v>19.83651420799295</v>
      </c>
      <c r="J972" s="7">
        <v>9.35538807557754</v>
      </c>
      <c r="K972" s="7">
        <v>0.7665248187822382</v>
      </c>
      <c r="L972" s="7">
        <v>0.9960782724976138</v>
      </c>
      <c r="M972" s="7">
        <v>0.242331174883092</v>
      </c>
      <c r="N972" s="7">
        <v>0.1935603872331739</v>
      </c>
      <c r="O972" s="7">
        <v>0.0411364111519208</v>
      </c>
      <c r="P972" s="7">
        <v>9.63263434944083</v>
      </c>
      <c r="Q972" s="7">
        <v>0.0693348106536298</v>
      </c>
      <c r="R972" s="7">
        <v>0.1420231622257501</v>
      </c>
      <c r="S972" s="7">
        <v>0.153067009406348</v>
      </c>
      <c r="T972" s="7">
        <v>0.610621726931208</v>
      </c>
    </row>
    <row x14ac:dyDescent="0.25" r="973" customHeight="1" ht="19.5">
      <c r="A973" s="2" t="s">
        <v>3285</v>
      </c>
      <c r="B973" s="2" t="s">
        <v>2314</v>
      </c>
      <c r="C973" s="2" t="s">
        <v>31</v>
      </c>
      <c r="D973" s="2" t="s">
        <v>840</v>
      </c>
      <c r="E973" s="6">
        <v>1</v>
      </c>
      <c r="F973" s="6">
        <v>1</v>
      </c>
      <c r="G973" s="7">
        <v>0.571779191493988</v>
      </c>
      <c r="H973" s="7">
        <v>7.581122656250001</v>
      </c>
      <c r="I973" s="7">
        <v>19.8020408814382</v>
      </c>
      <c r="J973" s="7">
        <v>9.355315833408516</v>
      </c>
      <c r="K973" s="7">
        <v>0.7664731004990235</v>
      </c>
      <c r="L973" s="7">
        <v>0.9960773929776344</v>
      </c>
      <c r="M973" s="7">
        <v>0.2429536800046688</v>
      </c>
      <c r="N973" s="7">
        <v>0.1883941748077528</v>
      </c>
      <c r="O973" s="7">
        <v>0.0413392906457072</v>
      </c>
      <c r="P973" s="7">
        <v>9.62885866684665</v>
      </c>
      <c r="Q973" s="7">
        <v>0.0683938817130623</v>
      </c>
      <c r="R973" s="7">
        <v>0.1395668180697568</v>
      </c>
      <c r="S973" s="7">
        <v>0.1511138075246277</v>
      </c>
      <c r="T973" s="7">
        <v>0.6017852741326098</v>
      </c>
    </row>
    <row x14ac:dyDescent="0.25" r="974" customHeight="1" ht="19.5">
      <c r="A974" s="2" t="s">
        <v>3286</v>
      </c>
      <c r="B974" s="2" t="s">
        <v>2314</v>
      </c>
      <c r="C974" s="2" t="s">
        <v>31</v>
      </c>
      <c r="D974" s="2" t="s">
        <v>840</v>
      </c>
      <c r="E974" s="6">
        <v>1</v>
      </c>
      <c r="F974" s="6">
        <v>1</v>
      </c>
      <c r="G974" s="7">
        <v>0.5744985342025757</v>
      </c>
      <c r="H974" s="7">
        <v>7.62268203125</v>
      </c>
      <c r="I974" s="7">
        <v>19.88526685394679</v>
      </c>
      <c r="J974" s="7">
        <v>9.414786837496276</v>
      </c>
      <c r="K974" s="7">
        <v>0.7648595805154688</v>
      </c>
      <c r="L974" s="7">
        <v>0.9961228962915024</v>
      </c>
      <c r="M974" s="7">
        <v>0.2422449996952193</v>
      </c>
      <c r="N974" s="7">
        <v>0.1892084233285034</v>
      </c>
      <c r="O974" s="7">
        <v>0.0409007945342526</v>
      </c>
      <c r="P974" s="7">
        <v>9.643178582219164</v>
      </c>
      <c r="Q974" s="7">
        <v>0.0683969367058462</v>
      </c>
      <c r="R974" s="7">
        <v>0.139134904537987</v>
      </c>
      <c r="S974" s="7">
        <v>0.1523757188687366</v>
      </c>
      <c r="T974" s="7">
        <v>0.6051112617441889</v>
      </c>
    </row>
    <row x14ac:dyDescent="0.25" r="975" customHeight="1" ht="19.5">
      <c r="A975" s="2" t="s">
        <v>3287</v>
      </c>
      <c r="B975" s="2" t="s">
        <v>2314</v>
      </c>
      <c r="C975" s="2" t="s">
        <v>31</v>
      </c>
      <c r="D975" s="2" t="s">
        <v>840</v>
      </c>
      <c r="E975" s="6">
        <v>1</v>
      </c>
      <c r="F975" s="6">
        <v>1</v>
      </c>
      <c r="G975" s="7">
        <v>0.572749137878418</v>
      </c>
      <c r="H975" s="7">
        <v>7.57419609375</v>
      </c>
      <c r="I975" s="7">
        <v>19.88526685394679</v>
      </c>
      <c r="J975" s="7">
        <v>9.355430289732102</v>
      </c>
      <c r="K975" s="7">
        <v>0.7669428422754133</v>
      </c>
      <c r="L975" s="7">
        <v>0.9960866869534898</v>
      </c>
      <c r="M975" s="7">
        <v>0.2407041409965674</v>
      </c>
      <c r="N975" s="7">
        <v>0.1856473415312293</v>
      </c>
      <c r="O975" s="7">
        <v>0.0407446958931554</v>
      </c>
      <c r="P975" s="7">
        <v>9.65972480351013</v>
      </c>
      <c r="Q975" s="7">
        <v>0.0689444281435337</v>
      </c>
      <c r="R975" s="7">
        <v>0.141459063460609</v>
      </c>
      <c r="S975" s="7">
        <v>0.1559488274782235</v>
      </c>
      <c r="T975" s="7">
        <v>0.6060751790614319</v>
      </c>
    </row>
    <row x14ac:dyDescent="0.25" r="976" customHeight="1" ht="19.5">
      <c r="A976" s="2" t="s">
        <v>3288</v>
      </c>
      <c r="B976" s="2" t="s">
        <v>2314</v>
      </c>
      <c r="C976" s="2" t="s">
        <v>31</v>
      </c>
      <c r="D976" s="2" t="s">
        <v>840</v>
      </c>
      <c r="E976" s="6">
        <v>1</v>
      </c>
      <c r="F976" s="6">
        <v>1</v>
      </c>
      <c r="G976" s="7">
        <v>0.5730564594268799</v>
      </c>
      <c r="H976" s="7">
        <v>7.581122656250001</v>
      </c>
      <c r="I976" s="7">
        <v>19.83651420799295</v>
      </c>
      <c r="J976" s="7">
        <v>9.355488289216328</v>
      </c>
      <c r="K976" s="7">
        <v>0.7678113387741929</v>
      </c>
      <c r="L976" s="7">
        <v>0.996075423954792</v>
      </c>
      <c r="M976" s="7">
        <v>0.2421099688813731</v>
      </c>
      <c r="N976" s="7">
        <v>0.1901022372748153</v>
      </c>
      <c r="O976" s="7">
        <v>0.0414057765284403</v>
      </c>
      <c r="P976" s="7">
        <v>9.632847259348964</v>
      </c>
      <c r="Q976" s="7">
        <v>0.0681074776684843</v>
      </c>
      <c r="R976" s="7">
        <v>0.1385264239544383</v>
      </c>
      <c r="S976" s="7">
        <v>0.1505245448301232</v>
      </c>
      <c r="T976" s="7">
        <v>0.599265257251537</v>
      </c>
    </row>
    <row x14ac:dyDescent="0.25" r="977" customHeight="1" ht="19.5">
      <c r="A977" s="2" t="s">
        <v>3289</v>
      </c>
      <c r="B977" s="2" t="s">
        <v>2314</v>
      </c>
      <c r="C977" s="2" t="s">
        <v>31</v>
      </c>
      <c r="D977" s="2" t="s">
        <v>840</v>
      </c>
      <c r="E977" s="6">
        <v>1</v>
      </c>
      <c r="F977" s="6">
        <v>1</v>
      </c>
      <c r="G977" s="7">
        <v>0.5740599036216736</v>
      </c>
      <c r="H977" s="7">
        <v>7.581122656250001</v>
      </c>
      <c r="I977" s="7">
        <v>19.83651420799295</v>
      </c>
      <c r="J977" s="7">
        <v>9.355507174136925</v>
      </c>
      <c r="K977" s="7">
        <v>0.7679813840446696</v>
      </c>
      <c r="L977" s="7">
        <v>0.9960801850716045</v>
      </c>
      <c r="M977" s="7">
        <v>0.2421099688813731</v>
      </c>
      <c r="N977" s="7">
        <v>0.1899861273767548</v>
      </c>
      <c r="O977" s="7">
        <v>0.0410013095140069</v>
      </c>
      <c r="P977" s="7">
        <v>9.64083651443846</v>
      </c>
      <c r="Q977" s="7">
        <v>0.0690076566895975</v>
      </c>
      <c r="R977" s="7">
        <v>0.1411007024546628</v>
      </c>
      <c r="S977" s="7">
        <v>0.1535160490693424</v>
      </c>
      <c r="T977" s="7">
        <v>0.6071857680548528</v>
      </c>
    </row>
    <row x14ac:dyDescent="0.25" r="978" customHeight="1" ht="19.5">
      <c r="A978" s="2" t="s">
        <v>3290</v>
      </c>
      <c r="B978" s="2" t="s">
        <v>2314</v>
      </c>
      <c r="C978" s="2" t="s">
        <v>31</v>
      </c>
      <c r="D978" s="2" t="s">
        <v>840</v>
      </c>
      <c r="E978" s="6">
        <v>1</v>
      </c>
      <c r="F978" s="6">
        <v>1</v>
      </c>
      <c r="G978" s="7">
        <v>0.575406551361084</v>
      </c>
      <c r="H978" s="7">
        <v>7.605365625</v>
      </c>
      <c r="I978" s="7">
        <v>19.85079352739204</v>
      </c>
      <c r="J978" s="7">
        <v>9.415019973574736</v>
      </c>
      <c r="K978" s="7">
        <v>0.7681078838464619</v>
      </c>
      <c r="L978" s="7">
        <v>0.9961207764202864</v>
      </c>
      <c r="M978" s="7">
        <v>0.2425348866197161</v>
      </c>
      <c r="N978" s="7">
        <v>0.1923060214118375</v>
      </c>
      <c r="O978" s="7">
        <v>0.0418878651727135</v>
      </c>
      <c r="P978" s="7">
        <v>9.61310992897459</v>
      </c>
      <c r="Q978" s="7">
        <v>0.0687762438034046</v>
      </c>
      <c r="R978" s="7">
        <v>0.1395253277094065</v>
      </c>
      <c r="S978" s="7">
        <v>0.1497690821937127</v>
      </c>
      <c r="T978" s="7">
        <v>0.6070847601185863</v>
      </c>
    </row>
    <row x14ac:dyDescent="0.25" r="979" customHeight="1" ht="19.5">
      <c r="A979" s="2" t="s">
        <v>3291</v>
      </c>
      <c r="B979" s="2" t="s">
        <v>2314</v>
      </c>
      <c r="C979" s="2" t="s">
        <v>31</v>
      </c>
      <c r="D979" s="2" t="s">
        <v>840</v>
      </c>
      <c r="E979" s="6">
        <v>1</v>
      </c>
      <c r="F979" s="6">
        <v>1</v>
      </c>
      <c r="G979" s="7">
        <v>0.5757042765617371</v>
      </c>
      <c r="H979" s="7">
        <v>7.508393750000001</v>
      </c>
      <c r="I979" s="7">
        <v>19.88526685394679</v>
      </c>
      <c r="J979" s="7">
        <v>9.41506893654221</v>
      </c>
      <c r="K979" s="7">
        <v>0.7669258631612585</v>
      </c>
      <c r="L979" s="7">
        <v>0.9961434536124412</v>
      </c>
      <c r="M979" s="7">
        <v>0.2386129756198253</v>
      </c>
      <c r="N979" s="7">
        <v>0.1862322117752797</v>
      </c>
      <c r="O979" s="7">
        <v>0.0416025625597153</v>
      </c>
      <c r="P979" s="7">
        <v>9.603402979683144</v>
      </c>
      <c r="Q979" s="7">
        <v>0.0658739407547249</v>
      </c>
      <c r="R979" s="7">
        <v>0.130678897899281</v>
      </c>
      <c r="S979" s="7">
        <v>0.1435196488813878</v>
      </c>
      <c r="T979" s="7">
        <v>0.5740523041319591</v>
      </c>
    </row>
    <row x14ac:dyDescent="0.25" r="980" customHeight="1" ht="19.5">
      <c r="A980" s="2" t="s">
        <v>3292</v>
      </c>
      <c r="B980" s="2" t="s">
        <v>2314</v>
      </c>
      <c r="C980" s="2" t="s">
        <v>31</v>
      </c>
      <c r="D980" s="2" t="s">
        <v>840</v>
      </c>
      <c r="E980" s="6">
        <v>1</v>
      </c>
      <c r="F980" s="6">
        <v>1</v>
      </c>
      <c r="G980" s="7">
        <v>0.5173203945159912</v>
      </c>
      <c r="H980" s="7">
        <v>7.868575000000001</v>
      </c>
      <c r="I980" s="7">
        <v>19.58092160271063</v>
      </c>
      <c r="J980" s="7">
        <v>9.178989628664665</v>
      </c>
      <c r="K980" s="7">
        <v>0.8493463451367336</v>
      </c>
      <c r="L980" s="7">
        <v>0.9953491825479588</v>
      </c>
      <c r="M980" s="7">
        <v>0.2578930838888453</v>
      </c>
      <c r="N980" s="7">
        <v>0.2493721221548397</v>
      </c>
      <c r="O980" s="7">
        <v>0.0473768661587887</v>
      </c>
      <c r="P980" s="7">
        <v>9.295002831277284</v>
      </c>
      <c r="Q980" s="7">
        <v>0.0255041351858815</v>
      </c>
      <c r="R980" s="7">
        <v>0.0625375063195618</v>
      </c>
      <c r="S980" s="7">
        <v>0.0754187544794611</v>
      </c>
      <c r="T980" s="7">
        <v>0.2329150064172996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1254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" width="15.005" customWidth="1" bestFit="1"/>
    <col min="2" max="2" style="3" width="13.005" customWidth="1" bestFit="1"/>
    <col min="3" max="3" style="3" width="10.005" customWidth="1" bestFit="1"/>
    <col min="4" max="4" style="3" width="10.005" customWidth="1" bestFit="1"/>
    <col min="5" max="5" style="8" width="10.005" customWidth="1" bestFit="1"/>
    <col min="6" max="6" style="8" width="12.005" customWidth="1" bestFit="1"/>
    <col min="7" max="7" style="9" width="10.005" customWidth="1" bestFit="1"/>
    <col min="8" max="8" style="9" width="10.005" customWidth="1" bestFit="1"/>
    <col min="9" max="9" style="9" width="14.005" customWidth="1" bestFit="1"/>
    <col min="10" max="10" style="9" width="22.005" customWidth="1" bestFit="1"/>
    <col min="11" max="11" style="9" width="22.005" customWidth="1" bestFit="1"/>
    <col min="12" max="12" style="9" width="14.005" customWidth="1" bestFit="1"/>
    <col min="13" max="13" style="9" width="14.005" customWidth="1" bestFit="1"/>
    <col min="14" max="14" style="9" width="18.005" customWidth="1" bestFit="1"/>
    <col min="15" max="15" style="9" width="13.005" customWidth="1" bestFit="1"/>
    <col min="16" max="16" style="9" width="14.005" customWidth="1" bestFit="1"/>
    <col min="17" max="17" style="9" width="15.005" customWidth="1" bestFit="1"/>
    <col min="18" max="18" style="9" width="14.005" customWidth="1" bestFit="1"/>
    <col min="19" max="19" style="9" width="14.005" customWidth="1" bestFit="1"/>
    <col min="20" max="20" style="9" width="18.005" customWidth="1" bestFit="1"/>
  </cols>
  <sheetData>
    <row x14ac:dyDescent="0.25" r="1" customHeight="1" ht="19.5">
      <c r="A1" s="1" t="s">
        <v>9</v>
      </c>
      <c r="B1" s="1" t="s">
        <v>10</v>
      </c>
      <c r="C1" s="1" t="s">
        <v>11</v>
      </c>
      <c r="D1" s="1" t="s">
        <v>12</v>
      </c>
      <c r="E1" s="4" t="s">
        <v>13</v>
      </c>
      <c r="F1" s="4" t="s">
        <v>14</v>
      </c>
      <c r="G1" s="5" t="s">
        <v>15</v>
      </c>
      <c r="H1" s="5" t="s">
        <v>16</v>
      </c>
      <c r="I1" s="5" t="s">
        <v>17</v>
      </c>
      <c r="J1" s="5" t="s">
        <v>18</v>
      </c>
      <c r="K1" s="5" t="s">
        <v>19</v>
      </c>
      <c r="L1" s="5" t="s">
        <v>20</v>
      </c>
      <c r="M1" s="5" t="s">
        <v>21</v>
      </c>
      <c r="N1" s="5" t="s">
        <v>22</v>
      </c>
      <c r="O1" s="5" t="s">
        <v>23</v>
      </c>
      <c r="P1" s="5" t="s">
        <v>24</v>
      </c>
      <c r="Q1" s="5" t="s">
        <v>25</v>
      </c>
      <c r="R1" s="5" t="s">
        <v>26</v>
      </c>
      <c r="S1" s="5" t="s">
        <v>27</v>
      </c>
      <c r="T1" s="5" t="s">
        <v>28</v>
      </c>
    </row>
    <row x14ac:dyDescent="0.25" r="2" customHeight="1" ht="19.5">
      <c r="A2" s="2" t="s">
        <v>1059</v>
      </c>
      <c r="B2" s="2" t="s">
        <v>1060</v>
      </c>
      <c r="C2" s="2" t="s">
        <v>31</v>
      </c>
      <c r="D2" s="2" t="s">
        <v>32</v>
      </c>
      <c r="E2" s="6">
        <v>1</v>
      </c>
      <c r="F2" s="6">
        <v>2</v>
      </c>
      <c r="G2" s="7">
        <v>0.4614892303943634</v>
      </c>
      <c r="H2" s="7">
        <v>36.11856015625001</v>
      </c>
      <c r="I2" s="7">
        <v>24.79661403193802</v>
      </c>
      <c r="J2" s="7">
        <v>8.532652930359934</v>
      </c>
      <c r="K2" s="7">
        <v>4.823581781385171</v>
      </c>
      <c r="L2" s="7">
        <v>0.8497070172032526</v>
      </c>
      <c r="M2" s="7">
        <v>0.7381685345759842</v>
      </c>
      <c r="N2" s="7">
        <v>0.5055765433028798</v>
      </c>
      <c r="O2" s="7">
        <v>0.0772952401977654</v>
      </c>
      <c r="P2" s="7">
        <v>7.974920453764614</v>
      </c>
      <c r="Q2" s="7">
        <v>0.0058632094493094</v>
      </c>
      <c r="R2" s="7">
        <v>0.0239107889394318</v>
      </c>
      <c r="S2" s="7">
        <v>0.0437519729504719</v>
      </c>
      <c r="T2" s="7">
        <v>0.2457857034415143</v>
      </c>
    </row>
    <row x14ac:dyDescent="0.25" r="3" customHeight="1" ht="19.5">
      <c r="A3" s="2" t="s">
        <v>1061</v>
      </c>
      <c r="B3" s="2" t="s">
        <v>1060</v>
      </c>
      <c r="C3" s="2" t="s">
        <v>31</v>
      </c>
      <c r="D3" s="2" t="s">
        <v>32</v>
      </c>
      <c r="E3" s="6">
        <v>1</v>
      </c>
      <c r="F3" s="6">
        <v>2</v>
      </c>
      <c r="G3" s="7">
        <v>0.3933302760124206</v>
      </c>
      <c r="H3" s="7">
        <v>39.6684234375</v>
      </c>
      <c r="I3" s="7">
        <v>26.09477106550528</v>
      </c>
      <c r="J3" s="7">
        <v>8.370968849942521</v>
      </c>
      <c r="K3" s="7">
        <v>4.64923297523038</v>
      </c>
      <c r="L3" s="7">
        <v>0.8385675312020894</v>
      </c>
      <c r="M3" s="7">
        <v>0.7320619297565595</v>
      </c>
      <c r="N3" s="7">
        <v>0.4249722777611301</v>
      </c>
      <c r="O3" s="7">
        <v>0.0607808607680694</v>
      </c>
      <c r="P3" s="7">
        <v>8.450484262473871</v>
      </c>
      <c r="Q3" s="7">
        <v>0.0053325160421842</v>
      </c>
      <c r="R3" s="7">
        <v>0.0256514594637453</v>
      </c>
      <c r="S3" s="7">
        <v>0.0483920656956216</v>
      </c>
      <c r="T3" s="7">
        <v>0.245509267834269</v>
      </c>
    </row>
    <row x14ac:dyDescent="0.25" r="4" customHeight="1" ht="19.5">
      <c r="A4" s="2" t="s">
        <v>1062</v>
      </c>
      <c r="B4" s="2" t="s">
        <v>1060</v>
      </c>
      <c r="C4" s="2" t="s">
        <v>31</v>
      </c>
      <c r="D4" s="2" t="s">
        <v>32</v>
      </c>
      <c r="E4" s="6">
        <v>1</v>
      </c>
      <c r="F4" s="6">
        <v>2</v>
      </c>
      <c r="G4" s="7">
        <v>0.51397305727005</v>
      </c>
      <c r="H4" s="7">
        <v>38.35583984375</v>
      </c>
      <c r="I4" s="7">
        <v>25.62397386925194</v>
      </c>
      <c r="J4" s="7">
        <v>8.196629460968353</v>
      </c>
      <c r="K4" s="7">
        <v>4.589698498389906</v>
      </c>
      <c r="L4" s="7">
        <v>0.8356481896693142</v>
      </c>
      <c r="M4" s="7">
        <v>0.7340884567626287</v>
      </c>
      <c r="N4" s="7">
        <v>0.3663679917920234</v>
      </c>
      <c r="O4" s="7">
        <v>0.0527016218647735</v>
      </c>
      <c r="P4" s="7">
        <v>8.841460687114973</v>
      </c>
      <c r="Q4" s="7">
        <v>0.0062889135678072</v>
      </c>
      <c r="R4" s="7">
        <v>0.0289256369454347</v>
      </c>
      <c r="S4" s="7">
        <v>0.0566771744869136</v>
      </c>
      <c r="T4" s="7">
        <v>0.2799612362638247</v>
      </c>
    </row>
    <row x14ac:dyDescent="0.25" r="5" customHeight="1" ht="19.5">
      <c r="A5" s="2" t="s">
        <v>1063</v>
      </c>
      <c r="B5" s="2" t="s">
        <v>1060</v>
      </c>
      <c r="C5" s="2" t="s">
        <v>31</v>
      </c>
      <c r="D5" s="2" t="s">
        <v>32</v>
      </c>
      <c r="E5" s="6">
        <v>1</v>
      </c>
      <c r="F5" s="6">
        <v>2</v>
      </c>
      <c r="G5" s="7">
        <v>0.5514038801193237</v>
      </c>
      <c r="H5" s="7">
        <v>40.24332812500001</v>
      </c>
      <c r="I5" s="7">
        <v>26.41339563614053</v>
      </c>
      <c r="J5" s="7">
        <v>8.6025</v>
      </c>
      <c r="K5" s="7">
        <v>4.587916666666667</v>
      </c>
      <c r="L5" s="7">
        <v>0.852050068207224</v>
      </c>
      <c r="M5" s="7">
        <v>0.7248619126189111</v>
      </c>
      <c r="N5" s="7">
        <v>0.3559944939242319</v>
      </c>
      <c r="O5" s="7">
        <v>0.0509049967315286</v>
      </c>
      <c r="P5" s="7">
        <v>8.940447577457807</v>
      </c>
      <c r="Q5" s="7">
        <v>0.0071125396181923</v>
      </c>
      <c r="R5" s="7">
        <v>0.0313758699633698</v>
      </c>
      <c r="S5" s="7">
        <v>0.06114304672237</v>
      </c>
      <c r="T5" s="7">
        <v>0.3322074505210407</v>
      </c>
    </row>
    <row x14ac:dyDescent="0.25" r="6" customHeight="1" ht="19.5">
      <c r="A6" s="2" t="s">
        <v>1064</v>
      </c>
      <c r="B6" s="2" t="s">
        <v>1060</v>
      </c>
      <c r="C6" s="2" t="s">
        <v>31</v>
      </c>
      <c r="D6" s="2" t="s">
        <v>32</v>
      </c>
      <c r="E6" s="6">
        <v>1</v>
      </c>
      <c r="F6" s="6">
        <v>2</v>
      </c>
      <c r="G6" s="7">
        <v>0.5567096471786499</v>
      </c>
      <c r="H6" s="7">
        <v>38.165359375</v>
      </c>
      <c r="I6" s="7">
        <v>26.57393289340114</v>
      </c>
      <c r="J6" s="7">
        <v>8.241199905503018</v>
      </c>
      <c r="K6" s="7">
        <v>4.664434553646696</v>
      </c>
      <c r="L6" s="7">
        <v>0.8353730748422492</v>
      </c>
      <c r="M6" s="7">
        <v>0.6791528887386075</v>
      </c>
      <c r="N6" s="7">
        <v>0.3535688915366001</v>
      </c>
      <c r="O6" s="7">
        <v>0.0506357106637605</v>
      </c>
      <c r="P6" s="7">
        <v>8.978426122789788</v>
      </c>
      <c r="Q6" s="7">
        <v>0.0081475210715607</v>
      </c>
      <c r="R6" s="7">
        <v>0.0331041732942058</v>
      </c>
      <c r="S6" s="7">
        <v>0.0655908310605384</v>
      </c>
      <c r="T6" s="7">
        <v>0.3608989583457577</v>
      </c>
    </row>
    <row x14ac:dyDescent="0.25" r="7" customHeight="1" ht="19.5">
      <c r="A7" s="2" t="s">
        <v>1065</v>
      </c>
      <c r="B7" s="2" t="s">
        <v>1060</v>
      </c>
      <c r="C7" s="2" t="s">
        <v>31</v>
      </c>
      <c r="D7" s="2" t="s">
        <v>32</v>
      </c>
      <c r="E7" s="6">
        <v>1</v>
      </c>
      <c r="F7" s="6">
        <v>2</v>
      </c>
      <c r="G7" s="7">
        <v>0.5000795125961304</v>
      </c>
      <c r="H7" s="7">
        <v>38.86494218750001</v>
      </c>
      <c r="I7" s="7">
        <v>26.28978164932064</v>
      </c>
      <c r="J7" s="7">
        <v>8.31844635380828</v>
      </c>
      <c r="K7" s="7">
        <v>4.753559805625607</v>
      </c>
      <c r="L7" s="7">
        <v>0.8332970018382339</v>
      </c>
      <c r="M7" s="7">
        <v>0.7066330270454755</v>
      </c>
      <c r="N7" s="7">
        <v>0.3590231446204376</v>
      </c>
      <c r="O7" s="7">
        <v>0.0506894701852882</v>
      </c>
      <c r="P7" s="7">
        <v>8.972376997171182</v>
      </c>
      <c r="Q7" s="7">
        <v>0.0079118968804186</v>
      </c>
      <c r="R7" s="7">
        <v>0.0316896118341219</v>
      </c>
      <c r="S7" s="7">
        <v>0.0625181959265841</v>
      </c>
      <c r="T7" s="7">
        <v>0.356885928216624</v>
      </c>
    </row>
    <row x14ac:dyDescent="0.25" r="8" customHeight="1" ht="19.5">
      <c r="A8" s="2" t="s">
        <v>1066</v>
      </c>
      <c r="B8" s="2" t="s">
        <v>1060</v>
      </c>
      <c r="C8" s="2" t="s">
        <v>31</v>
      </c>
      <c r="D8" s="2" t="s">
        <v>32</v>
      </c>
      <c r="E8" s="6">
        <v>1</v>
      </c>
      <c r="F8" s="6">
        <v>2</v>
      </c>
      <c r="G8" s="7">
        <v>0.5055180191993713</v>
      </c>
      <c r="H8" s="7">
        <v>39.3775078125</v>
      </c>
      <c r="I8" s="7">
        <v>26.81942849510564</v>
      </c>
      <c r="J8" s="7">
        <v>8.314647319563264</v>
      </c>
      <c r="K8" s="7">
        <v>4.65252448175706</v>
      </c>
      <c r="L8" s="7">
        <v>0.8360747317009367</v>
      </c>
      <c r="M8" s="7">
        <v>0.6879534488623507</v>
      </c>
      <c r="N8" s="7">
        <v>0.3555915024032573</v>
      </c>
      <c r="O8" s="7">
        <v>0.0511923914639652</v>
      </c>
      <c r="P8" s="7">
        <v>8.928912066393867</v>
      </c>
      <c r="Q8" s="7">
        <v>0.0059185105992751</v>
      </c>
      <c r="R8" s="7">
        <v>0.0277241433227568</v>
      </c>
      <c r="S8" s="7">
        <v>0.0564050371671256</v>
      </c>
      <c r="T8" s="7">
        <v>0.2704901384050006</v>
      </c>
    </row>
    <row x14ac:dyDescent="0.25" r="9" customHeight="1" ht="19.5">
      <c r="A9" s="2" t="s">
        <v>1067</v>
      </c>
      <c r="B9" s="2" t="s">
        <v>1060</v>
      </c>
      <c r="C9" s="2" t="s">
        <v>31</v>
      </c>
      <c r="D9" s="2" t="s">
        <v>32</v>
      </c>
      <c r="E9" s="6">
        <v>1</v>
      </c>
      <c r="F9" s="6">
        <v>2</v>
      </c>
      <c r="G9" s="7">
        <v>0.5418111085891724</v>
      </c>
      <c r="H9" s="7">
        <v>39.13161484375</v>
      </c>
      <c r="I9" s="7">
        <v>26.62860022711154</v>
      </c>
      <c r="J9" s="7">
        <v>8.378971858720806</v>
      </c>
      <c r="K9" s="7">
        <v>4.604305041921423</v>
      </c>
      <c r="L9" s="7">
        <v>0.842971843324704</v>
      </c>
      <c r="M9" s="7">
        <v>0.6934912070883642</v>
      </c>
      <c r="N9" s="7">
        <v>0.3528318141721893</v>
      </c>
      <c r="O9" s="7">
        <v>0.0509291441344916</v>
      </c>
      <c r="P9" s="7">
        <v>8.952627868569433</v>
      </c>
      <c r="Q9" s="7">
        <v>0.0070660277163115</v>
      </c>
      <c r="R9" s="7">
        <v>0.0308424458088449</v>
      </c>
      <c r="S9" s="7">
        <v>0.0612649025235264</v>
      </c>
      <c r="T9" s="7">
        <v>0.3209178596070813</v>
      </c>
    </row>
    <row x14ac:dyDescent="0.25" r="10" customHeight="1" ht="19.5">
      <c r="A10" s="2" t="s">
        <v>1068</v>
      </c>
      <c r="B10" s="2" t="s">
        <v>1060</v>
      </c>
      <c r="C10" s="2" t="s">
        <v>31</v>
      </c>
      <c r="D10" s="2" t="s">
        <v>32</v>
      </c>
      <c r="E10" s="6">
        <v>1</v>
      </c>
      <c r="F10" s="6">
        <v>2</v>
      </c>
      <c r="G10" s="7">
        <v>0.4872869551181793</v>
      </c>
      <c r="H10" s="7">
        <v>39.938559375</v>
      </c>
      <c r="I10" s="7">
        <v>26.17799703801386</v>
      </c>
      <c r="J10" s="7">
        <v>8.428125</v>
      </c>
      <c r="K10" s="7">
        <v>4.6475</v>
      </c>
      <c r="L10" s="7">
        <v>0.8409795802380705</v>
      </c>
      <c r="M10" s="7">
        <v>0.7323681195528826</v>
      </c>
      <c r="N10" s="7">
        <v>0.3537603480230259</v>
      </c>
      <c r="O10" s="7">
        <v>0.0509140118046788</v>
      </c>
      <c r="P10" s="7">
        <v>8.929412560087536</v>
      </c>
      <c r="Q10" s="7">
        <v>0.0063704926115264</v>
      </c>
      <c r="R10" s="7">
        <v>0.0289494443558709</v>
      </c>
      <c r="S10" s="7">
        <v>0.0575515045354193</v>
      </c>
      <c r="T10" s="7">
        <v>0.2952950668581285</v>
      </c>
    </row>
    <row x14ac:dyDescent="0.25" r="11" customHeight="1" ht="19.5">
      <c r="A11" s="2" t="s">
        <v>1069</v>
      </c>
      <c r="B11" s="2" t="s">
        <v>1060</v>
      </c>
      <c r="C11" s="2" t="s">
        <v>31</v>
      </c>
      <c r="D11" s="2" t="s">
        <v>32</v>
      </c>
      <c r="E11" s="6">
        <v>1</v>
      </c>
      <c r="F11" s="6">
        <v>2</v>
      </c>
      <c r="G11" s="7">
        <v>0.4883221089839935</v>
      </c>
      <c r="H11" s="7">
        <v>40.215621875</v>
      </c>
      <c r="I11" s="7">
        <v>26.33016966363195</v>
      </c>
      <c r="J11" s="7">
        <v>8.487181345130798</v>
      </c>
      <c r="K11" s="7">
        <v>4.649189186873363</v>
      </c>
      <c r="L11" s="7">
        <v>0.8433369693037144</v>
      </c>
      <c r="M11" s="7">
        <v>0.72894932422187</v>
      </c>
      <c r="N11" s="7">
        <v>0.3543216499067942</v>
      </c>
      <c r="O11" s="7">
        <v>0.0512622135929149</v>
      </c>
      <c r="P11" s="7">
        <v>8.933334212767242</v>
      </c>
      <c r="Q11" s="7">
        <v>0.0069284788783041</v>
      </c>
      <c r="R11" s="7">
        <v>0.030037919344072</v>
      </c>
      <c r="S11" s="7">
        <v>0.0608049986273347</v>
      </c>
      <c r="T11" s="7">
        <v>0.3233876766612836</v>
      </c>
    </row>
    <row x14ac:dyDescent="0.25" r="12" customHeight="1" ht="19.5">
      <c r="A12" s="2" t="s">
        <v>1070</v>
      </c>
      <c r="B12" s="2" t="s">
        <v>1060</v>
      </c>
      <c r="C12" s="2" t="s">
        <v>31</v>
      </c>
      <c r="D12" s="2" t="s">
        <v>32</v>
      </c>
      <c r="E12" s="6">
        <v>1</v>
      </c>
      <c r="F12" s="6">
        <v>2</v>
      </c>
      <c r="G12" s="7">
        <v>0.5173664689064026</v>
      </c>
      <c r="H12" s="7">
        <v>39.66496015625</v>
      </c>
      <c r="I12" s="7">
        <v>26.06029773895053</v>
      </c>
      <c r="J12" s="7">
        <v>8.370000000000001</v>
      </c>
      <c r="K12" s="7">
        <v>4.6475</v>
      </c>
      <c r="L12" s="7">
        <v>0.8385670012995431</v>
      </c>
      <c r="M12" s="7">
        <v>0.7339359143630784</v>
      </c>
      <c r="N12" s="7">
        <v>0.3560458608116484</v>
      </c>
      <c r="O12" s="7">
        <v>0.0511571996242195</v>
      </c>
      <c r="P12" s="7">
        <v>8.92747250257282</v>
      </c>
      <c r="Q12" s="7">
        <v>0.0066697674160312</v>
      </c>
      <c r="R12" s="7">
        <v>0.0300881922420939</v>
      </c>
      <c r="S12" s="7">
        <v>0.060742519490345</v>
      </c>
      <c r="T12" s="7">
        <v>0.30704956904452</v>
      </c>
    </row>
    <row x14ac:dyDescent="0.25" r="13" customHeight="1" ht="19.5">
      <c r="A13" s="2" t="s">
        <v>1071</v>
      </c>
      <c r="B13" s="2" t="s">
        <v>1060</v>
      </c>
      <c r="C13" s="2" t="s">
        <v>31</v>
      </c>
      <c r="D13" s="2" t="s">
        <v>32</v>
      </c>
      <c r="E13" s="6">
        <v>1</v>
      </c>
      <c r="F13" s="6">
        <v>2</v>
      </c>
      <c r="G13" s="7">
        <v>0.5280148386955261</v>
      </c>
      <c r="H13" s="7">
        <v>40.160209375</v>
      </c>
      <c r="I13" s="7">
        <v>26.10905038490437</v>
      </c>
      <c r="J13" s="7">
        <v>8.370000000000001</v>
      </c>
      <c r="K13" s="7">
        <v>4.707083333333334</v>
      </c>
      <c r="L13" s="7">
        <v>0.8340444214298692</v>
      </c>
      <c r="M13" s="7">
        <v>0.7403271553421044</v>
      </c>
      <c r="N13" s="7">
        <v>0.3580718853864745</v>
      </c>
      <c r="O13" s="7">
        <v>0.0512370674249327</v>
      </c>
      <c r="P13" s="7">
        <v>8.927878717297919</v>
      </c>
      <c r="Q13" s="7">
        <v>0.0063988563219462</v>
      </c>
      <c r="R13" s="7">
        <v>0.0294163786857279</v>
      </c>
      <c r="S13" s="7">
        <v>0.0611500020354734</v>
      </c>
      <c r="T13" s="7">
        <v>0.2982559437184675</v>
      </c>
    </row>
    <row x14ac:dyDescent="0.25" r="14" customHeight="1" ht="19.5">
      <c r="A14" s="2" t="s">
        <v>1072</v>
      </c>
      <c r="B14" s="2" t="s">
        <v>1060</v>
      </c>
      <c r="C14" s="2" t="s">
        <v>31</v>
      </c>
      <c r="D14" s="2" t="s">
        <v>32</v>
      </c>
      <c r="E14" s="6">
        <v>1</v>
      </c>
      <c r="F14" s="6">
        <v>2</v>
      </c>
      <c r="G14" s="7">
        <v>0.5294215083122253</v>
      </c>
      <c r="H14" s="7">
        <v>39.938559375</v>
      </c>
      <c r="I14" s="7">
        <v>26.17799703801386</v>
      </c>
      <c r="J14" s="7">
        <v>8.428125000000001</v>
      </c>
      <c r="K14" s="7">
        <v>4.6475</v>
      </c>
      <c r="L14" s="7">
        <v>0.8409795802380706</v>
      </c>
      <c r="M14" s="7">
        <v>0.7323681195528826</v>
      </c>
      <c r="N14" s="7">
        <v>0.3558534808599571</v>
      </c>
      <c r="O14" s="7">
        <v>0.0511907057211546</v>
      </c>
      <c r="P14" s="7">
        <v>8.92981482144198</v>
      </c>
      <c r="Q14" s="7">
        <v>0.0072316486764887</v>
      </c>
      <c r="R14" s="7">
        <v>0.0313235234374778</v>
      </c>
      <c r="S14" s="7">
        <v>0.062840919515803</v>
      </c>
      <c r="T14" s="7">
        <v>0.3352127236682483</v>
      </c>
    </row>
    <row x14ac:dyDescent="0.25" r="15" customHeight="1" ht="19.5">
      <c r="A15" s="2" t="s">
        <v>1073</v>
      </c>
      <c r="B15" s="2" t="s">
        <v>1060</v>
      </c>
      <c r="C15" s="2" t="s">
        <v>31</v>
      </c>
      <c r="D15" s="2" t="s">
        <v>32</v>
      </c>
      <c r="E15" s="6">
        <v>1</v>
      </c>
      <c r="F15" s="6">
        <v>2</v>
      </c>
      <c r="G15" s="7">
        <v>0.5098761320114136</v>
      </c>
      <c r="H15" s="7">
        <v>39.89700000000001</v>
      </c>
      <c r="I15" s="7">
        <v>26.12924439206002</v>
      </c>
      <c r="J15" s="7">
        <v>8.311875</v>
      </c>
      <c r="K15" s="7">
        <v>4.707083333333333</v>
      </c>
      <c r="L15" s="7">
        <v>0.8314994691840977</v>
      </c>
      <c r="M15" s="7">
        <v>0.7343386772452402</v>
      </c>
      <c r="N15" s="7">
        <v>0.3528175646733038</v>
      </c>
      <c r="O15" s="7">
        <v>0.0510860531789206</v>
      </c>
      <c r="P15" s="7">
        <v>8.927465533166751</v>
      </c>
      <c r="Q15" s="7">
        <v>0.0064811519969337</v>
      </c>
      <c r="R15" s="7">
        <v>0.0295188276820032</v>
      </c>
      <c r="S15" s="7">
        <v>0.0610789850084738</v>
      </c>
      <c r="T15" s="7">
        <v>0.3001119077102787</v>
      </c>
    </row>
    <row x14ac:dyDescent="0.25" r="16" customHeight="1" ht="19.5">
      <c r="A16" s="2" t="s">
        <v>1074</v>
      </c>
      <c r="B16" s="2" t="s">
        <v>1060</v>
      </c>
      <c r="C16" s="2" t="s">
        <v>31</v>
      </c>
      <c r="D16" s="2" t="s">
        <v>32</v>
      </c>
      <c r="E16" s="6">
        <v>1</v>
      </c>
      <c r="F16" s="6">
        <v>2</v>
      </c>
      <c r="G16" s="7">
        <v>0.4908987879753113</v>
      </c>
      <c r="H16" s="7">
        <v>40.72126093750001</v>
      </c>
      <c r="I16" s="7">
        <v>26.41339563614053</v>
      </c>
      <c r="J16" s="7">
        <v>8.486250000000002</v>
      </c>
      <c r="K16" s="7">
        <v>4.707083333333334</v>
      </c>
      <c r="L16" s="7">
        <v>0.8389624344988121</v>
      </c>
      <c r="M16" s="7">
        <v>0.7334704275880515</v>
      </c>
      <c r="N16" s="7">
        <v>0.3535756117036576</v>
      </c>
      <c r="O16" s="7">
        <v>0.0512277605774484</v>
      </c>
      <c r="P16" s="7">
        <v>8.917824341979061</v>
      </c>
      <c r="Q16" s="7">
        <v>0.0060868715158543</v>
      </c>
      <c r="R16" s="7">
        <v>0.0286677670525945</v>
      </c>
      <c r="S16" s="7">
        <v>0.0582638987946102</v>
      </c>
      <c r="T16" s="7">
        <v>0.2876776564794497</v>
      </c>
    </row>
    <row x14ac:dyDescent="0.25" r="17" customHeight="1" ht="19.5">
      <c r="A17" s="2" t="s">
        <v>1075</v>
      </c>
      <c r="B17" s="2" t="s">
        <v>1060</v>
      </c>
      <c r="C17" s="2" t="s">
        <v>31</v>
      </c>
      <c r="D17" s="2" t="s">
        <v>32</v>
      </c>
      <c r="E17" s="6">
        <v>1</v>
      </c>
      <c r="F17" s="6">
        <v>2</v>
      </c>
      <c r="G17" s="7">
        <v>0.4927892684936523</v>
      </c>
      <c r="H17" s="7">
        <v>38.2554046875</v>
      </c>
      <c r="I17" s="7">
        <v>26.22083499621113</v>
      </c>
      <c r="J17" s="7">
        <v>8.339106069532475</v>
      </c>
      <c r="K17" s="7">
        <v>4.732037364965321</v>
      </c>
      <c r="L17" s="7">
        <v>0.8377207998193773</v>
      </c>
      <c r="M17" s="7">
        <v>0.6992132176019181</v>
      </c>
      <c r="N17" s="7">
        <v>0.358460258427721</v>
      </c>
      <c r="O17" s="7">
        <v>0.0509041475638001</v>
      </c>
      <c r="P17" s="7">
        <v>8.961858480796035</v>
      </c>
      <c r="Q17" s="7">
        <v>0.008427665045318</v>
      </c>
      <c r="R17" s="7">
        <v>0.0341650685442033</v>
      </c>
      <c r="S17" s="7">
        <v>0.0650834128634029</v>
      </c>
      <c r="T17" s="7">
        <v>0.3741888540109474</v>
      </c>
    </row>
    <row x14ac:dyDescent="0.25" r="18" customHeight="1" ht="19.5">
      <c r="A18" s="2" t="s">
        <v>1076</v>
      </c>
      <c r="B18" s="2" t="s">
        <v>1060</v>
      </c>
      <c r="C18" s="2" t="s">
        <v>31</v>
      </c>
      <c r="D18" s="2" t="s">
        <v>32</v>
      </c>
      <c r="E18" s="6">
        <v>1</v>
      </c>
      <c r="F18" s="6">
        <v>2</v>
      </c>
      <c r="G18" s="7">
        <v>0.5195871591567993</v>
      </c>
      <c r="H18" s="7">
        <v>38.9757671875</v>
      </c>
      <c r="I18" s="7">
        <v>26.36291061825139</v>
      </c>
      <c r="J18" s="7">
        <v>8.291579375442751</v>
      </c>
      <c r="K18" s="7">
        <v>4.711207049553718</v>
      </c>
      <c r="L18" s="7">
        <v>0.8333650402763274</v>
      </c>
      <c r="M18" s="7">
        <v>0.7047219879702376</v>
      </c>
      <c r="N18" s="7">
        <v>0.3594212920550093</v>
      </c>
      <c r="O18" s="7">
        <v>0.0511460199425842</v>
      </c>
      <c r="P18" s="7">
        <v>8.945648027988282</v>
      </c>
      <c r="Q18" s="7">
        <v>0.007941484357721</v>
      </c>
      <c r="R18" s="7">
        <v>0.0325733462854863</v>
      </c>
      <c r="S18" s="7">
        <v>0.0620911363034954</v>
      </c>
      <c r="T18" s="7">
        <v>0.3592420262901614</v>
      </c>
    </row>
    <row x14ac:dyDescent="0.25" r="19" customHeight="1" ht="19.5">
      <c r="A19" s="2" t="s">
        <v>1077</v>
      </c>
      <c r="B19" s="2" t="s">
        <v>1060</v>
      </c>
      <c r="C19" s="2" t="s">
        <v>31</v>
      </c>
      <c r="D19" s="2" t="s">
        <v>32</v>
      </c>
      <c r="E19" s="6">
        <v>1</v>
      </c>
      <c r="F19" s="6">
        <v>2</v>
      </c>
      <c r="G19" s="7">
        <v>0.5007085800170898</v>
      </c>
      <c r="H19" s="7">
        <v>40.21215859375</v>
      </c>
      <c r="I19" s="7">
        <v>26.2956963370772</v>
      </c>
      <c r="J19" s="7">
        <v>8.48625</v>
      </c>
      <c r="K19" s="7">
        <v>4.6475</v>
      </c>
      <c r="L19" s="7">
        <v>0.8433364558487852</v>
      </c>
      <c r="M19" s="7">
        <v>0.730798923593408</v>
      </c>
      <c r="N19" s="7">
        <v>0.3544477044822511</v>
      </c>
      <c r="O19" s="7">
        <v>0.0511667105565259</v>
      </c>
      <c r="P19" s="7">
        <v>8.92627074439365</v>
      </c>
      <c r="Q19" s="7">
        <v>0.006308893869296</v>
      </c>
      <c r="R19" s="7">
        <v>0.0290508634330406</v>
      </c>
      <c r="S19" s="7">
        <v>0.0590757568055697</v>
      </c>
      <c r="T19" s="7">
        <v>0.2944431046665067</v>
      </c>
    </row>
    <row x14ac:dyDescent="0.25" r="20" customHeight="1" ht="19.5">
      <c r="A20" s="2" t="s">
        <v>1078</v>
      </c>
      <c r="B20" s="2" t="s">
        <v>1060</v>
      </c>
      <c r="C20" s="2" t="s">
        <v>31</v>
      </c>
      <c r="D20" s="2" t="s">
        <v>32</v>
      </c>
      <c r="E20" s="6">
        <v>1</v>
      </c>
      <c r="F20" s="6">
        <v>2</v>
      </c>
      <c r="G20" s="7">
        <v>0.4750297963619232</v>
      </c>
      <c r="H20" s="7">
        <v>39.16624765625</v>
      </c>
      <c r="I20" s="7">
        <v>25.97707176644194</v>
      </c>
      <c r="J20" s="7">
        <v>8.370945493443223</v>
      </c>
      <c r="K20" s="7">
        <v>4.589629830752489</v>
      </c>
      <c r="L20" s="7">
        <v>0.8430083906045267</v>
      </c>
      <c r="M20" s="7">
        <v>0.729359159596936</v>
      </c>
      <c r="N20" s="7">
        <v>0.3541913676979997</v>
      </c>
      <c r="O20" s="7">
        <v>0.0515119675189588</v>
      </c>
      <c r="P20" s="7">
        <v>8.911249072014206</v>
      </c>
      <c r="Q20" s="7">
        <v>0.0064251190102993</v>
      </c>
      <c r="R20" s="7">
        <v>0.0296372504373413</v>
      </c>
      <c r="S20" s="7">
        <v>0.0608102883885916</v>
      </c>
      <c r="T20" s="7">
        <v>0.2920679632864702</v>
      </c>
    </row>
    <row x14ac:dyDescent="0.25" r="21" customHeight="1" ht="19.5">
      <c r="A21" s="2" t="s">
        <v>1079</v>
      </c>
      <c r="B21" s="2" t="s">
        <v>1060</v>
      </c>
      <c r="C21" s="2" t="s">
        <v>31</v>
      </c>
      <c r="D21" s="2" t="s">
        <v>32</v>
      </c>
      <c r="E21" s="6">
        <v>1</v>
      </c>
      <c r="F21" s="6">
        <v>2</v>
      </c>
      <c r="G21" s="7">
        <v>0.5237396955490112</v>
      </c>
      <c r="H21" s="7">
        <v>38.7956765625</v>
      </c>
      <c r="I21" s="7">
        <v>26.13760902370255</v>
      </c>
      <c r="J21" s="7">
        <v>8.33125949170795</v>
      </c>
      <c r="K21" s="7">
        <v>4.777471842610941</v>
      </c>
      <c r="L21" s="7">
        <v>0.8330674434366795</v>
      </c>
      <c r="M21" s="7">
        <v>0.7136109070968015</v>
      </c>
      <c r="N21" s="7">
        <v>0.3581205491480639</v>
      </c>
      <c r="O21" s="7">
        <v>0.0511218667598568</v>
      </c>
      <c r="P21" s="7">
        <v>8.948798530550896</v>
      </c>
      <c r="Q21" s="7">
        <v>0.0081752775141204</v>
      </c>
      <c r="R21" s="7">
        <v>0.0329351725806653</v>
      </c>
      <c r="S21" s="7">
        <v>0.0703035648442889</v>
      </c>
      <c r="T21" s="7">
        <v>0.3681091510633787</v>
      </c>
    </row>
    <row x14ac:dyDescent="0.25" r="22" customHeight="1" ht="19.5">
      <c r="A22" s="2" t="s">
        <v>1080</v>
      </c>
      <c r="B22" s="2" t="s">
        <v>1060</v>
      </c>
      <c r="C22" s="2" t="s">
        <v>31</v>
      </c>
      <c r="D22" s="2" t="s">
        <v>32</v>
      </c>
      <c r="E22" s="6">
        <v>1</v>
      </c>
      <c r="F22" s="6">
        <v>2</v>
      </c>
      <c r="G22" s="7">
        <v>0.434946060180664</v>
      </c>
      <c r="H22" s="7">
        <v>39.46408984375</v>
      </c>
      <c r="I22" s="7">
        <v>26.21247036456861</v>
      </c>
      <c r="J22" s="7">
        <v>8.545246160361813</v>
      </c>
      <c r="K22" s="7">
        <v>4.529966129940522</v>
      </c>
      <c r="L22" s="7">
        <v>0.854020669625696</v>
      </c>
      <c r="M22" s="7">
        <v>0.7217653854564758</v>
      </c>
      <c r="N22" s="7">
        <v>0.3520479496620914</v>
      </c>
      <c r="O22" s="7">
        <v>0.0508444926504419</v>
      </c>
      <c r="P22" s="7">
        <v>8.94970147126099</v>
      </c>
      <c r="Q22" s="7">
        <v>0.0069768442127547</v>
      </c>
      <c r="R22" s="7">
        <v>0.0297106310015097</v>
      </c>
      <c r="S22" s="7">
        <v>0.0587658330664131</v>
      </c>
      <c r="T22" s="7">
        <v>0.3195596206088513</v>
      </c>
    </row>
    <row x14ac:dyDescent="0.25" r="23" customHeight="1" ht="19.5">
      <c r="A23" s="2" t="s">
        <v>1081</v>
      </c>
      <c r="B23" s="2" t="s">
        <v>1060</v>
      </c>
      <c r="C23" s="2" t="s">
        <v>31</v>
      </c>
      <c r="D23" s="2" t="s">
        <v>32</v>
      </c>
      <c r="E23" s="6">
        <v>1</v>
      </c>
      <c r="F23" s="6">
        <v>2</v>
      </c>
      <c r="G23" s="7">
        <v>0.5288496017456055</v>
      </c>
      <c r="H23" s="7">
        <v>37.86405390625</v>
      </c>
      <c r="I23" s="7">
        <v>25.50627457018861</v>
      </c>
      <c r="J23" s="7">
        <v>8.19660466621326</v>
      </c>
      <c r="K23" s="7">
        <v>4.530094050684564</v>
      </c>
      <c r="L23" s="7">
        <v>0.840235223027654</v>
      </c>
      <c r="M23" s="7">
        <v>0.7313797182486932</v>
      </c>
      <c r="N23" s="7">
        <v>0.3552011271103474</v>
      </c>
      <c r="O23" s="7">
        <v>0.0513685268863257</v>
      </c>
      <c r="P23" s="7">
        <v>8.917391264621331</v>
      </c>
      <c r="Q23" s="7">
        <v>0.0068914625103552</v>
      </c>
      <c r="R23" s="7">
        <v>0.0308408611278991</v>
      </c>
      <c r="S23" s="7">
        <v>0.0623222531301025</v>
      </c>
      <c r="T23" s="7">
        <v>0.3028511922755535</v>
      </c>
    </row>
    <row x14ac:dyDescent="0.25" r="24" customHeight="1" ht="19.5">
      <c r="A24" s="2" t="s">
        <v>1082</v>
      </c>
      <c r="B24" s="2" t="s">
        <v>1060</v>
      </c>
      <c r="C24" s="2" t="s">
        <v>31</v>
      </c>
      <c r="D24" s="2" t="s">
        <v>32</v>
      </c>
      <c r="E24" s="6">
        <v>1</v>
      </c>
      <c r="F24" s="6">
        <v>2</v>
      </c>
      <c r="G24" s="7">
        <v>0.5057837963104248</v>
      </c>
      <c r="H24" s="7">
        <v>37.24758984375</v>
      </c>
      <c r="I24" s="7">
        <v>24.7596907614973</v>
      </c>
      <c r="J24" s="7">
        <v>7.836193821684171</v>
      </c>
      <c r="K24" s="7">
        <v>4.940789486708974</v>
      </c>
      <c r="L24" s="7">
        <v>0.796737774335722</v>
      </c>
      <c r="M24" s="7">
        <v>0.7634440687352677</v>
      </c>
      <c r="N24" s="7">
        <v>0.4404517262648345</v>
      </c>
      <c r="O24" s="7">
        <v>0.0622817407651178</v>
      </c>
      <c r="P24" s="7">
        <v>8.40094960774783</v>
      </c>
      <c r="Q24" s="7">
        <v>0.0066423439696372</v>
      </c>
      <c r="R24" s="7">
        <v>0.030625422641918</v>
      </c>
      <c r="S24" s="7">
        <v>0.0554555677655184</v>
      </c>
      <c r="T24" s="7">
        <v>0.2871509900217006</v>
      </c>
    </row>
    <row x14ac:dyDescent="0.25" r="25" customHeight="1" ht="19.5">
      <c r="A25" s="2" t="s">
        <v>1083</v>
      </c>
      <c r="B25" s="2" t="s">
        <v>1060</v>
      </c>
      <c r="C25" s="2" t="s">
        <v>31</v>
      </c>
      <c r="D25" s="2" t="s">
        <v>32</v>
      </c>
      <c r="E25" s="6">
        <v>1</v>
      </c>
      <c r="F25" s="6">
        <v>2</v>
      </c>
      <c r="G25" s="7">
        <v>0.2567099630832672</v>
      </c>
      <c r="H25" s="7">
        <v>43.91094296875</v>
      </c>
      <c r="I25" s="7">
        <v>27.98632448216114</v>
      </c>
      <c r="J25" s="7">
        <v>8.622282622198767</v>
      </c>
      <c r="K25" s="7">
        <v>5.09825863016019</v>
      </c>
      <c r="L25" s="7">
        <v>0.8221459129541663</v>
      </c>
      <c r="M25" s="7">
        <v>0.7045160592363073</v>
      </c>
      <c r="N25" s="7">
        <v>0.5176682989444231</v>
      </c>
      <c r="O25" s="7">
        <v>0.0682906063849727</v>
      </c>
      <c r="P25" s="7">
        <v>8.205554714826409</v>
      </c>
      <c r="Q25" s="7">
        <v>0.0110881865983941</v>
      </c>
      <c r="R25" s="7">
        <v>0.035466289660889</v>
      </c>
      <c r="S25" s="7">
        <v>0.0530041844413642</v>
      </c>
      <c r="T25" s="7">
        <v>0.5650983893202459</v>
      </c>
    </row>
    <row x14ac:dyDescent="0.25" r="26" customHeight="1" ht="19.5">
      <c r="A26" s="2" t="s">
        <v>1084</v>
      </c>
      <c r="B26" s="2" t="s">
        <v>1060</v>
      </c>
      <c r="C26" s="2" t="s">
        <v>31</v>
      </c>
      <c r="D26" s="2" t="s">
        <v>32</v>
      </c>
      <c r="E26" s="6">
        <v>1</v>
      </c>
      <c r="F26" s="6">
        <v>2</v>
      </c>
      <c r="G26" s="7">
        <v>0.6281500458717346</v>
      </c>
      <c r="H26" s="7">
        <v>39.633790625</v>
      </c>
      <c r="I26" s="7">
        <v>26.131694335946</v>
      </c>
      <c r="J26" s="7">
        <v>8.619986016193103</v>
      </c>
      <c r="K26" s="7">
        <v>5.0150190649015</v>
      </c>
      <c r="L26" s="7">
        <v>0.8353520348544637</v>
      </c>
      <c r="M26" s="7">
        <v>0.7293573026308454</v>
      </c>
      <c r="N26" s="7">
        <v>0.4480986600982513</v>
      </c>
      <c r="O26" s="7">
        <v>0.0647099209371847</v>
      </c>
      <c r="P26" s="7">
        <v>8.544718066449176</v>
      </c>
      <c r="Q26" s="7">
        <v>0.0083865137393942</v>
      </c>
      <c r="R26" s="7">
        <v>0.032120504453339</v>
      </c>
      <c r="S26" s="7">
        <v>0.053223038000707</v>
      </c>
      <c r="T26" s="7">
        <v>0.3857783521375145</v>
      </c>
    </row>
    <row x14ac:dyDescent="0.25" r="27" customHeight="1" ht="19.5">
      <c r="A27" s="2" t="s">
        <v>1085</v>
      </c>
      <c r="B27" s="2" t="s">
        <v>1060</v>
      </c>
      <c r="C27" s="2" t="s">
        <v>31</v>
      </c>
      <c r="D27" s="2" t="s">
        <v>32</v>
      </c>
      <c r="E27" s="6">
        <v>1</v>
      </c>
      <c r="F27" s="6">
        <v>2</v>
      </c>
      <c r="G27" s="7">
        <v>0.6305670142173767</v>
      </c>
      <c r="H27" s="7">
        <v>40.520390625</v>
      </c>
      <c r="I27" s="7">
        <v>26.90928672732145</v>
      </c>
      <c r="J27" s="7">
        <v>8.554303830388381</v>
      </c>
      <c r="K27" s="7">
        <v>5.14978905518748</v>
      </c>
      <c r="L27" s="7">
        <v>0.8280438624284264</v>
      </c>
      <c r="M27" s="7">
        <v>0.7032004093746524</v>
      </c>
      <c r="N27" s="7">
        <v>0.4382802800434189</v>
      </c>
      <c r="O27" s="7">
        <v>0.0608553505231493</v>
      </c>
      <c r="P27" s="7">
        <v>8.641695922310777</v>
      </c>
      <c r="Q27" s="7">
        <v>0.0076776187820261</v>
      </c>
      <c r="R27" s="7">
        <v>0.0309037989014804</v>
      </c>
      <c r="S27" s="7">
        <v>0.0539156429505506</v>
      </c>
      <c r="T27" s="7">
        <v>0.361069618989884</v>
      </c>
    </row>
    <row x14ac:dyDescent="0.25" r="28" customHeight="1" ht="19.5">
      <c r="A28" s="2" t="s">
        <v>1086</v>
      </c>
      <c r="B28" s="2" t="s">
        <v>1060</v>
      </c>
      <c r="C28" s="2" t="s">
        <v>31</v>
      </c>
      <c r="D28" s="2" t="s">
        <v>32</v>
      </c>
      <c r="E28" s="6">
        <v>1</v>
      </c>
      <c r="F28" s="6">
        <v>2</v>
      </c>
      <c r="G28" s="7">
        <v>0.599497377872467</v>
      </c>
      <c r="H28" s="7">
        <v>41.08836875</v>
      </c>
      <c r="I28" s="7">
        <v>27.36789576208633</v>
      </c>
      <c r="J28" s="7">
        <v>8.605087990611025</v>
      </c>
      <c r="K28" s="7">
        <v>5.408936128038393</v>
      </c>
      <c r="L28" s="7">
        <v>0.8236937851151549</v>
      </c>
      <c r="M28" s="7">
        <v>0.6887787413440246</v>
      </c>
      <c r="N28" s="7">
        <v>0.4473640515158425</v>
      </c>
      <c r="O28" s="7">
        <v>0.0637633885785847</v>
      </c>
      <c r="P28" s="7">
        <v>8.60426235395953</v>
      </c>
      <c r="Q28" s="7">
        <v>0.0083528082864317</v>
      </c>
      <c r="R28" s="7">
        <v>0.0314497373799583</v>
      </c>
      <c r="S28" s="7">
        <v>0.0526486257051691</v>
      </c>
      <c r="T28" s="7">
        <v>0.3983292451995997</v>
      </c>
    </row>
    <row x14ac:dyDescent="0.25" r="29" customHeight="1" ht="19.5">
      <c r="A29" s="2" t="s">
        <v>1087</v>
      </c>
      <c r="B29" s="2" t="s">
        <v>1060</v>
      </c>
      <c r="C29" s="2" t="s">
        <v>31</v>
      </c>
      <c r="D29" s="2" t="s">
        <v>32</v>
      </c>
      <c r="E29" s="6">
        <v>1</v>
      </c>
      <c r="F29" s="6">
        <v>2</v>
      </c>
      <c r="G29" s="7">
        <v>0.6207678318023682</v>
      </c>
      <c r="H29" s="7">
        <v>39.993971875</v>
      </c>
      <c r="I29" s="7">
        <v>27.1265824762031</v>
      </c>
      <c r="J29" s="7">
        <v>8.539303815626624</v>
      </c>
      <c r="K29" s="7">
        <v>5.126224852220965</v>
      </c>
      <c r="L29" s="7">
        <v>0.8342786045957012</v>
      </c>
      <c r="M29" s="7">
        <v>0.682516678601531</v>
      </c>
      <c r="N29" s="7">
        <v>0.4353206395918527</v>
      </c>
      <c r="O29" s="7">
        <v>0.060265462909304</v>
      </c>
      <c r="P29" s="7">
        <v>8.653065897251938</v>
      </c>
      <c r="Q29" s="7">
        <v>0.0084890204184327</v>
      </c>
      <c r="R29" s="7">
        <v>0.032923944575319</v>
      </c>
      <c r="S29" s="7">
        <v>0.0548954702538838</v>
      </c>
      <c r="T29" s="7">
        <v>0.3940423451406676</v>
      </c>
    </row>
    <row x14ac:dyDescent="0.25" r="30" customHeight="1" ht="19.5">
      <c r="A30" s="2" t="s">
        <v>1088</v>
      </c>
      <c r="B30" s="2" t="s">
        <v>1060</v>
      </c>
      <c r="C30" s="2" t="s">
        <v>31</v>
      </c>
      <c r="D30" s="2" t="s">
        <v>32</v>
      </c>
      <c r="E30" s="6">
        <v>1</v>
      </c>
      <c r="F30" s="6">
        <v>2</v>
      </c>
      <c r="G30" s="7">
        <v>0.6434596180915833</v>
      </c>
      <c r="H30" s="7">
        <v>39.2528296875</v>
      </c>
      <c r="I30" s="7">
        <v>26.32670491976135</v>
      </c>
      <c r="J30" s="7">
        <v>8.563826146544356</v>
      </c>
      <c r="K30" s="7">
        <v>5.274419496404255</v>
      </c>
      <c r="L30" s="7">
        <v>0.8353419247243024</v>
      </c>
      <c r="M30" s="7">
        <v>0.7113710563884973</v>
      </c>
      <c r="N30" s="7">
        <v>0.4458683872082459</v>
      </c>
      <c r="O30" s="7">
        <v>0.065410094979012</v>
      </c>
      <c r="P30" s="7">
        <v>8.564874796690951</v>
      </c>
      <c r="Q30" s="7">
        <v>0.0089775818436398</v>
      </c>
      <c r="R30" s="7">
        <v>0.0340067707892374</v>
      </c>
      <c r="S30" s="7">
        <v>0.0526882737497453</v>
      </c>
      <c r="T30" s="7">
        <v>0.4089979423157795</v>
      </c>
    </row>
    <row x14ac:dyDescent="0.25" r="31" customHeight="1" ht="19.5">
      <c r="A31" s="2" t="s">
        <v>1089</v>
      </c>
      <c r="B31" s="2" t="s">
        <v>1060</v>
      </c>
      <c r="C31" s="2" t="s">
        <v>31</v>
      </c>
      <c r="D31" s="2" t="s">
        <v>32</v>
      </c>
      <c r="E31" s="6">
        <v>1</v>
      </c>
      <c r="F31" s="6">
        <v>2</v>
      </c>
      <c r="G31" s="7">
        <v>0.6308282017707825</v>
      </c>
      <c r="H31" s="7">
        <v>39.7307625</v>
      </c>
      <c r="I31" s="7">
        <v>26.44440421882468</v>
      </c>
      <c r="J31" s="7">
        <v>8.58796364806241</v>
      </c>
      <c r="K31" s="7">
        <v>5.088221626438559</v>
      </c>
      <c r="L31" s="7">
        <v>0.8298849308819711</v>
      </c>
      <c r="M31" s="7">
        <v>0.7139522884771119</v>
      </c>
      <c r="N31" s="7">
        <v>0.4437602313864278</v>
      </c>
      <c r="O31" s="7">
        <v>0.0651175925670408</v>
      </c>
      <c r="P31" s="7">
        <v>8.56428006177274</v>
      </c>
      <c r="Q31" s="7">
        <v>0.0086043030261702</v>
      </c>
      <c r="R31" s="7">
        <v>0.0330927428061541</v>
      </c>
      <c r="S31" s="7">
        <v>0.0521772277442417</v>
      </c>
      <c r="T31" s="7">
        <v>0.3967650204936457</v>
      </c>
    </row>
    <row x14ac:dyDescent="0.25" r="32" customHeight="1" ht="19.5">
      <c r="A32" s="2" t="s">
        <v>1090</v>
      </c>
      <c r="B32" s="2" t="s">
        <v>1060</v>
      </c>
      <c r="C32" s="2" t="s">
        <v>31</v>
      </c>
      <c r="D32" s="2" t="s">
        <v>32</v>
      </c>
      <c r="E32" s="6">
        <v>1</v>
      </c>
      <c r="F32" s="6">
        <v>2</v>
      </c>
      <c r="G32" s="7">
        <v>0.6507666707038879</v>
      </c>
      <c r="H32" s="7">
        <v>39.20088046875</v>
      </c>
      <c r="I32" s="7">
        <v>26.17453229414327</v>
      </c>
      <c r="J32" s="7">
        <v>8.509617081832872</v>
      </c>
      <c r="K32" s="7">
        <v>4.970795039107243</v>
      </c>
      <c r="L32" s="7">
        <v>0.8346509626259522</v>
      </c>
      <c r="M32" s="7">
        <v>0.7190313486198661</v>
      </c>
      <c r="N32" s="7">
        <v>0.4417526329770707</v>
      </c>
      <c r="O32" s="7">
        <v>0.0615051462227779</v>
      </c>
      <c r="P32" s="7">
        <v>8.608720316088393</v>
      </c>
      <c r="Q32" s="7">
        <v>0.0089728615376234</v>
      </c>
      <c r="R32" s="7">
        <v>0.0338305558129662</v>
      </c>
      <c r="S32" s="7">
        <v>0.0573524034446248</v>
      </c>
      <c r="T32" s="7">
        <v>0.408241891688217</v>
      </c>
    </row>
    <row x14ac:dyDescent="0.25" r="33" customHeight="1" ht="19.5">
      <c r="A33" s="2" t="s">
        <v>1091</v>
      </c>
      <c r="B33" s="2" t="s">
        <v>1060</v>
      </c>
      <c r="C33" s="2" t="s">
        <v>31</v>
      </c>
      <c r="D33" s="2" t="s">
        <v>32</v>
      </c>
      <c r="E33" s="6">
        <v>1</v>
      </c>
      <c r="F33" s="6">
        <v>2</v>
      </c>
      <c r="G33" s="7">
        <v>0.6109042167663574</v>
      </c>
      <c r="H33" s="7">
        <v>39.8900734375</v>
      </c>
      <c r="I33" s="7">
        <v>26.43012489942559</v>
      </c>
      <c r="J33" s="7">
        <v>8.576076000048328</v>
      </c>
      <c r="K33" s="7">
        <v>4.981531036361592</v>
      </c>
      <c r="L33" s="7">
        <v>0.8339997350730426</v>
      </c>
      <c r="M33" s="7">
        <v>0.7175898198937082</v>
      </c>
      <c r="N33" s="7">
        <v>0.4418091886093598</v>
      </c>
      <c r="O33" s="7">
        <v>0.0621247980176121</v>
      </c>
      <c r="P33" s="7">
        <v>8.610707147617502</v>
      </c>
      <c r="Q33" s="7">
        <v>0.0075130825578889</v>
      </c>
      <c r="R33" s="7">
        <v>0.0308638208915168</v>
      </c>
      <c r="S33" s="7">
        <v>0.0551541632745272</v>
      </c>
      <c r="T33" s="7">
        <v>0.347835398390417</v>
      </c>
    </row>
    <row x14ac:dyDescent="0.25" r="34" customHeight="1" ht="19.5">
      <c r="A34" s="2" t="s">
        <v>1092</v>
      </c>
      <c r="B34" s="2" t="s">
        <v>1060</v>
      </c>
      <c r="C34" s="2" t="s">
        <v>31</v>
      </c>
      <c r="D34" s="2" t="s">
        <v>32</v>
      </c>
      <c r="E34" s="6">
        <v>1</v>
      </c>
      <c r="F34" s="6">
        <v>2</v>
      </c>
      <c r="G34" s="7">
        <v>0.6251559853553772</v>
      </c>
      <c r="H34" s="7">
        <v>39.1835640625</v>
      </c>
      <c r="I34" s="7">
        <v>26.25775826665186</v>
      </c>
      <c r="J34" s="7">
        <v>8.5771707658778</v>
      </c>
      <c r="K34" s="7">
        <v>5.019931998036702</v>
      </c>
      <c r="L34" s="7">
        <v>0.835191980315705</v>
      </c>
      <c r="M34" s="7">
        <v>0.714164911338893</v>
      </c>
      <c r="N34" s="7">
        <v>0.4478264886983973</v>
      </c>
      <c r="O34" s="7">
        <v>0.0661999833724731</v>
      </c>
      <c r="P34" s="7">
        <v>8.549565124259535</v>
      </c>
      <c r="Q34" s="7">
        <v>0.0091090028215075</v>
      </c>
      <c r="R34" s="7">
        <v>0.0330590229144319</v>
      </c>
      <c r="S34" s="7">
        <v>0.0532931008966816</v>
      </c>
      <c r="T34" s="7">
        <v>0.4142528955309053</v>
      </c>
    </row>
    <row x14ac:dyDescent="0.25" r="35" customHeight="1" ht="19.5">
      <c r="A35" s="2" t="s">
        <v>1093</v>
      </c>
      <c r="B35" s="2" t="s">
        <v>1060</v>
      </c>
      <c r="C35" s="2" t="s">
        <v>31</v>
      </c>
      <c r="D35" s="2" t="s">
        <v>32</v>
      </c>
      <c r="E35" s="6">
        <v>1</v>
      </c>
      <c r="F35" s="6">
        <v>2</v>
      </c>
      <c r="G35" s="7">
        <v>0.6250780820846558</v>
      </c>
      <c r="H35" s="7">
        <v>40.23293828125</v>
      </c>
      <c r="I35" s="7">
        <v>26.58229752504367</v>
      </c>
      <c r="J35" s="7">
        <v>8.774321642547319</v>
      </c>
      <c r="K35" s="7">
        <v>5.090113750369255</v>
      </c>
      <c r="L35" s="7">
        <v>0.8404474921204399</v>
      </c>
      <c r="M35" s="7">
        <v>0.7154949714783465</v>
      </c>
      <c r="N35" s="7">
        <v>0.4469542179050506</v>
      </c>
      <c r="O35" s="7">
        <v>0.0684223503461851</v>
      </c>
      <c r="P35" s="7">
        <v>8.550995705365887</v>
      </c>
      <c r="Q35" s="7">
        <v>0.0089249156018508</v>
      </c>
      <c r="R35" s="7">
        <v>0.0337024109461847</v>
      </c>
      <c r="S35" s="7">
        <v>0.0570983001075533</v>
      </c>
      <c r="T35" s="7">
        <v>0.41675099845522</v>
      </c>
    </row>
    <row x14ac:dyDescent="0.25" r="36" customHeight="1" ht="19.5">
      <c r="A36" s="2" t="s">
        <v>1094</v>
      </c>
      <c r="B36" s="2" t="s">
        <v>1060</v>
      </c>
      <c r="C36" s="2" t="s">
        <v>31</v>
      </c>
      <c r="D36" s="2" t="s">
        <v>32</v>
      </c>
      <c r="E36" s="6">
        <v>1</v>
      </c>
      <c r="F36" s="6">
        <v>2</v>
      </c>
      <c r="G36" s="7">
        <v>0.6274592280387878</v>
      </c>
      <c r="H36" s="7">
        <v>39.37058125</v>
      </c>
      <c r="I36" s="7">
        <v>26.50116271044572</v>
      </c>
      <c r="J36" s="7">
        <v>8.557199675555143</v>
      </c>
      <c r="K36" s="7">
        <v>4.904756260749835</v>
      </c>
      <c r="L36" s="7">
        <v>0.8397829591375046</v>
      </c>
      <c r="M36" s="7">
        <v>0.7044526926154081</v>
      </c>
      <c r="N36" s="7">
        <v>0.4412373085202492</v>
      </c>
      <c r="O36" s="7">
        <v>0.0618713558749801</v>
      </c>
      <c r="P36" s="7">
        <v>8.611680947615731</v>
      </c>
      <c r="Q36" s="7">
        <v>0.0083096437197795</v>
      </c>
      <c r="R36" s="7">
        <v>0.0331020689703631</v>
      </c>
      <c r="S36" s="7">
        <v>0.0519542974522261</v>
      </c>
      <c r="T36" s="7">
        <v>0.3797038583399708</v>
      </c>
    </row>
    <row x14ac:dyDescent="0.25" r="37" customHeight="1" ht="19.5">
      <c r="A37" s="2" t="s">
        <v>1095</v>
      </c>
      <c r="B37" s="2" t="s">
        <v>1060</v>
      </c>
      <c r="C37" s="2" t="s">
        <v>31</v>
      </c>
      <c r="D37" s="2" t="s">
        <v>32</v>
      </c>
      <c r="E37" s="6">
        <v>1</v>
      </c>
      <c r="F37" s="6">
        <v>2</v>
      </c>
      <c r="G37" s="7">
        <v>0.637199342250824</v>
      </c>
      <c r="H37" s="7">
        <v>40.57926640625</v>
      </c>
      <c r="I37" s="7">
        <v>26.81178143541377</v>
      </c>
      <c r="J37" s="7">
        <v>8.630104061910277</v>
      </c>
      <c r="K37" s="7">
        <v>5.197316060035327</v>
      </c>
      <c r="L37" s="7">
        <v>0.8274008381327524</v>
      </c>
      <c r="M37" s="7">
        <v>0.7093534980091263</v>
      </c>
      <c r="N37" s="7">
        <v>0.4460295794602768</v>
      </c>
      <c r="O37" s="7">
        <v>0.0643891685202366</v>
      </c>
      <c r="P37" s="7">
        <v>8.58375588113159</v>
      </c>
      <c r="Q37" s="7">
        <v>0.009165690407549</v>
      </c>
      <c r="R37" s="7">
        <v>0.0335422148435193</v>
      </c>
      <c r="S37" s="7">
        <v>0.0573002835116553</v>
      </c>
      <c r="T37" s="7">
        <v>0.4316782381746682</v>
      </c>
    </row>
    <row x14ac:dyDescent="0.25" r="38" customHeight="1" ht="19.5">
      <c r="A38" s="2" t="s">
        <v>1096</v>
      </c>
      <c r="B38" s="2" t="s">
        <v>1060</v>
      </c>
      <c r="C38" s="2" t="s">
        <v>31</v>
      </c>
      <c r="D38" s="2" t="s">
        <v>32</v>
      </c>
      <c r="E38" s="6">
        <v>1</v>
      </c>
      <c r="F38" s="6">
        <v>2</v>
      </c>
      <c r="G38" s="7">
        <v>0.6247434020042419</v>
      </c>
      <c r="H38" s="7">
        <v>39.4744796875</v>
      </c>
      <c r="I38" s="7">
        <v>26.14597365534508</v>
      </c>
      <c r="J38" s="7">
        <v>8.53758640973706</v>
      </c>
      <c r="K38" s="7">
        <v>5.039160011231229</v>
      </c>
      <c r="L38" s="7">
        <v>0.83261728546589</v>
      </c>
      <c r="M38" s="7">
        <v>0.7256323561775258</v>
      </c>
      <c r="N38" s="7">
        <v>0.4411453461610759</v>
      </c>
      <c r="O38" s="7">
        <v>0.0625677094341069</v>
      </c>
      <c r="P38" s="7">
        <v>8.598134702532633</v>
      </c>
      <c r="Q38" s="7">
        <v>0.0085189845225877</v>
      </c>
      <c r="R38" s="7">
        <v>0.0331182353502259</v>
      </c>
      <c r="S38" s="7">
        <v>0.0560767287278018</v>
      </c>
      <c r="T38" s="7">
        <v>0.3902968296601079</v>
      </c>
    </row>
    <row x14ac:dyDescent="0.25" r="39" customHeight="1" ht="19.5">
      <c r="A39" s="2" t="s">
        <v>1097</v>
      </c>
      <c r="B39" s="2" t="s">
        <v>1060</v>
      </c>
      <c r="C39" s="2" t="s">
        <v>31</v>
      </c>
      <c r="D39" s="2" t="s">
        <v>32</v>
      </c>
      <c r="E39" s="6">
        <v>1</v>
      </c>
      <c r="F39" s="6">
        <v>2</v>
      </c>
      <c r="G39" s="7">
        <v>0.6443330645561218</v>
      </c>
      <c r="H39" s="7">
        <v>39.633790625</v>
      </c>
      <c r="I39" s="7">
        <v>26.16025297474417</v>
      </c>
      <c r="J39" s="7">
        <v>8.59953678231188</v>
      </c>
      <c r="K39" s="7">
        <v>5.096804822869865</v>
      </c>
      <c r="L39" s="7">
        <v>0.8304804236829694</v>
      </c>
      <c r="M39" s="7">
        <v>0.7277657215228726</v>
      </c>
      <c r="N39" s="7">
        <v>0.4470313097197198</v>
      </c>
      <c r="O39" s="7">
        <v>0.0665549051226284</v>
      </c>
      <c r="P39" s="7">
        <v>8.540082680095113</v>
      </c>
      <c r="Q39" s="7">
        <v>0.008729509455363</v>
      </c>
      <c r="R39" s="7">
        <v>0.0324796462106811</v>
      </c>
      <c r="S39" s="7">
        <v>0.0532246445828413</v>
      </c>
      <c r="T39" s="7">
        <v>0.4015561027271447</v>
      </c>
    </row>
    <row x14ac:dyDescent="0.25" r="40" customHeight="1" ht="19.5">
      <c r="A40" s="2" t="s">
        <v>1098</v>
      </c>
      <c r="B40" s="2" t="s">
        <v>1060</v>
      </c>
      <c r="C40" s="2" t="s">
        <v>31</v>
      </c>
      <c r="D40" s="2" t="s">
        <v>32</v>
      </c>
      <c r="E40" s="6">
        <v>1</v>
      </c>
      <c r="F40" s="6">
        <v>2</v>
      </c>
      <c r="G40" s="7">
        <v>0.6173864006996155</v>
      </c>
      <c r="H40" s="7">
        <v>40.70048125</v>
      </c>
      <c r="I40" s="7">
        <v>26.58229752504367</v>
      </c>
      <c r="J40" s="7">
        <v>8.722481991922546</v>
      </c>
      <c r="K40" s="7">
        <v>5.16228440970469</v>
      </c>
      <c r="L40" s="7">
        <v>0.8307096304861115</v>
      </c>
      <c r="M40" s="7">
        <v>0.7238096672818738</v>
      </c>
      <c r="N40" s="7">
        <v>0.4486155032307192</v>
      </c>
      <c r="O40" s="7">
        <v>0.0661330259588641</v>
      </c>
      <c r="P40" s="7">
        <v>8.55048999804186</v>
      </c>
      <c r="Q40" s="7">
        <v>0.0089371914329871</v>
      </c>
      <c r="R40" s="7">
        <v>0.0339056330271003</v>
      </c>
      <c r="S40" s="7">
        <v>0.0541025710926585</v>
      </c>
      <c r="T40" s="7">
        <v>0.4221739044409882</v>
      </c>
    </row>
    <row x14ac:dyDescent="0.25" r="41" customHeight="1" ht="19.5">
      <c r="A41" s="2" t="s">
        <v>1099</v>
      </c>
      <c r="B41" s="2" t="s">
        <v>1060</v>
      </c>
      <c r="C41" s="2" t="s">
        <v>31</v>
      </c>
      <c r="D41" s="2" t="s">
        <v>32</v>
      </c>
      <c r="E41" s="6">
        <v>1</v>
      </c>
      <c r="F41" s="6">
        <v>2</v>
      </c>
      <c r="G41" s="7">
        <v>0.639851450920105</v>
      </c>
      <c r="H41" s="7">
        <v>40.73857734375</v>
      </c>
      <c r="I41" s="7">
        <v>26.6390560166647</v>
      </c>
      <c r="J41" s="7">
        <v>8.705491156268241</v>
      </c>
      <c r="K41" s="7">
        <v>5.146189968106348</v>
      </c>
      <c r="L41" s="7">
        <v>0.8309136012774071</v>
      </c>
      <c r="M41" s="7">
        <v>0.7214031935169859</v>
      </c>
      <c r="N41" s="7">
        <v>0.4454875494447491</v>
      </c>
      <c r="O41" s="7">
        <v>0.065557116606212</v>
      </c>
      <c r="P41" s="7">
        <v>8.564750635231063</v>
      </c>
      <c r="Q41" s="7">
        <v>0.0084423661332064</v>
      </c>
      <c r="R41" s="7">
        <v>0.0327377883818195</v>
      </c>
      <c r="S41" s="7">
        <v>0.0577179670365275</v>
      </c>
      <c r="T41" s="7">
        <v>0.3991726908874854</v>
      </c>
    </row>
    <row x14ac:dyDescent="0.25" r="42" customHeight="1" ht="19.5">
      <c r="A42" s="2" t="s">
        <v>1100</v>
      </c>
      <c r="B42" s="2" t="s">
        <v>1060</v>
      </c>
      <c r="C42" s="2" t="s">
        <v>31</v>
      </c>
      <c r="D42" s="2" t="s">
        <v>32</v>
      </c>
      <c r="E42" s="6">
        <v>1</v>
      </c>
      <c r="F42" s="6">
        <v>2</v>
      </c>
      <c r="G42" s="7">
        <v>0.6466009020805359</v>
      </c>
      <c r="H42" s="7">
        <v>39.495259375</v>
      </c>
      <c r="I42" s="7">
        <v>26.14597365534508</v>
      </c>
      <c r="J42" s="7">
        <v>8.515159216507051</v>
      </c>
      <c r="K42" s="7">
        <v>5.077279515850442</v>
      </c>
      <c r="L42" s="7">
        <v>0.8277311832136993</v>
      </c>
      <c r="M42" s="7">
        <v>0.726014334957756</v>
      </c>
      <c r="N42" s="7">
        <v>0.4460473731448169</v>
      </c>
      <c r="O42" s="7">
        <v>0.0648869387241527</v>
      </c>
      <c r="P42" s="7">
        <v>8.56208686210044</v>
      </c>
      <c r="Q42" s="7">
        <v>0.0086438772967574</v>
      </c>
      <c r="R42" s="7">
        <v>0.0332926936184092</v>
      </c>
      <c r="S42" s="7">
        <v>0.0528915233199514</v>
      </c>
      <c r="T42" s="7">
        <v>0.3962272530795679</v>
      </c>
    </row>
    <row x14ac:dyDescent="0.25" r="43" customHeight="1" ht="19.5">
      <c r="A43" s="2" t="s">
        <v>1101</v>
      </c>
      <c r="B43" s="2" t="s">
        <v>1060</v>
      </c>
      <c r="C43" s="2" t="s">
        <v>31</v>
      </c>
      <c r="D43" s="2" t="s">
        <v>32</v>
      </c>
      <c r="E43" s="6">
        <v>1</v>
      </c>
      <c r="F43" s="6">
        <v>2</v>
      </c>
      <c r="G43" s="7">
        <v>0.635745644569397</v>
      </c>
      <c r="H43" s="7">
        <v>39.83119765625</v>
      </c>
      <c r="I43" s="7">
        <v>26.51335087193418</v>
      </c>
      <c r="J43" s="7">
        <v>8.445473225539402</v>
      </c>
      <c r="K43" s="7">
        <v>5.217197034792763</v>
      </c>
      <c r="L43" s="7">
        <v>0.8264764403630744</v>
      </c>
      <c r="M43" s="7">
        <v>0.7119774317485655</v>
      </c>
      <c r="N43" s="7">
        <v>0.4411438984440888</v>
      </c>
      <c r="O43" s="7">
        <v>0.0617099679556316</v>
      </c>
      <c r="P43" s="7">
        <v>8.610185666851383</v>
      </c>
      <c r="Q43" s="7">
        <v>0.0080840962114026</v>
      </c>
      <c r="R43" s="7">
        <v>0.0311914164509106</v>
      </c>
      <c r="S43" s="7">
        <v>0.0522926505614428</v>
      </c>
      <c r="T43" s="7">
        <v>0.3737193791695897</v>
      </c>
    </row>
    <row x14ac:dyDescent="0.25" r="44" customHeight="1" ht="19.5">
      <c r="A44" s="2" t="s">
        <v>1102</v>
      </c>
      <c r="B44" s="2" t="s">
        <v>1060</v>
      </c>
      <c r="C44" s="2" t="s">
        <v>31</v>
      </c>
      <c r="D44" s="2" t="s">
        <v>32</v>
      </c>
      <c r="E44" s="6">
        <v>1</v>
      </c>
      <c r="F44" s="6">
        <v>2</v>
      </c>
      <c r="G44" s="7">
        <v>0.6268381476402283</v>
      </c>
      <c r="H44" s="7">
        <v>40.63467890625</v>
      </c>
      <c r="I44" s="7">
        <v>26.73656130857238</v>
      </c>
      <c r="J44" s="7">
        <v>8.538681230918097</v>
      </c>
      <c r="K44" s="7">
        <v>5.184641424003773</v>
      </c>
      <c r="L44" s="7">
        <v>0.8279958647667939</v>
      </c>
      <c r="M44" s="7">
        <v>0.7142637005536465</v>
      </c>
      <c r="N44" s="7">
        <v>0.4407844558378662</v>
      </c>
      <c r="O44" s="7">
        <v>0.060534709540003</v>
      </c>
      <c r="P44" s="7">
        <v>8.616819569884225</v>
      </c>
      <c r="Q44" s="7">
        <v>0.0071198580851366</v>
      </c>
      <c r="R44" s="7">
        <v>0.0301873131003809</v>
      </c>
      <c r="S44" s="7">
        <v>0.0489648922086864</v>
      </c>
      <c r="T44" s="7">
        <v>0.3357831892065693</v>
      </c>
    </row>
    <row x14ac:dyDescent="0.25" r="45" customHeight="1" ht="19.5">
      <c r="A45" s="2" t="s">
        <v>1103</v>
      </c>
      <c r="B45" s="2" t="s">
        <v>1060</v>
      </c>
      <c r="C45" s="2" t="s">
        <v>31</v>
      </c>
      <c r="D45" s="2" t="s">
        <v>32</v>
      </c>
      <c r="E45" s="6">
        <v>1</v>
      </c>
      <c r="F45" s="6">
        <v>2</v>
      </c>
      <c r="G45" s="7">
        <v>0.6353453397750854</v>
      </c>
      <c r="H45" s="7">
        <v>39.58876796875001</v>
      </c>
      <c r="I45" s="7">
        <v>26.21492030845458</v>
      </c>
      <c r="J45" s="7">
        <v>8.529143691012901</v>
      </c>
      <c r="K45" s="7">
        <v>4.995457576631695</v>
      </c>
      <c r="L45" s="7">
        <v>0.8319800667186399</v>
      </c>
      <c r="M45" s="7">
        <v>0.7239103180597464</v>
      </c>
      <c r="N45" s="7">
        <v>0.4449649499085908</v>
      </c>
      <c r="O45" s="7">
        <v>0.0628609577890772</v>
      </c>
      <c r="P45" s="7">
        <v>8.576754632398083</v>
      </c>
      <c r="Q45" s="7">
        <v>0.0089155268592179</v>
      </c>
      <c r="R45" s="7">
        <v>0.0340186543520531</v>
      </c>
      <c r="S45" s="7">
        <v>0.0536296419481278</v>
      </c>
      <c r="T45" s="7">
        <v>0.4096470004514702</v>
      </c>
    </row>
    <row x14ac:dyDescent="0.25" r="46" customHeight="1" ht="19.5">
      <c r="A46" s="2" t="s">
        <v>1104</v>
      </c>
      <c r="B46" s="2" t="s">
        <v>1060</v>
      </c>
      <c r="C46" s="2" t="s">
        <v>31</v>
      </c>
      <c r="D46" s="2" t="s">
        <v>32</v>
      </c>
      <c r="E46" s="6">
        <v>1</v>
      </c>
      <c r="F46" s="6">
        <v>2</v>
      </c>
      <c r="G46" s="7">
        <v>0.4219855964183807</v>
      </c>
      <c r="H46" s="7">
        <v>41.92994609375</v>
      </c>
      <c r="I46" s="7">
        <v>27.12795606216306</v>
      </c>
      <c r="J46" s="7">
        <v>8.558870489874131</v>
      </c>
      <c r="K46" s="7">
        <v>4.852105072212002</v>
      </c>
      <c r="L46" s="7">
        <v>0.8332511687718323</v>
      </c>
      <c r="M46" s="7">
        <v>0.7159785662891941</v>
      </c>
      <c r="N46" s="7">
        <v>0.5156328746089787</v>
      </c>
      <c r="O46" s="7">
        <v>0.0687470061899842</v>
      </c>
      <c r="P46" s="7">
        <v>8.193865494506154</v>
      </c>
      <c r="Q46" s="7">
        <v>0.0102679248625103</v>
      </c>
      <c r="R46" s="7">
        <v>0.0345366828662694</v>
      </c>
      <c r="S46" s="7">
        <v>0.0539016512427473</v>
      </c>
      <c r="T46" s="7">
        <v>0.4996866723720092</v>
      </c>
    </row>
    <row x14ac:dyDescent="0.25" r="47" customHeight="1" ht="19.5">
      <c r="A47" s="2" t="s">
        <v>1105</v>
      </c>
      <c r="B47" s="2" t="s">
        <v>1060</v>
      </c>
      <c r="C47" s="2" t="s">
        <v>31</v>
      </c>
      <c r="D47" s="2" t="s">
        <v>32</v>
      </c>
      <c r="E47" s="6">
        <v>1</v>
      </c>
      <c r="F47" s="6">
        <v>2</v>
      </c>
      <c r="G47" s="7">
        <v>0.5300337672233582</v>
      </c>
      <c r="H47" s="7">
        <v>47.37422421875</v>
      </c>
      <c r="I47" s="7">
        <v>30.10700302321177</v>
      </c>
      <c r="J47" s="7">
        <v>9.858903957978864</v>
      </c>
      <c r="K47" s="7">
        <v>4.899496031017659</v>
      </c>
      <c r="L47" s="7">
        <v>0.8818850421791125</v>
      </c>
      <c r="M47" s="7">
        <v>0.6567754684572562</v>
      </c>
      <c r="N47" s="7">
        <v>0.4364039068093013</v>
      </c>
      <c r="O47" s="7">
        <v>0.0574383116759722</v>
      </c>
      <c r="P47" s="7">
        <v>8.689625953959888</v>
      </c>
      <c r="Q47" s="7">
        <v>0.0108339665886484</v>
      </c>
      <c r="R47" s="7">
        <v>0.0364197113807485</v>
      </c>
      <c r="S47" s="7">
        <v>0.0585944539490701</v>
      </c>
      <c r="T47" s="7">
        <v>0.5956901009975687</v>
      </c>
    </row>
    <row x14ac:dyDescent="0.25" r="48" customHeight="1" ht="19.5">
      <c r="A48" s="2" t="s">
        <v>1106</v>
      </c>
      <c r="B48" s="2" t="s">
        <v>1060</v>
      </c>
      <c r="C48" s="2" t="s">
        <v>31</v>
      </c>
      <c r="D48" s="2" t="s">
        <v>32</v>
      </c>
      <c r="E48" s="6">
        <v>1</v>
      </c>
      <c r="F48" s="6">
        <v>2</v>
      </c>
      <c r="G48" s="7">
        <v>0.5482012629508972</v>
      </c>
      <c r="H48" s="7">
        <v>47.57509453125</v>
      </c>
      <c r="I48" s="7">
        <v>32.70092870440172</v>
      </c>
      <c r="J48" s="7">
        <v>9.98202252487975</v>
      </c>
      <c r="K48" s="7">
        <v>4.856245544532484</v>
      </c>
      <c r="L48" s="7">
        <v>0.885478002733991</v>
      </c>
      <c r="M48" s="7">
        <v>0.5590740704384091</v>
      </c>
      <c r="N48" s="7">
        <v>0.4091371865362651</v>
      </c>
      <c r="O48" s="7">
        <v>0.054494447049068</v>
      </c>
      <c r="P48" s="7">
        <v>8.846737350818204</v>
      </c>
      <c r="Q48" s="7">
        <v>0.0099835631276985</v>
      </c>
      <c r="R48" s="7">
        <v>0.0356876763543838</v>
      </c>
      <c r="S48" s="7">
        <v>0.0689644782673577</v>
      </c>
      <c r="T48" s="7">
        <v>0.5512594003668576</v>
      </c>
    </row>
    <row x14ac:dyDescent="0.25" r="49" customHeight="1" ht="19.5">
      <c r="A49" s="2" t="s">
        <v>1107</v>
      </c>
      <c r="B49" s="2" t="s">
        <v>1060</v>
      </c>
      <c r="C49" s="2" t="s">
        <v>31</v>
      </c>
      <c r="D49" s="2" t="s">
        <v>32</v>
      </c>
      <c r="E49" s="6">
        <v>1</v>
      </c>
      <c r="F49" s="6">
        <v>2</v>
      </c>
      <c r="G49" s="7">
        <v>0.5676980018615723</v>
      </c>
      <c r="H49" s="7">
        <v>44.510090625</v>
      </c>
      <c r="I49" s="7">
        <v>28.59746492851943</v>
      </c>
      <c r="J49" s="7">
        <v>10.08260834008828</v>
      </c>
      <c r="K49" s="7">
        <v>5.123153689022516</v>
      </c>
      <c r="L49" s="7">
        <v>0.8871593195577271</v>
      </c>
      <c r="M49" s="7">
        <v>0.6839325454306459</v>
      </c>
      <c r="N49" s="7">
        <v>0.4336459051111894</v>
      </c>
      <c r="O49" s="7">
        <v>0.0739613106683938</v>
      </c>
      <c r="P49" s="7">
        <v>8.61059298066732</v>
      </c>
      <c r="Q49" s="7">
        <v>0.0105552975867515</v>
      </c>
      <c r="R49" s="7">
        <v>0.0366270178103036</v>
      </c>
      <c r="S49" s="7">
        <v>0.0615144313388376</v>
      </c>
      <c r="T49" s="7">
        <v>0.5452802156762041</v>
      </c>
    </row>
    <row x14ac:dyDescent="0.25" r="50" customHeight="1" ht="19.5">
      <c r="A50" s="2" t="s">
        <v>1108</v>
      </c>
      <c r="B50" s="2" t="s">
        <v>1060</v>
      </c>
      <c r="C50" s="2" t="s">
        <v>31</v>
      </c>
      <c r="D50" s="2" t="s">
        <v>32</v>
      </c>
      <c r="E50" s="6">
        <v>1</v>
      </c>
      <c r="F50" s="6">
        <v>2</v>
      </c>
      <c r="G50" s="7">
        <v>0.5401045083999634</v>
      </c>
      <c r="H50" s="7">
        <v>46.5465</v>
      </c>
      <c r="I50" s="7">
        <v>31.58870005105661</v>
      </c>
      <c r="J50" s="7">
        <v>10.50366485829574</v>
      </c>
      <c r="K50" s="7">
        <v>4.95799890654116</v>
      </c>
      <c r="L50" s="7">
        <v>0.905321359269389</v>
      </c>
      <c r="M50" s="7">
        <v>0.5852236994046092</v>
      </c>
      <c r="N50" s="7">
        <v>0.4090942737027356</v>
      </c>
      <c r="O50" s="7">
        <v>0.0590510025685009</v>
      </c>
      <c r="P50" s="7">
        <v>8.784023548592051</v>
      </c>
      <c r="Q50" s="7">
        <v>0.0103713843877931</v>
      </c>
      <c r="R50" s="7">
        <v>0.0362421300226292</v>
      </c>
      <c r="S50" s="7">
        <v>0.0653570433837493</v>
      </c>
      <c r="T50" s="7">
        <v>0.5602921540755983</v>
      </c>
    </row>
    <row x14ac:dyDescent="0.25" r="51" customHeight="1" ht="19.5">
      <c r="A51" s="2" t="s">
        <v>1109</v>
      </c>
      <c r="B51" s="2" t="s">
        <v>1060</v>
      </c>
      <c r="C51" s="2" t="s">
        <v>31</v>
      </c>
      <c r="D51" s="2" t="s">
        <v>32</v>
      </c>
      <c r="E51" s="6">
        <v>1</v>
      </c>
      <c r="F51" s="6">
        <v>2</v>
      </c>
      <c r="G51" s="7">
        <v>0.5524294972419739</v>
      </c>
      <c r="H51" s="7">
        <v>47.06945546875</v>
      </c>
      <c r="I51" s="7">
        <v>35.90145373015334</v>
      </c>
      <c r="J51" s="7">
        <v>9.862658548131886</v>
      </c>
      <c r="K51" s="7">
        <v>5.256768314946942</v>
      </c>
      <c r="L51" s="7">
        <v>0.8740501831226956</v>
      </c>
      <c r="M51" s="7">
        <v>0.458907303109368</v>
      </c>
      <c r="N51" s="7">
        <v>0.4127319669977818</v>
      </c>
      <c r="O51" s="7">
        <v>0.0570490657506242</v>
      </c>
      <c r="P51" s="7">
        <v>8.861847306594957</v>
      </c>
      <c r="Q51" s="7">
        <v>0.0110348445153751</v>
      </c>
      <c r="R51" s="7">
        <v>0.0382723287728575</v>
      </c>
      <c r="S51" s="7">
        <v>0.0675284111876091</v>
      </c>
      <c r="T51" s="7">
        <v>0.6028318258837211</v>
      </c>
    </row>
    <row x14ac:dyDescent="0.25" r="52" customHeight="1" ht="19.5">
      <c r="A52" s="2" t="s">
        <v>1110</v>
      </c>
      <c r="B52" s="2" t="s">
        <v>1060</v>
      </c>
      <c r="C52" s="2" t="s">
        <v>31</v>
      </c>
      <c r="D52" s="2" t="s">
        <v>32</v>
      </c>
      <c r="E52" s="6">
        <v>1</v>
      </c>
      <c r="F52" s="6">
        <v>2</v>
      </c>
      <c r="G52" s="7">
        <v>0.5509867668151855</v>
      </c>
      <c r="H52" s="7">
        <v>45.0295828125</v>
      </c>
      <c r="I52" s="7">
        <v>28.89589549199903</v>
      </c>
      <c r="J52" s="7">
        <v>10.17576890280771</v>
      </c>
      <c r="K52" s="7">
        <v>5.203808652234607</v>
      </c>
      <c r="L52" s="7">
        <v>0.886805814817889</v>
      </c>
      <c r="M52" s="7">
        <v>0.6776968570757664</v>
      </c>
      <c r="N52" s="7">
        <v>0.4366005001301632</v>
      </c>
      <c r="O52" s="7">
        <v>0.0763914623686319</v>
      </c>
      <c r="P52" s="7">
        <v>8.608983647400313</v>
      </c>
      <c r="Q52" s="7">
        <v>0.0114415902259592</v>
      </c>
      <c r="R52" s="7">
        <v>0.0379062695736833</v>
      </c>
      <c r="S52" s="7">
        <v>0.0657800975236499</v>
      </c>
      <c r="T52" s="7">
        <v>0.5979640753637481</v>
      </c>
    </row>
    <row x14ac:dyDescent="0.25" r="53" customHeight="1" ht="19.5">
      <c r="A53" s="2" t="s">
        <v>1111</v>
      </c>
      <c r="B53" s="2" t="s">
        <v>1060</v>
      </c>
      <c r="C53" s="2" t="s">
        <v>31</v>
      </c>
      <c r="D53" s="2" t="s">
        <v>32</v>
      </c>
      <c r="E53" s="6">
        <v>1</v>
      </c>
      <c r="F53" s="6">
        <v>2</v>
      </c>
      <c r="G53" s="7">
        <v>0.5572009086608887</v>
      </c>
      <c r="H53" s="7">
        <v>47.3569078125</v>
      </c>
      <c r="I53" s="7">
        <v>33.36464532655977</v>
      </c>
      <c r="J53" s="7">
        <v>10.35751441554824</v>
      </c>
      <c r="K53" s="7">
        <v>5.174493417747501</v>
      </c>
      <c r="L53" s="7">
        <v>0.8944455660212509</v>
      </c>
      <c r="M53" s="7">
        <v>0.5345891943359969</v>
      </c>
      <c r="N53" s="7">
        <v>0.415883541350222</v>
      </c>
      <c r="O53" s="7">
        <v>0.0600423384137241</v>
      </c>
      <c r="P53" s="7">
        <v>8.794280939401723</v>
      </c>
      <c r="Q53" s="7">
        <v>0.0111040219235074</v>
      </c>
      <c r="R53" s="7">
        <v>0.0381461205762524</v>
      </c>
      <c r="S53" s="7">
        <v>0.0654155886457832</v>
      </c>
      <c r="T53" s="7">
        <v>0.6103155395021809</v>
      </c>
    </row>
    <row x14ac:dyDescent="0.25" r="54" customHeight="1" ht="19.5">
      <c r="A54" s="2" t="s">
        <v>1112</v>
      </c>
      <c r="B54" s="2" t="s">
        <v>1060</v>
      </c>
      <c r="C54" s="2" t="s">
        <v>31</v>
      </c>
      <c r="D54" s="2" t="s">
        <v>32</v>
      </c>
      <c r="E54" s="6">
        <v>1</v>
      </c>
      <c r="F54" s="6">
        <v>2</v>
      </c>
      <c r="G54" s="7">
        <v>0.5715996623039246</v>
      </c>
      <c r="H54" s="7">
        <v>45.58717109375</v>
      </c>
      <c r="I54" s="7">
        <v>29.23471406978994</v>
      </c>
      <c r="J54" s="7">
        <v>10.36046598492923</v>
      </c>
      <c r="K54" s="7">
        <v>4.968874475774797</v>
      </c>
      <c r="L54" s="7">
        <v>0.8971923046656639</v>
      </c>
      <c r="M54" s="7">
        <v>0.6702777541292335</v>
      </c>
      <c r="N54" s="7">
        <v>0.4247630493214163</v>
      </c>
      <c r="O54" s="7">
        <v>0.0648012512175405</v>
      </c>
      <c r="P54" s="7">
        <v>8.697744942427072</v>
      </c>
      <c r="Q54" s="7">
        <v>0.0098411117831032</v>
      </c>
      <c r="R54" s="7">
        <v>0.0346749160915321</v>
      </c>
      <c r="S54" s="7">
        <v>0.0624088925553591</v>
      </c>
      <c r="T54" s="7">
        <v>0.5206880228444051</v>
      </c>
    </row>
    <row x14ac:dyDescent="0.25" r="55" customHeight="1" ht="19.5">
      <c r="A55" s="2" t="s">
        <v>1113</v>
      </c>
      <c r="B55" s="2" t="s">
        <v>1060</v>
      </c>
      <c r="C55" s="2" t="s">
        <v>31</v>
      </c>
      <c r="D55" s="2" t="s">
        <v>32</v>
      </c>
      <c r="E55" s="6">
        <v>1</v>
      </c>
      <c r="F55" s="6">
        <v>2</v>
      </c>
      <c r="G55" s="7">
        <v>0.5859860777854919</v>
      </c>
      <c r="H55" s="7">
        <v>44.84602890625001</v>
      </c>
      <c r="I55" s="7">
        <v>28.85305753380176</v>
      </c>
      <c r="J55" s="7">
        <v>10.23814333593872</v>
      </c>
      <c r="K55" s="7">
        <v>5.049999881523652</v>
      </c>
      <c r="L55" s="7">
        <v>0.8934625060960854</v>
      </c>
      <c r="M55" s="7">
        <v>0.6769399937391599</v>
      </c>
      <c r="N55" s="7">
        <v>0.4334663077203542</v>
      </c>
      <c r="O55" s="7">
        <v>0.0722581360851509</v>
      </c>
      <c r="P55" s="7">
        <v>8.624351954980506</v>
      </c>
      <c r="Q55" s="7">
        <v>0.0111114794408993</v>
      </c>
      <c r="R55" s="7">
        <v>0.0370308578186854</v>
      </c>
      <c r="S55" s="7">
        <v>0.0638199473061012</v>
      </c>
      <c r="T55" s="7">
        <v>0.5783445663075527</v>
      </c>
    </row>
    <row x14ac:dyDescent="0.25" r="56" customHeight="1" ht="19.5">
      <c r="A56" s="2" t="s">
        <v>1114</v>
      </c>
      <c r="B56" s="2" t="s">
        <v>1060</v>
      </c>
      <c r="C56" s="2" t="s">
        <v>31</v>
      </c>
      <c r="D56" s="2" t="s">
        <v>32</v>
      </c>
      <c r="E56" s="6">
        <v>1</v>
      </c>
      <c r="F56" s="6">
        <v>2</v>
      </c>
      <c r="G56" s="7">
        <v>0.5594000816345215</v>
      </c>
      <c r="H56" s="7">
        <v>45.812284375</v>
      </c>
      <c r="I56" s="7">
        <v>29.20615543099176</v>
      </c>
      <c r="J56" s="7">
        <v>10.33314047966399</v>
      </c>
      <c r="K56" s="7">
        <v>4.926058305468025</v>
      </c>
      <c r="L56" s="7">
        <v>0.8976761238699972</v>
      </c>
      <c r="M56" s="7">
        <v>0.6749055937114787</v>
      </c>
      <c r="N56" s="7">
        <v>0.421140849817546</v>
      </c>
      <c r="O56" s="7">
        <v>0.0628089966432618</v>
      </c>
      <c r="P56" s="7">
        <v>8.71302353684519</v>
      </c>
      <c r="Q56" s="7">
        <v>0.0099216704784658</v>
      </c>
      <c r="R56" s="7">
        <v>0.0349731992372464</v>
      </c>
      <c r="S56" s="7">
        <v>0.062703040387231</v>
      </c>
      <c r="T56" s="7">
        <v>0.5275425897272497</v>
      </c>
    </row>
    <row x14ac:dyDescent="0.25" r="57" customHeight="1" ht="19.5">
      <c r="A57" s="2" t="s">
        <v>1115</v>
      </c>
      <c r="B57" s="2" t="s">
        <v>1060</v>
      </c>
      <c r="C57" s="2" t="s">
        <v>31</v>
      </c>
      <c r="D57" s="2" t="s">
        <v>32</v>
      </c>
      <c r="E57" s="6">
        <v>1</v>
      </c>
      <c r="F57" s="6">
        <v>2</v>
      </c>
      <c r="G57" s="7">
        <v>0.5654525756835938</v>
      </c>
      <c r="H57" s="7">
        <v>46.74044375</v>
      </c>
      <c r="I57" s="7">
        <v>32.40285692689745</v>
      </c>
      <c r="J57" s="7">
        <v>10.05615119262461</v>
      </c>
      <c r="K57" s="7">
        <v>5.200848720411482</v>
      </c>
      <c r="L57" s="7">
        <v>0.8843531189939249</v>
      </c>
      <c r="M57" s="7">
        <v>0.5594175525269661</v>
      </c>
      <c r="N57" s="7">
        <v>0.4156568514822667</v>
      </c>
      <c r="O57" s="7">
        <v>0.0586487620744265</v>
      </c>
      <c r="P57" s="7">
        <v>8.8118582069542</v>
      </c>
      <c r="Q57" s="7">
        <v>0.0097948858995537</v>
      </c>
      <c r="R57" s="7">
        <v>0.0349099546379788</v>
      </c>
      <c r="S57" s="7">
        <v>0.0613928504912203</v>
      </c>
      <c r="T57" s="7">
        <v>0.531352823373974</v>
      </c>
    </row>
    <row x14ac:dyDescent="0.25" r="58" customHeight="1" ht="19.5">
      <c r="A58" s="2" t="s">
        <v>1116</v>
      </c>
      <c r="B58" s="2" t="s">
        <v>1060</v>
      </c>
      <c r="C58" s="2" t="s">
        <v>31</v>
      </c>
      <c r="D58" s="2" t="s">
        <v>32</v>
      </c>
      <c r="E58" s="6">
        <v>1</v>
      </c>
      <c r="F58" s="6">
        <v>2</v>
      </c>
      <c r="G58" s="7">
        <v>0.54221510887146</v>
      </c>
      <c r="H58" s="7">
        <v>46.00276484375</v>
      </c>
      <c r="I58" s="7">
        <v>29.42136002196277</v>
      </c>
      <c r="J58" s="7">
        <v>10.4983285871821</v>
      </c>
      <c r="K58" s="7">
        <v>4.879584988882273</v>
      </c>
      <c r="L58" s="7">
        <v>0.9034730338151408</v>
      </c>
      <c r="M58" s="7">
        <v>0.6678336677239501</v>
      </c>
      <c r="N58" s="7">
        <v>0.4285695275390596</v>
      </c>
      <c r="O58" s="7">
        <v>0.0636865280790349</v>
      </c>
      <c r="P58" s="7">
        <v>8.673013420697107</v>
      </c>
      <c r="Q58" s="7">
        <v>0.0101161746457873</v>
      </c>
      <c r="R58" s="7">
        <v>0.0359272943382568</v>
      </c>
      <c r="S58" s="7">
        <v>0.0634875430787641</v>
      </c>
      <c r="T58" s="7">
        <v>0.5401209623290143</v>
      </c>
    </row>
    <row x14ac:dyDescent="0.25" r="59" customHeight="1" ht="19.5">
      <c r="A59" s="2" t="s">
        <v>1117</v>
      </c>
      <c r="B59" s="2" t="s">
        <v>1060</v>
      </c>
      <c r="C59" s="2" t="s">
        <v>31</v>
      </c>
      <c r="D59" s="2" t="s">
        <v>32</v>
      </c>
      <c r="E59" s="6">
        <v>1</v>
      </c>
      <c r="F59" s="6">
        <v>2</v>
      </c>
      <c r="G59" s="7">
        <v>0.5664429664611816</v>
      </c>
      <c r="H59" s="7">
        <v>45.59409765625</v>
      </c>
      <c r="I59" s="7">
        <v>28.86733685320084</v>
      </c>
      <c r="J59" s="7">
        <v>10.11998013628303</v>
      </c>
      <c r="K59" s="7">
        <v>5.459630663190984</v>
      </c>
      <c r="L59" s="7">
        <v>0.8854317383200236</v>
      </c>
      <c r="M59" s="7">
        <v>0.6872378532362539</v>
      </c>
      <c r="N59" s="7">
        <v>0.4293028997871985</v>
      </c>
      <c r="O59" s="7">
        <v>0.0692953072667023</v>
      </c>
      <c r="P59" s="7">
        <v>8.669597569423233</v>
      </c>
      <c r="Q59" s="7">
        <v>0.0103787053381358</v>
      </c>
      <c r="R59" s="7">
        <v>0.0365435812013981</v>
      </c>
      <c r="S59" s="7">
        <v>0.0656055969382422</v>
      </c>
      <c r="T59" s="7">
        <v>0.5492152493543847</v>
      </c>
    </row>
    <row x14ac:dyDescent="0.25" r="60" customHeight="1" ht="19.5">
      <c r="A60" s="2" t="s">
        <v>1118</v>
      </c>
      <c r="B60" s="2" t="s">
        <v>1060</v>
      </c>
      <c r="C60" s="2" t="s">
        <v>31</v>
      </c>
      <c r="D60" s="2" t="s">
        <v>32</v>
      </c>
      <c r="E60" s="6">
        <v>1</v>
      </c>
      <c r="F60" s="6">
        <v>2</v>
      </c>
      <c r="G60" s="7">
        <v>0.5625677704811096</v>
      </c>
      <c r="H60" s="7">
        <v>46.366409375</v>
      </c>
      <c r="I60" s="7">
        <v>32.65635837426915</v>
      </c>
      <c r="J60" s="7">
        <v>10.35370982796221</v>
      </c>
      <c r="K60" s="7">
        <v>4.870818199275341</v>
      </c>
      <c r="L60" s="7">
        <v>0.9025050241236638</v>
      </c>
      <c r="M60" s="7">
        <v>0.546358649145167</v>
      </c>
      <c r="N60" s="7">
        <v>0.4181621777203904</v>
      </c>
      <c r="O60" s="7">
        <v>0.0573506065253997</v>
      </c>
      <c r="P60" s="7">
        <v>8.790145150152792</v>
      </c>
      <c r="Q60" s="7">
        <v>0.0111881838009945</v>
      </c>
      <c r="R60" s="7">
        <v>0.0379595693509861</v>
      </c>
      <c r="S60" s="7">
        <v>0.0606389285255372</v>
      </c>
      <c r="T60" s="7">
        <v>0.6020794965276676</v>
      </c>
    </row>
    <row x14ac:dyDescent="0.25" r="61" customHeight="1" ht="19.5">
      <c r="A61" s="2" t="s">
        <v>1119</v>
      </c>
      <c r="B61" s="2" t="s">
        <v>1060</v>
      </c>
      <c r="C61" s="2" t="s">
        <v>31</v>
      </c>
      <c r="D61" s="2" t="s">
        <v>32</v>
      </c>
      <c r="E61" s="6">
        <v>1</v>
      </c>
      <c r="F61" s="6">
        <v>2</v>
      </c>
      <c r="G61" s="7">
        <v>0.5593584179878235</v>
      </c>
      <c r="H61" s="7">
        <v>47.0382859375</v>
      </c>
      <c r="I61" s="7">
        <v>32.60969688622594</v>
      </c>
      <c r="J61" s="7">
        <v>10.19841113451093</v>
      </c>
      <c r="K61" s="7">
        <v>5.263411505369126</v>
      </c>
      <c r="L61" s="7">
        <v>0.8877039743091238</v>
      </c>
      <c r="M61" s="7">
        <v>0.5556175192070674</v>
      </c>
      <c r="N61" s="7">
        <v>0.4267392954209341</v>
      </c>
      <c r="O61" s="7">
        <v>0.0615243947514805</v>
      </c>
      <c r="P61" s="7">
        <v>8.755013741775615</v>
      </c>
      <c r="Q61" s="7">
        <v>0.0110883465467108</v>
      </c>
      <c r="R61" s="7">
        <v>0.0371169720541458</v>
      </c>
      <c r="S61" s="7">
        <v>0.0670130173364568</v>
      </c>
      <c r="T61" s="7">
        <v>0.6053535009756142</v>
      </c>
    </row>
    <row x14ac:dyDescent="0.25" r="62" customHeight="1" ht="19.5">
      <c r="A62" s="2" t="s">
        <v>1120</v>
      </c>
      <c r="B62" s="2" t="s">
        <v>1060</v>
      </c>
      <c r="C62" s="2" t="s">
        <v>31</v>
      </c>
      <c r="D62" s="2" t="s">
        <v>32</v>
      </c>
      <c r="E62" s="6">
        <v>1</v>
      </c>
      <c r="F62" s="6">
        <v>2</v>
      </c>
      <c r="G62" s="7">
        <v>0.5570743083953857</v>
      </c>
      <c r="H62" s="7">
        <v>48.60022578125</v>
      </c>
      <c r="I62" s="7">
        <v>31.32474281413176</v>
      </c>
      <c r="J62" s="7">
        <v>10.42415653057448</v>
      </c>
      <c r="K62" s="7">
        <v>4.882201155351876</v>
      </c>
      <c r="L62" s="7">
        <v>0.8984870373398861</v>
      </c>
      <c r="M62" s="7">
        <v>0.622405071757341</v>
      </c>
      <c r="N62" s="7">
        <v>0.4142011466629682</v>
      </c>
      <c r="O62" s="7">
        <v>0.0551950270883187</v>
      </c>
      <c r="P62" s="7">
        <v>8.821291830160458</v>
      </c>
      <c r="Q62" s="7">
        <v>0.0098179605080416</v>
      </c>
      <c r="R62" s="7">
        <v>0.0358956282117897</v>
      </c>
      <c r="S62" s="7">
        <v>0.063206791638445</v>
      </c>
      <c r="T62" s="7">
        <v>0.5537966799350131</v>
      </c>
    </row>
    <row x14ac:dyDescent="0.25" r="63" customHeight="1" ht="19.5">
      <c r="A63" s="2" t="s">
        <v>1121</v>
      </c>
      <c r="B63" s="2" t="s">
        <v>1060</v>
      </c>
      <c r="C63" s="2" t="s">
        <v>31</v>
      </c>
      <c r="D63" s="2" t="s">
        <v>32</v>
      </c>
      <c r="E63" s="6">
        <v>1</v>
      </c>
      <c r="F63" s="6">
        <v>2</v>
      </c>
      <c r="G63" s="7">
        <v>0.5623910427093506</v>
      </c>
      <c r="H63" s="7">
        <v>46.5672796875</v>
      </c>
      <c r="I63" s="7">
        <v>29.1859614238361</v>
      </c>
      <c r="J63" s="7">
        <v>10.24561119655515</v>
      </c>
      <c r="K63" s="7">
        <v>5.211661523021355</v>
      </c>
      <c r="L63" s="7">
        <v>0.8855163985193854</v>
      </c>
      <c r="M63" s="7">
        <v>0.6869778340198145</v>
      </c>
      <c r="N63" s="7">
        <v>0.4335762212236395</v>
      </c>
      <c r="O63" s="7">
        <v>0.0698485988927461</v>
      </c>
      <c r="P63" s="7">
        <v>8.666517647786094</v>
      </c>
      <c r="Q63" s="7">
        <v>0.0103415341473408</v>
      </c>
      <c r="R63" s="7">
        <v>0.035064249185633</v>
      </c>
      <c r="S63" s="7">
        <v>0.0670163202015237</v>
      </c>
      <c r="T63" s="7">
        <v>0.5589289683471496</v>
      </c>
    </row>
    <row x14ac:dyDescent="0.25" r="64" customHeight="1" ht="19.5">
      <c r="A64" s="2" t="s">
        <v>1122</v>
      </c>
      <c r="B64" s="2" t="s">
        <v>1060</v>
      </c>
      <c r="C64" s="2" t="s">
        <v>31</v>
      </c>
      <c r="D64" s="2" t="s">
        <v>32</v>
      </c>
      <c r="E64" s="6">
        <v>1</v>
      </c>
      <c r="F64" s="6">
        <v>2</v>
      </c>
      <c r="G64" s="7">
        <v>0.5602598190307617</v>
      </c>
      <c r="H64" s="7">
        <v>45.70145937500001</v>
      </c>
      <c r="I64" s="7">
        <v>31.76943131547287</v>
      </c>
      <c r="J64" s="7">
        <v>10.11987374627926</v>
      </c>
      <c r="K64" s="7">
        <v>5.101276070705264</v>
      </c>
      <c r="L64" s="7">
        <v>0.8924542162875001</v>
      </c>
      <c r="M64" s="7">
        <v>0.56901150920914</v>
      </c>
      <c r="N64" s="7">
        <v>0.4196470506493787</v>
      </c>
      <c r="O64" s="7">
        <v>0.060805261344719</v>
      </c>
      <c r="P64" s="7">
        <v>8.774117264509453</v>
      </c>
      <c r="Q64" s="7">
        <v>0.0099601099173127</v>
      </c>
      <c r="R64" s="7">
        <v>0.0361641760372005</v>
      </c>
      <c r="S64" s="7">
        <v>0.0636523036510779</v>
      </c>
      <c r="T64" s="7">
        <v>0.5283053148677848</v>
      </c>
    </row>
    <row x14ac:dyDescent="0.25" r="65" customHeight="1" ht="19.5">
      <c r="A65" s="2" t="s">
        <v>1123</v>
      </c>
      <c r="B65" s="2" t="s">
        <v>1060</v>
      </c>
      <c r="C65" s="2" t="s">
        <v>31</v>
      </c>
      <c r="D65" s="2" t="s">
        <v>32</v>
      </c>
      <c r="E65" s="6">
        <v>1</v>
      </c>
      <c r="F65" s="6">
        <v>2</v>
      </c>
      <c r="G65" s="7">
        <v>0.5583295822143555</v>
      </c>
      <c r="H65" s="7">
        <v>45.7776515625</v>
      </c>
      <c r="I65" s="7">
        <v>29.01950947881893</v>
      </c>
      <c r="J65" s="7">
        <v>10.15131493500545</v>
      </c>
      <c r="K65" s="7">
        <v>5.584738072081565</v>
      </c>
      <c r="L65" s="7">
        <v>0.8841212090452831</v>
      </c>
      <c r="M65" s="7">
        <v>0.6816513305726931</v>
      </c>
      <c r="N65" s="7">
        <v>0.4364613168814797</v>
      </c>
      <c r="O65" s="7">
        <v>0.0729538474652011</v>
      </c>
      <c r="P65" s="7">
        <v>8.6454266549604</v>
      </c>
      <c r="Q65" s="7">
        <v>0.0115505871107841</v>
      </c>
      <c r="R65" s="7">
        <v>0.0384574162407084</v>
      </c>
      <c r="S65" s="7">
        <v>0.066096867169236</v>
      </c>
      <c r="T65" s="7">
        <v>0.6136890143135166</v>
      </c>
    </row>
    <row x14ac:dyDescent="0.25" r="66" customHeight="1" ht="19.5">
      <c r="A66" s="2" t="s">
        <v>1124</v>
      </c>
      <c r="B66" s="2" t="s">
        <v>1060</v>
      </c>
      <c r="C66" s="2" t="s">
        <v>31</v>
      </c>
      <c r="D66" s="2" t="s">
        <v>32</v>
      </c>
      <c r="E66" s="6">
        <v>1</v>
      </c>
      <c r="F66" s="6">
        <v>2</v>
      </c>
      <c r="G66" s="7">
        <v>0.5562869310379028</v>
      </c>
      <c r="H66" s="7">
        <v>47.7586484375</v>
      </c>
      <c r="I66" s="7">
        <v>32.66854653575761</v>
      </c>
      <c r="J66" s="7">
        <v>10.01489511847383</v>
      </c>
      <c r="K66" s="7">
        <v>5.162106651060252</v>
      </c>
      <c r="L66" s="7">
        <v>0.8789136049056653</v>
      </c>
      <c r="M66" s="7">
        <v>0.5623442601333198</v>
      </c>
      <c r="N66" s="7">
        <v>0.4104846676080785</v>
      </c>
      <c r="O66" s="7">
        <v>0.0560572286714969</v>
      </c>
      <c r="P66" s="7">
        <v>8.839958578327927</v>
      </c>
      <c r="Q66" s="7">
        <v>0.0107194531721884</v>
      </c>
      <c r="R66" s="7">
        <v>0.0364685717096396</v>
      </c>
      <c r="S66" s="7">
        <v>0.0676869049014365</v>
      </c>
      <c r="T66" s="7">
        <v>0.5941764563167821</v>
      </c>
    </row>
    <row x14ac:dyDescent="0.25" r="67" customHeight="1" ht="19.5">
      <c r="A67" s="2" t="s">
        <v>1125</v>
      </c>
      <c r="B67" s="2" t="s">
        <v>1060</v>
      </c>
      <c r="C67" s="2" t="s">
        <v>31</v>
      </c>
      <c r="D67" s="2" t="s">
        <v>32</v>
      </c>
      <c r="E67" s="6">
        <v>1</v>
      </c>
      <c r="F67" s="6">
        <v>2</v>
      </c>
      <c r="G67" s="7">
        <v>0.555158257484436</v>
      </c>
      <c r="H67" s="7">
        <v>48.62793203125</v>
      </c>
      <c r="I67" s="7">
        <v>31.54795325076996</v>
      </c>
      <c r="J67" s="7">
        <v>9.980647373339965</v>
      </c>
      <c r="K67" s="7">
        <v>4.970909909214345</v>
      </c>
      <c r="L67" s="7">
        <v>0.8807852351160037</v>
      </c>
      <c r="M67" s="7">
        <v>0.6139786757744576</v>
      </c>
      <c r="N67" s="7">
        <v>0.4265601656730849</v>
      </c>
      <c r="O67" s="7">
        <v>0.0561256884924389</v>
      </c>
      <c r="P67" s="7">
        <v>8.759404894017399</v>
      </c>
      <c r="Q67" s="7">
        <v>0.0107213757814454</v>
      </c>
      <c r="R67" s="7">
        <v>0.0374515657645524</v>
      </c>
      <c r="S67" s="7">
        <v>0.063098128404394</v>
      </c>
      <c r="T67" s="7">
        <v>0.6050999252084505</v>
      </c>
    </row>
    <row x14ac:dyDescent="0.25" r="68" customHeight="1" ht="19.5">
      <c r="A68" s="2" t="s">
        <v>1126</v>
      </c>
      <c r="B68" s="2" t="s">
        <v>1060</v>
      </c>
      <c r="C68" s="2" t="s">
        <v>31</v>
      </c>
      <c r="D68" s="2" t="s">
        <v>32</v>
      </c>
      <c r="E68" s="6">
        <v>1</v>
      </c>
      <c r="F68" s="6">
        <v>2</v>
      </c>
      <c r="G68" s="7">
        <v>0.5672998428344727</v>
      </c>
      <c r="H68" s="7">
        <v>47.47119609375</v>
      </c>
      <c r="I68" s="7">
        <v>29.98583898027785</v>
      </c>
      <c r="J68" s="7">
        <v>10.90925817081908</v>
      </c>
      <c r="K68" s="7">
        <v>5.212077147458158</v>
      </c>
      <c r="L68" s="7">
        <v>0.9008830372972838</v>
      </c>
      <c r="M68" s="7">
        <v>0.6634491306110549</v>
      </c>
      <c r="N68" s="7">
        <v>0.5170838132962978</v>
      </c>
      <c r="O68" s="7">
        <v>0.0987008763374165</v>
      </c>
      <c r="P68" s="7">
        <v>7.827800053623871</v>
      </c>
      <c r="Q68" s="7">
        <v>0.0056263312735062</v>
      </c>
      <c r="R68" s="7">
        <v>0.021583443117404</v>
      </c>
      <c r="S68" s="7">
        <v>0.0346197956784829</v>
      </c>
      <c r="T68" s="7">
        <v>0.3099889791900745</v>
      </c>
    </row>
    <row x14ac:dyDescent="0.25" r="69" customHeight="1" ht="19.5">
      <c r="A69" s="2" t="s">
        <v>1127</v>
      </c>
      <c r="B69" s="2" t="s">
        <v>1060</v>
      </c>
      <c r="C69" s="2" t="s">
        <v>31</v>
      </c>
      <c r="D69" s="2" t="s">
        <v>32</v>
      </c>
      <c r="E69" s="6">
        <v>1</v>
      </c>
      <c r="F69" s="6">
        <v>2</v>
      </c>
      <c r="G69" s="7">
        <v>0.5931115746498108</v>
      </c>
      <c r="H69" s="7">
        <v>48.9915765625</v>
      </c>
      <c r="I69" s="7">
        <v>30.91906874114199</v>
      </c>
      <c r="J69" s="7">
        <v>10.22012974952472</v>
      </c>
      <c r="K69" s="7">
        <v>5.023166708460175</v>
      </c>
      <c r="L69" s="7">
        <v>0.8840867774943328</v>
      </c>
      <c r="M69" s="7">
        <v>0.6439890304724517</v>
      </c>
      <c r="N69" s="7">
        <v>0.4207045444683344</v>
      </c>
      <c r="O69" s="7">
        <v>0.0606374806717832</v>
      </c>
      <c r="P69" s="7">
        <v>8.523631047557455</v>
      </c>
      <c r="Q69" s="7">
        <v>0.0067125619141088</v>
      </c>
      <c r="R69" s="7">
        <v>0.0285781669175852</v>
      </c>
      <c r="S69" s="7">
        <v>0.0511469138974238</v>
      </c>
      <c r="T69" s="7">
        <v>0.3816809635776007</v>
      </c>
    </row>
    <row x14ac:dyDescent="0.25" r="70" customHeight="1" ht="19.5">
      <c r="A70" s="2" t="s">
        <v>1128</v>
      </c>
      <c r="B70" s="2" t="s">
        <v>1060</v>
      </c>
      <c r="C70" s="2" t="s">
        <v>31</v>
      </c>
      <c r="D70" s="2" t="s">
        <v>32</v>
      </c>
      <c r="E70" s="6">
        <v>1</v>
      </c>
      <c r="F70" s="6">
        <v>2</v>
      </c>
      <c r="G70" s="7">
        <v>0.62861168384552</v>
      </c>
      <c r="H70" s="7">
        <v>48.970796875</v>
      </c>
      <c r="I70" s="7">
        <v>29.90398659372923</v>
      </c>
      <c r="J70" s="7">
        <v>10.23956633993761</v>
      </c>
      <c r="K70" s="7">
        <v>4.727578927173315</v>
      </c>
      <c r="L70" s="7">
        <v>0.8920388515205752</v>
      </c>
      <c r="M70" s="7">
        <v>0.6881590987932575</v>
      </c>
      <c r="N70" s="7">
        <v>0.3543279302978532</v>
      </c>
      <c r="O70" s="7">
        <v>0.051957973360836</v>
      </c>
      <c r="P70" s="7">
        <v>8.925301943003323</v>
      </c>
      <c r="Q70" s="7">
        <v>0.0062544627477149</v>
      </c>
      <c r="R70" s="7">
        <v>0.0302917826683849</v>
      </c>
      <c r="S70" s="7">
        <v>0.0627520169729983</v>
      </c>
      <c r="T70" s="7">
        <v>0.355482283554035</v>
      </c>
    </row>
    <row x14ac:dyDescent="0.25" r="71" customHeight="1" ht="19.5">
      <c r="A71" s="2" t="s">
        <v>1129</v>
      </c>
      <c r="B71" s="2" t="s">
        <v>1060</v>
      </c>
      <c r="C71" s="2" t="s">
        <v>31</v>
      </c>
      <c r="D71" s="2" t="s">
        <v>32</v>
      </c>
      <c r="E71" s="6">
        <v>1</v>
      </c>
      <c r="F71" s="6">
        <v>2</v>
      </c>
      <c r="G71" s="7">
        <v>0.6434594988822937</v>
      </c>
      <c r="H71" s="7">
        <v>47.34998125000001</v>
      </c>
      <c r="I71" s="7">
        <v>29.37015743212296</v>
      </c>
      <c r="J71" s="7">
        <v>9.886159434424105</v>
      </c>
      <c r="K71" s="7">
        <v>4.717094654952227</v>
      </c>
      <c r="L71" s="7">
        <v>0.8838295746903909</v>
      </c>
      <c r="M71" s="7">
        <v>0.6897903691440733</v>
      </c>
      <c r="N71" s="7">
        <v>0.3365438771321813</v>
      </c>
      <c r="O71" s="7">
        <v>0.0493514378714002</v>
      </c>
      <c r="P71" s="7">
        <v>9.042719953523276</v>
      </c>
      <c r="Q71" s="7">
        <v>0.0077450023407149</v>
      </c>
      <c r="R71" s="7">
        <v>0.0347991820566742</v>
      </c>
      <c r="S71" s="7">
        <v>0.0659964012156079</v>
      </c>
      <c r="T71" s="7">
        <v>0.4256299154290727</v>
      </c>
    </row>
    <row x14ac:dyDescent="0.25" r="72" customHeight="1" ht="19.5">
      <c r="A72" s="2" t="s">
        <v>1130</v>
      </c>
      <c r="B72" s="2" t="s">
        <v>1060</v>
      </c>
      <c r="C72" s="2" t="s">
        <v>31</v>
      </c>
      <c r="D72" s="2" t="s">
        <v>32</v>
      </c>
      <c r="E72" s="6">
        <v>1</v>
      </c>
      <c r="F72" s="6">
        <v>2</v>
      </c>
      <c r="G72" s="7">
        <v>0.6341258883476257</v>
      </c>
      <c r="H72" s="7">
        <v>47.0936984375</v>
      </c>
      <c r="I72" s="7">
        <v>29.1204795145972</v>
      </c>
      <c r="J72" s="7">
        <v>9.823125</v>
      </c>
      <c r="K72" s="7">
        <v>4.707083333333334</v>
      </c>
      <c r="L72" s="7">
        <v>0.8823674954531543</v>
      </c>
      <c r="M72" s="7">
        <v>0.6978717501264364</v>
      </c>
      <c r="N72" s="7">
        <v>0.3357678408408973</v>
      </c>
      <c r="O72" s="7">
        <v>0.0495346991511084</v>
      </c>
      <c r="P72" s="7">
        <v>9.038204221516414</v>
      </c>
      <c r="Q72" s="7">
        <v>0.008265466396291</v>
      </c>
      <c r="R72" s="7">
        <v>0.0374712086120245</v>
      </c>
      <c r="S72" s="7">
        <v>0.0703872781135604</v>
      </c>
      <c r="T72" s="7">
        <v>0.4517736981889333</v>
      </c>
    </row>
    <row x14ac:dyDescent="0.25" r="73" customHeight="1" ht="19.5">
      <c r="A73" s="2" t="s">
        <v>1131</v>
      </c>
      <c r="B73" s="2" t="s">
        <v>1060</v>
      </c>
      <c r="C73" s="2" t="s">
        <v>31</v>
      </c>
      <c r="D73" s="2" t="s">
        <v>32</v>
      </c>
      <c r="E73" s="6">
        <v>1</v>
      </c>
      <c r="F73" s="6">
        <v>2</v>
      </c>
      <c r="G73" s="7">
        <v>0.6333752274513245</v>
      </c>
      <c r="H73" s="7">
        <v>48.2712140625</v>
      </c>
      <c r="I73" s="7">
        <v>29.35587811272386</v>
      </c>
      <c r="J73" s="7">
        <v>9.823125</v>
      </c>
      <c r="K73" s="7">
        <v>4.82625</v>
      </c>
      <c r="L73" s="7">
        <v>0.8759914018161695</v>
      </c>
      <c r="M73" s="7">
        <v>0.7038950874398996</v>
      </c>
      <c r="N73" s="7">
        <v>0.3351926580012319</v>
      </c>
      <c r="O73" s="7">
        <v>0.0496478602463999</v>
      </c>
      <c r="P73" s="7">
        <v>9.026556949576602</v>
      </c>
      <c r="Q73" s="7">
        <v>0.007895071024526</v>
      </c>
      <c r="R73" s="7">
        <v>0.0355862597104807</v>
      </c>
      <c r="S73" s="7">
        <v>0.0652105388786279</v>
      </c>
      <c r="T73" s="7">
        <v>0.4423184379311925</v>
      </c>
    </row>
    <row x14ac:dyDescent="0.25" r="74" customHeight="1" ht="19.5">
      <c r="A74" s="2" t="s">
        <v>1132</v>
      </c>
      <c r="B74" s="2" t="s">
        <v>1060</v>
      </c>
      <c r="C74" s="2" t="s">
        <v>31</v>
      </c>
      <c r="D74" s="2" t="s">
        <v>32</v>
      </c>
      <c r="E74" s="6">
        <v>1</v>
      </c>
      <c r="F74" s="6">
        <v>2</v>
      </c>
      <c r="G74" s="7">
        <v>0.6445152163505554</v>
      </c>
      <c r="H74" s="7">
        <v>47.363834375</v>
      </c>
      <c r="I74" s="7">
        <v>29.73335233289078</v>
      </c>
      <c r="J74" s="7">
        <v>9.883463053289717</v>
      </c>
      <c r="K74" s="7">
        <v>4.711730815013881</v>
      </c>
      <c r="L74" s="7">
        <v>0.8838294345364597</v>
      </c>
      <c r="M74" s="7">
        <v>0.6732385306347498</v>
      </c>
      <c r="N74" s="7">
        <v>0.3315643509459418</v>
      </c>
      <c r="O74" s="7">
        <v>0.0491801826628611</v>
      </c>
      <c r="P74" s="7">
        <v>9.048939010307146</v>
      </c>
      <c r="Q74" s="7">
        <v>0.0071735381428623</v>
      </c>
      <c r="R74" s="7">
        <v>0.0336903697087965</v>
      </c>
      <c r="S74" s="7">
        <v>0.0640632038214327</v>
      </c>
      <c r="T74" s="7">
        <v>0.3943401939504257</v>
      </c>
    </row>
    <row x14ac:dyDescent="0.25" r="75" customHeight="1" ht="19.5">
      <c r="A75" s="2" t="s">
        <v>1133</v>
      </c>
      <c r="B75" s="2" t="s">
        <v>1060</v>
      </c>
      <c r="C75" s="2" t="s">
        <v>31</v>
      </c>
      <c r="D75" s="2" t="s">
        <v>32</v>
      </c>
      <c r="E75" s="6">
        <v>1</v>
      </c>
      <c r="F75" s="6">
        <v>2</v>
      </c>
      <c r="G75" s="7">
        <v>0.6291096806526184</v>
      </c>
      <c r="H75" s="7">
        <v>47.09716171875</v>
      </c>
      <c r="I75" s="7">
        <v>29.15495284115194</v>
      </c>
      <c r="J75" s="7">
        <v>9.823765934952894</v>
      </c>
      <c r="K75" s="7">
        <v>4.708413119402822</v>
      </c>
      <c r="L75" s="7">
        <v>0.8823678566416</v>
      </c>
      <c r="M75" s="7">
        <v>0.696273574634641</v>
      </c>
      <c r="N75" s="7">
        <v>0.3342812897794877</v>
      </c>
      <c r="O75" s="7">
        <v>0.049486082356753</v>
      </c>
      <c r="P75" s="7">
        <v>9.041855540531184</v>
      </c>
      <c r="Q75" s="7">
        <v>0.0076914327367381</v>
      </c>
      <c r="R75" s="7">
        <v>0.0353758847869628</v>
      </c>
      <c r="S75" s="7">
        <v>0.0670616680511506</v>
      </c>
      <c r="T75" s="7">
        <v>0.4204290939989659</v>
      </c>
    </row>
    <row x14ac:dyDescent="0.25" r="76" customHeight="1" ht="19.5">
      <c r="A76" s="2" t="s">
        <v>1134</v>
      </c>
      <c r="B76" s="2" t="s">
        <v>1060</v>
      </c>
      <c r="C76" s="2" t="s">
        <v>31</v>
      </c>
      <c r="D76" s="2" t="s">
        <v>32</v>
      </c>
      <c r="E76" s="6">
        <v>1</v>
      </c>
      <c r="F76" s="6">
        <v>2</v>
      </c>
      <c r="G76" s="7">
        <v>0.6409337520599365</v>
      </c>
      <c r="H76" s="7">
        <v>47.37422421875</v>
      </c>
      <c r="I76" s="7">
        <v>29.27265214021528</v>
      </c>
      <c r="J76" s="7">
        <v>9.88188124967667</v>
      </c>
      <c r="K76" s="7">
        <v>4.708400819730649</v>
      </c>
      <c r="L76" s="7">
        <v>0.8838299267772385</v>
      </c>
      <c r="M76" s="7">
        <v>0.6947488418938735</v>
      </c>
      <c r="N76" s="7">
        <v>0.3351106348468185</v>
      </c>
      <c r="O76" s="7">
        <v>0.0495341803128361</v>
      </c>
      <c r="P76" s="7">
        <v>9.0413183640298</v>
      </c>
      <c r="Q76" s="7">
        <v>0.0080654292952641</v>
      </c>
      <c r="R76" s="7">
        <v>0.0360079565206386</v>
      </c>
      <c r="S76" s="7">
        <v>0.066949848620867</v>
      </c>
      <c r="T76" s="7">
        <v>0.4434660520846248</v>
      </c>
    </row>
    <row x14ac:dyDescent="0.25" r="77" customHeight="1" ht="19.5">
      <c r="A77" s="2" t="s">
        <v>1135</v>
      </c>
      <c r="B77" s="2" t="s">
        <v>1060</v>
      </c>
      <c r="C77" s="2" t="s">
        <v>31</v>
      </c>
      <c r="D77" s="2" t="s">
        <v>32</v>
      </c>
      <c r="E77" s="6">
        <v>1</v>
      </c>
      <c r="F77" s="6">
        <v>2</v>
      </c>
      <c r="G77" s="7">
        <v>0.6247263550758362</v>
      </c>
      <c r="H77" s="7">
        <v>47.37422421875</v>
      </c>
      <c r="I77" s="7">
        <v>29.27265214021528</v>
      </c>
      <c r="J77" s="7">
        <v>9.88188124967667</v>
      </c>
      <c r="K77" s="7">
        <v>4.708400819730648</v>
      </c>
      <c r="L77" s="7">
        <v>0.8838299267772386</v>
      </c>
      <c r="M77" s="7">
        <v>0.6947488418938735</v>
      </c>
      <c r="N77" s="7">
        <v>0.336194063281177</v>
      </c>
      <c r="O77" s="7">
        <v>0.0496085384852791</v>
      </c>
      <c r="P77" s="7">
        <v>9.032021473698276</v>
      </c>
      <c r="Q77" s="7">
        <v>0.0071095909252984</v>
      </c>
      <c r="R77" s="7">
        <v>0.0335583801662207</v>
      </c>
      <c r="S77" s="7">
        <v>0.0654572555148837</v>
      </c>
      <c r="T77" s="7">
        <v>0.390910651393355</v>
      </c>
    </row>
    <row x14ac:dyDescent="0.25" r="78" customHeight="1" ht="19.5">
      <c r="A78" s="2" t="s">
        <v>1136</v>
      </c>
      <c r="B78" s="2" t="s">
        <v>1060</v>
      </c>
      <c r="C78" s="2" t="s">
        <v>31</v>
      </c>
      <c r="D78" s="2" t="s">
        <v>32</v>
      </c>
      <c r="E78" s="6">
        <v>1</v>
      </c>
      <c r="F78" s="6">
        <v>2</v>
      </c>
      <c r="G78" s="7">
        <v>0.6220276951789856</v>
      </c>
      <c r="H78" s="7">
        <v>46.78546640625</v>
      </c>
      <c r="I78" s="7">
        <v>29.18942616770669</v>
      </c>
      <c r="J78" s="7">
        <v>9.88125</v>
      </c>
      <c r="K78" s="7">
        <v>4.6475</v>
      </c>
      <c r="L78" s="7">
        <v>0.8869011823480347</v>
      </c>
      <c r="M78" s="7">
        <v>0.6900327646550551</v>
      </c>
      <c r="N78" s="7">
        <v>0.3341661587575451</v>
      </c>
      <c r="O78" s="7">
        <v>0.0496916091077967</v>
      </c>
      <c r="P78" s="7">
        <v>9.03244915645242</v>
      </c>
      <c r="Q78" s="7">
        <v>0.0084315059507813</v>
      </c>
      <c r="R78" s="7">
        <v>0.0373584214076454</v>
      </c>
      <c r="S78" s="7">
        <v>0.0683346367157995</v>
      </c>
      <c r="T78" s="7">
        <v>0.4578327906602252</v>
      </c>
    </row>
    <row x14ac:dyDescent="0.25" r="79" customHeight="1" ht="19.5">
      <c r="A79" s="2" t="s">
        <v>1137</v>
      </c>
      <c r="B79" s="2" t="s">
        <v>1060</v>
      </c>
      <c r="C79" s="2" t="s">
        <v>31</v>
      </c>
      <c r="D79" s="2" t="s">
        <v>32</v>
      </c>
      <c r="E79" s="6">
        <v>1</v>
      </c>
      <c r="F79" s="6">
        <v>2</v>
      </c>
      <c r="G79" s="7">
        <v>0.6320821642875671</v>
      </c>
      <c r="H79" s="7">
        <v>48.8391921875</v>
      </c>
      <c r="I79" s="7">
        <v>29.59127671085053</v>
      </c>
      <c r="J79" s="7">
        <v>9.939375000000002</v>
      </c>
      <c r="K79" s="7">
        <v>4.82625</v>
      </c>
      <c r="L79" s="7">
        <v>0.8790562412656233</v>
      </c>
      <c r="M79" s="7">
        <v>0.7008917204650241</v>
      </c>
      <c r="N79" s="7">
        <v>0.3346594476780873</v>
      </c>
      <c r="O79" s="7">
        <v>0.0494786460261544</v>
      </c>
      <c r="P79" s="7">
        <v>9.031363964075643</v>
      </c>
      <c r="Q79" s="7">
        <v>0.0072653400691662</v>
      </c>
      <c r="R79" s="7">
        <v>0.0339324292318564</v>
      </c>
      <c r="S79" s="7">
        <v>0.0657033472120658</v>
      </c>
      <c r="T79" s="7">
        <v>0.4118273631821945</v>
      </c>
    </row>
    <row x14ac:dyDescent="0.25" r="80" customHeight="1" ht="19.5">
      <c r="A80" s="2" t="s">
        <v>1138</v>
      </c>
      <c r="B80" s="2" t="s">
        <v>1060</v>
      </c>
      <c r="C80" s="2" t="s">
        <v>31</v>
      </c>
      <c r="D80" s="2" t="s">
        <v>32</v>
      </c>
      <c r="E80" s="6">
        <v>1</v>
      </c>
      <c r="F80" s="6">
        <v>2</v>
      </c>
      <c r="G80" s="7">
        <v>0.6272808313369751</v>
      </c>
      <c r="H80" s="7">
        <v>48.24697109375001</v>
      </c>
      <c r="I80" s="7">
        <v>29.50805073834194</v>
      </c>
      <c r="J80" s="7">
        <v>9.94000946189004</v>
      </c>
      <c r="K80" s="7">
        <v>4.767982039842645</v>
      </c>
      <c r="L80" s="7">
        <v>0.8821850289714519</v>
      </c>
      <c r="M80" s="7">
        <v>0.6963039755795503</v>
      </c>
      <c r="N80" s="7">
        <v>0.3343885136356496</v>
      </c>
      <c r="O80" s="7">
        <v>0.0495041239589151</v>
      </c>
      <c r="P80" s="7">
        <v>9.031749094037435</v>
      </c>
      <c r="Q80" s="7">
        <v>0.0072345643303612</v>
      </c>
      <c r="R80" s="7">
        <v>0.0333570769156517</v>
      </c>
      <c r="S80" s="7">
        <v>0.0661244340363091</v>
      </c>
      <c r="T80" s="7">
        <v>0.4051102359933043</v>
      </c>
    </row>
    <row x14ac:dyDescent="0.25" r="81" customHeight="1" ht="19.5">
      <c r="A81" s="2" t="s">
        <v>1139</v>
      </c>
      <c r="B81" s="2" t="s">
        <v>1060</v>
      </c>
      <c r="C81" s="2" t="s">
        <v>31</v>
      </c>
      <c r="D81" s="2" t="s">
        <v>32</v>
      </c>
      <c r="E81" s="6">
        <v>1</v>
      </c>
      <c r="F81" s="6">
        <v>2</v>
      </c>
      <c r="G81" s="7">
        <v>0.6331896781921387</v>
      </c>
      <c r="H81" s="7">
        <v>47.6062640625</v>
      </c>
      <c r="I81" s="7">
        <v>29.61774419173808</v>
      </c>
      <c r="J81" s="7">
        <v>9.946263520559398</v>
      </c>
      <c r="K81" s="7">
        <v>4.721747413789528</v>
      </c>
      <c r="L81" s="7">
        <v>0.8852638282961185</v>
      </c>
      <c r="M81" s="7">
        <v>0.6819774420775883</v>
      </c>
      <c r="N81" s="7">
        <v>0.3363009492857798</v>
      </c>
      <c r="O81" s="7">
        <v>0.0495245361806178</v>
      </c>
      <c r="P81" s="7">
        <v>9.0369355109315</v>
      </c>
      <c r="Q81" s="7">
        <v>0.0077985243875019</v>
      </c>
      <c r="R81" s="7">
        <v>0.0354051199320437</v>
      </c>
      <c r="S81" s="7">
        <v>0.0704415217041233</v>
      </c>
      <c r="T81" s="7">
        <v>0.4308908936499615</v>
      </c>
    </row>
    <row x14ac:dyDescent="0.25" r="82" customHeight="1" ht="19.5">
      <c r="A82" s="2" t="s">
        <v>1140</v>
      </c>
      <c r="B82" s="2" t="s">
        <v>1060</v>
      </c>
      <c r="C82" s="2" t="s">
        <v>31</v>
      </c>
      <c r="D82" s="2" t="s">
        <v>32</v>
      </c>
      <c r="E82" s="6">
        <v>1</v>
      </c>
      <c r="F82" s="6">
        <v>2</v>
      </c>
      <c r="G82" s="7">
        <v>0.6376566886901855</v>
      </c>
      <c r="H82" s="7">
        <v>48.2019484375</v>
      </c>
      <c r="I82" s="7">
        <v>29.92418060088488</v>
      </c>
      <c r="J82" s="7">
        <v>9.946127981340394</v>
      </c>
      <c r="K82" s="7">
        <v>4.780859344108437</v>
      </c>
      <c r="L82" s="7">
        <v>0.8821961798906834</v>
      </c>
      <c r="M82" s="7">
        <v>0.6764410009304693</v>
      </c>
      <c r="N82" s="7">
        <v>0.3330233248047041</v>
      </c>
      <c r="O82" s="7">
        <v>0.0493680496852299</v>
      </c>
      <c r="P82" s="7">
        <v>9.050128798886858</v>
      </c>
      <c r="Q82" s="7">
        <v>0.0072296157036759</v>
      </c>
      <c r="R82" s="7">
        <v>0.0343274890944729</v>
      </c>
      <c r="S82" s="7">
        <v>0.0645248145000741</v>
      </c>
      <c r="T82" s="7">
        <v>0.4044553518644178</v>
      </c>
    </row>
    <row x14ac:dyDescent="0.25" r="83" customHeight="1" ht="19.5">
      <c r="A83" s="2" t="s">
        <v>1141</v>
      </c>
      <c r="B83" s="2" t="s">
        <v>1060</v>
      </c>
      <c r="C83" s="2" t="s">
        <v>31</v>
      </c>
      <c r="D83" s="2" t="s">
        <v>32</v>
      </c>
      <c r="E83" s="6">
        <v>1</v>
      </c>
      <c r="F83" s="6">
        <v>2</v>
      </c>
      <c r="G83" s="7">
        <v>0.6371846795082092</v>
      </c>
      <c r="H83" s="7">
        <v>48.250434375</v>
      </c>
      <c r="I83" s="7">
        <v>29.54252406489669</v>
      </c>
      <c r="J83" s="7">
        <v>9.939375000000002</v>
      </c>
      <c r="K83" s="7">
        <v>4.766666666666667</v>
      </c>
      <c r="L83" s="7">
        <v>0.8821853674521772</v>
      </c>
      <c r="M83" s="7">
        <v>0.6947297479375406</v>
      </c>
      <c r="N83" s="7">
        <v>0.3366237037322644</v>
      </c>
      <c r="O83" s="7">
        <v>0.0495279244126464</v>
      </c>
      <c r="P83" s="7">
        <v>9.034580465018648</v>
      </c>
      <c r="Q83" s="7">
        <v>0.0077905030124499</v>
      </c>
      <c r="R83" s="7">
        <v>0.0356796422980434</v>
      </c>
      <c r="S83" s="7">
        <v>0.0692543321081791</v>
      </c>
      <c r="T83" s="7">
        <v>0.4362721673021634</v>
      </c>
    </row>
    <row x14ac:dyDescent="0.25" r="84" customHeight="1" ht="19.5">
      <c r="A84" s="2" t="s">
        <v>1142</v>
      </c>
      <c r="B84" s="2" t="s">
        <v>1060</v>
      </c>
      <c r="C84" s="2" t="s">
        <v>31</v>
      </c>
      <c r="D84" s="2" t="s">
        <v>32</v>
      </c>
      <c r="E84" s="6">
        <v>1</v>
      </c>
      <c r="F84" s="6">
        <v>2</v>
      </c>
      <c r="G84" s="7">
        <v>0.6213074922561646</v>
      </c>
      <c r="H84" s="7">
        <v>46.78546640625</v>
      </c>
      <c r="I84" s="7">
        <v>29.18942616770669</v>
      </c>
      <c r="J84" s="7">
        <v>9.88125</v>
      </c>
      <c r="K84" s="7">
        <v>4.6475</v>
      </c>
      <c r="L84" s="7">
        <v>0.8869011823480347</v>
      </c>
      <c r="M84" s="7">
        <v>0.6900327646550551</v>
      </c>
      <c r="N84" s="7">
        <v>0.3363136867540277</v>
      </c>
      <c r="O84" s="7">
        <v>0.0496538138169857</v>
      </c>
      <c r="P84" s="7">
        <v>9.024712355135405</v>
      </c>
      <c r="Q84" s="7">
        <v>0.0078442341304958</v>
      </c>
      <c r="R84" s="7">
        <v>0.0356656909110114</v>
      </c>
      <c r="S84" s="7">
        <v>0.0704523415584794</v>
      </c>
      <c r="T84" s="7">
        <v>0.4259437902933955</v>
      </c>
    </row>
    <row x14ac:dyDescent="0.25" r="85" customHeight="1" ht="19.5">
      <c r="A85" s="2" t="s">
        <v>1143</v>
      </c>
      <c r="B85" s="2" t="s">
        <v>1060</v>
      </c>
      <c r="C85" s="2" t="s">
        <v>31</v>
      </c>
      <c r="D85" s="2" t="s">
        <v>32</v>
      </c>
      <c r="E85" s="6">
        <v>1</v>
      </c>
      <c r="F85" s="6">
        <v>2</v>
      </c>
      <c r="G85" s="7">
        <v>0.640082061290741</v>
      </c>
      <c r="H85" s="7">
        <v>47.65475</v>
      </c>
      <c r="I85" s="7">
        <v>29.42482476583336</v>
      </c>
      <c r="J85" s="7">
        <v>9.939375000000002</v>
      </c>
      <c r="K85" s="7">
        <v>4.707083333333334</v>
      </c>
      <c r="L85" s="7">
        <v>0.8852645578524632</v>
      </c>
      <c r="M85" s="7">
        <v>0.6916530386143288</v>
      </c>
      <c r="N85" s="7">
        <v>0.3383632620632073</v>
      </c>
      <c r="O85" s="7">
        <v>0.0496877420758431</v>
      </c>
      <c r="P85" s="7">
        <v>9.032073891321026</v>
      </c>
      <c r="Q85" s="7">
        <v>0.0076045750893329</v>
      </c>
      <c r="R85" s="7">
        <v>0.034998081603378</v>
      </c>
      <c r="S85" s="7">
        <v>0.070469030128677</v>
      </c>
      <c r="T85" s="7">
        <v>0.4206025759773042</v>
      </c>
    </row>
    <row x14ac:dyDescent="0.25" r="86" customHeight="1" ht="19.5">
      <c r="A86" s="2" t="s">
        <v>1144</v>
      </c>
      <c r="B86" s="2" t="s">
        <v>1060</v>
      </c>
      <c r="C86" s="2" t="s">
        <v>31</v>
      </c>
      <c r="D86" s="2" t="s">
        <v>32</v>
      </c>
      <c r="E86" s="6">
        <v>1</v>
      </c>
      <c r="F86" s="6">
        <v>2</v>
      </c>
      <c r="G86" s="7">
        <v>0.6560295820236206</v>
      </c>
      <c r="H86" s="7">
        <v>48.21233828125001</v>
      </c>
      <c r="I86" s="7">
        <v>29.56899154578425</v>
      </c>
      <c r="J86" s="7">
        <v>9.944740669974289</v>
      </c>
      <c r="K86" s="7">
        <v>4.777675576088331</v>
      </c>
      <c r="L86" s="7">
        <v>0.8821878225856621</v>
      </c>
      <c r="M86" s="7">
        <v>0.692939044572597</v>
      </c>
      <c r="N86" s="7">
        <v>0.3346419151692104</v>
      </c>
      <c r="O86" s="7">
        <v>0.0493552182357819</v>
      </c>
      <c r="P86" s="7">
        <v>9.049771527008623</v>
      </c>
      <c r="Q86" s="7">
        <v>0.0075782113019292</v>
      </c>
      <c r="R86" s="7">
        <v>0.0360125779069807</v>
      </c>
      <c r="S86" s="7">
        <v>0.0682274987247717</v>
      </c>
      <c r="T86" s="7">
        <v>0.424048650705507</v>
      </c>
    </row>
    <row x14ac:dyDescent="0.25" r="87" customHeight="1" ht="19.5">
      <c r="A87" s="2" t="s">
        <v>1145</v>
      </c>
      <c r="B87" s="2" t="s">
        <v>1060</v>
      </c>
      <c r="C87" s="2" t="s">
        <v>31</v>
      </c>
      <c r="D87" s="2" t="s">
        <v>32</v>
      </c>
      <c r="E87" s="6">
        <v>1</v>
      </c>
      <c r="F87" s="6">
        <v>2</v>
      </c>
      <c r="G87" s="7">
        <v>0.6384726762771606</v>
      </c>
      <c r="H87" s="7">
        <v>47.3776875</v>
      </c>
      <c r="I87" s="7">
        <v>29.30712546677002</v>
      </c>
      <c r="J87" s="7">
        <v>9.88125</v>
      </c>
      <c r="K87" s="7">
        <v>4.707083333333334</v>
      </c>
      <c r="L87" s="7">
        <v>0.8838302725933266</v>
      </c>
      <c r="M87" s="7">
        <v>0.6931660376624308</v>
      </c>
      <c r="N87" s="7">
        <v>0.3350269788195814</v>
      </c>
      <c r="O87" s="7">
        <v>0.0499237112942692</v>
      </c>
      <c r="P87" s="7">
        <v>9.01647413844764</v>
      </c>
      <c r="Q87" s="7">
        <v>0.0083379131733765</v>
      </c>
      <c r="R87" s="7">
        <v>0.0359802644104636</v>
      </c>
      <c r="S87" s="7">
        <v>0.0686126375637093</v>
      </c>
      <c r="T87" s="7">
        <v>0.4584817017233385</v>
      </c>
    </row>
    <row x14ac:dyDescent="0.25" r="88" customHeight="1" ht="19.5">
      <c r="A88" s="2" t="s">
        <v>1146</v>
      </c>
      <c r="B88" s="2" t="s">
        <v>1060</v>
      </c>
      <c r="C88" s="2" t="s">
        <v>31</v>
      </c>
      <c r="D88" s="2" t="s">
        <v>32</v>
      </c>
      <c r="E88" s="6">
        <v>1</v>
      </c>
      <c r="F88" s="6">
        <v>2</v>
      </c>
      <c r="G88" s="7">
        <v>0.6272169947624207</v>
      </c>
      <c r="H88" s="7">
        <v>48.83226562500001</v>
      </c>
      <c r="I88" s="7">
        <v>29.52233005774104</v>
      </c>
      <c r="J88" s="7">
        <v>9.939375000000002</v>
      </c>
      <c r="K88" s="7">
        <v>4.82625</v>
      </c>
      <c r="L88" s="7">
        <v>0.8790555587700691</v>
      </c>
      <c r="M88" s="7">
        <v>0.7040694099251347</v>
      </c>
      <c r="N88" s="7">
        <v>0.3389707913113703</v>
      </c>
      <c r="O88" s="7">
        <v>0.0497892682682088</v>
      </c>
      <c r="P88" s="7">
        <v>9.019767638429636</v>
      </c>
      <c r="Q88" s="7">
        <v>0.0075128275807072</v>
      </c>
      <c r="R88" s="7">
        <v>0.0351796021747312</v>
      </c>
      <c r="S88" s="7">
        <v>0.0701871277184385</v>
      </c>
      <c r="T88" s="7">
        <v>0.4257955087929199</v>
      </c>
    </row>
    <row x14ac:dyDescent="0.25" r="89" customHeight="1" ht="19.5">
      <c r="A89" s="2" t="s">
        <v>1147</v>
      </c>
      <c r="B89" s="2" t="s">
        <v>1060</v>
      </c>
      <c r="C89" s="2" t="s">
        <v>31</v>
      </c>
      <c r="D89" s="2" t="s">
        <v>32</v>
      </c>
      <c r="E89" s="6">
        <v>1</v>
      </c>
      <c r="F89" s="6">
        <v>2</v>
      </c>
      <c r="G89" s="7">
        <v>0.6307846307754517</v>
      </c>
      <c r="H89" s="7">
        <v>47.6478234375</v>
      </c>
      <c r="I89" s="7">
        <v>29.35587811272386</v>
      </c>
      <c r="J89" s="7">
        <v>9.939375000000002</v>
      </c>
      <c r="K89" s="7">
        <v>4.707083333333334</v>
      </c>
      <c r="L89" s="7">
        <v>0.8852638656089973</v>
      </c>
      <c r="M89" s="7">
        <v>0.6948047505379638</v>
      </c>
      <c r="N89" s="7">
        <v>0.3479917762271123</v>
      </c>
      <c r="O89" s="7">
        <v>0.0508339092158783</v>
      </c>
      <c r="P89" s="7">
        <v>8.95400513939591</v>
      </c>
      <c r="Q89" s="7">
        <v>0.0083941968986269</v>
      </c>
      <c r="R89" s="7">
        <v>0.0359111976284696</v>
      </c>
      <c r="S89" s="7">
        <v>0.066973756218258</v>
      </c>
      <c r="T89" s="7">
        <v>0.4642084042461962</v>
      </c>
    </row>
    <row x14ac:dyDescent="0.25" r="90" customHeight="1" ht="19.5">
      <c r="A90" s="2" t="s">
        <v>1148</v>
      </c>
      <c r="B90" s="2" t="s">
        <v>1060</v>
      </c>
      <c r="C90" s="2" t="s">
        <v>31</v>
      </c>
      <c r="D90" s="2" t="s">
        <v>32</v>
      </c>
      <c r="E90" s="6">
        <v>1</v>
      </c>
      <c r="F90" s="6">
        <v>2</v>
      </c>
      <c r="G90" s="7">
        <v>0.300226092338562</v>
      </c>
      <c r="H90" s="7">
        <v>39.3775078125</v>
      </c>
      <c r="I90" s="7">
        <v>26.5251802474473</v>
      </c>
      <c r="J90" s="7">
        <v>9.120299668325536</v>
      </c>
      <c r="K90" s="7">
        <v>4.394057058436743</v>
      </c>
      <c r="L90" s="7">
        <v>0.8850723822441732</v>
      </c>
      <c r="M90" s="7">
        <v>0.7033012719318011</v>
      </c>
      <c r="N90" s="7">
        <v>0.502251140870724</v>
      </c>
      <c r="O90" s="7">
        <v>0.0714884013152593</v>
      </c>
      <c r="P90" s="7">
        <v>8.11517015811966</v>
      </c>
      <c r="Q90" s="7">
        <v>0.0035348006493352</v>
      </c>
      <c r="R90" s="7">
        <v>0.0134217024180863</v>
      </c>
      <c r="S90" s="7">
        <v>0.02425228868628</v>
      </c>
      <c r="T90" s="7">
        <v>0.1615488729529126</v>
      </c>
    </row>
    <row x14ac:dyDescent="0.25" r="91" customHeight="1" ht="19.5">
      <c r="A91" s="2" t="s">
        <v>1149</v>
      </c>
      <c r="B91" s="2" t="s">
        <v>1060</v>
      </c>
      <c r="C91" s="2" t="s">
        <v>31</v>
      </c>
      <c r="D91" s="2" t="s">
        <v>32</v>
      </c>
      <c r="E91" s="6">
        <v>1</v>
      </c>
      <c r="F91" s="6">
        <v>2</v>
      </c>
      <c r="G91" s="7">
        <v>0.4567111730575561</v>
      </c>
      <c r="H91" s="7">
        <v>42.2797375</v>
      </c>
      <c r="I91" s="7">
        <v>27.82578722490053</v>
      </c>
      <c r="J91" s="7">
        <v>9.5325</v>
      </c>
      <c r="K91" s="7">
        <v>4.349583333333333</v>
      </c>
      <c r="L91" s="7">
        <v>0.8938060322639202</v>
      </c>
      <c r="M91" s="7">
        <v>0.6861944900953247</v>
      </c>
      <c r="N91" s="7">
        <v>0.4295675855603245</v>
      </c>
      <c r="O91" s="7">
        <v>0.0613180745854145</v>
      </c>
      <c r="P91" s="7">
        <v>8.510923719665984</v>
      </c>
      <c r="Q91" s="7">
        <v>0.0061515958254335</v>
      </c>
      <c r="R91" s="7">
        <v>0.0192311798102103</v>
      </c>
      <c r="S91" s="7">
        <v>0.0366553550392257</v>
      </c>
      <c r="T91" s="7">
        <v>0.3018636756037029</v>
      </c>
    </row>
    <row x14ac:dyDescent="0.25" r="92" customHeight="1" ht="19.5">
      <c r="A92" s="2" t="s">
        <v>1150</v>
      </c>
      <c r="B92" s="2" t="s">
        <v>1060</v>
      </c>
      <c r="C92" s="2" t="s">
        <v>31</v>
      </c>
      <c r="D92" s="2" t="s">
        <v>32</v>
      </c>
      <c r="E92" s="6">
        <v>1</v>
      </c>
      <c r="F92" s="6">
        <v>2</v>
      </c>
      <c r="G92" s="7">
        <v>0.5915130376815796</v>
      </c>
      <c r="H92" s="7">
        <v>45.55253828125</v>
      </c>
      <c r="I92" s="7">
        <v>29.02924769642141</v>
      </c>
      <c r="J92" s="7">
        <v>9.88787136923836</v>
      </c>
      <c r="K92" s="7">
        <v>4.542475913217452</v>
      </c>
      <c r="L92" s="7">
        <v>0.8928980748937467</v>
      </c>
      <c r="M92" s="7">
        <v>0.6792832154240974</v>
      </c>
      <c r="N92" s="7">
        <v>0.3871289387662405</v>
      </c>
      <c r="O92" s="7">
        <v>0.0552660707957413</v>
      </c>
      <c r="P92" s="7">
        <v>8.790536366408785</v>
      </c>
      <c r="Q92" s="7">
        <v>0.0086086981576948</v>
      </c>
      <c r="R92" s="7">
        <v>0.0254291291010432</v>
      </c>
      <c r="S92" s="7">
        <v>0.0463799643914113</v>
      </c>
      <c r="T92" s="7">
        <v>0.455135637517934</v>
      </c>
    </row>
    <row x14ac:dyDescent="0.25" r="93" customHeight="1" ht="19.5">
      <c r="A93" s="2" t="s">
        <v>1151</v>
      </c>
      <c r="B93" s="2" t="s">
        <v>1060</v>
      </c>
      <c r="C93" s="2" t="s">
        <v>31</v>
      </c>
      <c r="D93" s="2" t="s">
        <v>32</v>
      </c>
      <c r="E93" s="6">
        <v>1</v>
      </c>
      <c r="F93" s="6">
        <v>2</v>
      </c>
      <c r="G93" s="7">
        <v>0.5571828484535217</v>
      </c>
      <c r="H93" s="7">
        <v>46.50840390625</v>
      </c>
      <c r="I93" s="7">
        <v>29.03725354208861</v>
      </c>
      <c r="J93" s="7">
        <v>9.823752990682822</v>
      </c>
      <c r="K93" s="7">
        <v>4.648819635876036</v>
      </c>
      <c r="L93" s="7">
        <v>0.8854800662743737</v>
      </c>
      <c r="M93" s="7">
        <v>0.6931547858174436</v>
      </c>
      <c r="N93" s="7">
        <v>0.3808823323739254</v>
      </c>
      <c r="O93" s="7">
        <v>0.0543298058533185</v>
      </c>
      <c r="P93" s="7">
        <v>8.836226834821307</v>
      </c>
      <c r="Q93" s="7">
        <v>0.0093233268759779</v>
      </c>
      <c r="R93" s="7">
        <v>0.0264743467908464</v>
      </c>
      <c r="S93" s="7">
        <v>0.0466238753612493</v>
      </c>
      <c r="T93" s="7">
        <v>0.5032608263763892</v>
      </c>
    </row>
    <row x14ac:dyDescent="0.25" r="94" customHeight="1" ht="19.5">
      <c r="A94" s="2" t="s">
        <v>1152</v>
      </c>
      <c r="B94" s="2" t="s">
        <v>1060</v>
      </c>
      <c r="C94" s="2" t="s">
        <v>31</v>
      </c>
      <c r="D94" s="2" t="s">
        <v>32</v>
      </c>
      <c r="E94" s="6">
        <v>1</v>
      </c>
      <c r="F94" s="6">
        <v>2</v>
      </c>
      <c r="G94" s="7">
        <v>0.5595524907112122</v>
      </c>
      <c r="H94" s="7">
        <v>44.18800546875</v>
      </c>
      <c r="I94" s="7">
        <v>28.49750969272579</v>
      </c>
      <c r="J94" s="7">
        <v>9.71214037291546</v>
      </c>
      <c r="K94" s="7">
        <v>4.479993113901736</v>
      </c>
      <c r="L94" s="7">
        <v>0.891829258142325</v>
      </c>
      <c r="M94" s="7">
        <v>0.6837548864216575</v>
      </c>
      <c r="N94" s="7">
        <v>0.3717712802373972</v>
      </c>
      <c r="O94" s="7">
        <v>0.0539676762063467</v>
      </c>
      <c r="P94" s="7">
        <v>8.868878925462226</v>
      </c>
      <c r="Q94" s="7">
        <v>0.0099029377098788</v>
      </c>
      <c r="R94" s="7">
        <v>0.0283171497944363</v>
      </c>
      <c r="S94" s="7">
        <v>0.0497894043999333</v>
      </c>
      <c r="T94" s="7">
        <v>0.5078777962608292</v>
      </c>
    </row>
    <row x14ac:dyDescent="0.25" r="95" customHeight="1" ht="19.5">
      <c r="A95" s="2" t="s">
        <v>1153</v>
      </c>
      <c r="B95" s="2" t="s">
        <v>1060</v>
      </c>
      <c r="C95" s="2" t="s">
        <v>31</v>
      </c>
      <c r="D95" s="2" t="s">
        <v>32</v>
      </c>
      <c r="E95" s="6">
        <v>1</v>
      </c>
      <c r="F95" s="6">
        <v>2</v>
      </c>
      <c r="G95" s="7">
        <v>0.5437496900558472</v>
      </c>
      <c r="H95" s="7">
        <v>43.29447890625</v>
      </c>
      <c r="I95" s="7">
        <v>28.58073566523437</v>
      </c>
      <c r="J95" s="7">
        <v>9.767729607846263</v>
      </c>
      <c r="K95" s="7">
        <v>4.355714884601321</v>
      </c>
      <c r="L95" s="7">
        <v>0.8990572793995375</v>
      </c>
      <c r="M95" s="7">
        <v>0.6660327339637595</v>
      </c>
      <c r="N95" s="7">
        <v>0.3726167609069433</v>
      </c>
      <c r="O95" s="7">
        <v>0.0541382859366754</v>
      </c>
      <c r="P95" s="7">
        <v>8.858446226244315</v>
      </c>
      <c r="Q95" s="7">
        <v>0.0094175007191496</v>
      </c>
      <c r="R95" s="7">
        <v>0.0269744616156183</v>
      </c>
      <c r="S95" s="7">
        <v>0.0477107124402479</v>
      </c>
      <c r="T95" s="7">
        <v>0.4732154973719141</v>
      </c>
    </row>
    <row x14ac:dyDescent="0.25" r="96" customHeight="1" ht="19.5">
      <c r="A96" s="2" t="s">
        <v>1154</v>
      </c>
      <c r="B96" s="2" t="s">
        <v>1060</v>
      </c>
      <c r="C96" s="2" t="s">
        <v>31</v>
      </c>
      <c r="D96" s="2" t="s">
        <v>32</v>
      </c>
      <c r="E96" s="6">
        <v>1</v>
      </c>
      <c r="F96" s="6">
        <v>2</v>
      </c>
      <c r="G96" s="7">
        <v>0.5781221389770508</v>
      </c>
      <c r="H96" s="7">
        <v>44.8633453125</v>
      </c>
      <c r="I96" s="7">
        <v>29.08218265819652</v>
      </c>
      <c r="J96" s="7">
        <v>9.888797114762667</v>
      </c>
      <c r="K96" s="7">
        <v>4.485091503984845</v>
      </c>
      <c r="L96" s="7">
        <v>0.895802038929902</v>
      </c>
      <c r="M96" s="7">
        <v>0.6665726999085569</v>
      </c>
      <c r="N96" s="7">
        <v>0.37235498216087</v>
      </c>
      <c r="O96" s="7">
        <v>0.0533917042847256</v>
      </c>
      <c r="P96" s="7">
        <v>8.89770577016164</v>
      </c>
      <c r="Q96" s="7">
        <v>0.0091192942450806</v>
      </c>
      <c r="R96" s="7">
        <v>0.0266065091835234</v>
      </c>
      <c r="S96" s="7">
        <v>0.044130722688204</v>
      </c>
      <c r="T96" s="7">
        <v>0.4748360279437997</v>
      </c>
    </row>
    <row x14ac:dyDescent="0.25" r="97" customHeight="1" ht="19.5">
      <c r="A97" s="2" t="s">
        <v>1155</v>
      </c>
      <c r="B97" s="2" t="s">
        <v>1060</v>
      </c>
      <c r="C97" s="2" t="s">
        <v>31</v>
      </c>
      <c r="D97" s="2" t="s">
        <v>32</v>
      </c>
      <c r="E97" s="6">
        <v>1</v>
      </c>
      <c r="F97" s="6">
        <v>2</v>
      </c>
      <c r="G97" s="7">
        <v>0.55476313829422</v>
      </c>
      <c r="H97" s="7">
        <v>45.33088828125</v>
      </c>
      <c r="I97" s="7">
        <v>28.80185494396195</v>
      </c>
      <c r="J97" s="7">
        <v>9.823727842041894</v>
      </c>
      <c r="K97" s="7">
        <v>4.529633463115294</v>
      </c>
      <c r="L97" s="7">
        <v>0.8915554692937505</v>
      </c>
      <c r="M97" s="7">
        <v>0.6866938782871677</v>
      </c>
      <c r="N97" s="7">
        <v>0.3768706978189632</v>
      </c>
      <c r="O97" s="7">
        <v>0.0541296484871441</v>
      </c>
      <c r="P97" s="7">
        <v>8.858906493960253</v>
      </c>
      <c r="Q97" s="7">
        <v>0.0094829089808999</v>
      </c>
      <c r="R97" s="7">
        <v>0.0266188432249737</v>
      </c>
      <c r="S97" s="7">
        <v>0.0491898638615295</v>
      </c>
      <c r="T97" s="7">
        <v>0.4989150347421454</v>
      </c>
    </row>
    <row x14ac:dyDescent="0.25" r="98" customHeight="1" ht="19.5">
      <c r="A98" s="2" t="s">
        <v>1156</v>
      </c>
      <c r="B98" s="2" t="s">
        <v>1060</v>
      </c>
      <c r="C98" s="2" t="s">
        <v>31</v>
      </c>
      <c r="D98" s="2" t="s">
        <v>32</v>
      </c>
      <c r="E98" s="6">
        <v>1</v>
      </c>
      <c r="F98" s="6">
        <v>2</v>
      </c>
      <c r="G98" s="7">
        <v>0.5761611461639404</v>
      </c>
      <c r="H98" s="7">
        <v>45.12309140625</v>
      </c>
      <c r="I98" s="7">
        <v>29.64630283053627</v>
      </c>
      <c r="J98" s="7">
        <v>9.948879825899317</v>
      </c>
      <c r="K98" s="7">
        <v>4.489930681197301</v>
      </c>
      <c r="L98" s="7">
        <v>0.8971234104853673</v>
      </c>
      <c r="M98" s="7">
        <v>0.645160290387801</v>
      </c>
      <c r="N98" s="7">
        <v>0.3731979646498657</v>
      </c>
      <c r="O98" s="7">
        <v>0.0534727869431466</v>
      </c>
      <c r="P98" s="7">
        <v>8.894646071384493</v>
      </c>
      <c r="Q98" s="7">
        <v>0.0091231673885015</v>
      </c>
      <c r="R98" s="7">
        <v>0.0266399974597185</v>
      </c>
      <c r="S98" s="7">
        <v>0.0468622768979019</v>
      </c>
      <c r="T98" s="7">
        <v>0.4777880342008235</v>
      </c>
    </row>
    <row x14ac:dyDescent="0.25" r="99" customHeight="1" ht="19.5">
      <c r="A99" s="2" t="s">
        <v>1157</v>
      </c>
      <c r="B99" s="2" t="s">
        <v>1060</v>
      </c>
      <c r="C99" s="2" t="s">
        <v>31</v>
      </c>
      <c r="D99" s="2" t="s">
        <v>32</v>
      </c>
      <c r="E99" s="6">
        <v>1</v>
      </c>
      <c r="F99" s="6">
        <v>2</v>
      </c>
      <c r="G99" s="7">
        <v>0.5656598806381226</v>
      </c>
      <c r="H99" s="7">
        <v>45.90925625000001</v>
      </c>
      <c r="I99" s="7">
        <v>28.81613426336104</v>
      </c>
      <c r="J99" s="7">
        <v>9.823125</v>
      </c>
      <c r="K99" s="7">
        <v>4.587916666666667</v>
      </c>
      <c r="L99" s="7">
        <v>0.8885413274461005</v>
      </c>
      <c r="M99" s="7">
        <v>0.6947662016001558</v>
      </c>
      <c r="N99" s="7">
        <v>0.3761766028515526</v>
      </c>
      <c r="O99" s="7">
        <v>0.053921861451698</v>
      </c>
      <c r="P99" s="7">
        <v>8.87380952082197</v>
      </c>
      <c r="Q99" s="7">
        <v>0.0092274696536003</v>
      </c>
      <c r="R99" s="7">
        <v>0.0265775187425509</v>
      </c>
      <c r="S99" s="7">
        <v>0.0479377866229791</v>
      </c>
      <c r="T99" s="7">
        <v>0.4916699465407157</v>
      </c>
    </row>
    <row x14ac:dyDescent="0.25" r="100" customHeight="1" ht="19.5">
      <c r="A100" s="2" t="s">
        <v>1158</v>
      </c>
      <c r="B100" s="2" t="s">
        <v>1060</v>
      </c>
      <c r="C100" s="2" t="s">
        <v>31</v>
      </c>
      <c r="D100" s="2" t="s">
        <v>32</v>
      </c>
      <c r="E100" s="6">
        <v>1</v>
      </c>
      <c r="F100" s="6">
        <v>2</v>
      </c>
      <c r="G100" s="7">
        <v>0.5851048827171326</v>
      </c>
      <c r="H100" s="7">
        <v>46.144759375</v>
      </c>
      <c r="I100" s="7">
        <v>29.44328640105372</v>
      </c>
      <c r="J100" s="7">
        <v>9.884674921961498</v>
      </c>
      <c r="K100" s="7">
        <v>4.595254343873432</v>
      </c>
      <c r="L100" s="7">
        <v>0.8899306757949799</v>
      </c>
      <c r="M100" s="7">
        <v>0.6688976694145357</v>
      </c>
      <c r="N100" s="7">
        <v>0.3780096032981827</v>
      </c>
      <c r="O100" s="7">
        <v>0.0539431477197252</v>
      </c>
      <c r="P100" s="7">
        <v>8.873768606916016</v>
      </c>
      <c r="Q100" s="7">
        <v>0.0085492916375071</v>
      </c>
      <c r="R100" s="7">
        <v>0.0261387643637499</v>
      </c>
      <c r="S100" s="7">
        <v>0.0485919163619895</v>
      </c>
      <c r="T100" s="7">
        <v>0.4578711689753901</v>
      </c>
    </row>
    <row x14ac:dyDescent="0.25" r="101" customHeight="1" ht="19.5">
      <c r="A101" s="2" t="s">
        <v>1159</v>
      </c>
      <c r="B101" s="2" t="s">
        <v>1060</v>
      </c>
      <c r="C101" s="2" t="s">
        <v>31</v>
      </c>
      <c r="D101" s="2" t="s">
        <v>32</v>
      </c>
      <c r="E101" s="6">
        <v>1</v>
      </c>
      <c r="F101" s="6">
        <v>2</v>
      </c>
      <c r="G101" s="7">
        <v>0.5892229676246643</v>
      </c>
      <c r="H101" s="7">
        <v>44.78368984375</v>
      </c>
      <c r="I101" s="7">
        <v>29.33186057572228</v>
      </c>
      <c r="J101" s="7">
        <v>9.884920042434532</v>
      </c>
      <c r="K101" s="7">
        <v>4.477400959661617</v>
      </c>
      <c r="L101" s="7">
        <v>0.8958114107255941</v>
      </c>
      <c r="M101" s="7">
        <v>0.6541095854620759</v>
      </c>
      <c r="N101" s="7">
        <v>0.3705431420114412</v>
      </c>
      <c r="O101" s="7">
        <v>0.0534582721304774</v>
      </c>
      <c r="P101" s="7">
        <v>8.906355474275815</v>
      </c>
      <c r="Q101" s="7">
        <v>0.0090511583501125</v>
      </c>
      <c r="R101" s="7">
        <v>0.0266866960910175</v>
      </c>
      <c r="S101" s="7">
        <v>0.0486869265854694</v>
      </c>
      <c r="T101" s="7">
        <v>0.4704514553553582</v>
      </c>
    </row>
    <row x14ac:dyDescent="0.25" r="102" customHeight="1" ht="19.5">
      <c r="A102" s="2" t="s">
        <v>1160</v>
      </c>
      <c r="B102" s="2" t="s">
        <v>1060</v>
      </c>
      <c r="C102" s="2" t="s">
        <v>31</v>
      </c>
      <c r="D102" s="2" t="s">
        <v>32</v>
      </c>
      <c r="E102" s="6">
        <v>1</v>
      </c>
      <c r="F102" s="6">
        <v>2</v>
      </c>
      <c r="G102" s="7">
        <v>0.5885202288627625</v>
      </c>
      <c r="H102" s="7">
        <v>42.515240625</v>
      </c>
      <c r="I102" s="7">
        <v>27.90901319740912</v>
      </c>
      <c r="J102" s="7">
        <v>9.594023658249585</v>
      </c>
      <c r="K102" s="7">
        <v>4.357094489968233</v>
      </c>
      <c r="L102" s="7">
        <v>0.8951435719772443</v>
      </c>
      <c r="M102" s="7">
        <v>0.6859074869003051</v>
      </c>
      <c r="N102" s="7">
        <v>0.3740823018641374</v>
      </c>
      <c r="O102" s="7">
        <v>0.0545534805343169</v>
      </c>
      <c r="P102" s="7">
        <v>8.840390225309998</v>
      </c>
      <c r="Q102" s="7">
        <v>0.0095523026321947</v>
      </c>
      <c r="R102" s="7">
        <v>0.0268196294729486</v>
      </c>
      <c r="S102" s="7">
        <v>0.0447084827787135</v>
      </c>
      <c r="T102" s="7">
        <v>0.4713499817719418</v>
      </c>
    </row>
    <row x14ac:dyDescent="0.25" r="103" customHeight="1" ht="19.5">
      <c r="A103" s="2" t="s">
        <v>1161</v>
      </c>
      <c r="B103" s="2" t="s">
        <v>1060</v>
      </c>
      <c r="C103" s="2" t="s">
        <v>31</v>
      </c>
      <c r="D103" s="2" t="s">
        <v>32</v>
      </c>
      <c r="E103" s="6">
        <v>1</v>
      </c>
      <c r="F103" s="6">
        <v>2</v>
      </c>
      <c r="G103" s="7">
        <v>0.567564845085144</v>
      </c>
      <c r="H103" s="7">
        <v>45.18889375000001</v>
      </c>
      <c r="I103" s="7">
        <v>29.06372102297616</v>
      </c>
      <c r="J103" s="7">
        <v>9.95215421146693</v>
      </c>
      <c r="K103" s="7">
        <v>4.49624554578272</v>
      </c>
      <c r="L103" s="7">
        <v>0.897076443397227</v>
      </c>
      <c r="M103" s="7">
        <v>0.6722628949777353</v>
      </c>
      <c r="N103" s="7">
        <v>0.3759422617751269</v>
      </c>
      <c r="O103" s="7">
        <v>0.0539914961985302</v>
      </c>
      <c r="P103" s="7">
        <v>8.870076173856464</v>
      </c>
      <c r="Q103" s="7">
        <v>0.0092110897199631</v>
      </c>
      <c r="R103" s="7">
        <v>0.0266980068290378</v>
      </c>
      <c r="S103" s="7">
        <v>0.0480658978855753</v>
      </c>
      <c r="T103" s="7">
        <v>0.4830960675360942</v>
      </c>
    </row>
    <row x14ac:dyDescent="0.25" r="104" customHeight="1" ht="19.5">
      <c r="A104" s="2" t="s">
        <v>1162</v>
      </c>
      <c r="B104" s="2" t="s">
        <v>1060</v>
      </c>
      <c r="C104" s="2" t="s">
        <v>31</v>
      </c>
      <c r="D104" s="2" t="s">
        <v>32</v>
      </c>
      <c r="E104" s="6">
        <v>1</v>
      </c>
      <c r="F104" s="6">
        <v>2</v>
      </c>
      <c r="G104" s="7">
        <v>0.5309439897537231</v>
      </c>
      <c r="H104" s="7">
        <v>46.23134140625</v>
      </c>
      <c r="I104" s="7">
        <v>28.88508091647053</v>
      </c>
      <c r="J104" s="7">
        <v>9.765</v>
      </c>
      <c r="K104" s="7">
        <v>4.647500000000001</v>
      </c>
      <c r="L104" s="7">
        <v>0.8840312722730623</v>
      </c>
      <c r="M104" s="7">
        <v>0.6963044677436264</v>
      </c>
      <c r="N104" s="7">
        <v>0.3793493472563867</v>
      </c>
      <c r="O104" s="7">
        <v>0.0543237593874783</v>
      </c>
      <c r="P104" s="7">
        <v>8.842513069997429</v>
      </c>
      <c r="Q104" s="7">
        <v>0.0090963084032352</v>
      </c>
      <c r="R104" s="7">
        <v>0.0268684377825088</v>
      </c>
      <c r="S104" s="7">
        <v>0.049832413997152</v>
      </c>
      <c r="T104" s="7">
        <v>0.4880816173712686</v>
      </c>
    </row>
    <row x14ac:dyDescent="0.25" r="105" customHeight="1" ht="19.5">
      <c r="A105" s="2" t="s">
        <v>1163</v>
      </c>
      <c r="B105" s="2" t="s">
        <v>1060</v>
      </c>
      <c r="C105" s="2" t="s">
        <v>31</v>
      </c>
      <c r="D105" s="2" t="s">
        <v>32</v>
      </c>
      <c r="E105" s="6">
        <v>1</v>
      </c>
      <c r="F105" s="6">
        <v>2</v>
      </c>
      <c r="G105" s="7">
        <v>0.6142020225524902</v>
      </c>
      <c r="H105" s="7">
        <v>45.1681140625</v>
      </c>
      <c r="I105" s="7">
        <v>29.25873160679152</v>
      </c>
      <c r="J105" s="7">
        <v>9.882643280909868</v>
      </c>
      <c r="K105" s="7">
        <v>4.531231290755278</v>
      </c>
      <c r="L105" s="7">
        <v>0.892718767625212</v>
      </c>
      <c r="M105" s="7">
        <v>0.6630264153502613</v>
      </c>
      <c r="N105" s="7">
        <v>0.3771166990578634</v>
      </c>
      <c r="O105" s="7">
        <v>0.0533865708621849</v>
      </c>
      <c r="P105" s="7">
        <v>8.909690399631629</v>
      </c>
      <c r="Q105" s="7">
        <v>0.0084287460577905</v>
      </c>
      <c r="R105" s="7">
        <v>0.0253964328791343</v>
      </c>
      <c r="S105" s="7">
        <v>0.0488970204730805</v>
      </c>
      <c r="T105" s="7">
        <v>0.4418610366795144</v>
      </c>
    </row>
    <row x14ac:dyDescent="0.25" r="106" customHeight="1" ht="19.5">
      <c r="A106" s="2" t="s">
        <v>1164</v>
      </c>
      <c r="B106" s="2" t="s">
        <v>1060</v>
      </c>
      <c r="C106" s="2" t="s">
        <v>31</v>
      </c>
      <c r="D106" s="2" t="s">
        <v>32</v>
      </c>
      <c r="E106" s="6">
        <v>1</v>
      </c>
      <c r="F106" s="6">
        <v>2</v>
      </c>
      <c r="G106" s="7">
        <v>0.5605646371841431</v>
      </c>
      <c r="H106" s="7">
        <v>43.1178515625</v>
      </c>
      <c r="I106" s="7">
        <v>28.13013247613669</v>
      </c>
      <c r="J106" s="7">
        <v>9.590625</v>
      </c>
      <c r="K106" s="7">
        <v>4.409166666666668</v>
      </c>
      <c r="L106" s="7">
        <v>0.892131778869675</v>
      </c>
      <c r="M106" s="7">
        <v>0.6847364110781136</v>
      </c>
      <c r="N106" s="7">
        <v>0.3797699206745939</v>
      </c>
      <c r="O106" s="7">
        <v>0.0547546734828075</v>
      </c>
      <c r="P106" s="7">
        <v>8.828470003033859</v>
      </c>
      <c r="Q106" s="7">
        <v>0.0100029820747004</v>
      </c>
      <c r="R106" s="7">
        <v>0.0276127121347229</v>
      </c>
      <c r="S106" s="7">
        <v>0.04741616784062</v>
      </c>
      <c r="T106" s="7">
        <v>0.5005844834358555</v>
      </c>
    </row>
    <row x14ac:dyDescent="0.25" r="107" customHeight="1" ht="19.5">
      <c r="A107" s="2" t="s">
        <v>1165</v>
      </c>
      <c r="B107" s="2" t="s">
        <v>1060</v>
      </c>
      <c r="C107" s="2" t="s">
        <v>31</v>
      </c>
      <c r="D107" s="2" t="s">
        <v>32</v>
      </c>
      <c r="E107" s="6">
        <v>1</v>
      </c>
      <c r="F107" s="6">
        <v>2</v>
      </c>
      <c r="G107" s="7">
        <v>0.5664114356040955</v>
      </c>
      <c r="H107" s="7">
        <v>45.64951015625</v>
      </c>
      <c r="I107" s="7">
        <v>28.76146692965064</v>
      </c>
      <c r="J107" s="7">
        <v>9.721092061303214</v>
      </c>
      <c r="K107" s="7">
        <v>4.679300314482923</v>
      </c>
      <c r="L107" s="7">
        <v>0.8822878648790965</v>
      </c>
      <c r="M107" s="7">
        <v>0.6934639998628452</v>
      </c>
      <c r="N107" s="7">
        <v>0.3799561780423551</v>
      </c>
      <c r="O107" s="7">
        <v>0.0538394283859824</v>
      </c>
      <c r="P107" s="7">
        <v>8.87813413933701</v>
      </c>
      <c r="Q107" s="7">
        <v>0.0093298855896423</v>
      </c>
      <c r="R107" s="7">
        <v>0.0260232555785611</v>
      </c>
      <c r="S107" s="7">
        <v>0.0481807910021178</v>
      </c>
      <c r="T107" s="7">
        <v>0.4943143518300611</v>
      </c>
    </row>
    <row x14ac:dyDescent="0.25" r="108" customHeight="1" ht="19.5">
      <c r="A108" s="2" t="s">
        <v>1166</v>
      </c>
      <c r="B108" s="2" t="s">
        <v>1060</v>
      </c>
      <c r="C108" s="2" t="s">
        <v>31</v>
      </c>
      <c r="D108" s="2" t="s">
        <v>32</v>
      </c>
      <c r="E108" s="6">
        <v>1</v>
      </c>
      <c r="F108" s="6">
        <v>2</v>
      </c>
      <c r="G108" s="7">
        <v>0.5676426887512207</v>
      </c>
      <c r="H108" s="7">
        <v>44.11873984375</v>
      </c>
      <c r="I108" s="7">
        <v>28.93383356242437</v>
      </c>
      <c r="J108" s="7">
        <v>9.82785832801219</v>
      </c>
      <c r="K108" s="7">
        <v>4.419866994040937</v>
      </c>
      <c r="L108" s="7">
        <v>0.8974291573230067</v>
      </c>
      <c r="M108" s="7">
        <v>0.6622485337887583</v>
      </c>
      <c r="N108" s="7">
        <v>0.3764858092146647</v>
      </c>
      <c r="O108" s="7">
        <v>0.0541269380508233</v>
      </c>
      <c r="P108" s="7">
        <v>8.860030554402638</v>
      </c>
      <c r="Q108" s="7">
        <v>0.0097483699094256</v>
      </c>
      <c r="R108" s="7">
        <v>0.0279082713172905</v>
      </c>
      <c r="S108" s="7">
        <v>0.0497120960611725</v>
      </c>
      <c r="T108" s="7">
        <v>0.4991670154474064</v>
      </c>
    </row>
    <row x14ac:dyDescent="0.25" r="109" customHeight="1" ht="19.5">
      <c r="A109" s="2" t="s">
        <v>1167</v>
      </c>
      <c r="B109" s="2" t="s">
        <v>1060</v>
      </c>
      <c r="C109" s="2" t="s">
        <v>31</v>
      </c>
      <c r="D109" s="2" t="s">
        <v>32</v>
      </c>
      <c r="E109" s="6">
        <v>1</v>
      </c>
      <c r="F109" s="6">
        <v>2</v>
      </c>
      <c r="G109" s="7">
        <v>0.5501875281333923</v>
      </c>
      <c r="H109" s="7">
        <v>43.76548515625</v>
      </c>
      <c r="I109" s="7">
        <v>28.97248920480038</v>
      </c>
      <c r="J109" s="7">
        <v>9.887644811005472</v>
      </c>
      <c r="K109" s="7">
        <v>4.364365533083442</v>
      </c>
      <c r="L109" s="7">
        <v>0.9015096660025472</v>
      </c>
      <c r="M109" s="7">
        <v>0.6551941207667416</v>
      </c>
      <c r="N109" s="7">
        <v>0.375013605190406</v>
      </c>
      <c r="O109" s="7">
        <v>0.0540167989656681</v>
      </c>
      <c r="P109" s="7">
        <v>8.866957670480744</v>
      </c>
      <c r="Q109" s="7">
        <v>0.0084799301650041</v>
      </c>
      <c r="R109" s="7">
        <v>0.0263800392764644</v>
      </c>
      <c r="S109" s="7">
        <v>0.044590171050462</v>
      </c>
      <c r="T109" s="7">
        <v>0.4307396024854762</v>
      </c>
    </row>
    <row x14ac:dyDescent="0.25" r="110" customHeight="1" ht="19.5">
      <c r="A110" s="2" t="s">
        <v>1168</v>
      </c>
      <c r="B110" s="2" t="s">
        <v>1060</v>
      </c>
      <c r="C110" s="2" t="s">
        <v>31</v>
      </c>
      <c r="D110" s="2" t="s">
        <v>32</v>
      </c>
      <c r="E110" s="6">
        <v>1</v>
      </c>
      <c r="F110" s="6">
        <v>2</v>
      </c>
      <c r="G110" s="7">
        <v>0.5896133184432983</v>
      </c>
      <c r="H110" s="7">
        <v>41.92994609375</v>
      </c>
      <c r="I110" s="7">
        <v>27.79131389834578</v>
      </c>
      <c r="J110" s="7">
        <v>9.59678337157678</v>
      </c>
      <c r="K110" s="7">
        <v>4.303534520145922</v>
      </c>
      <c r="L110" s="7">
        <v>0.8981101028376678</v>
      </c>
      <c r="M110" s="7">
        <v>0.6822067450644248</v>
      </c>
      <c r="N110" s="7">
        <v>0.3722627481729302</v>
      </c>
      <c r="O110" s="7">
        <v>0.0544709671440187</v>
      </c>
      <c r="P110" s="7">
        <v>8.843545881184488</v>
      </c>
      <c r="Q110" s="7">
        <v>0.0091200727274204</v>
      </c>
      <c r="R110" s="7">
        <v>0.0269785402472882</v>
      </c>
      <c r="S110" s="7">
        <v>0.0466815746149636</v>
      </c>
      <c r="T110" s="7">
        <v>0.4438266596198386</v>
      </c>
    </row>
    <row x14ac:dyDescent="0.25" r="111" customHeight="1" ht="19.5">
      <c r="A111" s="2" t="s">
        <v>1169</v>
      </c>
      <c r="B111" s="2" t="s">
        <v>1060</v>
      </c>
      <c r="C111" s="2" t="s">
        <v>31</v>
      </c>
      <c r="D111" s="2" t="s">
        <v>32</v>
      </c>
      <c r="E111" s="6">
        <v>1</v>
      </c>
      <c r="F111" s="6">
        <v>2</v>
      </c>
      <c r="G111" s="7">
        <v>0.5865052938461304</v>
      </c>
      <c r="H111" s="7">
        <v>46.1932453125</v>
      </c>
      <c r="I111" s="7">
        <v>29.07172686864336</v>
      </c>
      <c r="J111" s="7">
        <v>9.88125</v>
      </c>
      <c r="K111" s="7">
        <v>4.587916666666667</v>
      </c>
      <c r="L111" s="7">
        <v>0.8899230665037768</v>
      </c>
      <c r="M111" s="7">
        <v>0.6868259242665945</v>
      </c>
      <c r="N111" s="7">
        <v>0.3769395477980169</v>
      </c>
      <c r="O111" s="7">
        <v>0.0539720229946858</v>
      </c>
      <c r="P111" s="7">
        <v>8.85380514065905</v>
      </c>
      <c r="Q111" s="7">
        <v>0.0093496414714851</v>
      </c>
      <c r="R111" s="7">
        <v>0.0272117928256461</v>
      </c>
      <c r="S111" s="7">
        <v>0.0489237274350112</v>
      </c>
      <c r="T111" s="7">
        <v>0.5012613416731431</v>
      </c>
    </row>
    <row x14ac:dyDescent="0.25" r="112" customHeight="1" ht="19.5">
      <c r="A112" s="2" t="s">
        <v>1170</v>
      </c>
      <c r="B112" s="2" t="s">
        <v>1060</v>
      </c>
      <c r="C112" s="2" t="s">
        <v>31</v>
      </c>
      <c r="D112" s="2" t="s">
        <v>32</v>
      </c>
      <c r="E112" s="6">
        <v>1</v>
      </c>
      <c r="F112" s="6">
        <v>2</v>
      </c>
      <c r="G112" s="7">
        <v>0.5477398037910461</v>
      </c>
      <c r="H112" s="7">
        <v>40.6381421875</v>
      </c>
      <c r="I112" s="7">
        <v>27.3549900286472</v>
      </c>
      <c r="J112" s="7">
        <v>9.416250000000002</v>
      </c>
      <c r="K112" s="7">
        <v>4.230416666666667</v>
      </c>
      <c r="L112" s="7">
        <v>0.8971700995998279</v>
      </c>
      <c r="M112" s="7">
        <v>0.6824496068994443</v>
      </c>
      <c r="N112" s="7">
        <v>0.4085632962857894</v>
      </c>
      <c r="O112" s="7">
        <v>0.0594583455676005</v>
      </c>
      <c r="P112" s="7">
        <v>8.604289265795162</v>
      </c>
      <c r="Q112" s="7">
        <v>0.0069134608818487</v>
      </c>
      <c r="R112" s="7">
        <v>0.0206708810313628</v>
      </c>
      <c r="S112" s="7">
        <v>0.038210078243277</v>
      </c>
      <c r="T112" s="7">
        <v>0.3260769765146052</v>
      </c>
    </row>
    <row x14ac:dyDescent="0.25" r="113" customHeight="1" ht="19.5">
      <c r="A113" s="2" t="s">
        <v>1171</v>
      </c>
      <c r="B113" s="2" t="s">
        <v>1060</v>
      </c>
      <c r="C113" s="2" t="s">
        <v>31</v>
      </c>
      <c r="D113" s="2" t="s">
        <v>32</v>
      </c>
      <c r="E113" s="6">
        <v>1</v>
      </c>
      <c r="F113" s="6">
        <v>2</v>
      </c>
      <c r="G113" s="7">
        <v>0.4747160673141479</v>
      </c>
      <c r="H113" s="7">
        <v>53.55271796875</v>
      </c>
      <c r="I113" s="7">
        <v>33.12225568275053</v>
      </c>
      <c r="J113" s="7">
        <v>12.09099920644989</v>
      </c>
      <c r="K113" s="7">
        <v>4.35236147663731</v>
      </c>
      <c r="L113" s="7">
        <v>0.9352330409138632</v>
      </c>
      <c r="M113" s="7">
        <v>0.6134110158266366</v>
      </c>
      <c r="N113" s="7">
        <v>0.4774217869522945</v>
      </c>
      <c r="O113" s="7">
        <v>0.0641073157940136</v>
      </c>
      <c r="P113" s="7">
        <v>8.355810518178808</v>
      </c>
      <c r="Q113" s="7">
        <v>0.0050521649257687</v>
      </c>
      <c r="R113" s="7">
        <v>0.0172390093605751</v>
      </c>
      <c r="S113" s="7">
        <v>0.0285455578534864</v>
      </c>
      <c r="T113" s="7">
        <v>0.314014582763588</v>
      </c>
    </row>
    <row x14ac:dyDescent="0.25" r="114" customHeight="1" ht="19.5">
      <c r="A114" s="2" t="s">
        <v>1172</v>
      </c>
      <c r="B114" s="2" t="s">
        <v>1060</v>
      </c>
      <c r="C114" s="2" t="s">
        <v>31</v>
      </c>
      <c r="D114" s="2" t="s">
        <v>32</v>
      </c>
      <c r="E114" s="6">
        <v>1</v>
      </c>
      <c r="F114" s="6">
        <v>2</v>
      </c>
      <c r="G114" s="7">
        <v>0.6015265583992004</v>
      </c>
      <c r="H114" s="7">
        <v>48.75953671875001</v>
      </c>
      <c r="I114" s="7">
        <v>29.86114863553194</v>
      </c>
      <c r="J114" s="7">
        <v>10.17246118442801</v>
      </c>
      <c r="K114" s="7">
        <v>4.708342955994919</v>
      </c>
      <c r="L114" s="7">
        <v>0.8907375975603244</v>
      </c>
      <c r="M114" s="7">
        <v>0.68715769803964</v>
      </c>
      <c r="N114" s="7">
        <v>0.4087953136087875</v>
      </c>
      <c r="O114" s="7">
        <v>0.0619015383664639</v>
      </c>
      <c r="P114" s="7">
        <v>8.464724068175045</v>
      </c>
      <c r="Q114" s="7">
        <v>0.0087221740343757</v>
      </c>
      <c r="R114" s="7">
        <v>0.0256832615309477</v>
      </c>
      <c r="S114" s="7">
        <v>0.0379299687517871</v>
      </c>
      <c r="T114" s="7">
        <v>0.493599940407264</v>
      </c>
    </row>
    <row x14ac:dyDescent="0.25" r="115" customHeight="1" ht="19.5">
      <c r="A115" s="2" t="s">
        <v>1173</v>
      </c>
      <c r="B115" s="2" t="s">
        <v>1060</v>
      </c>
      <c r="C115" s="2" t="s">
        <v>31</v>
      </c>
      <c r="D115" s="2" t="s">
        <v>32</v>
      </c>
      <c r="E115" s="6">
        <v>1</v>
      </c>
      <c r="F115" s="6">
        <v>2</v>
      </c>
      <c r="G115" s="7">
        <v>0.6417153477668762</v>
      </c>
      <c r="H115" s="7">
        <v>50.1967984375</v>
      </c>
      <c r="I115" s="7">
        <v>30.32603114402871</v>
      </c>
      <c r="J115" s="7">
        <v>10.24001734015628</v>
      </c>
      <c r="K115" s="7">
        <v>4.846684890852227</v>
      </c>
      <c r="L115" s="7">
        <v>0.8862404194252559</v>
      </c>
      <c r="M115" s="7">
        <v>0.68589040793335</v>
      </c>
      <c r="N115" s="7">
        <v>0.3835761660731173</v>
      </c>
      <c r="O115" s="7">
        <v>0.0585068425958655</v>
      </c>
      <c r="P115" s="7">
        <v>8.636264821222605</v>
      </c>
      <c r="Q115" s="7">
        <v>0.010629377352404</v>
      </c>
      <c r="R115" s="7">
        <v>0.0311528034300126</v>
      </c>
      <c r="S115" s="7">
        <v>0.0459543073872474</v>
      </c>
      <c r="T115" s="7">
        <v>0.6192622749311147</v>
      </c>
    </row>
    <row x14ac:dyDescent="0.25" r="116" customHeight="1" ht="19.5">
      <c r="A116" s="2" t="s">
        <v>1174</v>
      </c>
      <c r="B116" s="2" t="s">
        <v>1060</v>
      </c>
      <c r="C116" s="2" t="s">
        <v>31</v>
      </c>
      <c r="D116" s="2" t="s">
        <v>32</v>
      </c>
      <c r="E116" s="6">
        <v>1</v>
      </c>
      <c r="F116" s="6">
        <v>2</v>
      </c>
      <c r="G116" s="7">
        <v>0.6038168668746948</v>
      </c>
      <c r="H116" s="7">
        <v>48.4790109375</v>
      </c>
      <c r="I116" s="7">
        <v>29.70897600991387</v>
      </c>
      <c r="J116" s="7">
        <v>10.11375</v>
      </c>
      <c r="K116" s="7">
        <v>4.707083333333333</v>
      </c>
      <c r="L116" s="7">
        <v>0.889407137763085</v>
      </c>
      <c r="M116" s="7">
        <v>0.6902211273294672</v>
      </c>
      <c r="N116" s="7">
        <v>0.3889936491904707</v>
      </c>
      <c r="O116" s="7">
        <v>0.0599052344104007</v>
      </c>
      <c r="P116" s="7">
        <v>8.57721611521254</v>
      </c>
      <c r="Q116" s="7">
        <v>0.0104681928994991</v>
      </c>
      <c r="R116" s="7">
        <v>0.0307473576668898</v>
      </c>
      <c r="S116" s="7">
        <v>0.0443569221794022</v>
      </c>
      <c r="T116" s="7">
        <v>0.5890012924554252</v>
      </c>
    </row>
    <row x14ac:dyDescent="0.25" r="117" customHeight="1" ht="19.5">
      <c r="A117" s="2" t="s">
        <v>1175</v>
      </c>
      <c r="B117" s="2" t="s">
        <v>1060</v>
      </c>
      <c r="C117" s="2" t="s">
        <v>31</v>
      </c>
      <c r="D117" s="2" t="s">
        <v>32</v>
      </c>
      <c r="E117" s="6">
        <v>1</v>
      </c>
      <c r="F117" s="6">
        <v>2</v>
      </c>
      <c r="G117" s="7">
        <v>0.623693585395813</v>
      </c>
      <c r="H117" s="7">
        <v>49.0054296875</v>
      </c>
      <c r="I117" s="7">
        <v>29.82876646688783</v>
      </c>
      <c r="J117" s="7">
        <v>10.12797673953958</v>
      </c>
      <c r="K117" s="7">
        <v>4.795709056465317</v>
      </c>
      <c r="L117" s="7">
        <v>0.8864298919832783</v>
      </c>
      <c r="M117" s="7">
        <v>0.6921233123131039</v>
      </c>
      <c r="N117" s="7">
        <v>0.387673125012336</v>
      </c>
      <c r="O117" s="7">
        <v>0.0591666085705833</v>
      </c>
      <c r="P117" s="7">
        <v>8.610033760294304</v>
      </c>
      <c r="Q117" s="7">
        <v>0.0108534828322959</v>
      </c>
      <c r="R117" s="7">
        <v>0.0314532594950154</v>
      </c>
      <c r="S117" s="7">
        <v>0.0471460077347845</v>
      </c>
      <c r="T117" s="7">
        <v>0.6173111270559497</v>
      </c>
    </row>
    <row x14ac:dyDescent="0.25" r="118" customHeight="1" ht="19.5">
      <c r="A118" s="2" t="s">
        <v>1176</v>
      </c>
      <c r="B118" s="2" t="s">
        <v>1060</v>
      </c>
      <c r="C118" s="2" t="s">
        <v>31</v>
      </c>
      <c r="D118" s="2" t="s">
        <v>32</v>
      </c>
      <c r="E118" s="6">
        <v>1</v>
      </c>
      <c r="F118" s="6">
        <v>2</v>
      </c>
      <c r="G118" s="7">
        <v>0.628128170967102</v>
      </c>
      <c r="H118" s="7">
        <v>48.48593750000001</v>
      </c>
      <c r="I118" s="7">
        <v>29.77792266302336</v>
      </c>
      <c r="J118" s="7">
        <v>10.11375</v>
      </c>
      <c r="K118" s="7">
        <v>4.707083333333333</v>
      </c>
      <c r="L118" s="7">
        <v>0.8894078019921537</v>
      </c>
      <c r="M118" s="7">
        <v>0.6871267657713306</v>
      </c>
      <c r="N118" s="7">
        <v>0.3886300749985407</v>
      </c>
      <c r="O118" s="7">
        <v>0.0601175440893951</v>
      </c>
      <c r="P118" s="7">
        <v>8.564320848141723</v>
      </c>
      <c r="Q118" s="7">
        <v>0.0096241383265161</v>
      </c>
      <c r="R118" s="7">
        <v>0.0292077130344236</v>
      </c>
      <c r="S118" s="7">
        <v>0.0414058891720843</v>
      </c>
      <c r="T118" s="7">
        <v>0.541587252689545</v>
      </c>
    </row>
    <row x14ac:dyDescent="0.25" r="119" customHeight="1" ht="19.5">
      <c r="A119" s="2" t="s">
        <v>1177</v>
      </c>
      <c r="B119" s="2" t="s">
        <v>1060</v>
      </c>
      <c r="C119" s="2" t="s">
        <v>31</v>
      </c>
      <c r="D119" s="2" t="s">
        <v>32</v>
      </c>
      <c r="E119" s="6">
        <v>1</v>
      </c>
      <c r="F119" s="6">
        <v>2</v>
      </c>
      <c r="G119" s="7">
        <v>0.6204836368560791</v>
      </c>
      <c r="H119" s="7">
        <v>48.75953671875001</v>
      </c>
      <c r="I119" s="7">
        <v>29.94437460804053</v>
      </c>
      <c r="J119" s="7">
        <v>10.17244107902232</v>
      </c>
      <c r="K119" s="7">
        <v>4.708306739163541</v>
      </c>
      <c r="L119" s="7">
        <v>0.8907392438931582</v>
      </c>
      <c r="M119" s="7">
        <v>0.6833432992600661</v>
      </c>
      <c r="N119" s="7">
        <v>0.3914322306604123</v>
      </c>
      <c r="O119" s="7">
        <v>0.0597942133125271</v>
      </c>
      <c r="P119" s="7">
        <v>8.580145438291204</v>
      </c>
      <c r="Q119" s="7">
        <v>0.0098986300829615</v>
      </c>
      <c r="R119" s="7">
        <v>0.0297483036794125</v>
      </c>
      <c r="S119" s="7">
        <v>0.0445587635848175</v>
      </c>
      <c r="T119" s="7">
        <v>0.5601772218493759</v>
      </c>
    </row>
    <row x14ac:dyDescent="0.25" r="120" customHeight="1" ht="19.5">
      <c r="A120" s="2" t="s">
        <v>1178</v>
      </c>
      <c r="B120" s="2" t="s">
        <v>1060</v>
      </c>
      <c r="C120" s="2" t="s">
        <v>31</v>
      </c>
      <c r="D120" s="2" t="s">
        <v>32</v>
      </c>
      <c r="E120" s="6">
        <v>1</v>
      </c>
      <c r="F120" s="6">
        <v>2</v>
      </c>
      <c r="G120" s="7">
        <v>0.624270498752594</v>
      </c>
      <c r="H120" s="7">
        <v>50.3630359375</v>
      </c>
      <c r="I120" s="7">
        <v>30.34031046342781</v>
      </c>
      <c r="J120" s="7">
        <v>10.42166294054033</v>
      </c>
      <c r="K120" s="7">
        <v>4.803110134938388</v>
      </c>
      <c r="L120" s="7">
        <v>0.8930496834512439</v>
      </c>
      <c r="M120" s="7">
        <v>0.6875142830404183</v>
      </c>
      <c r="N120" s="7">
        <v>0.3882087588874894</v>
      </c>
      <c r="O120" s="7">
        <v>0.0590144033894455</v>
      </c>
      <c r="P120" s="7">
        <v>8.617760855002278</v>
      </c>
      <c r="Q120" s="7">
        <v>0.0098860806244903</v>
      </c>
      <c r="R120" s="7">
        <v>0.0303776241033775</v>
      </c>
      <c r="S120" s="7">
        <v>0.0456701490519909</v>
      </c>
      <c r="T120" s="7">
        <v>0.5778655840983343</v>
      </c>
    </row>
    <row x14ac:dyDescent="0.25" r="121" customHeight="1" ht="19.5">
      <c r="A121" s="2" t="s">
        <v>1179</v>
      </c>
      <c r="B121" s="2" t="s">
        <v>1060</v>
      </c>
      <c r="C121" s="2" t="s">
        <v>31</v>
      </c>
      <c r="D121" s="2" t="s">
        <v>32</v>
      </c>
      <c r="E121" s="6">
        <v>1</v>
      </c>
      <c r="F121" s="6">
        <v>2</v>
      </c>
      <c r="G121" s="7">
        <v>0.603352963924408</v>
      </c>
      <c r="H121" s="7">
        <v>48.97426015625</v>
      </c>
      <c r="I121" s="7">
        <v>30.13102056021336</v>
      </c>
      <c r="J121" s="7">
        <v>10.34625</v>
      </c>
      <c r="K121" s="7">
        <v>4.647500000000001</v>
      </c>
      <c r="L121" s="7">
        <v>0.8973535789714575</v>
      </c>
      <c r="M121" s="7">
        <v>0.6778756975465892</v>
      </c>
      <c r="N121" s="7">
        <v>0.393162424794573</v>
      </c>
      <c r="O121" s="7">
        <v>0.0599417071644681</v>
      </c>
      <c r="P121" s="7">
        <v>8.573628628229129</v>
      </c>
      <c r="Q121" s="7">
        <v>0.0099446103120031</v>
      </c>
      <c r="R121" s="7">
        <v>0.0305533155109797</v>
      </c>
      <c r="S121" s="7">
        <v>0.0449119996077358</v>
      </c>
      <c r="T121" s="7">
        <v>0.5652576303932966</v>
      </c>
    </row>
    <row x14ac:dyDescent="0.25" r="122" customHeight="1" ht="19.5">
      <c r="A122" s="2" t="s">
        <v>1180</v>
      </c>
      <c r="B122" s="2" t="s">
        <v>1060</v>
      </c>
      <c r="C122" s="2" t="s">
        <v>31</v>
      </c>
      <c r="D122" s="2" t="s">
        <v>32</v>
      </c>
      <c r="E122" s="6">
        <v>1</v>
      </c>
      <c r="F122" s="6">
        <v>2</v>
      </c>
      <c r="G122" s="7">
        <v>0.6288120746612549</v>
      </c>
      <c r="H122" s="7">
        <v>49.0608421875</v>
      </c>
      <c r="I122" s="7">
        <v>29.956562769529</v>
      </c>
      <c r="J122" s="7">
        <v>10.11898815470994</v>
      </c>
      <c r="K122" s="7">
        <v>4.777471161382983</v>
      </c>
      <c r="L122" s="7">
        <v>0.8864490764295317</v>
      </c>
      <c r="M122" s="7">
        <v>0.6870065879458224</v>
      </c>
      <c r="N122" s="7">
        <v>0.3933963181778316</v>
      </c>
      <c r="O122" s="7">
        <v>0.0597552512557526</v>
      </c>
      <c r="P122" s="7">
        <v>8.586688055973601</v>
      </c>
      <c r="Q122" s="7">
        <v>0.0098961429826197</v>
      </c>
      <c r="R122" s="7">
        <v>0.0299812424267362</v>
      </c>
      <c r="S122" s="7">
        <v>0.0429453844576243</v>
      </c>
      <c r="T122" s="7">
        <v>0.5634971718165922</v>
      </c>
    </row>
    <row x14ac:dyDescent="0.25" r="123" customHeight="1" ht="19.5">
      <c r="A123" s="2" t="s">
        <v>1181</v>
      </c>
      <c r="B123" s="2" t="s">
        <v>1060</v>
      </c>
      <c r="C123" s="2" t="s">
        <v>31</v>
      </c>
      <c r="D123" s="2" t="s">
        <v>32</v>
      </c>
      <c r="E123" s="6">
        <v>1</v>
      </c>
      <c r="F123" s="6">
        <v>2</v>
      </c>
      <c r="G123" s="7">
        <v>0.6033664345741272</v>
      </c>
      <c r="H123" s="7">
        <v>49.93012578125001</v>
      </c>
      <c r="I123" s="7">
        <v>30.21424653272194</v>
      </c>
      <c r="J123" s="7">
        <v>10.2887058280913</v>
      </c>
      <c r="K123" s="7">
        <v>4.767913341675344</v>
      </c>
      <c r="L123" s="7">
        <v>0.8904764700097008</v>
      </c>
      <c r="M123" s="7">
        <v>0.6873041830602974</v>
      </c>
      <c r="N123" s="7">
        <v>0.388506160629241</v>
      </c>
      <c r="O123" s="7">
        <v>0.0593833291658469</v>
      </c>
      <c r="P123" s="7">
        <v>8.587717490406927</v>
      </c>
      <c r="Q123" s="7">
        <v>0.0093845976249737</v>
      </c>
      <c r="R123" s="7">
        <v>0.0289351448508415</v>
      </c>
      <c r="S123" s="7">
        <v>0.045799023798414</v>
      </c>
      <c r="T123" s="7">
        <v>0.5438374322086097</v>
      </c>
    </row>
    <row x14ac:dyDescent="0.25" r="124" customHeight="1" ht="19.5">
      <c r="A124" s="2" t="s">
        <v>1182</v>
      </c>
      <c r="B124" s="2" t="s">
        <v>1060</v>
      </c>
      <c r="C124" s="2" t="s">
        <v>31</v>
      </c>
      <c r="D124" s="2" t="s">
        <v>32</v>
      </c>
      <c r="E124" s="6">
        <v>1</v>
      </c>
      <c r="F124" s="6">
        <v>2</v>
      </c>
      <c r="G124" s="7">
        <v>0.5702420473098755</v>
      </c>
      <c r="H124" s="7">
        <v>49.63921015625</v>
      </c>
      <c r="I124" s="7">
        <v>29.99312725399437</v>
      </c>
      <c r="J124" s="7">
        <v>10.23</v>
      </c>
      <c r="K124" s="7">
        <v>4.766666666666666</v>
      </c>
      <c r="L124" s="7">
        <v>0.8891570999440147</v>
      </c>
      <c r="M124" s="7">
        <v>0.6934117974045517</v>
      </c>
      <c r="N124" s="7">
        <v>0.387763978268135</v>
      </c>
      <c r="O124" s="7">
        <v>0.0599511820224262</v>
      </c>
      <c r="P124" s="7">
        <v>8.582232344919088</v>
      </c>
      <c r="Q124" s="7">
        <v>0.0102363721154353</v>
      </c>
      <c r="R124" s="7">
        <v>0.0311118170664761</v>
      </c>
      <c r="S124" s="7">
        <v>0.0451772637409953</v>
      </c>
      <c r="T124" s="7">
        <v>0.5897415239102879</v>
      </c>
    </row>
    <row x14ac:dyDescent="0.25" r="125" customHeight="1" ht="19.5">
      <c r="A125" s="2" t="s">
        <v>1183</v>
      </c>
      <c r="B125" s="2" t="s">
        <v>1060</v>
      </c>
      <c r="C125" s="2" t="s">
        <v>31</v>
      </c>
      <c r="D125" s="2" t="s">
        <v>32</v>
      </c>
      <c r="E125" s="6">
        <v>1</v>
      </c>
      <c r="F125" s="6">
        <v>2</v>
      </c>
      <c r="G125" s="7">
        <v>0.6241437196731567</v>
      </c>
      <c r="H125" s="7">
        <v>49.64960000000001</v>
      </c>
      <c r="I125" s="7">
        <v>30.09654723365861</v>
      </c>
      <c r="J125" s="7">
        <v>10.23058924809146</v>
      </c>
      <c r="K125" s="7">
        <v>4.767924228814926</v>
      </c>
      <c r="L125" s="7">
        <v>0.889158080871086</v>
      </c>
      <c r="M125" s="7">
        <v>0.6887986198128894</v>
      </c>
      <c r="N125" s="7">
        <v>0.38832219441354</v>
      </c>
      <c r="O125" s="7">
        <v>0.0596249582716192</v>
      </c>
      <c r="P125" s="7">
        <v>8.58310654618359</v>
      </c>
      <c r="Q125" s="7">
        <v>0.00978710657045</v>
      </c>
      <c r="R125" s="7">
        <v>0.0300874617454837</v>
      </c>
      <c r="S125" s="7">
        <v>0.0424057162348519</v>
      </c>
      <c r="T125" s="7">
        <v>0.5639762965727381</v>
      </c>
    </row>
    <row x14ac:dyDescent="0.25" r="126" customHeight="1" ht="19.5">
      <c r="A126" s="2" t="s">
        <v>1184</v>
      </c>
      <c r="B126" s="2" t="s">
        <v>1060</v>
      </c>
      <c r="C126" s="2" t="s">
        <v>31</v>
      </c>
      <c r="D126" s="2" t="s">
        <v>32</v>
      </c>
      <c r="E126" s="6">
        <v>1</v>
      </c>
      <c r="F126" s="6">
        <v>2</v>
      </c>
      <c r="G126" s="7">
        <v>0.6278697848320007</v>
      </c>
      <c r="H126" s="7">
        <v>49.0400625</v>
      </c>
      <c r="I126" s="7">
        <v>30.01332126115003</v>
      </c>
      <c r="J126" s="7">
        <v>10.23</v>
      </c>
      <c r="K126" s="7">
        <v>4.707083333333333</v>
      </c>
      <c r="L126" s="7">
        <v>0.8920436247159231</v>
      </c>
      <c r="M126" s="7">
        <v>0.6841207531692652</v>
      </c>
      <c r="N126" s="7">
        <v>0.3881815547260887</v>
      </c>
      <c r="O126" s="7">
        <v>0.0598419757172879</v>
      </c>
      <c r="P126" s="7">
        <v>8.573041333630648</v>
      </c>
      <c r="Q126" s="7">
        <v>0.0097441156526406</v>
      </c>
      <c r="R126" s="7">
        <v>0.0298089047870884</v>
      </c>
      <c r="S126" s="7">
        <v>0.0457179773606047</v>
      </c>
      <c r="T126" s="7">
        <v>0.5546055675235178</v>
      </c>
    </row>
    <row x14ac:dyDescent="0.25" r="127" customHeight="1" ht="19.5">
      <c r="A127" s="2" t="s">
        <v>1185</v>
      </c>
      <c r="B127" s="2" t="s">
        <v>1060</v>
      </c>
      <c r="C127" s="2" t="s">
        <v>31</v>
      </c>
      <c r="D127" s="2" t="s">
        <v>32</v>
      </c>
      <c r="E127" s="6">
        <v>1</v>
      </c>
      <c r="F127" s="6">
        <v>2</v>
      </c>
      <c r="G127" s="7">
        <v>0.6351741552352905</v>
      </c>
      <c r="H127" s="7">
        <v>49.65306328125001</v>
      </c>
      <c r="I127" s="7">
        <v>30.13102056021336</v>
      </c>
      <c r="J127" s="7">
        <v>10.23</v>
      </c>
      <c r="K127" s="7">
        <v>4.766666666666666</v>
      </c>
      <c r="L127" s="7">
        <v>0.8891583974586278</v>
      </c>
      <c r="M127" s="7">
        <v>0.6872713298723887</v>
      </c>
      <c r="N127" s="7">
        <v>0.3900501947986127</v>
      </c>
      <c r="O127" s="7">
        <v>0.0595249393102748</v>
      </c>
      <c r="P127" s="7">
        <v>8.58264349093675</v>
      </c>
      <c r="Q127" s="7">
        <v>0.0114281179232984</v>
      </c>
      <c r="R127" s="7">
        <v>0.0315722926153537</v>
      </c>
      <c r="S127" s="7">
        <v>0.0470335707805842</v>
      </c>
      <c r="T127" s="7">
        <v>0.6585845527879927</v>
      </c>
    </row>
    <row x14ac:dyDescent="0.25" r="128" customHeight="1" ht="19.5">
      <c r="A128" s="2" t="s">
        <v>1186</v>
      </c>
      <c r="B128" s="2" t="s">
        <v>1060</v>
      </c>
      <c r="C128" s="2" t="s">
        <v>31</v>
      </c>
      <c r="D128" s="2" t="s">
        <v>32</v>
      </c>
      <c r="E128" s="6">
        <v>1</v>
      </c>
      <c r="F128" s="6">
        <v>2</v>
      </c>
      <c r="G128" s="7">
        <v>0.6192245483398438</v>
      </c>
      <c r="H128" s="7">
        <v>47.9664453125</v>
      </c>
      <c r="I128" s="7">
        <v>29.39035143927861</v>
      </c>
      <c r="J128" s="7">
        <v>9.88189417846392</v>
      </c>
      <c r="K128" s="7">
        <v>4.767994329180523</v>
      </c>
      <c r="L128" s="7">
        <v>0.8807094813288158</v>
      </c>
      <c r="M128" s="7">
        <v>0.6978110472218713</v>
      </c>
      <c r="N128" s="7">
        <v>0.3878128853189042</v>
      </c>
      <c r="O128" s="7">
        <v>0.0600134961718427</v>
      </c>
      <c r="P128" s="7">
        <v>8.56024802691665</v>
      </c>
      <c r="Q128" s="7">
        <v>0.0098471178680459</v>
      </c>
      <c r="R128" s="7">
        <v>0.029841409678126</v>
      </c>
      <c r="S128" s="7">
        <v>0.0433540123622731</v>
      </c>
      <c r="T128" s="7">
        <v>0.5481980059632746</v>
      </c>
    </row>
    <row x14ac:dyDescent="0.25" r="129" customHeight="1" ht="19.5">
      <c r="A129" s="2" t="s">
        <v>1187</v>
      </c>
      <c r="B129" s="2" t="s">
        <v>1060</v>
      </c>
      <c r="C129" s="2" t="s">
        <v>31</v>
      </c>
      <c r="D129" s="2" t="s">
        <v>32</v>
      </c>
      <c r="E129" s="6">
        <v>1</v>
      </c>
      <c r="F129" s="6">
        <v>2</v>
      </c>
      <c r="G129" s="7">
        <v>0.6055057644844055</v>
      </c>
      <c r="H129" s="7">
        <v>49.6288203125</v>
      </c>
      <c r="I129" s="7">
        <v>30.14529987961245</v>
      </c>
      <c r="J129" s="7">
        <v>10.23281148001759</v>
      </c>
      <c r="K129" s="7">
        <v>4.772641073546459</v>
      </c>
      <c r="L129" s="7">
        <v>0.8891599010377167</v>
      </c>
      <c r="M129" s="7">
        <v>0.6862851459614149</v>
      </c>
      <c r="N129" s="7">
        <v>0.3866030851968524</v>
      </c>
      <c r="O129" s="7">
        <v>0.0593666542042792</v>
      </c>
      <c r="P129" s="7">
        <v>8.599346461743902</v>
      </c>
      <c r="Q129" s="7">
        <v>0.0107599987353649</v>
      </c>
      <c r="R129" s="7">
        <v>0.0310960355958204</v>
      </c>
      <c r="S129" s="7">
        <v>0.0466836559462798</v>
      </c>
      <c r="T129" s="7">
        <v>0.6197791362427104</v>
      </c>
    </row>
    <row x14ac:dyDescent="0.25" r="130" customHeight="1" ht="19.5">
      <c r="A130" s="2" t="s">
        <v>1188</v>
      </c>
      <c r="B130" s="2" t="s">
        <v>1060</v>
      </c>
      <c r="C130" s="2" t="s">
        <v>31</v>
      </c>
      <c r="D130" s="2" t="s">
        <v>32</v>
      </c>
      <c r="E130" s="6">
        <v>1</v>
      </c>
      <c r="F130" s="6">
        <v>2</v>
      </c>
      <c r="G130" s="7">
        <v>0.6309332251548767</v>
      </c>
      <c r="H130" s="7">
        <v>49.3656109375</v>
      </c>
      <c r="I130" s="7">
        <v>29.94437460804053</v>
      </c>
      <c r="J130" s="7">
        <v>10.171875</v>
      </c>
      <c r="K130" s="7">
        <v>4.766666666666666</v>
      </c>
      <c r="L130" s="7">
        <v>0.88781481647247</v>
      </c>
      <c r="M130" s="7">
        <v>0.6918371608532553</v>
      </c>
      <c r="N130" s="7">
        <v>0.3883846466727331</v>
      </c>
      <c r="O130" s="7">
        <v>0.0597627022941844</v>
      </c>
      <c r="P130" s="7">
        <v>8.57673422654015</v>
      </c>
      <c r="Q130" s="7">
        <v>0.0101153957495768</v>
      </c>
      <c r="R130" s="7">
        <v>0.0302449654813515</v>
      </c>
      <c r="S130" s="7">
        <v>0.0436779516964405</v>
      </c>
      <c r="T130" s="7">
        <v>0.5795596943782603</v>
      </c>
    </row>
    <row x14ac:dyDescent="0.25" r="131" customHeight="1" ht="19.5">
      <c r="A131" s="2" t="s">
        <v>1189</v>
      </c>
      <c r="B131" s="2" t="s">
        <v>1060</v>
      </c>
      <c r="C131" s="2" t="s">
        <v>31</v>
      </c>
      <c r="D131" s="2" t="s">
        <v>32</v>
      </c>
      <c r="E131" s="6">
        <v>1</v>
      </c>
      <c r="F131" s="6">
        <v>2</v>
      </c>
      <c r="G131" s="7">
        <v>0.623371422290802</v>
      </c>
      <c r="H131" s="7">
        <v>49.3725375</v>
      </c>
      <c r="I131" s="7">
        <v>30.01332126115003</v>
      </c>
      <c r="J131" s="7">
        <v>10.171875</v>
      </c>
      <c r="K131" s="7">
        <v>4.766666666666666</v>
      </c>
      <c r="L131" s="7">
        <v>0.8878154670147062</v>
      </c>
      <c r="M131" s="7">
        <v>0.6887588599704129</v>
      </c>
      <c r="N131" s="7">
        <v>0.3874486685810289</v>
      </c>
      <c r="O131" s="7">
        <v>0.0594737017921319</v>
      </c>
      <c r="P131" s="7">
        <v>8.58742406982246</v>
      </c>
      <c r="Q131" s="7">
        <v>0.0097377153936449</v>
      </c>
      <c r="R131" s="7">
        <v>0.0293157547249515</v>
      </c>
      <c r="S131" s="7">
        <v>0.0433700801898678</v>
      </c>
      <c r="T131" s="7">
        <v>0.5579988521832275</v>
      </c>
    </row>
    <row x14ac:dyDescent="0.25" r="132" customHeight="1" ht="19.5">
      <c r="A132" s="2" t="s">
        <v>1190</v>
      </c>
      <c r="B132" s="2" t="s">
        <v>1060</v>
      </c>
      <c r="C132" s="2" t="s">
        <v>31</v>
      </c>
      <c r="D132" s="2" t="s">
        <v>32</v>
      </c>
      <c r="E132" s="6">
        <v>1</v>
      </c>
      <c r="F132" s="6">
        <v>2</v>
      </c>
      <c r="G132" s="7">
        <v>0.6343080997467041</v>
      </c>
      <c r="H132" s="7">
        <v>49.93012578125001</v>
      </c>
      <c r="I132" s="7">
        <v>30.21424653272194</v>
      </c>
      <c r="J132" s="7">
        <v>10.2887058280913</v>
      </c>
      <c r="K132" s="7">
        <v>4.767913341675344</v>
      </c>
      <c r="L132" s="7">
        <v>0.8904764700097008</v>
      </c>
      <c r="M132" s="7">
        <v>0.6873041830602974</v>
      </c>
      <c r="N132" s="7">
        <v>0.3880488817498032</v>
      </c>
      <c r="O132" s="7">
        <v>0.0593519706340921</v>
      </c>
      <c r="P132" s="7">
        <v>8.595626351559929</v>
      </c>
      <c r="Q132" s="7">
        <v>0.010127780506876</v>
      </c>
      <c r="R132" s="7">
        <v>0.0307846745516314</v>
      </c>
      <c r="S132" s="7">
        <v>0.0467088621230931</v>
      </c>
      <c r="T132" s="7">
        <v>0.5869048802022891</v>
      </c>
    </row>
    <row x14ac:dyDescent="0.25" r="133" customHeight="1" ht="19.5">
      <c r="A133" s="2" t="s">
        <v>1191</v>
      </c>
      <c r="B133" s="2" t="s">
        <v>1060</v>
      </c>
      <c r="C133" s="2" t="s">
        <v>31</v>
      </c>
      <c r="D133" s="2" t="s">
        <v>32</v>
      </c>
      <c r="E133" s="6">
        <v>1</v>
      </c>
      <c r="F133" s="6">
        <v>2</v>
      </c>
      <c r="G133" s="7">
        <v>0.6138573884963989</v>
      </c>
      <c r="H133" s="7">
        <v>49.08508515625</v>
      </c>
      <c r="I133" s="7">
        <v>29.8266753089772</v>
      </c>
      <c r="J133" s="7">
        <v>10.11375</v>
      </c>
      <c r="K133" s="7">
        <v>4.766666666666666</v>
      </c>
      <c r="L133" s="7">
        <v>0.8864467014848769</v>
      </c>
      <c r="M133" s="7">
        <v>0.693345529541754</v>
      </c>
      <c r="N133" s="7">
        <v>0.3896988525265693</v>
      </c>
      <c r="O133" s="7">
        <v>0.0598247475078969</v>
      </c>
      <c r="P133" s="7">
        <v>8.572000805592717</v>
      </c>
      <c r="Q133" s="7">
        <v>0.0095338813219083</v>
      </c>
      <c r="R133" s="7">
        <v>0.0291848450409432</v>
      </c>
      <c r="S133" s="7">
        <v>0.0424231842349431</v>
      </c>
      <c r="T133" s="7">
        <v>0.5431378519311182</v>
      </c>
    </row>
    <row x14ac:dyDescent="0.25" r="134" customHeight="1" ht="19.5">
      <c r="A134" s="2" t="s">
        <v>1192</v>
      </c>
      <c r="B134" s="2" t="s">
        <v>1060</v>
      </c>
      <c r="C134" s="2" t="s">
        <v>31</v>
      </c>
      <c r="D134" s="2" t="s">
        <v>32</v>
      </c>
      <c r="E134" s="6">
        <v>1</v>
      </c>
      <c r="F134" s="6">
        <v>2</v>
      </c>
      <c r="G134" s="7">
        <v>0.629196047782898</v>
      </c>
      <c r="H134" s="7">
        <v>49.4902890625</v>
      </c>
      <c r="I134" s="7">
        <v>29.96074508535025</v>
      </c>
      <c r="J134" s="7">
        <v>10.25381450845731</v>
      </c>
      <c r="K134" s="7">
        <v>4.815987900116607</v>
      </c>
      <c r="L134" s="7">
        <v>0.889105016600637</v>
      </c>
      <c r="M134" s="7">
        <v>0.692826730902522</v>
      </c>
      <c r="N134" s="7">
        <v>0.3931120654645153</v>
      </c>
      <c r="O134" s="7">
        <v>0.0597220700272047</v>
      </c>
      <c r="P134" s="7">
        <v>8.584278873767605</v>
      </c>
      <c r="Q134" s="7">
        <v>0.0091311179277047</v>
      </c>
      <c r="R134" s="7">
        <v>0.0285696523850694</v>
      </c>
      <c r="S134" s="7">
        <v>0.041448309723884</v>
      </c>
      <c r="T134" s="7">
        <v>0.5244869927776582</v>
      </c>
    </row>
    <row x14ac:dyDescent="0.25" r="135" customHeight="1" ht="19.5">
      <c r="A135" s="2" t="s">
        <v>1193</v>
      </c>
      <c r="B135" s="2" t="s">
        <v>1060</v>
      </c>
      <c r="C135" s="2" t="s">
        <v>31</v>
      </c>
      <c r="D135" s="2" t="s">
        <v>32</v>
      </c>
      <c r="E135" s="6">
        <v>1</v>
      </c>
      <c r="F135" s="6">
        <v>2</v>
      </c>
      <c r="G135" s="7">
        <v>0.3930067420005798</v>
      </c>
      <c r="H135" s="7">
        <v>40.57926640625</v>
      </c>
      <c r="I135" s="7">
        <v>27.28813453344834</v>
      </c>
      <c r="J135" s="7">
        <v>9.316861951770974</v>
      </c>
      <c r="K135" s="7">
        <v>4.324153654078518</v>
      </c>
      <c r="L135" s="7">
        <v>0.8913878181924735</v>
      </c>
      <c r="M135" s="7">
        <v>0.6848041137213163</v>
      </c>
      <c r="N135" s="7">
        <v>0.4901666336021539</v>
      </c>
      <c r="O135" s="7">
        <v>0.076797081143032</v>
      </c>
      <c r="P135" s="7">
        <v>7.895165215799581</v>
      </c>
      <c r="Q135" s="7">
        <v>0.004186475516579</v>
      </c>
      <c r="R135" s="7">
        <v>0.0152729700727093</v>
      </c>
      <c r="S135" s="7">
        <v>0.0236106122663042</v>
      </c>
      <c r="T135" s="7">
        <v>0.1971712216757601</v>
      </c>
    </row>
    <row x14ac:dyDescent="0.25" r="136" customHeight="1" ht="19.5">
      <c r="A136" s="2" t="s">
        <v>1194</v>
      </c>
      <c r="B136" s="2" t="s">
        <v>1060</v>
      </c>
      <c r="C136" s="2" t="s">
        <v>31</v>
      </c>
      <c r="D136" s="2" t="s">
        <v>32</v>
      </c>
      <c r="E136" s="6">
        <v>1</v>
      </c>
      <c r="F136" s="6">
        <v>2</v>
      </c>
      <c r="G136" s="7">
        <v>0.5739707946777344</v>
      </c>
      <c r="H136" s="7">
        <v>45.57331796875</v>
      </c>
      <c r="I136" s="7">
        <v>28.38471028143439</v>
      </c>
      <c r="J136" s="7">
        <v>10.0059893541651</v>
      </c>
      <c r="K136" s="7">
        <v>5.055827371626116</v>
      </c>
      <c r="L136" s="7">
        <v>0.8799949258327981</v>
      </c>
      <c r="M136" s="7">
        <v>0.7108068116480807</v>
      </c>
      <c r="N136" s="7">
        <v>0.5213660115939975</v>
      </c>
      <c r="O136" s="7">
        <v>0.0956071485019466</v>
      </c>
      <c r="P136" s="7">
        <v>7.416626773091965</v>
      </c>
      <c r="Q136" s="7">
        <v>0.0067150511752172</v>
      </c>
      <c r="R136" s="7">
        <v>0.0217671361371177</v>
      </c>
      <c r="S136" s="7">
        <v>0.0419122365584936</v>
      </c>
      <c r="T136" s="7">
        <v>0.3551818421750268</v>
      </c>
    </row>
    <row x14ac:dyDescent="0.25" r="137" customHeight="1" ht="19.5">
      <c r="A137" s="2" t="s">
        <v>1195</v>
      </c>
      <c r="B137" s="2" t="s">
        <v>1060</v>
      </c>
      <c r="C137" s="2" t="s">
        <v>31</v>
      </c>
      <c r="D137" s="2" t="s">
        <v>32</v>
      </c>
      <c r="E137" s="6">
        <v>1</v>
      </c>
      <c r="F137" s="6">
        <v>2</v>
      </c>
      <c r="G137" s="7">
        <v>0.6073614358901978</v>
      </c>
      <c r="H137" s="7">
        <v>48.2573609375</v>
      </c>
      <c r="I137" s="7">
        <v>29.28938140350034</v>
      </c>
      <c r="J137" s="7">
        <v>9.689170992766089</v>
      </c>
      <c r="K137" s="7">
        <v>5.177859383249048</v>
      </c>
      <c r="L137" s="7">
        <v>0.8598469051243856</v>
      </c>
      <c r="M137" s="7">
        <v>0.7068919452129286</v>
      </c>
      <c r="N137" s="7">
        <v>0.4285122193759393</v>
      </c>
      <c r="O137" s="7">
        <v>0.0771977994139886</v>
      </c>
      <c r="P137" s="7">
        <v>7.854365206179038</v>
      </c>
      <c r="Q137" s="7">
        <v>0.0079473055549885</v>
      </c>
      <c r="R137" s="7">
        <v>0.0302362310046863</v>
      </c>
      <c r="S137" s="7">
        <v>0.0522513530957279</v>
      </c>
      <c r="T137" s="7">
        <v>0.4451170795126824</v>
      </c>
    </row>
    <row x14ac:dyDescent="0.25" r="138" customHeight="1" ht="19.5">
      <c r="A138" s="2" t="s">
        <v>1196</v>
      </c>
      <c r="B138" s="2" t="s">
        <v>1060</v>
      </c>
      <c r="C138" s="2" t="s">
        <v>31</v>
      </c>
      <c r="D138" s="2" t="s">
        <v>32</v>
      </c>
      <c r="E138" s="6">
        <v>1</v>
      </c>
      <c r="F138" s="6">
        <v>2</v>
      </c>
      <c r="G138" s="7">
        <v>0.6200694441795349</v>
      </c>
      <c r="H138" s="7">
        <v>48.873825</v>
      </c>
      <c r="I138" s="7">
        <v>28.96239220122256</v>
      </c>
      <c r="J138" s="7">
        <v>9.584660445525486</v>
      </c>
      <c r="K138" s="7">
        <v>5.157310556421102</v>
      </c>
      <c r="L138" s="7">
        <v>0.8533311599348274</v>
      </c>
      <c r="M138" s="7">
        <v>0.7321791083492883</v>
      </c>
      <c r="N138" s="7">
        <v>0.3794285738610209</v>
      </c>
      <c r="O138" s="7">
        <v>0.0704876448374176</v>
      </c>
      <c r="P138" s="7">
        <v>8.105993138901944</v>
      </c>
      <c r="Q138" s="7">
        <v>0.0084810191244751</v>
      </c>
      <c r="R138" s="7">
        <v>0.0383933325703486</v>
      </c>
      <c r="S138" s="7">
        <v>0.065446481657729</v>
      </c>
      <c r="T138" s="7">
        <v>0.481077618102885</v>
      </c>
    </row>
    <row x14ac:dyDescent="0.25" r="139" customHeight="1" ht="19.5">
      <c r="A139" s="2" t="s">
        <v>1197</v>
      </c>
      <c r="B139" s="2" t="s">
        <v>1060</v>
      </c>
      <c r="C139" s="2" t="s">
        <v>31</v>
      </c>
      <c r="D139" s="2" t="s">
        <v>32</v>
      </c>
      <c r="E139" s="6">
        <v>1</v>
      </c>
      <c r="F139" s="6">
        <v>2</v>
      </c>
      <c r="G139" s="7">
        <v>0.659461259841919</v>
      </c>
      <c r="H139" s="7">
        <v>49.02967265625</v>
      </c>
      <c r="I139" s="7">
        <v>29.0111448471764</v>
      </c>
      <c r="J139" s="7">
        <v>9.667355515777505</v>
      </c>
      <c r="K139" s="7">
        <v>5.198753902133388</v>
      </c>
      <c r="L139" s="7">
        <v>0.8552729437309166</v>
      </c>
      <c r="M139" s="7">
        <v>0.732047265860731</v>
      </c>
      <c r="N139" s="7">
        <v>0.3579198102920763</v>
      </c>
      <c r="O139" s="7">
        <v>0.0663172049829761</v>
      </c>
      <c r="P139" s="7">
        <v>8.261774037838434</v>
      </c>
      <c r="Q139" s="7">
        <v>0.0091379120677863</v>
      </c>
      <c r="R139" s="7">
        <v>0.0430479110389523</v>
      </c>
      <c r="S139" s="7">
        <v>0.0732403977751334</v>
      </c>
      <c r="T139" s="7">
        <v>0.5199921032869567</v>
      </c>
    </row>
    <row x14ac:dyDescent="0.25" r="140" customHeight="1" ht="19.5">
      <c r="A140" s="2" t="s">
        <v>1198</v>
      </c>
      <c r="B140" s="2" t="s">
        <v>1060</v>
      </c>
      <c r="C140" s="2" t="s">
        <v>31</v>
      </c>
      <c r="D140" s="2" t="s">
        <v>32</v>
      </c>
      <c r="E140" s="6">
        <v>1</v>
      </c>
      <c r="F140" s="6">
        <v>2</v>
      </c>
      <c r="G140" s="7">
        <v>0.6445795297622681</v>
      </c>
      <c r="H140" s="7">
        <v>48.222728125</v>
      </c>
      <c r="I140" s="7">
        <v>29.39244259718924</v>
      </c>
      <c r="J140" s="7">
        <v>9.833269748919909</v>
      </c>
      <c r="K140" s="7">
        <v>4.845584952373264</v>
      </c>
      <c r="L140" s="7">
        <v>0.8760207301959322</v>
      </c>
      <c r="M140" s="7">
        <v>0.70143960388733</v>
      </c>
      <c r="N140" s="7">
        <v>0.3521364571557746</v>
      </c>
      <c r="O140" s="7">
        <v>0.0656181389858388</v>
      </c>
      <c r="P140" s="7">
        <v>8.280204798586045</v>
      </c>
      <c r="Q140" s="7">
        <v>0.0087245929564881</v>
      </c>
      <c r="R140" s="7">
        <v>0.0415068697629374</v>
      </c>
      <c r="S140" s="7">
        <v>0.07420162858344</v>
      </c>
      <c r="T140" s="7">
        <v>0.4883011313897867</v>
      </c>
    </row>
    <row x14ac:dyDescent="0.25" r="141" customHeight="1" ht="19.5">
      <c r="A141" s="2" t="s">
        <v>1199</v>
      </c>
      <c r="B141" s="2" t="s">
        <v>1060</v>
      </c>
      <c r="C141" s="2" t="s">
        <v>31</v>
      </c>
      <c r="D141" s="2" t="s">
        <v>32</v>
      </c>
      <c r="E141" s="6">
        <v>1</v>
      </c>
      <c r="F141" s="6">
        <v>2</v>
      </c>
      <c r="G141" s="7">
        <v>0.6583371758460999</v>
      </c>
      <c r="H141" s="7">
        <v>49.20283671875</v>
      </c>
      <c r="I141" s="7">
        <v>29.25245813305962</v>
      </c>
      <c r="J141" s="7">
        <v>9.638277871959277</v>
      </c>
      <c r="K141" s="7">
        <v>5.148789888350428</v>
      </c>
      <c r="L141" s="7">
        <v>0.8553572992859125</v>
      </c>
      <c r="M141" s="7">
        <v>0.7225622582808016</v>
      </c>
      <c r="N141" s="7">
        <v>0.3551201387431994</v>
      </c>
      <c r="O141" s="7">
        <v>0.0662054870311333</v>
      </c>
      <c r="P141" s="7">
        <v>8.259800757058683</v>
      </c>
      <c r="Q141" s="7">
        <v>0.0090843221566601</v>
      </c>
      <c r="R141" s="7">
        <v>0.0430841944500597</v>
      </c>
      <c r="S141" s="7">
        <v>0.0759199141017034</v>
      </c>
      <c r="T141" s="7">
        <v>0.5187683229933762</v>
      </c>
    </row>
    <row x14ac:dyDescent="0.25" r="142" customHeight="1" ht="19.5">
      <c r="A142" s="2" t="s">
        <v>1200</v>
      </c>
      <c r="B142" s="2" t="s">
        <v>1060</v>
      </c>
      <c r="C142" s="2" t="s">
        <v>31</v>
      </c>
      <c r="D142" s="2" t="s">
        <v>32</v>
      </c>
      <c r="E142" s="6">
        <v>1</v>
      </c>
      <c r="F142" s="6">
        <v>2</v>
      </c>
      <c r="G142" s="7">
        <v>0.6577220559120178</v>
      </c>
      <c r="H142" s="7">
        <v>49.7673515625</v>
      </c>
      <c r="I142" s="7">
        <v>29.30121077901346</v>
      </c>
      <c r="J142" s="7">
        <v>9.639384062563114</v>
      </c>
      <c r="K142" s="7">
        <v>5.209773190614968</v>
      </c>
      <c r="L142" s="7">
        <v>0.8516654262294823</v>
      </c>
      <c r="M142" s="7">
        <v>0.7284223466715912</v>
      </c>
      <c r="N142" s="7">
        <v>0.3568347396417627</v>
      </c>
      <c r="O142" s="7">
        <v>0.0660587161171061</v>
      </c>
      <c r="P142" s="7">
        <v>8.270905574845145</v>
      </c>
      <c r="Q142" s="7">
        <v>0.0088319378934955</v>
      </c>
      <c r="R142" s="7">
        <v>0.042380636879623</v>
      </c>
      <c r="S142" s="7">
        <v>0.074874120448016</v>
      </c>
      <c r="T142" s="7">
        <v>0.5101422769779556</v>
      </c>
    </row>
    <row x14ac:dyDescent="0.25" r="143" customHeight="1" ht="19.5">
      <c r="A143" s="2" t="s">
        <v>1201</v>
      </c>
      <c r="B143" s="2" t="s">
        <v>1060</v>
      </c>
      <c r="C143" s="2" t="s">
        <v>31</v>
      </c>
      <c r="D143" s="2" t="s">
        <v>32</v>
      </c>
      <c r="E143" s="6">
        <v>1</v>
      </c>
      <c r="F143" s="6">
        <v>2</v>
      </c>
      <c r="G143" s="7">
        <v>0.6635839939117432</v>
      </c>
      <c r="H143" s="7">
        <v>48.62446875000001</v>
      </c>
      <c r="I143" s="7">
        <v>29.0658121808868</v>
      </c>
      <c r="J143" s="7">
        <v>9.637863449322712</v>
      </c>
      <c r="K143" s="7">
        <v>5.08948157520628</v>
      </c>
      <c r="L143" s="7">
        <v>0.8589137490283139</v>
      </c>
      <c r="M143" s="7">
        <v>0.7232689275467826</v>
      </c>
      <c r="N143" s="7">
        <v>0.3578806309691255</v>
      </c>
      <c r="O143" s="7">
        <v>0.066334565289368</v>
      </c>
      <c r="P143" s="7">
        <v>8.265396659749475</v>
      </c>
      <c r="Q143" s="7">
        <v>0.0087895712952499</v>
      </c>
      <c r="R143" s="7">
        <v>0.0417048568036114</v>
      </c>
      <c r="S143" s="7">
        <v>0.0730025289644182</v>
      </c>
      <c r="T143" s="7">
        <v>0.4960361667484829</v>
      </c>
    </row>
    <row x14ac:dyDescent="0.25" r="144" customHeight="1" ht="19.5">
      <c r="A144" s="2" t="s">
        <v>1202</v>
      </c>
      <c r="B144" s="2" t="s">
        <v>1060</v>
      </c>
      <c r="C144" s="2" t="s">
        <v>31</v>
      </c>
      <c r="D144" s="2" t="s">
        <v>32</v>
      </c>
      <c r="E144" s="6">
        <v>1</v>
      </c>
      <c r="F144" s="6">
        <v>2</v>
      </c>
      <c r="G144" s="7">
        <v>0.6495799422264099</v>
      </c>
      <c r="H144" s="7">
        <v>49.36214765625</v>
      </c>
      <c r="I144" s="7">
        <v>29.22634943814741</v>
      </c>
      <c r="J144" s="7">
        <v>9.597530433664158</v>
      </c>
      <c r="K144" s="7">
        <v>5.237826650398459</v>
      </c>
      <c r="L144" s="7">
        <v>0.8498961384200973</v>
      </c>
      <c r="M144" s="7">
        <v>0.7261975272104733</v>
      </c>
      <c r="N144" s="7">
        <v>0.3528049643708243</v>
      </c>
      <c r="O144" s="7">
        <v>0.0662912029997844</v>
      </c>
      <c r="P144" s="7">
        <v>8.267574255266057</v>
      </c>
      <c r="Q144" s="7">
        <v>0.0090562512071255</v>
      </c>
      <c r="R144" s="7">
        <v>0.0423008508884699</v>
      </c>
      <c r="S144" s="7">
        <v>0.0759550316129452</v>
      </c>
      <c r="T144" s="7">
        <v>0.5188398051463454</v>
      </c>
    </row>
    <row x14ac:dyDescent="0.25" r="145" customHeight="1" ht="19.5">
      <c r="A145" s="2" t="s">
        <v>1203</v>
      </c>
      <c r="B145" s="2" t="s">
        <v>1060</v>
      </c>
      <c r="C145" s="2" t="s">
        <v>31</v>
      </c>
      <c r="D145" s="2" t="s">
        <v>32</v>
      </c>
      <c r="E145" s="6">
        <v>1</v>
      </c>
      <c r="F145" s="6">
        <v>2</v>
      </c>
      <c r="G145" s="7">
        <v>0.6426140666007996</v>
      </c>
      <c r="H145" s="7">
        <v>48.83226562500001</v>
      </c>
      <c r="I145" s="7">
        <v>29.04561817373114</v>
      </c>
      <c r="J145" s="7">
        <v>9.701354849790944</v>
      </c>
      <c r="K145" s="7">
        <v>5.103305236816208</v>
      </c>
      <c r="L145" s="7">
        <v>0.8607417833399366</v>
      </c>
      <c r="M145" s="7">
        <v>0.7273701768902893</v>
      </c>
      <c r="N145" s="7">
        <v>0.3565568209605979</v>
      </c>
      <c r="O145" s="7">
        <v>0.0659478277724386</v>
      </c>
      <c r="P145" s="7">
        <v>8.276101762406942</v>
      </c>
      <c r="Q145" s="7">
        <v>0.0090241513285448</v>
      </c>
      <c r="R145" s="7">
        <v>0.0424987677608807</v>
      </c>
      <c r="S145" s="7">
        <v>0.0753554798164119</v>
      </c>
      <c r="T145" s="7">
        <v>0.5114509903341002</v>
      </c>
    </row>
    <row x14ac:dyDescent="0.25" r="146" customHeight="1" ht="19.5">
      <c r="A146" s="2" t="s">
        <v>1204</v>
      </c>
      <c r="B146" s="2" t="s">
        <v>1060</v>
      </c>
      <c r="C146" s="2" t="s">
        <v>31</v>
      </c>
      <c r="D146" s="2" t="s">
        <v>32</v>
      </c>
      <c r="E146" s="6">
        <v>1</v>
      </c>
      <c r="F146" s="6">
        <v>2</v>
      </c>
      <c r="G146" s="7">
        <v>0.6487992405891418</v>
      </c>
      <c r="H146" s="7">
        <v>48.45130468750001</v>
      </c>
      <c r="I146" s="7">
        <v>29.18351147995013</v>
      </c>
      <c r="J146" s="7">
        <v>9.784354978013214</v>
      </c>
      <c r="K146" s="7">
        <v>4.922765585309845</v>
      </c>
      <c r="L146" s="7">
        <v>0.8711409468990027</v>
      </c>
      <c r="M146" s="7">
        <v>0.7148916863372691</v>
      </c>
      <c r="N146" s="7">
        <v>0.35073391511193</v>
      </c>
      <c r="O146" s="7">
        <v>0.0659675106066122</v>
      </c>
      <c r="P146" s="7">
        <v>8.27324977535205</v>
      </c>
      <c r="Q146" s="7">
        <v>0.00946967904444</v>
      </c>
      <c r="R146" s="7">
        <v>0.0437413218129657</v>
      </c>
      <c r="S146" s="7">
        <v>0.0765100109691068</v>
      </c>
      <c r="T146" s="7">
        <v>0.5325145957903009</v>
      </c>
    </row>
    <row x14ac:dyDescent="0.25" r="147" customHeight="1" ht="19.5">
      <c r="A147" s="2" t="s">
        <v>1205</v>
      </c>
      <c r="B147" s="2" t="s">
        <v>1060</v>
      </c>
      <c r="C147" s="2" t="s">
        <v>31</v>
      </c>
      <c r="D147" s="2" t="s">
        <v>32</v>
      </c>
      <c r="E147" s="6">
        <v>1</v>
      </c>
      <c r="F147" s="6">
        <v>2</v>
      </c>
      <c r="G147" s="7">
        <v>0.6639754772186279</v>
      </c>
      <c r="H147" s="7">
        <v>49.96475859375001</v>
      </c>
      <c r="I147" s="7">
        <v>29.24654344530306</v>
      </c>
      <c r="J147" s="7">
        <v>9.7022209467257</v>
      </c>
      <c r="K147" s="7">
        <v>5.222187176394423</v>
      </c>
      <c r="L147" s="7">
        <v>0.8535787480184839</v>
      </c>
      <c r="M147" s="7">
        <v>0.7340481801392348</v>
      </c>
      <c r="N147" s="7">
        <v>0.3576344656318688</v>
      </c>
      <c r="O147" s="7">
        <v>0.0659539196700329</v>
      </c>
      <c r="P147" s="7">
        <v>8.283616661400865</v>
      </c>
      <c r="Q147" s="7">
        <v>0.0091283203481519</v>
      </c>
      <c r="R147" s="7">
        <v>0.0420133075606789</v>
      </c>
      <c r="S147" s="7">
        <v>0.0750779201056821</v>
      </c>
      <c r="T147" s="7">
        <v>0.5293530823564286</v>
      </c>
    </row>
    <row x14ac:dyDescent="0.25" r="148" customHeight="1" ht="19.5">
      <c r="A148" s="2" t="s">
        <v>1206</v>
      </c>
      <c r="B148" s="2" t="s">
        <v>1060</v>
      </c>
      <c r="C148" s="2" t="s">
        <v>31</v>
      </c>
      <c r="D148" s="2" t="s">
        <v>32</v>
      </c>
      <c r="E148" s="6">
        <v>1</v>
      </c>
      <c r="F148" s="6">
        <v>2</v>
      </c>
      <c r="G148" s="7">
        <v>0.6669270396232605</v>
      </c>
      <c r="H148" s="7">
        <v>49.96129531250001</v>
      </c>
      <c r="I148" s="7">
        <v>29.21207011874831</v>
      </c>
      <c r="J148" s="7">
        <v>9.70213846011658</v>
      </c>
      <c r="K148" s="7">
        <v>5.221460527405386</v>
      </c>
      <c r="L148" s="7">
        <v>0.8534757588823988</v>
      </c>
      <c r="M148" s="7">
        <v>0.7357307107711137</v>
      </c>
      <c r="N148" s="7">
        <v>0.3580197185013743</v>
      </c>
      <c r="O148" s="7">
        <v>0.0660201988501119</v>
      </c>
      <c r="P148" s="7">
        <v>8.280585195601017</v>
      </c>
      <c r="Q148" s="7">
        <v>0.0094611723554571</v>
      </c>
      <c r="R148" s="7">
        <v>0.0432729400088528</v>
      </c>
      <c r="S148" s="7">
        <v>0.0776628815634519</v>
      </c>
      <c r="T148" s="7">
        <v>0.548617205608861</v>
      </c>
    </row>
    <row x14ac:dyDescent="0.25" r="149" customHeight="1" ht="19.5">
      <c r="A149" s="2" t="s">
        <v>1207</v>
      </c>
      <c r="B149" s="2" t="s">
        <v>1060</v>
      </c>
      <c r="C149" s="2" t="s">
        <v>31</v>
      </c>
      <c r="D149" s="2" t="s">
        <v>32</v>
      </c>
      <c r="E149" s="6">
        <v>1</v>
      </c>
      <c r="F149" s="6">
        <v>2</v>
      </c>
      <c r="G149" s="7">
        <v>0.6591112613677979</v>
      </c>
      <c r="H149" s="7">
        <v>50.30416015625001</v>
      </c>
      <c r="I149" s="7">
        <v>29.43318939747589</v>
      </c>
      <c r="J149" s="7">
        <v>9.648760545515245</v>
      </c>
      <c r="K149" s="7">
        <v>5.276733639142762</v>
      </c>
      <c r="L149" s="7">
        <v>0.848036666650263</v>
      </c>
      <c r="M149" s="7">
        <v>0.7296912132649037</v>
      </c>
      <c r="N149" s="7">
        <v>0.3589053402449438</v>
      </c>
      <c r="O149" s="7">
        <v>0.0667991913316272</v>
      </c>
      <c r="P149" s="7">
        <v>8.259589948614295</v>
      </c>
      <c r="Q149" s="7">
        <v>0.0093221389479209</v>
      </c>
      <c r="R149" s="7">
        <v>0.0443476981697751</v>
      </c>
      <c r="S149" s="7">
        <v>0.0773189049060046</v>
      </c>
      <c r="T149" s="7">
        <v>0.5442648089738842</v>
      </c>
    </row>
    <row x14ac:dyDescent="0.25" r="150" customHeight="1" ht="19.5">
      <c r="A150" s="2" t="s">
        <v>1208</v>
      </c>
      <c r="B150" s="2" t="s">
        <v>1060</v>
      </c>
      <c r="C150" s="2" t="s">
        <v>31</v>
      </c>
      <c r="D150" s="2" t="s">
        <v>32</v>
      </c>
      <c r="E150" s="6">
        <v>1</v>
      </c>
      <c r="F150" s="6">
        <v>2</v>
      </c>
      <c r="G150" s="7">
        <v>0.6528573036193848</v>
      </c>
      <c r="H150" s="7">
        <v>49.99592812500001</v>
      </c>
      <c r="I150" s="7">
        <v>29.31549009841256</v>
      </c>
      <c r="J150" s="7">
        <v>9.710147995914149</v>
      </c>
      <c r="K150" s="7">
        <v>5.230728326921129</v>
      </c>
      <c r="L150" s="7">
        <v>0.8536116587085042</v>
      </c>
      <c r="M150" s="7">
        <v>0.7310552171191194</v>
      </c>
      <c r="N150" s="7">
        <v>0.3606187373606959</v>
      </c>
      <c r="O150" s="7">
        <v>0.0662805502802792</v>
      </c>
      <c r="P150" s="7">
        <v>8.264072469184905</v>
      </c>
      <c r="Q150" s="7">
        <v>0.00907900422922</v>
      </c>
      <c r="R150" s="7">
        <v>0.0423696066630344</v>
      </c>
      <c r="S150" s="7">
        <v>0.0734139056689077</v>
      </c>
      <c r="T150" s="7">
        <v>0.5268216734138372</v>
      </c>
    </row>
    <row x14ac:dyDescent="0.25" r="151" customHeight="1" ht="19.5">
      <c r="A151" s="2" t="s">
        <v>1209</v>
      </c>
      <c r="B151" s="2" t="s">
        <v>1060</v>
      </c>
      <c r="C151" s="2" t="s">
        <v>31</v>
      </c>
      <c r="D151" s="2" t="s">
        <v>32</v>
      </c>
      <c r="E151" s="6">
        <v>1</v>
      </c>
      <c r="F151" s="6">
        <v>2</v>
      </c>
      <c r="G151" s="7">
        <v>0.6550226807594299</v>
      </c>
      <c r="H151" s="7">
        <v>48.5344234375</v>
      </c>
      <c r="I151" s="7">
        <v>29.04561817373114</v>
      </c>
      <c r="J151" s="7">
        <v>9.654346250847553</v>
      </c>
      <c r="K151" s="7">
        <v>5.116975230820367</v>
      </c>
      <c r="L151" s="7">
        <v>0.8589778718428714</v>
      </c>
      <c r="M151" s="7">
        <v>0.7229337346766324</v>
      </c>
      <c r="N151" s="7">
        <v>0.3545593217627326</v>
      </c>
      <c r="O151" s="7">
        <v>0.0662689651126901</v>
      </c>
      <c r="P151" s="7">
        <v>8.255406379530474</v>
      </c>
      <c r="Q151" s="7">
        <v>0.0093804790856869</v>
      </c>
      <c r="R151" s="7">
        <v>0.0427678754199408</v>
      </c>
      <c r="S151" s="7">
        <v>0.07646240595448</v>
      </c>
      <c r="T151" s="7">
        <v>0.5284034863479299</v>
      </c>
    </row>
    <row x14ac:dyDescent="0.25" r="152" customHeight="1" ht="19.5">
      <c r="A152" s="2" t="s">
        <v>1210</v>
      </c>
      <c r="B152" s="2" t="s">
        <v>1060</v>
      </c>
      <c r="C152" s="2" t="s">
        <v>31</v>
      </c>
      <c r="D152" s="2" t="s">
        <v>32</v>
      </c>
      <c r="E152" s="6">
        <v>1</v>
      </c>
      <c r="F152" s="6">
        <v>2</v>
      </c>
      <c r="G152" s="7">
        <v>0.6429701447486877</v>
      </c>
      <c r="H152" s="7">
        <v>48.776853125</v>
      </c>
      <c r="I152" s="7">
        <v>29.05989749313024</v>
      </c>
      <c r="J152" s="7">
        <v>9.605653746275372</v>
      </c>
      <c r="K152" s="7">
        <v>5.19088415021456</v>
      </c>
      <c r="L152" s="7">
        <v>0.8534267454084261</v>
      </c>
      <c r="M152" s="7">
        <v>0.7258309552084128</v>
      </c>
      <c r="N152" s="7">
        <v>0.3574132415482111</v>
      </c>
      <c r="O152" s="7">
        <v>0.066859482487382</v>
      </c>
      <c r="P152" s="7">
        <v>8.246023700131998</v>
      </c>
      <c r="Q152" s="7">
        <v>0.0098730209078212</v>
      </c>
      <c r="R152" s="7">
        <v>0.0452663334178856</v>
      </c>
      <c r="S152" s="7">
        <v>0.0831080876238427</v>
      </c>
      <c r="T152" s="7">
        <v>0.5589263890781867</v>
      </c>
    </row>
    <row x14ac:dyDescent="0.25" r="153" customHeight="1" ht="19.5">
      <c r="A153" s="2" t="s">
        <v>1211</v>
      </c>
      <c r="B153" s="2" t="s">
        <v>1060</v>
      </c>
      <c r="C153" s="2" t="s">
        <v>31</v>
      </c>
      <c r="D153" s="2" t="s">
        <v>32</v>
      </c>
      <c r="E153" s="6">
        <v>1</v>
      </c>
      <c r="F153" s="6">
        <v>2</v>
      </c>
      <c r="G153" s="7">
        <v>0.6380956172943115</v>
      </c>
      <c r="H153" s="7">
        <v>48.638321875</v>
      </c>
      <c r="I153" s="7">
        <v>28.94811288182346</v>
      </c>
      <c r="J153" s="7">
        <v>9.517621193405317</v>
      </c>
      <c r="K153" s="7">
        <v>5.140449633171194</v>
      </c>
      <c r="L153" s="7">
        <v>0.8514694676752801</v>
      </c>
      <c r="M153" s="7">
        <v>0.7293700593165376</v>
      </c>
      <c r="N153" s="7">
        <v>0.3563549621106111</v>
      </c>
      <c r="O153" s="7">
        <v>0.0673625559995043</v>
      </c>
      <c r="P153" s="7">
        <v>8.223133849903284</v>
      </c>
      <c r="Q153" s="7">
        <v>0.0090656955583736</v>
      </c>
      <c r="R153" s="7">
        <v>0.0433499893316511</v>
      </c>
      <c r="S153" s="7">
        <v>0.0737371183679171</v>
      </c>
      <c r="T153" s="7">
        <v>0.5117648966422491</v>
      </c>
    </row>
    <row x14ac:dyDescent="0.25" r="154" customHeight="1" ht="19.5">
      <c r="A154" s="2" t="s">
        <v>1212</v>
      </c>
      <c r="B154" s="2" t="s">
        <v>1060</v>
      </c>
      <c r="C154" s="2" t="s">
        <v>31</v>
      </c>
      <c r="D154" s="2" t="s">
        <v>32</v>
      </c>
      <c r="E154" s="6">
        <v>1</v>
      </c>
      <c r="F154" s="6">
        <v>2</v>
      </c>
      <c r="G154" s="7">
        <v>0.6606186032295227</v>
      </c>
      <c r="H154" s="7">
        <v>50.10328984375001</v>
      </c>
      <c r="I154" s="7">
        <v>29.15740278503792</v>
      </c>
      <c r="J154" s="7">
        <v>9.682450547544352</v>
      </c>
      <c r="K154" s="7">
        <v>5.34161241835119</v>
      </c>
      <c r="L154" s="7">
        <v>0.8477675961544751</v>
      </c>
      <c r="M154" s="7">
        <v>0.7405910077340567</v>
      </c>
      <c r="N154" s="7">
        <v>0.3591434521832533</v>
      </c>
      <c r="O154" s="7">
        <v>0.0670225888351292</v>
      </c>
      <c r="P154" s="7">
        <v>8.247136746561011</v>
      </c>
      <c r="Q154" s="7">
        <v>0.0092603672563773</v>
      </c>
      <c r="R154" s="7">
        <v>0.0428212005904792</v>
      </c>
      <c r="S154" s="7">
        <v>0.0813102025092974</v>
      </c>
      <c r="T154" s="7">
        <v>0.5384994125522206</v>
      </c>
    </row>
    <row x14ac:dyDescent="0.25" r="155" customHeight="1" ht="19.5">
      <c r="A155" s="2" t="s">
        <v>1213</v>
      </c>
      <c r="B155" s="2" t="s">
        <v>1060</v>
      </c>
      <c r="C155" s="2" t="s">
        <v>31</v>
      </c>
      <c r="D155" s="2" t="s">
        <v>32</v>
      </c>
      <c r="E155" s="6">
        <v>1</v>
      </c>
      <c r="F155" s="6">
        <v>2</v>
      </c>
      <c r="G155" s="7">
        <v>0.6603397130966187</v>
      </c>
      <c r="H155" s="7">
        <v>48.90153125000001</v>
      </c>
      <c r="I155" s="7">
        <v>29.18351147995013</v>
      </c>
      <c r="J155" s="7">
        <v>9.582558292461028</v>
      </c>
      <c r="K155" s="7">
        <v>5.146684523415475</v>
      </c>
      <c r="L155" s="7">
        <v>0.8535216487113699</v>
      </c>
      <c r="M155" s="7">
        <v>0.7215347112996597</v>
      </c>
      <c r="N155" s="7">
        <v>0.3528969203547132</v>
      </c>
      <c r="O155" s="7">
        <v>0.0667038673173351</v>
      </c>
      <c r="P155" s="7">
        <v>8.248717718381965</v>
      </c>
      <c r="Q155" s="7">
        <v>0.0089126806261019</v>
      </c>
      <c r="R155" s="7">
        <v>0.0421499094935879</v>
      </c>
      <c r="S155" s="7">
        <v>0.0767161300701539</v>
      </c>
      <c r="T155" s="7">
        <v>0.5058498002984912</v>
      </c>
    </row>
    <row x14ac:dyDescent="0.25" r="156" customHeight="1" ht="19.5">
      <c r="A156" s="2" t="s">
        <v>1214</v>
      </c>
      <c r="B156" s="2" t="s">
        <v>1060</v>
      </c>
      <c r="C156" s="2" t="s">
        <v>31</v>
      </c>
      <c r="D156" s="2" t="s">
        <v>32</v>
      </c>
      <c r="E156" s="6">
        <v>1</v>
      </c>
      <c r="F156" s="6">
        <v>2</v>
      </c>
      <c r="G156" s="7">
        <v>0.6647087931632996</v>
      </c>
      <c r="H156" s="7">
        <v>49.0608421875</v>
      </c>
      <c r="I156" s="7">
        <v>28.85897222155831</v>
      </c>
      <c r="J156" s="7">
        <v>9.53319748962757</v>
      </c>
      <c r="K156" s="7">
        <v>5.228009387198621</v>
      </c>
      <c r="L156" s="7">
        <v>0.8476343248873618</v>
      </c>
      <c r="M156" s="7">
        <v>0.7402580567964979</v>
      </c>
      <c r="N156" s="7">
        <v>0.3572002935892164</v>
      </c>
      <c r="O156" s="7">
        <v>0.0670252973781868</v>
      </c>
      <c r="P156" s="7">
        <v>8.233158073727346</v>
      </c>
      <c r="Q156" s="7">
        <v>0.0090392619857927</v>
      </c>
      <c r="R156" s="7">
        <v>0.0424610963771914</v>
      </c>
      <c r="S156" s="7">
        <v>0.075788418911479</v>
      </c>
      <c r="T156" s="7">
        <v>0.5147054335460951</v>
      </c>
    </row>
    <row x14ac:dyDescent="0.25" r="157" customHeight="1" ht="19.5">
      <c r="A157" s="2" t="s">
        <v>1215</v>
      </c>
      <c r="B157" s="2" t="s">
        <v>1060</v>
      </c>
      <c r="C157" s="2" t="s">
        <v>31</v>
      </c>
      <c r="D157" s="2" t="s">
        <v>32</v>
      </c>
      <c r="E157" s="6">
        <v>1</v>
      </c>
      <c r="F157" s="6">
        <v>2</v>
      </c>
      <c r="G157" s="7">
        <v>0.6542994976043701</v>
      </c>
      <c r="H157" s="7">
        <v>48.7075875</v>
      </c>
      <c r="I157" s="7">
        <v>28.9421981940669</v>
      </c>
      <c r="J157" s="7">
        <v>9.727895190645686</v>
      </c>
      <c r="K157" s="7">
        <v>5.14517496810425</v>
      </c>
      <c r="L157" s="7">
        <v>0.860569226006973</v>
      </c>
      <c r="M157" s="7">
        <v>0.7307073182861584</v>
      </c>
      <c r="N157" s="7">
        <v>0.3555395226178522</v>
      </c>
      <c r="O157" s="7">
        <v>0.0661007153795261</v>
      </c>
      <c r="P157" s="7">
        <v>8.262978589363918</v>
      </c>
      <c r="Q157" s="7">
        <v>0.0094694256103425</v>
      </c>
      <c r="R157" s="7">
        <v>0.0434025219402517</v>
      </c>
      <c r="S157" s="7">
        <v>0.0778544125436402</v>
      </c>
      <c r="T157" s="7">
        <v>0.5353170008409222</v>
      </c>
    </row>
    <row x14ac:dyDescent="0.25" r="158" customHeight="1" ht="19.5">
      <c r="A158" s="2" t="s">
        <v>1216</v>
      </c>
      <c r="B158" s="2" t="s">
        <v>1060</v>
      </c>
      <c r="C158" s="2" t="s">
        <v>31</v>
      </c>
      <c r="D158" s="2" t="s">
        <v>32</v>
      </c>
      <c r="E158" s="6">
        <v>1</v>
      </c>
      <c r="F158" s="6">
        <v>2</v>
      </c>
      <c r="G158" s="7">
        <v>0.6378026604652405</v>
      </c>
      <c r="H158" s="7">
        <v>49.25824921875</v>
      </c>
      <c r="I158" s="7">
        <v>29.18351147995013</v>
      </c>
      <c r="J158" s="7">
        <v>9.62601177983192</v>
      </c>
      <c r="K158" s="7">
        <v>5.128177526099789</v>
      </c>
      <c r="L158" s="7">
        <v>0.8553486146539787</v>
      </c>
      <c r="M158" s="7">
        <v>0.7267980310775537</v>
      </c>
      <c r="N158" s="7">
        <v>0.361992323557295</v>
      </c>
      <c r="O158" s="7">
        <v>0.0668724379762478</v>
      </c>
      <c r="P158" s="7">
        <v>8.22941960656791</v>
      </c>
      <c r="Q158" s="7">
        <v>0.0091022761047701</v>
      </c>
      <c r="R158" s="7">
        <v>0.0430558029991601</v>
      </c>
      <c r="S158" s="7">
        <v>0.0782758332982879</v>
      </c>
      <c r="T158" s="7">
        <v>0.5203789935751086</v>
      </c>
    </row>
    <row x14ac:dyDescent="0.25" r="159" customHeight="1" ht="19.5">
      <c r="A159" s="2" t="s">
        <v>1217</v>
      </c>
      <c r="B159" s="2" t="s">
        <v>1060</v>
      </c>
      <c r="C159" s="2" t="s">
        <v>31</v>
      </c>
      <c r="D159" s="2" t="s">
        <v>32</v>
      </c>
      <c r="E159" s="6">
        <v>1</v>
      </c>
      <c r="F159" s="6">
        <v>2</v>
      </c>
      <c r="G159" s="7">
        <v>0.6081075668334961</v>
      </c>
      <c r="H159" s="7">
        <v>49.50760546875</v>
      </c>
      <c r="I159" s="7">
        <v>29.50076246462543</v>
      </c>
      <c r="J159" s="7">
        <v>9.656151414498096</v>
      </c>
      <c r="K159" s="7">
        <v>5.612858890537131</v>
      </c>
      <c r="L159" s="7">
        <v>0.837318420607729</v>
      </c>
      <c r="M159" s="7">
        <v>0.7148506294553053</v>
      </c>
      <c r="N159" s="7">
        <v>0.4893467588990845</v>
      </c>
      <c r="O159" s="7">
        <v>0.0899793127508016</v>
      </c>
      <c r="P159" s="7">
        <v>7.488238277753164</v>
      </c>
      <c r="Q159" s="7">
        <v>0.0112173706629111</v>
      </c>
      <c r="R159" s="7">
        <v>0.0334298240989384</v>
      </c>
      <c r="S159" s="7">
        <v>0.051904487415245</v>
      </c>
      <c r="T159" s="7">
        <v>0.6445457842779102</v>
      </c>
    </row>
    <row x14ac:dyDescent="0.25" r="160" customHeight="1" ht="19.5">
      <c r="A160" s="2" t="s">
        <v>1218</v>
      </c>
      <c r="B160" s="2" t="s">
        <v>1060</v>
      </c>
      <c r="C160" s="2" t="s">
        <v>31</v>
      </c>
      <c r="D160" s="2" t="s">
        <v>32</v>
      </c>
      <c r="E160" s="6">
        <v>1</v>
      </c>
      <c r="F160" s="6">
        <v>2</v>
      </c>
      <c r="G160" s="7">
        <v>0.2949840128421783</v>
      </c>
      <c r="H160" s="7">
        <v>44.3784859375</v>
      </c>
      <c r="I160" s="7">
        <v>29.1204795145972</v>
      </c>
      <c r="J160" s="7">
        <v>10.288125</v>
      </c>
      <c r="K160" s="7">
        <v>4.230416666666667</v>
      </c>
      <c r="L160" s="7">
        <v>0.9145542293824908</v>
      </c>
      <c r="M160" s="7">
        <v>0.6576355792116604</v>
      </c>
      <c r="N160" s="7">
        <v>0.4889325318422466</v>
      </c>
      <c r="O160" s="7">
        <v>0.074813109968853</v>
      </c>
      <c r="P160" s="7">
        <v>7.87696470986948</v>
      </c>
      <c r="Q160" s="7">
        <v>0.0118294860967998</v>
      </c>
      <c r="R160" s="7">
        <v>0.0305443085149595</v>
      </c>
      <c r="S160" s="7">
        <v>0.0466355841973017</v>
      </c>
      <c r="T160" s="7">
        <v>0.6092971399507912</v>
      </c>
    </row>
    <row x14ac:dyDescent="0.25" r="161" customHeight="1" ht="19.5">
      <c r="A161" s="2" t="s">
        <v>1219</v>
      </c>
      <c r="B161" s="2" t="s">
        <v>1060</v>
      </c>
      <c r="C161" s="2" t="s">
        <v>31</v>
      </c>
      <c r="D161" s="2" t="s">
        <v>32</v>
      </c>
      <c r="E161" s="6">
        <v>1</v>
      </c>
      <c r="F161" s="6">
        <v>2</v>
      </c>
      <c r="G161" s="7">
        <v>0.5315724611282349</v>
      </c>
      <c r="H161" s="7">
        <v>51.05222890625</v>
      </c>
      <c r="I161" s="7">
        <v>30.91697758323136</v>
      </c>
      <c r="J161" s="7">
        <v>10.26120954804736</v>
      </c>
      <c r="K161" s="7">
        <v>5.168009060546242</v>
      </c>
      <c r="L161" s="7">
        <v>0.8775773149012062</v>
      </c>
      <c r="M161" s="7">
        <v>0.6711668683428</v>
      </c>
      <c r="N161" s="7">
        <v>0.4382155229066352</v>
      </c>
      <c r="O161" s="7">
        <v>0.0636656314842104</v>
      </c>
      <c r="P161" s="7">
        <v>8.39890705979055</v>
      </c>
      <c r="Q161" s="7">
        <v>0.01067111453299</v>
      </c>
      <c r="R161" s="7">
        <v>0.0374976391990558</v>
      </c>
      <c r="S161" s="7">
        <v>0.0641503447756034</v>
      </c>
      <c r="T161" s="7">
        <v>0.632288479819762</v>
      </c>
    </row>
    <row x14ac:dyDescent="0.25" r="162" customHeight="1" ht="19.5">
      <c r="A162" s="2" t="s">
        <v>1220</v>
      </c>
      <c r="B162" s="2" t="s">
        <v>1060</v>
      </c>
      <c r="C162" s="2" t="s">
        <v>31</v>
      </c>
      <c r="D162" s="2" t="s">
        <v>32</v>
      </c>
      <c r="E162" s="6">
        <v>1</v>
      </c>
      <c r="F162" s="6">
        <v>2</v>
      </c>
      <c r="G162" s="7">
        <v>0.5462954640388489</v>
      </c>
      <c r="H162" s="7">
        <v>49.51106875</v>
      </c>
      <c r="I162" s="7">
        <v>30.25326096107329</v>
      </c>
      <c r="J162" s="7">
        <v>9.501537277623264</v>
      </c>
      <c r="K162" s="7">
        <v>5.233837312614845</v>
      </c>
      <c r="L162" s="7">
        <v>0.8478862626643044</v>
      </c>
      <c r="M162" s="7">
        <v>0.6797790531777557</v>
      </c>
      <c r="N162" s="7">
        <v>0.4108421261072084</v>
      </c>
      <c r="O162" s="7">
        <v>0.0600125541027841</v>
      </c>
      <c r="P162" s="7">
        <v>8.533253495703555</v>
      </c>
      <c r="Q162" s="7">
        <v>0.0105564614883106</v>
      </c>
      <c r="R162" s="7">
        <v>0.042209657694326</v>
      </c>
      <c r="S162" s="7">
        <v>0.0684611406152542</v>
      </c>
      <c r="T162" s="7">
        <v>0.6066126307912136</v>
      </c>
    </row>
    <row x14ac:dyDescent="0.25" r="163" customHeight="1" ht="19.5">
      <c r="A163" s="2" t="s">
        <v>1221</v>
      </c>
      <c r="B163" s="2" t="s">
        <v>1060</v>
      </c>
      <c r="C163" s="2" t="s">
        <v>31</v>
      </c>
      <c r="D163" s="2" t="s">
        <v>32</v>
      </c>
      <c r="E163" s="6">
        <v>1</v>
      </c>
      <c r="F163" s="6">
        <v>2</v>
      </c>
      <c r="G163" s="7">
        <v>0.5596952438354492</v>
      </c>
      <c r="H163" s="7">
        <v>52.10506640625</v>
      </c>
      <c r="I163" s="7">
        <v>30.29747250523053</v>
      </c>
      <c r="J163" s="7">
        <v>9.88132860798986</v>
      </c>
      <c r="K163" s="7">
        <v>5.183899843903888</v>
      </c>
      <c r="L163" s="7">
        <v>0.8575232704696126</v>
      </c>
      <c r="M163" s="7">
        <v>0.7133078733394801</v>
      </c>
      <c r="N163" s="7">
        <v>0.4147592353272321</v>
      </c>
      <c r="O163" s="7">
        <v>0.0599855326721742</v>
      </c>
      <c r="P163" s="7">
        <v>8.500012882173218</v>
      </c>
      <c r="Q163" s="7">
        <v>0.0108377033215671</v>
      </c>
      <c r="R163" s="7">
        <v>0.0420648347198748</v>
      </c>
      <c r="S163" s="7">
        <v>0.0741546372039429</v>
      </c>
      <c r="T163" s="7">
        <v>0.6554023465598314</v>
      </c>
    </row>
    <row x14ac:dyDescent="0.25" r="164" customHeight="1" ht="19.5">
      <c r="A164" s="2" t="s">
        <v>1222</v>
      </c>
      <c r="B164" s="2" t="s">
        <v>1060</v>
      </c>
      <c r="C164" s="2" t="s">
        <v>31</v>
      </c>
      <c r="D164" s="2" t="s">
        <v>32</v>
      </c>
      <c r="E164" s="6">
        <v>1</v>
      </c>
      <c r="F164" s="6">
        <v>2</v>
      </c>
      <c r="G164" s="7">
        <v>0.5338895916938782</v>
      </c>
      <c r="H164" s="7">
        <v>50.8478953125</v>
      </c>
      <c r="I164" s="7">
        <v>31.17848487627024</v>
      </c>
      <c r="J164" s="7">
        <v>10.30465775489356</v>
      </c>
      <c r="K164" s="7">
        <v>4.920977137418474</v>
      </c>
      <c r="L164" s="7">
        <v>0.8864372505277154</v>
      </c>
      <c r="M164" s="7">
        <v>0.657313923679759</v>
      </c>
      <c r="N164" s="7">
        <v>0.4075204825607751</v>
      </c>
      <c r="O164" s="7">
        <v>0.0596542617859489</v>
      </c>
      <c r="P164" s="7">
        <v>8.554783130955553</v>
      </c>
      <c r="Q164" s="7">
        <v>0.0103924854181592</v>
      </c>
      <c r="R164" s="7">
        <v>0.0414798535355806</v>
      </c>
      <c r="S164" s="7">
        <v>0.0727850002959442</v>
      </c>
      <c r="T164" s="7">
        <v>0.6133144334203765</v>
      </c>
    </row>
    <row x14ac:dyDescent="0.25" r="165" customHeight="1" ht="19.5">
      <c r="A165" s="2" t="s">
        <v>1223</v>
      </c>
      <c r="B165" s="2" t="s">
        <v>1060</v>
      </c>
      <c r="C165" s="2" t="s">
        <v>31</v>
      </c>
      <c r="D165" s="2" t="s">
        <v>32</v>
      </c>
      <c r="E165" s="6">
        <v>1</v>
      </c>
      <c r="F165" s="6">
        <v>2</v>
      </c>
      <c r="G165" s="7">
        <v>0.5401055216789246</v>
      </c>
      <c r="H165" s="7">
        <v>51.27041562500001</v>
      </c>
      <c r="I165" s="7">
        <v>33.04392959801389</v>
      </c>
      <c r="J165" s="7">
        <v>10.67404411473077</v>
      </c>
      <c r="K165" s="7">
        <v>5.285151337550603</v>
      </c>
      <c r="L165" s="7">
        <v>0.8930860079835974</v>
      </c>
      <c r="M165" s="7">
        <v>0.5900561288484646</v>
      </c>
      <c r="N165" s="7">
        <v>0.4213840073722827</v>
      </c>
      <c r="O165" s="7">
        <v>0.0618970911490527</v>
      </c>
      <c r="P165" s="7">
        <v>8.59486498743725</v>
      </c>
      <c r="Q165" s="7">
        <v>0.0100015756965401</v>
      </c>
      <c r="R165" s="7">
        <v>0.0407503624148587</v>
      </c>
      <c r="S165" s="7">
        <v>0.0688484801644155</v>
      </c>
      <c r="T165" s="7">
        <v>0.5951494606810364</v>
      </c>
    </row>
    <row x14ac:dyDescent="0.25" r="166" customHeight="1" ht="19.5">
      <c r="A166" s="2" t="s">
        <v>1224</v>
      </c>
      <c r="B166" s="2" t="s">
        <v>1060</v>
      </c>
      <c r="C166" s="2" t="s">
        <v>31</v>
      </c>
      <c r="D166" s="2" t="s">
        <v>32</v>
      </c>
      <c r="E166" s="6">
        <v>1</v>
      </c>
      <c r="F166" s="6">
        <v>2</v>
      </c>
      <c r="G166" s="7">
        <v>0.5219555497169495</v>
      </c>
      <c r="H166" s="7">
        <v>49.72925546875</v>
      </c>
      <c r="I166" s="7">
        <v>31.35330145292994</v>
      </c>
      <c r="J166" s="7">
        <v>9.642706300907834</v>
      </c>
      <c r="K166" s="7">
        <v>5.281303528916798</v>
      </c>
      <c r="L166" s="7">
        <v>0.8544860271918562</v>
      </c>
      <c r="M166" s="7">
        <v>0.6357044696716511</v>
      </c>
      <c r="N166" s="7">
        <v>0.4125528303765858</v>
      </c>
      <c r="O166" s="7">
        <v>0.060329506349028</v>
      </c>
      <c r="P166" s="7">
        <v>8.537925588148306</v>
      </c>
      <c r="Q166" s="7">
        <v>0.010924651327259</v>
      </c>
      <c r="R166" s="7">
        <v>0.0415192539103008</v>
      </c>
      <c r="S166" s="7">
        <v>0.0733932527072397</v>
      </c>
      <c r="T166" s="7">
        <v>0.6305366311714445</v>
      </c>
    </row>
    <row x14ac:dyDescent="0.25" r="167" customHeight="1" ht="19.5">
      <c r="A167" s="2" t="s">
        <v>1225</v>
      </c>
      <c r="B167" s="2" t="s">
        <v>1060</v>
      </c>
      <c r="C167" s="2" t="s">
        <v>31</v>
      </c>
      <c r="D167" s="2" t="s">
        <v>32</v>
      </c>
      <c r="E167" s="6">
        <v>1</v>
      </c>
      <c r="F167" s="6">
        <v>2</v>
      </c>
      <c r="G167" s="7">
        <v>0.530414879322052</v>
      </c>
      <c r="H167" s="7">
        <v>51.95268203125001</v>
      </c>
      <c r="I167" s="7">
        <v>31.94179794824661</v>
      </c>
      <c r="J167" s="7">
        <v>10.61489421624615</v>
      </c>
      <c r="K167" s="7">
        <v>5.151846864941944</v>
      </c>
      <c r="L167" s="7">
        <v>0.890704171400277</v>
      </c>
      <c r="M167" s="7">
        <v>0.639880860826522</v>
      </c>
      <c r="N167" s="7">
        <v>0.4198096805225386</v>
      </c>
      <c r="O167" s="7">
        <v>0.0603607306502436</v>
      </c>
      <c r="P167" s="7">
        <v>8.577083013921774</v>
      </c>
      <c r="Q167" s="7">
        <v>0.0093401874122778</v>
      </c>
      <c r="R167" s="7">
        <v>0.0392366338699769</v>
      </c>
      <c r="S167" s="7">
        <v>0.0745713260356977</v>
      </c>
      <c r="T167" s="7">
        <v>0.5631892328233931</v>
      </c>
    </row>
    <row x14ac:dyDescent="0.25" r="168" customHeight="1" ht="19.5">
      <c r="A168" s="2" t="s">
        <v>1226</v>
      </c>
      <c r="B168" s="2" t="s">
        <v>1060</v>
      </c>
      <c r="C168" s="2" t="s">
        <v>31</v>
      </c>
      <c r="D168" s="2" t="s">
        <v>32</v>
      </c>
      <c r="E168" s="6">
        <v>1</v>
      </c>
      <c r="F168" s="6">
        <v>2</v>
      </c>
      <c r="G168" s="7">
        <v>0.564930260181427</v>
      </c>
      <c r="H168" s="7">
        <v>48.59329921875</v>
      </c>
      <c r="I168" s="7">
        <v>30.64119097079338</v>
      </c>
      <c r="J168" s="7">
        <v>9.663036586555972</v>
      </c>
      <c r="K168" s="7">
        <v>5.506070003125203</v>
      </c>
      <c r="L168" s="7">
        <v>0.8511621291869498</v>
      </c>
      <c r="M168" s="7">
        <v>0.6476104308514441</v>
      </c>
      <c r="N168" s="7">
        <v>0.417202470626197</v>
      </c>
      <c r="O168" s="7">
        <v>0.0603965849621845</v>
      </c>
      <c r="P168" s="7">
        <v>8.598863129277651</v>
      </c>
      <c r="Q168" s="7">
        <v>0.0108066164663533</v>
      </c>
      <c r="R168" s="7">
        <v>0.0418554014255734</v>
      </c>
      <c r="S168" s="7">
        <v>0.0735810449539825</v>
      </c>
      <c r="T168" s="7">
        <v>0.6094764155330945</v>
      </c>
    </row>
    <row x14ac:dyDescent="0.25" r="169" customHeight="1" ht="19.5">
      <c r="A169" s="2" t="s">
        <v>1227</v>
      </c>
      <c r="B169" s="2" t="s">
        <v>1060</v>
      </c>
      <c r="C169" s="2" t="s">
        <v>31</v>
      </c>
      <c r="D169" s="2" t="s">
        <v>32</v>
      </c>
      <c r="E169" s="6">
        <v>1</v>
      </c>
      <c r="F169" s="6">
        <v>2</v>
      </c>
      <c r="G169" s="7">
        <v>0.5289605855941772</v>
      </c>
      <c r="H169" s="7">
        <v>48.93270078125001</v>
      </c>
      <c r="I169" s="7">
        <v>30.1376528199206</v>
      </c>
      <c r="J169" s="7">
        <v>9.503840047477382</v>
      </c>
      <c r="K169" s="7">
        <v>5.332640651543047</v>
      </c>
      <c r="L169" s="7">
        <v>0.8462819676431421</v>
      </c>
      <c r="M169" s="7">
        <v>0.6770023865324999</v>
      </c>
      <c r="N169" s="7">
        <v>0.4084639564691892</v>
      </c>
      <c r="O169" s="7">
        <v>0.0595340010336789</v>
      </c>
      <c r="P169" s="7">
        <v>8.559622986628199</v>
      </c>
      <c r="Q169" s="7">
        <v>0.0093083682705869</v>
      </c>
      <c r="R169" s="7">
        <v>0.0387046123098662</v>
      </c>
      <c r="S169" s="7">
        <v>0.0707469077832066</v>
      </c>
      <c r="T169" s="7">
        <v>0.5286442635866976</v>
      </c>
    </row>
    <row x14ac:dyDescent="0.25" r="170" customHeight="1" ht="19.5">
      <c r="A170" s="2" t="s">
        <v>1228</v>
      </c>
      <c r="B170" s="2" t="s">
        <v>1060</v>
      </c>
      <c r="C170" s="2" t="s">
        <v>31</v>
      </c>
      <c r="D170" s="2" t="s">
        <v>32</v>
      </c>
      <c r="E170" s="6">
        <v>1</v>
      </c>
      <c r="F170" s="6">
        <v>2</v>
      </c>
      <c r="G170" s="7">
        <v>0.5338311195373535</v>
      </c>
      <c r="H170" s="7">
        <v>47.92834921875</v>
      </c>
      <c r="I170" s="7">
        <v>30.90478942174289</v>
      </c>
      <c r="J170" s="7">
        <v>9.585986509313734</v>
      </c>
      <c r="K170" s="7">
        <v>5.276584400787744</v>
      </c>
      <c r="L170" s="7">
        <v>0.8560087106898465</v>
      </c>
      <c r="M170" s="7">
        <v>0.6305497740973516</v>
      </c>
      <c r="N170" s="7">
        <v>0.4081183497271652</v>
      </c>
      <c r="O170" s="7">
        <v>0.0600694535757307</v>
      </c>
      <c r="P170" s="7">
        <v>8.562073090522759</v>
      </c>
      <c r="Q170" s="7">
        <v>0.0109353769297356</v>
      </c>
      <c r="R170" s="7">
        <v>0.0420071809197247</v>
      </c>
      <c r="S170" s="7">
        <v>0.0718375894877418</v>
      </c>
      <c r="T170" s="7">
        <v>0.6082988680412781</v>
      </c>
    </row>
    <row x14ac:dyDescent="0.25" r="171" customHeight="1" ht="19.5">
      <c r="A171" s="2" t="s">
        <v>1229</v>
      </c>
      <c r="B171" s="2" t="s">
        <v>1060</v>
      </c>
      <c r="C171" s="2" t="s">
        <v>31</v>
      </c>
      <c r="D171" s="2" t="s">
        <v>32</v>
      </c>
      <c r="E171" s="6">
        <v>1</v>
      </c>
      <c r="F171" s="6">
        <v>2</v>
      </c>
      <c r="G171" s="7">
        <v>0.5352070927619934</v>
      </c>
      <c r="H171" s="7">
        <v>50.82365234375001</v>
      </c>
      <c r="I171" s="7">
        <v>31.06287673511754</v>
      </c>
      <c r="J171" s="7">
        <v>10.09592939110292</v>
      </c>
      <c r="K171" s="7">
        <v>5.087473302644921</v>
      </c>
      <c r="L171" s="7">
        <v>0.8740273335758598</v>
      </c>
      <c r="M171" s="7">
        <v>0.6619000120587963</v>
      </c>
      <c r="N171" s="7">
        <v>0.4135358390855617</v>
      </c>
      <c r="O171" s="7">
        <v>0.0599326584708428</v>
      </c>
      <c r="P171" s="7">
        <v>8.537505360201406</v>
      </c>
      <c r="Q171" s="7">
        <v>0.0101489114626047</v>
      </c>
      <c r="R171" s="7">
        <v>0.0407889578856451</v>
      </c>
      <c r="S171" s="7">
        <v>0.0747164524266503</v>
      </c>
      <c r="T171" s="7">
        <v>0.5986543126235042</v>
      </c>
    </row>
    <row x14ac:dyDescent="0.25" r="172" customHeight="1" ht="19.5">
      <c r="A172" s="2" t="s">
        <v>1230</v>
      </c>
      <c r="B172" s="2" t="s">
        <v>1060</v>
      </c>
      <c r="C172" s="2" t="s">
        <v>31</v>
      </c>
      <c r="D172" s="2" t="s">
        <v>32</v>
      </c>
      <c r="E172" s="6">
        <v>1</v>
      </c>
      <c r="F172" s="6">
        <v>2</v>
      </c>
      <c r="G172" s="7">
        <v>0.5433303117752075</v>
      </c>
      <c r="H172" s="7">
        <v>50.2799171875</v>
      </c>
      <c r="I172" s="7">
        <v>31.68620534296429</v>
      </c>
      <c r="J172" s="7">
        <v>10.2975287412581</v>
      </c>
      <c r="K172" s="7">
        <v>5.017437575986106</v>
      </c>
      <c r="L172" s="7">
        <v>0.8851076993020068</v>
      </c>
      <c r="M172" s="7">
        <v>0.6293090148705486</v>
      </c>
      <c r="N172" s="7">
        <v>0.4130353629014087</v>
      </c>
      <c r="O172" s="7">
        <v>0.0602405779549373</v>
      </c>
      <c r="P172" s="7">
        <v>8.554990804559884</v>
      </c>
      <c r="Q172" s="7">
        <v>0.0096111364452368</v>
      </c>
      <c r="R172" s="7">
        <v>0.0398800106927672</v>
      </c>
      <c r="S172" s="7">
        <v>0.069118831703934</v>
      </c>
      <c r="T172" s="7">
        <v>0.5608672435727984</v>
      </c>
    </row>
    <row x14ac:dyDescent="0.25" r="173" customHeight="1" ht="19.5">
      <c r="A173" s="2" t="s">
        <v>1231</v>
      </c>
      <c r="B173" s="2" t="s">
        <v>1060</v>
      </c>
      <c r="C173" s="2" t="s">
        <v>31</v>
      </c>
      <c r="D173" s="2" t="s">
        <v>32</v>
      </c>
      <c r="E173" s="6">
        <v>1</v>
      </c>
      <c r="F173" s="6">
        <v>2</v>
      </c>
      <c r="G173" s="7">
        <v>0.5672799348831177</v>
      </c>
      <c r="H173" s="7">
        <v>47.80020781250001</v>
      </c>
      <c r="I173" s="7">
        <v>32.99517695206005</v>
      </c>
      <c r="J173" s="7">
        <v>9.477720881351182</v>
      </c>
      <c r="K173" s="7">
        <v>5.340440561405444</v>
      </c>
      <c r="L173" s="7">
        <v>0.8494192164435621</v>
      </c>
      <c r="M173" s="7">
        <v>0.5517454051609716</v>
      </c>
      <c r="N173" s="7">
        <v>0.411197939130629</v>
      </c>
      <c r="O173" s="7">
        <v>0.0599019124091764</v>
      </c>
      <c r="P173" s="7">
        <v>8.580207915185623</v>
      </c>
      <c r="Q173" s="7">
        <v>0.0104141491080551</v>
      </c>
      <c r="R173" s="7">
        <v>0.0416383873188181</v>
      </c>
      <c r="S173" s="7">
        <v>0.0733888747651865</v>
      </c>
      <c r="T173" s="7">
        <v>0.5777558563262125</v>
      </c>
    </row>
    <row x14ac:dyDescent="0.25" r="174" customHeight="1" ht="19.5">
      <c r="A174" s="2" t="s">
        <v>1232</v>
      </c>
      <c r="B174" s="2" t="s">
        <v>1060</v>
      </c>
      <c r="C174" s="2" t="s">
        <v>31</v>
      </c>
      <c r="D174" s="2" t="s">
        <v>32</v>
      </c>
      <c r="E174" s="6">
        <v>1</v>
      </c>
      <c r="F174" s="6">
        <v>2</v>
      </c>
      <c r="G174" s="7">
        <v>0.5389649868011475</v>
      </c>
      <c r="H174" s="7">
        <v>51.71371562500001</v>
      </c>
      <c r="I174" s="7">
        <v>32.10824989326378</v>
      </c>
      <c r="J174" s="7">
        <v>10.55953720264528</v>
      </c>
      <c r="K174" s="7">
        <v>5.154162361594906</v>
      </c>
      <c r="L174" s="7">
        <v>0.8889631336362293</v>
      </c>
      <c r="M174" s="7">
        <v>0.6303508433366009</v>
      </c>
      <c r="N174" s="7">
        <v>0.4157316810884826</v>
      </c>
      <c r="O174" s="7">
        <v>0.0601027381208179</v>
      </c>
      <c r="P174" s="7">
        <v>8.581513510158125</v>
      </c>
      <c r="Q174" s="7">
        <v>0.009748421146849</v>
      </c>
      <c r="R174" s="7">
        <v>0.0396380883627967</v>
      </c>
      <c r="S174" s="7">
        <v>0.0721268337984028</v>
      </c>
      <c r="T174" s="7">
        <v>0.585100953809177</v>
      </c>
    </row>
    <row x14ac:dyDescent="0.25" r="175" customHeight="1" ht="19.5">
      <c r="A175" s="2" t="s">
        <v>1233</v>
      </c>
      <c r="B175" s="2" t="s">
        <v>1060</v>
      </c>
      <c r="C175" s="2" t="s">
        <v>31</v>
      </c>
      <c r="D175" s="2" t="s">
        <v>32</v>
      </c>
      <c r="E175" s="6">
        <v>1</v>
      </c>
      <c r="F175" s="6">
        <v>2</v>
      </c>
      <c r="G175" s="7">
        <v>0.5438999533653259</v>
      </c>
      <c r="H175" s="7">
        <v>55.76921796875001</v>
      </c>
      <c r="I175" s="7">
        <v>33.37438354416226</v>
      </c>
      <c r="J175" s="7">
        <v>11.37229695184968</v>
      </c>
      <c r="K175" s="7">
        <v>5.146791619230948</v>
      </c>
      <c r="L175" s="7">
        <v>0.9039694077465482</v>
      </c>
      <c r="M175" s="7">
        <v>0.6291843524364812</v>
      </c>
      <c r="N175" s="7">
        <v>0.4282295213804116</v>
      </c>
      <c r="O175" s="7">
        <v>0.0590747367998774</v>
      </c>
      <c r="P175" s="7">
        <v>8.61212644974501</v>
      </c>
      <c r="Q175" s="7">
        <v>0.0093571065065306</v>
      </c>
      <c r="R175" s="7">
        <v>0.0405459283716113</v>
      </c>
      <c r="S175" s="7">
        <v>0.071078057303947</v>
      </c>
      <c r="T175" s="7">
        <v>0.6056572321204085</v>
      </c>
    </row>
    <row x14ac:dyDescent="0.25" r="176" customHeight="1" ht="19.5">
      <c r="A176" s="2" t="s">
        <v>1234</v>
      </c>
      <c r="B176" s="2" t="s">
        <v>1060</v>
      </c>
      <c r="C176" s="2" t="s">
        <v>31</v>
      </c>
      <c r="D176" s="2" t="s">
        <v>32</v>
      </c>
      <c r="E176" s="6">
        <v>1</v>
      </c>
      <c r="F176" s="6">
        <v>2</v>
      </c>
      <c r="G176" s="7">
        <v>0.5126609802246094</v>
      </c>
      <c r="H176" s="7">
        <v>47.5647046875</v>
      </c>
      <c r="I176" s="7">
        <v>29.08254144417186</v>
      </c>
      <c r="J176" s="7">
        <v>9.216144056592942</v>
      </c>
      <c r="K176" s="7">
        <v>5.334217366870345</v>
      </c>
      <c r="L176" s="7">
        <v>0.8336432487638289</v>
      </c>
      <c r="M176" s="7">
        <v>0.7066916459778549</v>
      </c>
      <c r="N176" s="7">
        <v>0.4107947712667984</v>
      </c>
      <c r="O176" s="7">
        <v>0.060203595653741</v>
      </c>
      <c r="P176" s="7">
        <v>8.510875750719869</v>
      </c>
      <c r="Q176" s="7">
        <v>0.0105698140974454</v>
      </c>
      <c r="R176" s="7">
        <v>0.0414786471308145</v>
      </c>
      <c r="S176" s="7">
        <v>0.0720238414334202</v>
      </c>
      <c r="T176" s="7">
        <v>0.5835027856999355</v>
      </c>
    </row>
    <row x14ac:dyDescent="0.25" r="177" customHeight="1" ht="19.5">
      <c r="A177" s="2" t="s">
        <v>1235</v>
      </c>
      <c r="B177" s="2" t="s">
        <v>1060</v>
      </c>
      <c r="C177" s="2" t="s">
        <v>31</v>
      </c>
      <c r="D177" s="2" t="s">
        <v>32</v>
      </c>
      <c r="E177" s="6">
        <v>1</v>
      </c>
      <c r="F177" s="6">
        <v>2</v>
      </c>
      <c r="G177" s="7">
        <v>0.5337535738945007</v>
      </c>
      <c r="H177" s="7">
        <v>50.4877140625</v>
      </c>
      <c r="I177" s="7">
        <v>31.03467688229468</v>
      </c>
      <c r="J177" s="7">
        <v>9.906555778752374</v>
      </c>
      <c r="K177" s="7">
        <v>5.114435038799765</v>
      </c>
      <c r="L177" s="7">
        <v>0.8673836861895956</v>
      </c>
      <c r="M177" s="7">
        <v>0.6587204030658678</v>
      </c>
      <c r="N177" s="7">
        <v>0.4084391110728648</v>
      </c>
      <c r="O177" s="7">
        <v>0.0597465344656078</v>
      </c>
      <c r="P177" s="7">
        <v>8.549527390814909</v>
      </c>
      <c r="Q177" s="7">
        <v>0.0111346825315733</v>
      </c>
      <c r="R177" s="7">
        <v>0.0422176645321009</v>
      </c>
      <c r="S177" s="7">
        <v>0.0725565292777866</v>
      </c>
      <c r="T177" s="7">
        <v>0.6524606533942692</v>
      </c>
    </row>
    <row x14ac:dyDescent="0.25" r="178" customHeight="1" ht="19.5">
      <c r="A178" s="2" t="s">
        <v>1236</v>
      </c>
      <c r="B178" s="2" t="s">
        <v>1060</v>
      </c>
      <c r="C178" s="2" t="s">
        <v>31</v>
      </c>
      <c r="D178" s="2" t="s">
        <v>32</v>
      </c>
      <c r="E178" s="6">
        <v>1</v>
      </c>
      <c r="F178" s="6">
        <v>2</v>
      </c>
      <c r="G178" s="7">
        <v>0.5535472631454468</v>
      </c>
      <c r="H178" s="7">
        <v>45.8884765625</v>
      </c>
      <c r="I178" s="7">
        <v>29.28346671574377</v>
      </c>
      <c r="J178" s="7">
        <v>9.40375780900065</v>
      </c>
      <c r="K178" s="7">
        <v>5.418545953855062</v>
      </c>
      <c r="L178" s="7">
        <v>0.848808529753657</v>
      </c>
      <c r="M178" s="7">
        <v>0.6711944053576346</v>
      </c>
      <c r="N178" s="7">
        <v>0.4169827814523993</v>
      </c>
      <c r="O178" s="7">
        <v>0.0621076832237237</v>
      </c>
      <c r="P178" s="7">
        <v>8.539608342673029</v>
      </c>
      <c r="Q178" s="7">
        <v>0.0115836586656727</v>
      </c>
      <c r="R178" s="7">
        <v>0.0437829646456018</v>
      </c>
      <c r="S178" s="7">
        <v>0.0750054827423584</v>
      </c>
      <c r="T178" s="7">
        <v>0.6169360829652012</v>
      </c>
    </row>
    <row x14ac:dyDescent="0.25" r="179" customHeight="1" ht="19.5">
      <c r="A179" s="2" t="s">
        <v>1237</v>
      </c>
      <c r="B179" s="2" t="s">
        <v>1060</v>
      </c>
      <c r="C179" s="2" t="s">
        <v>31</v>
      </c>
      <c r="D179" s="2" t="s">
        <v>32</v>
      </c>
      <c r="E179" s="6">
        <v>1</v>
      </c>
      <c r="F179" s="6">
        <v>2</v>
      </c>
      <c r="G179" s="7">
        <v>0.5511802434921265</v>
      </c>
      <c r="H179" s="7">
        <v>50.27645390625</v>
      </c>
      <c r="I179" s="7">
        <v>32.38021297585583</v>
      </c>
      <c r="J179" s="7">
        <v>10.64831194882195</v>
      </c>
      <c r="K179" s="7">
        <v>5.111324398495587</v>
      </c>
      <c r="L179" s="7">
        <v>0.897676012486614</v>
      </c>
      <c r="M179" s="7">
        <v>0.6024975205132851</v>
      </c>
      <c r="N179" s="7">
        <v>0.4169525350087296</v>
      </c>
      <c r="O179" s="7">
        <v>0.0609498705486988</v>
      </c>
      <c r="P179" s="7">
        <v>8.593598992111522</v>
      </c>
      <c r="Q179" s="7">
        <v>0.0103230786082734</v>
      </c>
      <c r="R179" s="7">
        <v>0.0411797204611624</v>
      </c>
      <c r="S179" s="7">
        <v>0.0682996733622453</v>
      </c>
      <c r="T179" s="7">
        <v>0.6023718288080004</v>
      </c>
    </row>
    <row x14ac:dyDescent="0.25" r="180" customHeight="1" ht="19.5">
      <c r="A180" s="2" t="s">
        <v>1238</v>
      </c>
      <c r="B180" s="2" t="s">
        <v>1060</v>
      </c>
      <c r="C180" s="2" t="s">
        <v>31</v>
      </c>
      <c r="D180" s="2" t="s">
        <v>32</v>
      </c>
      <c r="E180" s="6">
        <v>1</v>
      </c>
      <c r="F180" s="6">
        <v>2</v>
      </c>
      <c r="G180" s="7">
        <v>0.5589699745178223</v>
      </c>
      <c r="H180" s="7">
        <v>48.27814062500001</v>
      </c>
      <c r="I180" s="7">
        <v>30.20241715720882</v>
      </c>
      <c r="J180" s="7">
        <v>9.78500922937948</v>
      </c>
      <c r="K180" s="7">
        <v>4.926447104579692</v>
      </c>
      <c r="L180" s="7">
        <v>0.8730725942657969</v>
      </c>
      <c r="M180" s="7">
        <v>0.6650847592967966</v>
      </c>
      <c r="N180" s="7">
        <v>0.4153586684303872</v>
      </c>
      <c r="O180" s="7">
        <v>0.0612523441549454</v>
      </c>
      <c r="P180" s="7">
        <v>8.478145812663914</v>
      </c>
      <c r="Q180" s="7">
        <v>0.0106227494095621</v>
      </c>
      <c r="R180" s="7">
        <v>0.0407005655626634</v>
      </c>
      <c r="S180" s="7">
        <v>0.0743258081429805</v>
      </c>
      <c r="T180" s="7">
        <v>0.5952210094872613</v>
      </c>
    </row>
    <row x14ac:dyDescent="0.25" r="181" customHeight="1" ht="19.5">
      <c r="A181" s="2" t="s">
        <v>1239</v>
      </c>
      <c r="B181" s="2" t="s">
        <v>1060</v>
      </c>
      <c r="C181" s="2" t="s">
        <v>31</v>
      </c>
      <c r="D181" s="2" t="s">
        <v>245</v>
      </c>
      <c r="E181" s="6">
        <v>1</v>
      </c>
      <c r="F181" s="6">
        <v>0</v>
      </c>
      <c r="G181" s="7">
        <v>0.3399650156497955</v>
      </c>
      <c r="H181" s="7">
        <v>39.5437453125</v>
      </c>
      <c r="I181" s="7">
        <v>26.07846214613694</v>
      </c>
      <c r="J181" s="7">
        <v>8.321344166408593</v>
      </c>
      <c r="K181" s="7">
        <v>5.620730707284197</v>
      </c>
      <c r="L181" s="7">
        <v>0.7741768298903032</v>
      </c>
      <c r="M181" s="7">
        <v>0.7306740938316082</v>
      </c>
      <c r="N181" s="7">
        <v>0.5243556108732479</v>
      </c>
      <c r="O181" s="7">
        <v>0.1034058660763816</v>
      </c>
      <c r="P181" s="7">
        <v>8.285376540057825</v>
      </c>
      <c r="Q181" s="7">
        <v>0.0016742465340794</v>
      </c>
      <c r="R181" s="7">
        <v>0.0133453753907001</v>
      </c>
      <c r="S181" s="7">
        <v>0.0475545192858267</v>
      </c>
      <c r="T181" s="7">
        <v>0.0768401119543255</v>
      </c>
    </row>
    <row x14ac:dyDescent="0.25" r="182" customHeight="1" ht="19.5">
      <c r="A182" s="2" t="s">
        <v>1240</v>
      </c>
      <c r="B182" s="2" t="s">
        <v>1060</v>
      </c>
      <c r="C182" s="2" t="s">
        <v>31</v>
      </c>
      <c r="D182" s="2" t="s">
        <v>245</v>
      </c>
      <c r="E182" s="6">
        <v>1</v>
      </c>
      <c r="F182" s="6">
        <v>2</v>
      </c>
      <c r="G182" s="7">
        <v>0.708736777305603</v>
      </c>
      <c r="H182" s="7">
        <v>41.25114296875</v>
      </c>
      <c r="I182" s="7">
        <v>26.61432090771245</v>
      </c>
      <c r="J182" s="7">
        <v>8.61047679207444</v>
      </c>
      <c r="K182" s="7">
        <v>4.72108538070241</v>
      </c>
      <c r="L182" s="7">
        <v>0.8436634047308429</v>
      </c>
      <c r="M182" s="7">
        <v>0.7318381953158886</v>
      </c>
      <c r="N182" s="7">
        <v>0.3523123110228784</v>
      </c>
      <c r="O182" s="7">
        <v>0.049971831144858</v>
      </c>
      <c r="P182" s="7">
        <v>9.1596593637614</v>
      </c>
      <c r="Q182" s="7">
        <v>0.0055644821616866</v>
      </c>
      <c r="R182" s="7">
        <v>0.0251325681315474</v>
      </c>
      <c r="S182" s="7">
        <v>0.0484935832115303</v>
      </c>
      <c r="T182" s="7">
        <v>0.2664106124119885</v>
      </c>
    </row>
    <row x14ac:dyDescent="0.25" r="183" customHeight="1" ht="19.5">
      <c r="A183" s="2" t="s">
        <v>1241</v>
      </c>
      <c r="B183" s="2" t="s">
        <v>1060</v>
      </c>
      <c r="C183" s="2" t="s">
        <v>31</v>
      </c>
      <c r="D183" s="2" t="s">
        <v>245</v>
      </c>
      <c r="E183" s="6">
        <v>1</v>
      </c>
      <c r="F183" s="6">
        <v>2</v>
      </c>
      <c r="G183" s="7">
        <v>0.7571985721588135</v>
      </c>
      <c r="H183" s="7">
        <v>40.132503125</v>
      </c>
      <c r="I183" s="7">
        <v>26.19227635741296</v>
      </c>
      <c r="J183" s="7">
        <v>8.508001291753686</v>
      </c>
      <c r="K183" s="7">
        <v>4.684878411199829</v>
      </c>
      <c r="L183" s="7">
        <v>0.8433622485246193</v>
      </c>
      <c r="M183" s="7">
        <v>0.7351223442439687</v>
      </c>
      <c r="N183" s="7">
        <v>0.3170216345681783</v>
      </c>
      <c r="O183" s="7">
        <v>0.0468918171696266</v>
      </c>
      <c r="P183" s="7">
        <v>9.35439596770304</v>
      </c>
      <c r="Q183" s="7">
        <v>0.0101175162835649</v>
      </c>
      <c r="R183" s="7">
        <v>0.035466112851111</v>
      </c>
      <c r="S183" s="7">
        <v>0.06572555745393</v>
      </c>
      <c r="T183" s="7">
        <v>0.4712603921296265</v>
      </c>
    </row>
    <row x14ac:dyDescent="0.25" r="184" customHeight="1" ht="19.5">
      <c r="A184" s="2" t="s">
        <v>1242</v>
      </c>
      <c r="B184" s="2" t="s">
        <v>1060</v>
      </c>
      <c r="C184" s="2" t="s">
        <v>31</v>
      </c>
      <c r="D184" s="2" t="s">
        <v>245</v>
      </c>
      <c r="E184" s="6">
        <v>1</v>
      </c>
      <c r="F184" s="6">
        <v>2</v>
      </c>
      <c r="G184" s="7">
        <v>0.7651500701904297</v>
      </c>
      <c r="H184" s="7">
        <v>40.89788828125</v>
      </c>
      <c r="I184" s="7">
        <v>26.09722100939124</v>
      </c>
      <c r="J184" s="7">
        <v>8.520089522543891</v>
      </c>
      <c r="K184" s="7">
        <v>4.825850621642807</v>
      </c>
      <c r="L184" s="7">
        <v>0.8346583319189194</v>
      </c>
      <c r="M184" s="7">
        <v>0.7546094182395356</v>
      </c>
      <c r="N184" s="7">
        <v>0.3039090860238315</v>
      </c>
      <c r="O184" s="7">
        <v>0.044642589623194</v>
      </c>
      <c r="P184" s="7">
        <v>9.486199721420745</v>
      </c>
      <c r="Q184" s="7">
        <v>0.0111077016487861</v>
      </c>
      <c r="R184" s="7">
        <v>0.0374478820365704</v>
      </c>
      <c r="S184" s="7">
        <v>0.0682554241249936</v>
      </c>
      <c r="T184" s="7">
        <v>0.5272491283924746</v>
      </c>
    </row>
    <row x14ac:dyDescent="0.25" r="185" customHeight="1" ht="19.5">
      <c r="A185" s="2" t="s">
        <v>1243</v>
      </c>
      <c r="B185" s="2" t="s">
        <v>1060</v>
      </c>
      <c r="C185" s="2" t="s">
        <v>31</v>
      </c>
      <c r="D185" s="2" t="s">
        <v>245</v>
      </c>
      <c r="E185" s="6">
        <v>1</v>
      </c>
      <c r="F185" s="6">
        <v>2</v>
      </c>
      <c r="G185" s="7">
        <v>0.7508125901222229</v>
      </c>
      <c r="H185" s="7">
        <v>40.7074078125</v>
      </c>
      <c r="I185" s="7">
        <v>26.15188834310164</v>
      </c>
      <c r="J185" s="7">
        <v>8.60942832262427</v>
      </c>
      <c r="K185" s="7">
        <v>4.816863395552742</v>
      </c>
      <c r="L185" s="7">
        <v>0.8412916857925838</v>
      </c>
      <c r="M185" s="7">
        <v>0.7479579891948054</v>
      </c>
      <c r="N185" s="7">
        <v>0.3007219345424252</v>
      </c>
      <c r="O185" s="7">
        <v>0.0446873548118652</v>
      </c>
      <c r="P185" s="7">
        <v>9.48309592579028</v>
      </c>
      <c r="Q185" s="7">
        <v>0.0097694276054421</v>
      </c>
      <c r="R185" s="7">
        <v>0.0354583205121396</v>
      </c>
      <c r="S185" s="7">
        <v>0.0631969476174004</v>
      </c>
      <c r="T185" s="7">
        <v>0.4615655077872453</v>
      </c>
    </row>
    <row x14ac:dyDescent="0.25" r="186" customHeight="1" ht="19.5">
      <c r="A186" s="2" t="s">
        <v>1244</v>
      </c>
      <c r="B186" s="2" t="s">
        <v>1060</v>
      </c>
      <c r="C186" s="2" t="s">
        <v>31</v>
      </c>
      <c r="D186" s="2" t="s">
        <v>245</v>
      </c>
      <c r="E186" s="6">
        <v>1</v>
      </c>
      <c r="F186" s="6">
        <v>2</v>
      </c>
      <c r="G186" s="7">
        <v>0.7585758566856384</v>
      </c>
      <c r="H186" s="7">
        <v>40.20523203125001</v>
      </c>
      <c r="I186" s="7">
        <v>26.01990972463922</v>
      </c>
      <c r="J186" s="7">
        <v>8.488963689529083</v>
      </c>
      <c r="K186" s="7">
        <v>4.807022120780121</v>
      </c>
      <c r="L186" s="7">
        <v>0.8364720156603755</v>
      </c>
      <c r="M186" s="7">
        <v>0.746244023454033</v>
      </c>
      <c r="N186" s="7">
        <v>0.2986279708973174</v>
      </c>
      <c r="O186" s="7">
        <v>0.0445417545084811</v>
      </c>
      <c r="P186" s="7">
        <v>9.486480891061326</v>
      </c>
      <c r="Q186" s="7">
        <v>0.0108924587870777</v>
      </c>
      <c r="R186" s="7">
        <v>0.0372412686216189</v>
      </c>
      <c r="S186" s="7">
        <v>0.0689559541281826</v>
      </c>
      <c r="T186" s="7">
        <v>0.5082756194487431</v>
      </c>
    </row>
    <row x14ac:dyDescent="0.25" r="187" customHeight="1" ht="19.5">
      <c r="A187" s="2" t="s">
        <v>1245</v>
      </c>
      <c r="B187" s="2" t="s">
        <v>1060</v>
      </c>
      <c r="C187" s="2" t="s">
        <v>31</v>
      </c>
      <c r="D187" s="2" t="s">
        <v>245</v>
      </c>
      <c r="E187" s="6">
        <v>1</v>
      </c>
      <c r="F187" s="6">
        <v>2</v>
      </c>
      <c r="G187" s="7">
        <v>0.7617588043212891</v>
      </c>
      <c r="H187" s="7">
        <v>40.41302890625001</v>
      </c>
      <c r="I187" s="7">
        <v>26.16616766250074</v>
      </c>
      <c r="J187" s="7">
        <v>8.53444145188828</v>
      </c>
      <c r="K187" s="7">
        <v>4.788825503767641</v>
      </c>
      <c r="L187" s="7">
        <v>0.8390820789225429</v>
      </c>
      <c r="M187" s="7">
        <v>0.74173884861791</v>
      </c>
      <c r="N187" s="7">
        <v>0.2992006529684108</v>
      </c>
      <c r="O187" s="7">
        <v>0.0443267041499208</v>
      </c>
      <c r="P187" s="7">
        <v>9.500264024233331</v>
      </c>
      <c r="Q187" s="7">
        <v>0.0102143030418072</v>
      </c>
      <c r="R187" s="7">
        <v>0.0357650490207352</v>
      </c>
      <c r="S187" s="7">
        <v>0.0674036699442463</v>
      </c>
      <c r="T187" s="7">
        <v>0.4790942075450467</v>
      </c>
    </row>
    <row x14ac:dyDescent="0.25" r="188" customHeight="1" ht="19.5">
      <c r="A188" s="2" t="s">
        <v>1246</v>
      </c>
      <c r="B188" s="2" t="s">
        <v>1060</v>
      </c>
      <c r="C188" s="2" t="s">
        <v>31</v>
      </c>
      <c r="D188" s="2" t="s">
        <v>245</v>
      </c>
      <c r="E188" s="6">
        <v>1</v>
      </c>
      <c r="F188" s="6">
        <v>2</v>
      </c>
      <c r="G188" s="7">
        <v>0.7696545124053955</v>
      </c>
      <c r="H188" s="7">
        <v>40.48229453125001</v>
      </c>
      <c r="I188" s="7">
        <v>26.15188834310165</v>
      </c>
      <c r="J188" s="7">
        <v>8.54188227813832</v>
      </c>
      <c r="K188" s="7">
        <v>4.798414724452333</v>
      </c>
      <c r="L188" s="7">
        <v>0.8390736210487477</v>
      </c>
      <c r="M188" s="7">
        <v>0.7438217573335101</v>
      </c>
      <c r="N188" s="7">
        <v>0.2999284131902258</v>
      </c>
      <c r="O188" s="7">
        <v>0.0446460287612139</v>
      </c>
      <c r="P188" s="7">
        <v>9.476715177008009</v>
      </c>
      <c r="Q188" s="7">
        <v>0.0108125528722254</v>
      </c>
      <c r="R188" s="7">
        <v>0.0371881350538216</v>
      </c>
      <c r="S188" s="7">
        <v>0.0685858277508736</v>
      </c>
      <c r="T188" s="7">
        <v>0.5080239003743721</v>
      </c>
    </row>
    <row x14ac:dyDescent="0.25" r="189" customHeight="1" ht="19.5">
      <c r="A189" s="2" t="s">
        <v>1247</v>
      </c>
      <c r="B189" s="2" t="s">
        <v>1060</v>
      </c>
      <c r="C189" s="2" t="s">
        <v>31</v>
      </c>
      <c r="D189" s="2" t="s">
        <v>245</v>
      </c>
      <c r="E189" s="6">
        <v>1</v>
      </c>
      <c r="F189" s="6">
        <v>2</v>
      </c>
      <c r="G189" s="7">
        <v>0.7589758634567261</v>
      </c>
      <c r="H189" s="7">
        <v>40.48229453125001</v>
      </c>
      <c r="I189" s="7">
        <v>26.18636166965639</v>
      </c>
      <c r="J189" s="7">
        <v>8.538364277892992</v>
      </c>
      <c r="K189" s="7">
        <v>4.794373915977115</v>
      </c>
      <c r="L189" s="7">
        <v>0.8391644595476088</v>
      </c>
      <c r="M189" s="7">
        <v>0.7418646216070779</v>
      </c>
      <c r="N189" s="7">
        <v>0.3009392202776357</v>
      </c>
      <c r="O189" s="7">
        <v>0.0447436387650896</v>
      </c>
      <c r="P189" s="7">
        <v>9.48129100979479</v>
      </c>
      <c r="Q189" s="7">
        <v>0.0111424829442814</v>
      </c>
      <c r="R189" s="7">
        <v>0.0374838298156481</v>
      </c>
      <c r="S189" s="7">
        <v>0.0662809149026551</v>
      </c>
      <c r="T189" s="7">
        <v>0.5235255459188991</v>
      </c>
    </row>
    <row x14ac:dyDescent="0.25" r="190" customHeight="1" ht="19.5">
      <c r="A190" s="2" t="s">
        <v>1248</v>
      </c>
      <c r="B190" s="2" t="s">
        <v>1060</v>
      </c>
      <c r="C190" s="2" t="s">
        <v>31</v>
      </c>
      <c r="D190" s="2" t="s">
        <v>245</v>
      </c>
      <c r="E190" s="6">
        <v>1</v>
      </c>
      <c r="F190" s="6">
        <v>2</v>
      </c>
      <c r="G190" s="7">
        <v>0.7655212879180908</v>
      </c>
      <c r="H190" s="7">
        <v>40.4857578125</v>
      </c>
      <c r="I190" s="7">
        <v>26.18636166965639</v>
      </c>
      <c r="J190" s="7">
        <v>8.54221605836651</v>
      </c>
      <c r="K190" s="7">
        <v>4.79896670930951</v>
      </c>
      <c r="L190" s="7">
        <v>0.8390717436565556</v>
      </c>
      <c r="M190" s="7">
        <v>0.7419280885094311</v>
      </c>
      <c r="N190" s="7">
        <v>0.3029857389618068</v>
      </c>
      <c r="O190" s="7">
        <v>0.0447006289947173</v>
      </c>
      <c r="P190" s="7">
        <v>9.47588385888644</v>
      </c>
      <c r="Q190" s="7">
        <v>0.0103260331976827</v>
      </c>
      <c r="R190" s="7">
        <v>0.0354969767532231</v>
      </c>
      <c r="S190" s="7">
        <v>0.066211669924199</v>
      </c>
      <c r="T190" s="7">
        <v>0.4852064548968933</v>
      </c>
    </row>
    <row x14ac:dyDescent="0.25" r="191" customHeight="1" ht="19.5">
      <c r="A191" s="2" t="s">
        <v>1249</v>
      </c>
      <c r="B191" s="2" t="s">
        <v>1060</v>
      </c>
      <c r="C191" s="2" t="s">
        <v>31</v>
      </c>
      <c r="D191" s="2" t="s">
        <v>245</v>
      </c>
      <c r="E191" s="6">
        <v>1</v>
      </c>
      <c r="F191" s="6">
        <v>2</v>
      </c>
      <c r="G191" s="7">
        <v>0.7630454301834106</v>
      </c>
      <c r="H191" s="7">
        <v>39.9870453125</v>
      </c>
      <c r="I191" s="7">
        <v>26.09094753565934</v>
      </c>
      <c r="J191" s="7">
        <v>8.536495785398795</v>
      </c>
      <c r="K191" s="7">
        <v>4.73164313530029</v>
      </c>
      <c r="L191" s="7">
        <v>0.8433214815086685</v>
      </c>
      <c r="M191" s="7">
        <v>0.738158246315946</v>
      </c>
      <c r="N191" s="7">
        <v>0.3038900707109263</v>
      </c>
      <c r="O191" s="7">
        <v>0.0450694467905028</v>
      </c>
      <c r="P191" s="7">
        <v>9.459704794285711</v>
      </c>
      <c r="Q191" s="7">
        <v>0.0101552071130224</v>
      </c>
      <c r="R191" s="7">
        <v>0.0353223312814911</v>
      </c>
      <c r="S191" s="7">
        <v>0.0679868396562</v>
      </c>
      <c r="T191" s="7">
        <v>0.4713015630100149</v>
      </c>
    </row>
    <row x14ac:dyDescent="0.25" r="192" customHeight="1" ht="19.5">
      <c r="A192" s="2" t="s">
        <v>1250</v>
      </c>
      <c r="B192" s="2" t="s">
        <v>1060</v>
      </c>
      <c r="C192" s="2" t="s">
        <v>31</v>
      </c>
      <c r="D192" s="2" t="s">
        <v>245</v>
      </c>
      <c r="E192" s="6">
        <v>1</v>
      </c>
      <c r="F192" s="6">
        <v>2</v>
      </c>
      <c r="G192" s="7">
        <v>0.7620363831520081</v>
      </c>
      <c r="H192" s="7">
        <v>40.464978125</v>
      </c>
      <c r="I192" s="7">
        <v>26.13760902370255</v>
      </c>
      <c r="J192" s="7">
        <v>8.547349883354524</v>
      </c>
      <c r="K192" s="7">
        <v>4.809549806899439</v>
      </c>
      <c r="L192" s="7">
        <v>0.8389272641416592</v>
      </c>
      <c r="M192" s="7">
        <v>0.7443161791214986</v>
      </c>
      <c r="N192" s="7">
        <v>0.302598775226513</v>
      </c>
      <c r="O192" s="7">
        <v>0.0448546542905748</v>
      </c>
      <c r="P192" s="7">
        <v>9.47135595840402</v>
      </c>
      <c r="Q192" s="7">
        <v>0.0105843616727427</v>
      </c>
      <c r="R192" s="7">
        <v>0.0364573085602188</v>
      </c>
      <c r="S192" s="7">
        <v>0.068221512282493</v>
      </c>
      <c r="T192" s="7">
        <v>0.4970896966991379</v>
      </c>
    </row>
    <row x14ac:dyDescent="0.25" r="193" customHeight="1" ht="19.5">
      <c r="A193" s="2" t="s">
        <v>1251</v>
      </c>
      <c r="B193" s="2" t="s">
        <v>1060</v>
      </c>
      <c r="C193" s="2" t="s">
        <v>31</v>
      </c>
      <c r="D193" s="2" t="s">
        <v>245</v>
      </c>
      <c r="E193" s="6">
        <v>1</v>
      </c>
      <c r="F193" s="6">
        <v>2</v>
      </c>
      <c r="G193" s="7">
        <v>0.7562483549118042</v>
      </c>
      <c r="H193" s="7">
        <v>40.72126093750001</v>
      </c>
      <c r="I193" s="7">
        <v>26.22083499621114</v>
      </c>
      <c r="J193" s="7">
        <v>8.608764069800555</v>
      </c>
      <c r="K193" s="7">
        <v>4.815124089628425</v>
      </c>
      <c r="L193" s="7">
        <v>0.8412836129114042</v>
      </c>
      <c r="M193" s="7">
        <v>0.7442829089773088</v>
      </c>
      <c r="N193" s="7">
        <v>0.3031369942876244</v>
      </c>
      <c r="O193" s="7">
        <v>0.0448761683908888</v>
      </c>
      <c r="P193" s="7">
        <v>9.471418753332134</v>
      </c>
      <c r="Q193" s="7">
        <v>0.0100498961264697</v>
      </c>
      <c r="R193" s="7">
        <v>0.0347644777683504</v>
      </c>
      <c r="S193" s="7">
        <v>0.068377110795975</v>
      </c>
      <c r="T193" s="7">
        <v>0.474978083239358</v>
      </c>
    </row>
    <row x14ac:dyDescent="0.25" r="194" customHeight="1" ht="19.5">
      <c r="A194" s="2" t="s">
        <v>1252</v>
      </c>
      <c r="B194" s="2" t="s">
        <v>1060</v>
      </c>
      <c r="C194" s="2" t="s">
        <v>31</v>
      </c>
      <c r="D194" s="2" t="s">
        <v>245</v>
      </c>
      <c r="E194" s="6">
        <v>1</v>
      </c>
      <c r="F194" s="6">
        <v>2</v>
      </c>
      <c r="G194" s="7">
        <v>0.7560988068580627</v>
      </c>
      <c r="H194" s="7">
        <v>40.23986484375001</v>
      </c>
      <c r="I194" s="7">
        <v>26.06866237059306</v>
      </c>
      <c r="J194" s="7">
        <v>8.600746903865257</v>
      </c>
      <c r="K194" s="7">
        <v>4.742517264939131</v>
      </c>
      <c r="L194" s="7">
        <v>0.8455755134609919</v>
      </c>
      <c r="M194" s="7">
        <v>0.7440958506212433</v>
      </c>
      <c r="N194" s="7">
        <v>0.3018182881862976</v>
      </c>
      <c r="O194" s="7">
        <v>0.0450180607939379</v>
      </c>
      <c r="P194" s="7">
        <v>9.460776744274566</v>
      </c>
      <c r="Q194" s="7">
        <v>0.0092824110427567</v>
      </c>
      <c r="R194" s="7">
        <v>0.0335899791599839</v>
      </c>
      <c r="S194" s="7">
        <v>0.0643437654431341</v>
      </c>
      <c r="T194" s="7">
        <v>0.4335189531814968</v>
      </c>
    </row>
    <row x14ac:dyDescent="0.25" r="195" customHeight="1" ht="19.5">
      <c r="A195" s="2" t="s">
        <v>1253</v>
      </c>
      <c r="B195" s="2" t="s">
        <v>1060</v>
      </c>
      <c r="C195" s="2" t="s">
        <v>31</v>
      </c>
      <c r="D195" s="2" t="s">
        <v>245</v>
      </c>
      <c r="E195" s="6">
        <v>1</v>
      </c>
      <c r="F195" s="6">
        <v>2</v>
      </c>
      <c r="G195" s="7">
        <v>0.7587464451789856</v>
      </c>
      <c r="H195" s="7">
        <v>40.00436171875</v>
      </c>
      <c r="I195" s="7">
        <v>26.05438305119397</v>
      </c>
      <c r="J195" s="7">
        <v>8.537605767459969</v>
      </c>
      <c r="K195" s="7">
        <v>4.733514959150237</v>
      </c>
      <c r="L195" s="7">
        <v>0.843316875441128</v>
      </c>
      <c r="M195" s="7">
        <v>0.7405521068499873</v>
      </c>
      <c r="N195" s="7">
        <v>0.3011947736040092</v>
      </c>
      <c r="O195" s="7">
        <v>0.0448016813717675</v>
      </c>
      <c r="P195" s="7">
        <v>9.461458579636233</v>
      </c>
      <c r="Q195" s="7">
        <v>0.0105112042339599</v>
      </c>
      <c r="R195" s="7">
        <v>0.0357044777924938</v>
      </c>
      <c r="S195" s="7">
        <v>0.068486698349824</v>
      </c>
      <c r="T195" s="7">
        <v>0.4880345854281656</v>
      </c>
    </row>
    <row x14ac:dyDescent="0.25" r="196" customHeight="1" ht="19.5">
      <c r="A196" s="2" t="s">
        <v>1254</v>
      </c>
      <c r="B196" s="2" t="s">
        <v>1060</v>
      </c>
      <c r="C196" s="2" t="s">
        <v>31</v>
      </c>
      <c r="D196" s="2" t="s">
        <v>245</v>
      </c>
      <c r="E196" s="6">
        <v>1</v>
      </c>
      <c r="F196" s="6">
        <v>2</v>
      </c>
      <c r="G196" s="7">
        <v>0.7592151165008545</v>
      </c>
      <c r="H196" s="7">
        <v>39.96972890625</v>
      </c>
      <c r="I196" s="7">
        <v>26.06866237059306</v>
      </c>
      <c r="J196" s="7">
        <v>8.533136055488995</v>
      </c>
      <c r="K196" s="7">
        <v>4.727016631829613</v>
      </c>
      <c r="L196" s="7">
        <v>0.8433179158032674</v>
      </c>
      <c r="M196" s="7">
        <v>0.7391006293157558</v>
      </c>
      <c r="N196" s="7">
        <v>0.3006283603497568</v>
      </c>
      <c r="O196" s="7">
        <v>0.0448580295502394</v>
      </c>
      <c r="P196" s="7">
        <v>9.462853860163</v>
      </c>
      <c r="Q196" s="7">
        <v>0.0102300739227989</v>
      </c>
      <c r="R196" s="7">
        <v>0.0351872532162092</v>
      </c>
      <c r="S196" s="7">
        <v>0.0680490029710068</v>
      </c>
      <c r="T196" s="7">
        <v>0.4745705178707522</v>
      </c>
    </row>
    <row x14ac:dyDescent="0.25" r="197" customHeight="1" ht="19.5">
      <c r="A197" s="2" t="s">
        <v>1255</v>
      </c>
      <c r="B197" s="2" t="s">
        <v>1060</v>
      </c>
      <c r="C197" s="2" t="s">
        <v>31</v>
      </c>
      <c r="D197" s="2" t="s">
        <v>245</v>
      </c>
      <c r="E197" s="6">
        <v>1</v>
      </c>
      <c r="F197" s="6">
        <v>2</v>
      </c>
      <c r="G197" s="7">
        <v>0.7699198722839355</v>
      </c>
      <c r="H197" s="7">
        <v>40.51000078125</v>
      </c>
      <c r="I197" s="7">
        <v>26.18636166965639</v>
      </c>
      <c r="J197" s="7">
        <v>8.53586761605678</v>
      </c>
      <c r="K197" s="7">
        <v>4.789537219178662</v>
      </c>
      <c r="L197" s="7">
        <v>0.8389999858910936</v>
      </c>
      <c r="M197" s="7">
        <v>0.7423723568259039</v>
      </c>
      <c r="N197" s="7">
        <v>0.3032661138516012</v>
      </c>
      <c r="O197" s="7">
        <v>0.0448887474593509</v>
      </c>
      <c r="P197" s="7">
        <v>9.463099984953985</v>
      </c>
      <c r="Q197" s="7">
        <v>0.0102566643336248</v>
      </c>
      <c r="R197" s="7">
        <v>0.0355615695334697</v>
      </c>
      <c r="S197" s="7">
        <v>0.0672752952311798</v>
      </c>
      <c r="T197" s="7">
        <v>0.4822354959450951</v>
      </c>
    </row>
    <row x14ac:dyDescent="0.25" r="198" customHeight="1" ht="19.5">
      <c r="A198" s="2" t="s">
        <v>1256</v>
      </c>
      <c r="B198" s="2" t="s">
        <v>1060</v>
      </c>
      <c r="C198" s="2" t="s">
        <v>31</v>
      </c>
      <c r="D198" s="2" t="s">
        <v>245</v>
      </c>
      <c r="E198" s="6">
        <v>1</v>
      </c>
      <c r="F198" s="6">
        <v>2</v>
      </c>
      <c r="G198" s="7">
        <v>0.7661665081977844</v>
      </c>
      <c r="H198" s="7">
        <v>40.451125</v>
      </c>
      <c r="I198" s="7">
        <v>26.15188834310164</v>
      </c>
      <c r="J198" s="7">
        <v>8.548977733937047</v>
      </c>
      <c r="K198" s="7">
        <v>4.811508710070623</v>
      </c>
      <c r="L198" s="7">
        <v>0.8388816401936913</v>
      </c>
      <c r="M198" s="7">
        <v>0.7432490483065618</v>
      </c>
      <c r="N198" s="7">
        <v>0.3020124659508254</v>
      </c>
      <c r="O198" s="7">
        <v>0.044765530020423</v>
      </c>
      <c r="P198" s="7">
        <v>9.466507023251053</v>
      </c>
      <c r="Q198" s="7">
        <v>0.010359353407587</v>
      </c>
      <c r="R198" s="7">
        <v>0.0360294737652504</v>
      </c>
      <c r="S198" s="7">
        <v>0.0696277546269905</v>
      </c>
      <c r="T198" s="7">
        <v>0.4863557264341164</v>
      </c>
    </row>
    <row x14ac:dyDescent="0.25" r="199" customHeight="1" ht="19.5">
      <c r="A199" s="2" t="s">
        <v>1257</v>
      </c>
      <c r="B199" s="2" t="s">
        <v>1060</v>
      </c>
      <c r="C199" s="2" t="s">
        <v>31</v>
      </c>
      <c r="D199" s="2" t="s">
        <v>245</v>
      </c>
      <c r="E199" s="6">
        <v>1</v>
      </c>
      <c r="F199" s="6">
        <v>2</v>
      </c>
      <c r="G199" s="7">
        <v>0.7673566937446594</v>
      </c>
      <c r="H199" s="7">
        <v>40.26757109375</v>
      </c>
      <c r="I199" s="7">
        <v>26.17208235025731</v>
      </c>
      <c r="J199" s="7">
        <v>8.596968741134136</v>
      </c>
      <c r="K199" s="7">
        <v>4.736274478521519</v>
      </c>
      <c r="L199" s="7">
        <v>0.8455970016494353</v>
      </c>
      <c r="M199" s="7">
        <v>0.7387351126674636</v>
      </c>
      <c r="N199" s="7">
        <v>0.3022593862706516</v>
      </c>
      <c r="O199" s="7">
        <v>0.0452650452948591</v>
      </c>
      <c r="P199" s="7">
        <v>9.45250276667038</v>
      </c>
      <c r="Q199" s="7">
        <v>0.0105713986545139</v>
      </c>
      <c r="R199" s="7">
        <v>0.0362325089210751</v>
      </c>
      <c r="S199" s="7">
        <v>0.0692317051101545</v>
      </c>
      <c r="T199" s="7">
        <v>0.4940588291853151</v>
      </c>
    </row>
    <row x14ac:dyDescent="0.25" r="200" customHeight="1" ht="19.5">
      <c r="A200" s="2" t="s">
        <v>1258</v>
      </c>
      <c r="B200" s="2" t="s">
        <v>1060</v>
      </c>
      <c r="C200" s="2" t="s">
        <v>31</v>
      </c>
      <c r="D200" s="2" t="s">
        <v>245</v>
      </c>
      <c r="E200" s="6">
        <v>1</v>
      </c>
      <c r="F200" s="6">
        <v>2</v>
      </c>
      <c r="G200" s="7">
        <v>0.7709847092628479</v>
      </c>
      <c r="H200" s="7">
        <v>40.45458828125</v>
      </c>
      <c r="I200" s="7">
        <v>26.16616766250074</v>
      </c>
      <c r="J200" s="7">
        <v>8.537159344735144</v>
      </c>
      <c r="K200" s="7">
        <v>4.792164949442632</v>
      </c>
      <c r="L200" s="7">
        <v>0.8393629154914114</v>
      </c>
      <c r="M200" s="7">
        <v>0.7425016274492937</v>
      </c>
      <c r="N200" s="7">
        <v>0.3013510698439849</v>
      </c>
      <c r="O200" s="7">
        <v>0.0448688516144651</v>
      </c>
      <c r="P200" s="7">
        <v>9.46895551888258</v>
      </c>
      <c r="Q200" s="7">
        <v>0.0095618039645032</v>
      </c>
      <c r="R200" s="7">
        <v>0.0341530024848731</v>
      </c>
      <c r="S200" s="7">
        <v>0.0651469226208108</v>
      </c>
      <c r="T200" s="7">
        <v>0.4489504396788344</v>
      </c>
    </row>
    <row x14ac:dyDescent="0.25" r="201" customHeight="1" ht="19.5">
      <c r="A201" s="2" t="s">
        <v>1259</v>
      </c>
      <c r="B201" s="2" t="s">
        <v>1060</v>
      </c>
      <c r="C201" s="2" t="s">
        <v>31</v>
      </c>
      <c r="D201" s="2" t="s">
        <v>245</v>
      </c>
      <c r="E201" s="6">
        <v>1</v>
      </c>
      <c r="F201" s="6">
        <v>2</v>
      </c>
      <c r="G201" s="7">
        <v>0.7682279348373413</v>
      </c>
      <c r="H201" s="7">
        <v>40.41302890625001</v>
      </c>
      <c r="I201" s="7">
        <v>26.0484683634374</v>
      </c>
      <c r="J201" s="7">
        <v>8.537712161361005</v>
      </c>
      <c r="K201" s="7">
        <v>4.794247798448959</v>
      </c>
      <c r="L201" s="7">
        <v>0.8391599339558765</v>
      </c>
      <c r="M201" s="7">
        <v>0.748457046212743</v>
      </c>
      <c r="N201" s="7">
        <v>0.3061894823365828</v>
      </c>
      <c r="O201" s="7">
        <v>0.0450151902621881</v>
      </c>
      <c r="P201" s="7">
        <v>9.463001701191532</v>
      </c>
      <c r="Q201" s="7">
        <v>0.0105672731717763</v>
      </c>
      <c r="R201" s="7">
        <v>0.036803777515486</v>
      </c>
      <c r="S201" s="7">
        <v>0.0669774143564892</v>
      </c>
      <c r="T201" s="7">
        <v>0.4956500062140724</v>
      </c>
    </row>
    <row x14ac:dyDescent="0.25" r="202" customHeight="1" ht="19.5">
      <c r="A202" s="2" t="s">
        <v>1260</v>
      </c>
      <c r="B202" s="2" t="s">
        <v>1060</v>
      </c>
      <c r="C202" s="2" t="s">
        <v>31</v>
      </c>
      <c r="D202" s="2" t="s">
        <v>245</v>
      </c>
      <c r="E202" s="6">
        <v>1</v>
      </c>
      <c r="F202" s="6">
        <v>2</v>
      </c>
      <c r="G202" s="7">
        <v>0.7606716156005859</v>
      </c>
      <c r="H202" s="7">
        <v>40.2502546875</v>
      </c>
      <c r="I202" s="7">
        <v>26.13760902370255</v>
      </c>
      <c r="J202" s="7">
        <v>8.600754934299932</v>
      </c>
      <c r="K202" s="7">
        <v>4.742002076667335</v>
      </c>
      <c r="L202" s="7">
        <v>0.8455925575577635</v>
      </c>
      <c r="M202" s="7">
        <v>0.7403665383216415</v>
      </c>
      <c r="N202" s="7">
        <v>0.3129265263239194</v>
      </c>
      <c r="O202" s="7">
        <v>0.0462167535364987</v>
      </c>
      <c r="P202" s="7">
        <v>9.39102204727016</v>
      </c>
      <c r="Q202" s="7">
        <v>0.009409526507509</v>
      </c>
      <c r="R202" s="7">
        <v>0.0331589612620627</v>
      </c>
      <c r="S202" s="7">
        <v>0.0658455580829113</v>
      </c>
      <c r="T202" s="7">
        <v>0.439569127583673</v>
      </c>
    </row>
    <row x14ac:dyDescent="0.25" r="203" customHeight="1" ht="19.5">
      <c r="A203" s="2" t="s">
        <v>1261</v>
      </c>
      <c r="B203" s="2" t="s">
        <v>1060</v>
      </c>
      <c r="C203" s="2" t="s">
        <v>31</v>
      </c>
      <c r="D203" s="2" t="s">
        <v>245</v>
      </c>
      <c r="E203" s="6">
        <v>1</v>
      </c>
      <c r="F203" s="6">
        <v>2</v>
      </c>
      <c r="G203" s="7">
        <v>0.2888482809066772</v>
      </c>
      <c r="H203" s="7">
        <v>36.40947578125</v>
      </c>
      <c r="I203" s="7">
        <v>24.65836193974369</v>
      </c>
      <c r="J203" s="7">
        <v>7.682131230181929</v>
      </c>
      <c r="K203" s="7">
        <v>4.720707985446818</v>
      </c>
      <c r="L203" s="7">
        <v>0.8001263115539886</v>
      </c>
      <c r="M203" s="7">
        <v>0.7524815295843982</v>
      </c>
      <c r="N203" s="7">
        <v>0.5728925314069631</v>
      </c>
      <c r="O203" s="7">
        <v>0.0810870897828942</v>
      </c>
      <c r="P203" s="7">
        <v>7.847917479485595</v>
      </c>
      <c r="Q203" s="7">
        <v>0.0014767712347934</v>
      </c>
      <c r="R203" s="7">
        <v>0.0102357138018695</v>
      </c>
      <c r="S203" s="7">
        <v>0.0317803880521848</v>
      </c>
      <c r="T203" s="7">
        <v>0.0624048624844458</v>
      </c>
    </row>
    <row x14ac:dyDescent="0.25" r="204" customHeight="1" ht="19.5">
      <c r="A204" s="2" t="s">
        <v>1262</v>
      </c>
      <c r="B204" s="2" t="s">
        <v>1060</v>
      </c>
      <c r="C204" s="2" t="s">
        <v>31</v>
      </c>
      <c r="D204" s="2" t="s">
        <v>245</v>
      </c>
      <c r="E204" s="6">
        <v>1</v>
      </c>
      <c r="F204" s="6">
        <v>2</v>
      </c>
      <c r="G204" s="7">
        <v>0.374714195728302</v>
      </c>
      <c r="H204" s="7">
        <v>31.22494375</v>
      </c>
      <c r="I204" s="7">
        <v>22.42141924353108</v>
      </c>
      <c r="J204" s="7">
        <v>7.158561790397335</v>
      </c>
      <c r="K204" s="7">
        <v>5.250732678528083</v>
      </c>
      <c r="L204" s="7">
        <v>0.7195635638507007</v>
      </c>
      <c r="M204" s="7">
        <v>0.7805223258597097</v>
      </c>
      <c r="N204" s="7">
        <v>0.4778675097956941</v>
      </c>
      <c r="O204" s="7">
        <v>0.1317363114950313</v>
      </c>
      <c r="P204" s="7">
        <v>7.753682303545149</v>
      </c>
      <c r="Q204" s="7">
        <v>0.0020721692256798</v>
      </c>
      <c r="R204" s="7">
        <v>0.0160883753419917</v>
      </c>
      <c r="S204" s="7">
        <v>0.0421170592669247</v>
      </c>
      <c r="T204" s="7">
        <v>0.0750961486192404</v>
      </c>
    </row>
    <row x14ac:dyDescent="0.25" r="205" customHeight="1" ht="19.5">
      <c r="A205" s="2" t="s">
        <v>1263</v>
      </c>
      <c r="B205" s="2" t="s">
        <v>1060</v>
      </c>
      <c r="C205" s="2" t="s">
        <v>31</v>
      </c>
      <c r="D205" s="2" t="s">
        <v>245</v>
      </c>
      <c r="E205" s="6">
        <v>1</v>
      </c>
      <c r="F205" s="6">
        <v>2</v>
      </c>
      <c r="G205" s="7">
        <v>0.6581148505210876</v>
      </c>
      <c r="H205" s="7">
        <v>40.67623828125</v>
      </c>
      <c r="I205" s="7">
        <v>26.19335271533896</v>
      </c>
      <c r="J205" s="7">
        <v>8.550253817646793</v>
      </c>
      <c r="K205" s="7">
        <v>5.474668892799988</v>
      </c>
      <c r="L205" s="7">
        <v>0.7908389725369632</v>
      </c>
      <c r="M205" s="7">
        <v>0.7450209144336719</v>
      </c>
      <c r="N205" s="7">
        <v>0.4004093298958571</v>
      </c>
      <c r="O205" s="7">
        <v>0.0633802375554695</v>
      </c>
      <c r="P205" s="7">
        <v>8.757911360977756</v>
      </c>
      <c r="Q205" s="7">
        <v>0.0025317527434831</v>
      </c>
      <c r="R205" s="7">
        <v>0.0185731052752885</v>
      </c>
      <c r="S205" s="7">
        <v>0.0533217418376211</v>
      </c>
      <c r="T205" s="7">
        <v>0.1195233761591822</v>
      </c>
    </row>
    <row x14ac:dyDescent="0.25" r="206" customHeight="1" ht="19.5">
      <c r="A206" s="2" t="s">
        <v>1264</v>
      </c>
      <c r="B206" s="2" t="s">
        <v>1060</v>
      </c>
      <c r="C206" s="2" t="s">
        <v>31</v>
      </c>
      <c r="D206" s="2" t="s">
        <v>245</v>
      </c>
      <c r="E206" s="6">
        <v>1</v>
      </c>
      <c r="F206" s="6">
        <v>2</v>
      </c>
      <c r="G206" s="7">
        <v>0.6402797698974609</v>
      </c>
      <c r="H206" s="7">
        <v>43.25291953125</v>
      </c>
      <c r="I206" s="7">
        <v>27.61512373572612</v>
      </c>
      <c r="J206" s="7">
        <v>8.980650872022636</v>
      </c>
      <c r="K206" s="7">
        <v>4.957327361564237</v>
      </c>
      <c r="L206" s="7">
        <v>0.8482725282413006</v>
      </c>
      <c r="M206" s="7">
        <v>0.7127402815048772</v>
      </c>
      <c r="N206" s="7">
        <v>0.3335203065194879</v>
      </c>
      <c r="O206" s="7">
        <v>0.0479256652268179</v>
      </c>
      <c r="P206" s="7">
        <v>9.21329241214732</v>
      </c>
      <c r="Q206" s="7">
        <v>0.0051162288962684</v>
      </c>
      <c r="R206" s="7">
        <v>0.0277799331792521</v>
      </c>
      <c r="S206" s="7">
        <v>0.0736894180792265</v>
      </c>
      <c r="T206" s="7">
        <v>0.2568361632478725</v>
      </c>
    </row>
    <row x14ac:dyDescent="0.25" r="207" customHeight="1" ht="19.5">
      <c r="A207" s="2" t="s">
        <v>1265</v>
      </c>
      <c r="B207" s="2" t="s">
        <v>1060</v>
      </c>
      <c r="C207" s="2" t="s">
        <v>31</v>
      </c>
      <c r="D207" s="2" t="s">
        <v>245</v>
      </c>
      <c r="E207" s="6">
        <v>1</v>
      </c>
      <c r="F207" s="6">
        <v>2</v>
      </c>
      <c r="G207" s="7">
        <v>0.7483857274055481</v>
      </c>
      <c r="H207" s="7">
        <v>40.880571875</v>
      </c>
      <c r="I207" s="7">
        <v>26.57638283728711</v>
      </c>
      <c r="J207" s="7">
        <v>8.988860372062156</v>
      </c>
      <c r="K207" s="7">
        <v>4.760749704570747</v>
      </c>
      <c r="L207" s="7">
        <v>0.863128583664299</v>
      </c>
      <c r="M207" s="7">
        <v>0.72733600036129</v>
      </c>
      <c r="N207" s="7">
        <v>0.2983281099080913</v>
      </c>
      <c r="O207" s="7">
        <v>0.045277310209238</v>
      </c>
      <c r="P207" s="7">
        <v>9.498746100060991</v>
      </c>
      <c r="Q207" s="7">
        <v>0.0064903509069285</v>
      </c>
      <c r="R207" s="7">
        <v>0.0340437981349088</v>
      </c>
      <c r="S207" s="7">
        <v>0.0905860018735478</v>
      </c>
      <c r="T207" s="7">
        <v>0.3079469595416634</v>
      </c>
    </row>
    <row x14ac:dyDescent="0.25" r="208" customHeight="1" ht="19.5">
      <c r="A208" s="2" t="s">
        <v>1266</v>
      </c>
      <c r="B208" s="2" t="s">
        <v>1060</v>
      </c>
      <c r="C208" s="2" t="s">
        <v>31</v>
      </c>
      <c r="D208" s="2" t="s">
        <v>245</v>
      </c>
      <c r="E208" s="6">
        <v>1</v>
      </c>
      <c r="F208" s="6">
        <v>2</v>
      </c>
      <c r="G208" s="7">
        <v>0.7366468906402588</v>
      </c>
      <c r="H208" s="7">
        <v>41.04334609375</v>
      </c>
      <c r="I208" s="7">
        <v>26.77730810885903</v>
      </c>
      <c r="J208" s="7">
        <v>9.1534264985223</v>
      </c>
      <c r="K208" s="7">
        <v>4.692720624230878</v>
      </c>
      <c r="L208" s="7">
        <v>0.8726450230034047</v>
      </c>
      <c r="M208" s="7">
        <v>0.7193144624782024</v>
      </c>
      <c r="N208" s="7">
        <v>0.2830452399545816</v>
      </c>
      <c r="O208" s="7">
        <v>0.0445480362924767</v>
      </c>
      <c r="P208" s="7">
        <v>9.610731595635311</v>
      </c>
      <c r="Q208" s="7">
        <v>0.0062070524205609</v>
      </c>
      <c r="R208" s="7">
        <v>0.0333593633388306</v>
      </c>
      <c r="S208" s="7">
        <v>0.0857775700344228</v>
      </c>
      <c r="T208" s="7">
        <v>0.2956779598763158</v>
      </c>
    </row>
    <row x14ac:dyDescent="0.25" r="209" customHeight="1" ht="19.5">
      <c r="A209" s="2" t="s">
        <v>1267</v>
      </c>
      <c r="B209" s="2" t="s">
        <v>1060</v>
      </c>
      <c r="C209" s="2" t="s">
        <v>31</v>
      </c>
      <c r="D209" s="2" t="s">
        <v>245</v>
      </c>
      <c r="E209" s="6">
        <v>1</v>
      </c>
      <c r="F209" s="6">
        <v>2</v>
      </c>
      <c r="G209" s="7">
        <v>0.7388606667518616</v>
      </c>
      <c r="H209" s="7">
        <v>40.64506875</v>
      </c>
      <c r="I209" s="7">
        <v>26.5906621566862</v>
      </c>
      <c r="J209" s="7">
        <v>9.103775268072248</v>
      </c>
      <c r="K209" s="7">
        <v>4.697695290767653</v>
      </c>
      <c r="L209" s="7">
        <v>0.8717849613580401</v>
      </c>
      <c r="M209" s="7">
        <v>0.7223695353658737</v>
      </c>
      <c r="N209" s="7">
        <v>0.2878132038090706</v>
      </c>
      <c r="O209" s="7">
        <v>0.0458392229203227</v>
      </c>
      <c r="P209" s="7">
        <v>9.591591022464389</v>
      </c>
      <c r="Q209" s="7">
        <v>0.0063598987812758</v>
      </c>
      <c r="R209" s="7">
        <v>0.0337609057455822</v>
      </c>
      <c r="S209" s="7">
        <v>0.0902460221435391</v>
      </c>
      <c r="T209" s="7">
        <v>0.3000190602596004</v>
      </c>
    </row>
    <row x14ac:dyDescent="0.25" r="210" customHeight="1" ht="19.5">
      <c r="A210" s="2" t="s">
        <v>1268</v>
      </c>
      <c r="B210" s="2" t="s">
        <v>1060</v>
      </c>
      <c r="C210" s="2" t="s">
        <v>31</v>
      </c>
      <c r="D210" s="2" t="s">
        <v>245</v>
      </c>
      <c r="E210" s="6">
        <v>1</v>
      </c>
      <c r="F210" s="6">
        <v>2</v>
      </c>
      <c r="G210" s="7">
        <v>0.7439598441123962</v>
      </c>
      <c r="H210" s="7">
        <v>40.73857734375</v>
      </c>
      <c r="I210" s="7">
        <v>26.5906621566862</v>
      </c>
      <c r="J210" s="7">
        <v>9.110116209325255</v>
      </c>
      <c r="K210" s="7">
        <v>4.699942259391187</v>
      </c>
      <c r="L210" s="7">
        <v>0.8712955931056594</v>
      </c>
      <c r="M210" s="7">
        <v>0.724031428468709</v>
      </c>
      <c r="N210" s="7">
        <v>0.2849498870312726</v>
      </c>
      <c r="O210" s="7">
        <v>0.0446966915028611</v>
      </c>
      <c r="P210" s="7">
        <v>9.613256972365813</v>
      </c>
      <c r="Q210" s="7">
        <v>0.0066646874771544</v>
      </c>
      <c r="R210" s="7">
        <v>0.0348464393257385</v>
      </c>
      <c r="S210" s="7">
        <v>0.090156374711009</v>
      </c>
      <c r="T210" s="7">
        <v>0.3151203338262987</v>
      </c>
    </row>
    <row x14ac:dyDescent="0.25" r="211" customHeight="1" ht="19.5">
      <c r="A211" s="2" t="s">
        <v>1269</v>
      </c>
      <c r="B211" s="2" t="s">
        <v>1060</v>
      </c>
      <c r="C211" s="2" t="s">
        <v>31</v>
      </c>
      <c r="D211" s="2" t="s">
        <v>245</v>
      </c>
      <c r="E211" s="6">
        <v>1</v>
      </c>
      <c r="F211" s="6">
        <v>2</v>
      </c>
      <c r="G211" s="7">
        <v>0.745961606502533</v>
      </c>
      <c r="H211" s="7">
        <v>41.2199734375</v>
      </c>
      <c r="I211" s="7">
        <v>26.68816744859388</v>
      </c>
      <c r="J211" s="7">
        <v>9.101656431295396</v>
      </c>
      <c r="K211" s="7">
        <v>4.760153319036454</v>
      </c>
      <c r="L211" s="7">
        <v>0.8672661077117602</v>
      </c>
      <c r="M211" s="7">
        <v>0.7272438610986344</v>
      </c>
      <c r="N211" s="7">
        <v>0.2890870641812316</v>
      </c>
      <c r="O211" s="7">
        <v>0.0455769353763928</v>
      </c>
      <c r="P211" s="7">
        <v>9.58805083292001</v>
      </c>
      <c r="Q211" s="7">
        <v>0.0071870310403182</v>
      </c>
      <c r="R211" s="7">
        <v>0.0359164007056631</v>
      </c>
      <c r="S211" s="7">
        <v>0.0915804789782481</v>
      </c>
      <c r="T211" s="7">
        <v>0.3438333575647107</v>
      </c>
    </row>
    <row x14ac:dyDescent="0.25" r="212" customHeight="1" ht="19.5">
      <c r="A212" s="2" t="s">
        <v>1270</v>
      </c>
      <c r="B212" s="2" t="s">
        <v>1060</v>
      </c>
      <c r="C212" s="2" t="s">
        <v>31</v>
      </c>
      <c r="D212" s="2" t="s">
        <v>245</v>
      </c>
      <c r="E212" s="6">
        <v>1</v>
      </c>
      <c r="F212" s="6">
        <v>2</v>
      </c>
      <c r="G212" s="7">
        <v>0.7536120414733887</v>
      </c>
      <c r="H212" s="7">
        <v>40.52385390625</v>
      </c>
      <c r="I212" s="7">
        <v>26.57046814953055</v>
      </c>
      <c r="J212" s="7">
        <v>9.113014178279045</v>
      </c>
      <c r="K212" s="7">
        <v>4.707354873846066</v>
      </c>
      <c r="L212" s="7">
        <v>0.872292806346792</v>
      </c>
      <c r="M212" s="7">
        <v>0.7213103971246736</v>
      </c>
      <c r="N212" s="7">
        <v>0.288946198768947</v>
      </c>
      <c r="O212" s="7">
        <v>0.0471119337911894</v>
      </c>
      <c r="P212" s="7">
        <v>9.572917997290812</v>
      </c>
      <c r="Q212" s="7">
        <v>0.006827298860553</v>
      </c>
      <c r="R212" s="7">
        <v>0.0352454513591149</v>
      </c>
      <c r="S212" s="7">
        <v>0.0869727628899025</v>
      </c>
      <c r="T212" s="7">
        <v>0.3211074895995416</v>
      </c>
    </row>
    <row x14ac:dyDescent="0.25" r="213" customHeight="1" ht="19.5">
      <c r="A213" s="2" t="s">
        <v>1271</v>
      </c>
      <c r="B213" s="2" t="s">
        <v>1060</v>
      </c>
      <c r="C213" s="2" t="s">
        <v>31</v>
      </c>
      <c r="D213" s="2" t="s">
        <v>245</v>
      </c>
      <c r="E213" s="6">
        <v>1</v>
      </c>
      <c r="F213" s="6">
        <v>2</v>
      </c>
      <c r="G213" s="7">
        <v>0.7491454482078552</v>
      </c>
      <c r="H213" s="7">
        <v>40.33683671875</v>
      </c>
      <c r="I213" s="7">
        <v>26.52171550357671</v>
      </c>
      <c r="J213" s="7">
        <v>9.064286903047371</v>
      </c>
      <c r="K213" s="7">
        <v>4.712126856883781</v>
      </c>
      <c r="L213" s="7">
        <v>0.8703846654830288</v>
      </c>
      <c r="M213" s="7">
        <v>0.7206235934147923</v>
      </c>
      <c r="N213" s="7">
        <v>0.2883423261077822</v>
      </c>
      <c r="O213" s="7">
        <v>0.0462024928713371</v>
      </c>
      <c r="P213" s="7">
        <v>9.583101021598932</v>
      </c>
      <c r="Q213" s="7">
        <v>0.0069727772773871</v>
      </c>
      <c r="R213" s="7">
        <v>0.0356469556342261</v>
      </c>
      <c r="S213" s="7">
        <v>0.0884605049619143</v>
      </c>
      <c r="T213" s="7">
        <v>0.3264362727935162</v>
      </c>
    </row>
    <row x14ac:dyDescent="0.25" r="214" customHeight="1" ht="19.5">
      <c r="A214" s="2" t="s">
        <v>1272</v>
      </c>
      <c r="B214" s="2" t="s">
        <v>1060</v>
      </c>
      <c r="C214" s="2" t="s">
        <v>31</v>
      </c>
      <c r="D214" s="2" t="s">
        <v>245</v>
      </c>
      <c r="E214" s="6">
        <v>1</v>
      </c>
      <c r="F214" s="6">
        <v>2</v>
      </c>
      <c r="G214" s="7">
        <v>0.7522130608558655</v>
      </c>
      <c r="H214" s="7">
        <v>41.08836875</v>
      </c>
      <c r="I214" s="7">
        <v>26.67388812919479</v>
      </c>
      <c r="J214" s="7">
        <v>9.102118555212773</v>
      </c>
      <c r="K214" s="7">
        <v>4.755299188895828</v>
      </c>
      <c r="L214" s="7">
        <v>0.8678019272900142</v>
      </c>
      <c r="M214" s="7">
        <v>0.7256983119912751</v>
      </c>
      <c r="N214" s="7">
        <v>0.2886392453673725</v>
      </c>
      <c r="O214" s="7">
        <v>0.0467909626438225</v>
      </c>
      <c r="P214" s="7">
        <v>9.576605625052022</v>
      </c>
      <c r="Q214" s="7">
        <v>0.006728995019691</v>
      </c>
      <c r="R214" s="7">
        <v>0.0348415575990626</v>
      </c>
      <c r="S214" s="7">
        <v>0.0877402868072037</v>
      </c>
      <c r="T214" s="7">
        <v>0.3208927363386736</v>
      </c>
    </row>
    <row x14ac:dyDescent="0.25" r="215" customHeight="1" ht="19.5">
      <c r="A215" s="2" t="s">
        <v>1273</v>
      </c>
      <c r="B215" s="2" t="s">
        <v>1060</v>
      </c>
      <c r="C215" s="2" t="s">
        <v>31</v>
      </c>
      <c r="D215" s="2" t="s">
        <v>245</v>
      </c>
      <c r="E215" s="6">
        <v>1</v>
      </c>
      <c r="F215" s="6">
        <v>2</v>
      </c>
      <c r="G215" s="7">
        <v>0.7383154630661011</v>
      </c>
      <c r="H215" s="7">
        <v>40.86671875</v>
      </c>
      <c r="I215" s="7">
        <v>26.68816744859388</v>
      </c>
      <c r="J215" s="7">
        <v>9.060339205298732</v>
      </c>
      <c r="K215" s="7">
        <v>4.767266797541566</v>
      </c>
      <c r="L215" s="7">
        <v>0.8666330200160213</v>
      </c>
      <c r="M215" s="7">
        <v>0.7210113897633915</v>
      </c>
      <c r="N215" s="7">
        <v>0.2882021244638498</v>
      </c>
      <c r="O215" s="7">
        <v>0.0461286887364254</v>
      </c>
      <c r="P215" s="7">
        <v>9.584046623905026</v>
      </c>
      <c r="Q215" s="7">
        <v>0.0073896911811953</v>
      </c>
      <c r="R215" s="7">
        <v>0.0358960975026903</v>
      </c>
      <c r="S215" s="7">
        <v>0.0894770826523513</v>
      </c>
      <c r="T215" s="7">
        <v>0.3504990445404265</v>
      </c>
    </row>
    <row x14ac:dyDescent="0.25" r="216" customHeight="1" ht="19.5">
      <c r="A216" s="2" t="s">
        <v>1274</v>
      </c>
      <c r="B216" s="2" t="s">
        <v>1060</v>
      </c>
      <c r="C216" s="2" t="s">
        <v>31</v>
      </c>
      <c r="D216" s="2" t="s">
        <v>245</v>
      </c>
      <c r="E216" s="6">
        <v>1</v>
      </c>
      <c r="F216" s="6">
        <v>2</v>
      </c>
      <c r="G216" s="7">
        <v>0.748424232006073</v>
      </c>
      <c r="H216" s="7">
        <v>41.3446515625</v>
      </c>
      <c r="I216" s="7">
        <v>26.79158742825812</v>
      </c>
      <c r="J216" s="7">
        <v>9.10800365736574</v>
      </c>
      <c r="K216" s="7">
        <v>4.764274900338061</v>
      </c>
      <c r="L216" s="7">
        <v>0.8668316213116873</v>
      </c>
      <c r="M216" s="7">
        <v>0.7238228795221031</v>
      </c>
      <c r="N216" s="7">
        <v>0.2845544348733636</v>
      </c>
      <c r="O216" s="7">
        <v>0.0443187225771411</v>
      </c>
      <c r="P216" s="7">
        <v>9.593630689410451</v>
      </c>
      <c r="Q216" s="7">
        <v>0.0072165632768154</v>
      </c>
      <c r="R216" s="7">
        <v>0.0365544780085828</v>
      </c>
      <c r="S216" s="7">
        <v>0.0907878476464571</v>
      </c>
      <c r="T216" s="7">
        <v>0.3462904703505614</v>
      </c>
    </row>
    <row x14ac:dyDescent="0.25" r="217" customHeight="1" ht="19.5">
      <c r="A217" s="2" t="s">
        <v>1275</v>
      </c>
      <c r="B217" s="2" t="s">
        <v>1060</v>
      </c>
      <c r="C217" s="2" t="s">
        <v>31</v>
      </c>
      <c r="D217" s="2" t="s">
        <v>245</v>
      </c>
      <c r="E217" s="6">
        <v>1</v>
      </c>
      <c r="F217" s="6">
        <v>2</v>
      </c>
      <c r="G217" s="7">
        <v>0.7467464804649353</v>
      </c>
      <c r="H217" s="7">
        <v>40.91174140625</v>
      </c>
      <c r="I217" s="7">
        <v>26.5906621566862</v>
      </c>
      <c r="J217" s="7">
        <v>9.04819099922274</v>
      </c>
      <c r="K217" s="7">
        <v>4.758719336188352</v>
      </c>
      <c r="L217" s="7">
        <v>0.866078554170166</v>
      </c>
      <c r="M217" s="7">
        <v>0.7271090082887749</v>
      </c>
      <c r="N217" s="7">
        <v>0.2883375587887892</v>
      </c>
      <c r="O217" s="7">
        <v>0.0460308006320486</v>
      </c>
      <c r="P217" s="7">
        <v>9.574863402179115</v>
      </c>
      <c r="Q217" s="7">
        <v>0.0075423538601174</v>
      </c>
      <c r="R217" s="7">
        <v>0.0366663749822373</v>
      </c>
      <c r="S217" s="7">
        <v>0.0884476404496255</v>
      </c>
      <c r="T217" s="7">
        <v>0.3581340794798828</v>
      </c>
    </row>
    <row x14ac:dyDescent="0.25" r="218" customHeight="1" ht="19.5">
      <c r="A218" s="2" t="s">
        <v>1276</v>
      </c>
      <c r="B218" s="2" t="s">
        <v>1060</v>
      </c>
      <c r="C218" s="2" t="s">
        <v>31</v>
      </c>
      <c r="D218" s="2" t="s">
        <v>245</v>
      </c>
      <c r="E218" s="6">
        <v>1</v>
      </c>
      <c r="F218" s="6">
        <v>2</v>
      </c>
      <c r="G218" s="7">
        <v>0.7443915605545044</v>
      </c>
      <c r="H218" s="7">
        <v>41.14378125</v>
      </c>
      <c r="I218" s="7">
        <v>26.68816744859388</v>
      </c>
      <c r="J218" s="7">
        <v>9.101411841701944</v>
      </c>
      <c r="K218" s="7">
        <v>4.753018141223746</v>
      </c>
      <c r="L218" s="7">
        <v>0.8679450343389519</v>
      </c>
      <c r="M218" s="7">
        <v>0.7258996025753468</v>
      </c>
      <c r="N218" s="7">
        <v>0.2871159027590592</v>
      </c>
      <c r="O218" s="7">
        <v>0.0460884422462619</v>
      </c>
      <c r="P218" s="7">
        <v>9.578714235186602</v>
      </c>
      <c r="Q218" s="7">
        <v>0.0070637689343325</v>
      </c>
      <c r="R218" s="7">
        <v>0.035655722773426</v>
      </c>
      <c r="S218" s="7">
        <v>0.0887715627989567</v>
      </c>
      <c r="T218" s="7">
        <v>0.3373117476830894</v>
      </c>
    </row>
    <row x14ac:dyDescent="0.25" r="219" customHeight="1" ht="19.5">
      <c r="A219" s="2" t="s">
        <v>1277</v>
      </c>
      <c r="B219" s="2" t="s">
        <v>1060</v>
      </c>
      <c r="C219" s="2" t="s">
        <v>31</v>
      </c>
      <c r="D219" s="2" t="s">
        <v>245</v>
      </c>
      <c r="E219" s="6">
        <v>1</v>
      </c>
      <c r="F219" s="6">
        <v>2</v>
      </c>
      <c r="G219" s="7">
        <v>0.7323639392852783</v>
      </c>
      <c r="H219" s="7">
        <v>40.96369062500001</v>
      </c>
      <c r="I219" s="7">
        <v>26.67388812919478</v>
      </c>
      <c r="J219" s="7">
        <v>9.046040730172107</v>
      </c>
      <c r="K219" s="7">
        <v>4.752761709554042</v>
      </c>
      <c r="L219" s="7">
        <v>0.8660636234745155</v>
      </c>
      <c r="M219" s="7">
        <v>0.7234962604714097</v>
      </c>
      <c r="N219" s="7">
        <v>0.28629870401463</v>
      </c>
      <c r="O219" s="7">
        <v>0.0451137502892456</v>
      </c>
      <c r="P219" s="7">
        <v>9.595604398991751</v>
      </c>
      <c r="Q219" s="7">
        <v>0.0074227573506744</v>
      </c>
      <c r="R219" s="7">
        <v>0.0362942995174903</v>
      </c>
      <c r="S219" s="7">
        <v>0.0889296859974459</v>
      </c>
      <c r="T219" s="7">
        <v>0.352902813938957</v>
      </c>
    </row>
    <row x14ac:dyDescent="0.25" r="220" customHeight="1" ht="19.5">
      <c r="A220" s="2" t="s">
        <v>1278</v>
      </c>
      <c r="B220" s="2" t="s">
        <v>1060</v>
      </c>
      <c r="C220" s="2" t="s">
        <v>31</v>
      </c>
      <c r="D220" s="2" t="s">
        <v>245</v>
      </c>
      <c r="E220" s="6">
        <v>1</v>
      </c>
      <c r="F220" s="6">
        <v>2</v>
      </c>
      <c r="G220" s="7">
        <v>0.739563524723053</v>
      </c>
      <c r="H220" s="7">
        <v>41.10568515625</v>
      </c>
      <c r="I220" s="7">
        <v>26.70836145574954</v>
      </c>
      <c r="J220" s="7">
        <v>9.106537923638978</v>
      </c>
      <c r="K220" s="7">
        <v>4.752691253142627</v>
      </c>
      <c r="L220" s="7">
        <v>0.8686947243270615</v>
      </c>
      <c r="M220" s="7">
        <v>0.7241312089678552</v>
      </c>
      <c r="N220" s="7">
        <v>0.2909614226621501</v>
      </c>
      <c r="O220" s="7">
        <v>0.0462761620526841</v>
      </c>
      <c r="P220" s="7">
        <v>9.577269032065294</v>
      </c>
      <c r="Q220" s="7">
        <v>0.0070012825383983</v>
      </c>
      <c r="R220" s="7">
        <v>0.0351567055710407</v>
      </c>
      <c r="S220" s="7">
        <v>0.0893889334107196</v>
      </c>
      <c r="T220" s="7">
        <v>0.3340183109850565</v>
      </c>
    </row>
    <row x14ac:dyDescent="0.25" r="221" customHeight="1" ht="19.5">
      <c r="A221" s="2" t="s">
        <v>1279</v>
      </c>
      <c r="B221" s="2" t="s">
        <v>1060</v>
      </c>
      <c r="C221" s="2" t="s">
        <v>31</v>
      </c>
      <c r="D221" s="2" t="s">
        <v>245</v>
      </c>
      <c r="E221" s="6">
        <v>1</v>
      </c>
      <c r="F221" s="6">
        <v>2</v>
      </c>
      <c r="G221" s="7">
        <v>0.7431448101997375</v>
      </c>
      <c r="H221" s="7">
        <v>41.09875859375001</v>
      </c>
      <c r="I221" s="7">
        <v>26.77139342110247</v>
      </c>
      <c r="J221" s="7">
        <v>9.113376964408758</v>
      </c>
      <c r="K221" s="7">
        <v>4.760021214291533</v>
      </c>
      <c r="L221" s="7">
        <v>0.868927610681415</v>
      </c>
      <c r="M221" s="7">
        <v>0.7206039118696703</v>
      </c>
      <c r="N221" s="7">
        <v>0.2880578825558137</v>
      </c>
      <c r="O221" s="7">
        <v>0.0463906602508003</v>
      </c>
      <c r="P221" s="7">
        <v>9.580042749531977</v>
      </c>
      <c r="Q221" s="7">
        <v>0.0067694005572054</v>
      </c>
      <c r="R221" s="7">
        <v>0.0347800314217196</v>
      </c>
      <c r="S221" s="7">
        <v>0.0928888599858557</v>
      </c>
      <c r="T221" s="7">
        <v>0.3229012281846651</v>
      </c>
    </row>
    <row x14ac:dyDescent="0.25" r="222" customHeight="1" ht="19.5">
      <c r="A222" s="2" t="s">
        <v>1280</v>
      </c>
      <c r="B222" s="2" t="s">
        <v>1060</v>
      </c>
      <c r="C222" s="2" t="s">
        <v>31</v>
      </c>
      <c r="D222" s="2" t="s">
        <v>245</v>
      </c>
      <c r="E222" s="6">
        <v>1</v>
      </c>
      <c r="F222" s="6">
        <v>2</v>
      </c>
      <c r="G222" s="7">
        <v>0.7484481334686279</v>
      </c>
      <c r="H222" s="7">
        <v>40.38532265625</v>
      </c>
      <c r="I222" s="7">
        <v>26.50743618417761</v>
      </c>
      <c r="J222" s="7">
        <v>9.05538124660439</v>
      </c>
      <c r="K222" s="7">
        <v>4.704015772022239</v>
      </c>
      <c r="L222" s="7">
        <v>0.8701928200051229</v>
      </c>
      <c r="M222" s="7">
        <v>0.722267331514386</v>
      </c>
      <c r="N222" s="7">
        <v>0.2867780898041944</v>
      </c>
      <c r="O222" s="7">
        <v>0.0456049039015255</v>
      </c>
      <c r="P222" s="7">
        <v>9.591355350690945</v>
      </c>
      <c r="Q222" s="7">
        <v>0.0071270112025027</v>
      </c>
      <c r="R222" s="7">
        <v>0.0356691510409574</v>
      </c>
      <c r="S222" s="7">
        <v>0.0905884190926535</v>
      </c>
      <c r="T222" s="7">
        <v>0.3340579244913635</v>
      </c>
    </row>
    <row x14ac:dyDescent="0.25" r="223" customHeight="1" ht="19.5">
      <c r="A223" s="2" t="s">
        <v>1281</v>
      </c>
      <c r="B223" s="2" t="s">
        <v>1060</v>
      </c>
      <c r="C223" s="2" t="s">
        <v>31</v>
      </c>
      <c r="D223" s="2" t="s">
        <v>245</v>
      </c>
      <c r="E223" s="6">
        <v>1</v>
      </c>
      <c r="F223" s="6">
        <v>2</v>
      </c>
      <c r="G223" s="7">
        <v>0.7338106036186218</v>
      </c>
      <c r="H223" s="7">
        <v>40.65199531250001</v>
      </c>
      <c r="I223" s="7">
        <v>26.67388812919479</v>
      </c>
      <c r="J223" s="7">
        <v>9.117676524251303</v>
      </c>
      <c r="K223" s="7">
        <v>4.708508110202187</v>
      </c>
      <c r="L223" s="7">
        <v>0.8720185720757814</v>
      </c>
      <c r="M223" s="7">
        <v>0.7179911316717453</v>
      </c>
      <c r="N223" s="7">
        <v>0.2863180063891601</v>
      </c>
      <c r="O223" s="7">
        <v>0.046010582792358</v>
      </c>
      <c r="P223" s="7">
        <v>9.569026169480058</v>
      </c>
      <c r="Q223" s="7">
        <v>0.0067239981457491</v>
      </c>
      <c r="R223" s="7">
        <v>0.0347083983668244</v>
      </c>
      <c r="S223" s="7">
        <v>0.0847040622340703</v>
      </c>
      <c r="T223" s="7">
        <v>0.3172489781350377</v>
      </c>
    </row>
    <row x14ac:dyDescent="0.25" r="224" customHeight="1" ht="19.5">
      <c r="A224" s="2" t="s">
        <v>1282</v>
      </c>
      <c r="B224" s="2" t="s">
        <v>1060</v>
      </c>
      <c r="C224" s="2" t="s">
        <v>31</v>
      </c>
      <c r="D224" s="2" t="s">
        <v>245</v>
      </c>
      <c r="E224" s="6">
        <v>1</v>
      </c>
      <c r="F224" s="6">
        <v>2</v>
      </c>
      <c r="G224" s="7">
        <v>0.7421116232872009</v>
      </c>
      <c r="H224" s="7">
        <v>41.1230015625</v>
      </c>
      <c r="I224" s="7">
        <v>26.75711410170338</v>
      </c>
      <c r="J224" s="7">
        <v>9.109760078522644</v>
      </c>
      <c r="K224" s="7">
        <v>4.760905150226538</v>
      </c>
      <c r="L224" s="7">
        <v>0.8684082025308892</v>
      </c>
      <c r="M224" s="7">
        <v>0.7217987556177146</v>
      </c>
      <c r="N224" s="7">
        <v>0.2881983462203216</v>
      </c>
      <c r="O224" s="7">
        <v>0.0463565343570493</v>
      </c>
      <c r="P224" s="7">
        <v>9.569509471508868</v>
      </c>
      <c r="Q224" s="7">
        <v>0.0070107488317258</v>
      </c>
      <c r="R224" s="7">
        <v>0.0354975980013467</v>
      </c>
      <c r="S224" s="7">
        <v>0.0884723022261984</v>
      </c>
      <c r="T224" s="7">
        <v>0.334610831062671</v>
      </c>
    </row>
    <row x14ac:dyDescent="0.25" r="225" customHeight="1" ht="19.5">
      <c r="A225" s="2" t="s">
        <v>1283</v>
      </c>
      <c r="B225" s="2" t="s">
        <v>1060</v>
      </c>
      <c r="C225" s="2" t="s">
        <v>31</v>
      </c>
      <c r="D225" s="2" t="s">
        <v>245</v>
      </c>
      <c r="E225" s="6">
        <v>1</v>
      </c>
      <c r="F225" s="6">
        <v>2</v>
      </c>
      <c r="G225" s="7">
        <v>0.7488741874694824</v>
      </c>
      <c r="H225" s="7">
        <v>41.2892390625</v>
      </c>
      <c r="I225" s="7">
        <v>26.77730810885903</v>
      </c>
      <c r="J225" s="7">
        <v>9.108830879174278</v>
      </c>
      <c r="K225" s="7">
        <v>4.76378004311189</v>
      </c>
      <c r="L225" s="7">
        <v>0.8674502189838005</v>
      </c>
      <c r="M225" s="7">
        <v>0.7236239154219162</v>
      </c>
      <c r="N225" s="7">
        <v>0.2867851664412577</v>
      </c>
      <c r="O225" s="7">
        <v>0.0449204662216679</v>
      </c>
      <c r="P225" s="7">
        <v>9.583600532153532</v>
      </c>
      <c r="Q225" s="7">
        <v>0.0069846589880998</v>
      </c>
      <c r="R225" s="7">
        <v>0.0355055326424035</v>
      </c>
      <c r="S225" s="7">
        <v>0.0875707868511794</v>
      </c>
      <c r="T225" s="7">
        <v>0.3347132206301637</v>
      </c>
    </row>
    <row x14ac:dyDescent="0.25" r="226" customHeight="1" ht="19.5">
      <c r="A226" s="2" t="s">
        <v>1284</v>
      </c>
      <c r="B226" s="2" t="s">
        <v>1060</v>
      </c>
      <c r="C226" s="2" t="s">
        <v>31</v>
      </c>
      <c r="D226" s="2" t="s">
        <v>245</v>
      </c>
      <c r="E226" s="6">
        <v>1</v>
      </c>
      <c r="F226" s="6">
        <v>2</v>
      </c>
      <c r="G226" s="7">
        <v>0.7247706055641174</v>
      </c>
      <c r="H226" s="7">
        <v>40.77321015625</v>
      </c>
      <c r="I226" s="7">
        <v>26.5906621566862</v>
      </c>
      <c r="J226" s="7">
        <v>8.994935625184358</v>
      </c>
      <c r="K226" s="7">
        <v>4.765006789675168</v>
      </c>
      <c r="L226" s="7">
        <v>0.8639416950665325</v>
      </c>
      <c r="M226" s="7">
        <v>0.7246469444327223</v>
      </c>
      <c r="N226" s="7">
        <v>0.3266024281657094</v>
      </c>
      <c r="O226" s="7">
        <v>0.0489624487992444</v>
      </c>
      <c r="P226" s="7">
        <v>9.327627370147956</v>
      </c>
      <c r="Q226" s="7">
        <v>0.007959520732718</v>
      </c>
      <c r="R226" s="7">
        <v>0.0365322430142574</v>
      </c>
      <c r="S226" s="7">
        <v>0.0848453311028948</v>
      </c>
      <c r="T226" s="7">
        <v>0.3766626903337471</v>
      </c>
    </row>
    <row x14ac:dyDescent="0.25" r="227" customHeight="1" ht="19.5">
      <c r="A227" s="2" t="s">
        <v>1285</v>
      </c>
      <c r="B227" s="2" t="s">
        <v>1060</v>
      </c>
      <c r="C227" s="2" t="s">
        <v>31</v>
      </c>
      <c r="D227" s="2" t="s">
        <v>245</v>
      </c>
      <c r="E227" s="6">
        <v>1</v>
      </c>
      <c r="F227" s="6">
        <v>2</v>
      </c>
      <c r="G227" s="7">
        <v>0.4572783708572387</v>
      </c>
      <c r="H227" s="7">
        <v>42.75420703125</v>
      </c>
      <c r="I227" s="7">
        <v>27.02453608249882</v>
      </c>
      <c r="J227" s="7">
        <v>8.959229724364684</v>
      </c>
      <c r="K227" s="7">
        <v>5.137145621046732</v>
      </c>
      <c r="L227" s="7">
        <v>0.8407224089613293</v>
      </c>
      <c r="M227" s="7">
        <v>0.735651670037866</v>
      </c>
      <c r="N227" s="7">
        <v>0.48006923245882</v>
      </c>
      <c r="O227" s="7">
        <v>0.0660543138549631</v>
      </c>
      <c r="P227" s="7">
        <v>8.408359441686102</v>
      </c>
      <c r="Q227" s="7">
        <v>0.0051073011701403</v>
      </c>
      <c r="R227" s="7">
        <v>0.0251360683117942</v>
      </c>
      <c r="S227" s="7">
        <v>0.0545299695209088</v>
      </c>
      <c r="T227" s="7">
        <v>0.253431797747054</v>
      </c>
    </row>
    <row x14ac:dyDescent="0.25" r="228" customHeight="1" ht="19.5">
      <c r="A228" s="2" t="s">
        <v>1286</v>
      </c>
      <c r="B228" s="2" t="s">
        <v>1060</v>
      </c>
      <c r="C228" s="2" t="s">
        <v>31</v>
      </c>
      <c r="D228" s="2" t="s">
        <v>245</v>
      </c>
      <c r="E228" s="6">
        <v>1</v>
      </c>
      <c r="F228" s="6">
        <v>2</v>
      </c>
      <c r="G228" s="7">
        <v>0.6440489888191223</v>
      </c>
      <c r="H228" s="7">
        <v>44.88066171875001</v>
      </c>
      <c r="I228" s="7">
        <v>28.13849710777922</v>
      </c>
      <c r="J228" s="7">
        <v>9.351952660028658</v>
      </c>
      <c r="K228" s="7">
        <v>4.85653698275606</v>
      </c>
      <c r="L228" s="7">
        <v>0.8645325555846437</v>
      </c>
      <c r="M228" s="7">
        <v>0.7123071765293749</v>
      </c>
      <c r="N228" s="7">
        <v>0.4115824065949241</v>
      </c>
      <c r="O228" s="7">
        <v>0.0576401739992914</v>
      </c>
      <c r="P228" s="7">
        <v>8.78454533078348</v>
      </c>
      <c r="Q228" s="7">
        <v>0.0048253833015761</v>
      </c>
      <c r="R228" s="7">
        <v>0.0261935995776772</v>
      </c>
      <c r="S228" s="7">
        <v>0.0724773613628417</v>
      </c>
      <c r="T228" s="7">
        <v>0.251351712542835</v>
      </c>
    </row>
    <row x14ac:dyDescent="0.25" r="229" customHeight="1" ht="19.5">
      <c r="A229" s="2" t="s">
        <v>1287</v>
      </c>
      <c r="B229" s="2" t="s">
        <v>1060</v>
      </c>
      <c r="C229" s="2" t="s">
        <v>31</v>
      </c>
      <c r="D229" s="2" t="s">
        <v>245</v>
      </c>
      <c r="E229" s="6">
        <v>1</v>
      </c>
      <c r="F229" s="6">
        <v>2</v>
      </c>
      <c r="G229" s="7">
        <v>0.7627834677696228</v>
      </c>
      <c r="H229" s="7">
        <v>45.79496796875</v>
      </c>
      <c r="I229" s="7">
        <v>28.2360023996869</v>
      </c>
      <c r="J229" s="7">
        <v>9.388927368262284</v>
      </c>
      <c r="K229" s="7">
        <v>5.02785729883586</v>
      </c>
      <c r="L229" s="7">
        <v>0.8576264023025659</v>
      </c>
      <c r="M229" s="7">
        <v>0.7218071892423341</v>
      </c>
      <c r="N229" s="7">
        <v>0.3615926566315172</v>
      </c>
      <c r="O229" s="7">
        <v>0.0517990186371144</v>
      </c>
      <c r="P229" s="7">
        <v>9.078382182932458</v>
      </c>
      <c r="Q229" s="7">
        <v>0.0054800928566556</v>
      </c>
      <c r="R229" s="7">
        <v>0.0302336554556938</v>
      </c>
      <c r="S229" s="7">
        <v>0.0839433023583285</v>
      </c>
      <c r="T229" s="7">
        <v>0.291270470299601</v>
      </c>
    </row>
    <row x14ac:dyDescent="0.25" r="230" customHeight="1" ht="19.5">
      <c r="A230" s="2" t="s">
        <v>1288</v>
      </c>
      <c r="B230" s="2" t="s">
        <v>1060</v>
      </c>
      <c r="C230" s="2" t="s">
        <v>31</v>
      </c>
      <c r="D230" s="2" t="s">
        <v>245</v>
      </c>
      <c r="E230" s="6">
        <v>1</v>
      </c>
      <c r="F230" s="6">
        <v>2</v>
      </c>
      <c r="G230" s="7">
        <v>0.7675731778144836</v>
      </c>
      <c r="H230" s="7">
        <v>44.98456015625001</v>
      </c>
      <c r="I230" s="7">
        <v>27.95185115560639</v>
      </c>
      <c r="J230" s="7">
        <v>9.32851627178647</v>
      </c>
      <c r="K230" s="7">
        <v>4.964572410443903</v>
      </c>
      <c r="L230" s="7">
        <v>0.859178197164769</v>
      </c>
      <c r="M230" s="7">
        <v>0.7235227518143275</v>
      </c>
      <c r="N230" s="7">
        <v>0.3383070616211854</v>
      </c>
      <c r="O230" s="7">
        <v>0.0490181260986175</v>
      </c>
      <c r="P230" s="7">
        <v>9.22049519634058</v>
      </c>
      <c r="Q230" s="7">
        <v>0.0055034488049744</v>
      </c>
      <c r="R230" s="7">
        <v>0.0294729748914562</v>
      </c>
      <c r="S230" s="7">
        <v>0.0839729096832453</v>
      </c>
      <c r="T230" s="7">
        <v>0.2873354361225331</v>
      </c>
    </row>
    <row x14ac:dyDescent="0.25" r="231" customHeight="1" ht="19.5">
      <c r="A231" s="2" t="s">
        <v>1289</v>
      </c>
      <c r="B231" s="2" t="s">
        <v>1060</v>
      </c>
      <c r="C231" s="2" t="s">
        <v>31</v>
      </c>
      <c r="D231" s="2" t="s">
        <v>245</v>
      </c>
      <c r="E231" s="6">
        <v>1</v>
      </c>
      <c r="F231" s="6">
        <v>2</v>
      </c>
      <c r="G231" s="7">
        <v>0.7614790201187134</v>
      </c>
      <c r="H231" s="7">
        <v>44.9187578125</v>
      </c>
      <c r="I231" s="7">
        <v>27.95185115560639</v>
      </c>
      <c r="J231" s="7">
        <v>9.337257945983644</v>
      </c>
      <c r="K231" s="7">
        <v>4.958803693976352</v>
      </c>
      <c r="L231" s="7">
        <v>0.8596645333499398</v>
      </c>
      <c r="M231" s="7">
        <v>0.7224643999562576</v>
      </c>
      <c r="N231" s="7">
        <v>0.3414819684120768</v>
      </c>
      <c r="O231" s="7">
        <v>0.0491615557538467</v>
      </c>
      <c r="P231" s="7">
        <v>9.22389700859562</v>
      </c>
      <c r="Q231" s="7">
        <v>0.0062355332870279</v>
      </c>
      <c r="R231" s="7">
        <v>0.0322246900588839</v>
      </c>
      <c r="S231" s="7">
        <v>0.0859220214330486</v>
      </c>
      <c r="T231" s="7">
        <v>0.3250813987511977</v>
      </c>
    </row>
    <row x14ac:dyDescent="0.25" r="232" customHeight="1" ht="19.5">
      <c r="A232" s="2" t="s">
        <v>1290</v>
      </c>
      <c r="B232" s="2" t="s">
        <v>1060</v>
      </c>
      <c r="C232" s="2" t="s">
        <v>31</v>
      </c>
      <c r="D232" s="2" t="s">
        <v>245</v>
      </c>
      <c r="E232" s="6">
        <v>1</v>
      </c>
      <c r="F232" s="6">
        <v>2</v>
      </c>
      <c r="G232" s="7">
        <v>0.7566630840301514</v>
      </c>
      <c r="H232" s="7">
        <v>44.63476875</v>
      </c>
      <c r="I232" s="7">
        <v>28.06955045466973</v>
      </c>
      <c r="J232" s="7">
        <v>9.391630786914488</v>
      </c>
      <c r="K232" s="7">
        <v>4.913838253615546</v>
      </c>
      <c r="L232" s="7">
        <v>0.8653550294026101</v>
      </c>
      <c r="M232" s="7">
        <v>0.7118889281627795</v>
      </c>
      <c r="N232" s="7">
        <v>0.3341718233795923</v>
      </c>
      <c r="O232" s="7">
        <v>0.0486066811741388</v>
      </c>
      <c r="P232" s="7">
        <v>9.237252309681027</v>
      </c>
      <c r="Q232" s="7">
        <v>0.0068767115827307</v>
      </c>
      <c r="R232" s="7">
        <v>0.0326026555576388</v>
      </c>
      <c r="S232" s="7">
        <v>0.0822429729979479</v>
      </c>
      <c r="T232" s="7">
        <v>0.3562418020736384</v>
      </c>
    </row>
    <row x14ac:dyDescent="0.25" r="233" customHeight="1" ht="19.5">
      <c r="A233" s="2" t="s">
        <v>1291</v>
      </c>
      <c r="B233" s="2" t="s">
        <v>1060</v>
      </c>
      <c r="C233" s="2" t="s">
        <v>31</v>
      </c>
      <c r="D233" s="2" t="s">
        <v>245</v>
      </c>
      <c r="E233" s="6">
        <v>1</v>
      </c>
      <c r="F233" s="6">
        <v>2</v>
      </c>
      <c r="G233" s="7">
        <v>0.7455971837043762</v>
      </c>
      <c r="H233" s="7">
        <v>44.6971078125</v>
      </c>
      <c r="I233" s="7">
        <v>28.06955045466973</v>
      </c>
      <c r="J233" s="7">
        <v>9.38428443609458</v>
      </c>
      <c r="K233" s="7">
        <v>4.903984819032278</v>
      </c>
      <c r="L233" s="7">
        <v>0.8649310903926622</v>
      </c>
      <c r="M233" s="7">
        <v>0.7128831864423364</v>
      </c>
      <c r="N233" s="7">
        <v>0.3360058187535149</v>
      </c>
      <c r="O233" s="7">
        <v>0.048834305691875</v>
      </c>
      <c r="P233" s="7">
        <v>9.234922378775272</v>
      </c>
      <c r="Q233" s="7">
        <v>0.0060330587690582</v>
      </c>
      <c r="R233" s="7">
        <v>0.03255507440391</v>
      </c>
      <c r="S233" s="7">
        <v>0.0834145851278738</v>
      </c>
      <c r="T233" s="7">
        <v>0.3129736381578228</v>
      </c>
    </row>
    <row x14ac:dyDescent="0.25" r="234" customHeight="1" ht="19.5">
      <c r="A234" s="2" t="s">
        <v>1292</v>
      </c>
      <c r="B234" s="2" t="s">
        <v>1060</v>
      </c>
      <c r="C234" s="2" t="s">
        <v>31</v>
      </c>
      <c r="D234" s="2" t="s">
        <v>245</v>
      </c>
      <c r="E234" s="6">
        <v>1</v>
      </c>
      <c r="F234" s="6">
        <v>2</v>
      </c>
      <c r="G234" s="7">
        <v>0.7757728099822998</v>
      </c>
      <c r="H234" s="7">
        <v>45.49019921875</v>
      </c>
      <c r="I234" s="7">
        <v>28.20152907313216</v>
      </c>
      <c r="J234" s="7">
        <v>9.333838374904294</v>
      </c>
      <c r="K234" s="7">
        <v>5.029789213505939</v>
      </c>
      <c r="L234" s="7">
        <v>0.8561048713768347</v>
      </c>
      <c r="M234" s="7">
        <v>0.7187575016024249</v>
      </c>
      <c r="N234" s="7">
        <v>0.3401362793427635</v>
      </c>
      <c r="O234" s="7">
        <v>0.0491419410792265</v>
      </c>
      <c r="P234" s="7">
        <v>9.222380219014946</v>
      </c>
      <c r="Q234" s="7">
        <v>0.0056856789581635</v>
      </c>
      <c r="R234" s="7">
        <v>0.0306790863872052</v>
      </c>
      <c r="S234" s="7">
        <v>0.082036781671372</v>
      </c>
      <c r="T234" s="7">
        <v>0.3001863584504176</v>
      </c>
    </row>
    <row x14ac:dyDescent="0.25" r="235" customHeight="1" ht="19.5">
      <c r="A235" s="2" t="s">
        <v>1293</v>
      </c>
      <c r="B235" s="2" t="s">
        <v>1060</v>
      </c>
      <c r="C235" s="2" t="s">
        <v>31</v>
      </c>
      <c r="D235" s="2" t="s">
        <v>245</v>
      </c>
      <c r="E235" s="6">
        <v>1</v>
      </c>
      <c r="F235" s="6">
        <v>2</v>
      </c>
      <c r="G235" s="7">
        <v>0.7583681344985962</v>
      </c>
      <c r="H235" s="7">
        <v>44.46506796875001</v>
      </c>
      <c r="I235" s="7">
        <v>27.98841564007177</v>
      </c>
      <c r="J235" s="7">
        <v>9.319387590652653</v>
      </c>
      <c r="K235" s="7">
        <v>4.891852118360109</v>
      </c>
      <c r="L235" s="7">
        <v>0.8630318483630662</v>
      </c>
      <c r="M235" s="7">
        <v>0.7132999523910254</v>
      </c>
      <c r="N235" s="7">
        <v>0.333108237181253</v>
      </c>
      <c r="O235" s="7">
        <v>0.0485937806969496</v>
      </c>
      <c r="P235" s="7">
        <v>9.237700477198787</v>
      </c>
      <c r="Q235" s="7">
        <v>0.0062846824237412</v>
      </c>
      <c r="R235" s="7">
        <v>0.0325156413629727</v>
      </c>
      <c r="S235" s="7">
        <v>0.085627624561044</v>
      </c>
      <c r="T235" s="7">
        <v>0.3243344475121236</v>
      </c>
    </row>
    <row x14ac:dyDescent="0.25" r="236" customHeight="1" ht="19.5">
      <c r="A236" s="2" t="s">
        <v>1294</v>
      </c>
      <c r="B236" s="2" t="s">
        <v>1060</v>
      </c>
      <c r="C236" s="2" t="s">
        <v>31</v>
      </c>
      <c r="D236" s="2" t="s">
        <v>245</v>
      </c>
      <c r="E236" s="6">
        <v>1</v>
      </c>
      <c r="F236" s="6">
        <v>2</v>
      </c>
      <c r="G236" s="7">
        <v>0.7648329138755798</v>
      </c>
      <c r="H236" s="7">
        <v>45.20621015625</v>
      </c>
      <c r="I236" s="7">
        <v>28.18724975373306</v>
      </c>
      <c r="J236" s="7">
        <v>9.393292768223882</v>
      </c>
      <c r="K236" s="7">
        <v>4.975349684218971</v>
      </c>
      <c r="L236" s="7">
        <v>0.8615032567649985</v>
      </c>
      <c r="M236" s="7">
        <v>0.7149942620630637</v>
      </c>
      <c r="N236" s="7">
        <v>0.3345383596371616</v>
      </c>
      <c r="O236" s="7">
        <v>0.0486934532993078</v>
      </c>
      <c r="P236" s="7">
        <v>9.232904983661673</v>
      </c>
      <c r="Q236" s="7">
        <v>0.0060015937806179</v>
      </c>
      <c r="R236" s="7">
        <v>0.0307155946189671</v>
      </c>
      <c r="S236" s="7">
        <v>0.0812116412327353</v>
      </c>
      <c r="T236" s="7">
        <v>0.3148875402901134</v>
      </c>
    </row>
    <row x14ac:dyDescent="0.25" r="237" customHeight="1" ht="19.5">
      <c r="A237" s="2" t="s">
        <v>1295</v>
      </c>
      <c r="B237" s="2" t="s">
        <v>1060</v>
      </c>
      <c r="C237" s="2" t="s">
        <v>31</v>
      </c>
      <c r="D237" s="2" t="s">
        <v>245</v>
      </c>
      <c r="E237" s="6">
        <v>1</v>
      </c>
      <c r="F237" s="6">
        <v>2</v>
      </c>
      <c r="G237" s="7">
        <v>0.762326180934906</v>
      </c>
      <c r="H237" s="7">
        <v>44.90836796875</v>
      </c>
      <c r="I237" s="7">
        <v>28.01488312095933</v>
      </c>
      <c r="J237" s="7">
        <v>9.335179495656128</v>
      </c>
      <c r="K237" s="7">
        <v>4.976116147546313</v>
      </c>
      <c r="L237" s="7">
        <v>0.859747430606674</v>
      </c>
      <c r="M237" s="7">
        <v>0.7190506888739404</v>
      </c>
      <c r="N237" s="7">
        <v>0.3385671092448582</v>
      </c>
      <c r="O237" s="7">
        <v>0.048849762763362</v>
      </c>
      <c r="P237" s="7">
        <v>9.2336795571571</v>
      </c>
      <c r="Q237" s="7">
        <v>0.0060184756925242</v>
      </c>
      <c r="R237" s="7">
        <v>0.0322078550388914</v>
      </c>
      <c r="S237" s="7">
        <v>0.0864284268685077</v>
      </c>
      <c r="T237" s="7">
        <v>0.3136928091595661</v>
      </c>
    </row>
    <row x14ac:dyDescent="0.25" r="238" customHeight="1" ht="19.5">
      <c r="A238" s="2" t="s">
        <v>1296</v>
      </c>
      <c r="B238" s="2" t="s">
        <v>1060</v>
      </c>
      <c r="C238" s="2" t="s">
        <v>31</v>
      </c>
      <c r="D238" s="2" t="s">
        <v>245</v>
      </c>
      <c r="E238" s="6">
        <v>1</v>
      </c>
      <c r="F238" s="6">
        <v>2</v>
      </c>
      <c r="G238" s="7">
        <v>0.7653892040252686</v>
      </c>
      <c r="H238" s="7">
        <v>44.454678125</v>
      </c>
      <c r="I238" s="7">
        <v>28.03716828602561</v>
      </c>
      <c r="J238" s="7">
        <v>9.319945392123664</v>
      </c>
      <c r="K238" s="7">
        <v>4.893730824230373</v>
      </c>
      <c r="L238" s="7">
        <v>0.8630913680774253</v>
      </c>
      <c r="M238" s="7">
        <v>0.710655362199705</v>
      </c>
      <c r="N238" s="7">
        <v>0.3348565235745545</v>
      </c>
      <c r="O238" s="7">
        <v>0.0484702094106503</v>
      </c>
      <c r="P238" s="7">
        <v>9.236565658623093</v>
      </c>
      <c r="Q238" s="7">
        <v>0.006556122008598</v>
      </c>
      <c r="R238" s="7">
        <v>0.0331389459301881</v>
      </c>
      <c r="S238" s="7">
        <v>0.0831813642303273</v>
      </c>
      <c r="T238" s="7">
        <v>0.3382636083380461</v>
      </c>
    </row>
    <row x14ac:dyDescent="0.25" r="239" customHeight="1" ht="19.5">
      <c r="A239" s="2" t="s">
        <v>1297</v>
      </c>
      <c r="B239" s="2" t="s">
        <v>1060</v>
      </c>
      <c r="C239" s="2" t="s">
        <v>31</v>
      </c>
      <c r="D239" s="2" t="s">
        <v>245</v>
      </c>
      <c r="E239" s="6">
        <v>1</v>
      </c>
      <c r="F239" s="6">
        <v>2</v>
      </c>
      <c r="G239" s="7">
        <v>0.7691155076026917</v>
      </c>
      <c r="H239" s="7">
        <v>44.89451484375</v>
      </c>
      <c r="I239" s="7">
        <v>28.04935644751408</v>
      </c>
      <c r="J239" s="7">
        <v>9.336890813932245</v>
      </c>
      <c r="K239" s="7">
        <v>4.978902941822987</v>
      </c>
      <c r="L239" s="7">
        <v>0.8598501040785458</v>
      </c>
      <c r="M239" s="7">
        <v>0.7170630496469714</v>
      </c>
      <c r="N239" s="7">
        <v>0.3418366468867143</v>
      </c>
      <c r="O239" s="7">
        <v>0.0494540849236629</v>
      </c>
      <c r="P239" s="7">
        <v>9.208834878383067</v>
      </c>
      <c r="Q239" s="7">
        <v>0.0069669642580961</v>
      </c>
      <c r="R239" s="7">
        <v>0.0330331261933729</v>
      </c>
      <c r="S239" s="7">
        <v>0.085700394963125</v>
      </c>
      <c r="T239" s="7">
        <v>0.3630175699449425</v>
      </c>
    </row>
    <row x14ac:dyDescent="0.25" r="240" customHeight="1" ht="19.5">
      <c r="A240" s="2" t="s">
        <v>1298</v>
      </c>
      <c r="B240" s="2" t="s">
        <v>1060</v>
      </c>
      <c r="C240" s="2" t="s">
        <v>31</v>
      </c>
      <c r="D240" s="2" t="s">
        <v>245</v>
      </c>
      <c r="E240" s="6">
        <v>1</v>
      </c>
      <c r="F240" s="6">
        <v>2</v>
      </c>
      <c r="G240" s="7">
        <v>0.7748064398765564</v>
      </c>
      <c r="H240" s="7">
        <v>44.94300078125</v>
      </c>
      <c r="I240" s="7">
        <v>27.95185115560639</v>
      </c>
      <c r="J240" s="7">
        <v>9.330885510427358</v>
      </c>
      <c r="K240" s="7">
        <v>4.96912988460197</v>
      </c>
      <c r="L240" s="7">
        <v>0.8595616467682573</v>
      </c>
      <c r="M240" s="7">
        <v>0.722854319061862</v>
      </c>
      <c r="N240" s="7">
        <v>0.3397968165340193</v>
      </c>
      <c r="O240" s="7">
        <v>0.0491204095407507</v>
      </c>
      <c r="P240" s="7">
        <v>9.212438117077404</v>
      </c>
      <c r="Q240" s="7">
        <v>0.0068761448213549</v>
      </c>
      <c r="R240" s="7">
        <v>0.0329709864694209</v>
      </c>
      <c r="S240" s="7">
        <v>0.0839745479969324</v>
      </c>
      <c r="T240" s="7">
        <v>0.3586723194863301</v>
      </c>
    </row>
    <row x14ac:dyDescent="0.25" r="241" customHeight="1" ht="19.5">
      <c r="A241" s="2" t="s">
        <v>1299</v>
      </c>
      <c r="B241" s="2" t="s">
        <v>1060</v>
      </c>
      <c r="C241" s="2" t="s">
        <v>31</v>
      </c>
      <c r="D241" s="2" t="s">
        <v>245</v>
      </c>
      <c r="E241" s="6">
        <v>1</v>
      </c>
      <c r="F241" s="6">
        <v>2</v>
      </c>
      <c r="G241" s="7">
        <v>0.7653311491012573</v>
      </c>
      <c r="H241" s="7">
        <v>44.9603171875</v>
      </c>
      <c r="I241" s="7">
        <v>27.93165714845074</v>
      </c>
      <c r="J241" s="7">
        <v>9.32954649857136</v>
      </c>
      <c r="K241" s="7">
        <v>4.966953156927003</v>
      </c>
      <c r="L241" s="7">
        <v>0.8593249230078718</v>
      </c>
      <c r="M241" s="7">
        <v>0.7241788306840655</v>
      </c>
      <c r="N241" s="7">
        <v>0.3408853447323268</v>
      </c>
      <c r="O241" s="7">
        <v>0.0493062931646884</v>
      </c>
      <c r="P241" s="7">
        <v>9.211192327668996</v>
      </c>
      <c r="Q241" s="7">
        <v>0.0061523321209961</v>
      </c>
      <c r="R241" s="7">
        <v>0.0319175384813281</v>
      </c>
      <c r="S241" s="7">
        <v>0.0839581551240117</v>
      </c>
      <c r="T241" s="7">
        <v>0.3210405704631415</v>
      </c>
    </row>
    <row x14ac:dyDescent="0.25" r="242" customHeight="1" ht="19.5">
      <c r="A242" s="2" t="s">
        <v>1300</v>
      </c>
      <c r="B242" s="2" t="s">
        <v>1060</v>
      </c>
      <c r="C242" s="2" t="s">
        <v>31</v>
      </c>
      <c r="D242" s="2" t="s">
        <v>245</v>
      </c>
      <c r="E242" s="6">
        <v>1</v>
      </c>
      <c r="F242" s="6">
        <v>2</v>
      </c>
      <c r="G242" s="7">
        <v>0.7645888924598694</v>
      </c>
      <c r="H242" s="7">
        <v>44.60359921875001</v>
      </c>
      <c r="I242" s="7">
        <v>28.21580839253125</v>
      </c>
      <c r="J242" s="7">
        <v>9.395824947476925</v>
      </c>
      <c r="K242" s="7">
        <v>4.920670204370636</v>
      </c>
      <c r="L242" s="7">
        <v>0.8654737610134986</v>
      </c>
      <c r="M242" s="7">
        <v>0.7040358494307118</v>
      </c>
      <c r="N242" s="7">
        <v>0.3401957552361697</v>
      </c>
      <c r="O242" s="7">
        <v>0.0492338277064636</v>
      </c>
      <c r="P242" s="7">
        <v>9.220679365747312</v>
      </c>
      <c r="Q242" s="7">
        <v>0.0069241069145298</v>
      </c>
      <c r="R242" s="7">
        <v>0.0339160347015755</v>
      </c>
      <c r="S242" s="7">
        <v>0.0841874335289885</v>
      </c>
      <c r="T242" s="7">
        <v>0.3584465874366684</v>
      </c>
    </row>
    <row x14ac:dyDescent="0.25" r="243" customHeight="1" ht="19.5">
      <c r="A243" s="2" t="s">
        <v>1301</v>
      </c>
      <c r="B243" s="2" t="s">
        <v>1060</v>
      </c>
      <c r="C243" s="2" t="s">
        <v>31</v>
      </c>
      <c r="D243" s="2" t="s">
        <v>245</v>
      </c>
      <c r="E243" s="6">
        <v>1</v>
      </c>
      <c r="F243" s="6">
        <v>2</v>
      </c>
      <c r="G243" s="7">
        <v>0.7727243304252625</v>
      </c>
      <c r="H243" s="7">
        <v>44.95685390625</v>
      </c>
      <c r="I243" s="7">
        <v>28.02288896662652</v>
      </c>
      <c r="J243" s="7">
        <v>9.331439163705372</v>
      </c>
      <c r="K243" s="7">
        <v>4.968199179919746</v>
      </c>
      <c r="L243" s="7">
        <v>0.8594939811184706</v>
      </c>
      <c r="M243" s="7">
        <v>0.7194157865257274</v>
      </c>
      <c r="N243" s="7">
        <v>0.3367401261753555</v>
      </c>
      <c r="O243" s="7">
        <v>0.0487121616308415</v>
      </c>
      <c r="P243" s="7">
        <v>9.234694296042646</v>
      </c>
      <c r="Q243" s="7">
        <v>0.0068285535428888</v>
      </c>
      <c r="R243" s="7">
        <v>0.0330012515106475</v>
      </c>
      <c r="S243" s="7">
        <v>0.0844212009807039</v>
      </c>
      <c r="T243" s="7">
        <v>0.3562996622847117</v>
      </c>
    </row>
    <row x14ac:dyDescent="0.25" r="244" customHeight="1" ht="19.5">
      <c r="A244" s="2" t="s">
        <v>1302</v>
      </c>
      <c r="B244" s="2" t="s">
        <v>1060</v>
      </c>
      <c r="C244" s="2" t="s">
        <v>31</v>
      </c>
      <c r="D244" s="2" t="s">
        <v>245</v>
      </c>
      <c r="E244" s="6">
        <v>1</v>
      </c>
      <c r="F244" s="6">
        <v>2</v>
      </c>
      <c r="G244" s="7">
        <v>0.7750271558761597</v>
      </c>
      <c r="H244" s="7">
        <v>44.89451484375</v>
      </c>
      <c r="I244" s="7">
        <v>28.08382977406882</v>
      </c>
      <c r="J244" s="7">
        <v>9.335578201753428</v>
      </c>
      <c r="K244" s="7">
        <v>4.976765292466894</v>
      </c>
      <c r="L244" s="7">
        <v>0.8600134821073434</v>
      </c>
      <c r="M244" s="7">
        <v>0.7153037185970895</v>
      </c>
      <c r="N244" s="7">
        <v>0.3375100227360438</v>
      </c>
      <c r="O244" s="7">
        <v>0.0489191078767503</v>
      </c>
      <c r="P244" s="7">
        <v>9.225273905027668</v>
      </c>
      <c r="Q244" s="7">
        <v>0.006435425613005</v>
      </c>
      <c r="R244" s="7">
        <v>0.0330050438982842</v>
      </c>
      <c r="S244" s="7">
        <v>0.0847525055515591</v>
      </c>
      <c r="T244" s="7">
        <v>0.3353214515030339</v>
      </c>
    </row>
    <row x14ac:dyDescent="0.25" r="245" customHeight="1" ht="19.5">
      <c r="A245" s="2" t="s">
        <v>1303</v>
      </c>
      <c r="B245" s="2" t="s">
        <v>1060</v>
      </c>
      <c r="C245" s="2" t="s">
        <v>31</v>
      </c>
      <c r="D245" s="2" t="s">
        <v>245</v>
      </c>
      <c r="E245" s="6">
        <v>1</v>
      </c>
      <c r="F245" s="6">
        <v>2</v>
      </c>
      <c r="G245" s="7">
        <v>0.7681752443313599</v>
      </c>
      <c r="H245" s="7">
        <v>44.93607421875</v>
      </c>
      <c r="I245" s="7">
        <v>28.07164161258036</v>
      </c>
      <c r="J245" s="7">
        <v>9.333860242226532</v>
      </c>
      <c r="K245" s="7">
        <v>4.970957177477993</v>
      </c>
      <c r="L245" s="7">
        <v>0.8596915956617087</v>
      </c>
      <c r="M245" s="7">
        <v>0.7165877355024429</v>
      </c>
      <c r="N245" s="7">
        <v>0.3393599263723216</v>
      </c>
      <c r="O245" s="7">
        <v>0.048924450586568</v>
      </c>
      <c r="P245" s="7">
        <v>9.229650018570013</v>
      </c>
      <c r="Q245" s="7">
        <v>0.00653843556109</v>
      </c>
      <c r="R245" s="7">
        <v>0.0326256545281654</v>
      </c>
      <c r="S245" s="7">
        <v>0.0845073396517809</v>
      </c>
      <c r="T245" s="7">
        <v>0.341004222098505</v>
      </c>
    </row>
    <row x14ac:dyDescent="0.25" r="246" customHeight="1" ht="19.5">
      <c r="A246" s="2" t="s">
        <v>1304</v>
      </c>
      <c r="B246" s="2" t="s">
        <v>1060</v>
      </c>
      <c r="C246" s="2" t="s">
        <v>31</v>
      </c>
      <c r="D246" s="2" t="s">
        <v>245</v>
      </c>
      <c r="E246" s="6">
        <v>1</v>
      </c>
      <c r="F246" s="6">
        <v>2</v>
      </c>
      <c r="G246" s="7">
        <v>0.7696210741996765</v>
      </c>
      <c r="H246" s="7">
        <v>44.8356390625</v>
      </c>
      <c r="I246" s="7">
        <v>27.93165714845074</v>
      </c>
      <c r="J246" s="7">
        <v>9.337931279885185</v>
      </c>
      <c r="K246" s="7">
        <v>4.952348137346225</v>
      </c>
      <c r="L246" s="7">
        <v>0.8605301657938232</v>
      </c>
      <c r="M246" s="7">
        <v>0.7221706318006401</v>
      </c>
      <c r="N246" s="7">
        <v>0.3390061237426515</v>
      </c>
      <c r="O246" s="7">
        <v>0.0489498686715927</v>
      </c>
      <c r="P246" s="7">
        <v>9.235641420234575</v>
      </c>
      <c r="Q246" s="7">
        <v>0.0058913865002018</v>
      </c>
      <c r="R246" s="7">
        <v>0.0307379292408689</v>
      </c>
      <c r="S246" s="7">
        <v>0.0851237828159733</v>
      </c>
      <c r="T246" s="7">
        <v>0.3065714158883839</v>
      </c>
    </row>
    <row x14ac:dyDescent="0.25" r="247" customHeight="1" ht="19.5">
      <c r="A247" s="2" t="s">
        <v>1305</v>
      </c>
      <c r="B247" s="2" t="s">
        <v>1060</v>
      </c>
      <c r="C247" s="2" t="s">
        <v>31</v>
      </c>
      <c r="D247" s="2" t="s">
        <v>245</v>
      </c>
      <c r="E247" s="6">
        <v>1</v>
      </c>
      <c r="F247" s="6">
        <v>2</v>
      </c>
      <c r="G247" s="7">
        <v>0.7651141881942749</v>
      </c>
      <c r="H247" s="7">
        <v>44.454678125</v>
      </c>
      <c r="I247" s="7">
        <v>27.96613047500549</v>
      </c>
      <c r="J247" s="7">
        <v>9.317902600241151</v>
      </c>
      <c r="K247" s="7">
        <v>4.89197857423544</v>
      </c>
      <c r="L247" s="7">
        <v>0.8630695757426712</v>
      </c>
      <c r="M247" s="7">
        <v>0.7142702719385263</v>
      </c>
      <c r="N247" s="7">
        <v>0.3388065113673931</v>
      </c>
      <c r="O247" s="7">
        <v>0.0485885775365708</v>
      </c>
      <c r="P247" s="7">
        <v>9.229196141014722</v>
      </c>
      <c r="Q247" s="7">
        <v>0.0063812348009561</v>
      </c>
      <c r="R247" s="7">
        <v>0.0317096042727254</v>
      </c>
      <c r="S247" s="7">
        <v>0.0842212959203416</v>
      </c>
      <c r="T247" s="7">
        <v>0.3292402897006688</v>
      </c>
    </row>
    <row x14ac:dyDescent="0.25" r="248" customHeight="1" ht="19.5">
      <c r="A248" s="2" t="s">
        <v>1306</v>
      </c>
      <c r="B248" s="2" t="s">
        <v>1060</v>
      </c>
      <c r="C248" s="2" t="s">
        <v>31</v>
      </c>
      <c r="D248" s="2" t="s">
        <v>245</v>
      </c>
      <c r="E248" s="6">
        <v>1</v>
      </c>
      <c r="F248" s="6">
        <v>2</v>
      </c>
      <c r="G248" s="7">
        <v>0.7245257496833801</v>
      </c>
      <c r="H248" s="7">
        <v>43.73085234375</v>
      </c>
      <c r="I248" s="7">
        <v>27.73664656463538</v>
      </c>
      <c r="J248" s="7">
        <v>9.24397173182631</v>
      </c>
      <c r="K248" s="7">
        <v>4.806105733111246</v>
      </c>
      <c r="L248" s="7">
        <v>0.8647444476509804</v>
      </c>
      <c r="M248" s="7">
        <v>0.7143152155249274</v>
      </c>
      <c r="N248" s="7">
        <v>0.3815841926881597</v>
      </c>
      <c r="O248" s="7">
        <v>0.0541478183888475</v>
      </c>
      <c r="P248" s="7">
        <v>8.951765366203162</v>
      </c>
      <c r="Q248" s="7">
        <v>0.0069811483260678</v>
      </c>
      <c r="R248" s="7">
        <v>0.0316164177052353</v>
      </c>
      <c r="S248" s="7">
        <v>0.0823532355793797</v>
      </c>
      <c r="T248" s="7">
        <v>0.3543280936036226</v>
      </c>
    </row>
    <row x14ac:dyDescent="0.25" r="249" customHeight="1" ht="19.5">
      <c r="A249" s="2" t="s">
        <v>1307</v>
      </c>
      <c r="B249" s="2" t="s">
        <v>1060</v>
      </c>
      <c r="C249" s="2" t="s">
        <v>31</v>
      </c>
      <c r="D249" s="2" t="s">
        <v>245</v>
      </c>
      <c r="E249" s="6">
        <v>1</v>
      </c>
      <c r="F249" s="6">
        <v>2</v>
      </c>
      <c r="G249" s="7">
        <v>0.4477346539497375</v>
      </c>
      <c r="H249" s="7">
        <v>50.06519375000001</v>
      </c>
      <c r="I249" s="7">
        <v>30.10491186530114</v>
      </c>
      <c r="J249" s="7">
        <v>10.46286019780149</v>
      </c>
      <c r="K249" s="7">
        <v>4.878345277385627</v>
      </c>
      <c r="L249" s="7">
        <v>0.8931984547460425</v>
      </c>
      <c r="M249" s="7">
        <v>0.694178318372195</v>
      </c>
      <c r="N249" s="7">
        <v>0.488309312777002</v>
      </c>
      <c r="O249" s="7">
        <v>0.0672128677785247</v>
      </c>
      <c r="P249" s="7">
        <v>8.315641485417306</v>
      </c>
      <c r="Q249" s="7">
        <v>0.0073778362405327</v>
      </c>
      <c r="R249" s="7">
        <v>0.0294066516413803</v>
      </c>
      <c r="S249" s="7">
        <v>0.0627367708804758</v>
      </c>
      <c r="T249" s="7">
        <v>0.4287021806454084</v>
      </c>
    </row>
    <row x14ac:dyDescent="0.25" r="250" customHeight="1" ht="19.5">
      <c r="A250" s="2" t="s">
        <v>1308</v>
      </c>
      <c r="B250" s="2" t="s">
        <v>1060</v>
      </c>
      <c r="C250" s="2" t="s">
        <v>31</v>
      </c>
      <c r="D250" s="2" t="s">
        <v>245</v>
      </c>
      <c r="E250" s="6">
        <v>1</v>
      </c>
      <c r="F250" s="6">
        <v>2</v>
      </c>
      <c r="G250" s="7">
        <v>0.644338071346283</v>
      </c>
      <c r="H250" s="7">
        <v>48.48593750000001</v>
      </c>
      <c r="I250" s="7">
        <v>30.46045970637711</v>
      </c>
      <c r="J250" s="7">
        <v>10.5469890733356</v>
      </c>
      <c r="K250" s="7">
        <v>4.772473076255533</v>
      </c>
      <c r="L250" s="7">
        <v>0.9031568198801244</v>
      </c>
      <c r="M250" s="7">
        <v>0.6566784351328394</v>
      </c>
      <c r="N250" s="7">
        <v>0.4044314761297417</v>
      </c>
      <c r="O250" s="7">
        <v>0.0555176865171641</v>
      </c>
      <c r="P250" s="7">
        <v>8.886451204242096</v>
      </c>
      <c r="Q250" s="7">
        <v>0.0038422537019282</v>
      </c>
      <c r="R250" s="7">
        <v>0.0227827373588755</v>
      </c>
      <c r="S250" s="7">
        <v>0.0643564802635761</v>
      </c>
      <c r="T250" s="7">
        <v>0.2162183829829484</v>
      </c>
    </row>
    <row x14ac:dyDescent="0.25" r="251" customHeight="1" ht="19.5">
      <c r="A251" s="2" t="s">
        <v>1309</v>
      </c>
      <c r="B251" s="2" t="s">
        <v>1060</v>
      </c>
      <c r="C251" s="2" t="s">
        <v>31</v>
      </c>
      <c r="D251" s="2" t="s">
        <v>245</v>
      </c>
      <c r="E251" s="6">
        <v>1</v>
      </c>
      <c r="F251" s="6">
        <v>2</v>
      </c>
      <c r="G251" s="7">
        <v>0.6801576018333435</v>
      </c>
      <c r="H251" s="7">
        <v>51.54401484375001</v>
      </c>
      <c r="I251" s="7">
        <v>30.94517743605421</v>
      </c>
      <c r="J251" s="7">
        <v>10.80059860027081</v>
      </c>
      <c r="K251" s="7">
        <v>4.976322872705396</v>
      </c>
      <c r="L251" s="7">
        <v>0.8985322044477959</v>
      </c>
      <c r="M251" s="7">
        <v>0.676397747971966</v>
      </c>
      <c r="N251" s="7">
        <v>0.353707441434886</v>
      </c>
      <c r="O251" s="7">
        <v>0.0492900842786516</v>
      </c>
      <c r="P251" s="7">
        <v>9.190913466797207</v>
      </c>
      <c r="Q251" s="7">
        <v>0.0045453164509825</v>
      </c>
      <c r="R251" s="7">
        <v>0.026219932421425</v>
      </c>
      <c r="S251" s="7">
        <v>0.0791819337732876</v>
      </c>
      <c r="T251" s="7">
        <v>0.2719149890086765</v>
      </c>
    </row>
    <row x14ac:dyDescent="0.25" r="252" customHeight="1" ht="19.5">
      <c r="A252" s="2" t="s">
        <v>1310</v>
      </c>
      <c r="B252" s="2" t="s">
        <v>1060</v>
      </c>
      <c r="C252" s="2" t="s">
        <v>31</v>
      </c>
      <c r="D252" s="2" t="s">
        <v>245</v>
      </c>
      <c r="E252" s="6">
        <v>1</v>
      </c>
      <c r="F252" s="6">
        <v>2</v>
      </c>
      <c r="G252" s="7">
        <v>0.6851286292076111</v>
      </c>
      <c r="H252" s="7">
        <v>51.50245546875</v>
      </c>
      <c r="I252" s="7">
        <v>30.98592423634085</v>
      </c>
      <c r="J252" s="7">
        <v>10.79254390448045</v>
      </c>
      <c r="K252" s="7">
        <v>4.968294721503439</v>
      </c>
      <c r="L252" s="7">
        <v>0.8987595471230757</v>
      </c>
      <c r="M252" s="7">
        <v>0.6740760393217469</v>
      </c>
      <c r="N252" s="7">
        <v>0.321898790475056</v>
      </c>
      <c r="O252" s="7">
        <v>0.045486646045757</v>
      </c>
      <c r="P252" s="7">
        <v>9.397929196650544</v>
      </c>
      <c r="Q252" s="7">
        <v>0.0052531651688584</v>
      </c>
      <c r="R252" s="7">
        <v>0.0285260160484325</v>
      </c>
      <c r="S252" s="7">
        <v>0.0867562954841046</v>
      </c>
      <c r="T252" s="7">
        <v>0.3140073193335472</v>
      </c>
    </row>
    <row x14ac:dyDescent="0.25" r="253" customHeight="1" ht="19.5">
      <c r="A253" s="2" t="s">
        <v>1311</v>
      </c>
      <c r="B253" s="2" t="s">
        <v>1060</v>
      </c>
      <c r="C253" s="2" t="s">
        <v>31</v>
      </c>
      <c r="D253" s="2" t="s">
        <v>245</v>
      </c>
      <c r="E253" s="6">
        <v>1</v>
      </c>
      <c r="F253" s="6">
        <v>2</v>
      </c>
      <c r="G253" s="7">
        <v>0.6819614171981812</v>
      </c>
      <c r="H253" s="7">
        <v>51.09378828125001</v>
      </c>
      <c r="I253" s="7">
        <v>30.81947229132368</v>
      </c>
      <c r="J253" s="7">
        <v>10.77693735275749</v>
      </c>
      <c r="K253" s="7">
        <v>4.888237720509743</v>
      </c>
      <c r="L253" s="7">
        <v>0.900440874103283</v>
      </c>
      <c r="M253" s="7">
        <v>0.6759702328229985</v>
      </c>
      <c r="N253" s="7">
        <v>0.3214506809891</v>
      </c>
      <c r="O253" s="7">
        <v>0.0455269851930922</v>
      </c>
      <c r="P253" s="7">
        <v>9.38296812900634</v>
      </c>
      <c r="Q253" s="7">
        <v>0.0053766806653639</v>
      </c>
      <c r="R253" s="7">
        <v>0.029467169825617</v>
      </c>
      <c r="S253" s="7">
        <v>0.0929869970023838</v>
      </c>
      <c r="T253" s="7">
        <v>0.3188402401207672</v>
      </c>
    </row>
    <row x14ac:dyDescent="0.25" r="254" customHeight="1" ht="19.5">
      <c r="A254" s="2" t="s">
        <v>1312</v>
      </c>
      <c r="B254" s="2" t="s">
        <v>1060</v>
      </c>
      <c r="C254" s="2" t="s">
        <v>31</v>
      </c>
      <c r="D254" s="2" t="s">
        <v>245</v>
      </c>
      <c r="E254" s="6">
        <v>1</v>
      </c>
      <c r="F254" s="6">
        <v>2</v>
      </c>
      <c r="G254" s="7">
        <v>0.6850250363349915</v>
      </c>
      <c r="H254" s="7">
        <v>51.83839375</v>
      </c>
      <c r="I254" s="7">
        <v>30.80519297192459</v>
      </c>
      <c r="J254" s="7">
        <v>10.7700640288123</v>
      </c>
      <c r="K254" s="7">
        <v>4.937481984811924</v>
      </c>
      <c r="L254" s="7">
        <v>0.8975059669220071</v>
      </c>
      <c r="M254" s="7">
        <v>0.6864573079214701</v>
      </c>
      <c r="N254" s="7">
        <v>0.3264209115145314</v>
      </c>
      <c r="O254" s="7">
        <v>0.0458815934266834</v>
      </c>
      <c r="P254" s="7">
        <v>9.346296391091164</v>
      </c>
      <c r="Q254" s="7">
        <v>0.0058968833215196</v>
      </c>
      <c r="R254" s="7">
        <v>0.0318094717420437</v>
      </c>
      <c r="S254" s="7">
        <v>0.0898270165529776</v>
      </c>
      <c r="T254" s="7">
        <v>0.3547846740173206</v>
      </c>
    </row>
    <row x14ac:dyDescent="0.25" r="255" customHeight="1" ht="19.5">
      <c r="A255" s="2" t="s">
        <v>1313</v>
      </c>
      <c r="B255" s="2" t="s">
        <v>1060</v>
      </c>
      <c r="C255" s="2" t="s">
        <v>31</v>
      </c>
      <c r="D255" s="2" t="s">
        <v>245</v>
      </c>
      <c r="E255" s="6">
        <v>1</v>
      </c>
      <c r="F255" s="6">
        <v>2</v>
      </c>
      <c r="G255" s="7">
        <v>0.6882971525192261</v>
      </c>
      <c r="H255" s="7">
        <v>51.47821250000001</v>
      </c>
      <c r="I255" s="7">
        <v>30.98592423634085</v>
      </c>
      <c r="J255" s="7">
        <v>10.79363398378735</v>
      </c>
      <c r="K255" s="7">
        <v>4.969908740609186</v>
      </c>
      <c r="L255" s="7">
        <v>0.8990142488787162</v>
      </c>
      <c r="M255" s="7">
        <v>0.6737587417442301</v>
      </c>
      <c r="N255" s="7">
        <v>0.3273938855180561</v>
      </c>
      <c r="O255" s="7">
        <v>0.0460210175391968</v>
      </c>
      <c r="P255" s="7">
        <v>9.380228734190796</v>
      </c>
      <c r="Q255" s="7">
        <v>0.005523769013727</v>
      </c>
      <c r="R255" s="7">
        <v>0.0303122164037558</v>
      </c>
      <c r="S255" s="7">
        <v>0.0894204530126742</v>
      </c>
      <c r="T255" s="7">
        <v>0.3300272099218607</v>
      </c>
    </row>
    <row x14ac:dyDescent="0.25" r="256" customHeight="1" ht="19.5">
      <c r="A256" s="2" t="s">
        <v>1314</v>
      </c>
      <c r="B256" s="2" t="s">
        <v>1060</v>
      </c>
      <c r="C256" s="2" t="s">
        <v>31</v>
      </c>
      <c r="D256" s="2" t="s">
        <v>245</v>
      </c>
      <c r="E256" s="6">
        <v>1</v>
      </c>
      <c r="F256" s="6">
        <v>2</v>
      </c>
      <c r="G256" s="7">
        <v>0.6890552043914795</v>
      </c>
      <c r="H256" s="7">
        <v>51.20461328125</v>
      </c>
      <c r="I256" s="7">
        <v>30.73624631881509</v>
      </c>
      <c r="J256" s="7">
        <v>10.73663515056576</v>
      </c>
      <c r="K256" s="7">
        <v>4.97155755390728</v>
      </c>
      <c r="L256" s="7">
        <v>0.8977126742663774</v>
      </c>
      <c r="M256" s="7">
        <v>0.681110065927697</v>
      </c>
      <c r="N256" s="7">
        <v>0.329811305447667</v>
      </c>
      <c r="O256" s="7">
        <v>0.046218986353418</v>
      </c>
      <c r="P256" s="7">
        <v>9.36674547991928</v>
      </c>
      <c r="Q256" s="7">
        <v>0.0048392646931626</v>
      </c>
      <c r="R256" s="7">
        <v>0.0277646134738419</v>
      </c>
      <c r="S256" s="7">
        <v>0.0890867003863245</v>
      </c>
      <c r="T256" s="7">
        <v>0.2875936203574945</v>
      </c>
    </row>
    <row x14ac:dyDescent="0.25" r="257" customHeight="1" ht="19.5">
      <c r="A257" s="2" t="s">
        <v>1315</v>
      </c>
      <c r="B257" s="2" t="s">
        <v>1060</v>
      </c>
      <c r="C257" s="2" t="s">
        <v>31</v>
      </c>
      <c r="D257" s="2" t="s">
        <v>245</v>
      </c>
      <c r="E257" s="6">
        <v>1</v>
      </c>
      <c r="F257" s="6">
        <v>2</v>
      </c>
      <c r="G257" s="7">
        <v>0.6881588101387024</v>
      </c>
      <c r="H257" s="7">
        <v>51.686009375</v>
      </c>
      <c r="I257" s="7">
        <v>30.9514509097861</v>
      </c>
      <c r="J257" s="7">
        <v>10.85586092174029</v>
      </c>
      <c r="K257" s="7">
        <v>4.976677778313353</v>
      </c>
      <c r="L257" s="7">
        <v>0.9001447241677267</v>
      </c>
      <c r="M257" s="7">
        <v>0.6779861803527115</v>
      </c>
      <c r="N257" s="7">
        <v>0.328755480165634</v>
      </c>
      <c r="O257" s="7">
        <v>0.0464715524779222</v>
      </c>
      <c r="P257" s="7">
        <v>9.358798884651211</v>
      </c>
      <c r="Q257" s="7">
        <v>0.0048844506221483</v>
      </c>
      <c r="R257" s="7">
        <v>0.0277962998563019</v>
      </c>
      <c r="S257" s="7">
        <v>0.0963002446143742</v>
      </c>
      <c r="T257" s="7">
        <v>0.2930080186335806</v>
      </c>
    </row>
    <row x14ac:dyDescent="0.25" r="258" customHeight="1" ht="19.5">
      <c r="A258" s="2" t="s">
        <v>1316</v>
      </c>
      <c r="B258" s="2" t="s">
        <v>1060</v>
      </c>
      <c r="C258" s="2" t="s">
        <v>31</v>
      </c>
      <c r="D258" s="2" t="s">
        <v>245</v>
      </c>
      <c r="E258" s="6">
        <v>1</v>
      </c>
      <c r="F258" s="6">
        <v>2</v>
      </c>
      <c r="G258" s="7">
        <v>0.6842358112335205</v>
      </c>
      <c r="H258" s="7">
        <v>51.26695234375001</v>
      </c>
      <c r="I258" s="7">
        <v>30.81947229132368</v>
      </c>
      <c r="J258" s="7">
        <v>10.73345005376963</v>
      </c>
      <c r="K258" s="7">
        <v>4.966842689532065</v>
      </c>
      <c r="L258" s="7">
        <v>0.8974756570626596</v>
      </c>
      <c r="M258" s="7">
        <v>0.6782611913833693</v>
      </c>
      <c r="N258" s="7">
        <v>0.3269910181218626</v>
      </c>
      <c r="O258" s="7">
        <v>0.0463030038173378</v>
      </c>
      <c r="P258" s="7">
        <v>9.35690181421611</v>
      </c>
      <c r="Q258" s="7">
        <v>0.0052591180970948</v>
      </c>
      <c r="R258" s="7">
        <v>0.0290808784089238</v>
      </c>
      <c r="S258" s="7">
        <v>0.0899230658495317</v>
      </c>
      <c r="T258" s="7">
        <v>0.31292567965039</v>
      </c>
    </row>
    <row x14ac:dyDescent="0.25" r="259" customHeight="1" ht="19.5">
      <c r="A259" s="2" t="s">
        <v>1317</v>
      </c>
      <c r="B259" s="2" t="s">
        <v>1060</v>
      </c>
      <c r="C259" s="2" t="s">
        <v>31</v>
      </c>
      <c r="D259" s="2" t="s">
        <v>245</v>
      </c>
      <c r="E259" s="6">
        <v>1</v>
      </c>
      <c r="F259" s="6">
        <v>2</v>
      </c>
      <c r="G259" s="7">
        <v>0.6827279329299927</v>
      </c>
      <c r="H259" s="7">
        <v>52.14662578125</v>
      </c>
      <c r="I259" s="7">
        <v>31.06915020884944</v>
      </c>
      <c r="J259" s="7">
        <v>10.79128256542269</v>
      </c>
      <c r="K259" s="7">
        <v>5.024812402948649</v>
      </c>
      <c r="L259" s="7">
        <v>0.8962439516517823</v>
      </c>
      <c r="M259" s="7">
        <v>0.678855477480221</v>
      </c>
      <c r="N259" s="7">
        <v>0.3306946851259846</v>
      </c>
      <c r="O259" s="7">
        <v>0.0462443189444555</v>
      </c>
      <c r="P259" s="7">
        <v>9.362701473302684</v>
      </c>
      <c r="Q259" s="7">
        <v>0.0055604655525724</v>
      </c>
      <c r="R259" s="7">
        <v>0.0297981650522609</v>
      </c>
      <c r="S259" s="7">
        <v>0.0916166885737467</v>
      </c>
      <c r="T259" s="7">
        <v>0.3365333794789807</v>
      </c>
    </row>
    <row x14ac:dyDescent="0.25" r="260" customHeight="1" ht="19.5">
      <c r="A260" s="2" t="s">
        <v>1318</v>
      </c>
      <c r="B260" s="2" t="s">
        <v>1060</v>
      </c>
      <c r="C260" s="2" t="s">
        <v>31</v>
      </c>
      <c r="D260" s="2" t="s">
        <v>245</v>
      </c>
      <c r="E260" s="6">
        <v>1</v>
      </c>
      <c r="F260" s="6">
        <v>2</v>
      </c>
      <c r="G260" s="7">
        <v>0.6912490129470825</v>
      </c>
      <c r="H260" s="7">
        <v>52.15355234375</v>
      </c>
      <c r="I260" s="7">
        <v>30.98592423634085</v>
      </c>
      <c r="J260" s="7">
        <v>10.79400894682993</v>
      </c>
      <c r="K260" s="7">
        <v>5.02759260010791</v>
      </c>
      <c r="L260" s="7">
        <v>0.8961111663784438</v>
      </c>
      <c r="M260" s="7">
        <v>0.6825977456893407</v>
      </c>
      <c r="N260" s="7">
        <v>0.3306577639539816</v>
      </c>
      <c r="O260" s="7">
        <v>0.0465248564587905</v>
      </c>
      <c r="P260" s="7">
        <v>9.349539315812994</v>
      </c>
      <c r="Q260" s="7">
        <v>0.0053155171883383</v>
      </c>
      <c r="R260" s="7">
        <v>0.0289378224025227</v>
      </c>
      <c r="S260" s="7">
        <v>0.0902929604968271</v>
      </c>
      <c r="T260" s="7">
        <v>0.321751219647149</v>
      </c>
    </row>
    <row x14ac:dyDescent="0.25" r="261" customHeight="1" ht="19.5">
      <c r="A261" s="2" t="s">
        <v>1319</v>
      </c>
      <c r="B261" s="2" t="s">
        <v>1060</v>
      </c>
      <c r="C261" s="2" t="s">
        <v>31</v>
      </c>
      <c r="D261" s="2" t="s">
        <v>245</v>
      </c>
      <c r="E261" s="6">
        <v>1</v>
      </c>
      <c r="F261" s="6">
        <v>2</v>
      </c>
      <c r="G261" s="7">
        <v>0.6865191459655762</v>
      </c>
      <c r="H261" s="7">
        <v>51.92151250000001</v>
      </c>
      <c r="I261" s="7">
        <v>31.06915020884944</v>
      </c>
      <c r="J261" s="7">
        <v>10.72818389811603</v>
      </c>
      <c r="K261" s="7">
        <v>5.018630883050074</v>
      </c>
      <c r="L261" s="7">
        <v>0.8949170970394664</v>
      </c>
      <c r="M261" s="7">
        <v>0.6759249065805587</v>
      </c>
      <c r="N261" s="7">
        <v>0.3304577034249679</v>
      </c>
      <c r="O261" s="7">
        <v>0.0460831295315978</v>
      </c>
      <c r="P261" s="7">
        <v>9.366529506109066</v>
      </c>
      <c r="Q261" s="7">
        <v>0.0050896192255694</v>
      </c>
      <c r="R261" s="7">
        <v>0.02852950332939</v>
      </c>
      <c r="S261" s="7">
        <v>0.0901349649380974</v>
      </c>
      <c r="T261" s="7">
        <v>0.3067068019049429</v>
      </c>
    </row>
    <row x14ac:dyDescent="0.25" r="262" customHeight="1" ht="19.5">
      <c r="A262" s="2" t="s">
        <v>1320</v>
      </c>
      <c r="B262" s="2" t="s">
        <v>1060</v>
      </c>
      <c r="C262" s="2" t="s">
        <v>31</v>
      </c>
      <c r="D262" s="2" t="s">
        <v>245</v>
      </c>
      <c r="E262" s="6">
        <v>1</v>
      </c>
      <c r="F262" s="6">
        <v>2</v>
      </c>
      <c r="G262" s="7">
        <v>0.6801500916481018</v>
      </c>
      <c r="H262" s="7">
        <v>50.94140390625</v>
      </c>
      <c r="I262" s="7">
        <v>30.73624631881509</v>
      </c>
      <c r="J262" s="7">
        <v>10.79213768301412</v>
      </c>
      <c r="K262" s="7">
        <v>4.911854603218496</v>
      </c>
      <c r="L262" s="7">
        <v>0.90098691598883</v>
      </c>
      <c r="M262" s="7">
        <v>0.6776089252438617</v>
      </c>
      <c r="N262" s="7">
        <v>0.3260281558913417</v>
      </c>
      <c r="O262" s="7">
        <v>0.0462569656509952</v>
      </c>
      <c r="P262" s="7">
        <v>9.350202923980278</v>
      </c>
      <c r="Q262" s="7">
        <v>0.0056221322460963</v>
      </c>
      <c r="R262" s="7">
        <v>0.0306056718697087</v>
      </c>
      <c r="S262" s="7">
        <v>0.0901103803180676</v>
      </c>
      <c r="T262" s="7">
        <v>0.3324013253448045</v>
      </c>
    </row>
    <row x14ac:dyDescent="0.25" r="263" customHeight="1" ht="19.5">
      <c r="A263" s="2" t="s">
        <v>1321</v>
      </c>
      <c r="B263" s="2" t="s">
        <v>1060</v>
      </c>
      <c r="C263" s="2" t="s">
        <v>31</v>
      </c>
      <c r="D263" s="2" t="s">
        <v>245</v>
      </c>
      <c r="E263" s="6">
        <v>1</v>
      </c>
      <c r="F263" s="6">
        <v>2</v>
      </c>
      <c r="G263" s="7">
        <v>0.6861035227775574</v>
      </c>
      <c r="H263" s="7">
        <v>51.46782265625</v>
      </c>
      <c r="I263" s="7">
        <v>31.08342952824852</v>
      </c>
      <c r="J263" s="7">
        <v>10.79433042122547</v>
      </c>
      <c r="K263" s="7">
        <v>4.971584046675481</v>
      </c>
      <c r="L263" s="7">
        <v>0.8989019049238866</v>
      </c>
      <c r="M263" s="7">
        <v>0.6694032249057352</v>
      </c>
      <c r="N263" s="7">
        <v>0.3268086408233392</v>
      </c>
      <c r="O263" s="7">
        <v>0.0464533002517201</v>
      </c>
      <c r="P263" s="7">
        <v>9.361644944751257</v>
      </c>
      <c r="Q263" s="7">
        <v>0.0054274277834878</v>
      </c>
      <c r="R263" s="7">
        <v>0.0299239457980812</v>
      </c>
      <c r="S263" s="7">
        <v>0.0882953742028273</v>
      </c>
      <c r="T263" s="7">
        <v>0.3242056875401372</v>
      </c>
    </row>
    <row x14ac:dyDescent="0.25" r="264" customHeight="1" ht="19.5">
      <c r="A264" s="2" t="s">
        <v>1322</v>
      </c>
      <c r="B264" s="2" t="s">
        <v>1060</v>
      </c>
      <c r="C264" s="2" t="s">
        <v>31</v>
      </c>
      <c r="D264" s="2" t="s">
        <v>245</v>
      </c>
      <c r="E264" s="6">
        <v>1</v>
      </c>
      <c r="F264" s="6">
        <v>2</v>
      </c>
      <c r="G264" s="7">
        <v>0.7042513489723206</v>
      </c>
      <c r="H264" s="7">
        <v>52.30593671875</v>
      </c>
      <c r="I264" s="7">
        <v>31.11790285480327</v>
      </c>
      <c r="J264" s="7">
        <v>10.77832840861042</v>
      </c>
      <c r="K264" s="7">
        <v>5.004829779190133</v>
      </c>
      <c r="L264" s="7">
        <v>0.8955701431995209</v>
      </c>
      <c r="M264" s="7">
        <v>0.6787974571500403</v>
      </c>
      <c r="N264" s="7">
        <v>0.3344674991219161</v>
      </c>
      <c r="O264" s="7">
        <v>0.046718933647096</v>
      </c>
      <c r="P264" s="7">
        <v>9.331497319296917</v>
      </c>
      <c r="Q264" s="7">
        <v>0.0053393753368318</v>
      </c>
      <c r="R264" s="7">
        <v>0.0290989203388436</v>
      </c>
      <c r="S264" s="7">
        <v>0.0879077939184912</v>
      </c>
      <c r="T264" s="7">
        <v>0.3241396920758391</v>
      </c>
    </row>
    <row x14ac:dyDescent="0.25" r="265" customHeight="1" ht="19.5">
      <c r="A265" s="2" t="s">
        <v>1323</v>
      </c>
      <c r="B265" s="2" t="s">
        <v>1060</v>
      </c>
      <c r="C265" s="2" t="s">
        <v>31</v>
      </c>
      <c r="D265" s="2" t="s">
        <v>245</v>
      </c>
      <c r="E265" s="6">
        <v>1</v>
      </c>
      <c r="F265" s="6">
        <v>2</v>
      </c>
      <c r="G265" s="7">
        <v>0.6832774877548218</v>
      </c>
      <c r="H265" s="7">
        <v>51.5128453125</v>
      </c>
      <c r="I265" s="7">
        <v>30.90269826383226</v>
      </c>
      <c r="J265" s="7">
        <v>10.78935606199806</v>
      </c>
      <c r="K265" s="7">
        <v>4.965363197957265</v>
      </c>
      <c r="L265" s="7">
        <v>0.8988568575273274</v>
      </c>
      <c r="M265" s="7">
        <v>0.6778484385388442</v>
      </c>
      <c r="N265" s="7">
        <v>0.3279421136542677</v>
      </c>
      <c r="O265" s="7">
        <v>0.0464255489011093</v>
      </c>
      <c r="P265" s="7">
        <v>9.358728314822075</v>
      </c>
      <c r="Q265" s="7">
        <v>0.0055733682593129</v>
      </c>
      <c r="R265" s="7">
        <v>0.0298269209578676</v>
      </c>
      <c r="S265" s="7">
        <v>0.0920782098438468</v>
      </c>
      <c r="T265" s="7">
        <v>0.3332146282158278</v>
      </c>
    </row>
    <row x14ac:dyDescent="0.25" r="266" customHeight="1" ht="19.5">
      <c r="A266" s="2" t="s">
        <v>1324</v>
      </c>
      <c r="B266" s="2" t="s">
        <v>1060</v>
      </c>
      <c r="C266" s="2" t="s">
        <v>31</v>
      </c>
      <c r="D266" s="2" t="s">
        <v>245</v>
      </c>
      <c r="E266" s="6">
        <v>1</v>
      </c>
      <c r="F266" s="6">
        <v>2</v>
      </c>
      <c r="G266" s="7">
        <v>0.682711660861969</v>
      </c>
      <c r="H266" s="7">
        <v>51.7622015625</v>
      </c>
      <c r="I266" s="7">
        <v>30.98592423634085</v>
      </c>
      <c r="J266" s="7">
        <v>10.84724212008218</v>
      </c>
      <c r="K266" s="7">
        <v>4.965661842409707</v>
      </c>
      <c r="L266" s="7">
        <v>0.9000264370716369</v>
      </c>
      <c r="M266" s="7">
        <v>0.6774756562237125</v>
      </c>
      <c r="N266" s="7">
        <v>0.3335318958553559</v>
      </c>
      <c r="O266" s="7">
        <v>0.0465501950408418</v>
      </c>
      <c r="P266" s="7">
        <v>9.354490553716069</v>
      </c>
      <c r="Q266" s="7">
        <v>0.0054270464059906</v>
      </c>
      <c r="R266" s="7">
        <v>0.0292898608154415</v>
      </c>
      <c r="S266" s="7">
        <v>0.0926504159935321</v>
      </c>
      <c r="T266" s="7">
        <v>0.3260371249717797</v>
      </c>
    </row>
    <row x14ac:dyDescent="0.25" r="267" customHeight="1" ht="19.5">
      <c r="A267" s="2" t="s">
        <v>1325</v>
      </c>
      <c r="B267" s="2" t="s">
        <v>1060</v>
      </c>
      <c r="C267" s="2" t="s">
        <v>31</v>
      </c>
      <c r="D267" s="2" t="s">
        <v>245</v>
      </c>
      <c r="E267" s="6">
        <v>1</v>
      </c>
      <c r="F267" s="6">
        <v>2</v>
      </c>
      <c r="G267" s="7">
        <v>0.6785774230957031</v>
      </c>
      <c r="H267" s="7">
        <v>51.87648984375</v>
      </c>
      <c r="I267" s="7">
        <v>31.04059157005125</v>
      </c>
      <c r="J267" s="7">
        <v>10.85441059112991</v>
      </c>
      <c r="K267" s="7">
        <v>4.975107101573437</v>
      </c>
      <c r="L267" s="7">
        <v>0.8993497875102027</v>
      </c>
      <c r="M267" s="7">
        <v>0.6765820437674865</v>
      </c>
      <c r="N267" s="7">
        <v>0.3309914784382883</v>
      </c>
      <c r="O267" s="7">
        <v>0.0465663348665464</v>
      </c>
      <c r="P267" s="7">
        <v>9.334599635750363</v>
      </c>
      <c r="Q267" s="7">
        <v>0.0055236304730081</v>
      </c>
      <c r="R267" s="7">
        <v>0.0300299594983972</v>
      </c>
      <c r="S267" s="7">
        <v>0.0908878501571701</v>
      </c>
      <c r="T267" s="7">
        <v>0.3325722275896358</v>
      </c>
    </row>
    <row x14ac:dyDescent="0.25" r="268" customHeight="1" ht="19.5">
      <c r="A268" s="2" t="s">
        <v>1326</v>
      </c>
      <c r="B268" s="2" t="s">
        <v>1060</v>
      </c>
      <c r="C268" s="2" t="s">
        <v>31</v>
      </c>
      <c r="D268" s="2" t="s">
        <v>245</v>
      </c>
      <c r="E268" s="6">
        <v>1</v>
      </c>
      <c r="F268" s="6">
        <v>2</v>
      </c>
      <c r="G268" s="7">
        <v>0.7001804709434509</v>
      </c>
      <c r="H268" s="7">
        <v>52.5864625</v>
      </c>
      <c r="I268" s="7">
        <v>31.06915020884943</v>
      </c>
      <c r="J268" s="7">
        <v>10.8425955285158</v>
      </c>
      <c r="K268" s="7">
        <v>5.015948106474139</v>
      </c>
      <c r="L268" s="7">
        <v>0.8962744462742288</v>
      </c>
      <c r="M268" s="7">
        <v>0.6845813621610998</v>
      </c>
      <c r="N268" s="7">
        <v>0.3349575032953962</v>
      </c>
      <c r="O268" s="7">
        <v>0.046513160826171</v>
      </c>
      <c r="P268" s="7">
        <v>9.326825039962744</v>
      </c>
      <c r="Q268" s="7">
        <v>0.0055868201233336</v>
      </c>
      <c r="R268" s="7">
        <v>0.029888420281332</v>
      </c>
      <c r="S268" s="7">
        <v>0.0904324632053151</v>
      </c>
      <c r="T268" s="7">
        <v>0.3409804076010986</v>
      </c>
    </row>
    <row x14ac:dyDescent="0.25" r="269" customHeight="1" ht="19.5">
      <c r="A269" s="2" t="s">
        <v>1327</v>
      </c>
      <c r="B269" s="2" t="s">
        <v>1060</v>
      </c>
      <c r="C269" s="2" t="s">
        <v>31</v>
      </c>
      <c r="D269" s="2" t="s">
        <v>245</v>
      </c>
      <c r="E269" s="6">
        <v>1</v>
      </c>
      <c r="F269" s="6">
        <v>2</v>
      </c>
      <c r="G269" s="7">
        <v>0.6851732730865479</v>
      </c>
      <c r="H269" s="7">
        <v>51.33275468750001</v>
      </c>
      <c r="I269" s="7">
        <v>31.05487088945035</v>
      </c>
      <c r="J269" s="7">
        <v>10.72214510709846</v>
      </c>
      <c r="K269" s="7">
        <v>4.950150031786746</v>
      </c>
      <c r="L269" s="7">
        <v>0.8975741963564239</v>
      </c>
      <c r="M269" s="7">
        <v>0.6688750224981467</v>
      </c>
      <c r="N269" s="7">
        <v>0.3267040298837749</v>
      </c>
      <c r="O269" s="7">
        <v>0.0461034776988617</v>
      </c>
      <c r="P269" s="7">
        <v>9.356069341848748</v>
      </c>
      <c r="Q269" s="7">
        <v>0.005399067965537</v>
      </c>
      <c r="R269" s="7">
        <v>0.0297806514217029</v>
      </c>
      <c r="S269" s="7">
        <v>0.0910700288191643</v>
      </c>
      <c r="T269" s="7">
        <v>0.3216652494776414</v>
      </c>
    </row>
    <row x14ac:dyDescent="0.25" r="270" customHeight="1" ht="19.5">
      <c r="A270" s="2" t="s">
        <v>1328</v>
      </c>
      <c r="B270" s="2" t="s">
        <v>1060</v>
      </c>
      <c r="C270" s="2" t="s">
        <v>31</v>
      </c>
      <c r="D270" s="2" t="s">
        <v>245</v>
      </c>
      <c r="E270" s="6">
        <v>1</v>
      </c>
      <c r="F270" s="6">
        <v>2</v>
      </c>
      <c r="G270" s="7">
        <v>0.6830962896347046</v>
      </c>
      <c r="H270" s="7">
        <v>52.44793125</v>
      </c>
      <c r="I270" s="7">
        <v>31.06915020884944</v>
      </c>
      <c r="J270" s="7">
        <v>10.85275805047877</v>
      </c>
      <c r="K270" s="7">
        <v>5.031624082443701</v>
      </c>
      <c r="L270" s="7">
        <v>0.8971074539448393</v>
      </c>
      <c r="M270" s="7">
        <v>0.6827779339151535</v>
      </c>
      <c r="N270" s="7">
        <v>0.331548308852637</v>
      </c>
      <c r="O270" s="7">
        <v>0.0462696197457455</v>
      </c>
      <c r="P270" s="7">
        <v>9.350981782527205</v>
      </c>
      <c r="Q270" s="7">
        <v>0.0056039180009142</v>
      </c>
      <c r="R270" s="7">
        <v>0.0303287297929607</v>
      </c>
      <c r="S270" s="7">
        <v>0.090674980855591</v>
      </c>
      <c r="T270" s="7">
        <v>0.3411229309699904</v>
      </c>
    </row>
    <row x14ac:dyDescent="0.25" r="271" customHeight="1" ht="19.5">
      <c r="A271" s="2" t="s">
        <v>1329</v>
      </c>
      <c r="B271" s="2" t="s">
        <v>1060</v>
      </c>
      <c r="C271" s="2" t="s">
        <v>31</v>
      </c>
      <c r="D271" s="2" t="s">
        <v>245</v>
      </c>
      <c r="E271" s="6">
        <v>1</v>
      </c>
      <c r="F271" s="6">
        <v>2</v>
      </c>
      <c r="G271" s="7">
        <v>0.6851839423179626</v>
      </c>
      <c r="H271" s="7">
        <v>51.22885625</v>
      </c>
      <c r="I271" s="7">
        <v>30.77071964536984</v>
      </c>
      <c r="J271" s="7">
        <v>10.73696064970778</v>
      </c>
      <c r="K271" s="7">
        <v>4.970187465048205</v>
      </c>
      <c r="L271" s="7">
        <v>0.8978870846637941</v>
      </c>
      <c r="M271" s="7">
        <v>0.6799065375654613</v>
      </c>
      <c r="N271" s="7">
        <v>0.3378789482950863</v>
      </c>
      <c r="O271" s="7">
        <v>0.0472820713752959</v>
      </c>
      <c r="P271" s="7">
        <v>9.313897814364749</v>
      </c>
      <c r="Q271" s="7">
        <v>0.0055603528894629</v>
      </c>
      <c r="R271" s="7">
        <v>0.029996065874079</v>
      </c>
      <c r="S271" s="7">
        <v>0.0852488077185143</v>
      </c>
      <c r="T271" s="7">
        <v>0.3306037648739012</v>
      </c>
    </row>
    <row x14ac:dyDescent="0.25" r="272" customHeight="1" ht="19.5">
      <c r="A272" s="2" t="s">
        <v>1330</v>
      </c>
      <c r="B272" s="2" t="s">
        <v>1060</v>
      </c>
      <c r="C272" s="2" t="s">
        <v>31</v>
      </c>
      <c r="D272" s="2" t="s">
        <v>245</v>
      </c>
      <c r="E272" s="6">
        <v>1</v>
      </c>
      <c r="F272" s="6">
        <v>2</v>
      </c>
      <c r="G272" s="7">
        <v>0.4990072250366211</v>
      </c>
      <c r="H272" s="7">
        <v>47.38115078125</v>
      </c>
      <c r="I272" s="7">
        <v>29.24654344530306</v>
      </c>
      <c r="J272" s="7">
        <v>10.0778702485395</v>
      </c>
      <c r="K272" s="7">
        <v>4.852984257235692</v>
      </c>
      <c r="L272" s="7">
        <v>0.8869333455496786</v>
      </c>
      <c r="M272" s="7">
        <v>0.6960915749972185</v>
      </c>
      <c r="N272" s="7">
        <v>0.5336245281666757</v>
      </c>
      <c r="O272" s="7">
        <v>0.0732474268974981</v>
      </c>
      <c r="P272" s="7">
        <v>8.060189627271393</v>
      </c>
      <c r="Q272" s="7">
        <v>0.0071449183440202</v>
      </c>
      <c r="R272" s="7">
        <v>0.0296209406911848</v>
      </c>
      <c r="S272" s="7">
        <v>0.0606866769539862</v>
      </c>
      <c r="T272" s="7">
        <v>0.3929105176595645</v>
      </c>
    </row>
    <row x14ac:dyDescent="0.25" r="273" customHeight="1" ht="19.5">
      <c r="A273" s="2" t="s">
        <v>1331</v>
      </c>
      <c r="B273" s="2" t="s">
        <v>1060</v>
      </c>
      <c r="C273" s="2" t="s">
        <v>31</v>
      </c>
      <c r="D273" s="2" t="s">
        <v>245</v>
      </c>
      <c r="E273" s="6">
        <v>1</v>
      </c>
      <c r="F273" s="6">
        <v>2</v>
      </c>
      <c r="G273" s="7">
        <v>0.3841999173164367</v>
      </c>
      <c r="H273" s="7">
        <v>28.58938671875</v>
      </c>
      <c r="I273" s="7">
        <v>21.16120028038915</v>
      </c>
      <c r="J273" s="7">
        <v>7.230195227106234</v>
      </c>
      <c r="K273" s="7">
        <v>5.056788004993354</v>
      </c>
      <c r="L273" s="7">
        <v>0.7400957629179207</v>
      </c>
      <c r="M273" s="7">
        <v>0.8022950414649116</v>
      </c>
      <c r="N273" s="7">
        <v>0.5135059821125112</v>
      </c>
      <c r="O273" s="7">
        <v>0.1457244464539396</v>
      </c>
      <c r="P273" s="7">
        <v>6.997140133222403</v>
      </c>
      <c r="Q273" s="7">
        <v>0.0039521198584066</v>
      </c>
      <c r="R273" s="7">
        <v>0.0227535256273778</v>
      </c>
      <c r="S273" s="7">
        <v>0.052808575438218</v>
      </c>
      <c r="T273" s="7">
        <v>0.1311371456602302</v>
      </c>
    </row>
    <row x14ac:dyDescent="0.25" r="274" customHeight="1" ht="19.5">
      <c r="A274" s="2" t="s">
        <v>1332</v>
      </c>
      <c r="B274" s="2" t="s">
        <v>1060</v>
      </c>
      <c r="C274" s="2" t="s">
        <v>31</v>
      </c>
      <c r="D274" s="2" t="s">
        <v>245</v>
      </c>
      <c r="E274" s="6">
        <v>1</v>
      </c>
      <c r="F274" s="6">
        <v>2</v>
      </c>
      <c r="G274" s="7">
        <v>0.7001869678497314</v>
      </c>
      <c r="H274" s="7">
        <v>50.44961796875</v>
      </c>
      <c r="I274" s="7">
        <v>30.84456618625127</v>
      </c>
      <c r="J274" s="7">
        <v>10.72504179000751</v>
      </c>
      <c r="K274" s="7">
        <v>5.218608046822</v>
      </c>
      <c r="L274" s="7">
        <v>0.8889812400353012</v>
      </c>
      <c r="M274" s="7">
        <v>0.6663622914224953</v>
      </c>
      <c r="N274" s="7">
        <v>0.4101564977964397</v>
      </c>
      <c r="O274" s="7">
        <v>0.0662244028190934</v>
      </c>
      <c r="P274" s="7">
        <v>8.746382847075314</v>
      </c>
      <c r="Q274" s="7">
        <v>0.0030798954233909</v>
      </c>
      <c r="R274" s="7">
        <v>0.021024915092128</v>
      </c>
      <c r="S274" s="7">
        <v>0.0588424856174744</v>
      </c>
      <c r="T274" s="7">
        <v>0.1803369135116292</v>
      </c>
    </row>
    <row x14ac:dyDescent="0.25" r="275" customHeight="1" ht="19.5">
      <c r="A275" s="2" t="s">
        <v>1333</v>
      </c>
      <c r="B275" s="2" t="s">
        <v>1060</v>
      </c>
      <c r="C275" s="2" t="s">
        <v>31</v>
      </c>
      <c r="D275" s="2" t="s">
        <v>245</v>
      </c>
      <c r="E275" s="6">
        <v>1</v>
      </c>
      <c r="F275" s="6">
        <v>2</v>
      </c>
      <c r="G275" s="7">
        <v>0.6948871612548828</v>
      </c>
      <c r="H275" s="7">
        <v>49.3379046875</v>
      </c>
      <c r="I275" s="7">
        <v>29.78873723855186</v>
      </c>
      <c r="J275" s="7">
        <v>10.38076953061524</v>
      </c>
      <c r="K275" s="7">
        <v>4.964191645582481</v>
      </c>
      <c r="L275" s="7">
        <v>0.889345643711487</v>
      </c>
      <c r="M275" s="7">
        <v>0.6986929778671804</v>
      </c>
      <c r="N275" s="7">
        <v>0.3376905901011195</v>
      </c>
      <c r="O275" s="7">
        <v>0.0488366958157546</v>
      </c>
      <c r="P275" s="7">
        <v>9.198954959095328</v>
      </c>
      <c r="Q275" s="7">
        <v>0.0040823828056098</v>
      </c>
      <c r="R275" s="7">
        <v>0.0271835471806684</v>
      </c>
      <c r="S275" s="7">
        <v>0.0702705433902965</v>
      </c>
      <c r="T275" s="7">
        <v>0.2337680789186515</v>
      </c>
    </row>
    <row x14ac:dyDescent="0.25" r="276" customHeight="1" ht="19.5">
      <c r="A276" s="2" t="s">
        <v>1334</v>
      </c>
      <c r="B276" s="2" t="s">
        <v>1060</v>
      </c>
      <c r="C276" s="2" t="s">
        <v>31</v>
      </c>
      <c r="D276" s="2" t="s">
        <v>245</v>
      </c>
      <c r="E276" s="6">
        <v>1</v>
      </c>
      <c r="F276" s="6">
        <v>2</v>
      </c>
      <c r="G276" s="7">
        <v>0.7485229969024658</v>
      </c>
      <c r="H276" s="7">
        <v>48.05302734375</v>
      </c>
      <c r="I276" s="7">
        <v>29.7281552170849</v>
      </c>
      <c r="J276" s="7">
        <v>10.62795109363284</v>
      </c>
      <c r="K276" s="7">
        <v>4.826167416946568</v>
      </c>
      <c r="L276" s="7">
        <v>0.903673687512738</v>
      </c>
      <c r="M276" s="7">
        <v>0.6832736892944518</v>
      </c>
      <c r="N276" s="7">
        <v>0.2943562395277958</v>
      </c>
      <c r="O276" s="7">
        <v>0.0455948674109291</v>
      </c>
      <c r="P276" s="7">
        <v>9.535332701653267</v>
      </c>
      <c r="Q276" s="7">
        <v>0.0053453565856898</v>
      </c>
      <c r="R276" s="7">
        <v>0.033220925731427</v>
      </c>
      <c r="S276" s="7">
        <v>0.081485487610216</v>
      </c>
      <c r="T276" s="7">
        <v>0.2981180113719225</v>
      </c>
    </row>
    <row x14ac:dyDescent="0.25" r="277" customHeight="1" ht="19.5">
      <c r="A277" s="2" t="s">
        <v>1335</v>
      </c>
      <c r="B277" s="2" t="s">
        <v>1060</v>
      </c>
      <c r="C277" s="2" t="s">
        <v>31</v>
      </c>
      <c r="D277" s="2" t="s">
        <v>245</v>
      </c>
      <c r="E277" s="6">
        <v>1</v>
      </c>
      <c r="F277" s="6">
        <v>2</v>
      </c>
      <c r="G277" s="7">
        <v>0.7256559729576111</v>
      </c>
      <c r="H277" s="7">
        <v>49.39678046875</v>
      </c>
      <c r="I277" s="7">
        <v>30.13000576022874</v>
      </c>
      <c r="J277" s="7">
        <v>10.78136814962772</v>
      </c>
      <c r="K277" s="7">
        <v>4.854981860229305</v>
      </c>
      <c r="L277" s="7">
        <v>0.903935578045152</v>
      </c>
      <c r="M277" s="7">
        <v>0.6837700566954173</v>
      </c>
      <c r="N277" s="7">
        <v>0.2767605911858306</v>
      </c>
      <c r="O277" s="7">
        <v>0.0443322203011686</v>
      </c>
      <c r="P277" s="7">
        <v>9.669025628915016</v>
      </c>
      <c r="Q277" s="7">
        <v>0.0061052372242505</v>
      </c>
      <c r="R277" s="7">
        <v>0.0357867544955387</v>
      </c>
      <c r="S277" s="7">
        <v>0.0849487506708051</v>
      </c>
      <c r="T277" s="7">
        <v>0.3500192802463655</v>
      </c>
    </row>
    <row x14ac:dyDescent="0.25" r="278" customHeight="1" ht="19.5">
      <c r="A278" s="2" t="s">
        <v>1336</v>
      </c>
      <c r="B278" s="2" t="s">
        <v>1060</v>
      </c>
      <c r="C278" s="2" t="s">
        <v>31</v>
      </c>
      <c r="D278" s="2" t="s">
        <v>245</v>
      </c>
      <c r="E278" s="6">
        <v>1</v>
      </c>
      <c r="F278" s="6">
        <v>2</v>
      </c>
      <c r="G278" s="7">
        <v>0.7180954217910767</v>
      </c>
      <c r="H278" s="7">
        <v>47.68245625</v>
      </c>
      <c r="I278" s="7">
        <v>29.66512325173196</v>
      </c>
      <c r="J278" s="7">
        <v>10.59644672758883</v>
      </c>
      <c r="K278" s="7">
        <v>4.717348739782271</v>
      </c>
      <c r="L278" s="7">
        <v>0.9053096181909154</v>
      </c>
      <c r="M278" s="7">
        <v>0.6808887660780214</v>
      </c>
      <c r="N278" s="7">
        <v>0.2716590585642957</v>
      </c>
      <c r="O278" s="7">
        <v>0.0422574423561014</v>
      </c>
      <c r="P278" s="7">
        <v>9.674331304890057</v>
      </c>
      <c r="Q278" s="7">
        <v>0.0061027129439548</v>
      </c>
      <c r="R278" s="7">
        <v>0.0352905859636232</v>
      </c>
      <c r="S278" s="7">
        <v>0.0839123692227032</v>
      </c>
      <c r="T278" s="7">
        <v>0.3377321007218352</v>
      </c>
    </row>
    <row x14ac:dyDescent="0.25" r="279" customHeight="1" ht="19.5">
      <c r="A279" s="2" t="s">
        <v>1337</v>
      </c>
      <c r="B279" s="2" t="s">
        <v>1060</v>
      </c>
      <c r="C279" s="2" t="s">
        <v>31</v>
      </c>
      <c r="D279" s="2" t="s">
        <v>245</v>
      </c>
      <c r="E279" s="6">
        <v>1</v>
      </c>
      <c r="F279" s="6">
        <v>2</v>
      </c>
      <c r="G279" s="7">
        <v>0.7268137335777283</v>
      </c>
      <c r="H279" s="7">
        <v>49.16820390625</v>
      </c>
      <c r="I279" s="7">
        <v>30.19895241333823</v>
      </c>
      <c r="J279" s="7">
        <v>10.78839019568702</v>
      </c>
      <c r="K279" s="7">
        <v>4.815319676051862</v>
      </c>
      <c r="L279" s="7">
        <v>0.905357763798488</v>
      </c>
      <c r="M279" s="7">
        <v>0.6775017985969859</v>
      </c>
      <c r="N279" s="7">
        <v>0.2753453778520982</v>
      </c>
      <c r="O279" s="7">
        <v>0.0442046881049907</v>
      </c>
      <c r="P279" s="7">
        <v>9.705564114454916</v>
      </c>
      <c r="Q279" s="7">
        <v>0.0062964897490683</v>
      </c>
      <c r="R279" s="7">
        <v>0.0367434326259722</v>
      </c>
      <c r="S279" s="7">
        <v>0.0857886120647219</v>
      </c>
      <c r="T279" s="7">
        <v>0.3593135744854757</v>
      </c>
    </row>
    <row x14ac:dyDescent="0.25" r="280" customHeight="1" ht="19.5">
      <c r="A280" s="2" t="s">
        <v>1338</v>
      </c>
      <c r="B280" s="2" t="s">
        <v>1060</v>
      </c>
      <c r="C280" s="2" t="s">
        <v>31</v>
      </c>
      <c r="D280" s="2" t="s">
        <v>245</v>
      </c>
      <c r="E280" s="6">
        <v>1</v>
      </c>
      <c r="F280" s="6">
        <v>2</v>
      </c>
      <c r="G280" s="7">
        <v>0.7317996621131897</v>
      </c>
      <c r="H280" s="7">
        <v>47.85215703125</v>
      </c>
      <c r="I280" s="7">
        <v>29.66512325173196</v>
      </c>
      <c r="J280" s="7">
        <v>10.53589155265428</v>
      </c>
      <c r="K280" s="7">
        <v>4.770205880370503</v>
      </c>
      <c r="L280" s="7">
        <v>0.9020111066970262</v>
      </c>
      <c r="M280" s="7">
        <v>0.683312033766707</v>
      </c>
      <c r="N280" s="7">
        <v>0.2741557667426588</v>
      </c>
      <c r="O280" s="7">
        <v>0.043341035068542</v>
      </c>
      <c r="P280" s="7">
        <v>9.668387545740744</v>
      </c>
      <c r="Q280" s="7">
        <v>0.006650509037701</v>
      </c>
      <c r="R280" s="7">
        <v>0.0368820590853838</v>
      </c>
      <c r="S280" s="7">
        <v>0.083496978836152</v>
      </c>
      <c r="T280" s="7">
        <v>0.3693577255993135</v>
      </c>
    </row>
    <row x14ac:dyDescent="0.25" r="281" customHeight="1" ht="19.5">
      <c r="A281" s="2" t="s">
        <v>1339</v>
      </c>
      <c r="B281" s="2" t="s">
        <v>1060</v>
      </c>
      <c r="C281" s="2" t="s">
        <v>31</v>
      </c>
      <c r="D281" s="2" t="s">
        <v>245</v>
      </c>
      <c r="E281" s="6">
        <v>1</v>
      </c>
      <c r="F281" s="6">
        <v>2</v>
      </c>
      <c r="G281" s="7">
        <v>0.724327802658081</v>
      </c>
      <c r="H281" s="7">
        <v>49.1162546875</v>
      </c>
      <c r="I281" s="7">
        <v>30.11572644082964</v>
      </c>
      <c r="J281" s="7">
        <v>10.80161713570342</v>
      </c>
      <c r="K281" s="7">
        <v>4.834253716949915</v>
      </c>
      <c r="L281" s="7">
        <v>0.905460370831284</v>
      </c>
      <c r="M281" s="7">
        <v>0.6805317935067209</v>
      </c>
      <c r="N281" s="7">
        <v>0.2780008739497081</v>
      </c>
      <c r="O281" s="7">
        <v>0.045741007309518</v>
      </c>
      <c r="P281" s="7">
        <v>9.683322901797109</v>
      </c>
      <c r="Q281" s="7">
        <v>0.0064978641580109</v>
      </c>
      <c r="R281" s="7">
        <v>0.0376665915116624</v>
      </c>
      <c r="S281" s="7">
        <v>0.0863307449604041</v>
      </c>
      <c r="T281" s="7">
        <v>0.3704133670891874</v>
      </c>
    </row>
    <row x14ac:dyDescent="0.25" r="282" customHeight="1" ht="19.5">
      <c r="A282" s="2" t="s">
        <v>1340</v>
      </c>
      <c r="B282" s="2" t="s">
        <v>1060</v>
      </c>
      <c r="C282" s="2" t="s">
        <v>31</v>
      </c>
      <c r="D282" s="2" t="s">
        <v>245</v>
      </c>
      <c r="E282" s="6">
        <v>1</v>
      </c>
      <c r="F282" s="6">
        <v>2</v>
      </c>
      <c r="G282" s="7">
        <v>0.7283726334571838</v>
      </c>
      <c r="H282" s="7">
        <v>49.303271875</v>
      </c>
      <c r="I282" s="7">
        <v>30.15019976738439</v>
      </c>
      <c r="J282" s="7">
        <v>10.79910400543431</v>
      </c>
      <c r="K282" s="7">
        <v>4.880324905308361</v>
      </c>
      <c r="L282" s="7">
        <v>0.9047196037534332</v>
      </c>
      <c r="M282" s="7">
        <v>0.6815617619803576</v>
      </c>
      <c r="N282" s="7">
        <v>0.2759662854363247</v>
      </c>
      <c r="O282" s="7">
        <v>0.0445953109706008</v>
      </c>
      <c r="P282" s="7">
        <v>9.679490922023383</v>
      </c>
      <c r="Q282" s="7">
        <v>0.0063382121777309</v>
      </c>
      <c r="R282" s="7">
        <v>0.0365338430410774</v>
      </c>
      <c r="S282" s="7">
        <v>0.0870678672280914</v>
      </c>
      <c r="T282" s="7">
        <v>0.362688090147267</v>
      </c>
    </row>
    <row x14ac:dyDescent="0.25" r="283" customHeight="1" ht="19.5">
      <c r="A283" s="2" t="s">
        <v>1341</v>
      </c>
      <c r="B283" s="2" t="s">
        <v>1060</v>
      </c>
      <c r="C283" s="2" t="s">
        <v>31</v>
      </c>
      <c r="D283" s="2" t="s">
        <v>245</v>
      </c>
      <c r="E283" s="6">
        <v>1</v>
      </c>
      <c r="F283" s="6">
        <v>2</v>
      </c>
      <c r="G283" s="7">
        <v>0.7196894288063049</v>
      </c>
      <c r="H283" s="7">
        <v>49.06430546875</v>
      </c>
      <c r="I283" s="7">
        <v>30.19895241333823</v>
      </c>
      <c r="J283" s="7">
        <v>10.73890309043272</v>
      </c>
      <c r="K283" s="7">
        <v>4.871147653915454</v>
      </c>
      <c r="L283" s="7">
        <v>0.9038124462827516</v>
      </c>
      <c r="M283" s="7">
        <v>0.6760701543089033</v>
      </c>
      <c r="N283" s="7">
        <v>0.2767242942728964</v>
      </c>
      <c r="O283" s="7">
        <v>0.0440308374813248</v>
      </c>
      <c r="P283" s="7">
        <v>9.685097627309656</v>
      </c>
      <c r="Q283" s="7">
        <v>0.0066440658960645</v>
      </c>
      <c r="R283" s="7">
        <v>0.0377069279732674</v>
      </c>
      <c r="S283" s="7">
        <v>0.084530107762754</v>
      </c>
      <c r="T283" s="7">
        <v>0.378347062787355</v>
      </c>
    </row>
    <row x14ac:dyDescent="0.25" r="284" customHeight="1" ht="19.5">
      <c r="A284" s="2" t="s">
        <v>1342</v>
      </c>
      <c r="B284" s="2" t="s">
        <v>1060</v>
      </c>
      <c r="C284" s="2" t="s">
        <v>31</v>
      </c>
      <c r="D284" s="2" t="s">
        <v>245</v>
      </c>
      <c r="E284" s="6">
        <v>1</v>
      </c>
      <c r="F284" s="6">
        <v>2</v>
      </c>
      <c r="G284" s="7">
        <v>0.7356917262077332</v>
      </c>
      <c r="H284" s="7">
        <v>47.96298203125</v>
      </c>
      <c r="I284" s="7">
        <v>29.74834922424055</v>
      </c>
      <c r="J284" s="7">
        <v>10.54638143991044</v>
      </c>
      <c r="K284" s="7">
        <v>4.782557812481688</v>
      </c>
      <c r="L284" s="7">
        <v>0.902408917909189</v>
      </c>
      <c r="M284" s="7">
        <v>0.6810677227639625</v>
      </c>
      <c r="N284" s="7">
        <v>0.2740689191842959</v>
      </c>
      <c r="O284" s="7">
        <v>0.0426130057514916</v>
      </c>
      <c r="P284" s="7">
        <v>9.66771301437459</v>
      </c>
      <c r="Q284" s="7">
        <v>0.006933792084239</v>
      </c>
      <c r="R284" s="7">
        <v>0.038109830512804</v>
      </c>
      <c r="S284" s="7">
        <v>0.0850702240201269</v>
      </c>
      <c r="T284" s="7">
        <v>0.3859826396182701</v>
      </c>
    </row>
    <row x14ac:dyDescent="0.25" r="285" customHeight="1" ht="19.5">
      <c r="A285" s="2" t="s">
        <v>1343</v>
      </c>
      <c r="B285" s="2" t="s">
        <v>1060</v>
      </c>
      <c r="C285" s="2" t="s">
        <v>31</v>
      </c>
      <c r="D285" s="2" t="s">
        <v>245</v>
      </c>
      <c r="E285" s="6">
        <v>1</v>
      </c>
      <c r="F285" s="6">
        <v>2</v>
      </c>
      <c r="G285" s="7">
        <v>0.7236286401748657</v>
      </c>
      <c r="H285" s="7">
        <v>49.20976328125001</v>
      </c>
      <c r="I285" s="7">
        <v>30.24770505929207</v>
      </c>
      <c r="J285" s="7">
        <v>10.79245801135628</v>
      </c>
      <c r="K285" s="7">
        <v>4.875951377885455</v>
      </c>
      <c r="L285" s="7">
        <v>0.9050969057003896</v>
      </c>
      <c r="M285" s="7">
        <v>0.6758904041480002</v>
      </c>
      <c r="N285" s="7">
        <v>0.275100382081234</v>
      </c>
      <c r="O285" s="7">
        <v>0.0447024523408357</v>
      </c>
      <c r="P285" s="7">
        <v>9.675333546497315</v>
      </c>
      <c r="Q285" s="7">
        <v>0.0063006815507778</v>
      </c>
      <c r="R285" s="7">
        <v>0.0364175308593228</v>
      </c>
      <c r="S285" s="7">
        <v>0.084257383858553</v>
      </c>
      <c r="T285" s="7">
        <v>0.3598566941991536</v>
      </c>
    </row>
    <row x14ac:dyDescent="0.25" r="286" customHeight="1" ht="19.5">
      <c r="A286" s="2" t="s">
        <v>1344</v>
      </c>
      <c r="B286" s="2" t="s">
        <v>1060</v>
      </c>
      <c r="C286" s="2" t="s">
        <v>31</v>
      </c>
      <c r="D286" s="2" t="s">
        <v>245</v>
      </c>
      <c r="E286" s="6">
        <v>1</v>
      </c>
      <c r="F286" s="6">
        <v>2</v>
      </c>
      <c r="G286" s="7">
        <v>0.7327373623847961</v>
      </c>
      <c r="H286" s="7">
        <v>48.2642875</v>
      </c>
      <c r="I286" s="7">
        <v>29.84585451614823</v>
      </c>
      <c r="J286" s="7">
        <v>10.56156472729052</v>
      </c>
      <c r="K286" s="7">
        <v>4.869067227202527</v>
      </c>
      <c r="L286" s="7">
        <v>0.9004633661234199</v>
      </c>
      <c r="M286" s="7">
        <v>0.6808755325550935</v>
      </c>
      <c r="N286" s="7">
        <v>0.2753836019675436</v>
      </c>
      <c r="O286" s="7">
        <v>0.0439650935407368</v>
      </c>
      <c r="P286" s="7">
        <v>9.675915582992191</v>
      </c>
      <c r="Q286" s="7">
        <v>0.006910957331619</v>
      </c>
      <c r="R286" s="7">
        <v>0.0386551410067522</v>
      </c>
      <c r="S286" s="7">
        <v>0.0843522067466943</v>
      </c>
      <c r="T286" s="7">
        <v>0.3871282737714628</v>
      </c>
    </row>
    <row x14ac:dyDescent="0.25" r="287" customHeight="1" ht="19.5">
      <c r="A287" s="2" t="s">
        <v>1345</v>
      </c>
      <c r="B287" s="2" t="s">
        <v>1060</v>
      </c>
      <c r="C287" s="2" t="s">
        <v>31</v>
      </c>
      <c r="D287" s="2" t="s">
        <v>245</v>
      </c>
      <c r="E287" s="6">
        <v>1</v>
      </c>
      <c r="F287" s="6">
        <v>2</v>
      </c>
      <c r="G287" s="7">
        <v>0.7304123640060425</v>
      </c>
      <c r="H287" s="7">
        <v>48.70412421875</v>
      </c>
      <c r="I287" s="7">
        <v>30.20731704498076</v>
      </c>
      <c r="J287" s="7">
        <v>10.67509838638351</v>
      </c>
      <c r="K287" s="7">
        <v>4.862744397379156</v>
      </c>
      <c r="L287" s="7">
        <v>0.9032116282986415</v>
      </c>
      <c r="M287" s="7">
        <v>0.6707355030902978</v>
      </c>
      <c r="N287" s="7">
        <v>0.27378990234268</v>
      </c>
      <c r="O287" s="7">
        <v>0.0439285321738453</v>
      </c>
      <c r="P287" s="7">
        <v>9.699718579117572</v>
      </c>
      <c r="Q287" s="7">
        <v>0.0066175142538969</v>
      </c>
      <c r="R287" s="7">
        <v>0.0372616295566168</v>
      </c>
      <c r="S287" s="7">
        <v>0.0835498919854247</v>
      </c>
      <c r="T287" s="7">
        <v>0.3740687288983459</v>
      </c>
    </row>
    <row x14ac:dyDescent="0.25" r="288" customHeight="1" ht="19.5">
      <c r="A288" s="2" t="s">
        <v>1346</v>
      </c>
      <c r="B288" s="2" t="s">
        <v>1060</v>
      </c>
      <c r="C288" s="2" t="s">
        <v>31</v>
      </c>
      <c r="D288" s="2" t="s">
        <v>245</v>
      </c>
      <c r="E288" s="6">
        <v>1</v>
      </c>
      <c r="F288" s="6">
        <v>2</v>
      </c>
      <c r="G288" s="7">
        <v>0.732000470161438</v>
      </c>
      <c r="H288" s="7">
        <v>49.41756015625</v>
      </c>
      <c r="I288" s="7">
        <v>30.46290965026309</v>
      </c>
      <c r="J288" s="7">
        <v>10.85765182720836</v>
      </c>
      <c r="K288" s="7">
        <v>4.881083773251762</v>
      </c>
      <c r="L288" s="7">
        <v>0.906583507357758</v>
      </c>
      <c r="M288" s="7">
        <v>0.6691883918338243</v>
      </c>
      <c r="N288" s="7">
        <v>0.2786455374525347</v>
      </c>
      <c r="O288" s="7">
        <v>0.0447431274168938</v>
      </c>
      <c r="P288" s="7">
        <v>9.681043031531622</v>
      </c>
      <c r="Q288" s="7">
        <v>0.0064334487886755</v>
      </c>
      <c r="R288" s="7">
        <v>0.0373265927085061</v>
      </c>
      <c r="S288" s="7">
        <v>0.0857079359161499</v>
      </c>
      <c r="T288" s="7">
        <v>0.3689911312211694</v>
      </c>
    </row>
    <row x14ac:dyDescent="0.25" r="289" customHeight="1" ht="19.5">
      <c r="A289" s="2" t="s">
        <v>1347</v>
      </c>
      <c r="B289" s="2" t="s">
        <v>1060</v>
      </c>
      <c r="C289" s="2" t="s">
        <v>31</v>
      </c>
      <c r="D289" s="2" t="s">
        <v>245</v>
      </c>
      <c r="E289" s="6">
        <v>1</v>
      </c>
      <c r="F289" s="6">
        <v>2</v>
      </c>
      <c r="G289" s="7">
        <v>0.735202431678772</v>
      </c>
      <c r="H289" s="7">
        <v>47.97683515625</v>
      </c>
      <c r="I289" s="7">
        <v>29.61637060577812</v>
      </c>
      <c r="J289" s="7">
        <v>10.55344511823886</v>
      </c>
      <c r="K289" s="7">
        <v>4.798226792775555</v>
      </c>
      <c r="L289" s="7">
        <v>0.9020400026536032</v>
      </c>
      <c r="M289" s="7">
        <v>0.6873497639866033</v>
      </c>
      <c r="N289" s="7">
        <v>0.2747063384519621</v>
      </c>
      <c r="O289" s="7">
        <v>0.0427218379409018</v>
      </c>
      <c r="P289" s="7">
        <v>9.6632037329905</v>
      </c>
      <c r="Q289" s="7">
        <v>0.0069324451124475</v>
      </c>
      <c r="R289" s="7">
        <v>0.0382840512227782</v>
      </c>
      <c r="S289" s="7">
        <v>0.0833692098504074</v>
      </c>
      <c r="T289" s="7">
        <v>0.386019119410996</v>
      </c>
    </row>
    <row x14ac:dyDescent="0.25" r="290" customHeight="1" ht="19.5">
      <c r="A290" s="2" t="s">
        <v>1348</v>
      </c>
      <c r="B290" s="2" t="s">
        <v>1060</v>
      </c>
      <c r="C290" s="2" t="s">
        <v>31</v>
      </c>
      <c r="D290" s="2" t="s">
        <v>245</v>
      </c>
      <c r="E290" s="6">
        <v>1</v>
      </c>
      <c r="F290" s="6">
        <v>2</v>
      </c>
      <c r="G290" s="7">
        <v>0.7271504402160645</v>
      </c>
      <c r="H290" s="7">
        <v>48.17424218750001</v>
      </c>
      <c r="I290" s="7">
        <v>29.74834922424055</v>
      </c>
      <c r="J290" s="7">
        <v>10.60914828385713</v>
      </c>
      <c r="K290" s="7">
        <v>4.794147189566678</v>
      </c>
      <c r="L290" s="7">
        <v>0.9030885118783636</v>
      </c>
      <c r="M290" s="7">
        <v>0.6840675878147677</v>
      </c>
      <c r="N290" s="7">
        <v>0.2770550487658441</v>
      </c>
      <c r="O290" s="7">
        <v>0.0434335229427925</v>
      </c>
      <c r="P290" s="7">
        <v>9.654959461011549</v>
      </c>
      <c r="Q290" s="7">
        <v>0.0071954053941947</v>
      </c>
      <c r="R290" s="7">
        <v>0.0393438109128492</v>
      </c>
      <c r="S290" s="7">
        <v>0.0856006195090833</v>
      </c>
      <c r="T290" s="7">
        <v>0.4023101031965789</v>
      </c>
    </row>
    <row x14ac:dyDescent="0.25" r="291" customHeight="1" ht="19.5">
      <c r="A291" s="2" t="s">
        <v>1349</v>
      </c>
      <c r="B291" s="2" t="s">
        <v>1060</v>
      </c>
      <c r="C291" s="2" t="s">
        <v>31</v>
      </c>
      <c r="D291" s="2" t="s">
        <v>245</v>
      </c>
      <c r="E291" s="6">
        <v>1</v>
      </c>
      <c r="F291" s="6">
        <v>2</v>
      </c>
      <c r="G291" s="7">
        <v>0.7250576019287109</v>
      </c>
      <c r="H291" s="7">
        <v>47.89371640625</v>
      </c>
      <c r="I291" s="7">
        <v>29.63064992517722</v>
      </c>
      <c r="J291" s="7">
        <v>10.54730833987581</v>
      </c>
      <c r="K291" s="7">
        <v>4.78876871022093</v>
      </c>
      <c r="L291" s="7">
        <v>0.9022084388652876</v>
      </c>
      <c r="M291" s="7">
        <v>0.6854977715610642</v>
      </c>
      <c r="N291" s="7">
        <v>0.276708428173166</v>
      </c>
      <c r="O291" s="7">
        <v>0.043027254415074</v>
      </c>
      <c r="P291" s="7">
        <v>9.658633591016253</v>
      </c>
      <c r="Q291" s="7">
        <v>0.0067816743766384</v>
      </c>
      <c r="R291" s="7">
        <v>0.0375677709569397</v>
      </c>
      <c r="S291" s="7">
        <v>0.0806753564785238</v>
      </c>
      <c r="T291" s="7">
        <v>0.3769695329839816</v>
      </c>
    </row>
    <row x14ac:dyDescent="0.25" r="292" customHeight="1" ht="19.5">
      <c r="A292" s="2" t="s">
        <v>1350</v>
      </c>
      <c r="B292" s="2" t="s">
        <v>1060</v>
      </c>
      <c r="C292" s="2" t="s">
        <v>31</v>
      </c>
      <c r="D292" s="2" t="s">
        <v>245</v>
      </c>
      <c r="E292" s="6">
        <v>1</v>
      </c>
      <c r="F292" s="6">
        <v>2</v>
      </c>
      <c r="G292" s="7">
        <v>0.7256181836128235</v>
      </c>
      <c r="H292" s="7">
        <v>48.13614609375</v>
      </c>
      <c r="I292" s="7">
        <v>29.7138758976858</v>
      </c>
      <c r="J292" s="7">
        <v>10.60770398531208</v>
      </c>
      <c r="K292" s="7">
        <v>4.793969401736074</v>
      </c>
      <c r="L292" s="7">
        <v>0.90292359484012</v>
      </c>
      <c r="M292" s="7">
        <v>0.6851135709955862</v>
      </c>
      <c r="N292" s="7">
        <v>0.2757320003565234</v>
      </c>
      <c r="O292" s="7">
        <v>0.0437117969750064</v>
      </c>
      <c r="P292" s="7">
        <v>9.651702664051603</v>
      </c>
      <c r="Q292" s="7">
        <v>0.0069105948098544</v>
      </c>
      <c r="R292" s="7">
        <v>0.0380721360671518</v>
      </c>
      <c r="S292" s="7">
        <v>0.0812821701680564</v>
      </c>
      <c r="T292" s="7">
        <v>0.3860801971089053</v>
      </c>
    </row>
    <row x14ac:dyDescent="0.25" r="293" customHeight="1" ht="19.5">
      <c r="A293" s="2" t="s">
        <v>1351</v>
      </c>
      <c r="B293" s="2" t="s">
        <v>1060</v>
      </c>
      <c r="C293" s="2" t="s">
        <v>31</v>
      </c>
      <c r="D293" s="2" t="s">
        <v>245</v>
      </c>
      <c r="E293" s="6">
        <v>1</v>
      </c>
      <c r="F293" s="6">
        <v>2</v>
      </c>
      <c r="G293" s="7">
        <v>0.7267391681671143</v>
      </c>
      <c r="H293" s="7">
        <v>48.2158015625</v>
      </c>
      <c r="I293" s="7">
        <v>29.86013383554732</v>
      </c>
      <c r="J293" s="7">
        <v>10.5595971269288</v>
      </c>
      <c r="K293" s="7">
        <v>4.862486404968217</v>
      </c>
      <c r="L293" s="7">
        <v>0.900860221671184</v>
      </c>
      <c r="M293" s="7">
        <v>0.6795411412558225</v>
      </c>
      <c r="N293" s="7">
        <v>0.2775503131901269</v>
      </c>
      <c r="O293" s="7">
        <v>0.0445347342893893</v>
      </c>
      <c r="P293" s="7">
        <v>9.66314736714599</v>
      </c>
      <c r="Q293" s="7">
        <v>0.0066451911110194</v>
      </c>
      <c r="R293" s="7">
        <v>0.0372893812888722</v>
      </c>
      <c r="S293" s="7">
        <v>0.0835432440115404</v>
      </c>
      <c r="T293" s="7">
        <v>0.3718670055119277</v>
      </c>
    </row>
    <row x14ac:dyDescent="0.25" r="294" customHeight="1" ht="19.5">
      <c r="A294" s="2" t="s">
        <v>1352</v>
      </c>
      <c r="B294" s="2" t="s">
        <v>1060</v>
      </c>
      <c r="C294" s="2" t="s">
        <v>31</v>
      </c>
      <c r="D294" s="2" t="s">
        <v>245</v>
      </c>
      <c r="E294" s="6">
        <v>1</v>
      </c>
      <c r="F294" s="6">
        <v>2</v>
      </c>
      <c r="G294" s="7">
        <v>0.7297959327697754</v>
      </c>
      <c r="H294" s="7">
        <v>48.30931015625</v>
      </c>
      <c r="I294" s="7">
        <v>30.0265857805645</v>
      </c>
      <c r="J294" s="7">
        <v>10.62892376622189</v>
      </c>
      <c r="K294" s="7">
        <v>4.878263627716152</v>
      </c>
      <c r="L294" s="7">
        <v>0.9023539956456988</v>
      </c>
      <c r="M294" s="7">
        <v>0.6733312859616143</v>
      </c>
      <c r="N294" s="7">
        <v>0.2788989860849551</v>
      </c>
      <c r="O294" s="7">
        <v>0.0456867416000459</v>
      </c>
      <c r="P294" s="7">
        <v>9.670021533797938</v>
      </c>
      <c r="Q294" s="7">
        <v>0.0068119998380257</v>
      </c>
      <c r="R294" s="7">
        <v>0.0374037236672567</v>
      </c>
      <c r="S294" s="7">
        <v>0.0810531752874093</v>
      </c>
      <c r="T294" s="7">
        <v>0.3819409684444024</v>
      </c>
    </row>
    <row x14ac:dyDescent="0.25" r="295" customHeight="1" ht="19.5">
      <c r="A295" s="2" t="s">
        <v>1353</v>
      </c>
      <c r="B295" s="2" t="s">
        <v>1060</v>
      </c>
      <c r="C295" s="2" t="s">
        <v>31</v>
      </c>
      <c r="D295" s="2" t="s">
        <v>245</v>
      </c>
      <c r="E295" s="6">
        <v>1</v>
      </c>
      <c r="F295" s="6">
        <v>2</v>
      </c>
      <c r="G295" s="7">
        <v>0.7240908145904541</v>
      </c>
      <c r="H295" s="7">
        <v>49.41063359375001</v>
      </c>
      <c r="I295" s="7">
        <v>30.28217838584682</v>
      </c>
      <c r="J295" s="7">
        <v>10.80627491701585</v>
      </c>
      <c r="K295" s="7">
        <v>4.89178278812001</v>
      </c>
      <c r="L295" s="7">
        <v>0.9048842204384964</v>
      </c>
      <c r="M295" s="7">
        <v>0.6771050611002911</v>
      </c>
      <c r="N295" s="7">
        <v>0.2751227248000886</v>
      </c>
      <c r="O295" s="7">
        <v>0.0435012255851759</v>
      </c>
      <c r="P295" s="7">
        <v>9.6760034432698</v>
      </c>
      <c r="Q295" s="7">
        <v>0.0068967877815715</v>
      </c>
      <c r="R295" s="7">
        <v>0.0383206984545973</v>
      </c>
      <c r="S295" s="7">
        <v>0.0846530658739627</v>
      </c>
      <c r="T295" s="7">
        <v>0.3955105437327034</v>
      </c>
    </row>
    <row x14ac:dyDescent="0.25" r="296" customHeight="1" ht="19.5">
      <c r="A296" s="2" t="s">
        <v>1354</v>
      </c>
      <c r="B296" s="2" t="s">
        <v>1060</v>
      </c>
      <c r="C296" s="2" t="s">
        <v>31</v>
      </c>
      <c r="D296" s="2" t="s">
        <v>245</v>
      </c>
      <c r="E296" s="6">
        <v>1</v>
      </c>
      <c r="F296" s="6">
        <v>2</v>
      </c>
      <c r="G296" s="7">
        <v>0.7290199398994446</v>
      </c>
      <c r="H296" s="7">
        <v>49.44872968750001</v>
      </c>
      <c r="I296" s="7">
        <v>30.32501634404409</v>
      </c>
      <c r="J296" s="7">
        <v>10.80792064595673</v>
      </c>
      <c r="K296" s="7">
        <v>4.958369653838098</v>
      </c>
      <c r="L296" s="7">
        <v>0.903073394367622</v>
      </c>
      <c r="M296" s="7">
        <v>0.6757139984324387</v>
      </c>
      <c r="N296" s="7">
        <v>0.2895028030813717</v>
      </c>
      <c r="O296" s="7">
        <v>0.0492231043184722</v>
      </c>
      <c r="P296" s="7">
        <v>9.601068191178673</v>
      </c>
      <c r="Q296" s="7">
        <v>0.0063583807485578</v>
      </c>
      <c r="R296" s="7">
        <v>0.0361366104409292</v>
      </c>
      <c r="S296" s="7">
        <v>0.0838216317420107</v>
      </c>
      <c r="T296" s="7">
        <v>0.3649156169430457</v>
      </c>
    </row>
    <row x14ac:dyDescent="0.25" r="297" customHeight="1" ht="19.5">
      <c r="A297" s="2" t="s">
        <v>1355</v>
      </c>
      <c r="B297" s="2" t="s">
        <v>1060</v>
      </c>
      <c r="C297" s="2" t="s">
        <v>31</v>
      </c>
      <c r="D297" s="2" t="s">
        <v>245</v>
      </c>
      <c r="E297" s="6">
        <v>1</v>
      </c>
      <c r="F297" s="6">
        <v>2</v>
      </c>
      <c r="G297" s="7">
        <v>0.6604027152061462</v>
      </c>
      <c r="H297" s="7">
        <v>51.54401484375001</v>
      </c>
      <c r="I297" s="7">
        <v>30.12164112858621</v>
      </c>
      <c r="J297" s="7">
        <v>10.2925916650739</v>
      </c>
      <c r="K297" s="7">
        <v>5.180639718285364</v>
      </c>
      <c r="L297" s="7">
        <v>0.8745074003259679</v>
      </c>
      <c r="M297" s="7">
        <v>0.713889258516536</v>
      </c>
      <c r="N297" s="7">
        <v>0.4503004897223516</v>
      </c>
      <c r="O297" s="7">
        <v>0.0632641281496117</v>
      </c>
      <c r="P297" s="7">
        <v>8.444526902933415</v>
      </c>
      <c r="Q297" s="7">
        <v>0.0056853519134661</v>
      </c>
      <c r="R297" s="7">
        <v>0.0277858680560401</v>
      </c>
      <c r="S297" s="7">
        <v>0.0622907841824235</v>
      </c>
      <c r="T297" s="7">
        <v>0.3401154616476497</v>
      </c>
    </row>
    <row x14ac:dyDescent="0.25" r="298" customHeight="1" ht="19.5">
      <c r="A298" s="2" t="s">
        <v>1356</v>
      </c>
      <c r="B298" s="2" t="s">
        <v>1060</v>
      </c>
      <c r="C298" s="2" t="s">
        <v>31</v>
      </c>
      <c r="D298" s="2" t="s">
        <v>245</v>
      </c>
      <c r="E298" s="6">
        <v>1</v>
      </c>
      <c r="F298" s="6">
        <v>2</v>
      </c>
      <c r="G298" s="7">
        <v>0.4521729052066803</v>
      </c>
      <c r="H298" s="7">
        <v>48.24697109375001</v>
      </c>
      <c r="I298" s="7">
        <v>30.33439577567125</v>
      </c>
      <c r="J298" s="7">
        <v>10.0061782615322</v>
      </c>
      <c r="K298" s="7">
        <v>4.785607983553762</v>
      </c>
      <c r="L298" s="7">
        <v>0.8851384470497617</v>
      </c>
      <c r="M298" s="7">
        <v>0.6588843928029221</v>
      </c>
      <c r="N298" s="7">
        <v>0.3900715811466284</v>
      </c>
      <c r="O298" s="7">
        <v>0.0549046044006575</v>
      </c>
      <c r="P298" s="7">
        <v>8.8878248078709</v>
      </c>
      <c r="Q298" s="7">
        <v>0.00267204763306</v>
      </c>
      <c r="R298" s="7">
        <v>0.0156144240867137</v>
      </c>
      <c r="S298" s="7">
        <v>0.0364574039965919</v>
      </c>
      <c r="T298" s="7">
        <v>0.1496252984677316</v>
      </c>
    </row>
    <row x14ac:dyDescent="0.25" r="299" customHeight="1" ht="19.5">
      <c r="A299" s="2" t="s">
        <v>1357</v>
      </c>
      <c r="B299" s="2" t="s">
        <v>1060</v>
      </c>
      <c r="C299" s="2" t="s">
        <v>31</v>
      </c>
      <c r="D299" s="2" t="s">
        <v>245</v>
      </c>
      <c r="E299" s="6">
        <v>1</v>
      </c>
      <c r="F299" s="6">
        <v>2</v>
      </c>
      <c r="G299" s="7">
        <v>0.7165344953536987</v>
      </c>
      <c r="H299" s="7">
        <v>49.469509375</v>
      </c>
      <c r="I299" s="7">
        <v>30.22852585212104</v>
      </c>
      <c r="J299" s="7">
        <v>10.47019498288145</v>
      </c>
      <c r="K299" s="7">
        <v>4.664174102995364</v>
      </c>
      <c r="L299" s="7">
        <v>0.899732359775466</v>
      </c>
      <c r="M299" s="7">
        <v>0.6803204567678403</v>
      </c>
      <c r="N299" s="7">
        <v>0.3263878146343547</v>
      </c>
      <c r="O299" s="7">
        <v>0.0473787666036562</v>
      </c>
      <c r="P299" s="7">
        <v>9.257643540644471</v>
      </c>
      <c r="Q299" s="7">
        <v>0.0042064841993251</v>
      </c>
      <c r="R299" s="7">
        <v>0.0208912033902027</v>
      </c>
      <c r="S299" s="7">
        <v>0.053438843197984</v>
      </c>
      <c r="T299" s="7">
        <v>0.2415169664668511</v>
      </c>
    </row>
    <row x14ac:dyDescent="0.25" r="300" customHeight="1" ht="19.5">
      <c r="A300" s="2" t="s">
        <v>1358</v>
      </c>
      <c r="B300" s="2" t="s">
        <v>1060</v>
      </c>
      <c r="C300" s="2" t="s">
        <v>31</v>
      </c>
      <c r="D300" s="2" t="s">
        <v>245</v>
      </c>
      <c r="E300" s="6">
        <v>1</v>
      </c>
      <c r="F300" s="6">
        <v>2</v>
      </c>
      <c r="G300" s="7">
        <v>0.747272789478302</v>
      </c>
      <c r="H300" s="7">
        <v>49.2132265625</v>
      </c>
      <c r="I300" s="7">
        <v>29.97538319072468</v>
      </c>
      <c r="J300" s="7">
        <v>10.52098810004148</v>
      </c>
      <c r="K300" s="7">
        <v>4.64834319954528</v>
      </c>
      <c r="L300" s="7">
        <v>0.9009545331272928</v>
      </c>
      <c r="M300" s="7">
        <v>0.6882753506765221</v>
      </c>
      <c r="N300" s="7">
        <v>0.2936950860382211</v>
      </c>
      <c r="O300" s="7">
        <v>0.0436169451433359</v>
      </c>
      <c r="P300" s="7">
        <v>9.4973113610127</v>
      </c>
      <c r="Q300" s="7">
        <v>0.0066324920423928</v>
      </c>
      <c r="R300" s="7">
        <v>0.0281696641213298</v>
      </c>
      <c r="S300" s="7">
        <v>0.0700716926248206</v>
      </c>
      <c r="T300" s="7">
        <v>0.3788343555739925</v>
      </c>
    </row>
    <row x14ac:dyDescent="0.25" r="301" customHeight="1" ht="19.5">
      <c r="A301" s="2" t="s">
        <v>1359</v>
      </c>
      <c r="B301" s="2" t="s">
        <v>1060</v>
      </c>
      <c r="C301" s="2" t="s">
        <v>31</v>
      </c>
      <c r="D301" s="2" t="s">
        <v>245</v>
      </c>
      <c r="E301" s="6">
        <v>1</v>
      </c>
      <c r="F301" s="6">
        <v>2</v>
      </c>
      <c r="G301" s="7">
        <v>0.728753924369812</v>
      </c>
      <c r="H301" s="7">
        <v>49.54223828125</v>
      </c>
      <c r="I301" s="7">
        <v>30.00985651727943</v>
      </c>
      <c r="J301" s="7">
        <v>10.46575586735176</v>
      </c>
      <c r="K301" s="7">
        <v>4.714982749870249</v>
      </c>
      <c r="L301" s="7">
        <v>0.8975566703595445</v>
      </c>
      <c r="M301" s="7">
        <v>0.6912858221210798</v>
      </c>
      <c r="N301" s="7">
        <v>0.2806432198462331</v>
      </c>
      <c r="O301" s="7">
        <v>0.0422957508733384</v>
      </c>
      <c r="P301" s="7">
        <v>9.583400386125245</v>
      </c>
      <c r="Q301" s="7">
        <v>0.0068054764017879</v>
      </c>
      <c r="R301" s="7">
        <v>0.0281497594871737</v>
      </c>
      <c r="S301" s="7">
        <v>0.0707890011117253</v>
      </c>
      <c r="T301" s="7">
        <v>0.3913135948642297</v>
      </c>
    </row>
    <row x14ac:dyDescent="0.25" r="302" customHeight="1" ht="19.5">
      <c r="A302" s="2" t="s">
        <v>1360</v>
      </c>
      <c r="B302" s="2" t="s">
        <v>1060</v>
      </c>
      <c r="C302" s="2" t="s">
        <v>31</v>
      </c>
      <c r="D302" s="2" t="s">
        <v>245</v>
      </c>
      <c r="E302" s="6">
        <v>1</v>
      </c>
      <c r="F302" s="6">
        <v>2</v>
      </c>
      <c r="G302" s="7">
        <v>0.7353408336639404</v>
      </c>
      <c r="H302" s="7">
        <v>51.30504843750001</v>
      </c>
      <c r="I302" s="7">
        <v>30.70177299226034</v>
      </c>
      <c r="J302" s="7">
        <v>10.6969279776627</v>
      </c>
      <c r="K302" s="7">
        <v>4.771040095833129</v>
      </c>
      <c r="L302" s="7">
        <v>0.8992975389044993</v>
      </c>
      <c r="M302" s="7">
        <v>0.6839794498833429</v>
      </c>
      <c r="N302" s="7">
        <v>0.2818625176725353</v>
      </c>
      <c r="O302" s="7">
        <v>0.0423401981104059</v>
      </c>
      <c r="P302" s="7">
        <v>9.57996679695204</v>
      </c>
      <c r="Q302" s="7">
        <v>0.0078798089074791</v>
      </c>
      <c r="R302" s="7">
        <v>0.0307379703725141</v>
      </c>
      <c r="S302" s="7">
        <v>0.07180703469311</v>
      </c>
      <c r="T302" s="7">
        <v>0.4692092525894593</v>
      </c>
    </row>
    <row x14ac:dyDescent="0.25" r="303" customHeight="1" ht="19.5">
      <c r="A303" s="2" t="s">
        <v>1361</v>
      </c>
      <c r="B303" s="2" t="s">
        <v>1060</v>
      </c>
      <c r="C303" s="2" t="s">
        <v>31</v>
      </c>
      <c r="D303" s="2" t="s">
        <v>245</v>
      </c>
      <c r="E303" s="6">
        <v>1</v>
      </c>
      <c r="F303" s="6">
        <v>2</v>
      </c>
      <c r="G303" s="7">
        <v>0.7368863224983215</v>
      </c>
      <c r="H303" s="7">
        <v>51.19768671875001</v>
      </c>
      <c r="I303" s="7">
        <v>31.01448287513903</v>
      </c>
      <c r="J303" s="7">
        <v>10.71047534588996</v>
      </c>
      <c r="K303" s="7">
        <v>4.798839291968454</v>
      </c>
      <c r="L303" s="7">
        <v>0.89991343664516</v>
      </c>
      <c r="M303" s="7">
        <v>0.6688084246334535</v>
      </c>
      <c r="N303" s="7">
        <v>0.285260331634715</v>
      </c>
      <c r="O303" s="7">
        <v>0.0423387657612513</v>
      </c>
      <c r="P303" s="7">
        <v>9.593811518967206</v>
      </c>
      <c r="Q303" s="7">
        <v>0.0071162222778428</v>
      </c>
      <c r="R303" s="7">
        <v>0.0284820271686819</v>
      </c>
      <c r="S303" s="7">
        <v>0.0715878811209607</v>
      </c>
      <c r="T303" s="7">
        <v>0.4228541756717466</v>
      </c>
    </row>
    <row x14ac:dyDescent="0.25" r="304" customHeight="1" ht="19.5">
      <c r="A304" s="2" t="s">
        <v>1362</v>
      </c>
      <c r="B304" s="2" t="s">
        <v>1060</v>
      </c>
      <c r="C304" s="2" t="s">
        <v>31</v>
      </c>
      <c r="D304" s="2" t="s">
        <v>245</v>
      </c>
      <c r="E304" s="6">
        <v>1</v>
      </c>
      <c r="F304" s="6">
        <v>2</v>
      </c>
      <c r="G304" s="7">
        <v>0.7329894304275513</v>
      </c>
      <c r="H304" s="7">
        <v>49.70847578125</v>
      </c>
      <c r="I304" s="7">
        <v>30.25953443480519</v>
      </c>
      <c r="J304" s="7">
        <v>10.5292428362511</v>
      </c>
      <c r="K304" s="7">
        <v>4.727698735333534</v>
      </c>
      <c r="L304" s="7">
        <v>0.8988180489725716</v>
      </c>
      <c r="M304" s="7">
        <v>0.6822064590329712</v>
      </c>
      <c r="N304" s="7">
        <v>0.281125641632766</v>
      </c>
      <c r="O304" s="7">
        <v>0.0423306963042561</v>
      </c>
      <c r="P304" s="7">
        <v>9.592534423860048</v>
      </c>
      <c r="Q304" s="7">
        <v>0.0072007715503078</v>
      </c>
      <c r="R304" s="7">
        <v>0.0293737648776396</v>
      </c>
      <c r="S304" s="7">
        <v>0.0701407993623593</v>
      </c>
      <c r="T304" s="7">
        <v>0.415432299377195</v>
      </c>
    </row>
    <row x14ac:dyDescent="0.25" r="305" customHeight="1" ht="19.5">
      <c r="A305" s="2" t="s">
        <v>1363</v>
      </c>
      <c r="B305" s="2" t="s">
        <v>1060</v>
      </c>
      <c r="C305" s="2" t="s">
        <v>31</v>
      </c>
      <c r="D305" s="2" t="s">
        <v>245</v>
      </c>
      <c r="E305" s="6">
        <v>1</v>
      </c>
      <c r="F305" s="6">
        <v>2</v>
      </c>
      <c r="G305" s="7">
        <v>0.743803083896637</v>
      </c>
      <c r="H305" s="7">
        <v>48.96387031250001</v>
      </c>
      <c r="I305" s="7">
        <v>30.00985651727943</v>
      </c>
      <c r="J305" s="7">
        <v>10.46885335228438</v>
      </c>
      <c r="K305" s="7">
        <v>4.662325923549327</v>
      </c>
      <c r="L305" s="7">
        <v>0.9001892929890869</v>
      </c>
      <c r="M305" s="7">
        <v>0.6832155856796802</v>
      </c>
      <c r="N305" s="7">
        <v>0.2818226382029614</v>
      </c>
      <c r="O305" s="7">
        <v>0.0422601462818949</v>
      </c>
      <c r="P305" s="7">
        <v>9.576391150018168</v>
      </c>
      <c r="Q305" s="7">
        <v>0.0073841492848621</v>
      </c>
      <c r="R305" s="7">
        <v>0.0293992755343685</v>
      </c>
      <c r="S305" s="7">
        <v>0.0730584089996635</v>
      </c>
      <c r="T305" s="7">
        <v>0.4196304427613287</v>
      </c>
    </row>
    <row x14ac:dyDescent="0.25" r="306" customHeight="1" ht="19.5">
      <c r="A306" s="2" t="s">
        <v>1364</v>
      </c>
      <c r="B306" s="2" t="s">
        <v>1060</v>
      </c>
      <c r="C306" s="2" t="s">
        <v>31</v>
      </c>
      <c r="D306" s="2" t="s">
        <v>245</v>
      </c>
      <c r="E306" s="6">
        <v>1</v>
      </c>
      <c r="F306" s="6">
        <v>2</v>
      </c>
      <c r="G306" s="7">
        <v>0.7349242568016052</v>
      </c>
      <c r="H306" s="7">
        <v>49.95436875</v>
      </c>
      <c r="I306" s="7">
        <v>30.37131904611197</v>
      </c>
      <c r="J306" s="7">
        <v>10.58646000639119</v>
      </c>
      <c r="K306" s="7">
        <v>4.726401345734203</v>
      </c>
      <c r="L306" s="7">
        <v>0.8998882097360874</v>
      </c>
      <c r="M306" s="7">
        <v>0.6805437210059758</v>
      </c>
      <c r="N306" s="7">
        <v>0.279266812387763</v>
      </c>
      <c r="O306" s="7">
        <v>0.0419833956187253</v>
      </c>
      <c r="P306" s="7">
        <v>9.613255642897752</v>
      </c>
      <c r="Q306" s="7">
        <v>0.0077714035538261</v>
      </c>
      <c r="R306" s="7">
        <v>0.0302714262962816</v>
      </c>
      <c r="S306" s="7">
        <v>0.0673859908293921</v>
      </c>
      <c r="T306" s="7">
        <v>0.4505714991860205</v>
      </c>
    </row>
    <row x14ac:dyDescent="0.25" r="307" customHeight="1" ht="19.5">
      <c r="A307" s="2" t="s">
        <v>1365</v>
      </c>
      <c r="B307" s="2" t="s">
        <v>1060</v>
      </c>
      <c r="C307" s="2" t="s">
        <v>31</v>
      </c>
      <c r="D307" s="2" t="s">
        <v>245</v>
      </c>
      <c r="E307" s="6">
        <v>1</v>
      </c>
      <c r="F307" s="6">
        <v>2</v>
      </c>
      <c r="G307" s="7">
        <v>0.7243193984031677</v>
      </c>
      <c r="H307" s="7">
        <v>50.688584375</v>
      </c>
      <c r="I307" s="7">
        <v>30.63282633915085</v>
      </c>
      <c r="J307" s="7">
        <v>10.70508580455214</v>
      </c>
      <c r="K307" s="7">
        <v>4.729564999255331</v>
      </c>
      <c r="L307" s="7">
        <v>0.9020356334469412</v>
      </c>
      <c r="M307" s="7">
        <v>0.6788063381777665</v>
      </c>
      <c r="N307" s="7">
        <v>0.2806028378825787</v>
      </c>
      <c r="O307" s="7">
        <v>0.0420710872383442</v>
      </c>
      <c r="P307" s="7">
        <v>9.594817440760938</v>
      </c>
      <c r="Q307" s="7">
        <v>0.0070808781333422</v>
      </c>
      <c r="R307" s="7">
        <v>0.0286964259057281</v>
      </c>
      <c r="S307" s="7">
        <v>0.0693742564864708</v>
      </c>
      <c r="T307" s="7">
        <v>0.4165700692576093</v>
      </c>
    </row>
    <row x14ac:dyDescent="0.25" r="308" customHeight="1" ht="19.5">
      <c r="A308" s="2" t="s">
        <v>1366</v>
      </c>
      <c r="B308" s="2" t="s">
        <v>1060</v>
      </c>
      <c r="C308" s="2" t="s">
        <v>31</v>
      </c>
      <c r="D308" s="2" t="s">
        <v>245</v>
      </c>
      <c r="E308" s="6">
        <v>1</v>
      </c>
      <c r="F308" s="6">
        <v>2</v>
      </c>
      <c r="G308" s="7">
        <v>0.7334824204444885</v>
      </c>
      <c r="H308" s="7">
        <v>49.65652656250001</v>
      </c>
      <c r="I308" s="7">
        <v>30.04432984383418</v>
      </c>
      <c r="J308" s="7">
        <v>10.46454118145849</v>
      </c>
      <c r="K308" s="7">
        <v>4.711858921350861</v>
      </c>
      <c r="L308" s="7">
        <v>0.8972760392892798</v>
      </c>
      <c r="M308" s="7">
        <v>0.6912914081279927</v>
      </c>
      <c r="N308" s="7">
        <v>0.2837208290682932</v>
      </c>
      <c r="O308" s="7">
        <v>0.0424993499818503</v>
      </c>
      <c r="P308" s="7">
        <v>9.573197897315117</v>
      </c>
      <c r="Q308" s="7">
        <v>0.0073094840063879</v>
      </c>
      <c r="R308" s="7">
        <v>0.0293819325916368</v>
      </c>
      <c r="S308" s="7">
        <v>0.0724399721408182</v>
      </c>
      <c r="T308" s="7">
        <v>0.4212635060548449</v>
      </c>
    </row>
    <row x14ac:dyDescent="0.25" r="309" customHeight="1" ht="19.5">
      <c r="A309" s="2" t="s">
        <v>1367</v>
      </c>
      <c r="B309" s="2" t="s">
        <v>1060</v>
      </c>
      <c r="C309" s="2" t="s">
        <v>31</v>
      </c>
      <c r="D309" s="2" t="s">
        <v>245</v>
      </c>
      <c r="E309" s="6">
        <v>1</v>
      </c>
      <c r="F309" s="6">
        <v>2</v>
      </c>
      <c r="G309" s="7">
        <v>0.7388297319412231</v>
      </c>
      <c r="H309" s="7">
        <v>51.4851390625</v>
      </c>
      <c r="I309" s="7">
        <v>30.69585830450378</v>
      </c>
      <c r="J309" s="7">
        <v>10.76728348394753</v>
      </c>
      <c r="K309" s="7">
        <v>4.798684659541538</v>
      </c>
      <c r="L309" s="7">
        <v>0.9003181383980444</v>
      </c>
      <c r="M309" s="7">
        <v>0.6866448881991852</v>
      </c>
      <c r="N309" s="7">
        <v>0.2850670198747513</v>
      </c>
      <c r="O309" s="7">
        <v>0.0422351672492671</v>
      </c>
      <c r="P309" s="7">
        <v>9.586550333624215</v>
      </c>
      <c r="Q309" s="7">
        <v>0.0074700587487273</v>
      </c>
      <c r="R309" s="7">
        <v>0.0295925985812064</v>
      </c>
      <c r="S309" s="7">
        <v>0.0702694145692845</v>
      </c>
      <c r="T309" s="7">
        <v>0.4463717360236361</v>
      </c>
    </row>
    <row x14ac:dyDescent="0.25" r="310" customHeight="1" ht="19.5">
      <c r="A310" s="2" t="s">
        <v>1368</v>
      </c>
      <c r="B310" s="2" t="s">
        <v>1060</v>
      </c>
      <c r="C310" s="2" t="s">
        <v>31</v>
      </c>
      <c r="D310" s="2" t="s">
        <v>245</v>
      </c>
      <c r="E310" s="6">
        <v>1</v>
      </c>
      <c r="F310" s="6">
        <v>2</v>
      </c>
      <c r="G310" s="7">
        <v>0.7296096086502075</v>
      </c>
      <c r="H310" s="7">
        <v>51.104178125</v>
      </c>
      <c r="I310" s="7">
        <v>30.57815900544044</v>
      </c>
      <c r="J310" s="7">
        <v>10.7005134745241</v>
      </c>
      <c r="K310" s="7">
        <v>4.780093220669281</v>
      </c>
      <c r="L310" s="7">
        <v>0.8993963829402976</v>
      </c>
      <c r="M310" s="7">
        <v>0.6868210591592904</v>
      </c>
      <c r="N310" s="7">
        <v>0.2862282475950914</v>
      </c>
      <c r="O310" s="7">
        <v>0.0425232246780824</v>
      </c>
      <c r="P310" s="7">
        <v>9.584874816004149</v>
      </c>
      <c r="Q310" s="7">
        <v>0.0072383354583045</v>
      </c>
      <c r="R310" s="7">
        <v>0.0289224978783678</v>
      </c>
      <c r="S310" s="7">
        <v>0.0704079426688438</v>
      </c>
      <c r="T310" s="7">
        <v>0.4293247194015792</v>
      </c>
    </row>
    <row x14ac:dyDescent="0.25" r="311" customHeight="1" ht="19.5">
      <c r="A311" s="2" t="s">
        <v>1369</v>
      </c>
      <c r="B311" s="2" t="s">
        <v>1060</v>
      </c>
      <c r="C311" s="2" t="s">
        <v>31</v>
      </c>
      <c r="D311" s="2" t="s">
        <v>245</v>
      </c>
      <c r="E311" s="6">
        <v>1</v>
      </c>
      <c r="F311" s="6">
        <v>2</v>
      </c>
      <c r="G311" s="7">
        <v>0.7416160702705383</v>
      </c>
      <c r="H311" s="7">
        <v>49.16820390625</v>
      </c>
      <c r="I311" s="7">
        <v>30.10736180918711</v>
      </c>
      <c r="J311" s="7">
        <v>10.5285024355313</v>
      </c>
      <c r="K311" s="7">
        <v>4.666814557153314</v>
      </c>
      <c r="L311" s="7">
        <v>0.9011554209555054</v>
      </c>
      <c r="M311" s="7">
        <v>0.6816301699820385</v>
      </c>
      <c r="N311" s="7">
        <v>0.2842300141049647</v>
      </c>
      <c r="O311" s="7">
        <v>0.0424921794701968</v>
      </c>
      <c r="P311" s="7">
        <v>9.573707741792468</v>
      </c>
      <c r="Q311" s="7">
        <v>0.0071311754324822</v>
      </c>
      <c r="R311" s="7">
        <v>0.0290928005223107</v>
      </c>
      <c r="S311" s="7">
        <v>0.0720843771445903</v>
      </c>
      <c r="T311" s="7">
        <v>0.4069454945602553</v>
      </c>
    </row>
    <row x14ac:dyDescent="0.25" r="312" customHeight="1" ht="19.5">
      <c r="A312" s="2" t="s">
        <v>1370</v>
      </c>
      <c r="B312" s="2" t="s">
        <v>1060</v>
      </c>
      <c r="C312" s="2" t="s">
        <v>31</v>
      </c>
      <c r="D312" s="2" t="s">
        <v>245</v>
      </c>
      <c r="E312" s="6">
        <v>1</v>
      </c>
      <c r="F312" s="6">
        <v>2</v>
      </c>
      <c r="G312" s="7">
        <v>0.7414904236793518</v>
      </c>
      <c r="H312" s="7">
        <v>49.76042500000001</v>
      </c>
      <c r="I312" s="7">
        <v>30.1905877816957</v>
      </c>
      <c r="J312" s="7">
        <v>10.52267606154375</v>
      </c>
      <c r="K312" s="7">
        <v>4.712134634370018</v>
      </c>
      <c r="L312" s="7">
        <v>0.8983406255182276</v>
      </c>
      <c r="M312" s="7">
        <v>0.6860421640387787</v>
      </c>
      <c r="N312" s="7">
        <v>0.2823006208223541</v>
      </c>
      <c r="O312" s="7">
        <v>0.042305484940586</v>
      </c>
      <c r="P312" s="7">
        <v>9.57989272591989</v>
      </c>
      <c r="Q312" s="7">
        <v>0.0075647413928452</v>
      </c>
      <c r="R312" s="7">
        <v>0.0300350261999064</v>
      </c>
      <c r="S312" s="7">
        <v>0.069215858619882</v>
      </c>
      <c r="T312" s="7">
        <v>0.4368868238347442</v>
      </c>
    </row>
    <row x14ac:dyDescent="0.25" r="313" customHeight="1" ht="19.5">
      <c r="A313" s="2" t="s">
        <v>1371</v>
      </c>
      <c r="B313" s="2" t="s">
        <v>1060</v>
      </c>
      <c r="C313" s="2" t="s">
        <v>31</v>
      </c>
      <c r="D313" s="2" t="s">
        <v>245</v>
      </c>
      <c r="E313" s="6">
        <v>1</v>
      </c>
      <c r="F313" s="6">
        <v>2</v>
      </c>
      <c r="G313" s="7">
        <v>0.7371308207511902</v>
      </c>
      <c r="H313" s="7">
        <v>49.35522109375</v>
      </c>
      <c r="I313" s="7">
        <v>30.23097579600701</v>
      </c>
      <c r="J313" s="7">
        <v>10.52300396932186</v>
      </c>
      <c r="K313" s="7">
        <v>4.653218930506403</v>
      </c>
      <c r="L313" s="7">
        <v>0.9011841428476696</v>
      </c>
      <c r="M313" s="7">
        <v>0.6786387196193049</v>
      </c>
      <c r="N313" s="7">
        <v>0.2830312048043751</v>
      </c>
      <c r="O313" s="7">
        <v>0.0425610255506069</v>
      </c>
      <c r="P313" s="7">
        <v>9.559441781754469</v>
      </c>
      <c r="Q313" s="7">
        <v>0.0070825211934776</v>
      </c>
      <c r="R313" s="7">
        <v>0.0291781790943514</v>
      </c>
      <c r="S313" s="7">
        <v>0.0731841831749348</v>
      </c>
      <c r="T313" s="7">
        <v>0.4057063120244255</v>
      </c>
    </row>
    <row x14ac:dyDescent="0.25" r="314" customHeight="1" ht="19.5">
      <c r="A314" s="2" t="s">
        <v>1372</v>
      </c>
      <c r="B314" s="2" t="s">
        <v>1060</v>
      </c>
      <c r="C314" s="2" t="s">
        <v>31</v>
      </c>
      <c r="D314" s="2" t="s">
        <v>245</v>
      </c>
      <c r="E314" s="6">
        <v>1</v>
      </c>
      <c r="F314" s="6">
        <v>2</v>
      </c>
      <c r="G314" s="7">
        <v>0.7406639456748962</v>
      </c>
      <c r="H314" s="7">
        <v>49.7673515625</v>
      </c>
      <c r="I314" s="7">
        <v>30.29400776135994</v>
      </c>
      <c r="J314" s="7">
        <v>10.5308258986881</v>
      </c>
      <c r="K314" s="7">
        <v>4.731124561740069</v>
      </c>
      <c r="L314" s="7">
        <v>0.8984707883194782</v>
      </c>
      <c r="M314" s="7">
        <v>0.6814608790191612</v>
      </c>
      <c r="N314" s="7">
        <v>0.2855100787012809</v>
      </c>
      <c r="O314" s="7">
        <v>0.0424740634067085</v>
      </c>
      <c r="P314" s="7">
        <v>9.569827674079251</v>
      </c>
      <c r="Q314" s="7">
        <v>0.0078654663843548</v>
      </c>
      <c r="R314" s="7">
        <v>0.0306056022468108</v>
      </c>
      <c r="S314" s="7">
        <v>0.0697580155493651</v>
      </c>
      <c r="T314" s="7">
        <v>0.4543178381908079</v>
      </c>
    </row>
    <row x14ac:dyDescent="0.25" r="315" customHeight="1" ht="19.5">
      <c r="A315" s="2" t="s">
        <v>1373</v>
      </c>
      <c r="B315" s="2" t="s">
        <v>1060</v>
      </c>
      <c r="C315" s="2" t="s">
        <v>31</v>
      </c>
      <c r="D315" s="2" t="s">
        <v>245</v>
      </c>
      <c r="E315" s="6">
        <v>1</v>
      </c>
      <c r="F315" s="6">
        <v>2</v>
      </c>
      <c r="G315" s="7">
        <v>0.7364181280136108</v>
      </c>
      <c r="H315" s="7">
        <v>49.14742421875</v>
      </c>
      <c r="I315" s="7">
        <v>30.02413583667852</v>
      </c>
      <c r="J315" s="7">
        <v>10.53017244211873</v>
      </c>
      <c r="K315" s="7">
        <v>4.669150459665017</v>
      </c>
      <c r="L315" s="7">
        <v>0.9008899952810464</v>
      </c>
      <c r="M315" s="7">
        <v>0.6851246499589236</v>
      </c>
      <c r="N315" s="7">
        <v>0.2805112837097273</v>
      </c>
      <c r="O315" s="7">
        <v>0.042335654121641</v>
      </c>
      <c r="P315" s="7">
        <v>9.580093210376424</v>
      </c>
      <c r="Q315" s="7">
        <v>0.007336055477103</v>
      </c>
      <c r="R315" s="7">
        <v>0.0292440220440051</v>
      </c>
      <c r="S315" s="7">
        <v>0.0703431422051155</v>
      </c>
      <c r="T315" s="7">
        <v>0.4184601907511699</v>
      </c>
    </row>
    <row x14ac:dyDescent="0.25" r="316" customHeight="1" ht="19.5">
      <c r="A316" s="2" t="s">
        <v>1374</v>
      </c>
      <c r="B316" s="2" t="s">
        <v>1060</v>
      </c>
      <c r="C316" s="2" t="s">
        <v>31</v>
      </c>
      <c r="D316" s="2" t="s">
        <v>245</v>
      </c>
      <c r="E316" s="6">
        <v>1</v>
      </c>
      <c r="F316" s="6">
        <v>2</v>
      </c>
      <c r="G316" s="7">
        <v>0.7299249172210693</v>
      </c>
      <c r="H316" s="7">
        <v>50.868675</v>
      </c>
      <c r="I316" s="7">
        <v>30.5983530125961</v>
      </c>
      <c r="J316" s="7">
        <v>10.76575885666141</v>
      </c>
      <c r="K316" s="7">
        <v>4.736037778670804</v>
      </c>
      <c r="L316" s="7">
        <v>0.902964337529622</v>
      </c>
      <c r="M316" s="7">
        <v>0.6827538975052365</v>
      </c>
      <c r="N316" s="7">
        <v>0.2826792023116405</v>
      </c>
      <c r="O316" s="7">
        <v>0.0423433176498488</v>
      </c>
      <c r="P316" s="7">
        <v>9.585747009224788</v>
      </c>
      <c r="Q316" s="7">
        <v>0.0075218889258803</v>
      </c>
      <c r="R316" s="7">
        <v>0.0298781156347509</v>
      </c>
      <c r="S316" s="7">
        <v>0.0700137426915529</v>
      </c>
      <c r="T316" s="7">
        <v>0.4440870629408804</v>
      </c>
    </row>
    <row x14ac:dyDescent="0.25" r="317" customHeight="1" ht="19.5">
      <c r="A317" s="2" t="s">
        <v>1375</v>
      </c>
      <c r="B317" s="2" t="s">
        <v>1060</v>
      </c>
      <c r="C317" s="2" t="s">
        <v>31</v>
      </c>
      <c r="D317" s="2" t="s">
        <v>245</v>
      </c>
      <c r="E317" s="6">
        <v>1</v>
      </c>
      <c r="F317" s="6">
        <v>2</v>
      </c>
      <c r="G317" s="7">
        <v>0.73321932554245</v>
      </c>
      <c r="H317" s="7">
        <v>51.1526640625</v>
      </c>
      <c r="I317" s="7">
        <v>30.59243832483953</v>
      </c>
      <c r="J317" s="7">
        <v>10.70196673748014</v>
      </c>
      <c r="K317" s="7">
        <v>4.784438232638065</v>
      </c>
      <c r="L317" s="7">
        <v>0.8992336445462984</v>
      </c>
      <c r="M317" s="7">
        <v>0.6868310726309905</v>
      </c>
      <c r="N317" s="7">
        <v>0.2860993375386483</v>
      </c>
      <c r="O317" s="7">
        <v>0.0423299179831782</v>
      </c>
      <c r="P317" s="7">
        <v>9.590682291275236</v>
      </c>
      <c r="Q317" s="7">
        <v>0.0074584645384518</v>
      </c>
      <c r="R317" s="7">
        <v>0.0298928135425708</v>
      </c>
      <c r="S317" s="7">
        <v>0.0697585723190642</v>
      </c>
      <c r="T317" s="7">
        <v>0.4428008707488747</v>
      </c>
    </row>
    <row x14ac:dyDescent="0.25" r="318" customHeight="1" ht="19.5">
      <c r="A318" s="2" t="s">
        <v>1376</v>
      </c>
      <c r="B318" s="2" t="s">
        <v>1060</v>
      </c>
      <c r="C318" s="2" t="s">
        <v>31</v>
      </c>
      <c r="D318" s="2" t="s">
        <v>245</v>
      </c>
      <c r="E318" s="6">
        <v>1</v>
      </c>
      <c r="F318" s="6">
        <v>2</v>
      </c>
      <c r="G318" s="7">
        <v>0.7381551861763</v>
      </c>
      <c r="H318" s="7">
        <v>49.7950578125</v>
      </c>
      <c r="I318" s="7">
        <v>30.25953443480519</v>
      </c>
      <c r="J318" s="7">
        <v>10.52730698901584</v>
      </c>
      <c r="K318" s="7">
        <v>4.723211845869631</v>
      </c>
      <c r="L318" s="7">
        <v>0.8981238930164168</v>
      </c>
      <c r="M318" s="7">
        <v>0.6833947236101205</v>
      </c>
      <c r="N318" s="7">
        <v>0.2840923284659987</v>
      </c>
      <c r="O318" s="7">
        <v>0.0423164276953134</v>
      </c>
      <c r="P318" s="7">
        <v>9.583956413682404</v>
      </c>
      <c r="Q318" s="7">
        <v>0.0070693985989929</v>
      </c>
      <c r="R318" s="7">
        <v>0.0288917576716743</v>
      </c>
      <c r="S318" s="7">
        <v>0.0714666277410822</v>
      </c>
      <c r="T318" s="7">
        <v>0.4085634296244536</v>
      </c>
    </row>
    <row x14ac:dyDescent="0.25" r="319" customHeight="1" ht="19.5">
      <c r="A319" s="2" t="s">
        <v>1377</v>
      </c>
      <c r="B319" s="2" t="s">
        <v>1060</v>
      </c>
      <c r="C319" s="2" t="s">
        <v>31</v>
      </c>
      <c r="D319" s="2" t="s">
        <v>245</v>
      </c>
      <c r="E319" s="6">
        <v>1</v>
      </c>
      <c r="F319" s="6">
        <v>2</v>
      </c>
      <c r="G319" s="7">
        <v>0.7415528297424316</v>
      </c>
      <c r="H319" s="7">
        <v>49.72925546875</v>
      </c>
      <c r="I319" s="7">
        <v>30.43190106757893</v>
      </c>
      <c r="J319" s="7">
        <v>10.64822099076119</v>
      </c>
      <c r="K319" s="7">
        <v>4.67284105266303</v>
      </c>
      <c r="L319" s="7">
        <v>0.9033394562504004</v>
      </c>
      <c r="M319" s="7">
        <v>0.6747822567557544</v>
      </c>
      <c r="N319" s="7">
        <v>0.3076670514767212</v>
      </c>
      <c r="O319" s="7">
        <v>0.0449382207222247</v>
      </c>
      <c r="P319" s="7">
        <v>9.44272976354383</v>
      </c>
      <c r="Q319" s="7">
        <v>0.0067494125380897</v>
      </c>
      <c r="R319" s="7">
        <v>0.0276086279097371</v>
      </c>
      <c r="S319" s="7">
        <v>0.0663700690260773</v>
      </c>
      <c r="T319" s="7">
        <v>0.3895549355918172</v>
      </c>
    </row>
    <row x14ac:dyDescent="0.25" r="320" customHeight="1" ht="19.5">
      <c r="A320" s="2" t="s">
        <v>1378</v>
      </c>
      <c r="B320" s="2" t="s">
        <v>1060</v>
      </c>
      <c r="C320" s="2" t="s">
        <v>31</v>
      </c>
      <c r="D320" s="2" t="s">
        <v>245</v>
      </c>
      <c r="E320" s="6">
        <v>1</v>
      </c>
      <c r="F320" s="6">
        <v>2</v>
      </c>
      <c r="G320" s="7">
        <v>0.3820808529853821</v>
      </c>
      <c r="H320" s="7">
        <v>47.336128125</v>
      </c>
      <c r="I320" s="7">
        <v>29.0515328614877</v>
      </c>
      <c r="J320" s="7">
        <v>9.777989333931956</v>
      </c>
      <c r="K320" s="7">
        <v>4.792698180454477</v>
      </c>
      <c r="L320" s="7">
        <v>0.8776190420631546</v>
      </c>
      <c r="M320" s="7">
        <v>0.7047977213639249</v>
      </c>
      <c r="N320" s="7">
        <v>0.4559205846089535</v>
      </c>
      <c r="O320" s="7">
        <v>0.0635284364489549</v>
      </c>
      <c r="P320" s="7">
        <v>8.411720482350068</v>
      </c>
      <c r="Q320" s="7">
        <v>0.0015368571638905</v>
      </c>
      <c r="R320" s="7">
        <v>0.0119643076470954</v>
      </c>
      <c r="S320" s="7">
        <v>0.0343527208684034</v>
      </c>
      <c r="T320" s="7">
        <v>0.0844339326482923</v>
      </c>
    </row>
    <row x14ac:dyDescent="0.25" r="321" customHeight="1" ht="19.5">
      <c r="A321" s="2" t="s">
        <v>1379</v>
      </c>
      <c r="B321" s="2" t="s">
        <v>1060</v>
      </c>
      <c r="C321" s="2" t="s">
        <v>31</v>
      </c>
      <c r="D321" s="2" t="s">
        <v>245</v>
      </c>
      <c r="E321" s="6">
        <v>1</v>
      </c>
      <c r="F321" s="6">
        <v>2</v>
      </c>
      <c r="G321" s="7">
        <v>0.6724159121513367</v>
      </c>
      <c r="H321" s="7">
        <v>45.2373796875</v>
      </c>
      <c r="I321" s="7">
        <v>28.52606833152397</v>
      </c>
      <c r="J321" s="7">
        <v>9.836298058318931</v>
      </c>
      <c r="K321" s="7">
        <v>4.556017009752392</v>
      </c>
      <c r="L321" s="7">
        <v>0.8915396614680705</v>
      </c>
      <c r="M321" s="7">
        <v>0.6985917760382081</v>
      </c>
      <c r="N321" s="7">
        <v>0.3783205888993483</v>
      </c>
      <c r="O321" s="7">
        <v>0.0562257892817441</v>
      </c>
      <c r="P321" s="7">
        <v>8.76970712078165</v>
      </c>
      <c r="Q321" s="7">
        <v>0.0030980694720105</v>
      </c>
      <c r="R321" s="7">
        <v>0.0166527716984106</v>
      </c>
      <c r="S321" s="7">
        <v>0.0433794607280508</v>
      </c>
      <c r="T321" s="7">
        <v>0.1626594776903048</v>
      </c>
    </row>
    <row x14ac:dyDescent="0.25" r="322" customHeight="1" ht="19.5">
      <c r="A322" s="2" t="s">
        <v>1380</v>
      </c>
      <c r="B322" s="2" t="s">
        <v>1060</v>
      </c>
      <c r="C322" s="2" t="s">
        <v>31</v>
      </c>
      <c r="D322" s="2" t="s">
        <v>245</v>
      </c>
      <c r="E322" s="6">
        <v>1</v>
      </c>
      <c r="F322" s="6">
        <v>2</v>
      </c>
      <c r="G322" s="7">
        <v>0.7034944891929626</v>
      </c>
      <c r="H322" s="7">
        <v>47.3292015625</v>
      </c>
      <c r="I322" s="7">
        <v>29.12884414623973</v>
      </c>
      <c r="J322" s="7">
        <v>10.09444389492403</v>
      </c>
      <c r="K322" s="7">
        <v>4.72530773321467</v>
      </c>
      <c r="L322" s="7">
        <v>0.8910071351440171</v>
      </c>
      <c r="M322" s="7">
        <v>0.7009588742702886</v>
      </c>
      <c r="N322" s="7">
        <v>0.3401906477114115</v>
      </c>
      <c r="O322" s="7">
        <v>0.0509763978127731</v>
      </c>
      <c r="P322" s="7">
        <v>9.042032149673831</v>
      </c>
      <c r="Q322" s="7">
        <v>0.0047653835780219</v>
      </c>
      <c r="R322" s="7">
        <v>0.0218568116730476</v>
      </c>
      <c r="S322" s="7">
        <v>0.0612055365812574</v>
      </c>
      <c r="T322" s="7">
        <v>0.2617687637497938</v>
      </c>
    </row>
    <row x14ac:dyDescent="0.25" r="323" customHeight="1" ht="19.5">
      <c r="A323" s="2" t="s">
        <v>1381</v>
      </c>
      <c r="B323" s="2" t="s">
        <v>1060</v>
      </c>
      <c r="C323" s="2" t="s">
        <v>31</v>
      </c>
      <c r="D323" s="2" t="s">
        <v>245</v>
      </c>
      <c r="E323" s="6">
        <v>1</v>
      </c>
      <c r="F323" s="6">
        <v>2</v>
      </c>
      <c r="G323" s="7">
        <v>0.7268255352973938</v>
      </c>
      <c r="H323" s="7">
        <v>47.13872109375</v>
      </c>
      <c r="I323" s="7">
        <v>29.17759679219357</v>
      </c>
      <c r="J323" s="7">
        <v>10.22245427190226</v>
      </c>
      <c r="K323" s="7">
        <v>4.692361608865211</v>
      </c>
      <c r="L323" s="7">
        <v>0.8963804004505009</v>
      </c>
      <c r="M323" s="7">
        <v>0.6958067264024389</v>
      </c>
      <c r="N323" s="7">
        <v>0.3113084508168692</v>
      </c>
      <c r="O323" s="7">
        <v>0.0473911825439827</v>
      </c>
      <c r="P323" s="7">
        <v>9.240615895690052</v>
      </c>
      <c r="Q323" s="7">
        <v>0.0051920045854472</v>
      </c>
      <c r="R323" s="7">
        <v>0.0236343297319857</v>
      </c>
      <c r="S323" s="7">
        <v>0.0618915453158622</v>
      </c>
      <c r="T323" s="7">
        <v>0.2840557880288027</v>
      </c>
    </row>
    <row x14ac:dyDescent="0.25" r="324" customHeight="1" ht="19.5">
      <c r="A324" s="2" t="s">
        <v>1382</v>
      </c>
      <c r="B324" s="2" t="s">
        <v>1060</v>
      </c>
      <c r="C324" s="2" t="s">
        <v>31</v>
      </c>
      <c r="D324" s="2" t="s">
        <v>245</v>
      </c>
      <c r="E324" s="6">
        <v>1</v>
      </c>
      <c r="F324" s="6">
        <v>2</v>
      </c>
      <c r="G324" s="7">
        <v>0.7175827622413635</v>
      </c>
      <c r="H324" s="7">
        <v>47.56124140625001</v>
      </c>
      <c r="I324" s="7">
        <v>29.09437081968498</v>
      </c>
      <c r="J324" s="7">
        <v>10.04426927878131</v>
      </c>
      <c r="K324" s="7">
        <v>4.801625017670721</v>
      </c>
      <c r="L324" s="7">
        <v>0.8866434572285362</v>
      </c>
      <c r="M324" s="7">
        <v>0.7060656865793868</v>
      </c>
      <c r="N324" s="7">
        <v>0.3062808254779448</v>
      </c>
      <c r="O324" s="7">
        <v>0.0474412682603024</v>
      </c>
      <c r="P324" s="7">
        <v>9.249476256818095</v>
      </c>
      <c r="Q324" s="7">
        <v>0.0064136194245219</v>
      </c>
      <c r="R324" s="7">
        <v>0.0261836542306247</v>
      </c>
      <c r="S324" s="7">
        <v>0.0628246900080407</v>
      </c>
      <c r="T324" s="7">
        <v>0.3540357736725454</v>
      </c>
    </row>
    <row x14ac:dyDescent="0.25" r="325" customHeight="1" ht="19.5">
      <c r="A325" s="2" t="s">
        <v>1383</v>
      </c>
      <c r="B325" s="2" t="s">
        <v>1060</v>
      </c>
      <c r="C325" s="2" t="s">
        <v>31</v>
      </c>
      <c r="D325" s="2" t="s">
        <v>245</v>
      </c>
      <c r="E325" s="6">
        <v>1</v>
      </c>
      <c r="F325" s="6">
        <v>2</v>
      </c>
      <c r="G325" s="7">
        <v>0.721942126750946</v>
      </c>
      <c r="H325" s="7">
        <v>47.47812265625</v>
      </c>
      <c r="I325" s="7">
        <v>29.34404873721074</v>
      </c>
      <c r="J325" s="7">
        <v>10.16075508369396</v>
      </c>
      <c r="K325" s="7">
        <v>4.745202902748844</v>
      </c>
      <c r="L325" s="7">
        <v>0.8922516482821963</v>
      </c>
      <c r="M325" s="7">
        <v>0.6928884651639489</v>
      </c>
      <c r="N325" s="7">
        <v>0.3089499897924154</v>
      </c>
      <c r="O325" s="7">
        <v>0.0474687200691664</v>
      </c>
      <c r="P325" s="7">
        <v>9.24742876912708</v>
      </c>
      <c r="Q325" s="7">
        <v>0.0064620454168845</v>
      </c>
      <c r="R325" s="7">
        <v>0.0262676701093404</v>
      </c>
      <c r="S325" s="7">
        <v>0.0678460482240262</v>
      </c>
      <c r="T325" s="7">
        <v>0.3560855285729182</v>
      </c>
    </row>
    <row x14ac:dyDescent="0.25" r="326" customHeight="1" ht="19.5">
      <c r="A326" s="2" t="s">
        <v>1384</v>
      </c>
      <c r="B326" s="2" t="s">
        <v>1060</v>
      </c>
      <c r="C326" s="2" t="s">
        <v>31</v>
      </c>
      <c r="D326" s="2" t="s">
        <v>245</v>
      </c>
      <c r="E326" s="6">
        <v>1</v>
      </c>
      <c r="F326" s="6">
        <v>2</v>
      </c>
      <c r="G326" s="7">
        <v>0.7204482555389404</v>
      </c>
      <c r="H326" s="7">
        <v>47.253009375</v>
      </c>
      <c r="I326" s="7">
        <v>29.27301092619061</v>
      </c>
      <c r="J326" s="7">
        <v>10.08612217191207</v>
      </c>
      <c r="K326" s="7">
        <v>4.712803399195803</v>
      </c>
      <c r="L326" s="7">
        <v>0.8909171854170039</v>
      </c>
      <c r="M326" s="7">
        <v>0.6929542244965821</v>
      </c>
      <c r="N326" s="7">
        <v>0.3072924123607238</v>
      </c>
      <c r="O326" s="7">
        <v>0.047586059076986</v>
      </c>
      <c r="P326" s="7">
        <v>9.242346746041411</v>
      </c>
      <c r="Q326" s="7">
        <v>0.005872289882662</v>
      </c>
      <c r="R326" s="7">
        <v>0.0247187879263637</v>
      </c>
      <c r="S326" s="7">
        <v>0.0634652253298668</v>
      </c>
      <c r="T326" s="7">
        <v>0.3220532888750921</v>
      </c>
    </row>
    <row x14ac:dyDescent="0.25" r="327" customHeight="1" ht="19.5">
      <c r="A327" s="2" t="s">
        <v>1385</v>
      </c>
      <c r="B327" s="2" t="s">
        <v>1060</v>
      </c>
      <c r="C327" s="2" t="s">
        <v>31</v>
      </c>
      <c r="D327" s="2" t="s">
        <v>245</v>
      </c>
      <c r="E327" s="6">
        <v>1</v>
      </c>
      <c r="F327" s="6">
        <v>2</v>
      </c>
      <c r="G327" s="7">
        <v>0.7142441868782043</v>
      </c>
      <c r="H327" s="7">
        <v>47.23569296875</v>
      </c>
      <c r="I327" s="7">
        <v>29.16331747279447</v>
      </c>
      <c r="J327" s="7">
        <v>10.11046789665819</v>
      </c>
      <c r="K327" s="7">
        <v>4.754181334152477</v>
      </c>
      <c r="L327" s="7">
        <v>0.8910295872744651</v>
      </c>
      <c r="M327" s="7">
        <v>0.6979210605032115</v>
      </c>
      <c r="N327" s="7">
        <v>0.3118406001512583</v>
      </c>
      <c r="O327" s="7">
        <v>0.0478657418655549</v>
      </c>
      <c r="P327" s="7">
        <v>9.224608448675449</v>
      </c>
      <c r="Q327" s="7">
        <v>0.0060898953444426</v>
      </c>
      <c r="R327" s="7">
        <v>0.0255458050188031</v>
      </c>
      <c r="S327" s="7">
        <v>0.0653045408293648</v>
      </c>
      <c r="T327" s="7">
        <v>0.3338650055789326</v>
      </c>
    </row>
    <row x14ac:dyDescent="0.25" r="328" customHeight="1" ht="19.5">
      <c r="A328" s="2" t="s">
        <v>1386</v>
      </c>
      <c r="B328" s="2" t="s">
        <v>1060</v>
      </c>
      <c r="C328" s="2" t="s">
        <v>31</v>
      </c>
      <c r="D328" s="2" t="s">
        <v>245</v>
      </c>
      <c r="E328" s="6">
        <v>1</v>
      </c>
      <c r="F328" s="6">
        <v>2</v>
      </c>
      <c r="G328" s="7">
        <v>0.7203413248062134</v>
      </c>
      <c r="H328" s="7">
        <v>48.05302734375</v>
      </c>
      <c r="I328" s="7">
        <v>29.53069468938357</v>
      </c>
      <c r="J328" s="7">
        <v>10.28050890615586</v>
      </c>
      <c r="K328" s="7">
        <v>4.747644734252274</v>
      </c>
      <c r="L328" s="7">
        <v>0.8948966428251021</v>
      </c>
      <c r="M328" s="7">
        <v>0.6924418218192386</v>
      </c>
      <c r="N328" s="7">
        <v>0.3112245511067915</v>
      </c>
      <c r="O328" s="7">
        <v>0.0475489560606134</v>
      </c>
      <c r="P328" s="7">
        <v>9.234472118952954</v>
      </c>
      <c r="Q328" s="7">
        <v>0.0056896721391086</v>
      </c>
      <c r="R328" s="7">
        <v>0.0242813078798878</v>
      </c>
      <c r="S328" s="7">
        <v>0.0627459451214915</v>
      </c>
      <c r="T328" s="7">
        <v>0.3173209712538571</v>
      </c>
    </row>
    <row x14ac:dyDescent="0.25" r="329" customHeight="1" ht="19.5">
      <c r="A329" s="2" t="s">
        <v>1387</v>
      </c>
      <c r="B329" s="2" t="s">
        <v>1060</v>
      </c>
      <c r="C329" s="2" t="s">
        <v>31</v>
      </c>
      <c r="D329" s="2" t="s">
        <v>245</v>
      </c>
      <c r="E329" s="6">
        <v>1</v>
      </c>
      <c r="F329" s="6">
        <v>2</v>
      </c>
      <c r="G329" s="7">
        <v>0.7281503677368164</v>
      </c>
      <c r="H329" s="7">
        <v>47.36037109375</v>
      </c>
      <c r="I329" s="7">
        <v>29.19779079934922</v>
      </c>
      <c r="J329" s="7">
        <v>10.09298429628895</v>
      </c>
      <c r="K329" s="7">
        <v>4.722296279317266</v>
      </c>
      <c r="L329" s="7">
        <v>0.8909348610327009</v>
      </c>
      <c r="M329" s="7">
        <v>0.698111794780792</v>
      </c>
      <c r="N329" s="7">
        <v>0.311557577649223</v>
      </c>
      <c r="O329" s="7">
        <v>0.047844102407135</v>
      </c>
      <c r="P329" s="7">
        <v>9.22660763758372</v>
      </c>
      <c r="Q329" s="7">
        <v>0.0054847405480465</v>
      </c>
      <c r="R329" s="7">
        <v>0.023838354964908</v>
      </c>
      <c r="S329" s="7">
        <v>0.0614955673427409</v>
      </c>
      <c r="T329" s="7">
        <v>0.3014824008507784</v>
      </c>
    </row>
    <row x14ac:dyDescent="0.25" r="330" customHeight="1" ht="19.5">
      <c r="A330" s="2" t="s">
        <v>1388</v>
      </c>
      <c r="B330" s="2" t="s">
        <v>1060</v>
      </c>
      <c r="C330" s="2" t="s">
        <v>31</v>
      </c>
      <c r="D330" s="2" t="s">
        <v>245</v>
      </c>
      <c r="E330" s="6">
        <v>1</v>
      </c>
      <c r="F330" s="6">
        <v>2</v>
      </c>
      <c r="G330" s="7">
        <v>0.7198516726493835</v>
      </c>
      <c r="H330" s="7">
        <v>46.24173125</v>
      </c>
      <c r="I330" s="7">
        <v>28.77574624904973</v>
      </c>
      <c r="J330" s="7">
        <v>9.949302583360812</v>
      </c>
      <c r="K330" s="7">
        <v>4.609652134431427</v>
      </c>
      <c r="L330" s="7">
        <v>0.8912259173229706</v>
      </c>
      <c r="M330" s="7">
        <v>0.7017634726641777</v>
      </c>
      <c r="N330" s="7">
        <v>0.3084007569884059</v>
      </c>
      <c r="O330" s="7">
        <v>0.0484464628454837</v>
      </c>
      <c r="P330" s="7">
        <v>9.187387396190273</v>
      </c>
      <c r="Q330" s="7">
        <v>0.0059797413472542</v>
      </c>
      <c r="R330" s="7">
        <v>0.0250517762728561</v>
      </c>
      <c r="S330" s="7">
        <v>0.0610333388380011</v>
      </c>
      <c r="T330" s="7">
        <v>0.3209277449193562</v>
      </c>
    </row>
    <row x14ac:dyDescent="0.25" r="331" customHeight="1" ht="19.5">
      <c r="A331" s="2" t="s">
        <v>1389</v>
      </c>
      <c r="B331" s="2" t="s">
        <v>1060</v>
      </c>
      <c r="C331" s="2" t="s">
        <v>31</v>
      </c>
      <c r="D331" s="2" t="s">
        <v>245</v>
      </c>
      <c r="E331" s="6">
        <v>1</v>
      </c>
      <c r="F331" s="6">
        <v>2</v>
      </c>
      <c r="G331" s="7">
        <v>0.709507942199707</v>
      </c>
      <c r="H331" s="7">
        <v>47.29803203125</v>
      </c>
      <c r="I331" s="7">
        <v>29.02542416657549</v>
      </c>
      <c r="J331" s="7">
        <v>10.08775926187999</v>
      </c>
      <c r="K331" s="7">
        <v>4.715894388961032</v>
      </c>
      <c r="L331" s="7">
        <v>0.8909455725872713</v>
      </c>
      <c r="M331" s="7">
        <v>0.7054979967785464</v>
      </c>
      <c r="N331" s="7">
        <v>0.3118887927279819</v>
      </c>
      <c r="O331" s="7">
        <v>0.0479061544523245</v>
      </c>
      <c r="P331" s="7">
        <v>9.220823315965454</v>
      </c>
      <c r="Q331" s="7">
        <v>0.0057974267660496</v>
      </c>
      <c r="R331" s="7">
        <v>0.0247331837537763</v>
      </c>
      <c r="S331" s="7">
        <v>0.0617032047320853</v>
      </c>
      <c r="T331" s="7">
        <v>0.3182505203400897</v>
      </c>
    </row>
    <row x14ac:dyDescent="0.25" r="332" customHeight="1" ht="19.5">
      <c r="A332" s="2" t="s">
        <v>1390</v>
      </c>
      <c r="B332" s="2" t="s">
        <v>1060</v>
      </c>
      <c r="C332" s="2" t="s">
        <v>31</v>
      </c>
      <c r="D332" s="2" t="s">
        <v>245</v>
      </c>
      <c r="E332" s="6">
        <v>1</v>
      </c>
      <c r="F332" s="6">
        <v>2</v>
      </c>
      <c r="G332" s="7">
        <v>0.7224909067153931</v>
      </c>
      <c r="H332" s="7">
        <v>47.56816796875</v>
      </c>
      <c r="I332" s="7">
        <v>29.32976941781165</v>
      </c>
      <c r="J332" s="7">
        <v>10.14645137960488</v>
      </c>
      <c r="K332" s="7">
        <v>4.718564319036095</v>
      </c>
      <c r="L332" s="7">
        <v>0.8922752171205494</v>
      </c>
      <c r="M332" s="7">
        <v>0.6948786880165244</v>
      </c>
      <c r="N332" s="7">
        <v>0.31320283922079</v>
      </c>
      <c r="O332" s="7">
        <v>0.0478149582265891</v>
      </c>
      <c r="P332" s="7">
        <v>9.227863748589051</v>
      </c>
      <c r="Q332" s="7">
        <v>0.0056294731450446</v>
      </c>
      <c r="R332" s="7">
        <v>0.0239312866398437</v>
      </c>
      <c r="S332" s="7">
        <v>0.0657227137369575</v>
      </c>
      <c r="T332" s="7">
        <v>0.3107956682768724</v>
      </c>
    </row>
    <row x14ac:dyDescent="0.25" r="333" customHeight="1" ht="19.5">
      <c r="A333" s="2" t="s">
        <v>1391</v>
      </c>
      <c r="B333" s="2" t="s">
        <v>1060</v>
      </c>
      <c r="C333" s="2" t="s">
        <v>31</v>
      </c>
      <c r="D333" s="2" t="s">
        <v>245</v>
      </c>
      <c r="E333" s="6">
        <v>1</v>
      </c>
      <c r="F333" s="6">
        <v>2</v>
      </c>
      <c r="G333" s="7">
        <v>0.7218912243843079</v>
      </c>
      <c r="H333" s="7">
        <v>47.38461406250001</v>
      </c>
      <c r="I333" s="7">
        <v>29.19779079934922</v>
      </c>
      <c r="J333" s="7">
        <v>10.08965391791093</v>
      </c>
      <c r="K333" s="7">
        <v>4.715157931141391</v>
      </c>
      <c r="L333" s="7">
        <v>0.8909628370266185</v>
      </c>
      <c r="M333" s="7">
        <v>0.6984691463393635</v>
      </c>
      <c r="N333" s="7">
        <v>0.3095607255091074</v>
      </c>
      <c r="O333" s="7">
        <v>0.0477084829767239</v>
      </c>
      <c r="P333" s="7">
        <v>9.227600461000767</v>
      </c>
      <c r="Q333" s="7">
        <v>0.0059160267763952</v>
      </c>
      <c r="R333" s="7">
        <v>0.0246340997044308</v>
      </c>
      <c r="S333" s="7">
        <v>0.0626032862807579</v>
      </c>
      <c r="T333" s="7">
        <v>0.3253555794744609</v>
      </c>
    </row>
    <row x14ac:dyDescent="0.25" r="334" customHeight="1" ht="19.5">
      <c r="A334" s="2" t="s">
        <v>1392</v>
      </c>
      <c r="B334" s="2" t="s">
        <v>1060</v>
      </c>
      <c r="C334" s="2" t="s">
        <v>31</v>
      </c>
      <c r="D334" s="2" t="s">
        <v>245</v>
      </c>
      <c r="E334" s="6">
        <v>1</v>
      </c>
      <c r="F334" s="6">
        <v>2</v>
      </c>
      <c r="G334" s="7">
        <v>0.7106606960296631</v>
      </c>
      <c r="H334" s="7">
        <v>47.5993375</v>
      </c>
      <c r="I334" s="7">
        <v>29.3642427443664</v>
      </c>
      <c r="J334" s="7">
        <v>10.15343400929969</v>
      </c>
      <c r="K334" s="7">
        <v>4.725986861092553</v>
      </c>
      <c r="L334" s="7">
        <v>0.8922790555131604</v>
      </c>
      <c r="M334" s="7">
        <v>0.6937023424467348</v>
      </c>
      <c r="N334" s="7">
        <v>0.3135281380208274</v>
      </c>
      <c r="O334" s="7">
        <v>0.0478780361216144</v>
      </c>
      <c r="P334" s="7">
        <v>9.219839949676048</v>
      </c>
      <c r="Q334" s="7">
        <v>0.006083779062288</v>
      </c>
      <c r="R334" s="7">
        <v>0.0253071847873566</v>
      </c>
      <c r="S334" s="7">
        <v>0.0643194157132668</v>
      </c>
      <c r="T334" s="7">
        <v>0.3360973762000553</v>
      </c>
    </row>
    <row x14ac:dyDescent="0.25" r="335" customHeight="1" ht="19.5">
      <c r="A335" s="2" t="s">
        <v>1393</v>
      </c>
      <c r="B335" s="2" t="s">
        <v>1060</v>
      </c>
      <c r="C335" s="2" t="s">
        <v>31</v>
      </c>
      <c r="D335" s="2" t="s">
        <v>245</v>
      </c>
      <c r="E335" s="6">
        <v>1</v>
      </c>
      <c r="F335" s="6">
        <v>2</v>
      </c>
      <c r="G335" s="7">
        <v>0.7212314009666443</v>
      </c>
      <c r="H335" s="7">
        <v>47.31188515625</v>
      </c>
      <c r="I335" s="7">
        <v>29.16331747279447</v>
      </c>
      <c r="J335" s="7">
        <v>10.09826395098231</v>
      </c>
      <c r="K335" s="7">
        <v>4.732442416897172</v>
      </c>
      <c r="L335" s="7">
        <v>0.8909746340030631</v>
      </c>
      <c r="M335" s="7">
        <v>0.6990468221669016</v>
      </c>
      <c r="N335" s="7">
        <v>0.3079877733897884</v>
      </c>
      <c r="O335" s="7">
        <v>0.0478451109684551</v>
      </c>
      <c r="P335" s="7">
        <v>9.22302409311285</v>
      </c>
      <c r="Q335" s="7">
        <v>0.0058245923897725</v>
      </c>
      <c r="R335" s="7">
        <v>0.0249750824229919</v>
      </c>
      <c r="S335" s="7">
        <v>0.0640925297925318</v>
      </c>
      <c r="T335" s="7">
        <v>0.319835430099941</v>
      </c>
    </row>
    <row x14ac:dyDescent="0.25" r="336" customHeight="1" ht="19.5">
      <c r="A336" s="2" t="s">
        <v>1394</v>
      </c>
      <c r="B336" s="2" t="s">
        <v>1060</v>
      </c>
      <c r="C336" s="2" t="s">
        <v>31</v>
      </c>
      <c r="D336" s="2" t="s">
        <v>245</v>
      </c>
      <c r="E336" s="6">
        <v>1</v>
      </c>
      <c r="F336" s="6">
        <v>2</v>
      </c>
      <c r="G336" s="7">
        <v>0.7274748086929321</v>
      </c>
      <c r="H336" s="7">
        <v>47.9110328125</v>
      </c>
      <c r="I336" s="7">
        <v>29.26082276470216</v>
      </c>
      <c r="J336" s="7">
        <v>10.09763037607888</v>
      </c>
      <c r="K336" s="7">
        <v>4.790189772254903</v>
      </c>
      <c r="L336" s="7">
        <v>0.8879647046220449</v>
      </c>
      <c r="M336" s="7">
        <v>0.7031894232540776</v>
      </c>
      <c r="N336" s="7">
        <v>0.3129422458413209</v>
      </c>
      <c r="O336" s="7">
        <v>0.0477390402427396</v>
      </c>
      <c r="P336" s="7">
        <v>9.229039470255607</v>
      </c>
      <c r="Q336" s="7">
        <v>0.005812553867651</v>
      </c>
      <c r="R336" s="7">
        <v>0.0247554943084554</v>
      </c>
      <c r="S336" s="7">
        <v>0.063417960778215</v>
      </c>
      <c r="T336" s="7">
        <v>0.3232163367569924</v>
      </c>
    </row>
    <row x14ac:dyDescent="0.25" r="337" customHeight="1" ht="19.5">
      <c r="A337" s="2" t="s">
        <v>1395</v>
      </c>
      <c r="B337" s="2" t="s">
        <v>1060</v>
      </c>
      <c r="C337" s="2" t="s">
        <v>31</v>
      </c>
      <c r="D337" s="2" t="s">
        <v>245</v>
      </c>
      <c r="E337" s="6">
        <v>1</v>
      </c>
      <c r="F337" s="6">
        <v>2</v>
      </c>
      <c r="G337" s="7">
        <v>0.7052249908447266</v>
      </c>
      <c r="H337" s="7">
        <v>47.52314531250001</v>
      </c>
      <c r="I337" s="7">
        <v>29.10865013908408</v>
      </c>
      <c r="J337" s="7">
        <v>10.14728578496596</v>
      </c>
      <c r="K337" s="7">
        <v>4.720391533763395</v>
      </c>
      <c r="L337" s="7">
        <v>0.8922367435481996</v>
      </c>
      <c r="M337" s="7">
        <v>0.7048081349477876</v>
      </c>
      <c r="N337" s="7">
        <v>0.31155134010763</v>
      </c>
      <c r="O337" s="7">
        <v>0.0478736014693019</v>
      </c>
      <c r="P337" s="7">
        <v>9.221314853602523</v>
      </c>
      <c r="Q337" s="7">
        <v>0.0058093944253131</v>
      </c>
      <c r="R337" s="7">
        <v>0.024651683397821</v>
      </c>
      <c r="S337" s="7">
        <v>0.0644792062805392</v>
      </c>
      <c r="T337" s="7">
        <v>0.3204253153067871</v>
      </c>
    </row>
    <row x14ac:dyDescent="0.25" r="338" customHeight="1" ht="19.5">
      <c r="A338" s="2" t="s">
        <v>1396</v>
      </c>
      <c r="B338" s="2" t="s">
        <v>1060</v>
      </c>
      <c r="C338" s="2" t="s">
        <v>31</v>
      </c>
      <c r="D338" s="2" t="s">
        <v>245</v>
      </c>
      <c r="E338" s="6">
        <v>1</v>
      </c>
      <c r="F338" s="6">
        <v>2</v>
      </c>
      <c r="G338" s="7">
        <v>0.7204036712646484</v>
      </c>
      <c r="H338" s="7">
        <v>46.70234765625001</v>
      </c>
      <c r="I338" s="7">
        <v>29.04561817373114</v>
      </c>
      <c r="J338" s="7">
        <v>10.09833612017346</v>
      </c>
      <c r="K338" s="7">
        <v>4.674147542821422</v>
      </c>
      <c r="L338" s="7">
        <v>0.8938767115143</v>
      </c>
      <c r="M338" s="7">
        <v>0.6956444564089045</v>
      </c>
      <c r="N338" s="7">
        <v>0.3137176270270637</v>
      </c>
      <c r="O338" s="7">
        <v>0.0480481571803817</v>
      </c>
      <c r="P338" s="7">
        <v>9.205365231952053</v>
      </c>
      <c r="Q338" s="7">
        <v>0.0061551364764793</v>
      </c>
      <c r="R338" s="7">
        <v>0.0251791801160302</v>
      </c>
      <c r="S338" s="7">
        <v>0.0633958321362381</v>
      </c>
      <c r="T338" s="7">
        <v>0.3336316009000931</v>
      </c>
    </row>
    <row x14ac:dyDescent="0.25" r="339" customHeight="1" ht="19.5">
      <c r="A339" s="2" t="s">
        <v>1397</v>
      </c>
      <c r="B339" s="2" t="s">
        <v>1060</v>
      </c>
      <c r="C339" s="2" t="s">
        <v>31</v>
      </c>
      <c r="D339" s="2" t="s">
        <v>245</v>
      </c>
      <c r="E339" s="6">
        <v>1</v>
      </c>
      <c r="F339" s="6">
        <v>2</v>
      </c>
      <c r="G339" s="7">
        <v>0.7181400656700134</v>
      </c>
      <c r="H339" s="7">
        <v>47.06945546875</v>
      </c>
      <c r="I339" s="7">
        <v>29.11456482684063</v>
      </c>
      <c r="J339" s="7">
        <v>10.03798128592148</v>
      </c>
      <c r="K339" s="7">
        <v>4.727055439027541</v>
      </c>
      <c r="L339" s="7">
        <v>0.8896404561242659</v>
      </c>
      <c r="M339" s="7">
        <v>0.6977959297778463</v>
      </c>
      <c r="N339" s="7">
        <v>0.3121971172195024</v>
      </c>
      <c r="O339" s="7">
        <v>0.0479978856411284</v>
      </c>
      <c r="P339" s="7">
        <v>9.213867756988623</v>
      </c>
      <c r="Q339" s="7">
        <v>0.005877820434188</v>
      </c>
      <c r="R339" s="7">
        <v>0.0249315831814535</v>
      </c>
      <c r="S339" s="7">
        <v>0.0638814359729788</v>
      </c>
      <c r="T339" s="7">
        <v>0.3211044088225451</v>
      </c>
    </row>
    <row x14ac:dyDescent="0.25" r="340" customHeight="1" ht="19.5">
      <c r="A340" s="2" t="s">
        <v>1398</v>
      </c>
      <c r="B340" s="2" t="s">
        <v>1060</v>
      </c>
      <c r="C340" s="2" t="s">
        <v>31</v>
      </c>
      <c r="D340" s="2" t="s">
        <v>245</v>
      </c>
      <c r="E340" s="6">
        <v>1</v>
      </c>
      <c r="F340" s="6">
        <v>2</v>
      </c>
      <c r="G340" s="7">
        <v>0.7265627980232239</v>
      </c>
      <c r="H340" s="7">
        <v>47.79328125</v>
      </c>
      <c r="I340" s="7">
        <v>29.32976941781165</v>
      </c>
      <c r="J340" s="7">
        <v>10.22217044088355</v>
      </c>
      <c r="K340" s="7">
        <v>4.747210184974599</v>
      </c>
      <c r="L340" s="7">
        <v>0.8935677354066346</v>
      </c>
      <c r="M340" s="7">
        <v>0.6981671565073196</v>
      </c>
      <c r="N340" s="7">
        <v>0.3111914825503611</v>
      </c>
      <c r="O340" s="7">
        <v>0.0476861309557385</v>
      </c>
      <c r="P340" s="7">
        <v>9.228149494191245</v>
      </c>
      <c r="Q340" s="7">
        <v>0.0057095048708508</v>
      </c>
      <c r="R340" s="7">
        <v>0.0243171916185351</v>
      </c>
      <c r="S340" s="7">
        <v>0.0623517476030388</v>
      </c>
      <c r="T340" s="7">
        <v>0.3167058430281215</v>
      </c>
    </row>
    <row x14ac:dyDescent="0.25" r="341" customHeight="1" ht="19.5">
      <c r="A341" s="2" t="s">
        <v>1399</v>
      </c>
      <c r="B341" s="2" t="s">
        <v>1060</v>
      </c>
      <c r="C341" s="2" t="s">
        <v>31</v>
      </c>
      <c r="D341" s="2" t="s">
        <v>245</v>
      </c>
      <c r="E341" s="6">
        <v>1</v>
      </c>
      <c r="F341" s="6">
        <v>2</v>
      </c>
      <c r="G341" s="7">
        <v>0.7162861824035645</v>
      </c>
      <c r="H341" s="7">
        <v>47.51621875</v>
      </c>
      <c r="I341" s="7">
        <v>29.17759679219357</v>
      </c>
      <c r="J341" s="7">
        <v>10.16024559969458</v>
      </c>
      <c r="K341" s="7">
        <v>4.743418642910232</v>
      </c>
      <c r="L341" s="7">
        <v>0.8922496715391601</v>
      </c>
      <c r="M341" s="7">
        <v>0.7013789057557462</v>
      </c>
      <c r="N341" s="7">
        <v>0.3164622058031608</v>
      </c>
      <c r="O341" s="7">
        <v>0.0481570095638438</v>
      </c>
      <c r="P341" s="7">
        <v>9.210565640069404</v>
      </c>
      <c r="Q341" s="7">
        <v>0.0064587116382521</v>
      </c>
      <c r="R341" s="7">
        <v>0.0261731002566971</v>
      </c>
      <c r="S341" s="7">
        <v>0.0606102326887838</v>
      </c>
      <c r="T341" s="7">
        <v>0.3561873965161931</v>
      </c>
    </row>
    <row x14ac:dyDescent="0.25" r="342" customHeight="1" ht="19.5">
      <c r="A342" s="2" t="s">
        <v>1400</v>
      </c>
      <c r="B342" s="2" t="s">
        <v>1060</v>
      </c>
      <c r="C342" s="2" t="s">
        <v>31</v>
      </c>
      <c r="D342" s="2" t="s">
        <v>245</v>
      </c>
      <c r="E342" s="6">
        <v>1</v>
      </c>
      <c r="F342" s="6">
        <v>2</v>
      </c>
      <c r="G342" s="7">
        <v>0.7133738994598389</v>
      </c>
      <c r="H342" s="7">
        <v>46.81317265625</v>
      </c>
      <c r="I342" s="7">
        <v>29.14903815339538</v>
      </c>
      <c r="J342" s="7">
        <v>10.08459717153056</v>
      </c>
      <c r="K342" s="7">
        <v>4.646225234273603</v>
      </c>
      <c r="L342" s="7">
        <v>0.8939109681415515</v>
      </c>
      <c r="M342" s="7">
        <v>0.692356034954308</v>
      </c>
      <c r="N342" s="7">
        <v>0.3893993572369886</v>
      </c>
      <c r="O342" s="7">
        <v>0.0563589495127809</v>
      </c>
      <c r="P342" s="7">
        <v>8.768924925742114</v>
      </c>
      <c r="Q342" s="7">
        <v>0.0041603048868078</v>
      </c>
      <c r="R342" s="7">
        <v>0.0188464764820811</v>
      </c>
      <c r="S342" s="7">
        <v>0.0521082153999465</v>
      </c>
      <c r="T342" s="7">
        <v>0.2260393316210515</v>
      </c>
    </row>
    <row x14ac:dyDescent="0.25" r="343" customHeight="1" ht="19.5">
      <c r="A343" s="2" t="s">
        <v>1401</v>
      </c>
      <c r="B343" s="2" t="s">
        <v>1060</v>
      </c>
      <c r="C343" s="2" t="s">
        <v>31</v>
      </c>
      <c r="D343" s="2" t="s">
        <v>245</v>
      </c>
      <c r="E343" s="6">
        <v>1</v>
      </c>
      <c r="F343" s="6">
        <v>2</v>
      </c>
      <c r="G343" s="7">
        <v>0.5935260653495789</v>
      </c>
      <c r="H343" s="7">
        <v>46.1101265625</v>
      </c>
      <c r="I343" s="7">
        <v>28.62602356731761</v>
      </c>
      <c r="J343" s="7">
        <v>9.94038696605443</v>
      </c>
      <c r="K343" s="7">
        <v>5.067300452446039</v>
      </c>
      <c r="L343" s="7">
        <v>0.8772374565462508</v>
      </c>
      <c r="M343" s="7">
        <v>0.7071053600224961</v>
      </c>
      <c r="N343" s="7">
        <v>0.5496428959690194</v>
      </c>
      <c r="O343" s="7">
        <v>0.0914779268026465</v>
      </c>
      <c r="P343" s="7">
        <v>7.368804918018285</v>
      </c>
      <c r="Q343" s="7">
        <v>0.0093835991170397</v>
      </c>
      <c r="R343" s="7">
        <v>0.0357438857134677</v>
      </c>
      <c r="S343" s="7">
        <v>0.0777705885182836</v>
      </c>
      <c r="T343" s="7">
        <v>0.5021766787350802</v>
      </c>
    </row>
    <row x14ac:dyDescent="0.25" r="344" customHeight="1" ht="19.5">
      <c r="A344" s="2" t="s">
        <v>1402</v>
      </c>
      <c r="B344" s="2" t="s">
        <v>1060</v>
      </c>
      <c r="C344" s="2" t="s">
        <v>31</v>
      </c>
      <c r="D344" s="2" t="s">
        <v>245</v>
      </c>
      <c r="E344" s="6">
        <v>1</v>
      </c>
      <c r="F344" s="6">
        <v>2</v>
      </c>
      <c r="G344" s="7">
        <v>0.6850458383560181</v>
      </c>
      <c r="H344" s="7">
        <v>51.40548359375001</v>
      </c>
      <c r="I344" s="7">
        <v>30.42252163595177</v>
      </c>
      <c r="J344" s="7">
        <v>10.10591380228863</v>
      </c>
      <c r="K344" s="7">
        <v>5.425877980639939</v>
      </c>
      <c r="L344" s="7">
        <v>0.862115524330942</v>
      </c>
      <c r="M344" s="7">
        <v>0.6979573673508968</v>
      </c>
      <c r="N344" s="7">
        <v>0.4551129719084488</v>
      </c>
      <c r="O344" s="7">
        <v>0.0742730918304863</v>
      </c>
      <c r="P344" s="7">
        <v>8.041734756854506</v>
      </c>
      <c r="Q344" s="7">
        <v>0.0057047215764382</v>
      </c>
      <c r="R344" s="7">
        <v>0.0297332205111456</v>
      </c>
      <c r="S344" s="7">
        <v>0.0731915958861537</v>
      </c>
      <c r="T344" s="7">
        <v>0.3403569963430032</v>
      </c>
    </row>
    <row x14ac:dyDescent="0.25" r="345" customHeight="1" ht="19.5">
      <c r="A345" s="2" t="s">
        <v>1403</v>
      </c>
      <c r="B345" s="2" t="s">
        <v>1060</v>
      </c>
      <c r="C345" s="2" t="s">
        <v>31</v>
      </c>
      <c r="D345" s="2" t="s">
        <v>245</v>
      </c>
      <c r="E345" s="6">
        <v>1</v>
      </c>
      <c r="F345" s="6">
        <v>2</v>
      </c>
      <c r="G345" s="7">
        <v>0.689044713973999</v>
      </c>
      <c r="H345" s="7">
        <v>46.38718906250001</v>
      </c>
      <c r="I345" s="7">
        <v>29.08845613192842</v>
      </c>
      <c r="J345" s="7">
        <v>9.690519369165258</v>
      </c>
      <c r="K345" s="7">
        <v>4.843056996506313</v>
      </c>
      <c r="L345" s="7">
        <v>0.8766252046222548</v>
      </c>
      <c r="M345" s="7">
        <v>0.6889164846931147</v>
      </c>
      <c r="N345" s="7">
        <v>0.3661356964161114</v>
      </c>
      <c r="O345" s="7">
        <v>0.0628880365459588</v>
      </c>
      <c r="P345" s="7">
        <v>8.42223791423229</v>
      </c>
      <c r="Q345" s="7">
        <v>0.0062013380416649</v>
      </c>
      <c r="R345" s="7">
        <v>0.0322913894263116</v>
      </c>
      <c r="S345" s="7">
        <v>0.0781344788294507</v>
      </c>
      <c r="T345" s="7">
        <v>0.3338675745892442</v>
      </c>
    </row>
    <row x14ac:dyDescent="0.25" r="346" customHeight="1" ht="19.5">
      <c r="A346" s="2" t="s">
        <v>1404</v>
      </c>
      <c r="B346" s="2" t="s">
        <v>1060</v>
      </c>
      <c r="C346" s="2" t="s">
        <v>31</v>
      </c>
      <c r="D346" s="2" t="s">
        <v>245</v>
      </c>
      <c r="E346" s="6">
        <v>1</v>
      </c>
      <c r="F346" s="6">
        <v>2</v>
      </c>
      <c r="G346" s="7">
        <v>0.7241770625114441</v>
      </c>
      <c r="H346" s="7">
        <v>45.00533984375</v>
      </c>
      <c r="I346" s="7">
        <v>28.67477621327145</v>
      </c>
      <c r="J346" s="7">
        <v>9.78976803997843</v>
      </c>
      <c r="K346" s="7">
        <v>4.781757103223086</v>
      </c>
      <c r="L346" s="7">
        <v>0.8858819031754179</v>
      </c>
      <c r="M346" s="7">
        <v>0.6878184720788412</v>
      </c>
      <c r="N346" s="7">
        <v>0.3243537550537404</v>
      </c>
      <c r="O346" s="7">
        <v>0.0580344486587098</v>
      </c>
      <c r="P346" s="7">
        <v>8.749276034545733</v>
      </c>
      <c r="Q346" s="7">
        <v>0.0080770038583723</v>
      </c>
      <c r="R346" s="7">
        <v>0.0398109168317331</v>
      </c>
      <c r="S346" s="7">
        <v>0.0837776036897024</v>
      </c>
      <c r="T346" s="7">
        <v>0.4218957163808577</v>
      </c>
    </row>
    <row x14ac:dyDescent="0.25" r="347" customHeight="1" ht="19.5">
      <c r="A347" s="2" t="s">
        <v>1405</v>
      </c>
      <c r="B347" s="2" t="s">
        <v>1060</v>
      </c>
      <c r="C347" s="2" t="s">
        <v>31</v>
      </c>
      <c r="D347" s="2" t="s">
        <v>245</v>
      </c>
      <c r="E347" s="6">
        <v>1</v>
      </c>
      <c r="F347" s="6">
        <v>2</v>
      </c>
      <c r="G347" s="7">
        <v>0.7439216375350952</v>
      </c>
      <c r="H347" s="7">
        <v>44.648621875</v>
      </c>
      <c r="I347" s="7">
        <v>28.71761417146873</v>
      </c>
      <c r="J347" s="7">
        <v>10.05034986030725</v>
      </c>
      <c r="K347" s="7">
        <v>4.649717924659615</v>
      </c>
      <c r="L347" s="7">
        <v>0.8987177411939852</v>
      </c>
      <c r="M347" s="7">
        <v>0.6803324871241767</v>
      </c>
      <c r="N347" s="7">
        <v>0.3088387716836096</v>
      </c>
      <c r="O347" s="7">
        <v>0.0563145931166403</v>
      </c>
      <c r="P347" s="7">
        <v>8.933735340064056</v>
      </c>
      <c r="Q347" s="7">
        <v>0.0097276417315732</v>
      </c>
      <c r="R347" s="7">
        <v>0.0453450280045337</v>
      </c>
      <c r="S347" s="7">
        <v>0.0957157656546486</v>
      </c>
      <c r="T347" s="7">
        <v>0.5040880542290237</v>
      </c>
    </row>
    <row x14ac:dyDescent="0.25" r="348" customHeight="1" ht="19.5">
      <c r="A348" s="2" t="s">
        <v>1406</v>
      </c>
      <c r="B348" s="2" t="s">
        <v>1060</v>
      </c>
      <c r="C348" s="2" t="s">
        <v>31</v>
      </c>
      <c r="D348" s="2" t="s">
        <v>245</v>
      </c>
      <c r="E348" s="6">
        <v>1</v>
      </c>
      <c r="F348" s="6">
        <v>2</v>
      </c>
      <c r="G348" s="7">
        <v>0.7410269975662231</v>
      </c>
      <c r="H348" s="7">
        <v>45.19235703125</v>
      </c>
      <c r="I348" s="7">
        <v>28.84959278993116</v>
      </c>
      <c r="J348" s="7">
        <v>10.01782258884783</v>
      </c>
      <c r="K348" s="7">
        <v>4.754283119938684</v>
      </c>
      <c r="L348" s="7">
        <v>0.8941373948896639</v>
      </c>
      <c r="M348" s="7">
        <v>0.6823315954518356</v>
      </c>
      <c r="N348" s="7">
        <v>0.3105650161411001</v>
      </c>
      <c r="O348" s="7">
        <v>0.0587089300875342</v>
      </c>
      <c r="P348" s="7">
        <v>8.927664291059292</v>
      </c>
      <c r="Q348" s="7">
        <v>0.0096490627034966</v>
      </c>
      <c r="R348" s="7">
        <v>0.0454484462850737</v>
      </c>
      <c r="S348" s="7">
        <v>0.0936829594862344</v>
      </c>
      <c r="T348" s="7">
        <v>0.5061053188285185</v>
      </c>
    </row>
    <row x14ac:dyDescent="0.25" r="349" customHeight="1" ht="19.5">
      <c r="A349" s="2" t="s">
        <v>1407</v>
      </c>
      <c r="B349" s="2" t="s">
        <v>1060</v>
      </c>
      <c r="C349" s="2" t="s">
        <v>31</v>
      </c>
      <c r="D349" s="2" t="s">
        <v>245</v>
      </c>
      <c r="E349" s="6">
        <v>1</v>
      </c>
      <c r="F349" s="6">
        <v>2</v>
      </c>
      <c r="G349" s="7">
        <v>0.7469576001167297</v>
      </c>
      <c r="H349" s="7">
        <v>45.22698984375</v>
      </c>
      <c r="I349" s="7">
        <v>28.81511946337642</v>
      </c>
      <c r="J349" s="7">
        <v>9.945361420474647</v>
      </c>
      <c r="K349" s="7">
        <v>4.743960309820781</v>
      </c>
      <c r="L349" s="7">
        <v>0.8914440303968467</v>
      </c>
      <c r="M349" s="7">
        <v>0.6844893552749565</v>
      </c>
      <c r="N349" s="7">
        <v>0.3074563526849788</v>
      </c>
      <c r="O349" s="7">
        <v>0.056362843206181</v>
      </c>
      <c r="P349" s="7">
        <v>8.93111296109397</v>
      </c>
      <c r="Q349" s="7">
        <v>0.0094957827879226</v>
      </c>
      <c r="R349" s="7">
        <v>0.044963310301295</v>
      </c>
      <c r="S349" s="7">
        <v>0.0973847027273046</v>
      </c>
      <c r="T349" s="7">
        <v>0.4984472856576697</v>
      </c>
    </row>
    <row x14ac:dyDescent="0.25" r="350" customHeight="1" ht="19.5">
      <c r="A350" s="2" t="s">
        <v>1408</v>
      </c>
      <c r="B350" s="2" t="s">
        <v>1060</v>
      </c>
      <c r="C350" s="2" t="s">
        <v>31</v>
      </c>
      <c r="D350" s="2" t="s">
        <v>245</v>
      </c>
      <c r="E350" s="6">
        <v>1</v>
      </c>
      <c r="F350" s="6">
        <v>2</v>
      </c>
      <c r="G350" s="7">
        <v>0.7452154755592346</v>
      </c>
      <c r="H350" s="7">
        <v>44.3230734375</v>
      </c>
      <c r="I350" s="7">
        <v>28.41918360798914</v>
      </c>
      <c r="J350" s="7">
        <v>9.873904794729896</v>
      </c>
      <c r="K350" s="7">
        <v>4.641200167742673</v>
      </c>
      <c r="L350" s="7">
        <v>0.8935677984477604</v>
      </c>
      <c r="M350" s="7">
        <v>0.6896306193155229</v>
      </c>
      <c r="N350" s="7">
        <v>0.3050577532442501</v>
      </c>
      <c r="O350" s="7">
        <v>0.054770053625479</v>
      </c>
      <c r="P350" s="7">
        <v>8.912839838699961</v>
      </c>
      <c r="Q350" s="7">
        <v>0.0095258951258023</v>
      </c>
      <c r="R350" s="7">
        <v>0.045176608326559</v>
      </c>
      <c r="S350" s="7">
        <v>0.0940173678453211</v>
      </c>
      <c r="T350" s="7">
        <v>0.4900342592224085</v>
      </c>
    </row>
    <row x14ac:dyDescent="0.25" r="351" customHeight="1" ht="19.5">
      <c r="A351" s="2" t="s">
        <v>1409</v>
      </c>
      <c r="B351" s="2" t="s">
        <v>1060</v>
      </c>
      <c r="C351" s="2" t="s">
        <v>31</v>
      </c>
      <c r="D351" s="2" t="s">
        <v>245</v>
      </c>
      <c r="E351" s="6">
        <v>1</v>
      </c>
      <c r="F351" s="6">
        <v>2</v>
      </c>
      <c r="G351" s="7">
        <v>0.7391983866691589</v>
      </c>
      <c r="H351" s="7">
        <v>45.19928359375</v>
      </c>
      <c r="I351" s="7">
        <v>28.9530127695954</v>
      </c>
      <c r="J351" s="7">
        <v>9.980434872436796</v>
      </c>
      <c r="K351" s="7">
        <v>4.676068325255313</v>
      </c>
      <c r="L351" s="7">
        <v>0.8944603992171085</v>
      </c>
      <c r="M351" s="7">
        <v>0.6775695671962176</v>
      </c>
      <c r="N351" s="7">
        <v>0.3095941298528958</v>
      </c>
      <c r="O351" s="7">
        <v>0.0548249795895188</v>
      </c>
      <c r="P351" s="7">
        <v>8.928204984306879</v>
      </c>
      <c r="Q351" s="7">
        <v>0.0092947320288037</v>
      </c>
      <c r="R351" s="7">
        <v>0.0452758512923333</v>
      </c>
      <c r="S351" s="7">
        <v>0.0912039350130508</v>
      </c>
      <c r="T351" s="7">
        <v>0.487594956483561</v>
      </c>
    </row>
    <row x14ac:dyDescent="0.25" r="352" customHeight="1" ht="19.5">
      <c r="A352" s="2" t="s">
        <v>1410</v>
      </c>
      <c r="B352" s="2" t="s">
        <v>1060</v>
      </c>
      <c r="C352" s="2" t="s">
        <v>31</v>
      </c>
      <c r="D352" s="2" t="s">
        <v>245</v>
      </c>
      <c r="E352" s="6">
        <v>1</v>
      </c>
      <c r="F352" s="6">
        <v>2</v>
      </c>
      <c r="G352" s="7">
        <v>0.7477293610572815</v>
      </c>
      <c r="H352" s="7">
        <v>45.08845859375</v>
      </c>
      <c r="I352" s="7">
        <v>28.76636681742258</v>
      </c>
      <c r="J352" s="7">
        <v>9.94366049429853</v>
      </c>
      <c r="K352" s="7">
        <v>4.706164409109196</v>
      </c>
      <c r="L352" s="7">
        <v>0.8921292791310261</v>
      </c>
      <c r="M352" s="7">
        <v>0.6847077199194863</v>
      </c>
      <c r="N352" s="7">
        <v>0.3073321093956204</v>
      </c>
      <c r="O352" s="7">
        <v>0.0549293776248143</v>
      </c>
      <c r="P352" s="7">
        <v>8.899957791221084</v>
      </c>
      <c r="Q352" s="7">
        <v>0.0094747988770539</v>
      </c>
      <c r="R352" s="7">
        <v>0.0449199320475669</v>
      </c>
      <c r="S352" s="7">
        <v>0.0953644608898955</v>
      </c>
      <c r="T352" s="7">
        <v>0.4958224290245723</v>
      </c>
    </row>
    <row x14ac:dyDescent="0.25" r="353" customHeight="1" ht="19.5">
      <c r="A353" s="2" t="s">
        <v>1411</v>
      </c>
      <c r="B353" s="2" t="s">
        <v>1060</v>
      </c>
      <c r="C353" s="2" t="s">
        <v>31</v>
      </c>
      <c r="D353" s="2" t="s">
        <v>245</v>
      </c>
      <c r="E353" s="6">
        <v>1</v>
      </c>
      <c r="F353" s="6">
        <v>2</v>
      </c>
      <c r="G353" s="7">
        <v>0.7398922443389893</v>
      </c>
      <c r="H353" s="7">
        <v>44.593209375</v>
      </c>
      <c r="I353" s="7">
        <v>28.60582956016196</v>
      </c>
      <c r="J353" s="7">
        <v>9.923733723374225</v>
      </c>
      <c r="K353" s="7">
        <v>4.637313270835629</v>
      </c>
      <c r="L353" s="7">
        <v>0.8946391975974614</v>
      </c>
      <c r="M353" s="7">
        <v>0.68480906457392</v>
      </c>
      <c r="N353" s="7">
        <v>0.3067172304591048</v>
      </c>
      <c r="O353" s="7">
        <v>0.0549878826415821</v>
      </c>
      <c r="P353" s="7">
        <v>8.886928834683038</v>
      </c>
      <c r="Q353" s="7">
        <v>0.0097696637499382</v>
      </c>
      <c r="R353" s="7">
        <v>0.0452999922722782</v>
      </c>
      <c r="S353" s="7">
        <v>0.0962889672882028</v>
      </c>
      <c r="T353" s="7">
        <v>0.5056373263588477</v>
      </c>
    </row>
    <row x14ac:dyDescent="0.25" r="354" customHeight="1" ht="19.5">
      <c r="A354" s="2" t="s">
        <v>1412</v>
      </c>
      <c r="B354" s="2" t="s">
        <v>1060</v>
      </c>
      <c r="C354" s="2" t="s">
        <v>31</v>
      </c>
      <c r="D354" s="2" t="s">
        <v>245</v>
      </c>
      <c r="E354" s="6">
        <v>1</v>
      </c>
      <c r="F354" s="6">
        <v>2</v>
      </c>
      <c r="G354" s="7">
        <v>0.7376694083213806</v>
      </c>
      <c r="H354" s="7">
        <v>45.01226640625</v>
      </c>
      <c r="I354" s="7">
        <v>28.83531347053207</v>
      </c>
      <c r="J354" s="7">
        <v>9.99681988724535</v>
      </c>
      <c r="K354" s="7">
        <v>4.687551533660569</v>
      </c>
      <c r="L354" s="7">
        <v>0.8954141293859483</v>
      </c>
      <c r="M354" s="7">
        <v>0.680285776198702</v>
      </c>
      <c r="N354" s="7">
        <v>0.3091492478043922</v>
      </c>
      <c r="O354" s="7">
        <v>0.0561745450700899</v>
      </c>
      <c r="P354" s="7">
        <v>8.912853890841138</v>
      </c>
      <c r="Q354" s="7">
        <v>0.0100274672060978</v>
      </c>
      <c r="R354" s="7">
        <v>0.0461709543169087</v>
      </c>
      <c r="S354" s="7">
        <v>0.0951336386818889</v>
      </c>
      <c r="T354" s="7">
        <v>0.5238571923657649</v>
      </c>
    </row>
    <row x14ac:dyDescent="0.25" r="355" customHeight="1" ht="19.5">
      <c r="A355" s="2" t="s">
        <v>1413</v>
      </c>
      <c r="B355" s="2" t="s">
        <v>1060</v>
      </c>
      <c r="C355" s="2" t="s">
        <v>31</v>
      </c>
      <c r="D355" s="2" t="s">
        <v>245</v>
      </c>
      <c r="E355" s="6">
        <v>1</v>
      </c>
      <c r="F355" s="6">
        <v>2</v>
      </c>
      <c r="G355" s="7">
        <v>0.7455765008926392</v>
      </c>
      <c r="H355" s="7">
        <v>45.68760625</v>
      </c>
      <c r="I355" s="7">
        <v>29.05051806150308</v>
      </c>
      <c r="J355" s="7">
        <v>9.978370679391626</v>
      </c>
      <c r="K355" s="7">
        <v>4.734205038243074</v>
      </c>
      <c r="L355" s="7">
        <v>0.8916428521045482</v>
      </c>
      <c r="M355" s="7">
        <v>0.6803000534215086</v>
      </c>
      <c r="N355" s="7">
        <v>0.3072714195458424</v>
      </c>
      <c r="O355" s="7">
        <v>0.0551825018745599</v>
      </c>
      <c r="P355" s="7">
        <v>8.92385603474964</v>
      </c>
      <c r="Q355" s="7">
        <v>0.0096977301379347</v>
      </c>
      <c r="R355" s="7">
        <v>0.045483401080509</v>
      </c>
      <c r="S355" s="7">
        <v>0.0957843840469389</v>
      </c>
      <c r="T355" s="7">
        <v>0.5142322134880697</v>
      </c>
    </row>
    <row x14ac:dyDescent="0.25" r="356" customHeight="1" ht="19.5">
      <c r="A356" s="2" t="s">
        <v>1414</v>
      </c>
      <c r="B356" s="2" t="s">
        <v>1060</v>
      </c>
      <c r="C356" s="2" t="s">
        <v>31</v>
      </c>
      <c r="D356" s="2" t="s">
        <v>245</v>
      </c>
      <c r="E356" s="6">
        <v>1</v>
      </c>
      <c r="F356" s="6">
        <v>2</v>
      </c>
      <c r="G356" s="7">
        <v>0.7442030310630798</v>
      </c>
      <c r="H356" s="7">
        <v>44.96724375</v>
      </c>
      <c r="I356" s="7">
        <v>28.73780817862439</v>
      </c>
      <c r="J356" s="7">
        <v>10.05429420788155</v>
      </c>
      <c r="K356" s="7">
        <v>4.655124137190397</v>
      </c>
      <c r="L356" s="7">
        <v>0.8974091979859047</v>
      </c>
      <c r="M356" s="7">
        <v>0.6842248598664337</v>
      </c>
      <c r="N356" s="7">
        <v>0.3071123393972511</v>
      </c>
      <c r="O356" s="7">
        <v>0.0547934076482817</v>
      </c>
      <c r="P356" s="7">
        <v>8.910579672497313</v>
      </c>
      <c r="Q356" s="7">
        <v>0.0090526706999342</v>
      </c>
      <c r="R356" s="7">
        <v>0.0433389430530915</v>
      </c>
      <c r="S356" s="7">
        <v>0.0913357158763912</v>
      </c>
      <c r="T356" s="7">
        <v>0.4724586136877187</v>
      </c>
    </row>
    <row x14ac:dyDescent="0.25" r="357" customHeight="1" ht="19.5">
      <c r="A357" s="2" t="s">
        <v>1415</v>
      </c>
      <c r="B357" s="2" t="s">
        <v>1060</v>
      </c>
      <c r="C357" s="2" t="s">
        <v>31</v>
      </c>
      <c r="D357" s="2" t="s">
        <v>245</v>
      </c>
      <c r="E357" s="6">
        <v>1</v>
      </c>
      <c r="F357" s="6">
        <v>2</v>
      </c>
      <c r="G357" s="7">
        <v>0.7355716824531555</v>
      </c>
      <c r="H357" s="7">
        <v>44.87373515625</v>
      </c>
      <c r="I357" s="7">
        <v>28.63438819896015</v>
      </c>
      <c r="J357" s="7">
        <v>9.941955400709446</v>
      </c>
      <c r="K357" s="7">
        <v>4.690813886972832</v>
      </c>
      <c r="L357" s="7">
        <v>0.893331404315536</v>
      </c>
      <c r="M357" s="7">
        <v>0.6877431406811645</v>
      </c>
      <c r="N357" s="7">
        <v>0.3116044111564112</v>
      </c>
      <c r="O357" s="7">
        <v>0.0559184767903658</v>
      </c>
      <c r="P357" s="7">
        <v>8.896587048012272</v>
      </c>
      <c r="Q357" s="7">
        <v>0.0093752158795489</v>
      </c>
      <c r="R357" s="7">
        <v>0.0441800678880828</v>
      </c>
      <c r="S357" s="7">
        <v>0.0922431432282753</v>
      </c>
      <c r="T357" s="7">
        <v>0.4882747623718933</v>
      </c>
    </row>
    <row x14ac:dyDescent="0.25" r="358" customHeight="1" ht="19.5">
      <c r="A358" s="2" t="s">
        <v>1416</v>
      </c>
      <c r="B358" s="2" t="s">
        <v>1060</v>
      </c>
      <c r="C358" s="2" t="s">
        <v>31</v>
      </c>
      <c r="D358" s="2" t="s">
        <v>245</v>
      </c>
      <c r="E358" s="6">
        <v>1</v>
      </c>
      <c r="F358" s="6">
        <v>2</v>
      </c>
      <c r="G358" s="7">
        <v>0.7502415180206299</v>
      </c>
      <c r="H358" s="7">
        <v>45.036509375</v>
      </c>
      <c r="I358" s="7">
        <v>28.81511946337641</v>
      </c>
      <c r="J358" s="7">
        <v>9.993915379951194</v>
      </c>
      <c r="K358" s="7">
        <v>4.685262456028918</v>
      </c>
      <c r="L358" s="7">
        <v>0.8952239037403691</v>
      </c>
      <c r="M358" s="7">
        <v>0.6816065223980043</v>
      </c>
      <c r="N358" s="7">
        <v>0.3048322356311223</v>
      </c>
      <c r="O358" s="7">
        <v>0.0558061776372156</v>
      </c>
      <c r="P358" s="7">
        <v>8.928446900613485</v>
      </c>
      <c r="Q358" s="7">
        <v>0.0095843203879897</v>
      </c>
      <c r="R358" s="7">
        <v>0.0445907387698883</v>
      </c>
      <c r="S358" s="7">
        <v>0.0960947264731904</v>
      </c>
      <c r="T358" s="7">
        <v>0.5009758901055291</v>
      </c>
    </row>
    <row x14ac:dyDescent="0.25" r="359" customHeight="1" ht="19.5">
      <c r="A359" s="2" t="s">
        <v>1417</v>
      </c>
      <c r="B359" s="2" t="s">
        <v>1060</v>
      </c>
      <c r="C359" s="2" t="s">
        <v>31</v>
      </c>
      <c r="D359" s="2" t="s">
        <v>245</v>
      </c>
      <c r="E359" s="6">
        <v>1</v>
      </c>
      <c r="F359" s="6">
        <v>2</v>
      </c>
      <c r="G359" s="7">
        <v>0.7379773855209351</v>
      </c>
      <c r="H359" s="7">
        <v>45.60795078125</v>
      </c>
      <c r="I359" s="7">
        <v>28.95510392750604</v>
      </c>
      <c r="J359" s="7">
        <v>9.98279334319638</v>
      </c>
      <c r="K359" s="7">
        <v>4.737097606096992</v>
      </c>
      <c r="L359" s="7">
        <v>0.891826542757019</v>
      </c>
      <c r="M359" s="7">
        <v>0.6835970300197755</v>
      </c>
      <c r="N359" s="7">
        <v>0.3085795610731268</v>
      </c>
      <c r="O359" s="7">
        <v>0.0553381467284404</v>
      </c>
      <c r="P359" s="7">
        <v>8.93072567910686</v>
      </c>
      <c r="Q359" s="7">
        <v>0.0098168099267414</v>
      </c>
      <c r="R359" s="7">
        <v>0.0458215165889942</v>
      </c>
      <c r="S359" s="7">
        <v>0.094746273975225</v>
      </c>
      <c r="T359" s="7">
        <v>0.5196389800224476</v>
      </c>
    </row>
    <row x14ac:dyDescent="0.25" r="360" customHeight="1" ht="19.5">
      <c r="A360" s="2" t="s">
        <v>1418</v>
      </c>
      <c r="B360" s="2" t="s">
        <v>1060</v>
      </c>
      <c r="C360" s="2" t="s">
        <v>31</v>
      </c>
      <c r="D360" s="2" t="s">
        <v>245</v>
      </c>
      <c r="E360" s="6">
        <v>1</v>
      </c>
      <c r="F360" s="6">
        <v>2</v>
      </c>
      <c r="G360" s="7">
        <v>0.7465217113494873</v>
      </c>
      <c r="H360" s="7">
        <v>44.85295546875</v>
      </c>
      <c r="I360" s="7">
        <v>28.66886152551489</v>
      </c>
      <c r="J360" s="7">
        <v>9.944055463274625</v>
      </c>
      <c r="K360" s="7">
        <v>4.691313010349761</v>
      </c>
      <c r="L360" s="7">
        <v>0.8934656336840685</v>
      </c>
      <c r="M360" s="7">
        <v>0.685772451966924</v>
      </c>
      <c r="N360" s="7">
        <v>0.3095282616041932</v>
      </c>
      <c r="O360" s="7">
        <v>0.0560189241656318</v>
      </c>
      <c r="P360" s="7">
        <v>8.896496479671324</v>
      </c>
      <c r="Q360" s="7">
        <v>0.0093305591384055</v>
      </c>
      <c r="R360" s="7">
        <v>0.0446293525299948</v>
      </c>
      <c r="S360" s="7">
        <v>0.0944307036332672</v>
      </c>
      <c r="T360" s="7">
        <v>0.4857239464294891</v>
      </c>
    </row>
    <row x14ac:dyDescent="0.25" r="361" customHeight="1" ht="19.5">
      <c r="A361" s="2" t="s">
        <v>1419</v>
      </c>
      <c r="B361" s="2" t="s">
        <v>1060</v>
      </c>
      <c r="C361" s="2" t="s">
        <v>31</v>
      </c>
      <c r="D361" s="2" t="s">
        <v>245</v>
      </c>
      <c r="E361" s="6">
        <v>1</v>
      </c>
      <c r="F361" s="6">
        <v>2</v>
      </c>
      <c r="G361" s="7">
        <v>0.744195818901062</v>
      </c>
      <c r="H361" s="7">
        <v>45.4036171875</v>
      </c>
      <c r="I361" s="7">
        <v>28.71761417146873</v>
      </c>
      <c r="J361" s="7">
        <v>9.939652421784658</v>
      </c>
      <c r="K361" s="7">
        <v>4.744976709358177</v>
      </c>
      <c r="L361" s="7">
        <v>0.8905268750909373</v>
      </c>
      <c r="M361" s="7">
        <v>0.6918367131708002</v>
      </c>
      <c r="N361" s="7">
        <v>0.3085945287239798</v>
      </c>
      <c r="O361" s="7">
        <v>0.055735000950023</v>
      </c>
      <c r="P361" s="7">
        <v>8.909075056096208</v>
      </c>
      <c r="Q361" s="7">
        <v>0.0098341584413112</v>
      </c>
      <c r="R361" s="7">
        <v>0.0458468465399764</v>
      </c>
      <c r="S361" s="7">
        <v>0.0965298269241098</v>
      </c>
      <c r="T361" s="7">
        <v>0.5182250886153049</v>
      </c>
    </row>
    <row x14ac:dyDescent="0.25" r="362" customHeight="1" ht="19.5">
      <c r="A362" s="2" t="s">
        <v>1420</v>
      </c>
      <c r="B362" s="2" t="s">
        <v>1060</v>
      </c>
      <c r="C362" s="2" t="s">
        <v>31</v>
      </c>
      <c r="D362" s="2" t="s">
        <v>245</v>
      </c>
      <c r="E362" s="6">
        <v>1</v>
      </c>
      <c r="F362" s="6">
        <v>2</v>
      </c>
      <c r="G362" s="7">
        <v>0.7430422306060791</v>
      </c>
      <c r="H362" s="7">
        <v>45.56639140625001</v>
      </c>
      <c r="I362" s="7">
        <v>28.76636681742257</v>
      </c>
      <c r="J362" s="7">
        <v>9.999409655336972</v>
      </c>
      <c r="K362" s="7">
        <v>4.749912383404929</v>
      </c>
      <c r="L362" s="7">
        <v>0.8921650072091272</v>
      </c>
      <c r="M362" s="7">
        <v>0.6919655481204919</v>
      </c>
      <c r="N362" s="7">
        <v>0.3101734097842603</v>
      </c>
      <c r="O362" s="7">
        <v>0.0561936831577741</v>
      </c>
      <c r="P362" s="7">
        <v>8.91471289879658</v>
      </c>
      <c r="Q362" s="7">
        <v>0.0093058335962764</v>
      </c>
      <c r="R362" s="7">
        <v>0.0442998981721096</v>
      </c>
      <c r="S362" s="7">
        <v>0.0917625489287681</v>
      </c>
      <c r="T362" s="7">
        <v>0.4921423047526796</v>
      </c>
    </row>
    <row x14ac:dyDescent="0.25" r="363" customHeight="1" ht="19.5">
      <c r="A363" s="2" t="s">
        <v>1421</v>
      </c>
      <c r="B363" s="2" t="s">
        <v>1060</v>
      </c>
      <c r="C363" s="2" t="s">
        <v>31</v>
      </c>
      <c r="D363" s="2" t="s">
        <v>245</v>
      </c>
      <c r="E363" s="6">
        <v>1</v>
      </c>
      <c r="F363" s="6">
        <v>2</v>
      </c>
      <c r="G363" s="7">
        <v>0.7405710220336914</v>
      </c>
      <c r="H363" s="7">
        <v>44.56203984375</v>
      </c>
      <c r="I363" s="7">
        <v>28.67477621327146</v>
      </c>
      <c r="J363" s="7">
        <v>10.01202272134636</v>
      </c>
      <c r="K363" s="7">
        <v>4.670193332926472</v>
      </c>
      <c r="L363" s="7">
        <v>0.8973113469401839</v>
      </c>
      <c r="M363" s="7">
        <v>0.6810434998259676</v>
      </c>
      <c r="N363" s="7">
        <v>0.3118934130941345</v>
      </c>
      <c r="O363" s="7">
        <v>0.0566387411428746</v>
      </c>
      <c r="P363" s="7">
        <v>8.884870720598512</v>
      </c>
      <c r="Q363" s="7">
        <v>0.0097587238938607</v>
      </c>
      <c r="R363" s="7">
        <v>0.0453134360562549</v>
      </c>
      <c r="S363" s="7">
        <v>0.0961875008996326</v>
      </c>
      <c r="T363" s="7">
        <v>0.5047180927179247</v>
      </c>
    </row>
    <row x14ac:dyDescent="0.25" r="364" customHeight="1" ht="19.5">
      <c r="A364" s="2" t="s">
        <v>1422</v>
      </c>
      <c r="B364" s="2" t="s">
        <v>1060</v>
      </c>
      <c r="C364" s="2" t="s">
        <v>31</v>
      </c>
      <c r="D364" s="2" t="s">
        <v>245</v>
      </c>
      <c r="E364" s="6">
        <v>1</v>
      </c>
      <c r="F364" s="6">
        <v>2</v>
      </c>
      <c r="G364" s="7">
        <v>0.7447338700294495</v>
      </c>
      <c r="H364" s="7">
        <v>44.440825</v>
      </c>
      <c r="I364" s="7">
        <v>28.41918360798914</v>
      </c>
      <c r="J364" s="7">
        <v>9.8834657072386</v>
      </c>
      <c r="K364" s="7">
        <v>4.652228901268787</v>
      </c>
      <c r="L364" s="7">
        <v>0.8931926277577885</v>
      </c>
      <c r="M364" s="7">
        <v>0.691462736916455</v>
      </c>
      <c r="N364" s="7">
        <v>0.3046201136417101</v>
      </c>
      <c r="O364" s="7">
        <v>0.0549119588884342</v>
      </c>
      <c r="P364" s="7">
        <v>8.884332561315194</v>
      </c>
      <c r="Q364" s="7">
        <v>0.0100465545484371</v>
      </c>
      <c r="R364" s="7">
        <v>0.0456659201545246</v>
      </c>
      <c r="S364" s="7">
        <v>0.0939081429693836</v>
      </c>
      <c r="T364" s="7">
        <v>0.5181912069379463</v>
      </c>
    </row>
    <row x14ac:dyDescent="0.25" r="365" customHeight="1" ht="19.5">
      <c r="A365" s="2" t="s">
        <v>1423</v>
      </c>
      <c r="B365" s="2" t="s">
        <v>1060</v>
      </c>
      <c r="C365" s="2" t="s">
        <v>31</v>
      </c>
      <c r="D365" s="2" t="s">
        <v>245</v>
      </c>
      <c r="E365" s="6">
        <v>1</v>
      </c>
      <c r="F365" s="6">
        <v>2</v>
      </c>
      <c r="G365" s="7">
        <v>0.7433148622512817</v>
      </c>
      <c r="H365" s="7">
        <v>44.97763359375</v>
      </c>
      <c r="I365" s="7">
        <v>28.83531347053207</v>
      </c>
      <c r="J365" s="7">
        <v>9.999430957540664</v>
      </c>
      <c r="K365" s="7">
        <v>4.689386045033077</v>
      </c>
      <c r="L365" s="7">
        <v>0.8950222661034174</v>
      </c>
      <c r="M365" s="7">
        <v>0.6797623586591169</v>
      </c>
      <c r="N365" s="7">
        <v>0.3097831107424351</v>
      </c>
      <c r="O365" s="7">
        <v>0.0563479989050365</v>
      </c>
      <c r="P365" s="7">
        <v>8.9188735394631</v>
      </c>
      <c r="Q365" s="7">
        <v>0.0094719448847354</v>
      </c>
      <c r="R365" s="7">
        <v>0.0445133173955822</v>
      </c>
      <c r="S365" s="7">
        <v>0.0953720338010742</v>
      </c>
      <c r="T365" s="7">
        <v>0.4944547400400479</v>
      </c>
    </row>
    <row x14ac:dyDescent="0.25" r="366" customHeight="1" ht="19.5">
      <c r="A366" s="2" t="s">
        <v>1424</v>
      </c>
      <c r="B366" s="2" t="s">
        <v>1060</v>
      </c>
      <c r="C366" s="2" t="s">
        <v>31</v>
      </c>
      <c r="D366" s="2" t="s">
        <v>245</v>
      </c>
      <c r="E366" s="6">
        <v>1</v>
      </c>
      <c r="F366" s="6">
        <v>2</v>
      </c>
      <c r="G366" s="7">
        <v>0.7502143383026123</v>
      </c>
      <c r="H366" s="7">
        <v>45.368984375</v>
      </c>
      <c r="I366" s="7">
        <v>28.78656082457823</v>
      </c>
      <c r="J366" s="7">
        <v>9.876088784309992</v>
      </c>
      <c r="K366" s="7">
        <v>4.743373859009683</v>
      </c>
      <c r="L366" s="7">
        <v>0.8887814409137799</v>
      </c>
      <c r="M366" s="7">
        <v>0.6880014555773791</v>
      </c>
      <c r="N366" s="7">
        <v>0.3079222710644852</v>
      </c>
      <c r="O366" s="7">
        <v>0.0560160552443316</v>
      </c>
      <c r="P366" s="7">
        <v>8.873037709187903</v>
      </c>
      <c r="Q366" s="7">
        <v>0.0096556603021252</v>
      </c>
      <c r="R366" s="7">
        <v>0.0451389769681327</v>
      </c>
      <c r="S366" s="7">
        <v>0.0946792879097438</v>
      </c>
      <c r="T366" s="7">
        <v>0.5084307579884145</v>
      </c>
    </row>
    <row x14ac:dyDescent="0.25" r="367" customHeight="1" ht="19.5">
      <c r="A367" s="2" t="s">
        <v>1425</v>
      </c>
      <c r="B367" s="2" t="s">
        <v>1060</v>
      </c>
      <c r="C367" s="2" t="s">
        <v>31</v>
      </c>
      <c r="D367" s="2" t="s">
        <v>245</v>
      </c>
      <c r="E367" s="6">
        <v>1</v>
      </c>
      <c r="F367" s="6">
        <v>2</v>
      </c>
      <c r="G367" s="7">
        <v>0.7064722180366516</v>
      </c>
      <c r="H367" s="7">
        <v>43.3879875</v>
      </c>
      <c r="I367" s="7">
        <v>28.59155024076287</v>
      </c>
      <c r="J367" s="7">
        <v>9.545401143145602</v>
      </c>
      <c r="K367" s="7">
        <v>4.683756869428727</v>
      </c>
      <c r="L367" s="7">
        <v>0.8848123292417693</v>
      </c>
      <c r="M367" s="7">
        <v>0.6669664114087478</v>
      </c>
      <c r="N367" s="7">
        <v>0.3754638765090724</v>
      </c>
      <c r="O367" s="7">
        <v>0.0660939690524681</v>
      </c>
      <c r="P367" s="7">
        <v>8.336971535108285</v>
      </c>
      <c r="Q367" s="7">
        <v>0.0096217939030825</v>
      </c>
      <c r="R367" s="7">
        <v>0.0395650627142812</v>
      </c>
      <c r="S367" s="7">
        <v>0.0867361626299636</v>
      </c>
      <c r="T367" s="7">
        <v>0.4845251632999357</v>
      </c>
    </row>
    <row x14ac:dyDescent="0.25" r="368" customHeight="1" ht="19.5">
      <c r="A368" s="2" t="s">
        <v>1426</v>
      </c>
      <c r="B368" s="2" t="s">
        <v>1060</v>
      </c>
      <c r="C368" s="2" t="s">
        <v>31</v>
      </c>
      <c r="D368" s="2" t="s">
        <v>245</v>
      </c>
      <c r="E368" s="6">
        <v>1</v>
      </c>
      <c r="F368" s="6">
        <v>2</v>
      </c>
      <c r="G368" s="7">
        <v>0.4906374514102936</v>
      </c>
      <c r="H368" s="7">
        <v>43.05551250000001</v>
      </c>
      <c r="I368" s="7">
        <v>28.08974446182538</v>
      </c>
      <c r="J368" s="7">
        <v>9.697686354260576</v>
      </c>
      <c r="K368" s="7">
        <v>4.506207211928488</v>
      </c>
      <c r="L368" s="7">
        <v>0.8935596236220674</v>
      </c>
      <c r="M368" s="7">
        <v>0.6857140537119139</v>
      </c>
      <c r="N368" s="7">
        <v>0.5070923575602106</v>
      </c>
      <c r="O368" s="7">
        <v>0.0754305545272538</v>
      </c>
      <c r="P368" s="7">
        <v>7.948061043567201</v>
      </c>
      <c r="Q368" s="7">
        <v>0.0090114236571554</v>
      </c>
      <c r="R368" s="7">
        <v>0.0373631583354116</v>
      </c>
      <c r="S368" s="7">
        <v>0.0867695926917983</v>
      </c>
      <c r="T368" s="7">
        <v>0.4503114097034766</v>
      </c>
    </row>
    <row x14ac:dyDescent="0.25" r="369" customHeight="1" ht="19.5">
      <c r="A369" s="2" t="s">
        <v>1427</v>
      </c>
      <c r="B369" s="2" t="s">
        <v>1060</v>
      </c>
      <c r="C369" s="2" t="s">
        <v>31</v>
      </c>
      <c r="D369" s="2" t="s">
        <v>245</v>
      </c>
      <c r="E369" s="6">
        <v>1</v>
      </c>
      <c r="F369" s="6">
        <v>2</v>
      </c>
      <c r="G369" s="7">
        <v>0.5867375731468201</v>
      </c>
      <c r="H369" s="7">
        <v>47.99068828125</v>
      </c>
      <c r="I369" s="7">
        <v>29.45583334851752</v>
      </c>
      <c r="J369" s="7">
        <v>9.713972981940428</v>
      </c>
      <c r="K369" s="7">
        <v>5.054491384689846</v>
      </c>
      <c r="L369" s="7">
        <v>0.8664886275739234</v>
      </c>
      <c r="M369" s="7">
        <v>0.6950630704057247</v>
      </c>
      <c r="N369" s="7">
        <v>0.4478143771365524</v>
      </c>
      <c r="O369" s="7">
        <v>0.0638857583164295</v>
      </c>
      <c r="P369" s="7">
        <v>8.481702136790176</v>
      </c>
      <c r="Q369" s="7">
        <v>0.0074499893334502</v>
      </c>
      <c r="R369" s="7">
        <v>0.0343650152755</v>
      </c>
      <c r="S369" s="7">
        <v>0.0744478162486417</v>
      </c>
      <c r="T369" s="7">
        <v>0.4149573004352793</v>
      </c>
    </row>
    <row x14ac:dyDescent="0.25" r="370" customHeight="1" ht="19.5">
      <c r="A370" s="2" t="s">
        <v>1428</v>
      </c>
      <c r="B370" s="2" t="s">
        <v>1060</v>
      </c>
      <c r="C370" s="2" t="s">
        <v>31</v>
      </c>
      <c r="D370" s="2" t="s">
        <v>245</v>
      </c>
      <c r="E370" s="6">
        <v>1</v>
      </c>
      <c r="F370" s="6">
        <v>2</v>
      </c>
      <c r="G370" s="7">
        <v>0.6428995132446289</v>
      </c>
      <c r="H370" s="7">
        <v>47.90064296875001</v>
      </c>
      <c r="I370" s="7">
        <v>29.40708070256368</v>
      </c>
      <c r="J370" s="7">
        <v>9.846685782233894</v>
      </c>
      <c r="K370" s="7">
        <v>4.996245257237522</v>
      </c>
      <c r="L370" s="7">
        <v>0.8733288517303918</v>
      </c>
      <c r="M370" s="7">
        <v>0.6960611267612207</v>
      </c>
      <c r="N370" s="7">
        <v>0.3870323132094103</v>
      </c>
      <c r="O370" s="7">
        <v>0.0561353479359057</v>
      </c>
      <c r="P370" s="7">
        <v>8.803574307978135</v>
      </c>
      <c r="Q370" s="7">
        <v>0.0061430176781372</v>
      </c>
      <c r="R370" s="7">
        <v>0.0326556427644608</v>
      </c>
      <c r="S370" s="7">
        <v>0.0818172263057862</v>
      </c>
      <c r="T370" s="7">
        <v>0.3415182277904535</v>
      </c>
    </row>
    <row x14ac:dyDescent="0.25" r="371" customHeight="1" ht="19.5">
      <c r="A371" s="2" t="s">
        <v>1429</v>
      </c>
      <c r="B371" s="2" t="s">
        <v>1060</v>
      </c>
      <c r="C371" s="2" t="s">
        <v>31</v>
      </c>
      <c r="D371" s="2" t="s">
        <v>245</v>
      </c>
      <c r="E371" s="6">
        <v>1</v>
      </c>
      <c r="F371" s="6">
        <v>2</v>
      </c>
      <c r="G371" s="7">
        <v>0.6424148678779602</v>
      </c>
      <c r="H371" s="7">
        <v>47.3430546875</v>
      </c>
      <c r="I371" s="7">
        <v>29.32385473005509</v>
      </c>
      <c r="J371" s="7">
        <v>10.03468288668856</v>
      </c>
      <c r="K371" s="7">
        <v>4.870643879025259</v>
      </c>
      <c r="L371" s="7">
        <v>0.8853370270050834</v>
      </c>
      <c r="M371" s="7">
        <v>0.6918692382821133</v>
      </c>
      <c r="N371" s="7">
        <v>0.3521867443770168</v>
      </c>
      <c r="O371" s="7">
        <v>0.0524760315044301</v>
      </c>
      <c r="P371" s="7">
        <v>8.987589357932748</v>
      </c>
      <c r="Q371" s="7">
        <v>0.0065587845328673</v>
      </c>
      <c r="R371" s="7">
        <v>0.0358180123734033</v>
      </c>
      <c r="S371" s="7">
        <v>0.082801729950639</v>
      </c>
      <c r="T371" s="7">
        <v>0.360388081708095</v>
      </c>
    </row>
    <row x14ac:dyDescent="0.25" r="372" customHeight="1" ht="19.5">
      <c r="A372" s="2" t="s">
        <v>1430</v>
      </c>
      <c r="B372" s="2" t="s">
        <v>1060</v>
      </c>
      <c r="C372" s="2" t="s">
        <v>31</v>
      </c>
      <c r="D372" s="2" t="s">
        <v>245</v>
      </c>
      <c r="E372" s="6">
        <v>1</v>
      </c>
      <c r="F372" s="6">
        <v>2</v>
      </c>
      <c r="G372" s="7">
        <v>0.6513304114341736</v>
      </c>
      <c r="H372" s="7">
        <v>45.91964609375</v>
      </c>
      <c r="I372" s="7">
        <v>29.05398280537367</v>
      </c>
      <c r="J372" s="7">
        <v>9.919550676070692</v>
      </c>
      <c r="K372" s="7">
        <v>4.791023398699919</v>
      </c>
      <c r="L372" s="7">
        <v>0.8874427751745052</v>
      </c>
      <c r="M372" s="7">
        <v>0.6835921170472632</v>
      </c>
      <c r="N372" s="7">
        <v>0.3501694701173315</v>
      </c>
      <c r="O372" s="7">
        <v>0.0529959365109781</v>
      </c>
      <c r="P372" s="7">
        <v>8.993033430817281</v>
      </c>
      <c r="Q372" s="7">
        <v>0.0063340772110608</v>
      </c>
      <c r="R372" s="7">
        <v>0.035700815791312</v>
      </c>
      <c r="S372" s="7">
        <v>0.0820948640557139</v>
      </c>
      <c r="T372" s="7">
        <v>0.3375768569811937</v>
      </c>
    </row>
    <row x14ac:dyDescent="0.25" r="373" customHeight="1" ht="19.5">
      <c r="A373" s="2" t="s">
        <v>1431</v>
      </c>
      <c r="B373" s="2" t="s">
        <v>1060</v>
      </c>
      <c r="C373" s="2" t="s">
        <v>31</v>
      </c>
      <c r="D373" s="2" t="s">
        <v>245</v>
      </c>
      <c r="E373" s="6">
        <v>1</v>
      </c>
      <c r="F373" s="6">
        <v>2</v>
      </c>
      <c r="G373" s="7">
        <v>0.648236870765686</v>
      </c>
      <c r="H373" s="7">
        <v>46.87551171875</v>
      </c>
      <c r="I373" s="7">
        <v>29.20615543099175</v>
      </c>
      <c r="J373" s="7">
        <v>9.91297121397142</v>
      </c>
      <c r="K373" s="7">
        <v>4.864433707355857</v>
      </c>
      <c r="L373" s="7">
        <v>0.8822572474199188</v>
      </c>
      <c r="M373" s="7">
        <v>0.6905690362023637</v>
      </c>
      <c r="N373" s="7">
        <v>0.3542091856994273</v>
      </c>
      <c r="O373" s="7">
        <v>0.0527677587576941</v>
      </c>
      <c r="P373" s="7">
        <v>8.976231775151767</v>
      </c>
      <c r="Q373" s="7">
        <v>0.0064394816472809</v>
      </c>
      <c r="R373" s="7">
        <v>0.0357403677409194</v>
      </c>
      <c r="S373" s="7">
        <v>0.0848728786129544</v>
      </c>
      <c r="T373" s="7">
        <v>0.3503383753129652</v>
      </c>
    </row>
    <row x14ac:dyDescent="0.25" r="374" customHeight="1" ht="19.5">
      <c r="A374" s="2" t="s">
        <v>1432</v>
      </c>
      <c r="B374" s="2" t="s">
        <v>1060</v>
      </c>
      <c r="C374" s="2" t="s">
        <v>31</v>
      </c>
      <c r="D374" s="2" t="s">
        <v>245</v>
      </c>
      <c r="E374" s="6">
        <v>1</v>
      </c>
      <c r="F374" s="6">
        <v>2</v>
      </c>
      <c r="G374" s="7">
        <v>0.6617248058319092</v>
      </c>
      <c r="H374" s="7">
        <v>46.754296875</v>
      </c>
      <c r="I374" s="7">
        <v>29.08845613192842</v>
      </c>
      <c r="J374" s="7">
        <v>9.834015271665908</v>
      </c>
      <c r="K374" s="7">
        <v>4.838042831001522</v>
      </c>
      <c r="L374" s="7">
        <v>0.8802683585504016</v>
      </c>
      <c r="M374" s="7">
        <v>0.6943685637865499</v>
      </c>
      <c r="N374" s="7">
        <v>0.3519846187134611</v>
      </c>
      <c r="O374" s="7">
        <v>0.0525416192690623</v>
      </c>
      <c r="P374" s="7">
        <v>8.96935346010265</v>
      </c>
      <c r="Q374" s="7">
        <v>0.0070132370309022</v>
      </c>
      <c r="R374" s="7">
        <v>0.0367144357972951</v>
      </c>
      <c r="S374" s="7">
        <v>0.0941539011225944</v>
      </c>
      <c r="T374" s="7">
        <v>0.3805667377818095</v>
      </c>
    </row>
    <row x14ac:dyDescent="0.25" r="375" customHeight="1" ht="19.5">
      <c r="A375" s="2" t="s">
        <v>1433</v>
      </c>
      <c r="B375" s="2" t="s">
        <v>1060</v>
      </c>
      <c r="C375" s="2" t="s">
        <v>31</v>
      </c>
      <c r="D375" s="2" t="s">
        <v>245</v>
      </c>
      <c r="E375" s="6">
        <v>1</v>
      </c>
      <c r="F375" s="6">
        <v>2</v>
      </c>
      <c r="G375" s="7">
        <v>0.6571540236473083</v>
      </c>
      <c r="H375" s="7">
        <v>46.46684453125</v>
      </c>
      <c r="I375" s="7">
        <v>29.30366072289944</v>
      </c>
      <c r="J375" s="7">
        <v>9.971423241440707</v>
      </c>
      <c r="K375" s="7">
        <v>4.805386370609621</v>
      </c>
      <c r="L375" s="7">
        <v>0.887326773235466</v>
      </c>
      <c r="M375" s="7">
        <v>0.6800005916596152</v>
      </c>
      <c r="N375" s="7">
        <v>0.3520429855396095</v>
      </c>
      <c r="O375" s="7">
        <v>0.0526918544345177</v>
      </c>
      <c r="P375" s="7">
        <v>8.987547600451702</v>
      </c>
      <c r="Q375" s="7">
        <v>0.0068129216130463</v>
      </c>
      <c r="R375" s="7">
        <v>0.0373496813567479</v>
      </c>
      <c r="S375" s="7">
        <v>0.0888298728973145</v>
      </c>
      <c r="T375" s="7">
        <v>0.3674238585254217</v>
      </c>
    </row>
    <row x14ac:dyDescent="0.25" r="376" customHeight="1" ht="19.5">
      <c r="A376" s="2" t="s">
        <v>1434</v>
      </c>
      <c r="B376" s="2" t="s">
        <v>1060</v>
      </c>
      <c r="C376" s="2" t="s">
        <v>31</v>
      </c>
      <c r="D376" s="2" t="s">
        <v>245</v>
      </c>
      <c r="E376" s="6">
        <v>1</v>
      </c>
      <c r="F376" s="6">
        <v>2</v>
      </c>
      <c r="G376" s="7">
        <v>0.6704456806182861</v>
      </c>
      <c r="H376" s="7">
        <v>47.24261953125</v>
      </c>
      <c r="I376" s="7">
        <v>29.33813404945418</v>
      </c>
      <c r="J376" s="7">
        <v>9.907456181296034</v>
      </c>
      <c r="K376" s="7">
        <v>4.901801564898268</v>
      </c>
      <c r="L376" s="7">
        <v>0.8805682980632064</v>
      </c>
      <c r="M376" s="7">
        <v>0.6897295890851203</v>
      </c>
      <c r="N376" s="7">
        <v>0.3547897435510548</v>
      </c>
      <c r="O376" s="7">
        <v>0.0527567431783924</v>
      </c>
      <c r="P376" s="7">
        <v>9.001198688391742</v>
      </c>
      <c r="Q376" s="7">
        <v>0.006345041300741</v>
      </c>
      <c r="R376" s="7">
        <v>0.0348239174312063</v>
      </c>
      <c r="S376" s="7">
        <v>0.0931732372751531</v>
      </c>
      <c r="T376" s="7">
        <v>0.3479038253003823</v>
      </c>
    </row>
    <row x14ac:dyDescent="0.25" r="377" customHeight="1" ht="19.5">
      <c r="A377" s="2" t="s">
        <v>1435</v>
      </c>
      <c r="B377" s="2" t="s">
        <v>1060</v>
      </c>
      <c r="C377" s="2" t="s">
        <v>31</v>
      </c>
      <c r="D377" s="2" t="s">
        <v>245</v>
      </c>
      <c r="E377" s="6">
        <v>1</v>
      </c>
      <c r="F377" s="6">
        <v>2</v>
      </c>
      <c r="G377" s="7">
        <v>0.6531747579574585</v>
      </c>
      <c r="H377" s="7">
        <v>46.9690203125</v>
      </c>
      <c r="I377" s="7">
        <v>29.33813404945418</v>
      </c>
      <c r="J377" s="7">
        <v>9.923078080312743</v>
      </c>
      <c r="K377" s="7">
        <v>4.912111174587761</v>
      </c>
      <c r="L377" s="7">
        <v>0.8823369002624942</v>
      </c>
      <c r="M377" s="7">
        <v>0.6857351137872885</v>
      </c>
      <c r="N377" s="7">
        <v>0.3559415832475606</v>
      </c>
      <c r="O377" s="7">
        <v>0.0533976890131066</v>
      </c>
      <c r="P377" s="7">
        <v>8.97114754535971</v>
      </c>
      <c r="Q377" s="7">
        <v>0.0064295331128825</v>
      </c>
      <c r="R377" s="7">
        <v>0.0349706192177063</v>
      </c>
      <c r="S377" s="7">
        <v>0.0825084002918541</v>
      </c>
      <c r="T377" s="7">
        <v>0.3504949129904471</v>
      </c>
    </row>
    <row x14ac:dyDescent="0.25" r="378" customHeight="1" ht="19.5">
      <c r="A378" s="2" t="s">
        <v>1436</v>
      </c>
      <c r="B378" s="2" t="s">
        <v>1060</v>
      </c>
      <c r="C378" s="2" t="s">
        <v>31</v>
      </c>
      <c r="D378" s="2" t="s">
        <v>245</v>
      </c>
      <c r="E378" s="6">
        <v>1</v>
      </c>
      <c r="F378" s="6">
        <v>2</v>
      </c>
      <c r="G378" s="7">
        <v>0.6655910015106201</v>
      </c>
      <c r="H378" s="7">
        <v>46.39065234375001</v>
      </c>
      <c r="I378" s="7">
        <v>29.26918739634468</v>
      </c>
      <c r="J378" s="7">
        <v>9.94013376763669</v>
      </c>
      <c r="K378" s="7">
        <v>4.871893364927537</v>
      </c>
      <c r="L378" s="7">
        <v>0.8847163446886762</v>
      </c>
      <c r="M378" s="7">
        <v>0.6804857155897025</v>
      </c>
      <c r="N378" s="7">
        <v>0.3553388609844374</v>
      </c>
      <c r="O378" s="7">
        <v>0.0534352165778914</v>
      </c>
      <c r="P378" s="7">
        <v>8.984159484700164</v>
      </c>
      <c r="Q378" s="7">
        <v>0.0065349290075244</v>
      </c>
      <c r="R378" s="7">
        <v>0.0361641687960846</v>
      </c>
      <c r="S378" s="7">
        <v>0.0856931293739394</v>
      </c>
      <c r="T378" s="7">
        <v>0.351853709166506</v>
      </c>
    </row>
    <row x14ac:dyDescent="0.25" r="379" customHeight="1" ht="19.5">
      <c r="A379" s="2" t="s">
        <v>1437</v>
      </c>
      <c r="B379" s="2" t="s">
        <v>1060</v>
      </c>
      <c r="C379" s="2" t="s">
        <v>31</v>
      </c>
      <c r="D379" s="2" t="s">
        <v>245</v>
      </c>
      <c r="E379" s="6">
        <v>1</v>
      </c>
      <c r="F379" s="6">
        <v>2</v>
      </c>
      <c r="G379" s="7">
        <v>0.6589791178703308</v>
      </c>
      <c r="H379" s="7">
        <v>46.66425156250001</v>
      </c>
      <c r="I379" s="7">
        <v>29.1859614238361</v>
      </c>
      <c r="J379" s="7">
        <v>9.846664481870532</v>
      </c>
      <c r="K379" s="7">
        <v>4.853101153438479</v>
      </c>
      <c r="L379" s="7">
        <v>0.8805991801593283</v>
      </c>
      <c r="M379" s="7">
        <v>0.6884083991955212</v>
      </c>
      <c r="N379" s="7">
        <v>0.3557444638319874</v>
      </c>
      <c r="O379" s="7">
        <v>0.0529068585014804</v>
      </c>
      <c r="P379" s="7">
        <v>8.961955320919033</v>
      </c>
      <c r="Q379" s="7">
        <v>0.0069523348862894</v>
      </c>
      <c r="R379" s="7">
        <v>0.0367830604520407</v>
      </c>
      <c r="S379" s="7">
        <v>0.089497459754879</v>
      </c>
      <c r="T379" s="7">
        <v>0.3765353614038939</v>
      </c>
    </row>
    <row x14ac:dyDescent="0.25" r="380" customHeight="1" ht="19.5">
      <c r="A380" s="2" t="s">
        <v>1438</v>
      </c>
      <c r="B380" s="2" t="s">
        <v>1060</v>
      </c>
      <c r="C380" s="2" t="s">
        <v>31</v>
      </c>
      <c r="D380" s="2" t="s">
        <v>245</v>
      </c>
      <c r="E380" s="6">
        <v>1</v>
      </c>
      <c r="F380" s="6">
        <v>2</v>
      </c>
      <c r="G380" s="7">
        <v>0.6614895462989807</v>
      </c>
      <c r="H380" s="7">
        <v>46.73698046875001</v>
      </c>
      <c r="I380" s="7">
        <v>29.30366072289944</v>
      </c>
      <c r="J380" s="7">
        <v>9.870932133756654</v>
      </c>
      <c r="K380" s="7">
        <v>4.916097102934557</v>
      </c>
      <c r="L380" s="7">
        <v>0.88051194240361</v>
      </c>
      <c r="M380" s="7">
        <v>0.6839537888087134</v>
      </c>
      <c r="N380" s="7">
        <v>0.357251491254296</v>
      </c>
      <c r="O380" s="7">
        <v>0.0537762763174957</v>
      </c>
      <c r="P380" s="7">
        <v>8.960889518121057</v>
      </c>
      <c r="Q380" s="7">
        <v>0.0069192675969826</v>
      </c>
      <c r="R380" s="7">
        <v>0.0369509502780198</v>
      </c>
      <c r="S380" s="7">
        <v>0.0840177595798387</v>
      </c>
      <c r="T380" s="7">
        <v>0.3753285124120817</v>
      </c>
    </row>
    <row x14ac:dyDescent="0.25" r="381" customHeight="1" ht="19.5">
      <c r="A381" s="2" t="s">
        <v>1439</v>
      </c>
      <c r="B381" s="2" t="s">
        <v>1060</v>
      </c>
      <c r="C381" s="2" t="s">
        <v>31</v>
      </c>
      <c r="D381" s="2" t="s">
        <v>245</v>
      </c>
      <c r="E381" s="6">
        <v>1</v>
      </c>
      <c r="F381" s="6">
        <v>2</v>
      </c>
      <c r="G381" s="7">
        <v>0.658036470413208</v>
      </c>
      <c r="H381" s="7">
        <v>46.657325</v>
      </c>
      <c r="I381" s="7">
        <v>29.30366072289943</v>
      </c>
      <c r="J381" s="7">
        <v>9.879797845861106</v>
      </c>
      <c r="K381" s="7">
        <v>4.928068557704838</v>
      </c>
      <c r="L381" s="7">
        <v>0.8807603430008933</v>
      </c>
      <c r="M381" s="7">
        <v>0.682788102469877</v>
      </c>
      <c r="N381" s="7">
        <v>0.3613135429060787</v>
      </c>
      <c r="O381" s="7">
        <v>0.05443249375865</v>
      </c>
      <c r="P381" s="7">
        <v>8.947523102800368</v>
      </c>
      <c r="Q381" s="7">
        <v>0.0069754670895903</v>
      </c>
      <c r="R381" s="7">
        <v>0.0377785721650611</v>
      </c>
      <c r="S381" s="7">
        <v>0.0847759050447505</v>
      </c>
      <c r="T381" s="7">
        <v>0.3777321146130184</v>
      </c>
    </row>
    <row x14ac:dyDescent="0.25" r="382" customHeight="1" ht="19.5">
      <c r="A382" s="2" t="s">
        <v>1440</v>
      </c>
      <c r="B382" s="2" t="s">
        <v>1060</v>
      </c>
      <c r="C382" s="2" t="s">
        <v>31</v>
      </c>
      <c r="D382" s="2" t="s">
        <v>245</v>
      </c>
      <c r="E382" s="6">
        <v>1</v>
      </c>
      <c r="F382" s="6">
        <v>2</v>
      </c>
      <c r="G382" s="7">
        <v>0.6654119491577148</v>
      </c>
      <c r="H382" s="7">
        <v>46.97248359375001</v>
      </c>
      <c r="I382" s="7">
        <v>29.33813404945418</v>
      </c>
      <c r="J382" s="7">
        <v>9.924095270282615</v>
      </c>
      <c r="K382" s="7">
        <v>4.916873841126572</v>
      </c>
      <c r="L382" s="7">
        <v>0.8819036631282001</v>
      </c>
      <c r="M382" s="7">
        <v>0.685785676765742</v>
      </c>
      <c r="N382" s="7">
        <v>0.3591828177512663</v>
      </c>
      <c r="O382" s="7">
        <v>0.0534025609693801</v>
      </c>
      <c r="P382" s="7">
        <v>8.977941911581151</v>
      </c>
      <c r="Q382" s="7">
        <v>0.0066609261180146</v>
      </c>
      <c r="R382" s="7">
        <v>0.0354981071020507</v>
      </c>
      <c r="S382" s="7">
        <v>0.0838447817540007</v>
      </c>
      <c r="T382" s="7">
        <v>0.3631356777323156</v>
      </c>
    </row>
    <row x14ac:dyDescent="0.25" r="383" customHeight="1" ht="19.5">
      <c r="A383" s="2" t="s">
        <v>1441</v>
      </c>
      <c r="B383" s="2" t="s">
        <v>1060</v>
      </c>
      <c r="C383" s="2" t="s">
        <v>31</v>
      </c>
      <c r="D383" s="2" t="s">
        <v>245</v>
      </c>
      <c r="E383" s="6">
        <v>1</v>
      </c>
      <c r="F383" s="6">
        <v>2</v>
      </c>
      <c r="G383" s="7">
        <v>0.6654176712036133</v>
      </c>
      <c r="H383" s="7">
        <v>46.74390703125</v>
      </c>
      <c r="I383" s="7">
        <v>29.36669268825236</v>
      </c>
      <c r="J383" s="7">
        <v>9.867889560798668</v>
      </c>
      <c r="K383" s="7">
        <v>4.916091718047978</v>
      </c>
      <c r="L383" s="7">
        <v>0.8800872280161315</v>
      </c>
      <c r="M383" s="7">
        <v>0.6811218250619051</v>
      </c>
      <c r="N383" s="7">
        <v>0.3574193164470227</v>
      </c>
      <c r="O383" s="7">
        <v>0.0532433050086442</v>
      </c>
      <c r="P383" s="7">
        <v>8.984729677802251</v>
      </c>
      <c r="Q383" s="7">
        <v>0.0068478435871553</v>
      </c>
      <c r="R383" s="7">
        <v>0.0367917127934101</v>
      </c>
      <c r="S383" s="7">
        <v>0.0823057696331867</v>
      </c>
      <c r="T383" s="7">
        <v>0.3715092415309379</v>
      </c>
    </row>
    <row x14ac:dyDescent="0.25" r="384" customHeight="1" ht="19.5">
      <c r="A384" s="2" t="s">
        <v>1442</v>
      </c>
      <c r="B384" s="2" t="s">
        <v>1060</v>
      </c>
      <c r="C384" s="2" t="s">
        <v>31</v>
      </c>
      <c r="D384" s="2" t="s">
        <v>245</v>
      </c>
      <c r="E384" s="6">
        <v>1</v>
      </c>
      <c r="F384" s="6">
        <v>2</v>
      </c>
      <c r="G384" s="7">
        <v>0.6595076322555542</v>
      </c>
      <c r="H384" s="7">
        <v>46.754296875</v>
      </c>
      <c r="I384" s="7">
        <v>29.15740278503792</v>
      </c>
      <c r="J384" s="7">
        <v>9.9095693921611</v>
      </c>
      <c r="K384" s="7">
        <v>4.845243304194455</v>
      </c>
      <c r="L384" s="7">
        <v>0.8833403272438575</v>
      </c>
      <c r="M384" s="7">
        <v>0.6910885881253729</v>
      </c>
      <c r="N384" s="7">
        <v>0.3585433400324071</v>
      </c>
      <c r="O384" s="7">
        <v>0.0534569516840488</v>
      </c>
      <c r="P384" s="7">
        <v>8.954132830974215</v>
      </c>
      <c r="Q384" s="7">
        <v>0.0071705483405864</v>
      </c>
      <c r="R384" s="7">
        <v>0.0376788105559258</v>
      </c>
      <c r="S384" s="7">
        <v>0.0849748295672964</v>
      </c>
      <c r="T384" s="7">
        <v>0.3891030886393217</v>
      </c>
    </row>
    <row x14ac:dyDescent="0.25" r="385" customHeight="1" ht="19.5">
      <c r="A385" s="2" t="s">
        <v>1443</v>
      </c>
      <c r="B385" s="2" t="s">
        <v>1060</v>
      </c>
      <c r="C385" s="2" t="s">
        <v>31</v>
      </c>
      <c r="D385" s="2" t="s">
        <v>245</v>
      </c>
      <c r="E385" s="6">
        <v>1</v>
      </c>
      <c r="F385" s="6">
        <v>2</v>
      </c>
      <c r="G385" s="7">
        <v>0.6609117388725281</v>
      </c>
      <c r="H385" s="7">
        <v>46.00969140625001</v>
      </c>
      <c r="I385" s="7">
        <v>29.08845613192842</v>
      </c>
      <c r="J385" s="7">
        <v>9.819072147389576</v>
      </c>
      <c r="K385" s="7">
        <v>4.864863644760067</v>
      </c>
      <c r="L385" s="7">
        <v>0.8811658769596873</v>
      </c>
      <c r="M385" s="7">
        <v>0.6833101014743936</v>
      </c>
      <c r="N385" s="7">
        <v>0.356372905831169</v>
      </c>
      <c r="O385" s="7">
        <v>0.0534076577123943</v>
      </c>
      <c r="P385" s="7">
        <v>8.963682727136566</v>
      </c>
      <c r="Q385" s="7">
        <v>0.0064916970253579</v>
      </c>
      <c r="R385" s="7">
        <v>0.0361213639909348</v>
      </c>
      <c r="S385" s="7">
        <v>0.0851163910861049</v>
      </c>
      <c r="T385" s="7">
        <v>0.3466556979775478</v>
      </c>
    </row>
    <row x14ac:dyDescent="0.25" r="386" customHeight="1" ht="19.5">
      <c r="A386" s="2" t="s">
        <v>1444</v>
      </c>
      <c r="B386" s="2" t="s">
        <v>1060</v>
      </c>
      <c r="C386" s="2" t="s">
        <v>31</v>
      </c>
      <c r="D386" s="2" t="s">
        <v>245</v>
      </c>
      <c r="E386" s="6">
        <v>1</v>
      </c>
      <c r="F386" s="6">
        <v>2</v>
      </c>
      <c r="G386" s="7">
        <v>0.6679226160049438</v>
      </c>
      <c r="H386" s="7">
        <v>46.9898</v>
      </c>
      <c r="I386" s="7">
        <v>29.44991866076095</v>
      </c>
      <c r="J386" s="7">
        <v>9.934594538518828</v>
      </c>
      <c r="K386" s="7">
        <v>4.926414079328451</v>
      </c>
      <c r="L386" s="7">
        <v>0.8815350384364852</v>
      </c>
      <c r="M386" s="7">
        <v>0.6808403108663265</v>
      </c>
      <c r="N386" s="7">
        <v>0.3585024325904257</v>
      </c>
      <c r="O386" s="7">
        <v>0.0535447723079401</v>
      </c>
      <c r="P386" s="7">
        <v>8.980491508646779</v>
      </c>
      <c r="Q386" s="7">
        <v>0.0068247737041156</v>
      </c>
      <c r="R386" s="7">
        <v>0.0374260834839828</v>
      </c>
      <c r="S386" s="7">
        <v>0.0847865987616625</v>
      </c>
      <c r="T386" s="7">
        <v>0.3722053679521107</v>
      </c>
    </row>
    <row x14ac:dyDescent="0.25" r="387" customHeight="1" ht="19.5">
      <c r="A387" s="2" t="s">
        <v>1445</v>
      </c>
      <c r="B387" s="2" t="s">
        <v>1060</v>
      </c>
      <c r="C387" s="2" t="s">
        <v>31</v>
      </c>
      <c r="D387" s="2" t="s">
        <v>245</v>
      </c>
      <c r="E387" s="6">
        <v>1</v>
      </c>
      <c r="F387" s="6">
        <v>2</v>
      </c>
      <c r="G387" s="7">
        <v>0.6599460244178772</v>
      </c>
      <c r="H387" s="7">
        <v>46.671178125</v>
      </c>
      <c r="I387" s="7">
        <v>29.26918739634468</v>
      </c>
      <c r="J387" s="7">
        <v>9.86786025772363</v>
      </c>
      <c r="K387" s="7">
        <v>4.914622403349946</v>
      </c>
      <c r="L387" s="7">
        <v>0.8808616298460438</v>
      </c>
      <c r="M387" s="7">
        <v>0.6846006348105137</v>
      </c>
      <c r="N387" s="7">
        <v>0.3599305638643831</v>
      </c>
      <c r="O387" s="7">
        <v>0.0540015242194344</v>
      </c>
      <c r="P387" s="7">
        <v>8.961546796271097</v>
      </c>
      <c r="Q387" s="7">
        <v>0.0066859331570693</v>
      </c>
      <c r="R387" s="7">
        <v>0.0365059484881405</v>
      </c>
      <c r="S387" s="7">
        <v>0.0858721169280132</v>
      </c>
      <c r="T387" s="7">
        <v>0.3621609114064338</v>
      </c>
    </row>
    <row x14ac:dyDescent="0.25" r="388" customHeight="1" ht="19.5">
      <c r="A388" s="2" t="s">
        <v>1446</v>
      </c>
      <c r="B388" s="2" t="s">
        <v>1060</v>
      </c>
      <c r="C388" s="2" t="s">
        <v>31</v>
      </c>
      <c r="D388" s="2" t="s">
        <v>245</v>
      </c>
      <c r="E388" s="6">
        <v>1</v>
      </c>
      <c r="F388" s="6">
        <v>2</v>
      </c>
      <c r="G388" s="7">
        <v>0.6707699298858643</v>
      </c>
      <c r="H388" s="7">
        <v>48.13960937500001</v>
      </c>
      <c r="I388" s="7">
        <v>29.55925332818176</v>
      </c>
      <c r="J388" s="7">
        <v>9.97484521717827</v>
      </c>
      <c r="K388" s="7">
        <v>4.967603744919009</v>
      </c>
      <c r="L388" s="7">
        <v>0.8788443591714424</v>
      </c>
      <c r="M388" s="7">
        <v>0.6923496976953633</v>
      </c>
      <c r="N388" s="7">
        <v>0.3540687154777814</v>
      </c>
      <c r="O388" s="7">
        <v>0.0524101547749764</v>
      </c>
      <c r="P388" s="7">
        <v>8.995815793230832</v>
      </c>
      <c r="Q388" s="7">
        <v>0.0066300484611035</v>
      </c>
      <c r="R388" s="7">
        <v>0.0357903553492307</v>
      </c>
      <c r="S388" s="7">
        <v>0.0894486514321879</v>
      </c>
      <c r="T388" s="7">
        <v>0.3704333206702877</v>
      </c>
    </row>
    <row x14ac:dyDescent="0.25" r="389" customHeight="1" ht="19.5">
      <c r="A389" s="2" t="s">
        <v>1447</v>
      </c>
      <c r="B389" s="2" t="s">
        <v>1060</v>
      </c>
      <c r="C389" s="2" t="s">
        <v>31</v>
      </c>
      <c r="D389" s="2" t="s">
        <v>245</v>
      </c>
      <c r="E389" s="6">
        <v>1</v>
      </c>
      <c r="F389" s="6">
        <v>2</v>
      </c>
      <c r="G389" s="7">
        <v>0.6513242125511169</v>
      </c>
      <c r="H389" s="7">
        <v>46.892828125</v>
      </c>
      <c r="I389" s="7">
        <v>29.44155402911842</v>
      </c>
      <c r="J389" s="7">
        <v>10.04946987428448</v>
      </c>
      <c r="K389" s="7">
        <v>4.861388130542643</v>
      </c>
      <c r="L389" s="7">
        <v>0.8881753982565092</v>
      </c>
      <c r="M389" s="7">
        <v>0.6798213980203714</v>
      </c>
      <c r="N389" s="7">
        <v>0.3571208048191099</v>
      </c>
      <c r="O389" s="7">
        <v>0.0535782974451141</v>
      </c>
      <c r="P389" s="7">
        <v>8.981022194551347</v>
      </c>
      <c r="Q389" s="7">
        <v>0.006095608570012</v>
      </c>
      <c r="R389" s="7">
        <v>0.0339743402208322</v>
      </c>
      <c r="S389" s="7">
        <v>0.0856161727969055</v>
      </c>
      <c r="T389" s="7">
        <v>0.331752555580559</v>
      </c>
    </row>
    <row x14ac:dyDescent="0.25" r="390" customHeight="1" ht="19.5">
      <c r="A390" s="2" t="s">
        <v>1448</v>
      </c>
      <c r="B390" s="2" t="s">
        <v>1060</v>
      </c>
      <c r="C390" s="2" t="s">
        <v>31</v>
      </c>
      <c r="D390" s="2" t="s">
        <v>245</v>
      </c>
      <c r="E390" s="6">
        <v>1</v>
      </c>
      <c r="F390" s="6">
        <v>2</v>
      </c>
      <c r="G390" s="7">
        <v>0.6724736094474792</v>
      </c>
      <c r="H390" s="7">
        <v>46.4287484375</v>
      </c>
      <c r="I390" s="7">
        <v>28.98503615226418</v>
      </c>
      <c r="J390" s="7">
        <v>9.780022956243116</v>
      </c>
      <c r="K390" s="7">
        <v>4.895380860437784</v>
      </c>
      <c r="L390" s="7">
        <v>0.8790281427122267</v>
      </c>
      <c r="M390" s="7">
        <v>0.694463057327652</v>
      </c>
      <c r="N390" s="7">
        <v>0.355351990354061</v>
      </c>
      <c r="O390" s="7">
        <v>0.0530797900967172</v>
      </c>
      <c r="P390" s="7">
        <v>8.945286232651751</v>
      </c>
      <c r="Q390" s="7">
        <v>0.0066223693758841</v>
      </c>
      <c r="R390" s="7">
        <v>0.0361087676672072</v>
      </c>
      <c r="S390" s="7">
        <v>0.0877978662083796</v>
      </c>
      <c r="T390" s="7">
        <v>0.356854483442241</v>
      </c>
    </row>
    <row x14ac:dyDescent="0.25" r="391" customHeight="1" ht="19.5">
      <c r="A391" s="2" t="s">
        <v>1449</v>
      </c>
      <c r="B391" s="2" t="s">
        <v>1060</v>
      </c>
      <c r="C391" s="2" t="s">
        <v>31</v>
      </c>
      <c r="D391" s="2" t="s">
        <v>245</v>
      </c>
      <c r="E391" s="6">
        <v>1</v>
      </c>
      <c r="F391" s="6">
        <v>2</v>
      </c>
      <c r="G391" s="7">
        <v>0.6079432964324951</v>
      </c>
      <c r="H391" s="7">
        <v>45.590634375</v>
      </c>
      <c r="I391" s="7">
        <v>29.99802714176631</v>
      </c>
      <c r="J391" s="7">
        <v>9.663930583341209</v>
      </c>
      <c r="K391" s="7">
        <v>4.88933432606088</v>
      </c>
      <c r="L391" s="7">
        <v>0.876572824114718</v>
      </c>
      <c r="M391" s="7">
        <v>0.636649074137911</v>
      </c>
      <c r="N391" s="7">
        <v>0.4721910005233256</v>
      </c>
      <c r="O391" s="7">
        <v>0.068573919770198</v>
      </c>
      <c r="P391" s="7">
        <v>8.31276967799963</v>
      </c>
      <c r="Q391" s="7">
        <v>0.0075464829731611</v>
      </c>
      <c r="R391" s="7">
        <v>0.0345717820934159</v>
      </c>
      <c r="S391" s="7">
        <v>0.069725368435006</v>
      </c>
      <c r="T391" s="7">
        <v>0.3993107588979805</v>
      </c>
    </row>
    <row x14ac:dyDescent="0.25" r="392" customHeight="1" ht="19.5">
      <c r="A392" s="2" t="s">
        <v>1450</v>
      </c>
      <c r="B392" s="2" t="s">
        <v>1060</v>
      </c>
      <c r="C392" s="2" t="s">
        <v>31</v>
      </c>
      <c r="D392" s="2" t="s">
        <v>402</v>
      </c>
      <c r="E392" s="6">
        <v>1</v>
      </c>
      <c r="F392" s="6">
        <v>2</v>
      </c>
      <c r="G392" s="7">
        <v>0.7892119288444519</v>
      </c>
      <c r="H392" s="7">
        <v>50.1967984375</v>
      </c>
      <c r="I392" s="7">
        <v>29.64839398844691</v>
      </c>
      <c r="J392" s="7">
        <v>9.31210247470086</v>
      </c>
      <c r="K392" s="7">
        <v>5.383620441309435</v>
      </c>
      <c r="L392" s="7">
        <v>0.8260206832028654</v>
      </c>
      <c r="M392" s="7">
        <v>0.7176018277825874</v>
      </c>
      <c r="N392" s="7">
        <v>0.5819499931927387</v>
      </c>
      <c r="O392" s="7">
        <v>0.0774067347348534</v>
      </c>
      <c r="P392" s="7">
        <v>7.916222677111907</v>
      </c>
      <c r="Q392" s="7">
        <v>0.0196717108971445</v>
      </c>
      <c r="R392" s="7">
        <v>0.0390073820488236</v>
      </c>
      <c r="S392" s="7">
        <v>0.0555556832395169</v>
      </c>
      <c r="T392" s="7">
        <v>1.146064161434423</v>
      </c>
    </row>
    <row x14ac:dyDescent="0.25" r="393" customHeight="1" ht="19.5">
      <c r="A393" s="2" t="s">
        <v>1451</v>
      </c>
      <c r="B393" s="2" t="s">
        <v>1060</v>
      </c>
      <c r="C393" s="2" t="s">
        <v>31</v>
      </c>
      <c r="D393" s="2" t="s">
        <v>402</v>
      </c>
      <c r="E393" s="6">
        <v>1</v>
      </c>
      <c r="F393" s="6">
        <v>2</v>
      </c>
      <c r="G393" s="7">
        <v>0.7947689294815063</v>
      </c>
      <c r="H393" s="7">
        <v>52.71460390625001</v>
      </c>
      <c r="I393" s="7">
        <v>30.721966999416</v>
      </c>
      <c r="J393" s="7">
        <v>9.768068925526396</v>
      </c>
      <c r="K393" s="7">
        <v>5.535558110258945</v>
      </c>
      <c r="L393" s="7">
        <v>0.8394855852017588</v>
      </c>
      <c r="M393" s="7">
        <v>0.7018475286381403</v>
      </c>
      <c r="N393" s="7">
        <v>0.523650458729809</v>
      </c>
      <c r="O393" s="7">
        <v>0.0691481423615964</v>
      </c>
      <c r="P393" s="7">
        <v>8.267045930389974</v>
      </c>
      <c r="Q393" s="7">
        <v>0.0262620754603044</v>
      </c>
      <c r="R393" s="7">
        <v>0.0671933285767034</v>
      </c>
      <c r="S393" s="7">
        <v>0.0907920944957961</v>
      </c>
      <c r="T393" s="7">
        <v>1.606759115934636</v>
      </c>
    </row>
    <row x14ac:dyDescent="0.25" r="394" customHeight="1" ht="19.5">
      <c r="A394" s="2" t="s">
        <v>1452</v>
      </c>
      <c r="B394" s="2" t="s">
        <v>1060</v>
      </c>
      <c r="C394" s="2" t="s">
        <v>31</v>
      </c>
      <c r="D394" s="2" t="s">
        <v>402</v>
      </c>
      <c r="E394" s="6">
        <v>1</v>
      </c>
      <c r="F394" s="6">
        <v>2</v>
      </c>
      <c r="G394" s="7">
        <v>0.8118338584899902</v>
      </c>
      <c r="H394" s="7">
        <v>52.39944531250001</v>
      </c>
      <c r="I394" s="7">
        <v>30.91488642532072</v>
      </c>
      <c r="J394" s="7">
        <v>9.818370490941543</v>
      </c>
      <c r="K394" s="7">
        <v>5.793027353384435</v>
      </c>
      <c r="L394" s="7">
        <v>0.8348588360029434</v>
      </c>
      <c r="M394" s="7">
        <v>0.6889714774421242</v>
      </c>
      <c r="N394" s="7">
        <v>0.4503909923181637</v>
      </c>
      <c r="O394" s="7">
        <v>0.060969927580667</v>
      </c>
      <c r="P394" s="7">
        <v>8.66151399664497</v>
      </c>
      <c r="Q394" s="7">
        <v>0.0331774532018801</v>
      </c>
      <c r="R394" s="7">
        <v>0.0909449502070159</v>
      </c>
      <c r="S394" s="7">
        <v>0.129240777059272</v>
      </c>
      <c r="T394" s="7">
        <v>2.017718216754269</v>
      </c>
    </row>
    <row x14ac:dyDescent="0.25" r="395" customHeight="1" ht="19.5">
      <c r="A395" s="2" t="s">
        <v>1453</v>
      </c>
      <c r="B395" s="2" t="s">
        <v>1060</v>
      </c>
      <c r="C395" s="2" t="s">
        <v>31</v>
      </c>
      <c r="D395" s="2" t="s">
        <v>402</v>
      </c>
      <c r="E395" s="6">
        <v>1</v>
      </c>
      <c r="F395" s="6">
        <v>2</v>
      </c>
      <c r="G395" s="7">
        <v>0.8092857003211975</v>
      </c>
      <c r="H395" s="7">
        <v>53.05746875000001</v>
      </c>
      <c r="I395" s="7">
        <v>30.81947229132368</v>
      </c>
      <c r="J395" s="7">
        <v>9.613642791591076</v>
      </c>
      <c r="K395" s="7">
        <v>5.69022238775697</v>
      </c>
      <c r="L395" s="7">
        <v>0.8240836585192789</v>
      </c>
      <c r="M395" s="7">
        <v>0.701949702897603</v>
      </c>
      <c r="N395" s="7">
        <v>0.408116401210404</v>
      </c>
      <c r="O395" s="7">
        <v>0.0554213845719626</v>
      </c>
      <c r="P395" s="7">
        <v>8.872288327901074</v>
      </c>
      <c r="Q395" s="7">
        <v>0.0414856012042728</v>
      </c>
      <c r="R395" s="7">
        <v>0.1064989159710429</v>
      </c>
      <c r="S395" s="7">
        <v>0.1587102762327318</v>
      </c>
      <c r="T395" s="7">
        <v>2.554669336533531</v>
      </c>
    </row>
    <row x14ac:dyDescent="0.25" r="396" customHeight="1" ht="19.5">
      <c r="A396" s="2" t="s">
        <v>1454</v>
      </c>
      <c r="B396" s="2" t="s">
        <v>1060</v>
      </c>
      <c r="C396" s="2" t="s">
        <v>31</v>
      </c>
      <c r="D396" s="2" t="s">
        <v>402</v>
      </c>
      <c r="E396" s="6">
        <v>1</v>
      </c>
      <c r="F396" s="6">
        <v>2</v>
      </c>
      <c r="G396" s="7">
        <v>0.805804431438446</v>
      </c>
      <c r="H396" s="7">
        <v>52.22281796875</v>
      </c>
      <c r="I396" s="7">
        <v>30.29783129120588</v>
      </c>
      <c r="J396" s="7">
        <v>9.62370643501938</v>
      </c>
      <c r="K396" s="7">
        <v>5.817625755563848</v>
      </c>
      <c r="L396" s="7">
        <v>0.8222081990659</v>
      </c>
      <c r="M396" s="7">
        <v>0.7149029365160499</v>
      </c>
      <c r="N396" s="7">
        <v>0.3812594315016498</v>
      </c>
      <c r="O396" s="7">
        <v>0.0530706735800472</v>
      </c>
      <c r="P396" s="7">
        <v>9.0066693115314</v>
      </c>
      <c r="Q396" s="7">
        <v>0.0427798914854619</v>
      </c>
      <c r="R396" s="7">
        <v>0.1139972057923562</v>
      </c>
      <c r="S396" s="7">
        <v>0.1718886214034361</v>
      </c>
      <c r="T396" s="7">
        <v>2.592929815152229</v>
      </c>
    </row>
    <row x14ac:dyDescent="0.25" r="397" customHeight="1" ht="19.5">
      <c r="A397" s="2" t="s">
        <v>1455</v>
      </c>
      <c r="B397" s="2" t="s">
        <v>1060</v>
      </c>
      <c r="C397" s="2" t="s">
        <v>31</v>
      </c>
      <c r="D397" s="2" t="s">
        <v>402</v>
      </c>
      <c r="E397" s="6">
        <v>1</v>
      </c>
      <c r="F397" s="6">
        <v>2</v>
      </c>
      <c r="G397" s="7">
        <v>0.8049550652503967</v>
      </c>
      <c r="H397" s="7">
        <v>52.70767734375001</v>
      </c>
      <c r="I397" s="7">
        <v>30.16585267274344</v>
      </c>
      <c r="J397" s="7">
        <v>9.51943149799158</v>
      </c>
      <c r="K397" s="7">
        <v>5.630279789671859</v>
      </c>
      <c r="L397" s="7">
        <v>0.820029391353408</v>
      </c>
      <c r="M397" s="7">
        <v>0.7278678406412146</v>
      </c>
      <c r="N397" s="7">
        <v>0.3765541849716847</v>
      </c>
      <c r="O397" s="7">
        <v>0.0526803022509734</v>
      </c>
      <c r="P397" s="7">
        <v>8.992923171261124</v>
      </c>
      <c r="Q397" s="7">
        <v>0.0436212966297042</v>
      </c>
      <c r="R397" s="7">
        <v>0.1121347052917932</v>
      </c>
      <c r="S397" s="7">
        <v>0.1681376812048898</v>
      </c>
      <c r="T397" s="7">
        <v>2.668475559460498</v>
      </c>
    </row>
    <row x14ac:dyDescent="0.25" r="398" customHeight="1" ht="19.5">
      <c r="A398" s="2" t="s">
        <v>1456</v>
      </c>
      <c r="B398" s="2" t="s">
        <v>1060</v>
      </c>
      <c r="C398" s="2" t="s">
        <v>31</v>
      </c>
      <c r="D398" s="2" t="s">
        <v>402</v>
      </c>
      <c r="E398" s="6">
        <v>1</v>
      </c>
      <c r="F398" s="6">
        <v>2</v>
      </c>
      <c r="G398" s="7">
        <v>0.810893714427948</v>
      </c>
      <c r="H398" s="7">
        <v>52.6626546875</v>
      </c>
      <c r="I398" s="7">
        <v>30.4155305902692</v>
      </c>
      <c r="J398" s="7">
        <v>9.560079975999695</v>
      </c>
      <c r="K398" s="7">
        <v>5.696743263662659</v>
      </c>
      <c r="L398" s="7">
        <v>0.8201838073266252</v>
      </c>
      <c r="M398" s="7">
        <v>0.7153553307341203</v>
      </c>
      <c r="N398" s="7">
        <v>0.375636235805968</v>
      </c>
      <c r="O398" s="7">
        <v>0.0522303415976043</v>
      </c>
      <c r="P398" s="7">
        <v>9.006925810419476</v>
      </c>
      <c r="Q398" s="7">
        <v>0.0421327203963126</v>
      </c>
      <c r="R398" s="7">
        <v>0.1104671769085263</v>
      </c>
      <c r="S398" s="7">
        <v>0.1695643196721432</v>
      </c>
      <c r="T398" s="7">
        <v>2.575212247342799</v>
      </c>
    </row>
    <row x14ac:dyDescent="0.25" r="399" customHeight="1" ht="19.5">
      <c r="A399" s="2" t="s">
        <v>1457</v>
      </c>
      <c r="B399" s="2" t="s">
        <v>1060</v>
      </c>
      <c r="C399" s="2" t="s">
        <v>31</v>
      </c>
      <c r="D399" s="2" t="s">
        <v>402</v>
      </c>
      <c r="E399" s="6">
        <v>1</v>
      </c>
      <c r="F399" s="6">
        <v>2</v>
      </c>
      <c r="G399" s="7">
        <v>0.8104198575019836</v>
      </c>
      <c r="H399" s="7">
        <v>52.72845703125</v>
      </c>
      <c r="I399" s="7">
        <v>30.53532104724317</v>
      </c>
      <c r="J399" s="7">
        <v>9.644245033170876</v>
      </c>
      <c r="K399" s="7">
        <v>5.750858581995216</v>
      </c>
      <c r="L399" s="7">
        <v>0.8241016698084942</v>
      </c>
      <c r="M399" s="7">
        <v>0.7106404857439985</v>
      </c>
      <c r="N399" s="7">
        <v>0.3773390302616586</v>
      </c>
      <c r="O399" s="7">
        <v>0.0526646990208253</v>
      </c>
      <c r="P399" s="7">
        <v>9.005370911633666</v>
      </c>
      <c r="Q399" s="7">
        <v>0.0421767958471936</v>
      </c>
      <c r="R399" s="7">
        <v>0.112453678426379</v>
      </c>
      <c r="S399" s="7">
        <v>0.1680319507525788</v>
      </c>
      <c r="T399" s="7">
        <v>2.581127313322618</v>
      </c>
    </row>
    <row x14ac:dyDescent="0.25" r="400" customHeight="1" ht="19.5">
      <c r="A400" s="2" t="s">
        <v>1458</v>
      </c>
      <c r="B400" s="2" t="s">
        <v>1060</v>
      </c>
      <c r="C400" s="2" t="s">
        <v>31</v>
      </c>
      <c r="D400" s="2" t="s">
        <v>402</v>
      </c>
      <c r="E400" s="6">
        <v>1</v>
      </c>
      <c r="F400" s="6">
        <v>2</v>
      </c>
      <c r="G400" s="7">
        <v>0.8035421371459961</v>
      </c>
      <c r="H400" s="7">
        <v>52.53797656250001</v>
      </c>
      <c r="I400" s="7">
        <v>30.34658393715971</v>
      </c>
      <c r="J400" s="7">
        <v>9.570253869343242</v>
      </c>
      <c r="K400" s="7">
        <v>5.717480020168887</v>
      </c>
      <c r="L400" s="7">
        <v>0.8211348974485424</v>
      </c>
      <c r="M400" s="7">
        <v>0.7169082624406923</v>
      </c>
      <c r="N400" s="7">
        <v>0.3798276824216121</v>
      </c>
      <c r="O400" s="7">
        <v>0.0527697713343119</v>
      </c>
      <c r="P400" s="7">
        <v>8.98968887555925</v>
      </c>
      <c r="Q400" s="7">
        <v>0.0439506721974278</v>
      </c>
      <c r="R400" s="7">
        <v>0.111812319942748</v>
      </c>
      <c r="S400" s="7">
        <v>0.1699962575190696</v>
      </c>
      <c r="T400" s="7">
        <v>2.67996822109301</v>
      </c>
    </row>
    <row x14ac:dyDescent="0.25" r="401" customHeight="1" ht="19.5">
      <c r="A401" s="2" t="s">
        <v>1459</v>
      </c>
      <c r="B401" s="2" t="s">
        <v>1060</v>
      </c>
      <c r="C401" s="2" t="s">
        <v>31</v>
      </c>
      <c r="D401" s="2" t="s">
        <v>402</v>
      </c>
      <c r="E401" s="6">
        <v>1</v>
      </c>
      <c r="F401" s="6">
        <v>2</v>
      </c>
      <c r="G401" s="7">
        <v>0.8193944692611694</v>
      </c>
      <c r="H401" s="7">
        <v>52.67304453125001</v>
      </c>
      <c r="I401" s="7">
        <v>30.61645586184112</v>
      </c>
      <c r="J401" s="7">
        <v>9.658973957974997</v>
      </c>
      <c r="K401" s="7">
        <v>5.780425123162605</v>
      </c>
      <c r="L401" s="7">
        <v>0.8239391690435629</v>
      </c>
      <c r="M401" s="7">
        <v>0.7061361644059666</v>
      </c>
      <c r="N401" s="7">
        <v>0.3801415182868569</v>
      </c>
      <c r="O401" s="7">
        <v>0.0528420643427563</v>
      </c>
      <c r="P401" s="7">
        <v>8.99668298484157</v>
      </c>
      <c r="Q401" s="7">
        <v>0.0414353244125721</v>
      </c>
      <c r="R401" s="7">
        <v>0.1131996889078749</v>
      </c>
      <c r="S401" s="7">
        <v>0.1711676751867436</v>
      </c>
      <c r="T401" s="7">
        <v>2.53308606078698</v>
      </c>
    </row>
    <row x14ac:dyDescent="0.25" r="402" customHeight="1" ht="19.5">
      <c r="A402" s="2" t="s">
        <v>1460</v>
      </c>
      <c r="B402" s="2" t="s">
        <v>1060</v>
      </c>
      <c r="C402" s="2" t="s">
        <v>31</v>
      </c>
      <c r="D402" s="2" t="s">
        <v>402</v>
      </c>
      <c r="E402" s="6">
        <v>1</v>
      </c>
      <c r="F402" s="6">
        <v>2</v>
      </c>
      <c r="G402" s="7">
        <v>0.8065968751907349</v>
      </c>
      <c r="H402" s="7">
        <v>52.7180671875</v>
      </c>
      <c r="I402" s="7">
        <v>30.52731520157597</v>
      </c>
      <c r="J402" s="7">
        <v>9.540857945051163</v>
      </c>
      <c r="K402" s="7">
        <v>5.665207259010906</v>
      </c>
      <c r="L402" s="7">
        <v>0.8201736047809984</v>
      </c>
      <c r="M402" s="7">
        <v>0.7108731670829064</v>
      </c>
      <c r="N402" s="7">
        <v>0.3752093890805254</v>
      </c>
      <c r="O402" s="7">
        <v>0.0523628014982829</v>
      </c>
      <c r="P402" s="7">
        <v>9.002218552632055</v>
      </c>
      <c r="Q402" s="7">
        <v>0.0442691572356613</v>
      </c>
      <c r="R402" s="7">
        <v>0.1117003053417602</v>
      </c>
      <c r="S402" s="7">
        <v>0.1709729966380217</v>
      </c>
      <c r="T402" s="7">
        <v>2.708641409213426</v>
      </c>
    </row>
    <row x14ac:dyDescent="0.25" r="403" customHeight="1" ht="19.5">
      <c r="A403" s="2" t="s">
        <v>1461</v>
      </c>
      <c r="B403" s="2" t="s">
        <v>1060</v>
      </c>
      <c r="C403" s="2" t="s">
        <v>31</v>
      </c>
      <c r="D403" s="2" t="s">
        <v>402</v>
      </c>
      <c r="E403" s="6">
        <v>1</v>
      </c>
      <c r="F403" s="6">
        <v>2</v>
      </c>
      <c r="G403" s="7">
        <v>0.8196272850036621</v>
      </c>
      <c r="H403" s="7">
        <v>53.41765</v>
      </c>
      <c r="I403" s="7">
        <v>30.66520850779496</v>
      </c>
      <c r="J403" s="7">
        <v>9.644466694765528</v>
      </c>
      <c r="K403" s="7">
        <v>5.809630403410544</v>
      </c>
      <c r="L403" s="7">
        <v>0.820051447961801</v>
      </c>
      <c r="M403" s="7">
        <v>0.7138431529496683</v>
      </c>
      <c r="N403" s="7">
        <v>0.375294413374672</v>
      </c>
      <c r="O403" s="7">
        <v>0.0520235215773487</v>
      </c>
      <c r="P403" s="7">
        <v>9.01467819442976</v>
      </c>
      <c r="Q403" s="7">
        <v>0.0434346144981074</v>
      </c>
      <c r="R403" s="7">
        <v>0.1130110872877513</v>
      </c>
      <c r="S403" s="7">
        <v>0.1718426708213768</v>
      </c>
      <c r="T403" s="7">
        <v>2.692846075263</v>
      </c>
    </row>
    <row x14ac:dyDescent="0.25" r="404" customHeight="1" ht="19.5">
      <c r="A404" s="2" t="s">
        <v>1462</v>
      </c>
      <c r="B404" s="2" t="s">
        <v>1060</v>
      </c>
      <c r="C404" s="2" t="s">
        <v>31</v>
      </c>
      <c r="D404" s="2" t="s">
        <v>402</v>
      </c>
      <c r="E404" s="6">
        <v>1</v>
      </c>
      <c r="F404" s="6">
        <v>2</v>
      </c>
      <c r="G404" s="7">
        <v>0.8141494989395142</v>
      </c>
      <c r="H404" s="7">
        <v>52.7527</v>
      </c>
      <c r="I404" s="7">
        <v>30.58198253528638</v>
      </c>
      <c r="J404" s="7">
        <v>9.650209495501256</v>
      </c>
      <c r="K404" s="7">
        <v>5.760857759443905</v>
      </c>
      <c r="L404" s="7">
        <v>0.8236373599769927</v>
      </c>
      <c r="M404" s="7">
        <v>0.7087993078754042</v>
      </c>
      <c r="N404" s="7">
        <v>0.3767899467788111</v>
      </c>
      <c r="O404" s="7">
        <v>0.0524795149334176</v>
      </c>
      <c r="P404" s="7">
        <v>9.01106810251748</v>
      </c>
      <c r="Q404" s="7">
        <v>0.0425360494606846</v>
      </c>
      <c r="R404" s="7">
        <v>0.1130395076785655</v>
      </c>
      <c r="S404" s="7">
        <v>0.170936452277726</v>
      </c>
      <c r="T404" s="7">
        <v>2.604309679275737</v>
      </c>
    </row>
    <row x14ac:dyDescent="0.25" r="405" customHeight="1" ht="19.5">
      <c r="A405" s="2" t="s">
        <v>1463</v>
      </c>
      <c r="B405" s="2" t="s">
        <v>1060</v>
      </c>
      <c r="C405" s="2" t="s">
        <v>31</v>
      </c>
      <c r="D405" s="2" t="s">
        <v>402</v>
      </c>
      <c r="E405" s="6">
        <v>1</v>
      </c>
      <c r="F405" s="6">
        <v>2</v>
      </c>
      <c r="G405" s="7">
        <v>0.8138443827629089</v>
      </c>
      <c r="H405" s="7">
        <v>52.55529296875</v>
      </c>
      <c r="I405" s="7">
        <v>30.83166045281213</v>
      </c>
      <c r="J405" s="7">
        <v>9.68511367782582</v>
      </c>
      <c r="K405" s="7">
        <v>5.82910656604371</v>
      </c>
      <c r="L405" s="7">
        <v>0.8244117655277972</v>
      </c>
      <c r="M405" s="7">
        <v>0.6947563045499482</v>
      </c>
      <c r="N405" s="7">
        <v>0.3823026128030636</v>
      </c>
      <c r="O405" s="7">
        <v>0.053305708859356</v>
      </c>
      <c r="P405" s="7">
        <v>8.988697450915872</v>
      </c>
      <c r="Q405" s="7">
        <v>0.0400867057350349</v>
      </c>
      <c r="R405" s="7">
        <v>0.1092180679813192</v>
      </c>
      <c r="S405" s="7">
        <v>0.1660150863075333</v>
      </c>
      <c r="T405" s="7">
        <v>2.445161840496131</v>
      </c>
    </row>
    <row x14ac:dyDescent="0.25" r="406" customHeight="1" ht="19.5">
      <c r="A406" s="2" t="s">
        <v>1464</v>
      </c>
      <c r="B406" s="2" t="s">
        <v>1060</v>
      </c>
      <c r="C406" s="2" t="s">
        <v>31</v>
      </c>
      <c r="D406" s="2" t="s">
        <v>402</v>
      </c>
      <c r="E406" s="6">
        <v>1</v>
      </c>
      <c r="F406" s="6">
        <v>2</v>
      </c>
      <c r="G406" s="7">
        <v>0.8071961402893066</v>
      </c>
      <c r="H406" s="7">
        <v>52.8011859375</v>
      </c>
      <c r="I406" s="7">
        <v>30.58407369319701</v>
      </c>
      <c r="J406" s="7">
        <v>9.630005414545112</v>
      </c>
      <c r="K406" s="7">
        <v>5.726019152273903</v>
      </c>
      <c r="L406" s="7">
        <v>0.8240528352208492</v>
      </c>
      <c r="M406" s="7">
        <v>0.709353765055283</v>
      </c>
      <c r="N406" s="7">
        <v>0.3808175263817565</v>
      </c>
      <c r="O406" s="7">
        <v>0.0526096906213219</v>
      </c>
      <c r="P406" s="7">
        <v>8.990889956968516</v>
      </c>
      <c r="Q406" s="7">
        <v>0.0433890079387925</v>
      </c>
      <c r="R406" s="7">
        <v>0.1122653158803058</v>
      </c>
      <c r="S406" s="7">
        <v>0.1715801564771421</v>
      </c>
      <c r="T406" s="7">
        <v>2.658974531461994</v>
      </c>
    </row>
    <row x14ac:dyDescent="0.25" r="407" customHeight="1" ht="19.5">
      <c r="A407" s="2" t="s">
        <v>1465</v>
      </c>
      <c r="B407" s="2" t="s">
        <v>1060</v>
      </c>
      <c r="C407" s="2" t="s">
        <v>31</v>
      </c>
      <c r="D407" s="2" t="s">
        <v>402</v>
      </c>
      <c r="E407" s="6">
        <v>1</v>
      </c>
      <c r="F407" s="6">
        <v>2</v>
      </c>
      <c r="G407" s="7">
        <v>0.812257707118988</v>
      </c>
      <c r="H407" s="7">
        <v>52.81157578125001</v>
      </c>
      <c r="I407" s="7">
        <v>30.76271379970264</v>
      </c>
      <c r="J407" s="7">
        <v>9.650372978760386</v>
      </c>
      <c r="K407" s="7">
        <v>5.762534547945748</v>
      </c>
      <c r="L407" s="7">
        <v>0.8245617670293502</v>
      </c>
      <c r="M407" s="7">
        <v>0.7012771688246403</v>
      </c>
      <c r="N407" s="7">
        <v>0.3799299711816519</v>
      </c>
      <c r="O407" s="7">
        <v>0.0527722406975813</v>
      </c>
      <c r="P407" s="7">
        <v>9.019247007730266</v>
      </c>
      <c r="Q407" s="7">
        <v>0.0426478818900546</v>
      </c>
      <c r="R407" s="7">
        <v>0.1115838285163749</v>
      </c>
      <c r="S407" s="7">
        <v>0.1690872368532824</v>
      </c>
      <c r="T407" s="7">
        <v>2.614070962479333</v>
      </c>
    </row>
    <row x14ac:dyDescent="0.25" r="408" customHeight="1" ht="19.5">
      <c r="A408" s="2" t="s">
        <v>1466</v>
      </c>
      <c r="B408" s="2" t="s">
        <v>1060</v>
      </c>
      <c r="C408" s="2" t="s">
        <v>31</v>
      </c>
      <c r="D408" s="2" t="s">
        <v>402</v>
      </c>
      <c r="E408" s="6">
        <v>1</v>
      </c>
      <c r="F408" s="6">
        <v>2</v>
      </c>
      <c r="G408" s="7">
        <v>0.8125190734863281</v>
      </c>
      <c r="H408" s="7">
        <v>52.683434375</v>
      </c>
      <c r="I408" s="7">
        <v>30.54750920873163</v>
      </c>
      <c r="J408" s="7">
        <v>9.557128589076711</v>
      </c>
      <c r="K408" s="7">
        <v>5.694045293615948</v>
      </c>
      <c r="L408" s="7">
        <v>0.8202886202059101</v>
      </c>
      <c r="M408" s="7">
        <v>0.7094672189621661</v>
      </c>
      <c r="N408" s="7">
        <v>0.3787295572776865</v>
      </c>
      <c r="O408" s="7">
        <v>0.0527983756573208</v>
      </c>
      <c r="P408" s="7">
        <v>8.984088019407276</v>
      </c>
      <c r="Q408" s="7">
        <v>0.0427871472950358</v>
      </c>
      <c r="R408" s="7">
        <v>0.1135264962276247</v>
      </c>
      <c r="S408" s="7">
        <v>0.1721860387960052</v>
      </c>
      <c r="T408" s="7">
        <v>2.616243670291122</v>
      </c>
    </row>
    <row x14ac:dyDescent="0.25" r="409" customHeight="1" ht="19.5">
      <c r="A409" s="2" t="s">
        <v>1467</v>
      </c>
      <c r="B409" s="2" t="s">
        <v>1060</v>
      </c>
      <c r="C409" s="2" t="s">
        <v>31</v>
      </c>
      <c r="D409" s="2" t="s">
        <v>402</v>
      </c>
      <c r="E409" s="6">
        <v>1</v>
      </c>
      <c r="F409" s="6">
        <v>2</v>
      </c>
      <c r="G409" s="7">
        <v>0.8187997937202454</v>
      </c>
      <c r="H409" s="7">
        <v>52.84620859375001</v>
      </c>
      <c r="I409" s="7">
        <v>30.77908427701237</v>
      </c>
      <c r="J409" s="7">
        <v>9.620709899174312</v>
      </c>
      <c r="K409" s="7">
        <v>5.707163954460012</v>
      </c>
      <c r="L409" s="7">
        <v>0.8236821374194149</v>
      </c>
      <c r="M409" s="7">
        <v>0.7009907853386382</v>
      </c>
      <c r="N409" s="7">
        <v>0.3790318999514208</v>
      </c>
      <c r="O409" s="7">
        <v>0.0527992001175437</v>
      </c>
      <c r="P409" s="7">
        <v>8.99530293101543</v>
      </c>
      <c r="Q409" s="7">
        <v>0.0420892371383199</v>
      </c>
      <c r="R409" s="7">
        <v>0.1119447768413616</v>
      </c>
      <c r="S409" s="7">
        <v>0.1703204233678725</v>
      </c>
      <c r="T409" s="7">
        <v>2.581521040181753</v>
      </c>
    </row>
    <row x14ac:dyDescent="0.25" r="410" customHeight="1" ht="19.5">
      <c r="A410" s="2" t="s">
        <v>1468</v>
      </c>
      <c r="B410" s="2" t="s">
        <v>1060</v>
      </c>
      <c r="C410" s="2" t="s">
        <v>31</v>
      </c>
      <c r="D410" s="2" t="s">
        <v>402</v>
      </c>
      <c r="E410" s="6">
        <v>1</v>
      </c>
      <c r="F410" s="6">
        <v>2</v>
      </c>
      <c r="G410" s="7">
        <v>0.8084860444068909</v>
      </c>
      <c r="H410" s="7">
        <v>52.28169375</v>
      </c>
      <c r="I410" s="7">
        <v>30.51512704008752</v>
      </c>
      <c r="J410" s="7">
        <v>9.612658867090524</v>
      </c>
      <c r="K410" s="7">
        <v>5.798305810533125</v>
      </c>
      <c r="L410" s="7">
        <v>0.8231120724471304</v>
      </c>
      <c r="M410" s="7">
        <v>0.7055521963573727</v>
      </c>
      <c r="N410" s="7">
        <v>0.3772042091544126</v>
      </c>
      <c r="O410" s="7">
        <v>0.0527833019948828</v>
      </c>
      <c r="P410" s="7">
        <v>9.031460797412764</v>
      </c>
      <c r="Q410" s="7">
        <v>0.0420579031220673</v>
      </c>
      <c r="R410" s="7">
        <v>0.1116372169593924</v>
      </c>
      <c r="S410" s="7">
        <v>0.1705582001291274</v>
      </c>
      <c r="T410" s="7">
        <v>2.552043338057464</v>
      </c>
    </row>
    <row x14ac:dyDescent="0.25" r="411" customHeight="1" ht="19.5">
      <c r="A411" s="2" t="s">
        <v>1469</v>
      </c>
      <c r="B411" s="2" t="s">
        <v>1060</v>
      </c>
      <c r="C411" s="2" t="s">
        <v>31</v>
      </c>
      <c r="D411" s="2" t="s">
        <v>402</v>
      </c>
      <c r="E411" s="6">
        <v>1</v>
      </c>
      <c r="F411" s="6">
        <v>2</v>
      </c>
      <c r="G411" s="7">
        <v>0.8091409802436829</v>
      </c>
      <c r="H411" s="7">
        <v>52.97781328125</v>
      </c>
      <c r="I411" s="7">
        <v>30.56387968604135</v>
      </c>
      <c r="J411" s="7">
        <v>9.601901336593976</v>
      </c>
      <c r="K411" s="7">
        <v>5.673860457904874</v>
      </c>
      <c r="L411" s="7">
        <v>0.8229876203131499</v>
      </c>
      <c r="M411" s="7">
        <v>0.712667459844874</v>
      </c>
      <c r="N411" s="7">
        <v>0.3777772299181843</v>
      </c>
      <c r="O411" s="7">
        <v>0.0522944185546682</v>
      </c>
      <c r="P411" s="7">
        <v>9.003861762372537</v>
      </c>
      <c r="Q411" s="7">
        <v>0.0420881820704968</v>
      </c>
      <c r="R411" s="7">
        <v>0.1130168954603865</v>
      </c>
      <c r="S411" s="7">
        <v>0.1721597811994535</v>
      </c>
      <c r="T411" s="7">
        <v>2.587885015519181</v>
      </c>
    </row>
    <row x14ac:dyDescent="0.25" r="412" customHeight="1" ht="19.5">
      <c r="A412" s="2" t="s">
        <v>1470</v>
      </c>
      <c r="B412" s="2" t="s">
        <v>1060</v>
      </c>
      <c r="C412" s="2" t="s">
        <v>31</v>
      </c>
      <c r="D412" s="2" t="s">
        <v>402</v>
      </c>
      <c r="E412" s="6">
        <v>1</v>
      </c>
      <c r="F412" s="6">
        <v>2</v>
      </c>
      <c r="G412" s="7">
        <v>0.8133788704872131</v>
      </c>
      <c r="H412" s="7">
        <v>52.89469453125</v>
      </c>
      <c r="I412" s="7">
        <v>30.58407369319701</v>
      </c>
      <c r="J412" s="7">
        <v>9.617019327816427</v>
      </c>
      <c r="K412" s="7">
        <v>5.702088418774862</v>
      </c>
      <c r="L412" s="7">
        <v>0.8232087599826781</v>
      </c>
      <c r="M412" s="7">
        <v>0.7106099995860775</v>
      </c>
      <c r="N412" s="7">
        <v>0.3745010771416332</v>
      </c>
      <c r="O412" s="7">
        <v>0.0521547878869466</v>
      </c>
      <c r="P412" s="7">
        <v>9.025079885109124</v>
      </c>
      <c r="Q412" s="7">
        <v>0.0418863511823376</v>
      </c>
      <c r="R412" s="7">
        <v>0.1107703023813763</v>
      </c>
      <c r="S412" s="7">
        <v>0.1676274261057895</v>
      </c>
      <c r="T412" s="7">
        <v>2.571434243626392</v>
      </c>
    </row>
    <row x14ac:dyDescent="0.25" r="413" customHeight="1" ht="19.5">
      <c r="A413" s="2" t="s">
        <v>1471</v>
      </c>
      <c r="B413" s="2" t="s">
        <v>1060</v>
      </c>
      <c r="C413" s="2" t="s">
        <v>31</v>
      </c>
      <c r="D413" s="2" t="s">
        <v>402</v>
      </c>
      <c r="E413" s="6">
        <v>1</v>
      </c>
      <c r="F413" s="6">
        <v>2</v>
      </c>
      <c r="G413" s="7">
        <v>0.8129734396934509</v>
      </c>
      <c r="H413" s="7">
        <v>52.420225</v>
      </c>
      <c r="I413" s="7">
        <v>30.81146644565648</v>
      </c>
      <c r="J413" s="7">
        <v>9.692922339715905</v>
      </c>
      <c r="K413" s="7">
        <v>5.8498525779323</v>
      </c>
      <c r="L413" s="7">
        <v>0.8251477283598261</v>
      </c>
      <c r="M413" s="7">
        <v>0.6938794208950472</v>
      </c>
      <c r="N413" s="7">
        <v>0.3790170322338652</v>
      </c>
      <c r="O413" s="7">
        <v>0.0530689292819235</v>
      </c>
      <c r="P413" s="7">
        <v>9.012921106420189</v>
      </c>
      <c r="Q413" s="7">
        <v>0.0420417034756309</v>
      </c>
      <c r="R413" s="7">
        <v>0.112318657466325</v>
      </c>
      <c r="S413" s="7">
        <v>0.1727292955471906</v>
      </c>
      <c r="T413" s="7">
        <v>2.557819921541847</v>
      </c>
    </row>
    <row x14ac:dyDescent="0.25" r="414" customHeight="1" ht="19.5">
      <c r="A414" s="2" t="s">
        <v>1472</v>
      </c>
      <c r="B414" s="2" t="s">
        <v>1060</v>
      </c>
      <c r="C414" s="2" t="s">
        <v>31</v>
      </c>
      <c r="D414" s="2" t="s">
        <v>402</v>
      </c>
      <c r="E414" s="6">
        <v>1</v>
      </c>
      <c r="F414" s="6">
        <v>2</v>
      </c>
      <c r="G414" s="7">
        <v>0.8142980933189392</v>
      </c>
      <c r="H414" s="7">
        <v>52.56914609375</v>
      </c>
      <c r="I414" s="7">
        <v>30.64501450063931</v>
      </c>
      <c r="J414" s="7">
        <v>9.679166291942636</v>
      </c>
      <c r="K414" s="7">
        <v>5.822825212528675</v>
      </c>
      <c r="L414" s="7">
        <v>0.8261433160020146</v>
      </c>
      <c r="M414" s="7">
        <v>0.7034303855315885</v>
      </c>
      <c r="N414" s="7">
        <v>0.3991528089644889</v>
      </c>
      <c r="O414" s="7">
        <v>0.0552274962278151</v>
      </c>
      <c r="P414" s="7">
        <v>8.93040485214315</v>
      </c>
      <c r="Q414" s="7">
        <v>0.0405578217065675</v>
      </c>
      <c r="R414" s="7">
        <v>0.1072193691919188</v>
      </c>
      <c r="S414" s="7">
        <v>0.1598623954670716</v>
      </c>
      <c r="T414" s="7">
        <v>2.474550518171727</v>
      </c>
    </row>
    <row x14ac:dyDescent="0.25" r="415" customHeight="1" ht="19.5">
      <c r="A415" s="2" t="s">
        <v>1473</v>
      </c>
      <c r="B415" s="2" t="s">
        <v>1060</v>
      </c>
      <c r="C415" s="2" t="s">
        <v>31</v>
      </c>
      <c r="D415" s="2" t="s">
        <v>402</v>
      </c>
      <c r="E415" s="6">
        <v>1</v>
      </c>
      <c r="F415" s="6">
        <v>2</v>
      </c>
      <c r="G415" s="7">
        <v>0.7709359526634216</v>
      </c>
      <c r="H415" s="7">
        <v>53.46267265625001</v>
      </c>
      <c r="I415" s="7">
        <v>31.10989700913608</v>
      </c>
      <c r="J415" s="7">
        <v>9.816062676682758</v>
      </c>
      <c r="K415" s="7">
        <v>5.753689688979828</v>
      </c>
      <c r="L415" s="7">
        <v>0.8363901277755252</v>
      </c>
      <c r="M415" s="7">
        <v>0.6941660716822484</v>
      </c>
      <c r="N415" s="7">
        <v>0.6174219827120146</v>
      </c>
      <c r="O415" s="7">
        <v>0.0813329073279061</v>
      </c>
      <c r="P415" s="7">
        <v>7.810480420811141</v>
      </c>
      <c r="Q415" s="7">
        <v>0.0219256862223866</v>
      </c>
      <c r="R415" s="7">
        <v>0.0501300439498627</v>
      </c>
      <c r="S415" s="7">
        <v>0.0644517183406831</v>
      </c>
      <c r="T415" s="7">
        <v>1.360487765127106</v>
      </c>
    </row>
    <row x14ac:dyDescent="0.25" r="416" customHeight="1" ht="19.5">
      <c r="A416" s="2" t="s">
        <v>1474</v>
      </c>
      <c r="B416" s="2" t="s">
        <v>1060</v>
      </c>
      <c r="C416" s="2" t="s">
        <v>31</v>
      </c>
      <c r="D416" s="2" t="s">
        <v>402</v>
      </c>
      <c r="E416" s="6">
        <v>1</v>
      </c>
      <c r="F416" s="6">
        <v>2</v>
      </c>
      <c r="G416" s="7">
        <v>0.2798146307468414</v>
      </c>
      <c r="H416" s="7">
        <v>44.094496875</v>
      </c>
      <c r="I416" s="7">
        <v>27.79621378611772</v>
      </c>
      <c r="J416" s="7">
        <v>8.36158835157869</v>
      </c>
      <c r="K416" s="7">
        <v>5.635664151791909</v>
      </c>
      <c r="L416" s="7">
        <v>0.7678275251754463</v>
      </c>
      <c r="M416" s="7">
        <v>0.7171714116274033</v>
      </c>
      <c r="N416" s="7">
        <v>0.5989534829111168</v>
      </c>
      <c r="O416" s="7">
        <v>0.1001565171117445</v>
      </c>
      <c r="P416" s="7">
        <v>7.270147862051235</v>
      </c>
      <c r="Q416" s="7">
        <v>0.0296943733768454</v>
      </c>
      <c r="R416" s="7">
        <v>0.0581070062348569</v>
      </c>
      <c r="S416" s="7">
        <v>0.071295921280045</v>
      </c>
      <c r="T416" s="7">
        <v>1.519670163133101</v>
      </c>
    </row>
    <row x14ac:dyDescent="0.25" r="417" customHeight="1" ht="19.5">
      <c r="A417" s="2" t="s">
        <v>1475</v>
      </c>
      <c r="B417" s="2" t="s">
        <v>1060</v>
      </c>
      <c r="C417" s="2" t="s">
        <v>31</v>
      </c>
      <c r="D417" s="2" t="s">
        <v>402</v>
      </c>
      <c r="E417" s="6">
        <v>1</v>
      </c>
      <c r="F417" s="6">
        <v>2</v>
      </c>
      <c r="G417" s="7">
        <v>0.7661650776863098</v>
      </c>
      <c r="H417" s="7">
        <v>52.68689765625</v>
      </c>
      <c r="I417" s="7">
        <v>31.24396678550914</v>
      </c>
      <c r="J417" s="7">
        <v>9.849612296881064</v>
      </c>
      <c r="K417" s="7">
        <v>5.492885528229874</v>
      </c>
      <c r="L417" s="7">
        <v>0.8491827232760019</v>
      </c>
      <c r="M417" s="7">
        <v>0.6782349351261616</v>
      </c>
      <c r="N417" s="7">
        <v>0.54728610056757</v>
      </c>
      <c r="O417" s="7">
        <v>0.0766895890360776</v>
      </c>
      <c r="P417" s="7">
        <v>7.984176364591908</v>
      </c>
      <c r="Q417" s="7">
        <v>0.0535658693150563</v>
      </c>
      <c r="R417" s="7">
        <v>0.090353822599132</v>
      </c>
      <c r="S417" s="7">
        <v>0.1179240411178086</v>
      </c>
      <c r="T417" s="7">
        <v>3.275529871772854</v>
      </c>
    </row>
    <row x14ac:dyDescent="0.25" r="418" customHeight="1" ht="19.5">
      <c r="A418" s="2" t="s">
        <v>1476</v>
      </c>
      <c r="B418" s="2" t="s">
        <v>1060</v>
      </c>
      <c r="C418" s="2" t="s">
        <v>31</v>
      </c>
      <c r="D418" s="2" t="s">
        <v>402</v>
      </c>
      <c r="E418" s="6">
        <v>1</v>
      </c>
      <c r="F418" s="6">
        <v>2</v>
      </c>
      <c r="G418" s="7">
        <v>0.817717432975769</v>
      </c>
      <c r="H418" s="7">
        <v>51.95960859375</v>
      </c>
      <c r="I418" s="7">
        <v>31.28089005594986</v>
      </c>
      <c r="J418" s="7">
        <v>10.21113223512222</v>
      </c>
      <c r="K418" s="7">
        <v>5.515558069905632</v>
      </c>
      <c r="L418" s="7">
        <v>0.8644310947593697</v>
      </c>
      <c r="M418" s="7">
        <v>0.6672944784392213</v>
      </c>
      <c r="N418" s="7">
        <v>0.477468094686464</v>
      </c>
      <c r="O418" s="7">
        <v>0.0725707699150178</v>
      </c>
      <c r="P418" s="7">
        <v>8.438353485688044</v>
      </c>
      <c r="Q418" s="7">
        <v>0.0639509593902573</v>
      </c>
      <c r="R418" s="7">
        <v>0.1147913158845863</v>
      </c>
      <c r="S418" s="7">
        <v>0.1398282612609054</v>
      </c>
      <c r="T418" s="7">
        <v>3.856592169525864</v>
      </c>
    </row>
    <row x14ac:dyDescent="0.25" r="419" customHeight="1" ht="19.5">
      <c r="A419" s="2" t="s">
        <v>1477</v>
      </c>
      <c r="B419" s="2" t="s">
        <v>1060</v>
      </c>
      <c r="C419" s="2" t="s">
        <v>31</v>
      </c>
      <c r="D419" s="2" t="s">
        <v>402</v>
      </c>
      <c r="E419" s="6">
        <v>1</v>
      </c>
      <c r="F419" s="6">
        <v>2</v>
      </c>
      <c r="G419" s="7">
        <v>0.8504722714424133</v>
      </c>
      <c r="H419" s="7">
        <v>52.3578859375</v>
      </c>
      <c r="I419" s="7">
        <v>31.73949909071473</v>
      </c>
      <c r="J419" s="7">
        <v>10.27820047589548</v>
      </c>
      <c r="K419" s="7">
        <v>5.855528811051505</v>
      </c>
      <c r="L419" s="7">
        <v>0.8642364340290689</v>
      </c>
      <c r="M419" s="7">
        <v>0.6531182655545309</v>
      </c>
      <c r="N419" s="7">
        <v>0.4183166888156222</v>
      </c>
      <c r="O419" s="7">
        <v>0.0650001509839664</v>
      </c>
      <c r="P419" s="7">
        <v>8.78612479504926</v>
      </c>
      <c r="Q419" s="7">
        <v>0.070525322674256</v>
      </c>
      <c r="R419" s="7">
        <v>0.133749242744294</v>
      </c>
      <c r="S419" s="7">
        <v>0.1714909887571056</v>
      </c>
      <c r="T419" s="7">
        <v>4.285662476628623</v>
      </c>
    </row>
    <row x14ac:dyDescent="0.25" r="420" customHeight="1" ht="19.5">
      <c r="A420" s="2" t="s">
        <v>1478</v>
      </c>
      <c r="B420" s="2" t="s">
        <v>1060</v>
      </c>
      <c r="C420" s="2" t="s">
        <v>31</v>
      </c>
      <c r="D420" s="2" t="s">
        <v>402</v>
      </c>
      <c r="E420" s="6">
        <v>1</v>
      </c>
      <c r="F420" s="6">
        <v>2</v>
      </c>
      <c r="G420" s="7">
        <v>0.8692377805709839</v>
      </c>
      <c r="H420" s="7">
        <v>53.30336171875</v>
      </c>
      <c r="I420" s="7">
        <v>32.05812366134997</v>
      </c>
      <c r="J420" s="7">
        <v>10.27923607457831</v>
      </c>
      <c r="K420" s="7">
        <v>5.911951814616276</v>
      </c>
      <c r="L420" s="7">
        <v>0.8569351660385276</v>
      </c>
      <c r="M420" s="7">
        <v>0.6517608417710983</v>
      </c>
      <c r="N420" s="7">
        <v>0.3774885450018221</v>
      </c>
      <c r="O420" s="7">
        <v>0.0604271321948595</v>
      </c>
      <c r="P420" s="7">
        <v>9.065576916564105</v>
      </c>
      <c r="Q420" s="7">
        <v>0.0786354394968315</v>
      </c>
      <c r="R420" s="7">
        <v>0.1496247417938842</v>
      </c>
      <c r="S420" s="7">
        <v>0.1968247344985931</v>
      </c>
      <c r="T420" s="7">
        <v>4.86478552654724</v>
      </c>
    </row>
    <row x14ac:dyDescent="0.25" r="421" customHeight="1" ht="19.5">
      <c r="A421" s="2" t="s">
        <v>1479</v>
      </c>
      <c r="B421" s="2" t="s">
        <v>1060</v>
      </c>
      <c r="C421" s="2" t="s">
        <v>31</v>
      </c>
      <c r="D421" s="2" t="s">
        <v>402</v>
      </c>
      <c r="E421" s="6">
        <v>1</v>
      </c>
      <c r="F421" s="6">
        <v>2</v>
      </c>
      <c r="G421" s="7">
        <v>0.8648645281791687</v>
      </c>
      <c r="H421" s="7">
        <v>53.08517500000001</v>
      </c>
      <c r="I421" s="7">
        <v>31.75969309787038</v>
      </c>
      <c r="J421" s="7">
        <v>10.19446973691203</v>
      </c>
      <c r="K421" s="7">
        <v>5.879479571020406</v>
      </c>
      <c r="L421" s="7">
        <v>0.8549464823666608</v>
      </c>
      <c r="M421" s="7">
        <v>0.6613487290223328</v>
      </c>
      <c r="N421" s="7">
        <v>0.3644071637324749</v>
      </c>
      <c r="O421" s="7">
        <v>0.059515687775339</v>
      </c>
      <c r="P421" s="7">
        <v>9.118709190623386</v>
      </c>
      <c r="Q421" s="7">
        <v>0.0799665759494364</v>
      </c>
      <c r="R421" s="7">
        <v>0.15104591315242</v>
      </c>
      <c r="S421" s="7">
        <v>0.2046430810056443</v>
      </c>
      <c r="T421" s="7">
        <v>4.926886232388624</v>
      </c>
    </row>
    <row x14ac:dyDescent="0.25" r="422" customHeight="1" ht="19.5">
      <c r="A422" s="2" t="s">
        <v>1480</v>
      </c>
      <c r="B422" s="2" t="s">
        <v>1060</v>
      </c>
      <c r="C422" s="2" t="s">
        <v>31</v>
      </c>
      <c r="D422" s="2" t="s">
        <v>402</v>
      </c>
      <c r="E422" s="6">
        <v>1</v>
      </c>
      <c r="F422" s="6">
        <v>2</v>
      </c>
      <c r="G422" s="7">
        <v>0.8629229664802551</v>
      </c>
      <c r="H422" s="7">
        <v>53.38648046875</v>
      </c>
      <c r="I422" s="7">
        <v>32.3199897403642</v>
      </c>
      <c r="J422" s="7">
        <v>10.2201150855921</v>
      </c>
      <c r="K422" s="7">
        <v>6.020486567843757</v>
      </c>
      <c r="L422" s="7">
        <v>0.8539347459269655</v>
      </c>
      <c r="M422" s="7">
        <v>0.642242034032356</v>
      </c>
      <c r="N422" s="7">
        <v>0.363064351158868</v>
      </c>
      <c r="O422" s="7">
        <v>0.061044991325225</v>
      </c>
      <c r="P422" s="7">
        <v>9.13045530958732</v>
      </c>
      <c r="Q422" s="7">
        <v>0.0797681221414698</v>
      </c>
      <c r="R422" s="7">
        <v>0.1508559876633042</v>
      </c>
      <c r="S422" s="7">
        <v>0.2052519617834684</v>
      </c>
      <c r="T422" s="7">
        <v>4.942554183401549</v>
      </c>
    </row>
    <row x14ac:dyDescent="0.25" r="423" customHeight="1" ht="19.5">
      <c r="A423" s="2" t="s">
        <v>1481</v>
      </c>
      <c r="B423" s="2" t="s">
        <v>1060</v>
      </c>
      <c r="C423" s="2" t="s">
        <v>31</v>
      </c>
      <c r="D423" s="2" t="s">
        <v>402</v>
      </c>
      <c r="E423" s="6">
        <v>1</v>
      </c>
      <c r="F423" s="6">
        <v>2</v>
      </c>
      <c r="G423" s="7">
        <v>0.8681216239929199</v>
      </c>
      <c r="H423" s="7">
        <v>53.3691640625</v>
      </c>
      <c r="I423" s="7">
        <v>31.84291907037897</v>
      </c>
      <c r="J423" s="7">
        <v>10.19818669490512</v>
      </c>
      <c r="K423" s="7">
        <v>5.880897859557526</v>
      </c>
      <c r="L423" s="7">
        <v>0.8538636678620055</v>
      </c>
      <c r="M423" s="7">
        <v>0.6614157284954427</v>
      </c>
      <c r="N423" s="7">
        <v>0.3646012020743172</v>
      </c>
      <c r="O423" s="7">
        <v>0.0582608443571203</v>
      </c>
      <c r="P423" s="7">
        <v>9.119053187915142</v>
      </c>
      <c r="Q423" s="7">
        <v>0.0798413842964007</v>
      </c>
      <c r="R423" s="7">
        <v>0.1508571741571586</v>
      </c>
      <c r="S423" s="7">
        <v>0.2006627469003266</v>
      </c>
      <c r="T423" s="7">
        <v>4.945488981691134</v>
      </c>
    </row>
    <row x14ac:dyDescent="0.25" r="424" customHeight="1" ht="19.5">
      <c r="A424" s="2" t="s">
        <v>1482</v>
      </c>
      <c r="B424" s="2" t="s">
        <v>1060</v>
      </c>
      <c r="C424" s="2" t="s">
        <v>31</v>
      </c>
      <c r="D424" s="2" t="s">
        <v>402</v>
      </c>
      <c r="E424" s="6">
        <v>1</v>
      </c>
      <c r="F424" s="6">
        <v>2</v>
      </c>
      <c r="G424" s="7">
        <v>0.8638132810592651</v>
      </c>
      <c r="H424" s="7">
        <v>53.10249140625</v>
      </c>
      <c r="I424" s="7">
        <v>31.63189679522922</v>
      </c>
      <c r="J424" s="7">
        <v>10.22897825243412</v>
      </c>
      <c r="K424" s="7">
        <v>5.692432405195468</v>
      </c>
      <c r="L424" s="7">
        <v>0.8555422871043484</v>
      </c>
      <c r="M424" s="7">
        <v>0.6669208443469404</v>
      </c>
      <c r="N424" s="7">
        <v>0.3675248636522595</v>
      </c>
      <c r="O424" s="7">
        <v>0.0604837104889253</v>
      </c>
      <c r="P424" s="7">
        <v>9.09767315242228</v>
      </c>
      <c r="Q424" s="7">
        <v>0.0802541117241372</v>
      </c>
      <c r="R424" s="7">
        <v>0.1502179213482443</v>
      </c>
      <c r="S424" s="7">
        <v>0.2032304536307579</v>
      </c>
      <c r="T424" s="7">
        <v>4.946214765782582</v>
      </c>
    </row>
    <row x14ac:dyDescent="0.25" r="425" customHeight="1" ht="19.5">
      <c r="A425" s="2" t="s">
        <v>1483</v>
      </c>
      <c r="B425" s="2" t="s">
        <v>1060</v>
      </c>
      <c r="C425" s="2" t="s">
        <v>31</v>
      </c>
      <c r="D425" s="2" t="s">
        <v>402</v>
      </c>
      <c r="E425" s="6">
        <v>1</v>
      </c>
      <c r="F425" s="6">
        <v>2</v>
      </c>
      <c r="G425" s="7">
        <v>0.8687406182289124</v>
      </c>
      <c r="H425" s="7">
        <v>53.14405078125</v>
      </c>
      <c r="I425" s="7">
        <v>31.67055243760524</v>
      </c>
      <c r="J425" s="7">
        <v>10.22094405246204</v>
      </c>
      <c r="K425" s="7">
        <v>5.695792988717848</v>
      </c>
      <c r="L425" s="7">
        <v>0.8551822461710125</v>
      </c>
      <c r="M425" s="7">
        <v>0.6658144871619768</v>
      </c>
      <c r="N425" s="7">
        <v>0.3656868405618443</v>
      </c>
      <c r="O425" s="7">
        <v>0.0599427830483648</v>
      </c>
      <c r="P425" s="7">
        <v>9.10943597530803</v>
      </c>
      <c r="Q425" s="7">
        <v>0.0806997868065938</v>
      </c>
      <c r="R425" s="7">
        <v>0.1502669911192787</v>
      </c>
      <c r="S425" s="7">
        <v>0.2058607333531414</v>
      </c>
      <c r="T425" s="7">
        <v>4.977575107399508</v>
      </c>
    </row>
    <row x14ac:dyDescent="0.25" r="426" customHeight="1" ht="19.5">
      <c r="A426" s="2" t="s">
        <v>1484</v>
      </c>
      <c r="B426" s="2" t="s">
        <v>1060</v>
      </c>
      <c r="C426" s="2" t="s">
        <v>31</v>
      </c>
      <c r="D426" s="2" t="s">
        <v>402</v>
      </c>
      <c r="E426" s="6">
        <v>1</v>
      </c>
      <c r="F426" s="6">
        <v>2</v>
      </c>
      <c r="G426" s="7">
        <v>0.8680451512336731</v>
      </c>
      <c r="H426" s="7">
        <v>52.99166640625</v>
      </c>
      <c r="I426" s="7">
        <v>31.6764671253618</v>
      </c>
      <c r="J426" s="7">
        <v>10.21389508292465</v>
      </c>
      <c r="K426" s="7">
        <v>5.840445302472668</v>
      </c>
      <c r="L426" s="7">
        <v>0.856437279221968</v>
      </c>
      <c r="M426" s="7">
        <v>0.6636574335918857</v>
      </c>
      <c r="N426" s="7">
        <v>0.3697064099411804</v>
      </c>
      <c r="O426" s="7">
        <v>0.0614710103608449</v>
      </c>
      <c r="P426" s="7">
        <v>9.090182499634984</v>
      </c>
      <c r="Q426" s="7">
        <v>0.0798704696655046</v>
      </c>
      <c r="R426" s="7">
        <v>0.1500658552965427</v>
      </c>
      <c r="S426" s="7">
        <v>0.201798214812434</v>
      </c>
      <c r="T426" s="7">
        <v>4.912296756949147</v>
      </c>
    </row>
    <row x14ac:dyDescent="0.25" r="427" customHeight="1" ht="19.5">
      <c r="A427" s="2" t="s">
        <v>1485</v>
      </c>
      <c r="B427" s="2" t="s">
        <v>1060</v>
      </c>
      <c r="C427" s="2" t="s">
        <v>31</v>
      </c>
      <c r="D427" s="2" t="s">
        <v>402</v>
      </c>
      <c r="E427" s="6">
        <v>1</v>
      </c>
      <c r="F427" s="6">
        <v>2</v>
      </c>
      <c r="G427" s="7">
        <v>0.8700336813926697</v>
      </c>
      <c r="H427" s="7">
        <v>53.22370625000001</v>
      </c>
      <c r="I427" s="7">
        <v>31.71512276773781</v>
      </c>
      <c r="J427" s="7">
        <v>10.24285040702617</v>
      </c>
      <c r="K427" s="7">
        <v>5.773704826776612</v>
      </c>
      <c r="L427" s="7">
        <v>0.8548203931026449</v>
      </c>
      <c r="M427" s="7">
        <v>0.6649395785184329</v>
      </c>
      <c r="N427" s="7">
        <v>0.3675872479460881</v>
      </c>
      <c r="O427" s="7">
        <v>0.0597531517636345</v>
      </c>
      <c r="P427" s="7">
        <v>9.094673617842057</v>
      </c>
      <c r="Q427" s="7">
        <v>0.08000897866191</v>
      </c>
      <c r="R427" s="7">
        <v>0.1497746146235429</v>
      </c>
      <c r="S427" s="7">
        <v>0.2038521246812493</v>
      </c>
      <c r="T427" s="7">
        <v>4.942362777029569</v>
      </c>
    </row>
    <row x14ac:dyDescent="0.25" r="428" customHeight="1" ht="19.5">
      <c r="A428" s="2" t="s">
        <v>1486</v>
      </c>
      <c r="B428" s="2" t="s">
        <v>1060</v>
      </c>
      <c r="C428" s="2" t="s">
        <v>31</v>
      </c>
      <c r="D428" s="2" t="s">
        <v>402</v>
      </c>
      <c r="E428" s="6">
        <v>1</v>
      </c>
      <c r="F428" s="6">
        <v>2</v>
      </c>
      <c r="G428" s="7">
        <v>0.8667463660240173</v>
      </c>
      <c r="H428" s="7">
        <v>53.2860453125</v>
      </c>
      <c r="I428" s="7">
        <v>31.53020918750028</v>
      </c>
      <c r="J428" s="7">
        <v>10.19705744943743</v>
      </c>
      <c r="K428" s="7">
        <v>5.811868574787624</v>
      </c>
      <c r="L428" s="7">
        <v>0.8554951927235667</v>
      </c>
      <c r="M428" s="7">
        <v>0.6735497039723208</v>
      </c>
      <c r="N428" s="7">
        <v>0.3687488092035451</v>
      </c>
      <c r="O428" s="7">
        <v>0.0591217526981547</v>
      </c>
      <c r="P428" s="7">
        <v>9.10309445012819</v>
      </c>
      <c r="Q428" s="7">
        <v>0.0798069603581604</v>
      </c>
      <c r="R428" s="7">
        <v>0.1494795529232698</v>
      </c>
      <c r="S428" s="7">
        <v>0.1997000526863364</v>
      </c>
      <c r="T428" s="7">
        <v>4.935657780726942</v>
      </c>
    </row>
    <row x14ac:dyDescent="0.25" r="429" customHeight="1" ht="19.5">
      <c r="A429" s="2" t="s">
        <v>1487</v>
      </c>
      <c r="B429" s="2" t="s">
        <v>1060</v>
      </c>
      <c r="C429" s="2" t="s">
        <v>31</v>
      </c>
      <c r="D429" s="2" t="s">
        <v>402</v>
      </c>
      <c r="E429" s="6">
        <v>1</v>
      </c>
      <c r="F429" s="6">
        <v>2</v>
      </c>
      <c r="G429" s="7">
        <v>0.8685397505760193</v>
      </c>
      <c r="H429" s="7">
        <v>53.17175703125</v>
      </c>
      <c r="I429" s="7">
        <v>31.92196272706629</v>
      </c>
      <c r="J429" s="7">
        <v>10.23176892454333</v>
      </c>
      <c r="K429" s="7">
        <v>5.921410282362663</v>
      </c>
      <c r="L429" s="7">
        <v>0.855714794199301</v>
      </c>
      <c r="M429" s="7">
        <v>0.655709843390593</v>
      </c>
      <c r="N429" s="7">
        <v>0.3666589661940127</v>
      </c>
      <c r="O429" s="7">
        <v>0.0593207589283742</v>
      </c>
      <c r="P429" s="7">
        <v>9.101349540572366</v>
      </c>
      <c r="Q429" s="7">
        <v>0.0800410121225809</v>
      </c>
      <c r="R429" s="7">
        <v>0.1501157092376168</v>
      </c>
      <c r="S429" s="7">
        <v>0.2063205660467809</v>
      </c>
      <c r="T429" s="7">
        <v>4.939515622190245</v>
      </c>
    </row>
    <row x14ac:dyDescent="0.25" r="430" customHeight="1" ht="19.5">
      <c r="A430" s="2" t="s">
        <v>1488</v>
      </c>
      <c r="B430" s="2" t="s">
        <v>1060</v>
      </c>
      <c r="C430" s="2" t="s">
        <v>31</v>
      </c>
      <c r="D430" s="2" t="s">
        <v>402</v>
      </c>
      <c r="E430" s="6">
        <v>1</v>
      </c>
      <c r="F430" s="6">
        <v>2</v>
      </c>
      <c r="G430" s="7">
        <v>0.8730430603027344</v>
      </c>
      <c r="H430" s="7">
        <v>53.209853125</v>
      </c>
      <c r="I430" s="7">
        <v>31.31918691235053</v>
      </c>
      <c r="J430" s="7">
        <v>10.22936538978224</v>
      </c>
      <c r="K430" s="7">
        <v>5.644992539952972</v>
      </c>
      <c r="L430" s="7">
        <v>0.855038855430233</v>
      </c>
      <c r="M430" s="7">
        <v>0.6816806506511774</v>
      </c>
      <c r="N430" s="7">
        <v>0.3691424973670268</v>
      </c>
      <c r="O430" s="7">
        <v>0.0596640379834856</v>
      </c>
      <c r="P430" s="7">
        <v>9.102762309582324</v>
      </c>
      <c r="Q430" s="7">
        <v>0.0806118370904301</v>
      </c>
      <c r="R430" s="7">
        <v>0.1514805489130457</v>
      </c>
      <c r="S430" s="7">
        <v>0.2035884866434906</v>
      </c>
      <c r="T430" s="7">
        <v>4.978306814118118</v>
      </c>
    </row>
    <row x14ac:dyDescent="0.25" r="431" customHeight="1" ht="19.5">
      <c r="A431" s="2" t="s">
        <v>1489</v>
      </c>
      <c r="B431" s="2" t="s">
        <v>1060</v>
      </c>
      <c r="C431" s="2" t="s">
        <v>31</v>
      </c>
      <c r="D431" s="2" t="s">
        <v>402</v>
      </c>
      <c r="E431" s="6">
        <v>1</v>
      </c>
      <c r="F431" s="6">
        <v>2</v>
      </c>
      <c r="G431" s="7">
        <v>0.8680528998374939</v>
      </c>
      <c r="H431" s="7">
        <v>53.17175703125</v>
      </c>
      <c r="I431" s="7">
        <v>31.85301607395679</v>
      </c>
      <c r="J431" s="7">
        <v>10.21302380268801</v>
      </c>
      <c r="K431" s="7">
        <v>5.911499354633662</v>
      </c>
      <c r="L431" s="7">
        <v>0.8548852771274003</v>
      </c>
      <c r="M431" s="7">
        <v>0.6585515163432915</v>
      </c>
      <c r="N431" s="7">
        <v>0.3640865865152874</v>
      </c>
      <c r="O431" s="7">
        <v>0.0590762703477443</v>
      </c>
      <c r="P431" s="7">
        <v>9.1058079639704</v>
      </c>
      <c r="Q431" s="7">
        <v>0.0797036360770096</v>
      </c>
      <c r="R431" s="7">
        <v>0.1499897229527728</v>
      </c>
      <c r="S431" s="7">
        <v>0.2051486227511185</v>
      </c>
      <c r="T431" s="7">
        <v>4.918695367629995</v>
      </c>
    </row>
    <row x14ac:dyDescent="0.25" r="432" customHeight="1" ht="19.5">
      <c r="A432" s="2" t="s">
        <v>1490</v>
      </c>
      <c r="B432" s="2" t="s">
        <v>1060</v>
      </c>
      <c r="C432" s="2" t="s">
        <v>31</v>
      </c>
      <c r="D432" s="2" t="s">
        <v>402</v>
      </c>
      <c r="E432" s="6">
        <v>1</v>
      </c>
      <c r="F432" s="6">
        <v>2</v>
      </c>
      <c r="G432" s="7">
        <v>0.8704565167427063</v>
      </c>
      <c r="H432" s="7">
        <v>53.08863828125001</v>
      </c>
      <c r="I432" s="7">
        <v>31.81854274740205</v>
      </c>
      <c r="J432" s="7">
        <v>10.24153969931369</v>
      </c>
      <c r="K432" s="7">
        <v>5.946461354439186</v>
      </c>
      <c r="L432" s="7">
        <v>0.8567573340559599</v>
      </c>
      <c r="M432" s="7">
        <v>0.6589475972458895</v>
      </c>
      <c r="N432" s="7">
        <v>0.3705314164766135</v>
      </c>
      <c r="O432" s="7">
        <v>0.0604133663514347</v>
      </c>
      <c r="P432" s="7">
        <v>9.100267662125034</v>
      </c>
      <c r="Q432" s="7">
        <v>0.0813223596215744</v>
      </c>
      <c r="R432" s="7">
        <v>0.1513385416702778</v>
      </c>
      <c r="S432" s="7">
        <v>0.2000285636630637</v>
      </c>
      <c r="T432" s="7">
        <v>5.010745411213613</v>
      </c>
    </row>
    <row x14ac:dyDescent="0.25" r="433" customHeight="1" ht="19.5">
      <c r="A433" s="2" t="s">
        <v>1491</v>
      </c>
      <c r="B433" s="2" t="s">
        <v>1060</v>
      </c>
      <c r="C433" s="2" t="s">
        <v>31</v>
      </c>
      <c r="D433" s="2" t="s">
        <v>402</v>
      </c>
      <c r="E433" s="6">
        <v>1</v>
      </c>
      <c r="F433" s="6">
        <v>2</v>
      </c>
      <c r="G433" s="7">
        <v>0.8696497082710266</v>
      </c>
      <c r="H433" s="7">
        <v>53.12673437500001</v>
      </c>
      <c r="I433" s="7">
        <v>31.99300053808642</v>
      </c>
      <c r="J433" s="7">
        <v>10.22884951940439</v>
      </c>
      <c r="K433" s="7">
        <v>5.918538313199141</v>
      </c>
      <c r="L433" s="7">
        <v>0.8568578924318815</v>
      </c>
      <c r="M433" s="7">
        <v>0.6522484243788108</v>
      </c>
      <c r="N433" s="7">
        <v>0.3702348857527339</v>
      </c>
      <c r="O433" s="7">
        <v>0.0601677930835102</v>
      </c>
      <c r="P433" s="7">
        <v>9.09487048392864</v>
      </c>
      <c r="Q433" s="7">
        <v>0.0803874291659017</v>
      </c>
      <c r="R433" s="7">
        <v>0.1516478525980421</v>
      </c>
      <c r="S433" s="7">
        <v>0.2048215945543568</v>
      </c>
      <c r="T433" s="7">
        <v>4.956693230108423</v>
      </c>
    </row>
    <row x14ac:dyDescent="0.25" r="434" customHeight="1" ht="19.5">
      <c r="A434" s="2" t="s">
        <v>1492</v>
      </c>
      <c r="B434" s="2" t="s">
        <v>1060</v>
      </c>
      <c r="C434" s="2" t="s">
        <v>31</v>
      </c>
      <c r="D434" s="2" t="s">
        <v>402</v>
      </c>
      <c r="E434" s="6">
        <v>1</v>
      </c>
      <c r="F434" s="6">
        <v>2</v>
      </c>
      <c r="G434" s="7">
        <v>0.8661178946495056</v>
      </c>
      <c r="H434" s="7">
        <v>53.15790390625001</v>
      </c>
      <c r="I434" s="7">
        <v>31.87739239693371</v>
      </c>
      <c r="J434" s="7">
        <v>10.21772389447918</v>
      </c>
      <c r="K434" s="7">
        <v>5.921227844942237</v>
      </c>
      <c r="L434" s="7">
        <v>0.8559131364244941</v>
      </c>
      <c r="M434" s="7">
        <v>0.657373412244281</v>
      </c>
      <c r="N434" s="7">
        <v>0.368581138939792</v>
      </c>
      <c r="O434" s="7">
        <v>0.0594395273258525</v>
      </c>
      <c r="P434" s="7">
        <v>9.094749583248817</v>
      </c>
      <c r="Q434" s="7">
        <v>0.0795457548993541</v>
      </c>
      <c r="R434" s="7">
        <v>0.1493785647261771</v>
      </c>
      <c r="S434" s="7">
        <v>0.2026118096237884</v>
      </c>
      <c r="T434" s="7">
        <v>4.907673199894345</v>
      </c>
    </row>
    <row x14ac:dyDescent="0.25" r="435" customHeight="1" ht="19.5">
      <c r="A435" s="2" t="s">
        <v>1493</v>
      </c>
      <c r="B435" s="2" t="s">
        <v>1060</v>
      </c>
      <c r="C435" s="2" t="s">
        <v>31</v>
      </c>
      <c r="D435" s="2" t="s">
        <v>402</v>
      </c>
      <c r="E435" s="6">
        <v>1</v>
      </c>
      <c r="F435" s="6">
        <v>2</v>
      </c>
      <c r="G435" s="7">
        <v>0.8712641596794128</v>
      </c>
      <c r="H435" s="7">
        <v>53.0782484375</v>
      </c>
      <c r="I435" s="7">
        <v>31.39231588128129</v>
      </c>
      <c r="J435" s="7">
        <v>10.22064400495593</v>
      </c>
      <c r="K435" s="7">
        <v>5.672825230039045</v>
      </c>
      <c r="L435" s="7">
        <v>0.855854089509385</v>
      </c>
      <c r="M435" s="7">
        <v>0.6768302106034021</v>
      </c>
      <c r="N435" s="7">
        <v>0.369724201918031</v>
      </c>
      <c r="O435" s="7">
        <v>0.0611290485520582</v>
      </c>
      <c r="P435" s="7">
        <v>9.0831516101622</v>
      </c>
      <c r="Q435" s="7">
        <v>0.0808047196771074</v>
      </c>
      <c r="R435" s="7">
        <v>0.1502732747755851</v>
      </c>
      <c r="S435" s="7">
        <v>0.2066848230889098</v>
      </c>
      <c r="T435" s="7">
        <v>4.97787619346035</v>
      </c>
    </row>
    <row x14ac:dyDescent="0.25" r="436" customHeight="1" ht="19.5">
      <c r="A436" s="2" t="s">
        <v>1494</v>
      </c>
      <c r="B436" s="2" t="s">
        <v>1060</v>
      </c>
      <c r="C436" s="2" t="s">
        <v>31</v>
      </c>
      <c r="D436" s="2" t="s">
        <v>402</v>
      </c>
      <c r="E436" s="6">
        <v>1</v>
      </c>
      <c r="F436" s="6">
        <v>2</v>
      </c>
      <c r="G436" s="7">
        <v>0.8642351627349854</v>
      </c>
      <c r="H436" s="7">
        <v>53.2721921875</v>
      </c>
      <c r="I436" s="7">
        <v>31.74959609429256</v>
      </c>
      <c r="J436" s="7">
        <v>10.21284571031605</v>
      </c>
      <c r="K436" s="7">
        <v>5.781474499737932</v>
      </c>
      <c r="L436" s="7">
        <v>0.8542788475060511</v>
      </c>
      <c r="M436" s="7">
        <v>0.6641008302813547</v>
      </c>
      <c r="N436" s="7">
        <v>0.3688456233816078</v>
      </c>
      <c r="O436" s="7">
        <v>0.0592236156275378</v>
      </c>
      <c r="P436" s="7">
        <v>9.094720940402851</v>
      </c>
      <c r="Q436" s="7">
        <v>0.0792385632257059</v>
      </c>
      <c r="R436" s="7">
        <v>0.1492078363784335</v>
      </c>
      <c r="S436" s="7">
        <v>0.1994128382166598</v>
      </c>
      <c r="T436" s="7">
        <v>4.899231269585558</v>
      </c>
    </row>
    <row x14ac:dyDescent="0.25" r="437" customHeight="1" ht="19.5">
      <c r="A437" s="2" t="s">
        <v>1495</v>
      </c>
      <c r="B437" s="2" t="s">
        <v>1060</v>
      </c>
      <c r="C437" s="2" t="s">
        <v>31</v>
      </c>
      <c r="D437" s="2" t="s">
        <v>402</v>
      </c>
      <c r="E437" s="6">
        <v>1</v>
      </c>
      <c r="F437" s="6">
        <v>2</v>
      </c>
      <c r="G437" s="7">
        <v>0.8694876432418823</v>
      </c>
      <c r="H437" s="7">
        <v>53.4245765625</v>
      </c>
      <c r="I437" s="7">
        <v>31.55876782629847</v>
      </c>
      <c r="J437" s="7">
        <v>10.20458065594193</v>
      </c>
      <c r="K437" s="7">
        <v>5.677593683792603</v>
      </c>
      <c r="L437" s="7">
        <v>0.8538934706071294</v>
      </c>
      <c r="M437" s="7">
        <v>0.6740791217763777</v>
      </c>
      <c r="N437" s="7">
        <v>0.3670841642952037</v>
      </c>
      <c r="O437" s="7">
        <v>0.0582696299064343</v>
      </c>
      <c r="P437" s="7">
        <v>9.104192594131728</v>
      </c>
      <c r="Q437" s="7">
        <v>0.0804073304322065</v>
      </c>
      <c r="R437" s="7">
        <v>0.1501515579236261</v>
      </c>
      <c r="S437" s="7">
        <v>0.2038675041322981</v>
      </c>
      <c r="T437" s="7">
        <v>4.98571572458983</v>
      </c>
    </row>
    <row x14ac:dyDescent="0.25" r="438" customHeight="1" ht="19.5">
      <c r="A438" s="2" t="s">
        <v>1496</v>
      </c>
      <c r="B438" s="2" t="s">
        <v>1060</v>
      </c>
      <c r="C438" s="2" t="s">
        <v>31</v>
      </c>
      <c r="D438" s="2" t="s">
        <v>402</v>
      </c>
      <c r="E438" s="6">
        <v>1</v>
      </c>
      <c r="F438" s="6">
        <v>2</v>
      </c>
      <c r="G438" s="7">
        <v>0.8696771264076233</v>
      </c>
      <c r="H438" s="7">
        <v>52.97781328125</v>
      </c>
      <c r="I438" s="7">
        <v>31.55458551047719</v>
      </c>
      <c r="J438" s="7">
        <v>10.20947217619644</v>
      </c>
      <c r="K438" s="7">
        <v>5.870374792521057</v>
      </c>
      <c r="L438" s="7">
        <v>0.8570289123847151</v>
      </c>
      <c r="M438" s="7">
        <v>0.6686193372368622</v>
      </c>
      <c r="N438" s="7">
        <v>0.3677616628534697</v>
      </c>
      <c r="O438" s="7">
        <v>0.0576850932986368</v>
      </c>
      <c r="P438" s="7">
        <v>9.10227930816404</v>
      </c>
      <c r="Q438" s="7">
        <v>0.0795413440617281</v>
      </c>
      <c r="R438" s="7">
        <v>0.149846925507073</v>
      </c>
      <c r="S438" s="7">
        <v>0.2053045023473998</v>
      </c>
      <c r="T438" s="7">
        <v>4.890775564190866</v>
      </c>
    </row>
    <row x14ac:dyDescent="0.25" r="439" customHeight="1" ht="19.5">
      <c r="A439" s="2" t="s">
        <v>1497</v>
      </c>
      <c r="B439" s="2" t="s">
        <v>1060</v>
      </c>
      <c r="C439" s="2" t="s">
        <v>31</v>
      </c>
      <c r="D439" s="2" t="s">
        <v>402</v>
      </c>
      <c r="E439" s="6">
        <v>1</v>
      </c>
      <c r="F439" s="6">
        <v>2</v>
      </c>
      <c r="G439" s="7">
        <v>0.8650719523429871</v>
      </c>
      <c r="H439" s="7">
        <v>53.3414578125</v>
      </c>
      <c r="I439" s="7">
        <v>31.89167171633281</v>
      </c>
      <c r="J439" s="7">
        <v>10.20742890016443</v>
      </c>
      <c r="K439" s="7">
        <v>5.829923269265965</v>
      </c>
      <c r="L439" s="7">
        <v>0.8545766990913088</v>
      </c>
      <c r="M439" s="7">
        <v>0.6590527474388017</v>
      </c>
      <c r="N439" s="7">
        <v>0.3649605403417824</v>
      </c>
      <c r="O439" s="7">
        <v>0.0587109439388091</v>
      </c>
      <c r="P439" s="7">
        <v>9.118138521083331</v>
      </c>
      <c r="Q439" s="7">
        <v>0.0803158647143179</v>
      </c>
      <c r="R439" s="7">
        <v>0.1510642716373013</v>
      </c>
      <c r="S439" s="7">
        <v>0.202786926888903</v>
      </c>
      <c r="T439" s="7">
        <v>4.972296298453969</v>
      </c>
    </row>
    <row x14ac:dyDescent="0.25" r="440" customHeight="1" ht="19.5">
      <c r="A440" s="2" t="s">
        <v>1498</v>
      </c>
      <c r="B440" s="2" t="s">
        <v>1060</v>
      </c>
      <c r="C440" s="2" t="s">
        <v>31</v>
      </c>
      <c r="D440" s="2" t="s">
        <v>402</v>
      </c>
      <c r="E440" s="6">
        <v>1</v>
      </c>
      <c r="F440" s="6">
        <v>2</v>
      </c>
      <c r="G440" s="7">
        <v>0.8627761006355286</v>
      </c>
      <c r="H440" s="7">
        <v>52.8565984375</v>
      </c>
      <c r="I440" s="7">
        <v>32.04802665777216</v>
      </c>
      <c r="J440" s="7">
        <v>10.31918085188961</v>
      </c>
      <c r="K440" s="7">
        <v>5.932984350591644</v>
      </c>
      <c r="L440" s="7">
        <v>0.8599294783395235</v>
      </c>
      <c r="M440" s="7">
        <v>0.6467054017370234</v>
      </c>
      <c r="N440" s="7">
        <v>0.4153373320503577</v>
      </c>
      <c r="O440" s="7">
        <v>0.0681430576972315</v>
      </c>
      <c r="P440" s="7">
        <v>8.825230745866252</v>
      </c>
      <c r="Q440" s="7">
        <v>0.0793002869717878</v>
      </c>
      <c r="R440" s="7">
        <v>0.1468337723921609</v>
      </c>
      <c r="S440" s="7">
        <v>0.1913708951061101</v>
      </c>
      <c r="T440" s="7">
        <v>4.864797305738663</v>
      </c>
    </row>
    <row x14ac:dyDescent="0.25" r="441" customHeight="1" ht="19.5">
      <c r="A441" s="2" t="s">
        <v>1499</v>
      </c>
      <c r="B441" s="2" t="s">
        <v>1060</v>
      </c>
      <c r="C441" s="2" t="s">
        <v>31</v>
      </c>
      <c r="D441" s="2" t="s">
        <v>402</v>
      </c>
      <c r="E441" s="6">
        <v>1</v>
      </c>
      <c r="F441" s="6">
        <v>2</v>
      </c>
      <c r="G441" s="7">
        <v>0.7083299160003662</v>
      </c>
      <c r="H441" s="7">
        <v>49.0746953125</v>
      </c>
      <c r="I441" s="7">
        <v>29.38688669540802</v>
      </c>
      <c r="J441" s="7">
        <v>9.307097857958423</v>
      </c>
      <c r="K441" s="7">
        <v>5.315374718560199</v>
      </c>
      <c r="L441" s="7">
        <v>0.8353666676847221</v>
      </c>
      <c r="M441" s="7">
        <v>0.7141021142965305</v>
      </c>
      <c r="N441" s="7">
        <v>0.6248868475829017</v>
      </c>
      <c r="O441" s="7">
        <v>0.0924113403804647</v>
      </c>
      <c r="P441" s="7">
        <v>7.390092853980356</v>
      </c>
      <c r="Q441" s="7">
        <v>0.0454511964979633</v>
      </c>
      <c r="R441" s="7">
        <v>0.0756750595285165</v>
      </c>
      <c r="S441" s="7">
        <v>0.0949825589804858</v>
      </c>
      <c r="T441" s="7">
        <v>2.588771462177407</v>
      </c>
    </row>
    <row x14ac:dyDescent="0.25" r="442" customHeight="1" ht="19.5">
      <c r="A442" s="2" t="s">
        <v>1500</v>
      </c>
      <c r="B442" s="2" t="s">
        <v>1060</v>
      </c>
      <c r="C442" s="2" t="s">
        <v>31</v>
      </c>
      <c r="D442" s="2" t="s">
        <v>402</v>
      </c>
      <c r="E442" s="6">
        <v>1</v>
      </c>
      <c r="F442" s="6">
        <v>2</v>
      </c>
      <c r="G442" s="7">
        <v>0.5525177717208862</v>
      </c>
      <c r="H442" s="7">
        <v>47.3776875</v>
      </c>
      <c r="I442" s="7">
        <v>30.00985651727943</v>
      </c>
      <c r="J442" s="7">
        <v>10.33631114232424</v>
      </c>
      <c r="K442" s="7">
        <v>4.826772053137526</v>
      </c>
      <c r="L442" s="7">
        <v>0.8965704673726429</v>
      </c>
      <c r="M442" s="7">
        <v>0.6610828414272193</v>
      </c>
      <c r="N442" s="7">
        <v>0.5486152379511884</v>
      </c>
      <c r="O442" s="7">
        <v>0.0748362034525657</v>
      </c>
      <c r="P442" s="7">
        <v>8.158715796204904</v>
      </c>
      <c r="Q442" s="7">
        <v>0.0640699148570661</v>
      </c>
      <c r="R442" s="7">
        <v>0.1155217038603271</v>
      </c>
      <c r="S442" s="7">
        <v>0.1334810916345437</v>
      </c>
      <c r="T442" s="7">
        <v>3.523049830589863</v>
      </c>
    </row>
    <row x14ac:dyDescent="0.25" r="443" customHeight="1" ht="19.5">
      <c r="A443" s="2" t="s">
        <v>1501</v>
      </c>
      <c r="B443" s="2" t="s">
        <v>1060</v>
      </c>
      <c r="C443" s="2" t="s">
        <v>31</v>
      </c>
      <c r="D443" s="2" t="s">
        <v>402</v>
      </c>
      <c r="E443" s="6">
        <v>1</v>
      </c>
      <c r="F443" s="6">
        <v>2</v>
      </c>
      <c r="G443" s="7">
        <v>0.7813767790794373</v>
      </c>
      <c r="H443" s="7">
        <v>55.0315390625</v>
      </c>
      <c r="I443" s="7">
        <v>31.49119475914893</v>
      </c>
      <c r="J443" s="7">
        <v>10.27403015134522</v>
      </c>
      <c r="K443" s="7">
        <v>5.529725569876954</v>
      </c>
      <c r="L443" s="7">
        <v>0.8572895379853211</v>
      </c>
      <c r="M443" s="7">
        <v>0.6973378640727449</v>
      </c>
      <c r="N443" s="7">
        <v>0.4994070011530368</v>
      </c>
      <c r="O443" s="7">
        <v>0.0677593695754581</v>
      </c>
      <c r="P443" s="7">
        <v>8.415212102620943</v>
      </c>
      <c r="Q443" s="7">
        <v>0.0765121422796837</v>
      </c>
      <c r="R443" s="7">
        <v>0.1359499727699393</v>
      </c>
      <c r="S443" s="7">
        <v>0.1768264395070169</v>
      </c>
      <c r="T443" s="7">
        <v>4.886892671860423</v>
      </c>
    </row>
    <row x14ac:dyDescent="0.25" r="444" customHeight="1" ht="19.5">
      <c r="A444" s="2" t="s">
        <v>1502</v>
      </c>
      <c r="B444" s="2" t="s">
        <v>1060</v>
      </c>
      <c r="C444" s="2" t="s">
        <v>31</v>
      </c>
      <c r="D444" s="2" t="s">
        <v>402</v>
      </c>
      <c r="E444" s="6">
        <v>1</v>
      </c>
      <c r="F444" s="6">
        <v>2</v>
      </c>
      <c r="G444" s="7">
        <v>0.8225622773170471</v>
      </c>
      <c r="H444" s="7">
        <v>53.750125</v>
      </c>
      <c r="I444" s="7">
        <v>31.34111329144148</v>
      </c>
      <c r="J444" s="7">
        <v>10.13110336135256</v>
      </c>
      <c r="K444" s="7">
        <v>5.455158013657712</v>
      </c>
      <c r="L444" s="7">
        <v>0.8568144391905522</v>
      </c>
      <c r="M444" s="7">
        <v>0.6876390061759726</v>
      </c>
      <c r="N444" s="7">
        <v>0.4461899683566059</v>
      </c>
      <c r="O444" s="7">
        <v>0.0616035986854826</v>
      </c>
      <c r="P444" s="7">
        <v>8.70388959291108</v>
      </c>
      <c r="Q444" s="7">
        <v>0.0840939660711087</v>
      </c>
      <c r="R444" s="7">
        <v>0.1501544342060657</v>
      </c>
      <c r="S444" s="7">
        <v>0.2090787297335602</v>
      </c>
      <c r="T444" s="7">
        <v>5.246082233393803</v>
      </c>
    </row>
    <row x14ac:dyDescent="0.25" r="445" customHeight="1" ht="19.5">
      <c r="A445" s="2" t="s">
        <v>1503</v>
      </c>
      <c r="B445" s="2" t="s">
        <v>1060</v>
      </c>
      <c r="C445" s="2" t="s">
        <v>31</v>
      </c>
      <c r="D445" s="2" t="s">
        <v>402</v>
      </c>
      <c r="E445" s="6">
        <v>1</v>
      </c>
      <c r="F445" s="6">
        <v>2</v>
      </c>
      <c r="G445" s="7">
        <v>0.8304568529129028</v>
      </c>
      <c r="H445" s="7">
        <v>54.5189734375</v>
      </c>
      <c r="I445" s="7">
        <v>31.32474281413176</v>
      </c>
      <c r="J445" s="7">
        <v>10.12237897106905</v>
      </c>
      <c r="K445" s="7">
        <v>5.51060339341206</v>
      </c>
      <c r="L445" s="7">
        <v>0.8549578097809998</v>
      </c>
      <c r="M445" s="7">
        <v>0.6982042784582101</v>
      </c>
      <c r="N445" s="7">
        <v>0.4248082916248479</v>
      </c>
      <c r="O445" s="7">
        <v>0.0597841870522065</v>
      </c>
      <c r="P445" s="7">
        <v>8.797573652793844</v>
      </c>
      <c r="Q445" s="7">
        <v>0.0898999233688262</v>
      </c>
      <c r="R445" s="7">
        <v>0.1526030718372337</v>
      </c>
      <c r="S445" s="7">
        <v>0.209570892556826</v>
      </c>
      <c r="T445" s="7">
        <v>5.688500116485822</v>
      </c>
    </row>
    <row x14ac:dyDescent="0.25" r="446" customHeight="1" ht="19.5">
      <c r="A446" s="2" t="s">
        <v>1504</v>
      </c>
      <c r="B446" s="2" t="s">
        <v>1060</v>
      </c>
      <c r="C446" s="2" t="s">
        <v>31</v>
      </c>
      <c r="D446" s="2" t="s">
        <v>402</v>
      </c>
      <c r="E446" s="6">
        <v>1</v>
      </c>
      <c r="F446" s="6">
        <v>2</v>
      </c>
      <c r="G446" s="7">
        <v>0.8197795152664185</v>
      </c>
      <c r="H446" s="7">
        <v>54.00987109375</v>
      </c>
      <c r="I446" s="7">
        <v>31.45881259050482</v>
      </c>
      <c r="J446" s="7">
        <v>10.18830816473264</v>
      </c>
      <c r="K446" s="7">
        <v>5.456378059539111</v>
      </c>
      <c r="L446" s="7">
        <v>0.857922095142417</v>
      </c>
      <c r="M446" s="7">
        <v>0.6858013763427225</v>
      </c>
      <c r="N446" s="7">
        <v>0.4250803303325761</v>
      </c>
      <c r="O446" s="7">
        <v>0.0590628829364272</v>
      </c>
      <c r="P446" s="7">
        <v>8.812712977080507</v>
      </c>
      <c r="Q446" s="7">
        <v>0.0900565395367274</v>
      </c>
      <c r="R446" s="7">
        <v>0.152709162037294</v>
      </c>
      <c r="S446" s="7">
        <v>0.2091830025932193</v>
      </c>
      <c r="T446" s="7">
        <v>5.645197958377177</v>
      </c>
    </row>
    <row x14ac:dyDescent="0.25" r="447" customHeight="1" ht="19.5">
      <c r="A447" s="2" t="s">
        <v>1505</v>
      </c>
      <c r="B447" s="2" t="s">
        <v>1060</v>
      </c>
      <c r="C447" s="2" t="s">
        <v>31</v>
      </c>
      <c r="D447" s="2" t="s">
        <v>402</v>
      </c>
      <c r="E447" s="6">
        <v>1</v>
      </c>
      <c r="F447" s="6">
        <v>2</v>
      </c>
      <c r="G447" s="7">
        <v>0.8258445858955383</v>
      </c>
      <c r="H447" s="7">
        <v>53.95445859375</v>
      </c>
      <c r="I447" s="7">
        <v>31.32474281413176</v>
      </c>
      <c r="J447" s="7">
        <v>10.19941797773101</v>
      </c>
      <c r="K447" s="7">
        <v>5.461475251236086</v>
      </c>
      <c r="L447" s="7">
        <v>0.8582655622369378</v>
      </c>
      <c r="M447" s="7">
        <v>0.6909747461631595</v>
      </c>
      <c r="N447" s="7">
        <v>0.4270853142371455</v>
      </c>
      <c r="O447" s="7">
        <v>0.0595005456373674</v>
      </c>
      <c r="P447" s="7">
        <v>8.787570172971432</v>
      </c>
      <c r="Q447" s="7">
        <v>0.0901488047531549</v>
      </c>
      <c r="R447" s="7">
        <v>0.1523242365728106</v>
      </c>
      <c r="S447" s="7">
        <v>0.21259145085173</v>
      </c>
      <c r="T447" s="7">
        <v>5.645183870518484</v>
      </c>
    </row>
    <row x14ac:dyDescent="0.25" r="448" customHeight="1" ht="19.5">
      <c r="A448" s="2" t="s">
        <v>1506</v>
      </c>
      <c r="B448" s="2" t="s">
        <v>1060</v>
      </c>
      <c r="C448" s="2" t="s">
        <v>31</v>
      </c>
      <c r="D448" s="2" t="s">
        <v>402</v>
      </c>
      <c r="E448" s="6">
        <v>1</v>
      </c>
      <c r="F448" s="6">
        <v>2</v>
      </c>
      <c r="G448" s="7">
        <v>0.8279969096183777</v>
      </c>
      <c r="H448" s="7">
        <v>53.83324375</v>
      </c>
      <c r="I448" s="7">
        <v>31.32474281413176</v>
      </c>
      <c r="J448" s="7">
        <v>10.19780234405097</v>
      </c>
      <c r="K448" s="7">
        <v>5.4607342133872</v>
      </c>
      <c r="L448" s="7">
        <v>0.8588999608698771</v>
      </c>
      <c r="M448" s="7">
        <v>0.6894223926028724</v>
      </c>
      <c r="N448" s="7">
        <v>0.4264740271922749</v>
      </c>
      <c r="O448" s="7">
        <v>0.0598421224367673</v>
      </c>
      <c r="P448" s="7">
        <v>8.788143290967469</v>
      </c>
      <c r="Q448" s="7">
        <v>0.0892298257940168</v>
      </c>
      <c r="R448" s="7">
        <v>0.1508369803206946</v>
      </c>
      <c r="S448" s="7">
        <v>0.2093575890465842</v>
      </c>
      <c r="T448" s="7">
        <v>5.575083475077851</v>
      </c>
    </row>
    <row x14ac:dyDescent="0.25" r="449" customHeight="1" ht="19.5">
      <c r="A449" s="2" t="s">
        <v>1507</v>
      </c>
      <c r="B449" s="2" t="s">
        <v>1060</v>
      </c>
      <c r="C449" s="2" t="s">
        <v>31</v>
      </c>
      <c r="D449" s="2" t="s">
        <v>402</v>
      </c>
      <c r="E449" s="6">
        <v>1</v>
      </c>
      <c r="F449" s="6">
        <v>2</v>
      </c>
      <c r="G449" s="7">
        <v>0.8224177956581116</v>
      </c>
      <c r="H449" s="7">
        <v>53.83324375</v>
      </c>
      <c r="I449" s="7">
        <v>31.45881259050482</v>
      </c>
      <c r="J449" s="7">
        <v>10.16589990413535</v>
      </c>
      <c r="K449" s="7">
        <v>5.444958350443184</v>
      </c>
      <c r="L449" s="7">
        <v>0.8586951561686517</v>
      </c>
      <c r="M449" s="7">
        <v>0.6835586145476934</v>
      </c>
      <c r="N449" s="7">
        <v>0.4280186641802379</v>
      </c>
      <c r="O449" s="7">
        <v>0.0599953759285056</v>
      </c>
      <c r="P449" s="7">
        <v>8.799322766617209</v>
      </c>
      <c r="Q449" s="7">
        <v>0.0897736264411576</v>
      </c>
      <c r="R449" s="7">
        <v>0.1527237292520599</v>
      </c>
      <c r="S449" s="7">
        <v>0.2097344559103673</v>
      </c>
      <c r="T449" s="7">
        <v>5.609060163641718</v>
      </c>
    </row>
    <row x14ac:dyDescent="0.25" r="450" customHeight="1" ht="19.5">
      <c r="A450" s="2" t="s">
        <v>1508</v>
      </c>
      <c r="B450" s="2" t="s">
        <v>1060</v>
      </c>
      <c r="C450" s="2" t="s">
        <v>31</v>
      </c>
      <c r="D450" s="2" t="s">
        <v>402</v>
      </c>
      <c r="E450" s="6">
        <v>1</v>
      </c>
      <c r="F450" s="6">
        <v>2</v>
      </c>
      <c r="G450" s="7">
        <v>0.8171838521957397</v>
      </c>
      <c r="H450" s="7">
        <v>53.93367890625</v>
      </c>
      <c r="I450" s="7">
        <v>31.42224810603944</v>
      </c>
      <c r="J450" s="7">
        <v>10.18653869360639</v>
      </c>
      <c r="K450" s="7">
        <v>5.455565904692391</v>
      </c>
      <c r="L450" s="7">
        <v>0.8582130743800812</v>
      </c>
      <c r="M450" s="7">
        <v>0.6864286511163387</v>
      </c>
      <c r="N450" s="7">
        <v>0.4271060794011554</v>
      </c>
      <c r="O450" s="7">
        <v>0.05957280901445</v>
      </c>
      <c r="P450" s="7">
        <v>8.793019510869804</v>
      </c>
      <c r="Q450" s="7">
        <v>0.0916062738191394</v>
      </c>
      <c r="R450" s="7">
        <v>0.1546384724890702</v>
      </c>
      <c r="S450" s="7">
        <v>0.2094421700220536</v>
      </c>
      <c r="T450" s="7">
        <v>5.734242344283491</v>
      </c>
    </row>
    <row x14ac:dyDescent="0.25" r="451" customHeight="1" ht="19.5">
      <c r="A451" s="2" t="s">
        <v>1509</v>
      </c>
      <c r="B451" s="2" t="s">
        <v>1060</v>
      </c>
      <c r="C451" s="2" t="s">
        <v>31</v>
      </c>
      <c r="D451" s="2" t="s">
        <v>402</v>
      </c>
      <c r="E451" s="6">
        <v>1</v>
      </c>
      <c r="F451" s="6">
        <v>2</v>
      </c>
      <c r="G451" s="7">
        <v>0.8291088342666626</v>
      </c>
      <c r="H451" s="7">
        <v>54.4704875</v>
      </c>
      <c r="I451" s="7">
        <v>31.47100075199327</v>
      </c>
      <c r="J451" s="7">
        <v>10.12253262162155</v>
      </c>
      <c r="K451" s="7">
        <v>5.505042661496882</v>
      </c>
      <c r="L451" s="7">
        <v>0.8552804226979008</v>
      </c>
      <c r="M451" s="7">
        <v>0.6911145233205398</v>
      </c>
      <c r="N451" s="7">
        <v>0.4267182667423085</v>
      </c>
      <c r="O451" s="7">
        <v>0.0595471218619867</v>
      </c>
      <c r="P451" s="7">
        <v>8.802374346276437</v>
      </c>
      <c r="Q451" s="7">
        <v>0.090663899017</v>
      </c>
      <c r="R451" s="7">
        <v>0.1544106552036422</v>
      </c>
      <c r="S451" s="7">
        <v>0.2125473020104669</v>
      </c>
      <c r="T451" s="7">
        <v>5.731739370367981</v>
      </c>
    </row>
    <row x14ac:dyDescent="0.25" r="452" customHeight="1" ht="19.5">
      <c r="A452" s="2" t="s">
        <v>1510</v>
      </c>
      <c r="B452" s="2" t="s">
        <v>1060</v>
      </c>
      <c r="C452" s="2" t="s">
        <v>31</v>
      </c>
      <c r="D452" s="2" t="s">
        <v>402</v>
      </c>
      <c r="E452" s="6">
        <v>1</v>
      </c>
      <c r="F452" s="6">
        <v>2</v>
      </c>
      <c r="G452" s="7">
        <v>0.8227083086967468</v>
      </c>
      <c r="H452" s="7">
        <v>54.57784921875</v>
      </c>
      <c r="I452" s="7">
        <v>31.55422672450186</v>
      </c>
      <c r="J452" s="7">
        <v>10.16835404819795</v>
      </c>
      <c r="K452" s="7">
        <v>5.506203739763773</v>
      </c>
      <c r="L452" s="7">
        <v>0.854688921475111</v>
      </c>
      <c r="M452" s="7">
        <v>0.6888286430479885</v>
      </c>
      <c r="N452" s="7">
        <v>0.4241175104493642</v>
      </c>
      <c r="O452" s="7">
        <v>0.0592750739131224</v>
      </c>
      <c r="P452" s="7">
        <v>8.80729536069918</v>
      </c>
      <c r="Q452" s="7">
        <v>0.0911027002940434</v>
      </c>
      <c r="R452" s="7">
        <v>0.1546925931535781</v>
      </c>
      <c r="S452" s="7">
        <v>0.2097363851965956</v>
      </c>
      <c r="T452" s="7">
        <v>5.770832207199791</v>
      </c>
    </row>
    <row x14ac:dyDescent="0.25" r="453" customHeight="1" ht="19.5">
      <c r="A453" s="2" t="s">
        <v>1511</v>
      </c>
      <c r="B453" s="2" t="s">
        <v>1060</v>
      </c>
      <c r="C453" s="2" t="s">
        <v>31</v>
      </c>
      <c r="D453" s="2" t="s">
        <v>402</v>
      </c>
      <c r="E453" s="6">
        <v>1</v>
      </c>
      <c r="F453" s="6">
        <v>2</v>
      </c>
      <c r="G453" s="7">
        <v>0.8205381035804749</v>
      </c>
      <c r="H453" s="7">
        <v>53.98562812500001</v>
      </c>
      <c r="I453" s="7">
        <v>31.45881259050482</v>
      </c>
      <c r="J453" s="7">
        <v>10.19089702203873</v>
      </c>
      <c r="K453" s="7">
        <v>5.460081028541181</v>
      </c>
      <c r="L453" s="7">
        <v>0.8578950973994024</v>
      </c>
      <c r="M453" s="7">
        <v>0.6854935462924244</v>
      </c>
      <c r="N453" s="7">
        <v>0.4259932845023347</v>
      </c>
      <c r="O453" s="7">
        <v>0.0594100887820524</v>
      </c>
      <c r="P453" s="7">
        <v>8.805142247368018</v>
      </c>
      <c r="Q453" s="7">
        <v>0.0913427140059118</v>
      </c>
      <c r="R453" s="7">
        <v>0.1555714201631702</v>
      </c>
      <c r="S453" s="7">
        <v>0.2085568053192048</v>
      </c>
      <c r="T453" s="7">
        <v>5.723251756137803</v>
      </c>
    </row>
    <row x14ac:dyDescent="0.25" r="454" customHeight="1" ht="19.5">
      <c r="A454" s="2" t="s">
        <v>1512</v>
      </c>
      <c r="B454" s="2" t="s">
        <v>1060</v>
      </c>
      <c r="C454" s="2" t="s">
        <v>31</v>
      </c>
      <c r="D454" s="2" t="s">
        <v>402</v>
      </c>
      <c r="E454" s="6">
        <v>1</v>
      </c>
      <c r="F454" s="6">
        <v>2</v>
      </c>
      <c r="G454" s="7">
        <v>0.8314523696899414</v>
      </c>
      <c r="H454" s="7">
        <v>54.373515625</v>
      </c>
      <c r="I454" s="7">
        <v>31.56850604390096</v>
      </c>
      <c r="J454" s="7">
        <v>10.1743115908058</v>
      </c>
      <c r="K454" s="7">
        <v>5.507562650914165</v>
      </c>
      <c r="L454" s="7">
        <v>0.8558063079375715</v>
      </c>
      <c r="M454" s="7">
        <v>0.6856290631921539</v>
      </c>
      <c r="N454" s="7">
        <v>0.4275404735981055</v>
      </c>
      <c r="O454" s="7">
        <v>0.059717717937237</v>
      </c>
      <c r="P454" s="7">
        <v>8.798754194034254</v>
      </c>
      <c r="Q454" s="7">
        <v>0.0903586256303823</v>
      </c>
      <c r="R454" s="7">
        <v>0.1544890957704822</v>
      </c>
      <c r="S454" s="7">
        <v>0.2105520620321375</v>
      </c>
      <c r="T454" s="7">
        <v>5.702270441418359</v>
      </c>
    </row>
    <row x14ac:dyDescent="0.25" r="455" customHeight="1" ht="19.5">
      <c r="A455" s="2" t="s">
        <v>1513</v>
      </c>
      <c r="B455" s="2" t="s">
        <v>1060</v>
      </c>
      <c r="C455" s="2" t="s">
        <v>31</v>
      </c>
      <c r="D455" s="2" t="s">
        <v>402</v>
      </c>
      <c r="E455" s="6">
        <v>1</v>
      </c>
      <c r="F455" s="6">
        <v>2</v>
      </c>
      <c r="G455" s="7">
        <v>0.8235140442848206</v>
      </c>
      <c r="H455" s="7">
        <v>53.88519296875</v>
      </c>
      <c r="I455" s="7">
        <v>31.41005994455098</v>
      </c>
      <c r="J455" s="7">
        <v>10.18892544247159</v>
      </c>
      <c r="K455" s="7">
        <v>5.456661358111869</v>
      </c>
      <c r="L455" s="7">
        <v>0.8585050248869799</v>
      </c>
      <c r="M455" s="7">
        <v>0.6863438965992384</v>
      </c>
      <c r="N455" s="7">
        <v>0.4251202834308832</v>
      </c>
      <c r="O455" s="7">
        <v>0.0594766824896451</v>
      </c>
      <c r="P455" s="7">
        <v>8.805258022726226</v>
      </c>
      <c r="Q455" s="7">
        <v>0.0912557768688407</v>
      </c>
      <c r="R455" s="7">
        <v>0.1543896664733302</v>
      </c>
      <c r="S455" s="7">
        <v>0.2094819191087991</v>
      </c>
      <c r="T455" s="7">
        <v>5.707167109517892</v>
      </c>
    </row>
    <row x14ac:dyDescent="0.25" r="456" customHeight="1" ht="19.5">
      <c r="A456" s="2" t="s">
        <v>1514</v>
      </c>
      <c r="B456" s="2" t="s">
        <v>1060</v>
      </c>
      <c r="C456" s="2" t="s">
        <v>31</v>
      </c>
      <c r="D456" s="2" t="s">
        <v>402</v>
      </c>
      <c r="E456" s="6">
        <v>1</v>
      </c>
      <c r="F456" s="6">
        <v>2</v>
      </c>
      <c r="G456" s="7">
        <v>0.8298094272613525</v>
      </c>
      <c r="H456" s="7">
        <v>54.11030625</v>
      </c>
      <c r="I456" s="7">
        <v>31.43652742543853</v>
      </c>
      <c r="J456" s="7">
        <v>10.1073918404907</v>
      </c>
      <c r="K456" s="7">
        <v>5.503810107831027</v>
      </c>
      <c r="L456" s="7">
        <v>0.8537857681549017</v>
      </c>
      <c r="M456" s="7">
        <v>0.6880511465769996</v>
      </c>
      <c r="N456" s="7">
        <v>0.4289240743597754</v>
      </c>
      <c r="O456" s="7">
        <v>0.0599608083799189</v>
      </c>
      <c r="P456" s="7">
        <v>8.791074801250968</v>
      </c>
      <c r="Q456" s="7">
        <v>0.0835126969491641</v>
      </c>
      <c r="R456" s="7">
        <v>0.1508593544966797</v>
      </c>
      <c r="S456" s="7">
        <v>0.2107999473246341</v>
      </c>
      <c r="T456" s="7">
        <v>5.244731756457406</v>
      </c>
    </row>
    <row x14ac:dyDescent="0.25" r="457" customHeight="1" ht="19.5">
      <c r="A457" s="2" t="s">
        <v>1515</v>
      </c>
      <c r="B457" s="2" t="s">
        <v>1060</v>
      </c>
      <c r="C457" s="2" t="s">
        <v>31</v>
      </c>
      <c r="D457" s="2" t="s">
        <v>402</v>
      </c>
      <c r="E457" s="6">
        <v>1</v>
      </c>
      <c r="F457" s="6">
        <v>2</v>
      </c>
      <c r="G457" s="7">
        <v>0.8146787881851196</v>
      </c>
      <c r="H457" s="7">
        <v>53.89211953125</v>
      </c>
      <c r="I457" s="7">
        <v>31.33902213353085</v>
      </c>
      <c r="J457" s="7">
        <v>10.12082064491122</v>
      </c>
      <c r="K457" s="7">
        <v>5.427686536818589</v>
      </c>
      <c r="L457" s="7">
        <v>0.8587104343068559</v>
      </c>
      <c r="M457" s="7">
        <v>0.6895475919224942</v>
      </c>
      <c r="N457" s="7">
        <v>0.4262630008997625</v>
      </c>
      <c r="O457" s="7">
        <v>0.0593096036919133</v>
      </c>
      <c r="P457" s="7">
        <v>8.81479057243481</v>
      </c>
      <c r="Q457" s="7">
        <v>0.0921397730393147</v>
      </c>
      <c r="R457" s="7">
        <v>0.1555315491447902</v>
      </c>
      <c r="S457" s="7">
        <v>0.2096163397915857</v>
      </c>
      <c r="T457" s="7">
        <v>5.763193251349779</v>
      </c>
    </row>
    <row x14ac:dyDescent="0.25" r="458" customHeight="1" ht="19.5">
      <c r="A458" s="2" t="s">
        <v>1516</v>
      </c>
      <c r="B458" s="2" t="s">
        <v>1060</v>
      </c>
      <c r="C458" s="2" t="s">
        <v>31</v>
      </c>
      <c r="D458" s="2" t="s">
        <v>402</v>
      </c>
      <c r="E458" s="6">
        <v>1</v>
      </c>
      <c r="F458" s="6">
        <v>2</v>
      </c>
      <c r="G458" s="7">
        <v>0.8284680843353271</v>
      </c>
      <c r="H458" s="7">
        <v>54.4704875</v>
      </c>
      <c r="I458" s="7">
        <v>31.47100075199327</v>
      </c>
      <c r="J458" s="7">
        <v>10.12124705242517</v>
      </c>
      <c r="K458" s="7">
        <v>5.507827775878527</v>
      </c>
      <c r="L458" s="7">
        <v>0.8552446298301528</v>
      </c>
      <c r="M458" s="7">
        <v>0.6911145233205398</v>
      </c>
      <c r="N458" s="7">
        <v>0.4288344133118226</v>
      </c>
      <c r="O458" s="7">
        <v>0.0595894722800873</v>
      </c>
      <c r="P458" s="7">
        <v>8.803572520546771</v>
      </c>
      <c r="Q458" s="7">
        <v>0.0895667330697279</v>
      </c>
      <c r="R458" s="7">
        <v>0.1536303940307781</v>
      </c>
      <c r="S458" s="7">
        <v>0.209598341250263</v>
      </c>
      <c r="T458" s="7">
        <v>5.662376930367166</v>
      </c>
    </row>
    <row x14ac:dyDescent="0.25" r="459" customHeight="1" ht="19.5">
      <c r="A459" s="2" t="s">
        <v>1517</v>
      </c>
      <c r="B459" s="2" t="s">
        <v>1060</v>
      </c>
      <c r="C459" s="2" t="s">
        <v>31</v>
      </c>
      <c r="D459" s="2" t="s">
        <v>402</v>
      </c>
      <c r="E459" s="6">
        <v>1</v>
      </c>
      <c r="F459" s="6">
        <v>2</v>
      </c>
      <c r="G459" s="7">
        <v>0.8308880925178528</v>
      </c>
      <c r="H459" s="7">
        <v>54.40468515625</v>
      </c>
      <c r="I459" s="7">
        <v>31.42224810603944</v>
      </c>
      <c r="J459" s="7">
        <v>10.17173579622251</v>
      </c>
      <c r="K459" s="7">
        <v>5.506464279434388</v>
      </c>
      <c r="L459" s="7">
        <v>0.8554122006965762</v>
      </c>
      <c r="M459" s="7">
        <v>0.6924232762079601</v>
      </c>
      <c r="N459" s="7">
        <v>0.4257845817898762</v>
      </c>
      <c r="O459" s="7">
        <v>0.0594223753273194</v>
      </c>
      <c r="P459" s="7">
        <v>8.810823425911337</v>
      </c>
      <c r="Q459" s="7">
        <v>0.0912508706014228</v>
      </c>
      <c r="R459" s="7">
        <v>0.1549635462278374</v>
      </c>
      <c r="S459" s="7">
        <v>0.2111352986397129</v>
      </c>
      <c r="T459" s="7">
        <v>5.761878525599449</v>
      </c>
    </row>
    <row x14ac:dyDescent="0.25" r="460" customHeight="1" ht="19.5">
      <c r="A460" s="2" t="s">
        <v>1518</v>
      </c>
      <c r="B460" s="2" t="s">
        <v>1060</v>
      </c>
      <c r="C460" s="2" t="s">
        <v>31</v>
      </c>
      <c r="D460" s="2" t="s">
        <v>402</v>
      </c>
      <c r="E460" s="6">
        <v>1</v>
      </c>
      <c r="F460" s="6">
        <v>2</v>
      </c>
      <c r="G460" s="7">
        <v>0.8187175393104553</v>
      </c>
      <c r="H460" s="7">
        <v>53.90597265625</v>
      </c>
      <c r="I460" s="7">
        <v>31.42224810603944</v>
      </c>
      <c r="J460" s="7">
        <v>10.18417620177142</v>
      </c>
      <c r="K460" s="7">
        <v>5.453717080949266</v>
      </c>
      <c r="L460" s="7">
        <v>0.8584855084845869</v>
      </c>
      <c r="M460" s="7">
        <v>0.6860760261109491</v>
      </c>
      <c r="N460" s="7">
        <v>0.4281415624066592</v>
      </c>
      <c r="O460" s="7">
        <v>0.0595875038829705</v>
      </c>
      <c r="P460" s="7">
        <v>8.802291088866308</v>
      </c>
      <c r="Q460" s="7">
        <v>0.09079556076315</v>
      </c>
      <c r="R460" s="7">
        <v>0.1539150458719576</v>
      </c>
      <c r="S460" s="7">
        <v>0.2109966427376921</v>
      </c>
      <c r="T460" s="7">
        <v>5.680574788173577</v>
      </c>
    </row>
    <row x14ac:dyDescent="0.25" r="461" customHeight="1" ht="19.5">
      <c r="A461" s="2" t="s">
        <v>1519</v>
      </c>
      <c r="B461" s="2" t="s">
        <v>1060</v>
      </c>
      <c r="C461" s="2" t="s">
        <v>31</v>
      </c>
      <c r="D461" s="2" t="s">
        <v>402</v>
      </c>
      <c r="E461" s="6">
        <v>1</v>
      </c>
      <c r="F461" s="6">
        <v>2</v>
      </c>
      <c r="G461" s="7">
        <v>0.8169489502906799</v>
      </c>
      <c r="H461" s="7">
        <v>53.83670703125</v>
      </c>
      <c r="I461" s="7">
        <v>31.42224810603944</v>
      </c>
      <c r="J461" s="7">
        <v>10.17323706927238</v>
      </c>
      <c r="K461" s="7">
        <v>5.44752481448118</v>
      </c>
      <c r="L461" s="7">
        <v>0.8588851571410199</v>
      </c>
      <c r="M461" s="7">
        <v>0.6851944635974754</v>
      </c>
      <c r="N461" s="7">
        <v>0.428421615890337</v>
      </c>
      <c r="O461" s="7">
        <v>0.0598194576001026</v>
      </c>
      <c r="P461" s="7">
        <v>8.792603641819607</v>
      </c>
      <c r="Q461" s="7">
        <v>0.0919886441039933</v>
      </c>
      <c r="R461" s="7">
        <v>0.1547219265443103</v>
      </c>
      <c r="S461" s="7">
        <v>0.2097400696827244</v>
      </c>
      <c r="T461" s="7">
        <v>5.747824319400861</v>
      </c>
    </row>
    <row x14ac:dyDescent="0.25" r="462" customHeight="1" ht="19.5">
      <c r="A462" s="2" t="s">
        <v>1520</v>
      </c>
      <c r="B462" s="2" t="s">
        <v>1060</v>
      </c>
      <c r="C462" s="2" t="s">
        <v>31</v>
      </c>
      <c r="D462" s="2" t="s">
        <v>402</v>
      </c>
      <c r="E462" s="6">
        <v>1</v>
      </c>
      <c r="F462" s="6">
        <v>2</v>
      </c>
      <c r="G462" s="7">
        <v>0.8280684947967529</v>
      </c>
      <c r="H462" s="7">
        <v>53.52501171875</v>
      </c>
      <c r="I462" s="7">
        <v>31.12381754255983</v>
      </c>
      <c r="J462" s="7">
        <v>10.08027940045266</v>
      </c>
      <c r="K462" s="7">
        <v>5.458343398099952</v>
      </c>
      <c r="L462" s="7">
        <v>0.857173862824087</v>
      </c>
      <c r="M462" s="7">
        <v>0.694353955234436</v>
      </c>
      <c r="N462" s="7">
        <v>0.4306263326070123</v>
      </c>
      <c r="O462" s="7">
        <v>0.0602386539820299</v>
      </c>
      <c r="P462" s="7">
        <v>8.772819364123018</v>
      </c>
      <c r="Q462" s="7">
        <v>0.0865114507056856</v>
      </c>
      <c r="R462" s="7">
        <v>0.154751679557161</v>
      </c>
      <c r="S462" s="7">
        <v>0.2200007528504476</v>
      </c>
      <c r="T462" s="7">
        <v>5.374290598039681</v>
      </c>
    </row>
    <row x14ac:dyDescent="0.25" r="463" customHeight="1" ht="19.5">
      <c r="A463" s="2" t="s">
        <v>1521</v>
      </c>
      <c r="B463" s="2" t="s">
        <v>1060</v>
      </c>
      <c r="C463" s="2" t="s">
        <v>31</v>
      </c>
      <c r="D463" s="2" t="s">
        <v>402</v>
      </c>
      <c r="E463" s="6">
        <v>1</v>
      </c>
      <c r="F463" s="6">
        <v>2</v>
      </c>
      <c r="G463" s="7">
        <v>0.8068344593048096</v>
      </c>
      <c r="H463" s="7">
        <v>54.27654375</v>
      </c>
      <c r="I463" s="7">
        <v>31.45080674483761</v>
      </c>
      <c r="J463" s="7">
        <v>10.16767430216109</v>
      </c>
      <c r="K463" s="7">
        <v>5.52255621021081</v>
      </c>
      <c r="L463" s="7">
        <v>0.8566445777847795</v>
      </c>
      <c r="M463" s="7">
        <v>0.6895384187888495</v>
      </c>
      <c r="N463" s="7">
        <v>0.475814390539999</v>
      </c>
      <c r="O463" s="7">
        <v>0.0653122165774117</v>
      </c>
      <c r="P463" s="7">
        <v>8.552759479591133</v>
      </c>
      <c r="Q463" s="7">
        <v>0.0795225690825361</v>
      </c>
      <c r="R463" s="7">
        <v>0.1395795069694112</v>
      </c>
      <c r="S463" s="7">
        <v>0.1849606730222622</v>
      </c>
      <c r="T463" s="7">
        <v>5.009488301877615</v>
      </c>
    </row>
    <row x14ac:dyDescent="0.25" r="464" customHeight="1" ht="19.5">
      <c r="A464" s="2" t="s">
        <v>1522</v>
      </c>
      <c r="B464" s="2" t="s">
        <v>1060</v>
      </c>
      <c r="C464" s="2" t="s">
        <v>31</v>
      </c>
      <c r="D464" s="2" t="s">
        <v>402</v>
      </c>
      <c r="E464" s="6">
        <v>1</v>
      </c>
      <c r="F464" s="6">
        <v>2</v>
      </c>
      <c r="G464" s="7">
        <v>0.5642770528793335</v>
      </c>
      <c r="H464" s="7">
        <v>53.0643953125</v>
      </c>
      <c r="I464" s="7">
        <v>31.27007548042135</v>
      </c>
      <c r="J464" s="7">
        <v>10.30539581648798</v>
      </c>
      <c r="K464" s="7">
        <v>5.426742386409134</v>
      </c>
      <c r="L464" s="7">
        <v>0.8700826799627218</v>
      </c>
      <c r="M464" s="7">
        <v>0.6819542253163862</v>
      </c>
      <c r="N464" s="7">
        <v>0.5592170144218649</v>
      </c>
      <c r="O464" s="7">
        <v>0.0790842529106158</v>
      </c>
      <c r="P464" s="7">
        <v>7.972576734782974</v>
      </c>
      <c r="Q464" s="7">
        <v>0.0569034701619376</v>
      </c>
      <c r="R464" s="7">
        <v>0.1048311974692431</v>
      </c>
      <c r="S464" s="7">
        <v>0.1165277940119978</v>
      </c>
      <c r="T464" s="7">
        <v>3.504553963127041</v>
      </c>
    </row>
    <row x14ac:dyDescent="0.25" r="465" customHeight="1" ht="19.5">
      <c r="A465" s="2" t="s">
        <v>1523</v>
      </c>
      <c r="B465" s="2" t="s">
        <v>1060</v>
      </c>
      <c r="C465" s="2" t="s">
        <v>31</v>
      </c>
      <c r="D465" s="2" t="s">
        <v>402</v>
      </c>
      <c r="E465" s="6">
        <v>1</v>
      </c>
      <c r="F465" s="6">
        <v>2</v>
      </c>
      <c r="G465" s="7">
        <v>0.7817874550819397</v>
      </c>
      <c r="H465" s="7">
        <v>54.11376953125</v>
      </c>
      <c r="I465" s="7">
        <v>31.20704351506842</v>
      </c>
      <c r="J465" s="7">
        <v>10.22709228626291</v>
      </c>
      <c r="K465" s="7">
        <v>5.478507653874301</v>
      </c>
      <c r="L465" s="7">
        <v>0.8591272367538573</v>
      </c>
      <c r="M465" s="7">
        <v>0.6982523381149885</v>
      </c>
      <c r="N465" s="7">
        <v>0.5019455270081362</v>
      </c>
      <c r="O465" s="7">
        <v>0.0709107497790063</v>
      </c>
      <c r="P465" s="7">
        <v>8.26917391325891</v>
      </c>
      <c r="Q465" s="7">
        <v>0.0731773038883232</v>
      </c>
      <c r="R465" s="7">
        <v>0.1280919242787737</v>
      </c>
      <c r="S465" s="7">
        <v>0.1472513075842941</v>
      </c>
      <c r="T465" s="7">
        <v>4.595946581175309</v>
      </c>
    </row>
    <row x14ac:dyDescent="0.25" r="466" customHeight="1" ht="19.5">
      <c r="A466" s="2" t="s">
        <v>1524</v>
      </c>
      <c r="B466" s="2" t="s">
        <v>1060</v>
      </c>
      <c r="C466" s="2" t="s">
        <v>31</v>
      </c>
      <c r="D466" s="2" t="s">
        <v>402</v>
      </c>
      <c r="E466" s="6">
        <v>1</v>
      </c>
      <c r="F466" s="6">
        <v>2</v>
      </c>
      <c r="G466" s="7">
        <v>0.8458858728408813</v>
      </c>
      <c r="H466" s="7">
        <v>54.9692</v>
      </c>
      <c r="I466" s="7">
        <v>31.45672143259418</v>
      </c>
      <c r="J466" s="7">
        <v>10.28556997556228</v>
      </c>
      <c r="K466" s="7">
        <v>5.538259084294888</v>
      </c>
      <c r="L466" s="7">
        <v>0.858658004919923</v>
      </c>
      <c r="M466" s="7">
        <v>0.698075454279107</v>
      </c>
      <c r="N466" s="7">
        <v>0.4347534271998399</v>
      </c>
      <c r="O466" s="7">
        <v>0.0623145948031527</v>
      </c>
      <c r="P466" s="7">
        <v>8.63130262412171</v>
      </c>
      <c r="Q466" s="7">
        <v>0.0857669400489167</v>
      </c>
      <c r="R466" s="7">
        <v>0.1473600558991114</v>
      </c>
      <c r="S466" s="7">
        <v>0.1754265572730071</v>
      </c>
      <c r="T466" s="7">
        <v>5.471798705406123</v>
      </c>
    </row>
    <row x14ac:dyDescent="0.25" r="467" customHeight="1" ht="19.5">
      <c r="A467" s="2" t="s">
        <v>1525</v>
      </c>
      <c r="B467" s="2" t="s">
        <v>1060</v>
      </c>
      <c r="C467" s="2" t="s">
        <v>31</v>
      </c>
      <c r="D467" s="2" t="s">
        <v>402</v>
      </c>
      <c r="E467" s="6">
        <v>1</v>
      </c>
      <c r="F467" s="6">
        <v>2</v>
      </c>
      <c r="G467" s="7">
        <v>0.8614853620529175</v>
      </c>
      <c r="H467" s="7">
        <v>54.39429531250001</v>
      </c>
      <c r="I467" s="7">
        <v>31.38777477948469</v>
      </c>
      <c r="J467" s="7">
        <v>10.21995259801631</v>
      </c>
      <c r="K467" s="7">
        <v>5.539082032970375</v>
      </c>
      <c r="L467" s="7">
        <v>0.8569368981703962</v>
      </c>
      <c r="M467" s="7">
        <v>0.6938125693144945</v>
      </c>
      <c r="N467" s="7">
        <v>0.4106110968107581</v>
      </c>
      <c r="O467" s="7">
        <v>0.0595226904776306</v>
      </c>
      <c r="P467" s="7">
        <v>8.751607035389615</v>
      </c>
      <c r="Q467" s="7">
        <v>0.0918271139441715</v>
      </c>
      <c r="R467" s="7">
        <v>0.1561072610719376</v>
      </c>
      <c r="S467" s="7">
        <v>0.1878467639045194</v>
      </c>
      <c r="T467" s="7">
        <v>5.797157101772769</v>
      </c>
    </row>
    <row x14ac:dyDescent="0.25" r="468" customHeight="1" ht="19.5">
      <c r="A468" s="2" t="s">
        <v>1526</v>
      </c>
      <c r="B468" s="2" t="s">
        <v>1060</v>
      </c>
      <c r="C468" s="2" t="s">
        <v>31</v>
      </c>
      <c r="D468" s="2" t="s">
        <v>402</v>
      </c>
      <c r="E468" s="6">
        <v>1</v>
      </c>
      <c r="F468" s="6">
        <v>2</v>
      </c>
      <c r="G468" s="7">
        <v>0.8629223704338074</v>
      </c>
      <c r="H468" s="7">
        <v>54.89647109375</v>
      </c>
      <c r="I468" s="7">
        <v>31.51975339794712</v>
      </c>
      <c r="J468" s="7">
        <v>10.21102716800102</v>
      </c>
      <c r="K468" s="7">
        <v>5.590936656163884</v>
      </c>
      <c r="L468" s="7">
        <v>0.8542272560818597</v>
      </c>
      <c r="M468" s="7">
        <v>0.6943663555189841</v>
      </c>
      <c r="N468" s="7">
        <v>0.4074315191320452</v>
      </c>
      <c r="O468" s="7">
        <v>0.0590843760790502</v>
      </c>
      <c r="P468" s="7">
        <v>8.78062224372495</v>
      </c>
      <c r="Q468" s="7">
        <v>0.0909689407488538</v>
      </c>
      <c r="R468" s="7">
        <v>0.1543153374265683</v>
      </c>
      <c r="S468" s="7">
        <v>0.1833091205352806</v>
      </c>
      <c r="T468" s="7">
        <v>5.795999581786938</v>
      </c>
    </row>
    <row x14ac:dyDescent="0.25" r="469" customHeight="1" ht="19.5">
      <c r="A469" s="2" t="s">
        <v>1527</v>
      </c>
      <c r="B469" s="2" t="s">
        <v>1060</v>
      </c>
      <c r="C469" s="2" t="s">
        <v>31</v>
      </c>
      <c r="D469" s="2" t="s">
        <v>402</v>
      </c>
      <c r="E469" s="6">
        <v>1</v>
      </c>
      <c r="F469" s="6">
        <v>2</v>
      </c>
      <c r="G469" s="7">
        <v>0.8583273887634277</v>
      </c>
      <c r="H469" s="7">
        <v>54.87222812500001</v>
      </c>
      <c r="I469" s="7">
        <v>31.42224810603944</v>
      </c>
      <c r="J469" s="7">
        <v>10.19532104680389</v>
      </c>
      <c r="K469" s="7">
        <v>5.530264898305878</v>
      </c>
      <c r="L469" s="7">
        <v>0.854034884418972</v>
      </c>
      <c r="M469" s="7">
        <v>0.6983738231739081</v>
      </c>
      <c r="N469" s="7">
        <v>0.4079809820591007</v>
      </c>
      <c r="O469" s="7">
        <v>0.0585917573542219</v>
      </c>
      <c r="P469" s="7">
        <v>8.772117260597536</v>
      </c>
      <c r="Q469" s="7">
        <v>0.0901064974946116</v>
      </c>
      <c r="R469" s="7">
        <v>0.1546243770879227</v>
      </c>
      <c r="S469" s="7">
        <v>0.1904275794989902</v>
      </c>
      <c r="T469" s="7">
        <v>5.73851451024644</v>
      </c>
    </row>
    <row x14ac:dyDescent="0.25" r="470" customHeight="1" ht="19.5">
      <c r="A470" s="2" t="s">
        <v>1528</v>
      </c>
      <c r="B470" s="2" t="s">
        <v>1060</v>
      </c>
      <c r="C470" s="2" t="s">
        <v>31</v>
      </c>
      <c r="D470" s="2" t="s">
        <v>402</v>
      </c>
      <c r="E470" s="6">
        <v>1</v>
      </c>
      <c r="F470" s="6">
        <v>2</v>
      </c>
      <c r="G470" s="7">
        <v>0.8587815165519714</v>
      </c>
      <c r="H470" s="7">
        <v>55.1562171875</v>
      </c>
      <c r="I470" s="7">
        <v>31.51975339794712</v>
      </c>
      <c r="J470" s="7">
        <v>10.21259653250655</v>
      </c>
      <c r="K470" s="7">
        <v>5.596543571481493</v>
      </c>
      <c r="L470" s="7">
        <v>0.8530040055426331</v>
      </c>
      <c r="M470" s="7">
        <v>0.6976517934512233</v>
      </c>
      <c r="N470" s="7">
        <v>0.411719322678109</v>
      </c>
      <c r="O470" s="7">
        <v>0.0593422955346766</v>
      </c>
      <c r="P470" s="7">
        <v>8.750095070785928</v>
      </c>
      <c r="Q470" s="7">
        <v>0.0906354851402136</v>
      </c>
      <c r="R470" s="7">
        <v>0.1535806673605253</v>
      </c>
      <c r="S470" s="7">
        <v>0.1871608964516508</v>
      </c>
      <c r="T470" s="7">
        <v>5.802077384107776</v>
      </c>
    </row>
    <row x14ac:dyDescent="0.25" r="471" customHeight="1" ht="19.5">
      <c r="A471" s="2" t="s">
        <v>1529</v>
      </c>
      <c r="B471" s="2" t="s">
        <v>1060</v>
      </c>
      <c r="C471" s="2" t="s">
        <v>31</v>
      </c>
      <c r="D471" s="2" t="s">
        <v>402</v>
      </c>
      <c r="E471" s="6">
        <v>1</v>
      </c>
      <c r="F471" s="6">
        <v>2</v>
      </c>
      <c r="G471" s="7">
        <v>0.8563392758369446</v>
      </c>
      <c r="H471" s="7">
        <v>55.1285109375</v>
      </c>
      <c r="I471" s="7">
        <v>31.49119475914893</v>
      </c>
      <c r="J471" s="7">
        <v>10.22569804556193</v>
      </c>
      <c r="K471" s="7">
        <v>5.600896226541652</v>
      </c>
      <c r="L471" s="7">
        <v>0.8538212249740817</v>
      </c>
      <c r="M471" s="7">
        <v>0.6985666532605382</v>
      </c>
      <c r="N471" s="7">
        <v>0.4135457894821992</v>
      </c>
      <c r="O471" s="7">
        <v>0.0594892199005444</v>
      </c>
      <c r="P471" s="7">
        <v>8.750754195306218</v>
      </c>
      <c r="Q471" s="7">
        <v>0.0900433532330672</v>
      </c>
      <c r="R471" s="7">
        <v>0.1550508330058125</v>
      </c>
      <c r="S471" s="7">
        <v>0.1854506975034607</v>
      </c>
      <c r="T471" s="7">
        <v>5.761276276843017</v>
      </c>
    </row>
    <row x14ac:dyDescent="0.25" r="472" customHeight="1" ht="19.5">
      <c r="A472" s="2" t="s">
        <v>1530</v>
      </c>
      <c r="B472" s="2" t="s">
        <v>1060</v>
      </c>
      <c r="C472" s="2" t="s">
        <v>31</v>
      </c>
      <c r="D472" s="2" t="s">
        <v>402</v>
      </c>
      <c r="E472" s="6">
        <v>1</v>
      </c>
      <c r="F472" s="6">
        <v>2</v>
      </c>
      <c r="G472" s="7">
        <v>0.8557500839233398</v>
      </c>
      <c r="H472" s="7">
        <v>54.88954453125</v>
      </c>
      <c r="I472" s="7">
        <v>31.50547407854802</v>
      </c>
      <c r="J472" s="7">
        <v>10.19947120916508</v>
      </c>
      <c r="K472" s="7">
        <v>5.530876402569163</v>
      </c>
      <c r="L472" s="7">
        <v>0.8554140864640404</v>
      </c>
      <c r="M472" s="7">
        <v>0.6949082264854508</v>
      </c>
      <c r="N472" s="7">
        <v>0.4161496097467622</v>
      </c>
      <c r="O472" s="7">
        <v>0.0593727937340583</v>
      </c>
      <c r="P472" s="7">
        <v>8.73352754102004</v>
      </c>
      <c r="Q472" s="7">
        <v>0.0895032866460777</v>
      </c>
      <c r="R472" s="7">
        <v>0.1539812012742189</v>
      </c>
      <c r="S472" s="7">
        <v>0.1876775310582777</v>
      </c>
      <c r="T472" s="7">
        <v>5.70189729622216</v>
      </c>
    </row>
    <row x14ac:dyDescent="0.25" r="473" customHeight="1" ht="19.5">
      <c r="A473" s="2" t="s">
        <v>1531</v>
      </c>
      <c r="B473" s="2" t="s">
        <v>1060</v>
      </c>
      <c r="C473" s="2" t="s">
        <v>31</v>
      </c>
      <c r="D473" s="2" t="s">
        <v>402</v>
      </c>
      <c r="E473" s="6">
        <v>1</v>
      </c>
      <c r="F473" s="6">
        <v>2</v>
      </c>
      <c r="G473" s="7">
        <v>0.8546224236488342</v>
      </c>
      <c r="H473" s="7">
        <v>55.14582734375001</v>
      </c>
      <c r="I473" s="7">
        <v>31.72067866951903</v>
      </c>
      <c r="J473" s="7">
        <v>10.23979848789388</v>
      </c>
      <c r="K473" s="7">
        <v>5.611336055642544</v>
      </c>
      <c r="L473" s="7">
        <v>0.8541404901710816</v>
      </c>
      <c r="M473" s="7">
        <v>0.6887118882783625</v>
      </c>
      <c r="N473" s="7">
        <v>0.4124113365692049</v>
      </c>
      <c r="O473" s="7">
        <v>0.0594565329715198</v>
      </c>
      <c r="P473" s="7">
        <v>8.754685677816134</v>
      </c>
      <c r="Q473" s="7">
        <v>0.0885364038814258</v>
      </c>
      <c r="R473" s="7">
        <v>0.1526465460238223</v>
      </c>
      <c r="S473" s="7">
        <v>0.1865204686091386</v>
      </c>
      <c r="T473" s="7">
        <v>5.66663598116464</v>
      </c>
    </row>
    <row x14ac:dyDescent="0.25" r="474" customHeight="1" ht="19.5">
      <c r="A474" s="2" t="s">
        <v>1532</v>
      </c>
      <c r="B474" s="2" t="s">
        <v>1060</v>
      </c>
      <c r="C474" s="2" t="s">
        <v>31</v>
      </c>
      <c r="D474" s="2" t="s">
        <v>402</v>
      </c>
      <c r="E474" s="6">
        <v>1</v>
      </c>
      <c r="F474" s="6">
        <v>2</v>
      </c>
      <c r="G474" s="7">
        <v>0.8589914441108704</v>
      </c>
      <c r="H474" s="7">
        <v>55.08348828125001</v>
      </c>
      <c r="I474" s="7">
        <v>31.51975339794712</v>
      </c>
      <c r="J474" s="7">
        <v>10.22671851775799</v>
      </c>
      <c r="K474" s="7">
        <v>5.60083696937507</v>
      </c>
      <c r="L474" s="7">
        <v>0.8542841128701867</v>
      </c>
      <c r="M474" s="7">
        <v>0.6967318708301962</v>
      </c>
      <c r="N474" s="7">
        <v>0.4185696173255883</v>
      </c>
      <c r="O474" s="7">
        <v>0.0600563007231531</v>
      </c>
      <c r="P474" s="7">
        <v>8.726877199249156</v>
      </c>
      <c r="Q474" s="7">
        <v>0.0890938325792989</v>
      </c>
      <c r="R474" s="7">
        <v>0.1539506019652583</v>
      </c>
      <c r="S474" s="7">
        <v>0.1882238201106663</v>
      </c>
      <c r="T474" s="7">
        <v>5.695867220764926</v>
      </c>
    </row>
    <row x14ac:dyDescent="0.25" r="475" customHeight="1" ht="19.5">
      <c r="A475" s="2" t="s">
        <v>1533</v>
      </c>
      <c r="B475" s="2" t="s">
        <v>1060</v>
      </c>
      <c r="C475" s="2" t="s">
        <v>31</v>
      </c>
      <c r="D475" s="2" t="s">
        <v>402</v>
      </c>
      <c r="E475" s="6">
        <v>1</v>
      </c>
      <c r="F475" s="6">
        <v>2</v>
      </c>
      <c r="G475" s="7">
        <v>0.8523138165473938</v>
      </c>
      <c r="H475" s="7">
        <v>55.16314375</v>
      </c>
      <c r="I475" s="7">
        <v>31.47691543974983</v>
      </c>
      <c r="J475" s="7">
        <v>10.23306730944173</v>
      </c>
      <c r="K475" s="7">
        <v>5.601989828393085</v>
      </c>
      <c r="L475" s="7">
        <v>0.8543541690726699</v>
      </c>
      <c r="M475" s="7">
        <v>0.6996398499478249</v>
      </c>
      <c r="N475" s="7">
        <v>0.416631884149816</v>
      </c>
      <c r="O475" s="7">
        <v>0.0600503734979551</v>
      </c>
      <c r="P475" s="7">
        <v>8.724877017415073</v>
      </c>
      <c r="Q475" s="7">
        <v>0.0895524041352543</v>
      </c>
      <c r="R475" s="7">
        <v>0.1533649755859889</v>
      </c>
      <c r="S475" s="7">
        <v>0.1830163060568957</v>
      </c>
      <c r="T475" s="7">
        <v>5.733463316854055</v>
      </c>
    </row>
    <row x14ac:dyDescent="0.25" r="476" customHeight="1" ht="19.5">
      <c r="A476" s="2" t="s">
        <v>1534</v>
      </c>
      <c r="B476" s="2" t="s">
        <v>1060</v>
      </c>
      <c r="C476" s="2" t="s">
        <v>31</v>
      </c>
      <c r="D476" s="2" t="s">
        <v>402</v>
      </c>
      <c r="E476" s="6">
        <v>1</v>
      </c>
      <c r="F476" s="6">
        <v>2</v>
      </c>
      <c r="G476" s="7">
        <v>0.8525466322898865</v>
      </c>
      <c r="H476" s="7">
        <v>55.12504765625</v>
      </c>
      <c r="I476" s="7">
        <v>31.57442073165751</v>
      </c>
      <c r="J476" s="7">
        <v>10.23632829849323</v>
      </c>
      <c r="K476" s="7">
        <v>5.604379996611689</v>
      </c>
      <c r="L476" s="7">
        <v>0.8544131577557972</v>
      </c>
      <c r="M476" s="7">
        <v>0.6948451949502036</v>
      </c>
      <c r="N476" s="7">
        <v>0.4185738681878916</v>
      </c>
      <c r="O476" s="7">
        <v>0.0601732253524101</v>
      </c>
      <c r="P476" s="7">
        <v>8.720626952792504</v>
      </c>
      <c r="Q476" s="7">
        <v>0.0885489717521067</v>
      </c>
      <c r="R476" s="7">
        <v>0.1524325501414383</v>
      </c>
      <c r="S476" s="7">
        <v>0.1873474807772296</v>
      </c>
      <c r="T476" s="7">
        <v>5.665304800787202</v>
      </c>
    </row>
    <row x14ac:dyDescent="0.25" r="477" customHeight="1" ht="19.5">
      <c r="A477" s="2" t="s">
        <v>1535</v>
      </c>
      <c r="B477" s="2" t="s">
        <v>1060</v>
      </c>
      <c r="C477" s="2" t="s">
        <v>31</v>
      </c>
      <c r="D477" s="2" t="s">
        <v>402</v>
      </c>
      <c r="E477" s="6">
        <v>1</v>
      </c>
      <c r="F477" s="6">
        <v>2</v>
      </c>
      <c r="G477" s="7">
        <v>0.8545601963996887</v>
      </c>
      <c r="H477" s="7">
        <v>54.9622734375</v>
      </c>
      <c r="I477" s="7">
        <v>31.57442073165751</v>
      </c>
      <c r="J477" s="7">
        <v>10.20960477176936</v>
      </c>
      <c r="K477" s="7">
        <v>5.545497585913873</v>
      </c>
      <c r="L477" s="7">
        <v>0.8553709393751682</v>
      </c>
      <c r="M477" s="7">
        <v>0.6927934437305856</v>
      </c>
      <c r="N477" s="7">
        <v>0.4139063381602527</v>
      </c>
      <c r="O477" s="7">
        <v>0.0591032408879449</v>
      </c>
      <c r="P477" s="7">
        <v>8.734745799736253</v>
      </c>
      <c r="Q477" s="7">
        <v>0.0892939082363941</v>
      </c>
      <c r="R477" s="7">
        <v>0.1537486712589036</v>
      </c>
      <c r="S477" s="7">
        <v>0.192045881121628</v>
      </c>
      <c r="T477" s="7">
        <v>5.696096000217374</v>
      </c>
    </row>
    <row x14ac:dyDescent="0.25" r="478" customHeight="1" ht="19.5">
      <c r="A478" s="2" t="s">
        <v>1536</v>
      </c>
      <c r="B478" s="2" t="s">
        <v>1060</v>
      </c>
      <c r="C478" s="2" t="s">
        <v>31</v>
      </c>
      <c r="D478" s="2" t="s">
        <v>402</v>
      </c>
      <c r="E478" s="6">
        <v>1</v>
      </c>
      <c r="F478" s="6">
        <v>2</v>
      </c>
      <c r="G478" s="7">
        <v>0.855921745300293</v>
      </c>
      <c r="H478" s="7">
        <v>55.22201953125001</v>
      </c>
      <c r="I478" s="7">
        <v>31.56014141225842</v>
      </c>
      <c r="J478" s="7">
        <v>10.24389085385268</v>
      </c>
      <c r="K478" s="7">
        <v>5.605250297952155</v>
      </c>
      <c r="L478" s="7">
        <v>0.8541541249836087</v>
      </c>
      <c r="M478" s="7">
        <v>0.6966975258742293</v>
      </c>
      <c r="N478" s="7">
        <v>0.4194787475791391</v>
      </c>
      <c r="O478" s="7">
        <v>0.059987179866754</v>
      </c>
      <c r="P478" s="7">
        <v>8.72623398691412</v>
      </c>
      <c r="Q478" s="7">
        <v>0.0892627529984145</v>
      </c>
      <c r="R478" s="7">
        <v>0.1536224798928443</v>
      </c>
      <c r="S478" s="7">
        <v>0.1845928211343872</v>
      </c>
      <c r="T478" s="7">
        <v>5.721018370436232</v>
      </c>
    </row>
    <row x14ac:dyDescent="0.25" r="479" customHeight="1" ht="19.5">
      <c r="A479" s="2" t="s">
        <v>1537</v>
      </c>
      <c r="B479" s="2" t="s">
        <v>1060</v>
      </c>
      <c r="C479" s="2" t="s">
        <v>31</v>
      </c>
      <c r="D479" s="2" t="s">
        <v>402</v>
      </c>
      <c r="E479" s="6">
        <v>1</v>
      </c>
      <c r="F479" s="6">
        <v>2</v>
      </c>
      <c r="G479" s="7">
        <v>0.8562952876091003</v>
      </c>
      <c r="H479" s="7">
        <v>54.59170234375</v>
      </c>
      <c r="I479" s="7">
        <v>31.32474281413176</v>
      </c>
      <c r="J479" s="7">
        <v>10.23073636692379</v>
      </c>
      <c r="K479" s="7">
        <v>5.543278933653628</v>
      </c>
      <c r="L479" s="7">
        <v>0.8575426093712021</v>
      </c>
      <c r="M479" s="7">
        <v>0.6991356905943822</v>
      </c>
      <c r="N479" s="7">
        <v>0.4223355089884774</v>
      </c>
      <c r="O479" s="7">
        <v>0.0603951087426746</v>
      </c>
      <c r="P479" s="7">
        <v>8.694537689686344</v>
      </c>
      <c r="Q479" s="7">
        <v>0.0917712193984149</v>
      </c>
      <c r="R479" s="7">
        <v>0.1565633897357055</v>
      </c>
      <c r="S479" s="7">
        <v>0.1913963471785126</v>
      </c>
      <c r="T479" s="7">
        <v>5.814654568138946</v>
      </c>
    </row>
    <row x14ac:dyDescent="0.25" r="480" customHeight="1" ht="19.5">
      <c r="A480" s="2" t="s">
        <v>1538</v>
      </c>
      <c r="B480" s="2" t="s">
        <v>1060</v>
      </c>
      <c r="C480" s="2" t="s">
        <v>31</v>
      </c>
      <c r="D480" s="2" t="s">
        <v>402</v>
      </c>
      <c r="E480" s="6">
        <v>1</v>
      </c>
      <c r="F480" s="6">
        <v>2</v>
      </c>
      <c r="G480" s="7">
        <v>0.8573513627052307</v>
      </c>
      <c r="H480" s="7">
        <v>55.07656171875001</v>
      </c>
      <c r="I480" s="7">
        <v>31.55422672450186</v>
      </c>
      <c r="J480" s="7">
        <v>10.23217645271727</v>
      </c>
      <c r="K480" s="7">
        <v>5.601594598978384</v>
      </c>
      <c r="L480" s="7">
        <v>0.8546008036751953</v>
      </c>
      <c r="M480" s="7">
        <v>0.6951229082043379</v>
      </c>
      <c r="N480" s="7">
        <v>0.4182512456678213</v>
      </c>
      <c r="O480" s="7">
        <v>0.0600953990015353</v>
      </c>
      <c r="P480" s="7">
        <v>8.73588870506837</v>
      </c>
      <c r="Q480" s="7">
        <v>0.0903279797070186</v>
      </c>
      <c r="R480" s="7">
        <v>0.1544147791460301</v>
      </c>
      <c r="S480" s="7">
        <v>0.1902585203327763</v>
      </c>
      <c r="T480" s="7">
        <v>5.77404145362683</v>
      </c>
    </row>
    <row x14ac:dyDescent="0.25" r="481" customHeight="1" ht="19.5">
      <c r="A481" s="2" t="s">
        <v>1539</v>
      </c>
      <c r="B481" s="2" t="s">
        <v>1060</v>
      </c>
      <c r="C481" s="2" t="s">
        <v>31</v>
      </c>
      <c r="D481" s="2" t="s">
        <v>402</v>
      </c>
      <c r="E481" s="6">
        <v>1</v>
      </c>
      <c r="F481" s="6">
        <v>2</v>
      </c>
      <c r="G481" s="7">
        <v>0.8550780415534973</v>
      </c>
      <c r="H481" s="7">
        <v>54.595165625</v>
      </c>
      <c r="I481" s="7">
        <v>31.44244211319509</v>
      </c>
      <c r="J481" s="7">
        <v>10.23443875207385</v>
      </c>
      <c r="K481" s="7">
        <v>5.543767708977462</v>
      </c>
      <c r="L481" s="7">
        <v>0.8578017952182321</v>
      </c>
      <c r="M481" s="7">
        <v>0.6939553236666641</v>
      </c>
      <c r="N481" s="7">
        <v>0.4181448510206372</v>
      </c>
      <c r="O481" s="7">
        <v>0.0599282403237233</v>
      </c>
      <c r="P481" s="7">
        <v>8.715542885950121</v>
      </c>
      <c r="Q481" s="7">
        <v>0.0908859976280341</v>
      </c>
      <c r="R481" s="7">
        <v>0.1555850763416896</v>
      </c>
      <c r="S481" s="7">
        <v>0.1852414499678028</v>
      </c>
      <c r="T481" s="7">
        <v>5.758931948098543</v>
      </c>
    </row>
    <row x14ac:dyDescent="0.25" r="482" customHeight="1" ht="19.5">
      <c r="A482" s="2" t="s">
        <v>1540</v>
      </c>
      <c r="B482" s="2" t="s">
        <v>1060</v>
      </c>
      <c r="C482" s="2" t="s">
        <v>31</v>
      </c>
      <c r="D482" s="2" t="s">
        <v>402</v>
      </c>
      <c r="E482" s="6">
        <v>1</v>
      </c>
      <c r="F482" s="6">
        <v>2</v>
      </c>
      <c r="G482" s="7">
        <v>0.8573364019393921</v>
      </c>
      <c r="H482" s="7">
        <v>54.88608125</v>
      </c>
      <c r="I482" s="7">
        <v>31.56014141225842</v>
      </c>
      <c r="J482" s="7">
        <v>10.20908260373534</v>
      </c>
      <c r="K482" s="7">
        <v>5.552260531624495</v>
      </c>
      <c r="L482" s="7">
        <v>0.8556576785396169</v>
      </c>
      <c r="M482" s="7">
        <v>0.6924592279745867</v>
      </c>
      <c r="N482" s="7">
        <v>0.4164472030958183</v>
      </c>
      <c r="O482" s="7">
        <v>0.0592987476628314</v>
      </c>
      <c r="P482" s="7">
        <v>8.722972719598369</v>
      </c>
      <c r="Q482" s="7">
        <v>0.0893122466320749</v>
      </c>
      <c r="R482" s="7">
        <v>0.1532465284389919</v>
      </c>
      <c r="S482" s="7">
        <v>0.1877489524634671</v>
      </c>
      <c r="T482" s="7">
        <v>5.68936790317697</v>
      </c>
    </row>
    <row x14ac:dyDescent="0.25" r="483" customHeight="1" ht="19.5">
      <c r="A483" s="2" t="s">
        <v>1541</v>
      </c>
      <c r="B483" s="2" t="s">
        <v>1060</v>
      </c>
      <c r="C483" s="2" t="s">
        <v>31</v>
      </c>
      <c r="D483" s="2" t="s">
        <v>402</v>
      </c>
      <c r="E483" s="6">
        <v>1</v>
      </c>
      <c r="F483" s="6">
        <v>2</v>
      </c>
      <c r="G483" s="7">
        <v>0.8589818477630615</v>
      </c>
      <c r="H483" s="7">
        <v>54.88261796875</v>
      </c>
      <c r="I483" s="7">
        <v>32.01319454524207</v>
      </c>
      <c r="J483" s="7">
        <v>10.24651979221593</v>
      </c>
      <c r="K483" s="7">
        <v>5.62198863492272</v>
      </c>
      <c r="L483" s="7">
        <v>0.8558512916388531</v>
      </c>
      <c r="M483" s="7">
        <v>0.6729559787536668</v>
      </c>
      <c r="N483" s="7">
        <v>0.4164103523226073</v>
      </c>
      <c r="O483" s="7">
        <v>0.0602367228493877</v>
      </c>
      <c r="P483" s="7">
        <v>8.750822953899858</v>
      </c>
      <c r="Q483" s="7">
        <v>0.0878899770870064</v>
      </c>
      <c r="R483" s="7">
        <v>0.1521091742614413</v>
      </c>
      <c r="S483" s="7">
        <v>0.183380984610379</v>
      </c>
      <c r="T483" s="7">
        <v>5.598413222805427</v>
      </c>
    </row>
    <row x14ac:dyDescent="0.25" r="484" customHeight="1" ht="19.5">
      <c r="A484" s="2" t="s">
        <v>1542</v>
      </c>
      <c r="B484" s="2" t="s">
        <v>1060</v>
      </c>
      <c r="C484" s="2" t="s">
        <v>31</v>
      </c>
      <c r="D484" s="2" t="s">
        <v>402</v>
      </c>
      <c r="E484" s="6">
        <v>1</v>
      </c>
      <c r="F484" s="6">
        <v>2</v>
      </c>
      <c r="G484" s="7">
        <v>0.8596465587615967</v>
      </c>
      <c r="H484" s="7">
        <v>55.22201953125001</v>
      </c>
      <c r="I484" s="7">
        <v>31.57442073165751</v>
      </c>
      <c r="J484" s="7">
        <v>10.22641500531526</v>
      </c>
      <c r="K484" s="7">
        <v>5.602584974208881</v>
      </c>
      <c r="L484" s="7">
        <v>0.8541794649793049</v>
      </c>
      <c r="M484" s="7">
        <v>0.6960675148257207</v>
      </c>
      <c r="N484" s="7">
        <v>0.418311766136655</v>
      </c>
      <c r="O484" s="7">
        <v>0.0598794408185774</v>
      </c>
      <c r="P484" s="7">
        <v>8.720240736931867</v>
      </c>
      <c r="Q484" s="7">
        <v>0.0884973747460787</v>
      </c>
      <c r="R484" s="7">
        <v>0.1519124352006347</v>
      </c>
      <c r="S484" s="7">
        <v>0.1850328416494188</v>
      </c>
      <c r="T484" s="7">
        <v>5.671963833186822</v>
      </c>
    </row>
    <row x14ac:dyDescent="0.25" r="485" customHeight="1" ht="19.5">
      <c r="A485" s="2" t="s">
        <v>1543</v>
      </c>
      <c r="B485" s="2" t="s">
        <v>1060</v>
      </c>
      <c r="C485" s="2" t="s">
        <v>31</v>
      </c>
      <c r="D485" s="2" t="s">
        <v>402</v>
      </c>
      <c r="E485" s="6">
        <v>1</v>
      </c>
      <c r="F485" s="6">
        <v>2</v>
      </c>
      <c r="G485" s="7">
        <v>0.8518279790878296</v>
      </c>
      <c r="H485" s="7">
        <v>55.12504765625</v>
      </c>
      <c r="I485" s="7">
        <v>31.44244211319509</v>
      </c>
      <c r="J485" s="7">
        <v>10.24698689005211</v>
      </c>
      <c r="K485" s="7">
        <v>5.525137917434105</v>
      </c>
      <c r="L485" s="7">
        <v>0.8553776908462172</v>
      </c>
      <c r="M485" s="7">
        <v>0.700690617026281</v>
      </c>
      <c r="N485" s="7">
        <v>0.4196160638670959</v>
      </c>
      <c r="O485" s="7">
        <v>0.059663370380679</v>
      </c>
      <c r="P485" s="7">
        <v>8.732396066375866</v>
      </c>
      <c r="Q485" s="7">
        <v>0.0894932753238948</v>
      </c>
      <c r="R485" s="7">
        <v>0.1522897443459254</v>
      </c>
      <c r="S485" s="7">
        <v>0.1843226775579221</v>
      </c>
      <c r="T485" s="7">
        <v>5.725720720394137</v>
      </c>
    </row>
    <row x14ac:dyDescent="0.25" r="486" customHeight="1" ht="19.5">
      <c r="A486" s="2" t="s">
        <v>1544</v>
      </c>
      <c r="B486" s="2" t="s">
        <v>1060</v>
      </c>
      <c r="C486" s="2" t="s">
        <v>31</v>
      </c>
      <c r="D486" s="2" t="s">
        <v>402</v>
      </c>
      <c r="E486" s="6">
        <v>1</v>
      </c>
      <c r="F486" s="6">
        <v>2</v>
      </c>
      <c r="G486" s="7">
        <v>0.6579333543777466</v>
      </c>
      <c r="H486" s="7">
        <v>54.35966250000001</v>
      </c>
      <c r="I486" s="7">
        <v>31.78962532262852</v>
      </c>
      <c r="J486" s="7">
        <v>10.42662181056573</v>
      </c>
      <c r="K486" s="7">
        <v>5.500365280168989</v>
      </c>
      <c r="L486" s="7">
        <v>0.8694016683749312</v>
      </c>
      <c r="M486" s="7">
        <v>0.6759519062601288</v>
      </c>
      <c r="N486" s="7">
        <v>0.5880119918851057</v>
      </c>
      <c r="O486" s="7">
        <v>0.0818343962587648</v>
      </c>
      <c r="P486" s="7">
        <v>7.857755756237669</v>
      </c>
      <c r="Q486" s="7">
        <v>0.0556774459360198</v>
      </c>
      <c r="R486" s="7">
        <v>0.1006114539801535</v>
      </c>
      <c r="S486" s="7">
        <v>0.114032187563954</v>
      </c>
      <c r="T486" s="7">
        <v>3.512746717593187</v>
      </c>
    </row>
    <row x14ac:dyDescent="0.25" r="487" customHeight="1" ht="19.5">
      <c r="A487" s="2" t="s">
        <v>1545</v>
      </c>
      <c r="B487" s="2" t="s">
        <v>1060</v>
      </c>
      <c r="C487" s="2" t="s">
        <v>31</v>
      </c>
      <c r="D487" s="2" t="s">
        <v>402</v>
      </c>
      <c r="E487" s="6">
        <v>1</v>
      </c>
      <c r="F487" s="6">
        <v>2</v>
      </c>
      <c r="G487" s="7">
        <v>0.7817445993423462</v>
      </c>
      <c r="H487" s="7">
        <v>53.59427734375</v>
      </c>
      <c r="I487" s="7">
        <v>31.86938655126652</v>
      </c>
      <c r="J487" s="7">
        <v>10.16607096997524</v>
      </c>
      <c r="K487" s="7">
        <v>5.549850504637005</v>
      </c>
      <c r="L487" s="7">
        <v>0.8636760479258107</v>
      </c>
      <c r="M487" s="7">
        <v>0.6631028211187561</v>
      </c>
      <c r="N487" s="7">
        <v>0.5814380702794189</v>
      </c>
      <c r="O487" s="7">
        <v>0.0949368300367162</v>
      </c>
      <c r="P487" s="7">
        <v>7.566423270622906</v>
      </c>
      <c r="Q487" s="7">
        <v>0.0443834397926161</v>
      </c>
      <c r="R487" s="7">
        <v>0.0767207759753216</v>
      </c>
      <c r="S487" s="7">
        <v>0.0980470025526198</v>
      </c>
      <c r="T487" s="7">
        <v>2.760769555921076</v>
      </c>
    </row>
    <row x14ac:dyDescent="0.25" r="488" customHeight="1" ht="19.5">
      <c r="A488" s="2" t="s">
        <v>1546</v>
      </c>
      <c r="B488" s="2" t="s">
        <v>1060</v>
      </c>
      <c r="C488" s="2" t="s">
        <v>31</v>
      </c>
      <c r="D488" s="2" t="s">
        <v>402</v>
      </c>
      <c r="E488" s="6">
        <v>1</v>
      </c>
      <c r="F488" s="6">
        <v>2</v>
      </c>
      <c r="G488" s="7">
        <v>0.8706244826316833</v>
      </c>
      <c r="H488" s="7">
        <v>51.50938203125001</v>
      </c>
      <c r="I488" s="7">
        <v>31.01101813126844</v>
      </c>
      <c r="J488" s="7">
        <v>10.14676159258272</v>
      </c>
      <c r="K488" s="7">
        <v>5.435657676142352</v>
      </c>
      <c r="L488" s="7">
        <v>0.8666110484156052</v>
      </c>
      <c r="M488" s="7">
        <v>0.6730760754382069</v>
      </c>
      <c r="N488" s="7">
        <v>0.5053708581327463</v>
      </c>
      <c r="O488" s="7">
        <v>0.085449486200965</v>
      </c>
      <c r="P488" s="7">
        <v>7.974888285020722</v>
      </c>
      <c r="Q488" s="7">
        <v>0.0630029095509826</v>
      </c>
      <c r="R488" s="7">
        <v>0.1092754441529388</v>
      </c>
      <c r="S488" s="7">
        <v>0.1315500706214663</v>
      </c>
      <c r="T488" s="7">
        <v>3.76649786696794</v>
      </c>
    </row>
    <row x14ac:dyDescent="0.25" r="489" customHeight="1" ht="19.5">
      <c r="A489" s="2" t="s">
        <v>1547</v>
      </c>
      <c r="B489" s="2" t="s">
        <v>1060</v>
      </c>
      <c r="C489" s="2" t="s">
        <v>31</v>
      </c>
      <c r="D489" s="2" t="s">
        <v>402</v>
      </c>
      <c r="E489" s="6">
        <v>1</v>
      </c>
      <c r="F489" s="6">
        <v>2</v>
      </c>
      <c r="G489" s="7">
        <v>0.8748557567596436</v>
      </c>
      <c r="H489" s="7">
        <v>52.5518296875</v>
      </c>
      <c r="I489" s="7">
        <v>30.96818017307116</v>
      </c>
      <c r="J489" s="7">
        <v>10.25762828633409</v>
      </c>
      <c r="K489" s="7">
        <v>5.512066618349094</v>
      </c>
      <c r="L489" s="7">
        <v>0.8648109401098802</v>
      </c>
      <c r="M489" s="7">
        <v>0.6885989169686291</v>
      </c>
      <c r="N489" s="7">
        <v>0.4309382596771046</v>
      </c>
      <c r="O489" s="7">
        <v>0.0724151799750067</v>
      </c>
      <c r="P489" s="7">
        <v>8.390776670112665</v>
      </c>
      <c r="Q489" s="7">
        <v>0.0720021476481323</v>
      </c>
      <c r="R489" s="7">
        <v>0.1312664088781809</v>
      </c>
      <c r="S489" s="7">
        <v>0.1669439487760471</v>
      </c>
      <c r="T489" s="7">
        <v>4.391613101203638</v>
      </c>
    </row>
    <row x14ac:dyDescent="0.25" r="490" customHeight="1" ht="19.5">
      <c r="A490" s="2" t="s">
        <v>1548</v>
      </c>
      <c r="B490" s="2" t="s">
        <v>1060</v>
      </c>
      <c r="C490" s="2" t="s">
        <v>31</v>
      </c>
      <c r="D490" s="2" t="s">
        <v>402</v>
      </c>
      <c r="E490" s="6">
        <v>1</v>
      </c>
      <c r="F490" s="6">
        <v>2</v>
      </c>
      <c r="G490" s="7">
        <v>0.8730366230010986</v>
      </c>
      <c r="H490" s="7">
        <v>53.1336609375</v>
      </c>
      <c r="I490" s="7">
        <v>31.00265349962591</v>
      </c>
      <c r="J490" s="7">
        <v>10.22289203083269</v>
      </c>
      <c r="K490" s="7">
        <v>5.485857404590027</v>
      </c>
      <c r="L490" s="7">
        <v>0.8624806640170383</v>
      </c>
      <c r="M490" s="7">
        <v>0.6946753222301745</v>
      </c>
      <c r="N490" s="7">
        <v>0.3690865950280494</v>
      </c>
      <c r="O490" s="7">
        <v>0.0620811774793482</v>
      </c>
      <c r="P490" s="7">
        <v>8.774969542922017</v>
      </c>
      <c r="Q490" s="7">
        <v>0.0781886580208574</v>
      </c>
      <c r="R490" s="7">
        <v>0.1476752624411531</v>
      </c>
      <c r="S490" s="7">
        <v>0.189731975506625</v>
      </c>
      <c r="T490" s="7">
        <v>4.821745450426901</v>
      </c>
    </row>
    <row x14ac:dyDescent="0.25" r="491" customHeight="1" ht="19.5">
      <c r="A491" s="2" t="s">
        <v>1549</v>
      </c>
      <c r="B491" s="2" t="s">
        <v>1060</v>
      </c>
      <c r="C491" s="2" t="s">
        <v>31</v>
      </c>
      <c r="D491" s="2" t="s">
        <v>402</v>
      </c>
      <c r="E491" s="6">
        <v>1</v>
      </c>
      <c r="F491" s="6">
        <v>2</v>
      </c>
      <c r="G491" s="7">
        <v>0.8655509352684021</v>
      </c>
      <c r="H491" s="7">
        <v>53.7154921875</v>
      </c>
      <c r="I491" s="7">
        <v>31.18338476404218</v>
      </c>
      <c r="J491" s="7">
        <v>10.28361235525602</v>
      </c>
      <c r="K491" s="7">
        <v>5.556918485074373</v>
      </c>
      <c r="L491" s="7">
        <v>0.8610735345044667</v>
      </c>
      <c r="M491" s="7">
        <v>0.6941653261590566</v>
      </c>
      <c r="N491" s="7">
        <v>0.3500956250254444</v>
      </c>
      <c r="O491" s="7">
        <v>0.0606073366349555</v>
      </c>
      <c r="P491" s="7">
        <v>8.899450707250438</v>
      </c>
      <c r="Q491" s="7">
        <v>0.0810389698466342</v>
      </c>
      <c r="R491" s="7">
        <v>0.1553072798001663</v>
      </c>
      <c r="S491" s="7">
        <v>0.197419103130562</v>
      </c>
      <c r="T491" s="7">
        <v>5.052243237308365</v>
      </c>
    </row>
    <row x14ac:dyDescent="0.25" r="492" customHeight="1" ht="19.5">
      <c r="A492" s="2" t="s">
        <v>1550</v>
      </c>
      <c r="B492" s="2" t="s">
        <v>1060</v>
      </c>
      <c r="C492" s="2" t="s">
        <v>31</v>
      </c>
      <c r="D492" s="2" t="s">
        <v>402</v>
      </c>
      <c r="E492" s="6">
        <v>1</v>
      </c>
      <c r="F492" s="6">
        <v>2</v>
      </c>
      <c r="G492" s="7">
        <v>0.8646447658538818</v>
      </c>
      <c r="H492" s="7">
        <v>53.680859375</v>
      </c>
      <c r="I492" s="7">
        <v>30.96818017307116</v>
      </c>
      <c r="J492" s="7">
        <v>10.30830767762441</v>
      </c>
      <c r="K492" s="7">
        <v>5.563114676347741</v>
      </c>
      <c r="L492" s="7">
        <v>0.8607181015408379</v>
      </c>
      <c r="M492" s="7">
        <v>0.7033928570590319</v>
      </c>
      <c r="N492" s="7">
        <v>0.3502114871314558</v>
      </c>
      <c r="O492" s="7">
        <v>0.0605292551506804</v>
      </c>
      <c r="P492" s="7">
        <v>8.893873603438202</v>
      </c>
      <c r="Q492" s="7">
        <v>0.0807506234268802</v>
      </c>
      <c r="R492" s="7">
        <v>0.1547736199444025</v>
      </c>
      <c r="S492" s="7">
        <v>0.1971321806245775</v>
      </c>
      <c r="T492" s="7">
        <v>5.031020927131463</v>
      </c>
    </row>
    <row x14ac:dyDescent="0.25" r="493" customHeight="1" ht="19.5">
      <c r="A493" s="2" t="s">
        <v>1551</v>
      </c>
      <c r="B493" s="2" t="s">
        <v>1060</v>
      </c>
      <c r="C493" s="2" t="s">
        <v>31</v>
      </c>
      <c r="D493" s="2" t="s">
        <v>402</v>
      </c>
      <c r="E493" s="6">
        <v>1</v>
      </c>
      <c r="F493" s="6">
        <v>2</v>
      </c>
      <c r="G493" s="7">
        <v>0.861931324005127</v>
      </c>
      <c r="H493" s="7">
        <v>53.92675234375</v>
      </c>
      <c r="I493" s="7">
        <v>31.0858794721345</v>
      </c>
      <c r="J493" s="7">
        <v>10.29528360707755</v>
      </c>
      <c r="K493" s="7">
        <v>5.554479514553595</v>
      </c>
      <c r="L493" s="7">
        <v>0.8595603906358369</v>
      </c>
      <c r="M493" s="7">
        <v>0.701274121435727</v>
      </c>
      <c r="N493" s="7">
        <v>0.3504520559163251</v>
      </c>
      <c r="O493" s="7">
        <v>0.0595669416976621</v>
      </c>
      <c r="P493" s="7">
        <v>8.894342828951807</v>
      </c>
      <c r="Q493" s="7">
        <v>0.0801348672094075</v>
      </c>
      <c r="R493" s="7">
        <v>0.153779656776212</v>
      </c>
      <c r="S493" s="7">
        <v>0.2004939886563202</v>
      </c>
      <c r="T493" s="7">
        <v>5.015526946137876</v>
      </c>
    </row>
    <row x14ac:dyDescent="0.25" r="494" customHeight="1" ht="19.5">
      <c r="A494" s="2" t="s">
        <v>1552</v>
      </c>
      <c r="B494" s="2" t="s">
        <v>1060</v>
      </c>
      <c r="C494" s="2" t="s">
        <v>31</v>
      </c>
      <c r="D494" s="2" t="s">
        <v>402</v>
      </c>
      <c r="E494" s="6">
        <v>1</v>
      </c>
      <c r="F494" s="6">
        <v>2</v>
      </c>
      <c r="G494" s="7">
        <v>0.8631885647773743</v>
      </c>
      <c r="H494" s="7">
        <v>53.45574609375</v>
      </c>
      <c r="I494" s="7">
        <v>30.95390085367207</v>
      </c>
      <c r="J494" s="7">
        <v>10.29322815820122</v>
      </c>
      <c r="K494" s="7">
        <v>5.509755742086532</v>
      </c>
      <c r="L494" s="7">
        <v>0.8625962881810841</v>
      </c>
      <c r="M494" s="7">
        <v>0.7010895358774656</v>
      </c>
      <c r="N494" s="7">
        <v>0.3488473811816238</v>
      </c>
      <c r="O494" s="7">
        <v>0.0593698797453087</v>
      </c>
      <c r="P494" s="7">
        <v>8.889585727109901</v>
      </c>
      <c r="Q494" s="7">
        <v>0.0824367862079337</v>
      </c>
      <c r="R494" s="7">
        <v>0.1556609434139893</v>
      </c>
      <c r="S494" s="7">
        <v>0.2016119048090755</v>
      </c>
      <c r="T494" s="7">
        <v>5.11453586083555</v>
      </c>
    </row>
    <row x14ac:dyDescent="0.25" r="495" customHeight="1" ht="19.5">
      <c r="A495" s="2" t="s">
        <v>1553</v>
      </c>
      <c r="B495" s="2" t="s">
        <v>1060</v>
      </c>
      <c r="C495" s="2" t="s">
        <v>31</v>
      </c>
      <c r="D495" s="2" t="s">
        <v>402</v>
      </c>
      <c r="E495" s="6">
        <v>1</v>
      </c>
      <c r="F495" s="6">
        <v>2</v>
      </c>
      <c r="G495" s="7">
        <v>0.8632766604423523</v>
      </c>
      <c r="H495" s="7">
        <v>53.82978046875</v>
      </c>
      <c r="I495" s="7">
        <v>30.95390085367207</v>
      </c>
      <c r="J495" s="7">
        <v>10.31736266647184</v>
      </c>
      <c r="K495" s="7">
        <v>5.545433604269443</v>
      </c>
      <c r="L495" s="7">
        <v>0.8600190564345509</v>
      </c>
      <c r="M495" s="7">
        <v>0.7059951186357918</v>
      </c>
      <c r="N495" s="7">
        <v>0.3520490009930995</v>
      </c>
      <c r="O495" s="7">
        <v>0.0602624881157737</v>
      </c>
      <c r="P495" s="7">
        <v>8.877373852517069</v>
      </c>
      <c r="Q495" s="7">
        <v>0.0814212377779846</v>
      </c>
      <c r="R495" s="7">
        <v>0.1550095881802524</v>
      </c>
      <c r="S495" s="7">
        <v>0.1969349407528173</v>
      </c>
      <c r="T495" s="7">
        <v>5.086875271769249</v>
      </c>
    </row>
    <row x14ac:dyDescent="0.25" r="496" customHeight="1" ht="19.5">
      <c r="A496" s="2" t="s">
        <v>1554</v>
      </c>
      <c r="B496" s="2" t="s">
        <v>1060</v>
      </c>
      <c r="C496" s="2" t="s">
        <v>31</v>
      </c>
      <c r="D496" s="2" t="s">
        <v>402</v>
      </c>
      <c r="E496" s="6">
        <v>1</v>
      </c>
      <c r="F496" s="6">
        <v>2</v>
      </c>
      <c r="G496" s="7">
        <v>0.8630063533782959</v>
      </c>
      <c r="H496" s="7">
        <v>53.85748671875</v>
      </c>
      <c r="I496" s="7">
        <v>31.10015879153359</v>
      </c>
      <c r="J496" s="7">
        <v>10.31435993718328</v>
      </c>
      <c r="K496" s="7">
        <v>5.631407871917651</v>
      </c>
      <c r="L496" s="7">
        <v>0.8601456457725483</v>
      </c>
      <c r="M496" s="7">
        <v>0.6997303867077974</v>
      </c>
      <c r="N496" s="7">
        <v>0.3524907932408468</v>
      </c>
      <c r="O496" s="7">
        <v>0.0609354953893092</v>
      </c>
      <c r="P496" s="7">
        <v>8.896334552505301</v>
      </c>
      <c r="Q496" s="7">
        <v>0.0810387728973907</v>
      </c>
      <c r="R496" s="7">
        <v>0.1544465290646064</v>
      </c>
      <c r="S496" s="7">
        <v>0.1970935181078046</v>
      </c>
      <c r="T496" s="7">
        <v>5.065586308234574</v>
      </c>
    </row>
    <row x14ac:dyDescent="0.25" r="497" customHeight="1" ht="19.5">
      <c r="A497" s="2" t="s">
        <v>1555</v>
      </c>
      <c r="B497" s="2" t="s">
        <v>1060</v>
      </c>
      <c r="C497" s="2" t="s">
        <v>31</v>
      </c>
      <c r="D497" s="2" t="s">
        <v>402</v>
      </c>
      <c r="E497" s="6">
        <v>1</v>
      </c>
      <c r="F497" s="6">
        <v>2</v>
      </c>
      <c r="G497" s="7">
        <v>0.8657058477401733</v>
      </c>
      <c r="H497" s="7">
        <v>53.7016390625</v>
      </c>
      <c r="I497" s="7">
        <v>31.12035279868925</v>
      </c>
      <c r="J497" s="7">
        <v>10.30996873716202</v>
      </c>
      <c r="K497" s="7">
        <v>5.558458005522505</v>
      </c>
      <c r="L497" s="7">
        <v>0.862091330367722</v>
      </c>
      <c r="M497" s="7">
        <v>0.6968003847116218</v>
      </c>
      <c r="N497" s="7">
        <v>0.3500627241154146</v>
      </c>
      <c r="O497" s="7">
        <v>0.0616299659495413</v>
      </c>
      <c r="P497" s="7">
        <v>8.897739292421669</v>
      </c>
      <c r="Q497" s="7">
        <v>0.080249066164279</v>
      </c>
      <c r="R497" s="7">
        <v>0.1552075288777256</v>
      </c>
      <c r="S497" s="7">
        <v>0.1971929595043135</v>
      </c>
      <c r="T497" s="7">
        <v>5.001707708585897</v>
      </c>
    </row>
    <row x14ac:dyDescent="0.25" r="498" customHeight="1" ht="19.5">
      <c r="A498" s="2" t="s">
        <v>1556</v>
      </c>
      <c r="B498" s="2" t="s">
        <v>1060</v>
      </c>
      <c r="C498" s="2" t="s">
        <v>31</v>
      </c>
      <c r="D498" s="2" t="s">
        <v>402</v>
      </c>
      <c r="E498" s="6">
        <v>1</v>
      </c>
      <c r="F498" s="6">
        <v>2</v>
      </c>
      <c r="G498" s="7">
        <v>0.8628085851669312</v>
      </c>
      <c r="H498" s="7">
        <v>53.84017031250001</v>
      </c>
      <c r="I498" s="7">
        <v>31.03712682618066</v>
      </c>
      <c r="J498" s="7">
        <v>10.22089606466847</v>
      </c>
      <c r="K498" s="7">
        <v>5.599707718612477</v>
      </c>
      <c r="L498" s="7">
        <v>0.8572027010097891</v>
      </c>
      <c r="M498" s="7">
        <v>0.7023494833736681</v>
      </c>
      <c r="N498" s="7">
        <v>0.3471459045170627</v>
      </c>
      <c r="O498" s="7">
        <v>0.0589039770802206</v>
      </c>
      <c r="P498" s="7">
        <v>8.89265705599873</v>
      </c>
      <c r="Q498" s="7">
        <v>0.0814147107571655</v>
      </c>
      <c r="R498" s="7">
        <v>0.1546402092263914</v>
      </c>
      <c r="S498" s="7">
        <v>0.1974380794355675</v>
      </c>
      <c r="T498" s="7">
        <v>5.087449243457574</v>
      </c>
    </row>
    <row x14ac:dyDescent="0.25" r="499" customHeight="1" ht="19.5">
      <c r="A499" s="2" t="s">
        <v>1557</v>
      </c>
      <c r="B499" s="2" t="s">
        <v>1060</v>
      </c>
      <c r="C499" s="2" t="s">
        <v>31</v>
      </c>
      <c r="D499" s="2" t="s">
        <v>402</v>
      </c>
      <c r="E499" s="6">
        <v>1</v>
      </c>
      <c r="F499" s="6">
        <v>2</v>
      </c>
      <c r="G499" s="7">
        <v>0.8637088537216187</v>
      </c>
      <c r="H499" s="7">
        <v>53.67739609375</v>
      </c>
      <c r="I499" s="7">
        <v>31.0858794721345</v>
      </c>
      <c r="J499" s="7">
        <v>10.22783770542218</v>
      </c>
      <c r="K499" s="7">
        <v>5.601300334483634</v>
      </c>
      <c r="L499" s="7">
        <v>0.8584396337957579</v>
      </c>
      <c r="M499" s="7">
        <v>0.6980314435895146</v>
      </c>
      <c r="N499" s="7">
        <v>0.3518171384435283</v>
      </c>
      <c r="O499" s="7">
        <v>0.0599561224342691</v>
      </c>
      <c r="P499" s="7">
        <v>8.886784095522717</v>
      </c>
      <c r="Q499" s="7">
        <v>0.0812806652286355</v>
      </c>
      <c r="R499" s="7">
        <v>0.154884073133191</v>
      </c>
      <c r="S499" s="7">
        <v>0.1980467390080809</v>
      </c>
      <c r="T499" s="7">
        <v>5.063717506356971</v>
      </c>
    </row>
    <row x14ac:dyDescent="0.25" r="500" customHeight="1" ht="19.5">
      <c r="A500" s="2" t="s">
        <v>1558</v>
      </c>
      <c r="B500" s="2" t="s">
        <v>1060</v>
      </c>
      <c r="C500" s="2" t="s">
        <v>31</v>
      </c>
      <c r="D500" s="2" t="s">
        <v>402</v>
      </c>
      <c r="E500" s="6">
        <v>1</v>
      </c>
      <c r="F500" s="6">
        <v>2</v>
      </c>
      <c r="G500" s="7">
        <v>0.8671684861183167</v>
      </c>
      <c r="H500" s="7">
        <v>53.33453125</v>
      </c>
      <c r="I500" s="7">
        <v>31.18338476404218</v>
      </c>
      <c r="J500" s="7">
        <v>10.25414904948766</v>
      </c>
      <c r="K500" s="7">
        <v>5.550707610680287</v>
      </c>
      <c r="L500" s="7">
        <v>0.8607010690205736</v>
      </c>
      <c r="M500" s="7">
        <v>0.689242167817503</v>
      </c>
      <c r="N500" s="7">
        <v>0.3551746365006599</v>
      </c>
      <c r="O500" s="7">
        <v>0.0624827680478715</v>
      </c>
      <c r="P500" s="7">
        <v>8.87010035295657</v>
      </c>
      <c r="Q500" s="7">
        <v>0.0808936991070675</v>
      </c>
      <c r="R500" s="7">
        <v>0.1535000207383353</v>
      </c>
      <c r="S500" s="7">
        <v>0.1964921689858358</v>
      </c>
      <c r="T500" s="7">
        <v>5.007419287859074</v>
      </c>
    </row>
    <row x14ac:dyDescent="0.25" r="501" customHeight="1" ht="19.5">
      <c r="A501" s="2" t="s">
        <v>1559</v>
      </c>
      <c r="B501" s="2" t="s">
        <v>1060</v>
      </c>
      <c r="C501" s="2" t="s">
        <v>31</v>
      </c>
      <c r="D501" s="2" t="s">
        <v>402</v>
      </c>
      <c r="E501" s="6">
        <v>1</v>
      </c>
      <c r="F501" s="6">
        <v>2</v>
      </c>
      <c r="G501" s="7">
        <v>0.8626290559768677</v>
      </c>
      <c r="H501" s="7">
        <v>53.72588203125</v>
      </c>
      <c r="I501" s="7">
        <v>31.23213740999601</v>
      </c>
      <c r="J501" s="7">
        <v>10.23369620169549</v>
      </c>
      <c r="K501" s="7">
        <v>5.605247851825657</v>
      </c>
      <c r="L501" s="7">
        <v>0.8578320598515945</v>
      </c>
      <c r="M501" s="7">
        <v>0.6921337145811696</v>
      </c>
      <c r="N501" s="7">
        <v>0.3494646561011135</v>
      </c>
      <c r="O501" s="7">
        <v>0.0601539458114201</v>
      </c>
      <c r="P501" s="7">
        <v>8.878753794736646</v>
      </c>
      <c r="Q501" s="7">
        <v>0.0809089412937332</v>
      </c>
      <c r="R501" s="7">
        <v>0.1531549719456485</v>
      </c>
      <c r="S501" s="7">
        <v>0.1983881527096266</v>
      </c>
      <c r="T501" s="7">
        <v>5.045112473002197</v>
      </c>
    </row>
    <row x14ac:dyDescent="0.25" r="502" customHeight="1" ht="19.5">
      <c r="A502" s="2" t="s">
        <v>1560</v>
      </c>
      <c r="B502" s="2" t="s">
        <v>1060</v>
      </c>
      <c r="C502" s="2" t="s">
        <v>31</v>
      </c>
      <c r="D502" s="2" t="s">
        <v>402</v>
      </c>
      <c r="E502" s="6">
        <v>1</v>
      </c>
      <c r="F502" s="6">
        <v>2</v>
      </c>
      <c r="G502" s="7">
        <v>0.860561728477478</v>
      </c>
      <c r="H502" s="7">
        <v>53.77783125000001</v>
      </c>
      <c r="I502" s="7">
        <v>31.14891143748743</v>
      </c>
      <c r="J502" s="7">
        <v>10.2359675385143</v>
      </c>
      <c r="K502" s="7">
        <v>5.618199507352513</v>
      </c>
      <c r="L502" s="7">
        <v>0.8572477699098852</v>
      </c>
      <c r="M502" s="7">
        <v>0.6965100706535277</v>
      </c>
      <c r="N502" s="7">
        <v>0.3512215432552925</v>
      </c>
      <c r="O502" s="7">
        <v>0.0596064176586042</v>
      </c>
      <c r="P502" s="7">
        <v>8.890142786479956</v>
      </c>
      <c r="Q502" s="7">
        <v>0.0810844563367247</v>
      </c>
      <c r="R502" s="7">
        <v>0.1540591946150848</v>
      </c>
      <c r="S502" s="7">
        <v>0.1965745318254383</v>
      </c>
      <c r="T502" s="7">
        <v>5.060945648236491</v>
      </c>
    </row>
    <row x14ac:dyDescent="0.25" r="503" customHeight="1" ht="19.5">
      <c r="A503" s="2" t="s">
        <v>1561</v>
      </c>
      <c r="B503" s="2" t="s">
        <v>1060</v>
      </c>
      <c r="C503" s="2" t="s">
        <v>31</v>
      </c>
      <c r="D503" s="2" t="s">
        <v>402</v>
      </c>
      <c r="E503" s="6">
        <v>1</v>
      </c>
      <c r="F503" s="6">
        <v>2</v>
      </c>
      <c r="G503" s="7">
        <v>0.8623643517494202</v>
      </c>
      <c r="H503" s="7">
        <v>53.82285390625</v>
      </c>
      <c r="I503" s="7">
        <v>31.03712682618066</v>
      </c>
      <c r="J503" s="7">
        <v>10.24409302081025</v>
      </c>
      <c r="K503" s="7">
        <v>5.628273760346989</v>
      </c>
      <c r="L503" s="7">
        <v>0.856588851906038</v>
      </c>
      <c r="M503" s="7">
        <v>0.7021235894191544</v>
      </c>
      <c r="N503" s="7">
        <v>0.3510983881719345</v>
      </c>
      <c r="O503" s="7">
        <v>0.0599534465789508</v>
      </c>
      <c r="P503" s="7">
        <v>8.86477595012972</v>
      </c>
      <c r="Q503" s="7">
        <v>0.080840291986822</v>
      </c>
      <c r="R503" s="7">
        <v>0.1531213617429167</v>
      </c>
      <c r="S503" s="7">
        <v>0.1959084368516609</v>
      </c>
      <c r="T503" s="7">
        <v>5.049930203258275</v>
      </c>
    </row>
    <row x14ac:dyDescent="0.25" r="504" customHeight="1" ht="19.5">
      <c r="A504" s="2" t="s">
        <v>1562</v>
      </c>
      <c r="B504" s="2" t="s">
        <v>1060</v>
      </c>
      <c r="C504" s="2" t="s">
        <v>31</v>
      </c>
      <c r="D504" s="2" t="s">
        <v>402</v>
      </c>
      <c r="E504" s="6">
        <v>1</v>
      </c>
      <c r="F504" s="6">
        <v>2</v>
      </c>
      <c r="G504" s="7">
        <v>0.8654289245605469</v>
      </c>
      <c r="H504" s="7">
        <v>53.50076875000001</v>
      </c>
      <c r="I504" s="7">
        <v>31.00265349962591</v>
      </c>
      <c r="J504" s="7">
        <v>10.24233191685703</v>
      </c>
      <c r="K504" s="7">
        <v>5.569169962832194</v>
      </c>
      <c r="L504" s="7">
        <v>0.8588739169640245</v>
      </c>
      <c r="M504" s="7">
        <v>0.6994749301141792</v>
      </c>
      <c r="N504" s="7">
        <v>0.3537875649145597</v>
      </c>
      <c r="O504" s="7">
        <v>0.0613291556870703</v>
      </c>
      <c r="P504" s="7">
        <v>8.87310713068625</v>
      </c>
      <c r="Q504" s="7">
        <v>0.0817082734236482</v>
      </c>
      <c r="R504" s="7">
        <v>0.1541175864167605</v>
      </c>
      <c r="S504" s="7">
        <v>0.1984430794560165</v>
      </c>
      <c r="T504" s="7">
        <v>5.073607141810867</v>
      </c>
    </row>
    <row x14ac:dyDescent="0.25" r="505" customHeight="1" ht="19.5">
      <c r="A505" s="2" t="s">
        <v>1563</v>
      </c>
      <c r="B505" s="2" t="s">
        <v>1060</v>
      </c>
      <c r="C505" s="2" t="s">
        <v>31</v>
      </c>
      <c r="D505" s="2" t="s">
        <v>402</v>
      </c>
      <c r="E505" s="6">
        <v>1</v>
      </c>
      <c r="F505" s="6">
        <v>2</v>
      </c>
      <c r="G505" s="7">
        <v>0.8640556335449219</v>
      </c>
      <c r="H505" s="7">
        <v>53.48345234375</v>
      </c>
      <c r="I505" s="7">
        <v>31.10015879153359</v>
      </c>
      <c r="J505" s="7">
        <v>10.2490123796347</v>
      </c>
      <c r="K505" s="7">
        <v>5.570844269338412</v>
      </c>
      <c r="L505" s="7">
        <v>0.8591273940998302</v>
      </c>
      <c r="M505" s="7">
        <v>0.6948708354400692</v>
      </c>
      <c r="N505" s="7">
        <v>0.3535707336533371</v>
      </c>
      <c r="O505" s="7">
        <v>0.0615749354441478</v>
      </c>
      <c r="P505" s="7">
        <v>8.868488970300358</v>
      </c>
      <c r="Q505" s="7">
        <v>0.0815483686817494</v>
      </c>
      <c r="R505" s="7">
        <v>0.154616207216144</v>
      </c>
      <c r="S505" s="7">
        <v>0.1995795013964686</v>
      </c>
      <c r="T505" s="7">
        <v>5.062039047226717</v>
      </c>
    </row>
    <row x14ac:dyDescent="0.25" r="506" customHeight="1" ht="19.5">
      <c r="A506" s="2" t="s">
        <v>1564</v>
      </c>
      <c r="B506" s="2" t="s">
        <v>1060</v>
      </c>
      <c r="C506" s="2" t="s">
        <v>31</v>
      </c>
      <c r="D506" s="2" t="s">
        <v>402</v>
      </c>
      <c r="E506" s="6">
        <v>1</v>
      </c>
      <c r="F506" s="6">
        <v>2</v>
      </c>
      <c r="G506" s="7">
        <v>0.8638737201690674</v>
      </c>
      <c r="H506" s="7">
        <v>53.71895546875</v>
      </c>
      <c r="I506" s="7">
        <v>31.00265349962591</v>
      </c>
      <c r="J506" s="7">
        <v>10.23341098053742</v>
      </c>
      <c r="K506" s="7">
        <v>5.562053056718389</v>
      </c>
      <c r="L506" s="7">
        <v>0.8580451861357526</v>
      </c>
      <c r="M506" s="7">
        <v>0.7023275272527856</v>
      </c>
      <c r="N506" s="7">
        <v>0.3516744675448784</v>
      </c>
      <c r="O506" s="7">
        <v>0.0601199641960857</v>
      </c>
      <c r="P506" s="7">
        <v>8.871767191959668</v>
      </c>
      <c r="Q506" s="7">
        <v>0.0810792638661157</v>
      </c>
      <c r="R506" s="7">
        <v>0.1533007849086596</v>
      </c>
      <c r="S506" s="7">
        <v>0.1995840434631344</v>
      </c>
      <c r="T506" s="7">
        <v>5.055081205634794</v>
      </c>
    </row>
    <row x14ac:dyDescent="0.25" r="507" customHeight="1" ht="19.5">
      <c r="A507" s="2" t="s">
        <v>1565</v>
      </c>
      <c r="B507" s="2" t="s">
        <v>1060</v>
      </c>
      <c r="C507" s="2" t="s">
        <v>31</v>
      </c>
      <c r="D507" s="2" t="s">
        <v>402</v>
      </c>
      <c r="E507" s="6">
        <v>1</v>
      </c>
      <c r="F507" s="6">
        <v>2</v>
      </c>
      <c r="G507" s="7">
        <v>0.8660746216773987</v>
      </c>
      <c r="H507" s="7">
        <v>54.1726453125</v>
      </c>
      <c r="I507" s="7">
        <v>31.28089005594986</v>
      </c>
      <c r="J507" s="7">
        <v>10.30103944912412</v>
      </c>
      <c r="K507" s="7">
        <v>5.620151509561639</v>
      </c>
      <c r="L507" s="7">
        <v>0.8588810089424134</v>
      </c>
      <c r="M507" s="7">
        <v>0.6957155390086182</v>
      </c>
      <c r="N507" s="7">
        <v>0.3548021114687751</v>
      </c>
      <c r="O507" s="7">
        <v>0.0615095753335674</v>
      </c>
      <c r="P507" s="7">
        <v>8.894737700438853</v>
      </c>
      <c r="Q507" s="7">
        <v>0.0803289913401018</v>
      </c>
      <c r="R507" s="7">
        <v>0.1549006445089786</v>
      </c>
      <c r="S507" s="7">
        <v>0.1966782145974387</v>
      </c>
      <c r="T507" s="7">
        <v>5.050601890966492</v>
      </c>
    </row>
    <row x14ac:dyDescent="0.25" r="508" customHeight="1" ht="19.5">
      <c r="A508" s="2" t="s">
        <v>1566</v>
      </c>
      <c r="B508" s="2" t="s">
        <v>1060</v>
      </c>
      <c r="C508" s="2" t="s">
        <v>31</v>
      </c>
      <c r="D508" s="2" t="s">
        <v>402</v>
      </c>
      <c r="E508" s="6">
        <v>1</v>
      </c>
      <c r="F508" s="6">
        <v>2</v>
      </c>
      <c r="G508" s="7">
        <v>0.8657814264297485</v>
      </c>
      <c r="H508" s="7">
        <v>53.62891015625</v>
      </c>
      <c r="I508" s="7">
        <v>30.95390085367207</v>
      </c>
      <c r="J508" s="7">
        <v>10.23160829848627</v>
      </c>
      <c r="K508" s="7">
        <v>5.550147610388681</v>
      </c>
      <c r="L508" s="7">
        <v>0.8585666950098476</v>
      </c>
      <c r="M508" s="7">
        <v>0.7033606390063204</v>
      </c>
      <c r="N508" s="7">
        <v>0.3522558097369639</v>
      </c>
      <c r="O508" s="7">
        <v>0.0600031345060482</v>
      </c>
      <c r="P508" s="7">
        <v>8.88226588231324</v>
      </c>
      <c r="Q508" s="7">
        <v>0.081133463421428</v>
      </c>
      <c r="R508" s="7">
        <v>0.1549748485071398</v>
      </c>
      <c r="S508" s="7">
        <v>0.1979835143235303</v>
      </c>
      <c r="T508" s="7">
        <v>5.049981264992589</v>
      </c>
    </row>
    <row x14ac:dyDescent="0.25" r="509" customHeight="1" ht="19.5">
      <c r="A509" s="2" t="s">
        <v>1567</v>
      </c>
      <c r="B509" s="2" t="s">
        <v>1060</v>
      </c>
      <c r="C509" s="2" t="s">
        <v>31</v>
      </c>
      <c r="D509" s="2" t="s">
        <v>402</v>
      </c>
      <c r="E509" s="6">
        <v>1</v>
      </c>
      <c r="F509" s="6">
        <v>2</v>
      </c>
      <c r="G509" s="7">
        <v>0.8688259720802307</v>
      </c>
      <c r="H509" s="7">
        <v>53.53886484375001</v>
      </c>
      <c r="I509" s="7">
        <v>31.26661073655076</v>
      </c>
      <c r="J509" s="7">
        <v>10.25371322455438</v>
      </c>
      <c r="K509" s="7">
        <v>5.578691218121172</v>
      </c>
      <c r="L509" s="7">
        <v>0.859726839291177</v>
      </c>
      <c r="M509" s="7">
        <v>0.6882043434971994</v>
      </c>
      <c r="N509" s="7">
        <v>0.35950961809058</v>
      </c>
      <c r="O509" s="7">
        <v>0.0622705710506885</v>
      </c>
      <c r="P509" s="7">
        <v>8.816388037659372</v>
      </c>
      <c r="Q509" s="7">
        <v>0.0813663810762655</v>
      </c>
      <c r="R509" s="7">
        <v>0.1549403227461481</v>
      </c>
      <c r="S509" s="7">
        <v>0.1998389472021632</v>
      </c>
      <c r="T509" s="7">
        <v>5.055975249209289</v>
      </c>
    </row>
    <row x14ac:dyDescent="0.25" r="510" customHeight="1" ht="19.5">
      <c r="A510" s="2" t="s">
        <v>1568</v>
      </c>
      <c r="B510" s="2" t="s">
        <v>1060</v>
      </c>
      <c r="C510" s="2" t="s">
        <v>31</v>
      </c>
      <c r="D510" s="2" t="s">
        <v>402</v>
      </c>
      <c r="E510" s="6">
        <v>1</v>
      </c>
      <c r="F510" s="6">
        <v>2</v>
      </c>
      <c r="G510" s="7">
        <v>0.8644531965255737</v>
      </c>
      <c r="H510" s="7">
        <v>51.519771875</v>
      </c>
      <c r="I510" s="7">
        <v>30.85048087400783</v>
      </c>
      <c r="J510" s="7">
        <v>10.19266279533716</v>
      </c>
      <c r="K510" s="7">
        <v>5.41628675155021</v>
      </c>
      <c r="L510" s="7">
        <v>0.8700900666513631</v>
      </c>
      <c r="M510" s="7">
        <v>0.6802364813534759</v>
      </c>
      <c r="N510" s="7">
        <v>0.5324039633006031</v>
      </c>
      <c r="O510" s="7">
        <v>0.0878790704725922</v>
      </c>
      <c r="P510" s="7">
        <v>7.818212378549412</v>
      </c>
      <c r="Q510" s="7">
        <v>0.0636621620214053</v>
      </c>
      <c r="R510" s="7">
        <v>0.1064416997766612</v>
      </c>
      <c r="S510" s="7">
        <v>0.132921532180332</v>
      </c>
      <c r="T510" s="7">
        <v>3.806677585991969</v>
      </c>
    </row>
    <row x14ac:dyDescent="0.25" r="511" customHeight="1" ht="19.5">
      <c r="A511" s="2" t="s">
        <v>1569</v>
      </c>
      <c r="B511" s="2" t="s">
        <v>1060</v>
      </c>
      <c r="C511" s="2" t="s">
        <v>31</v>
      </c>
      <c r="D511" s="2" t="s">
        <v>402</v>
      </c>
      <c r="E511" s="6">
        <v>1</v>
      </c>
      <c r="F511" s="6">
        <v>2</v>
      </c>
      <c r="G511" s="7">
        <v>0.7812689542770386</v>
      </c>
      <c r="H511" s="7">
        <v>54.28693359375001</v>
      </c>
      <c r="I511" s="7">
        <v>31.02631225065216</v>
      </c>
      <c r="J511" s="7">
        <v>10.11715853785646</v>
      </c>
      <c r="K511" s="7">
        <v>5.309455281593467</v>
      </c>
      <c r="L511" s="7">
        <v>0.8584320331126393</v>
      </c>
      <c r="M511" s="7">
        <v>0.7086713201865983</v>
      </c>
      <c r="N511" s="7">
        <v>0.5802888260757018</v>
      </c>
      <c r="O511" s="7">
        <v>0.08494481550034</v>
      </c>
      <c r="P511" s="7">
        <v>7.752017338429412</v>
      </c>
      <c r="Q511" s="7">
        <v>0.0199977871179394</v>
      </c>
      <c r="R511" s="7">
        <v>0.0329893104524632</v>
      </c>
      <c r="S511" s="7">
        <v>0.0439733676364148</v>
      </c>
      <c r="T511" s="7">
        <v>1.259992709115815</v>
      </c>
    </row>
    <row x14ac:dyDescent="0.25" r="512" customHeight="1" ht="19.5">
      <c r="A512" s="2" t="s">
        <v>1570</v>
      </c>
      <c r="B512" s="2" t="s">
        <v>1060</v>
      </c>
      <c r="C512" s="2" t="s">
        <v>31</v>
      </c>
      <c r="D512" s="2" t="s">
        <v>402</v>
      </c>
      <c r="E512" s="6">
        <v>1</v>
      </c>
      <c r="F512" s="6">
        <v>2</v>
      </c>
      <c r="G512" s="7">
        <v>0.8128896355628967</v>
      </c>
      <c r="H512" s="7">
        <v>53.93367890625</v>
      </c>
      <c r="I512" s="7">
        <v>30.9918389240974</v>
      </c>
      <c r="J512" s="7">
        <v>10.18843383856452</v>
      </c>
      <c r="K512" s="7">
        <v>5.378402568860633</v>
      </c>
      <c r="L512" s="7">
        <v>0.861259966966143</v>
      </c>
      <c r="M512" s="7">
        <v>0.7056270433278697</v>
      </c>
      <c r="N512" s="7">
        <v>0.4942345715981439</v>
      </c>
      <c r="O512" s="7">
        <v>0.0732668984050026</v>
      </c>
      <c r="P512" s="7">
        <v>8.22172698240778</v>
      </c>
      <c r="Q512" s="7">
        <v>0.0348061168629146</v>
      </c>
      <c r="R512" s="7">
        <v>0.056847163085151</v>
      </c>
      <c r="S512" s="7">
        <v>0.0708470964303945</v>
      </c>
      <c r="T512" s="7">
        <v>2.178744979295346</v>
      </c>
    </row>
    <row x14ac:dyDescent="0.25" r="513" customHeight="1" ht="19.5">
      <c r="A513" s="2" t="s">
        <v>1571</v>
      </c>
      <c r="B513" s="2" t="s">
        <v>1060</v>
      </c>
      <c r="C513" s="2" t="s">
        <v>31</v>
      </c>
      <c r="D513" s="2" t="s">
        <v>402</v>
      </c>
      <c r="E513" s="6">
        <v>1</v>
      </c>
      <c r="F513" s="6">
        <v>2</v>
      </c>
      <c r="G513" s="7">
        <v>0.8225933313369751</v>
      </c>
      <c r="H513" s="7">
        <v>55.966625</v>
      </c>
      <c r="I513" s="7">
        <v>31.34493682128741</v>
      </c>
      <c r="J513" s="7">
        <v>10.23253560378275</v>
      </c>
      <c r="K513" s="7">
        <v>5.436532537972076</v>
      </c>
      <c r="L513" s="7">
        <v>0.8530660957492223</v>
      </c>
      <c r="M513" s="7">
        <v>0.7158205869036429</v>
      </c>
      <c r="N513" s="7">
        <v>0.4128331615746354</v>
      </c>
      <c r="O513" s="7">
        <v>0.061587766241422</v>
      </c>
      <c r="P513" s="7">
        <v>8.58927795314497</v>
      </c>
      <c r="Q513" s="7">
        <v>0.0472223154727827</v>
      </c>
      <c r="R513" s="7">
        <v>0.0809733454891938</v>
      </c>
      <c r="S513" s="7">
        <v>0.1024915395895225</v>
      </c>
      <c r="T513" s="7">
        <v>3.067377138276316</v>
      </c>
    </row>
    <row x14ac:dyDescent="0.25" r="514" customHeight="1" ht="19.5">
      <c r="A514" s="2" t="s">
        <v>1572</v>
      </c>
      <c r="B514" s="2" t="s">
        <v>1060</v>
      </c>
      <c r="C514" s="2" t="s">
        <v>31</v>
      </c>
      <c r="D514" s="2" t="s">
        <v>402</v>
      </c>
      <c r="E514" s="6">
        <v>1</v>
      </c>
      <c r="F514" s="6">
        <v>2</v>
      </c>
      <c r="G514" s="7">
        <v>0.8295692801475525</v>
      </c>
      <c r="H514" s="7">
        <v>56.42724140625</v>
      </c>
      <c r="I514" s="7">
        <v>31.93588326049005</v>
      </c>
      <c r="J514" s="7">
        <v>10.36515961315197</v>
      </c>
      <c r="K514" s="7">
        <v>5.618437693992686</v>
      </c>
      <c r="L514" s="7">
        <v>0.8537844296807585</v>
      </c>
      <c r="M514" s="7">
        <v>0.695249714242486</v>
      </c>
      <c r="N514" s="7">
        <v>0.3705021021690711</v>
      </c>
      <c r="O514" s="7">
        <v>0.0555841392450206</v>
      </c>
      <c r="P514" s="7">
        <v>8.881726438519177</v>
      </c>
      <c r="Q514" s="7">
        <v>0.055756736058918</v>
      </c>
      <c r="R514" s="7">
        <v>0.097276326063169</v>
      </c>
      <c r="S514" s="7">
        <v>0.1286495904686094</v>
      </c>
      <c r="T514" s="7">
        <v>3.651547395080542</v>
      </c>
    </row>
    <row x14ac:dyDescent="0.25" r="515" customHeight="1" ht="19.5">
      <c r="A515" s="2" t="s">
        <v>1573</v>
      </c>
      <c r="B515" s="2" t="s">
        <v>1060</v>
      </c>
      <c r="C515" s="2" t="s">
        <v>31</v>
      </c>
      <c r="D515" s="2" t="s">
        <v>402</v>
      </c>
      <c r="E515" s="6">
        <v>1</v>
      </c>
      <c r="F515" s="6">
        <v>2</v>
      </c>
      <c r="G515" s="7">
        <v>0.8269660472869873</v>
      </c>
      <c r="H515" s="7">
        <v>56.83244531250001</v>
      </c>
      <c r="I515" s="7">
        <v>31.85474844589209</v>
      </c>
      <c r="J515" s="7">
        <v>10.32991601438002</v>
      </c>
      <c r="K515" s="7">
        <v>5.555268646022213</v>
      </c>
      <c r="L515" s="7">
        <v>0.8528807999950134</v>
      </c>
      <c r="M515" s="7">
        <v>0.7038139118844571</v>
      </c>
      <c r="N515" s="7">
        <v>0.3579612984124599</v>
      </c>
      <c r="O515" s="7">
        <v>0.0540917562543761</v>
      </c>
      <c r="P515" s="7">
        <v>8.933918971603926</v>
      </c>
      <c r="Q515" s="7">
        <v>0.055012919815185</v>
      </c>
      <c r="R515" s="7">
        <v>0.0965990143428739</v>
      </c>
      <c r="S515" s="7">
        <v>0.1313086244670381</v>
      </c>
      <c r="T515" s="7">
        <v>3.628706298517718</v>
      </c>
    </row>
    <row x14ac:dyDescent="0.25" r="516" customHeight="1" ht="19.5">
      <c r="A516" s="2" t="s">
        <v>1574</v>
      </c>
      <c r="B516" s="2" t="s">
        <v>1060</v>
      </c>
      <c r="C516" s="2" t="s">
        <v>31</v>
      </c>
      <c r="D516" s="2" t="s">
        <v>402</v>
      </c>
      <c r="E516" s="6">
        <v>1</v>
      </c>
      <c r="F516" s="6">
        <v>2</v>
      </c>
      <c r="G516" s="7">
        <v>0.8321883082389832</v>
      </c>
      <c r="H516" s="7">
        <v>56.6107953125</v>
      </c>
      <c r="I516" s="7">
        <v>32.09642051775066</v>
      </c>
      <c r="J516" s="7">
        <v>10.35096536821466</v>
      </c>
      <c r="K516" s="7">
        <v>5.588761047191325</v>
      </c>
      <c r="L516" s="7">
        <v>0.8549438301435773</v>
      </c>
      <c r="M516" s="7">
        <v>0.6905512528088618</v>
      </c>
      <c r="N516" s="7">
        <v>0.3603106949982397</v>
      </c>
      <c r="O516" s="7">
        <v>0.0538181623452635</v>
      </c>
      <c r="P516" s="7">
        <v>8.970955532669748</v>
      </c>
      <c r="Q516" s="7">
        <v>0.0539699708367701</v>
      </c>
      <c r="R516" s="7">
        <v>0.0947310070313698</v>
      </c>
      <c r="S516" s="7">
        <v>0.1284574814843571</v>
      </c>
      <c r="T516" s="7">
        <v>3.546028482985308</v>
      </c>
    </row>
    <row x14ac:dyDescent="0.25" r="517" customHeight="1" ht="19.5">
      <c r="A517" s="2" t="s">
        <v>1575</v>
      </c>
      <c r="B517" s="2" t="s">
        <v>1060</v>
      </c>
      <c r="C517" s="2" t="s">
        <v>31</v>
      </c>
      <c r="D517" s="2" t="s">
        <v>402</v>
      </c>
      <c r="E517" s="6">
        <v>1</v>
      </c>
      <c r="F517" s="6">
        <v>2</v>
      </c>
      <c r="G517" s="7">
        <v>0.8308830857276917</v>
      </c>
      <c r="H517" s="7">
        <v>56.7354734375</v>
      </c>
      <c r="I517" s="7">
        <v>31.95016257988913</v>
      </c>
      <c r="J517" s="7">
        <v>10.35633143559515</v>
      </c>
      <c r="K517" s="7">
        <v>5.549737160241188</v>
      </c>
      <c r="L517" s="7">
        <v>0.8554379816602273</v>
      </c>
      <c r="M517" s="7">
        <v>0.6984227902706514</v>
      </c>
      <c r="N517" s="7">
        <v>0.3583126252498088</v>
      </c>
      <c r="O517" s="7">
        <v>0.0537317386412045</v>
      </c>
      <c r="P517" s="7">
        <v>8.984723466846566</v>
      </c>
      <c r="Q517" s="7">
        <v>0.0557549798337569</v>
      </c>
      <c r="R517" s="7">
        <v>0.097362016095962</v>
      </c>
      <c r="S517" s="7">
        <v>0.1300994883234899</v>
      </c>
      <c r="T517" s="7">
        <v>3.671378213186057</v>
      </c>
    </row>
    <row x14ac:dyDescent="0.25" r="518" customHeight="1" ht="19.5">
      <c r="A518" s="2" t="s">
        <v>1576</v>
      </c>
      <c r="B518" s="2" t="s">
        <v>1060</v>
      </c>
      <c r="C518" s="2" t="s">
        <v>31</v>
      </c>
      <c r="D518" s="2" t="s">
        <v>402</v>
      </c>
      <c r="E518" s="6">
        <v>1</v>
      </c>
      <c r="F518" s="6">
        <v>2</v>
      </c>
      <c r="G518" s="7">
        <v>0.8288719654083252</v>
      </c>
      <c r="H518" s="7">
        <v>56.62464843750001</v>
      </c>
      <c r="I518" s="7">
        <v>31.56850604390094</v>
      </c>
      <c r="J518" s="7">
        <v>10.36071547479995</v>
      </c>
      <c r="K518" s="7">
        <v>5.567616149337759</v>
      </c>
      <c r="L518" s="7">
        <v>0.8548095164553277</v>
      </c>
      <c r="M518" s="7">
        <v>0.7140149798211287</v>
      </c>
      <c r="N518" s="7">
        <v>0.3630143517109782</v>
      </c>
      <c r="O518" s="7">
        <v>0.0544401345817535</v>
      </c>
      <c r="P518" s="7">
        <v>8.934320479841642</v>
      </c>
      <c r="Q518" s="7">
        <v>0.0557937862792549</v>
      </c>
      <c r="R518" s="7">
        <v>0.0981993001824161</v>
      </c>
      <c r="S518" s="7">
        <v>0.1334918801574517</v>
      </c>
      <c r="T518" s="7">
        <v>3.66675702940387</v>
      </c>
    </row>
    <row x14ac:dyDescent="0.25" r="519" customHeight="1" ht="19.5">
      <c r="A519" s="2" t="s">
        <v>1577</v>
      </c>
      <c r="B519" s="2" t="s">
        <v>1060</v>
      </c>
      <c r="C519" s="2" t="s">
        <v>31</v>
      </c>
      <c r="D519" s="2" t="s">
        <v>402</v>
      </c>
      <c r="E519" s="6">
        <v>1</v>
      </c>
      <c r="F519" s="6">
        <v>2</v>
      </c>
      <c r="G519" s="7">
        <v>0.8283560276031494</v>
      </c>
      <c r="H519" s="7">
        <v>56.43763125</v>
      </c>
      <c r="I519" s="7">
        <v>31.76943131547287</v>
      </c>
      <c r="J519" s="7">
        <v>10.32385954509601</v>
      </c>
      <c r="K519" s="7">
        <v>5.544398303442278</v>
      </c>
      <c r="L519" s="7">
        <v>0.8538482331075213</v>
      </c>
      <c r="M519" s="7">
        <v>0.7026835066741547</v>
      </c>
      <c r="N519" s="7">
        <v>0.3582487859052469</v>
      </c>
      <c r="O519" s="7">
        <v>0.053997313227816</v>
      </c>
      <c r="P519" s="7">
        <v>8.952044851172472</v>
      </c>
      <c r="Q519" s="7">
        <v>0.0574619682900976</v>
      </c>
      <c r="R519" s="7">
        <v>0.0996186472760844</v>
      </c>
      <c r="S519" s="7">
        <v>0.1321782392282464</v>
      </c>
      <c r="T519" s="7">
        <v>3.763917154555394</v>
      </c>
    </row>
    <row x14ac:dyDescent="0.25" r="520" customHeight="1" ht="19.5">
      <c r="A520" s="2" t="s">
        <v>1578</v>
      </c>
      <c r="B520" s="2" t="s">
        <v>1060</v>
      </c>
      <c r="C520" s="2" t="s">
        <v>31</v>
      </c>
      <c r="D520" s="2" t="s">
        <v>402</v>
      </c>
      <c r="E520" s="6">
        <v>1</v>
      </c>
      <c r="F520" s="6">
        <v>2</v>
      </c>
      <c r="G520" s="7">
        <v>0.8268592953681946</v>
      </c>
      <c r="H520" s="7">
        <v>56.10861953125001</v>
      </c>
      <c r="I520" s="7">
        <v>31.49119475914893</v>
      </c>
      <c r="J520" s="7">
        <v>10.30538898708169</v>
      </c>
      <c r="K520" s="7">
        <v>5.453664850116518</v>
      </c>
      <c r="L520" s="7">
        <v>0.8558483776685314</v>
      </c>
      <c r="M520" s="7">
        <v>0.7109862011228785</v>
      </c>
      <c r="N520" s="7">
        <v>0.3627358571672098</v>
      </c>
      <c r="O520" s="7">
        <v>0.0549481734341586</v>
      </c>
      <c r="P520" s="7">
        <v>8.89550781966441</v>
      </c>
      <c r="Q520" s="7">
        <v>0.0559380933694413</v>
      </c>
      <c r="R520" s="7">
        <v>0.0982781494921899</v>
      </c>
      <c r="S520" s="7">
        <v>0.1289722163751658</v>
      </c>
      <c r="T520" s="7">
        <v>3.64273873007498</v>
      </c>
    </row>
    <row x14ac:dyDescent="0.25" r="521" customHeight="1" ht="19.5">
      <c r="A521" s="2" t="s">
        <v>1579</v>
      </c>
      <c r="B521" s="2" t="s">
        <v>1060</v>
      </c>
      <c r="C521" s="2" t="s">
        <v>31</v>
      </c>
      <c r="D521" s="2" t="s">
        <v>402</v>
      </c>
      <c r="E521" s="6">
        <v>1</v>
      </c>
      <c r="F521" s="6">
        <v>2</v>
      </c>
      <c r="G521" s="7">
        <v>0.8323035836219788</v>
      </c>
      <c r="H521" s="7">
        <v>56.44802109375</v>
      </c>
      <c r="I521" s="7">
        <v>32.08214119835156</v>
      </c>
      <c r="J521" s="7">
        <v>10.3006496585314</v>
      </c>
      <c r="K521" s="7">
        <v>5.567898603361476</v>
      </c>
      <c r="L521" s="7">
        <v>0.8536276430185389</v>
      </c>
      <c r="M521" s="7">
        <v>0.6891787747971065</v>
      </c>
      <c r="N521" s="7">
        <v>0.360076284243135</v>
      </c>
      <c r="O521" s="7">
        <v>0.0540234053190896</v>
      </c>
      <c r="P521" s="7">
        <v>8.956986985629108</v>
      </c>
      <c r="Q521" s="7">
        <v>0.0554199280876723</v>
      </c>
      <c r="R521" s="7">
        <v>0.0968772858457823</v>
      </c>
      <c r="S521" s="7">
        <v>0.1286893108713434</v>
      </c>
      <c r="T521" s="7">
        <v>3.630826189400973</v>
      </c>
    </row>
    <row x14ac:dyDescent="0.25" r="522" customHeight="1" ht="19.5">
      <c r="A522" s="2" t="s">
        <v>1580</v>
      </c>
      <c r="B522" s="2" t="s">
        <v>1060</v>
      </c>
      <c r="C522" s="2" t="s">
        <v>31</v>
      </c>
      <c r="D522" s="2" t="s">
        <v>402</v>
      </c>
      <c r="E522" s="6">
        <v>1</v>
      </c>
      <c r="F522" s="6">
        <v>2</v>
      </c>
      <c r="G522" s="7">
        <v>0.8305394053459167</v>
      </c>
      <c r="H522" s="7">
        <v>56.312953125</v>
      </c>
      <c r="I522" s="7">
        <v>31.85265728798146</v>
      </c>
      <c r="J522" s="7">
        <v>10.30291060156233</v>
      </c>
      <c r="K522" s="7">
        <v>5.577626941712128</v>
      </c>
      <c r="L522" s="7">
        <v>0.8545743994813085</v>
      </c>
      <c r="M522" s="7">
        <v>0.6974720827469424</v>
      </c>
      <c r="N522" s="7">
        <v>0.3597831202883025</v>
      </c>
      <c r="O522" s="7">
        <v>0.0539632273977622</v>
      </c>
      <c r="P522" s="7">
        <v>8.960636061607197</v>
      </c>
      <c r="Q522" s="7">
        <v>0.0558672324152464</v>
      </c>
      <c r="R522" s="7">
        <v>0.0976895317425516</v>
      </c>
      <c r="S522" s="7">
        <v>0.1311840958262445</v>
      </c>
      <c r="T522" s="7">
        <v>3.651373341947918</v>
      </c>
    </row>
    <row x14ac:dyDescent="0.25" r="523" customHeight="1" ht="19.5">
      <c r="A523" s="2" t="s">
        <v>1581</v>
      </c>
      <c r="B523" s="2" t="s">
        <v>1060</v>
      </c>
      <c r="C523" s="2" t="s">
        <v>31</v>
      </c>
      <c r="D523" s="2" t="s">
        <v>402</v>
      </c>
      <c r="E523" s="6">
        <v>1</v>
      </c>
      <c r="F523" s="6">
        <v>2</v>
      </c>
      <c r="G523" s="7">
        <v>0.829685628414154</v>
      </c>
      <c r="H523" s="7">
        <v>56.64196484375</v>
      </c>
      <c r="I523" s="7">
        <v>31.72067866951904</v>
      </c>
      <c r="J523" s="7">
        <v>10.32825188313692</v>
      </c>
      <c r="K523" s="7">
        <v>5.553457277928184</v>
      </c>
      <c r="L523" s="7">
        <v>0.852252308578172</v>
      </c>
      <c r="M523" s="7">
        <v>0.7073970315136981</v>
      </c>
      <c r="N523" s="7">
        <v>0.3605217035845057</v>
      </c>
      <c r="O523" s="7">
        <v>0.0542501011324542</v>
      </c>
      <c r="P523" s="7">
        <v>8.926396107093922</v>
      </c>
      <c r="Q523" s="7">
        <v>0.0561271271744444</v>
      </c>
      <c r="R523" s="7">
        <v>0.0976583495186532</v>
      </c>
      <c r="S523" s="7">
        <v>0.1321089509181268</v>
      </c>
      <c r="T523" s="7">
        <v>3.689792161520697</v>
      </c>
    </row>
    <row x14ac:dyDescent="0.25" r="524" customHeight="1" ht="19.5">
      <c r="A524" s="2" t="s">
        <v>1582</v>
      </c>
      <c r="B524" s="2" t="s">
        <v>1060</v>
      </c>
      <c r="C524" s="2" t="s">
        <v>31</v>
      </c>
      <c r="D524" s="2" t="s">
        <v>402</v>
      </c>
      <c r="E524" s="6">
        <v>1</v>
      </c>
      <c r="F524" s="6">
        <v>2</v>
      </c>
      <c r="G524" s="7">
        <v>0.8271297216415405</v>
      </c>
      <c r="H524" s="7">
        <v>56.5692359375</v>
      </c>
      <c r="I524" s="7">
        <v>31.9014099339353</v>
      </c>
      <c r="J524" s="7">
        <v>10.29988230549934</v>
      </c>
      <c r="K524" s="7">
        <v>5.555902824562517</v>
      </c>
      <c r="L524" s="7">
        <v>0.8527902730830329</v>
      </c>
      <c r="M524" s="7">
        <v>0.6985064508741333</v>
      </c>
      <c r="N524" s="7">
        <v>0.3574894428335786</v>
      </c>
      <c r="O524" s="7">
        <v>0.0539497763570035</v>
      </c>
      <c r="P524" s="7">
        <v>8.942280731131412</v>
      </c>
      <c r="Q524" s="7">
        <v>0.0553813679027202</v>
      </c>
      <c r="R524" s="7">
        <v>0.096540640462284</v>
      </c>
      <c r="S524" s="7">
        <v>0.1303049855101814</v>
      </c>
      <c r="T524" s="7">
        <v>3.636091232175914</v>
      </c>
    </row>
    <row x14ac:dyDescent="0.25" r="525" customHeight="1" ht="19.5">
      <c r="A525" s="2" t="s">
        <v>1583</v>
      </c>
      <c r="B525" s="2" t="s">
        <v>1060</v>
      </c>
      <c r="C525" s="2" t="s">
        <v>31</v>
      </c>
      <c r="D525" s="2" t="s">
        <v>402</v>
      </c>
      <c r="E525" s="6">
        <v>1</v>
      </c>
      <c r="F525" s="6">
        <v>2</v>
      </c>
      <c r="G525" s="7">
        <v>0.8277326226234436</v>
      </c>
      <c r="H525" s="7">
        <v>56.48611718750001</v>
      </c>
      <c r="I525" s="7">
        <v>31.98463590644388</v>
      </c>
      <c r="J525" s="7">
        <v>10.32526120740171</v>
      </c>
      <c r="K525" s="7">
        <v>5.547296009488841</v>
      </c>
      <c r="L525" s="7">
        <v>0.8541196443887334</v>
      </c>
      <c r="M525" s="7">
        <v>0.6938550668186884</v>
      </c>
      <c r="N525" s="7">
        <v>0.3580440787825706</v>
      </c>
      <c r="O525" s="7">
        <v>0.0540292294991279</v>
      </c>
      <c r="P525" s="7">
        <v>8.961995485782035</v>
      </c>
      <c r="Q525" s="7">
        <v>0.0561279506852626</v>
      </c>
      <c r="R525" s="7">
        <v>0.0973428935000611</v>
      </c>
      <c r="S525" s="7">
        <v>0.1292904273492472</v>
      </c>
      <c r="T525" s="7">
        <v>3.679693863493648</v>
      </c>
    </row>
    <row x14ac:dyDescent="0.25" r="526" customHeight="1" ht="19.5">
      <c r="A526" s="2" t="s">
        <v>1584</v>
      </c>
      <c r="B526" s="2" t="s">
        <v>1060</v>
      </c>
      <c r="C526" s="2" t="s">
        <v>31</v>
      </c>
      <c r="D526" s="2" t="s">
        <v>402</v>
      </c>
      <c r="E526" s="6">
        <v>1</v>
      </c>
      <c r="F526" s="6">
        <v>2</v>
      </c>
      <c r="G526" s="7">
        <v>0.8309767246246338</v>
      </c>
      <c r="H526" s="7">
        <v>56.48611718750001</v>
      </c>
      <c r="I526" s="7">
        <v>31.70849050803057</v>
      </c>
      <c r="J526" s="7">
        <v>10.35136083953302</v>
      </c>
      <c r="K526" s="7">
        <v>5.56209881378937</v>
      </c>
      <c r="L526" s="7">
        <v>0.8530110616355283</v>
      </c>
      <c r="M526" s="7">
        <v>0.7059930912173864</v>
      </c>
      <c r="N526" s="7">
        <v>0.359635286773487</v>
      </c>
      <c r="O526" s="7">
        <v>0.0541511212787262</v>
      </c>
      <c r="P526" s="7">
        <v>8.950761703002696</v>
      </c>
      <c r="Q526" s="7">
        <v>0.0561263970051157</v>
      </c>
      <c r="R526" s="7">
        <v>0.0989116706128987</v>
      </c>
      <c r="S526" s="7">
        <v>0.1300711191360405</v>
      </c>
      <c r="T526" s="7">
        <v>3.679592005734149</v>
      </c>
    </row>
    <row x14ac:dyDescent="0.25" r="527" customHeight="1" ht="19.5">
      <c r="A527" s="2" t="s">
        <v>1585</v>
      </c>
      <c r="B527" s="2" t="s">
        <v>1060</v>
      </c>
      <c r="C527" s="2" t="s">
        <v>31</v>
      </c>
      <c r="D527" s="2" t="s">
        <v>402</v>
      </c>
      <c r="E527" s="6">
        <v>1</v>
      </c>
      <c r="F527" s="6">
        <v>2</v>
      </c>
      <c r="G527" s="7">
        <v>0.8337235450744629</v>
      </c>
      <c r="H527" s="7">
        <v>56.57269921875</v>
      </c>
      <c r="I527" s="7">
        <v>31.93588326049005</v>
      </c>
      <c r="J527" s="7">
        <v>10.32837983247126</v>
      </c>
      <c r="K527" s="7">
        <v>5.553221734586467</v>
      </c>
      <c r="L527" s="7">
        <v>0.8530905039189058</v>
      </c>
      <c r="M527" s="7">
        <v>0.6970419248849817</v>
      </c>
      <c r="N527" s="7">
        <v>0.3574347091237724</v>
      </c>
      <c r="O527" s="7">
        <v>0.0538949333403656</v>
      </c>
      <c r="P527" s="7">
        <v>8.94888053445149</v>
      </c>
      <c r="Q527" s="7">
        <v>0.055732525662329</v>
      </c>
      <c r="R527" s="7">
        <v>0.0972039740149646</v>
      </c>
      <c r="S527" s="7">
        <v>0.1296134519822765</v>
      </c>
      <c r="T527" s="7">
        <v>3.659370689639883</v>
      </c>
    </row>
    <row x14ac:dyDescent="0.25" r="528" customHeight="1" ht="19.5">
      <c r="A528" s="2" t="s">
        <v>1586</v>
      </c>
      <c r="B528" s="2" t="s">
        <v>1060</v>
      </c>
      <c r="C528" s="2" t="s">
        <v>31</v>
      </c>
      <c r="D528" s="2" t="s">
        <v>402</v>
      </c>
      <c r="E528" s="6">
        <v>1</v>
      </c>
      <c r="F528" s="6">
        <v>2</v>
      </c>
      <c r="G528" s="7">
        <v>0.8332434296607971</v>
      </c>
      <c r="H528" s="7">
        <v>56.40646171875</v>
      </c>
      <c r="I528" s="7">
        <v>31.86693660738055</v>
      </c>
      <c r="J528" s="7">
        <v>10.35273271568375</v>
      </c>
      <c r="K528" s="7">
        <v>5.560654658204323</v>
      </c>
      <c r="L528" s="7">
        <v>0.8540943857788974</v>
      </c>
      <c r="M528" s="7">
        <v>0.6980042857466469</v>
      </c>
      <c r="N528" s="7">
        <v>0.3573464467416111</v>
      </c>
      <c r="O528" s="7">
        <v>0.053846775449694</v>
      </c>
      <c r="P528" s="7">
        <v>8.963547380273534</v>
      </c>
      <c r="Q528" s="7">
        <v>0.0548982599532323</v>
      </c>
      <c r="R528" s="7">
        <v>0.0967670747235267</v>
      </c>
      <c r="S528" s="7">
        <v>0.1302757406192413</v>
      </c>
      <c r="T528" s="7">
        <v>3.594001197105886</v>
      </c>
    </row>
    <row x14ac:dyDescent="0.25" r="529" customHeight="1" ht="19.5">
      <c r="A529" s="2" t="s">
        <v>1587</v>
      </c>
      <c r="B529" s="2" t="s">
        <v>1060</v>
      </c>
      <c r="C529" s="2" t="s">
        <v>31</v>
      </c>
      <c r="D529" s="2" t="s">
        <v>402</v>
      </c>
      <c r="E529" s="6">
        <v>1</v>
      </c>
      <c r="F529" s="6">
        <v>2</v>
      </c>
      <c r="G529" s="7">
        <v>0.8285098075866699</v>
      </c>
      <c r="H529" s="7">
        <v>56.72854687500001</v>
      </c>
      <c r="I529" s="7">
        <v>31.6576467041661</v>
      </c>
      <c r="J529" s="7">
        <v>10.29834292803057</v>
      </c>
      <c r="K529" s="7">
        <v>5.543643647243728</v>
      </c>
      <c r="L529" s="7">
        <v>0.8517146755652708</v>
      </c>
      <c r="M529" s="7">
        <v>0.7113023882615545</v>
      </c>
      <c r="N529" s="7">
        <v>0.3619144264580438</v>
      </c>
      <c r="O529" s="7">
        <v>0.0544483528102255</v>
      </c>
      <c r="P529" s="7">
        <v>8.912213379069218</v>
      </c>
      <c r="Q529" s="7">
        <v>0.0562079637199635</v>
      </c>
      <c r="R529" s="7">
        <v>0.0975238279937617</v>
      </c>
      <c r="S529" s="7">
        <v>0.1321367504090126</v>
      </c>
      <c r="T529" s="7">
        <v>3.700754630968027</v>
      </c>
    </row>
    <row x14ac:dyDescent="0.25" r="530" customHeight="1" ht="19.5">
      <c r="A530" s="2" t="s">
        <v>1588</v>
      </c>
      <c r="B530" s="2" t="s">
        <v>1060</v>
      </c>
      <c r="C530" s="2" t="s">
        <v>31</v>
      </c>
      <c r="D530" s="2" t="s">
        <v>402</v>
      </c>
      <c r="E530" s="6">
        <v>1</v>
      </c>
      <c r="F530" s="6">
        <v>2</v>
      </c>
      <c r="G530" s="7">
        <v>0.8266687393188477</v>
      </c>
      <c r="H530" s="7">
        <v>56.07398671875001</v>
      </c>
      <c r="I530" s="7">
        <v>31.43652742543853</v>
      </c>
      <c r="J530" s="7">
        <v>10.24634865949713</v>
      </c>
      <c r="K530" s="7">
        <v>5.603596399270764</v>
      </c>
      <c r="L530" s="7">
        <v>0.8514146825645126</v>
      </c>
      <c r="M530" s="7">
        <v>0.7130207446382617</v>
      </c>
      <c r="N530" s="7">
        <v>0.3618191965944283</v>
      </c>
      <c r="O530" s="7">
        <v>0.0546235419713098</v>
      </c>
      <c r="P530" s="7">
        <v>8.895460379815948</v>
      </c>
      <c r="Q530" s="7">
        <v>0.0560852124124438</v>
      </c>
      <c r="R530" s="7">
        <v>0.0964024971672243</v>
      </c>
      <c r="S530" s="7">
        <v>0.1277144976008735</v>
      </c>
      <c r="T530" s="7">
        <v>3.650064874994523</v>
      </c>
    </row>
    <row x14ac:dyDescent="0.25" r="531" customHeight="1" ht="19.5">
      <c r="A531" s="2" t="s">
        <v>1589</v>
      </c>
      <c r="B531" s="2" t="s">
        <v>1060</v>
      </c>
      <c r="C531" s="2" t="s">
        <v>31</v>
      </c>
      <c r="D531" s="2" t="s">
        <v>402</v>
      </c>
      <c r="E531" s="6">
        <v>1</v>
      </c>
      <c r="F531" s="6">
        <v>2</v>
      </c>
      <c r="G531" s="7">
        <v>0.8313862085342407</v>
      </c>
      <c r="H531" s="7">
        <v>56.46880078125</v>
      </c>
      <c r="I531" s="7">
        <v>32.11661452490632</v>
      </c>
      <c r="J531" s="7">
        <v>10.29905760774107</v>
      </c>
      <c r="K531" s="7">
        <v>5.548086897443001</v>
      </c>
      <c r="L531" s="7">
        <v>0.8537316087706602</v>
      </c>
      <c r="M531" s="7">
        <v>0.6879532242849433</v>
      </c>
      <c r="N531" s="7">
        <v>0.3559110756211477</v>
      </c>
      <c r="O531" s="7">
        <v>0.0538315410255032</v>
      </c>
      <c r="P531" s="7">
        <v>8.958666809206697</v>
      </c>
      <c r="Q531" s="7">
        <v>0.0559620804208257</v>
      </c>
      <c r="R531" s="7">
        <v>0.0965566901311447</v>
      </c>
      <c r="S531" s="7">
        <v>0.1304523557218363</v>
      </c>
      <c r="T531" s="7">
        <v>3.667694855495952</v>
      </c>
    </row>
    <row x14ac:dyDescent="0.25" r="532" customHeight="1" ht="19.5">
      <c r="A532" s="2" t="s">
        <v>1590</v>
      </c>
      <c r="B532" s="2" t="s">
        <v>1060</v>
      </c>
      <c r="C532" s="2" t="s">
        <v>31</v>
      </c>
      <c r="D532" s="2" t="s">
        <v>402</v>
      </c>
      <c r="E532" s="6">
        <v>1</v>
      </c>
      <c r="F532" s="6">
        <v>2</v>
      </c>
      <c r="G532" s="7">
        <v>0.8310620188713074</v>
      </c>
      <c r="H532" s="7">
        <v>56.48611718750001</v>
      </c>
      <c r="I532" s="7">
        <v>32.19392580965833</v>
      </c>
      <c r="J532" s="7">
        <v>10.32409480210269</v>
      </c>
      <c r="K532" s="7">
        <v>5.546397180480643</v>
      </c>
      <c r="L532" s="7">
        <v>0.8541411062585952</v>
      </c>
      <c r="M532" s="7">
        <v>0.6848630079087877</v>
      </c>
      <c r="N532" s="7">
        <v>0.359645153419586</v>
      </c>
      <c r="O532" s="7">
        <v>0.0544216741666013</v>
      </c>
      <c r="P532" s="7">
        <v>8.950553010112959</v>
      </c>
      <c r="Q532" s="7">
        <v>0.0558587928523682</v>
      </c>
      <c r="R532" s="7">
        <v>0.0969189839442339</v>
      </c>
      <c r="S532" s="7">
        <v>0.1283787810023035</v>
      </c>
      <c r="T532" s="7">
        <v>3.662048137720289</v>
      </c>
    </row>
    <row x14ac:dyDescent="0.25" r="533" customHeight="1" ht="19.5">
      <c r="A533" s="2" t="s">
        <v>1591</v>
      </c>
      <c r="B533" s="2" t="s">
        <v>1060</v>
      </c>
      <c r="C533" s="2" t="s">
        <v>31</v>
      </c>
      <c r="D533" s="2" t="s">
        <v>402</v>
      </c>
      <c r="E533" s="6">
        <v>1</v>
      </c>
      <c r="F533" s="6">
        <v>2</v>
      </c>
      <c r="G533" s="7">
        <v>0.8245128989219666</v>
      </c>
      <c r="H533" s="7">
        <v>56.5692359375</v>
      </c>
      <c r="I533" s="7">
        <v>32.27715178216692</v>
      </c>
      <c r="J533" s="7">
        <v>10.31991003635014</v>
      </c>
      <c r="K533" s="7">
        <v>5.538220933106834</v>
      </c>
      <c r="L533" s="7">
        <v>0.8538150991123343</v>
      </c>
      <c r="M533" s="7">
        <v>0.6823383295426132</v>
      </c>
      <c r="N533" s="7">
        <v>0.3588436573593709</v>
      </c>
      <c r="O533" s="7">
        <v>0.0541630532876608</v>
      </c>
      <c r="P533" s="7">
        <v>8.948908460191838</v>
      </c>
      <c r="Q533" s="7">
        <v>0.0558683171219451</v>
      </c>
      <c r="R533" s="7">
        <v>0.097522241495161</v>
      </c>
      <c r="S533" s="7">
        <v>0.130689798616636</v>
      </c>
      <c r="T533" s="7">
        <v>3.668062125160149</v>
      </c>
    </row>
    <row x14ac:dyDescent="0.25" r="534" customHeight="1" ht="19.5">
      <c r="A534" s="2" t="s">
        <v>1592</v>
      </c>
      <c r="B534" s="2" t="s">
        <v>1060</v>
      </c>
      <c r="C534" s="2" t="s">
        <v>31</v>
      </c>
      <c r="D534" s="2" t="s">
        <v>402</v>
      </c>
      <c r="E534" s="6">
        <v>1</v>
      </c>
      <c r="F534" s="6">
        <v>2</v>
      </c>
      <c r="G534" s="7">
        <v>0.8259634375572205</v>
      </c>
      <c r="H534" s="7">
        <v>55.73804843750001</v>
      </c>
      <c r="I534" s="7">
        <v>31.16420555687115</v>
      </c>
      <c r="J534" s="7">
        <v>10.28453447017605</v>
      </c>
      <c r="K534" s="7">
        <v>5.49263979303867</v>
      </c>
      <c r="L534" s="7">
        <v>0.8541614062596894</v>
      </c>
      <c r="M534" s="7">
        <v>0.7211896777834036</v>
      </c>
      <c r="N534" s="7">
        <v>0.3917074020173748</v>
      </c>
      <c r="O534" s="7">
        <v>0.0583897773506116</v>
      </c>
      <c r="P534" s="7">
        <v>8.745742773030926</v>
      </c>
      <c r="Q534" s="7">
        <v>0.0523228117108733</v>
      </c>
      <c r="R534" s="7">
        <v>0.0900000693394155</v>
      </c>
      <c r="S534" s="7">
        <v>0.1172974162135834</v>
      </c>
      <c r="T534" s="7">
        <v>3.384804678943016</v>
      </c>
    </row>
    <row x14ac:dyDescent="0.25" r="535" customHeight="1" ht="19.5">
      <c r="A535" s="2" t="s">
        <v>1593</v>
      </c>
      <c r="B535" s="2" t="s">
        <v>1060</v>
      </c>
      <c r="C535" s="2" t="s">
        <v>31</v>
      </c>
      <c r="D535" s="2" t="s">
        <v>402</v>
      </c>
      <c r="E535" s="6">
        <v>1</v>
      </c>
      <c r="F535" s="6">
        <v>2</v>
      </c>
      <c r="G535" s="7">
        <v>0.785209059715271</v>
      </c>
      <c r="H535" s="7">
        <v>53.6185203125</v>
      </c>
      <c r="I535" s="7">
        <v>31.05487088945035</v>
      </c>
      <c r="J535" s="7">
        <v>10.19280331368789</v>
      </c>
      <c r="K535" s="7">
        <v>5.277447461361701</v>
      </c>
      <c r="L535" s="7">
        <v>0.8642318469999376</v>
      </c>
      <c r="M535" s="7">
        <v>0.6986589595409733</v>
      </c>
      <c r="N535" s="7">
        <v>0.6090181368308625</v>
      </c>
      <c r="O535" s="7">
        <v>0.086278057728776</v>
      </c>
      <c r="P535" s="7">
        <v>7.631609128866245</v>
      </c>
      <c r="Q535" s="7">
        <v>0.0161633871798752</v>
      </c>
      <c r="R535" s="7">
        <v>0.0282785491447712</v>
      </c>
      <c r="S535" s="7">
        <v>0.0391697237950068</v>
      </c>
      <c r="T535" s="7">
        <v>1.005861026305511</v>
      </c>
    </row>
    <row x14ac:dyDescent="0.25" r="536" customHeight="1" ht="19.5">
      <c r="A536" s="2" t="s">
        <v>1594</v>
      </c>
      <c r="B536" s="2" t="s">
        <v>1060</v>
      </c>
      <c r="C536" s="2" t="s">
        <v>31</v>
      </c>
      <c r="D536" s="2" t="s">
        <v>402</v>
      </c>
      <c r="E536" s="6">
        <v>1</v>
      </c>
      <c r="F536" s="6">
        <v>2</v>
      </c>
      <c r="G536" s="7">
        <v>0.6905547380447388</v>
      </c>
      <c r="H536" s="7">
        <v>54.64018828125</v>
      </c>
      <c r="I536" s="7">
        <v>30.9514509097861</v>
      </c>
      <c r="J536" s="7">
        <v>10.35413625355758</v>
      </c>
      <c r="K536" s="7">
        <v>5.26028890953784</v>
      </c>
      <c r="L536" s="7">
        <v>0.8672529409738323</v>
      </c>
      <c r="M536" s="7">
        <v>0.7167373336521526</v>
      </c>
      <c r="N536" s="7">
        <v>0.6038011141587953</v>
      </c>
      <c r="O536" s="7">
        <v>0.0768150827531459</v>
      </c>
      <c r="P536" s="7">
        <v>7.916291278797307</v>
      </c>
      <c r="Q536" s="7">
        <v>0.0146642013296997</v>
      </c>
      <c r="R536" s="7">
        <v>0.0339296894902483</v>
      </c>
      <c r="S536" s="7">
        <v>0.0446524907549717</v>
      </c>
      <c r="T536" s="7">
        <v>0.9299538180504744</v>
      </c>
    </row>
    <row x14ac:dyDescent="0.25" r="537" customHeight="1" ht="19.5">
      <c r="A537" s="2" t="s">
        <v>1595</v>
      </c>
      <c r="B537" s="2" t="s">
        <v>1060</v>
      </c>
      <c r="C537" s="2" t="s">
        <v>31</v>
      </c>
      <c r="D537" s="2" t="s">
        <v>402</v>
      </c>
      <c r="E537" s="6">
        <v>1</v>
      </c>
      <c r="F537" s="6">
        <v>2</v>
      </c>
      <c r="G537" s="7">
        <v>0.776790201663971</v>
      </c>
      <c r="H537" s="7">
        <v>55.5856640625</v>
      </c>
      <c r="I537" s="7">
        <v>30.94308627814357</v>
      </c>
      <c r="J537" s="7">
        <v>10.19211293487024</v>
      </c>
      <c r="K537" s="7">
        <v>5.46860984099021</v>
      </c>
      <c r="L537" s="7">
        <v>0.8520465552245508</v>
      </c>
      <c r="M537" s="7">
        <v>0.7295337797003654</v>
      </c>
      <c r="N537" s="7">
        <v>0.5440133057415704</v>
      </c>
      <c r="O537" s="7">
        <v>0.06925161459398</v>
      </c>
      <c r="P537" s="7">
        <v>8.209738138723202</v>
      </c>
      <c r="Q537" s="7">
        <v>0.025951855203938</v>
      </c>
      <c r="R537" s="7">
        <v>0.0615788926477414</v>
      </c>
      <c r="S537" s="7">
        <v>0.080544521586717</v>
      </c>
      <c r="T537" s="7">
        <v>1.674256477665576</v>
      </c>
    </row>
    <row x14ac:dyDescent="0.25" r="538" customHeight="1" ht="19.5">
      <c r="A538" s="2" t="s">
        <v>1596</v>
      </c>
      <c r="B538" s="2" t="s">
        <v>1060</v>
      </c>
      <c r="C538" s="2" t="s">
        <v>31</v>
      </c>
      <c r="D538" s="2" t="s">
        <v>402</v>
      </c>
      <c r="E538" s="6">
        <v>1</v>
      </c>
      <c r="F538" s="6">
        <v>2</v>
      </c>
      <c r="G538" s="7">
        <v>0.7758387923240662</v>
      </c>
      <c r="H538" s="7">
        <v>55.30513828125</v>
      </c>
      <c r="I538" s="7">
        <v>30.85986030563499</v>
      </c>
      <c r="J538" s="7">
        <v>10.24063012632314</v>
      </c>
      <c r="K538" s="7">
        <v>5.389775682157616</v>
      </c>
      <c r="L538" s="7">
        <v>0.8572470859559306</v>
      </c>
      <c r="M538" s="7">
        <v>0.7297724011029455</v>
      </c>
      <c r="N538" s="7">
        <v>0.478882276517969</v>
      </c>
      <c r="O538" s="7">
        <v>0.0621166011456957</v>
      </c>
      <c r="P538" s="7">
        <v>8.519142288909302</v>
      </c>
      <c r="Q538" s="7">
        <v>0.0355601856480986</v>
      </c>
      <c r="R538" s="7">
        <v>0.0795614294408821</v>
      </c>
      <c r="S538" s="7">
        <v>0.1064607249799833</v>
      </c>
      <c r="T538" s="7">
        <v>2.282549908289624</v>
      </c>
    </row>
    <row x14ac:dyDescent="0.25" r="539" customHeight="1" ht="19.5">
      <c r="A539" s="2" t="s">
        <v>1597</v>
      </c>
      <c r="B539" s="2" t="s">
        <v>1060</v>
      </c>
      <c r="C539" s="2" t="s">
        <v>31</v>
      </c>
      <c r="D539" s="2" t="s">
        <v>402</v>
      </c>
      <c r="E539" s="6">
        <v>1</v>
      </c>
      <c r="F539" s="6">
        <v>2</v>
      </c>
      <c r="G539" s="7">
        <v>0.7747677564620972</v>
      </c>
      <c r="H539" s="7">
        <v>57.30691484375</v>
      </c>
      <c r="I539" s="7">
        <v>31.39960415499781</v>
      </c>
      <c r="J539" s="7">
        <v>10.2478256085392</v>
      </c>
      <c r="K539" s="7">
        <v>5.572628265765527</v>
      </c>
      <c r="L539" s="7">
        <v>0.8471707002328656</v>
      </c>
      <c r="M539" s="7">
        <v>0.7304130877164265</v>
      </c>
      <c r="N539" s="7">
        <v>0.44009587033403</v>
      </c>
      <c r="O539" s="7">
        <v>0.057548682095486</v>
      </c>
      <c r="P539" s="7">
        <v>8.727216326282628</v>
      </c>
      <c r="Q539" s="7">
        <v>0.0412119203707028</v>
      </c>
      <c r="R539" s="7">
        <v>0.0923915459084992</v>
      </c>
      <c r="S539" s="7">
        <v>0.1277214414769336</v>
      </c>
      <c r="T539" s="7">
        <v>2.741073371425983</v>
      </c>
    </row>
    <row x14ac:dyDescent="0.25" r="540" customHeight="1" ht="19.5">
      <c r="A540" s="2" t="s">
        <v>1598</v>
      </c>
      <c r="B540" s="2" t="s">
        <v>1060</v>
      </c>
      <c r="C540" s="2" t="s">
        <v>31</v>
      </c>
      <c r="D540" s="2" t="s">
        <v>402</v>
      </c>
      <c r="E540" s="6">
        <v>1</v>
      </c>
      <c r="F540" s="6">
        <v>2</v>
      </c>
      <c r="G540" s="7">
        <v>0.7768238186836243</v>
      </c>
      <c r="H540" s="7">
        <v>58.03766718750001</v>
      </c>
      <c r="I540" s="7">
        <v>31.54586209285933</v>
      </c>
      <c r="J540" s="7">
        <v>10.23872436499902</v>
      </c>
      <c r="K540" s="7">
        <v>5.617479351071227</v>
      </c>
      <c r="L540" s="7">
        <v>0.8438262381500408</v>
      </c>
      <c r="M540" s="7">
        <v>0.7328836126650333</v>
      </c>
      <c r="N540" s="7">
        <v>0.4087411314188296</v>
      </c>
      <c r="O540" s="7">
        <v>0.0543149014290199</v>
      </c>
      <c r="P540" s="7">
        <v>8.869556601737665</v>
      </c>
      <c r="Q540" s="7">
        <v>0.0464375916110461</v>
      </c>
      <c r="R540" s="7">
        <v>0.101648155014237</v>
      </c>
      <c r="S540" s="7">
        <v>0.1381593318377819</v>
      </c>
      <c r="T540" s="7">
        <v>3.128026442496687</v>
      </c>
    </row>
    <row x14ac:dyDescent="0.25" r="541" customHeight="1" ht="19.5">
      <c r="A541" s="2" t="s">
        <v>1599</v>
      </c>
      <c r="B541" s="2" t="s">
        <v>1060</v>
      </c>
      <c r="C541" s="2" t="s">
        <v>31</v>
      </c>
      <c r="D541" s="2" t="s">
        <v>402</v>
      </c>
      <c r="E541" s="6">
        <v>1</v>
      </c>
      <c r="F541" s="6">
        <v>2</v>
      </c>
      <c r="G541" s="7">
        <v>0.773788571357727</v>
      </c>
      <c r="H541" s="7">
        <v>57.55280781250001</v>
      </c>
      <c r="I541" s="7">
        <v>31.70639935011994</v>
      </c>
      <c r="J541" s="7">
        <v>10.30389555892967</v>
      </c>
      <c r="K541" s="7">
        <v>5.568052350509993</v>
      </c>
      <c r="L541" s="7">
        <v>0.8487357278045914</v>
      </c>
      <c r="M541" s="7">
        <v>0.7194200371930641</v>
      </c>
      <c r="N541" s="7">
        <v>0.4116840818137717</v>
      </c>
      <c r="O541" s="7">
        <v>0.0546859475605596</v>
      </c>
      <c r="P541" s="7">
        <v>8.87796947760502</v>
      </c>
      <c r="Q541" s="7">
        <v>0.045603969284096</v>
      </c>
      <c r="R541" s="7">
        <v>0.1014213863885854</v>
      </c>
      <c r="S541" s="7">
        <v>0.1375247623251584</v>
      </c>
      <c r="T541" s="7">
        <v>3.046210710950468</v>
      </c>
    </row>
    <row x14ac:dyDescent="0.25" r="542" customHeight="1" ht="19.5">
      <c r="A542" s="2" t="s">
        <v>1600</v>
      </c>
      <c r="B542" s="2" t="s">
        <v>1060</v>
      </c>
      <c r="C542" s="2" t="s">
        <v>31</v>
      </c>
      <c r="D542" s="2" t="s">
        <v>402</v>
      </c>
      <c r="E542" s="6">
        <v>1</v>
      </c>
      <c r="F542" s="6">
        <v>2</v>
      </c>
      <c r="G542" s="7">
        <v>0.7936634421348572</v>
      </c>
      <c r="H542" s="7">
        <v>57.254965625</v>
      </c>
      <c r="I542" s="7">
        <v>31.59461473881317</v>
      </c>
      <c r="J542" s="7">
        <v>10.25368802909164</v>
      </c>
      <c r="K542" s="7">
        <v>5.582982026919455</v>
      </c>
      <c r="L542" s="7">
        <v>0.8479206935620412</v>
      </c>
      <c r="M542" s="7">
        <v>0.7207703190144099</v>
      </c>
      <c r="N542" s="7">
        <v>0.4180967940876069</v>
      </c>
      <c r="O542" s="7">
        <v>0.0554451843394066</v>
      </c>
      <c r="P542" s="7">
        <v>8.830538340950943</v>
      </c>
      <c r="Q542" s="7">
        <v>0.0461295171574265</v>
      </c>
      <c r="R542" s="7">
        <v>0.1002322139184423</v>
      </c>
      <c r="S542" s="7">
        <v>0.1364033434426952</v>
      </c>
      <c r="T542" s="7">
        <v>3.06536960752787</v>
      </c>
    </row>
    <row x14ac:dyDescent="0.25" r="543" customHeight="1" ht="19.5">
      <c r="A543" s="2" t="s">
        <v>1601</v>
      </c>
      <c r="B543" s="2" t="s">
        <v>1060</v>
      </c>
      <c r="C543" s="2" t="s">
        <v>31</v>
      </c>
      <c r="D543" s="2" t="s">
        <v>402</v>
      </c>
      <c r="E543" s="6">
        <v>1</v>
      </c>
      <c r="F543" s="6">
        <v>2</v>
      </c>
      <c r="G543" s="7">
        <v>0.7857545018196106</v>
      </c>
      <c r="H543" s="7">
        <v>57.18916328125</v>
      </c>
      <c r="I543" s="7">
        <v>31.43407748155256</v>
      </c>
      <c r="J543" s="7">
        <v>10.29067626932049</v>
      </c>
      <c r="K543" s="7">
        <v>5.486617465721009</v>
      </c>
      <c r="L543" s="7">
        <v>0.8522364058572356</v>
      </c>
      <c r="M543" s="7">
        <v>0.7273143694140345</v>
      </c>
      <c r="N543" s="7">
        <v>0.4158857772148061</v>
      </c>
      <c r="O543" s="7">
        <v>0.0552934928195783</v>
      </c>
      <c r="P543" s="7">
        <v>8.820121849332299</v>
      </c>
      <c r="Q543" s="7">
        <v>0.0451373345453784</v>
      </c>
      <c r="R543" s="7">
        <v>0.0988853122330965</v>
      </c>
      <c r="S543" s="7">
        <v>0.134373759421558</v>
      </c>
      <c r="T543" s="7">
        <v>2.99599050130464</v>
      </c>
    </row>
    <row x14ac:dyDescent="0.25" r="544" customHeight="1" ht="19.5">
      <c r="A544" s="2" t="s">
        <v>1602</v>
      </c>
      <c r="B544" s="2" t="s">
        <v>1060</v>
      </c>
      <c r="C544" s="2" t="s">
        <v>31</v>
      </c>
      <c r="D544" s="2" t="s">
        <v>402</v>
      </c>
      <c r="E544" s="6">
        <v>1</v>
      </c>
      <c r="F544" s="6">
        <v>2</v>
      </c>
      <c r="G544" s="7">
        <v>0.7738799452781677</v>
      </c>
      <c r="H544" s="7">
        <v>57.6082203125</v>
      </c>
      <c r="I544" s="7">
        <v>31.56605610001498</v>
      </c>
      <c r="J544" s="7">
        <v>10.317511038986</v>
      </c>
      <c r="K544" s="7">
        <v>5.59015838166661</v>
      </c>
      <c r="L544" s="7">
        <v>0.8493162952215736</v>
      </c>
      <c r="M544" s="7">
        <v>0.7265302054541651</v>
      </c>
      <c r="N544" s="7">
        <v>0.4185429761158277</v>
      </c>
      <c r="O544" s="7">
        <v>0.0552914539818454</v>
      </c>
      <c r="P544" s="7">
        <v>8.834105353984576</v>
      </c>
      <c r="Q544" s="7">
        <v>0.0446466659280651</v>
      </c>
      <c r="R544" s="7">
        <v>0.1007484460246484</v>
      </c>
      <c r="S544" s="7">
        <v>0.1359484607436817</v>
      </c>
      <c r="T544" s="7">
        <v>2.985137028240723</v>
      </c>
    </row>
    <row x14ac:dyDescent="0.25" r="545" customHeight="1" ht="19.5">
      <c r="A545" s="2" t="s">
        <v>1603</v>
      </c>
      <c r="B545" s="2" t="s">
        <v>1060</v>
      </c>
      <c r="C545" s="2" t="s">
        <v>31</v>
      </c>
      <c r="D545" s="2" t="s">
        <v>402</v>
      </c>
      <c r="E545" s="6">
        <v>1</v>
      </c>
      <c r="F545" s="6">
        <v>2</v>
      </c>
      <c r="G545" s="7">
        <v>0.7833169102668762</v>
      </c>
      <c r="H545" s="7">
        <v>57.57705078125</v>
      </c>
      <c r="I545" s="7">
        <v>31.49710944690549</v>
      </c>
      <c r="J545" s="7">
        <v>10.29494303297815</v>
      </c>
      <c r="K545" s="7">
        <v>5.558649719583462</v>
      </c>
      <c r="L545" s="7">
        <v>0.8491025825255509</v>
      </c>
      <c r="M545" s="7">
        <v>0.7293195923775013</v>
      </c>
      <c r="N545" s="7">
        <v>0.4182010691166231</v>
      </c>
      <c r="O545" s="7">
        <v>0.0553856590423162</v>
      </c>
      <c r="P545" s="7">
        <v>8.838718711847353</v>
      </c>
      <c r="Q545" s="7">
        <v>0.0439570914715244</v>
      </c>
      <c r="R545" s="7">
        <v>0.0964678265553346</v>
      </c>
      <c r="S545" s="7">
        <v>0.1323914414121612</v>
      </c>
      <c r="T545" s="7">
        <v>2.937440945188316</v>
      </c>
    </row>
    <row x14ac:dyDescent="0.25" r="546" customHeight="1" ht="19.5">
      <c r="A546" s="2" t="s">
        <v>1604</v>
      </c>
      <c r="B546" s="2" t="s">
        <v>1060</v>
      </c>
      <c r="C546" s="2" t="s">
        <v>31</v>
      </c>
      <c r="D546" s="2" t="s">
        <v>402</v>
      </c>
      <c r="E546" s="6">
        <v>1</v>
      </c>
      <c r="F546" s="6">
        <v>2</v>
      </c>
      <c r="G546" s="7">
        <v>0.7844539284706116</v>
      </c>
      <c r="H546" s="7">
        <v>57.6774859375</v>
      </c>
      <c r="I546" s="7">
        <v>31.61480874596882</v>
      </c>
      <c r="J546" s="7">
        <v>10.30058020495096</v>
      </c>
      <c r="K546" s="7">
        <v>5.562580646768265</v>
      </c>
      <c r="L546" s="7">
        <v>0.8490004772190793</v>
      </c>
      <c r="M546" s="7">
        <v>0.7251620503150399</v>
      </c>
      <c r="N546" s="7">
        <v>0.4175029842133391</v>
      </c>
      <c r="O546" s="7">
        <v>0.0552248330586034</v>
      </c>
      <c r="P546" s="7">
        <v>8.839840696099289</v>
      </c>
      <c r="Q546" s="7">
        <v>0.0439272186451914</v>
      </c>
      <c r="R546" s="7">
        <v>0.0981626560609318</v>
      </c>
      <c r="S546" s="7">
        <v>0.1347004741845739</v>
      </c>
      <c r="T546" s="7">
        <v>2.94056516286719</v>
      </c>
    </row>
    <row x14ac:dyDescent="0.25" r="547" customHeight="1" ht="19.5">
      <c r="A547" s="2" t="s">
        <v>1605</v>
      </c>
      <c r="B547" s="2" t="s">
        <v>1060</v>
      </c>
      <c r="C547" s="2" t="s">
        <v>31</v>
      </c>
      <c r="D547" s="2" t="s">
        <v>402</v>
      </c>
      <c r="E547" s="6">
        <v>1</v>
      </c>
      <c r="F547" s="6">
        <v>2</v>
      </c>
      <c r="G547" s="7">
        <v>0.7828013896942139</v>
      </c>
      <c r="H547" s="7">
        <v>57.5943671875</v>
      </c>
      <c r="I547" s="7">
        <v>31.46263612035074</v>
      </c>
      <c r="J547" s="7">
        <v>10.31927773875639</v>
      </c>
      <c r="K547" s="7">
        <v>5.593354937476285</v>
      </c>
      <c r="L547" s="7">
        <v>0.8493202155414143</v>
      </c>
      <c r="M547" s="7">
        <v>0.7311385109180811</v>
      </c>
      <c r="N547" s="7">
        <v>0.4168629375578884</v>
      </c>
      <c r="O547" s="7">
        <v>0.0552517659154116</v>
      </c>
      <c r="P547" s="7">
        <v>8.846717854278179</v>
      </c>
      <c r="Q547" s="7">
        <v>0.0444711978487025</v>
      </c>
      <c r="R547" s="7">
        <v>0.0983931436797832</v>
      </c>
      <c r="S547" s="7">
        <v>0.1334696951041435</v>
      </c>
      <c r="T547" s="7">
        <v>2.972689974299532</v>
      </c>
    </row>
    <row x14ac:dyDescent="0.25" r="548" customHeight="1" ht="19.5">
      <c r="A548" s="2" t="s">
        <v>1606</v>
      </c>
      <c r="B548" s="2" t="s">
        <v>1060</v>
      </c>
      <c r="C548" s="2" t="s">
        <v>31</v>
      </c>
      <c r="D548" s="2" t="s">
        <v>402</v>
      </c>
      <c r="E548" s="6">
        <v>1</v>
      </c>
      <c r="F548" s="6">
        <v>2</v>
      </c>
      <c r="G548" s="7">
        <v>0.7921193242073059</v>
      </c>
      <c r="H548" s="7">
        <v>56.42031484375001</v>
      </c>
      <c r="I548" s="7">
        <v>31.33065750188832</v>
      </c>
      <c r="J548" s="7">
        <v>10.29668129615952</v>
      </c>
      <c r="K548" s="7">
        <v>5.443705234029525</v>
      </c>
      <c r="L548" s="7">
        <v>0.8558878473671321</v>
      </c>
      <c r="M548" s="7">
        <v>0.7222812671406679</v>
      </c>
      <c r="N548" s="7">
        <v>0.4159645177378827</v>
      </c>
      <c r="O548" s="7">
        <v>0.0556239932756061</v>
      </c>
      <c r="P548" s="7">
        <v>8.82241158706276</v>
      </c>
      <c r="Q548" s="7">
        <v>0.044486850367092</v>
      </c>
      <c r="R548" s="7">
        <v>0.0973224388815731</v>
      </c>
      <c r="S548" s="7">
        <v>0.1336983010179259</v>
      </c>
      <c r="T548" s="7">
        <v>2.91311711347306</v>
      </c>
    </row>
    <row x14ac:dyDescent="0.25" r="549" customHeight="1" ht="19.5">
      <c r="A549" s="2" t="s">
        <v>1607</v>
      </c>
      <c r="B549" s="2" t="s">
        <v>1060</v>
      </c>
      <c r="C549" s="2" t="s">
        <v>31</v>
      </c>
      <c r="D549" s="2" t="s">
        <v>402</v>
      </c>
      <c r="E549" s="6">
        <v>1</v>
      </c>
      <c r="F549" s="6">
        <v>2</v>
      </c>
      <c r="G549" s="7">
        <v>0.7878995537757874</v>
      </c>
      <c r="H549" s="7">
        <v>57.5389546875</v>
      </c>
      <c r="I549" s="7">
        <v>31.4138834743969</v>
      </c>
      <c r="J549" s="7">
        <v>10.29920090228768</v>
      </c>
      <c r="K549" s="7">
        <v>5.569371886363234</v>
      </c>
      <c r="L549" s="7">
        <v>0.8490852903856421</v>
      </c>
      <c r="M549" s="7">
        <v>0.7327040210034901</v>
      </c>
      <c r="N549" s="7">
        <v>0.4197389184513842</v>
      </c>
      <c r="O549" s="7">
        <v>0.0553564731534822</v>
      </c>
      <c r="P549" s="7">
        <v>8.841526260745304</v>
      </c>
      <c r="Q549" s="7">
        <v>0.0440838972582946</v>
      </c>
      <c r="R549" s="7">
        <v>0.0980961505238069</v>
      </c>
      <c r="S549" s="7">
        <v>0.1328440087085983</v>
      </c>
      <c r="T549" s="7">
        <v>2.943965589167514</v>
      </c>
    </row>
    <row x14ac:dyDescent="0.25" r="550" customHeight="1" ht="19.5">
      <c r="A550" s="2" t="s">
        <v>1608</v>
      </c>
      <c r="B550" s="2" t="s">
        <v>1060</v>
      </c>
      <c r="C550" s="2" t="s">
        <v>31</v>
      </c>
      <c r="D550" s="2" t="s">
        <v>402</v>
      </c>
      <c r="E550" s="6">
        <v>1</v>
      </c>
      <c r="F550" s="6">
        <v>2</v>
      </c>
      <c r="G550" s="7">
        <v>0.7770364880561829</v>
      </c>
      <c r="H550" s="7">
        <v>57.55280781250001</v>
      </c>
      <c r="I550" s="7">
        <v>31.51730345406114</v>
      </c>
      <c r="J550" s="7">
        <v>10.31844457687457</v>
      </c>
      <c r="K550" s="7">
        <v>5.585784775736009</v>
      </c>
      <c r="L550" s="7">
        <v>0.8494496765030707</v>
      </c>
      <c r="M550" s="7">
        <v>0.7280786128102017</v>
      </c>
      <c r="N550" s="7">
        <v>0.4202484690451041</v>
      </c>
      <c r="O550" s="7">
        <v>0.0553550580764475</v>
      </c>
      <c r="P550" s="7">
        <v>8.83900675616386</v>
      </c>
      <c r="Q550" s="7">
        <v>0.0448188158598633</v>
      </c>
      <c r="R550" s="7">
        <v>0.0992048241670348</v>
      </c>
      <c r="S550" s="7">
        <v>0.1356741248637842</v>
      </c>
      <c r="T550" s="7">
        <v>2.993764776787647</v>
      </c>
    </row>
    <row x14ac:dyDescent="0.25" r="551" customHeight="1" ht="19.5">
      <c r="A551" s="2" t="s">
        <v>1609</v>
      </c>
      <c r="B551" s="2" t="s">
        <v>1060</v>
      </c>
      <c r="C551" s="2" t="s">
        <v>31</v>
      </c>
      <c r="D551" s="2" t="s">
        <v>402</v>
      </c>
      <c r="E551" s="6">
        <v>1</v>
      </c>
      <c r="F551" s="6">
        <v>2</v>
      </c>
      <c r="G551" s="7">
        <v>0.7906245589256287</v>
      </c>
      <c r="H551" s="7">
        <v>56.853225</v>
      </c>
      <c r="I551" s="7">
        <v>31.428162793796</v>
      </c>
      <c r="J551" s="7">
        <v>10.30960482921133</v>
      </c>
      <c r="K551" s="7">
        <v>5.536395792951109</v>
      </c>
      <c r="L551" s="7">
        <v>0.8531034263876851</v>
      </c>
      <c r="M551" s="7">
        <v>0.7233141829830618</v>
      </c>
      <c r="N551" s="7">
        <v>0.4167314411259349</v>
      </c>
      <c r="O551" s="7">
        <v>0.0552280855978059</v>
      </c>
      <c r="P551" s="7">
        <v>8.848251021914901</v>
      </c>
      <c r="Q551" s="7">
        <v>0.0436396058767584</v>
      </c>
      <c r="R551" s="7">
        <v>0.0961481195713697</v>
      </c>
      <c r="S551" s="7">
        <v>0.1311071442467416</v>
      </c>
      <c r="T551" s="7">
        <v>2.879563797157119</v>
      </c>
    </row>
    <row x14ac:dyDescent="0.25" r="552" customHeight="1" ht="19.5">
      <c r="A552" s="2" t="s">
        <v>1610</v>
      </c>
      <c r="B552" s="2" t="s">
        <v>1060</v>
      </c>
      <c r="C552" s="2" t="s">
        <v>31</v>
      </c>
      <c r="D552" s="2" t="s">
        <v>402</v>
      </c>
      <c r="E552" s="6">
        <v>1</v>
      </c>
      <c r="F552" s="6">
        <v>2</v>
      </c>
      <c r="G552" s="7">
        <v>0.7841067910194397</v>
      </c>
      <c r="H552" s="7">
        <v>56.4722640625</v>
      </c>
      <c r="I552" s="7">
        <v>31.28190485593448</v>
      </c>
      <c r="J552" s="7">
        <v>10.29697931071788</v>
      </c>
      <c r="K552" s="7">
        <v>5.438351374741605</v>
      </c>
      <c r="L552" s="7">
        <v>0.8557086348226914</v>
      </c>
      <c r="M552" s="7">
        <v>0.7252014805982616</v>
      </c>
      <c r="N552" s="7">
        <v>0.4157894314037242</v>
      </c>
      <c r="O552" s="7">
        <v>0.0556702691076754</v>
      </c>
      <c r="P552" s="7">
        <v>8.80987346735842</v>
      </c>
      <c r="Q552" s="7">
        <v>0.0442273021771556</v>
      </c>
      <c r="R552" s="7">
        <v>0.0974681108058059</v>
      </c>
      <c r="S552" s="7">
        <v>0.1341292261588221</v>
      </c>
      <c r="T552" s="7">
        <v>2.898787823249376</v>
      </c>
    </row>
    <row x14ac:dyDescent="0.25" r="553" customHeight="1" ht="19.5">
      <c r="A553" s="2" t="s">
        <v>1611</v>
      </c>
      <c r="B553" s="2" t="s">
        <v>1060</v>
      </c>
      <c r="C553" s="2" t="s">
        <v>31</v>
      </c>
      <c r="D553" s="2" t="s">
        <v>402</v>
      </c>
      <c r="E553" s="6">
        <v>1</v>
      </c>
      <c r="F553" s="6">
        <v>2</v>
      </c>
      <c r="G553" s="7">
        <v>0.7802433967590332</v>
      </c>
      <c r="H553" s="7">
        <v>57.58397734375001</v>
      </c>
      <c r="I553" s="7">
        <v>31.58033541941408</v>
      </c>
      <c r="J553" s="7">
        <v>10.31191126678806</v>
      </c>
      <c r="K553" s="7">
        <v>5.582665610108993</v>
      </c>
      <c r="L553" s="7">
        <v>0.84916201503598</v>
      </c>
      <c r="M553" s="7">
        <v>0.7255678747541107</v>
      </c>
      <c r="N553" s="7">
        <v>0.4203822183346162</v>
      </c>
      <c r="O553" s="7">
        <v>0.0556014707428132</v>
      </c>
      <c r="P553" s="7">
        <v>8.830745108725145</v>
      </c>
      <c r="Q553" s="7">
        <v>0.0442779492878092</v>
      </c>
      <c r="R553" s="7">
        <v>0.0977139538344479</v>
      </c>
      <c r="S553" s="7">
        <v>0.1347766146225951</v>
      </c>
      <c r="T553" s="7">
        <v>2.959238285170533</v>
      </c>
    </row>
    <row x14ac:dyDescent="0.25" r="554" customHeight="1" ht="19.5">
      <c r="A554" s="2" t="s">
        <v>1612</v>
      </c>
      <c r="B554" s="2" t="s">
        <v>1060</v>
      </c>
      <c r="C554" s="2" t="s">
        <v>31</v>
      </c>
      <c r="D554" s="2" t="s">
        <v>402</v>
      </c>
      <c r="E554" s="6">
        <v>1</v>
      </c>
      <c r="F554" s="6">
        <v>2</v>
      </c>
      <c r="G554" s="7">
        <v>0.7919780611991882</v>
      </c>
      <c r="H554" s="7">
        <v>57.199553125</v>
      </c>
      <c r="I554" s="7">
        <v>31.44835680095165</v>
      </c>
      <c r="J554" s="7">
        <v>10.26904288876466</v>
      </c>
      <c r="K554" s="7">
        <v>5.59266794748201</v>
      </c>
      <c r="L554" s="7">
        <v>0.8479370228175429</v>
      </c>
      <c r="M554" s="7">
        <v>0.7267860511604859</v>
      </c>
      <c r="N554" s="7">
        <v>0.4195020947780439</v>
      </c>
      <c r="O554" s="7">
        <v>0.0553611445206017</v>
      </c>
      <c r="P554" s="7">
        <v>8.833005352569831</v>
      </c>
      <c r="Q554" s="7">
        <v>0.0446888360115514</v>
      </c>
      <c r="R554" s="7">
        <v>0.1001356733618738</v>
      </c>
      <c r="S554" s="7">
        <v>0.1357569570982371</v>
      </c>
      <c r="T554" s="7">
        <v>2.966760300313521</v>
      </c>
    </row>
    <row x14ac:dyDescent="0.25" r="555" customHeight="1" ht="19.5">
      <c r="A555" s="2" t="s">
        <v>1613</v>
      </c>
      <c r="B555" s="2" t="s">
        <v>1060</v>
      </c>
      <c r="C555" s="2" t="s">
        <v>31</v>
      </c>
      <c r="D555" s="2" t="s">
        <v>402</v>
      </c>
      <c r="E555" s="6">
        <v>1</v>
      </c>
      <c r="F555" s="6">
        <v>2</v>
      </c>
      <c r="G555" s="7">
        <v>0.7756639122962952</v>
      </c>
      <c r="H555" s="7">
        <v>57.17184687500001</v>
      </c>
      <c r="I555" s="7">
        <v>31.41979816215347</v>
      </c>
      <c r="J555" s="7">
        <v>10.29803987922632</v>
      </c>
      <c r="K555" s="7">
        <v>5.50081703281925</v>
      </c>
      <c r="L555" s="7">
        <v>0.8522771698881929</v>
      </c>
      <c r="M555" s="7">
        <v>0.7277551780792125</v>
      </c>
      <c r="N555" s="7">
        <v>0.416366706321903</v>
      </c>
      <c r="O555" s="7">
        <v>0.0554832920200484</v>
      </c>
      <c r="P555" s="7">
        <v>8.80794879815749</v>
      </c>
      <c r="Q555" s="7">
        <v>0.0451909923645005</v>
      </c>
      <c r="R555" s="7">
        <v>0.0983266494050538</v>
      </c>
      <c r="S555" s="7">
        <v>0.1369939806352129</v>
      </c>
      <c r="T555" s="7">
        <v>2.998643799374162</v>
      </c>
    </row>
    <row x14ac:dyDescent="0.25" r="556" customHeight="1" ht="19.5">
      <c r="A556" s="2" t="s">
        <v>1614</v>
      </c>
      <c r="B556" s="2" t="s">
        <v>1060</v>
      </c>
      <c r="C556" s="2" t="s">
        <v>31</v>
      </c>
      <c r="D556" s="2" t="s">
        <v>402</v>
      </c>
      <c r="E556" s="6">
        <v>1</v>
      </c>
      <c r="F556" s="6">
        <v>2</v>
      </c>
      <c r="G556" s="7">
        <v>0.778995156288147</v>
      </c>
      <c r="H556" s="7">
        <v>57.0194625</v>
      </c>
      <c r="I556" s="7">
        <v>31.39368946724125</v>
      </c>
      <c r="J556" s="7">
        <v>10.30443902883465</v>
      </c>
      <c r="K556" s="7">
        <v>5.510378904540406</v>
      </c>
      <c r="L556" s="7">
        <v>0.852642491744652</v>
      </c>
      <c r="M556" s="7">
        <v>0.7270231950648066</v>
      </c>
      <c r="N556" s="7">
        <v>0.4177657234511263</v>
      </c>
      <c r="O556" s="7">
        <v>0.0554916621103917</v>
      </c>
      <c r="P556" s="7">
        <v>8.825925422872464</v>
      </c>
      <c r="Q556" s="7">
        <v>0.0447240099376779</v>
      </c>
      <c r="R556" s="7">
        <v>0.0978172780810672</v>
      </c>
      <c r="S556" s="7">
        <v>0.1356929685131141</v>
      </c>
      <c r="T556" s="7">
        <v>2.959747309438971</v>
      </c>
    </row>
    <row x14ac:dyDescent="0.25" r="557" customHeight="1" ht="19.5">
      <c r="A557" s="2" t="s">
        <v>1615</v>
      </c>
      <c r="B557" s="2" t="s">
        <v>1060</v>
      </c>
      <c r="C557" s="2" t="s">
        <v>31</v>
      </c>
      <c r="D557" s="2" t="s">
        <v>402</v>
      </c>
      <c r="E557" s="6">
        <v>1</v>
      </c>
      <c r="F557" s="6">
        <v>2</v>
      </c>
      <c r="G557" s="7">
        <v>0.7824642062187195</v>
      </c>
      <c r="H557" s="7">
        <v>57.5389546875</v>
      </c>
      <c r="I557" s="7">
        <v>31.49710944690549</v>
      </c>
      <c r="J557" s="7">
        <v>10.32395308006209</v>
      </c>
      <c r="K557" s="7">
        <v>5.593503317406928</v>
      </c>
      <c r="L557" s="7">
        <v>0.8496435147106143</v>
      </c>
      <c r="M557" s="7">
        <v>0.7288370350532215</v>
      </c>
      <c r="N557" s="7">
        <v>0.4197966562514194</v>
      </c>
      <c r="O557" s="7">
        <v>0.055302953727804</v>
      </c>
      <c r="P557" s="7">
        <v>8.839275004886973</v>
      </c>
      <c r="Q557" s="7">
        <v>0.0444023196089741</v>
      </c>
      <c r="R557" s="7">
        <v>0.098237224377414</v>
      </c>
      <c r="S557" s="7">
        <v>0.1320810363595119</v>
      </c>
      <c r="T557" s="7">
        <v>2.965230143835397</v>
      </c>
    </row>
    <row x14ac:dyDescent="0.25" r="558" customHeight="1" ht="19.5">
      <c r="A558" s="2" t="s">
        <v>1616</v>
      </c>
      <c r="B558" s="2" t="s">
        <v>1060</v>
      </c>
      <c r="C558" s="2" t="s">
        <v>31</v>
      </c>
      <c r="D558" s="2" t="s">
        <v>402</v>
      </c>
      <c r="E558" s="6">
        <v>1</v>
      </c>
      <c r="F558" s="6">
        <v>2</v>
      </c>
      <c r="G558" s="7">
        <v>0.7822136878967285</v>
      </c>
      <c r="H558" s="7">
        <v>57.5389546875</v>
      </c>
      <c r="I558" s="7">
        <v>31.4828301275064</v>
      </c>
      <c r="J558" s="7">
        <v>10.30423885431507</v>
      </c>
      <c r="K558" s="7">
        <v>5.579431293006927</v>
      </c>
      <c r="L558" s="7">
        <v>0.8493002391859188</v>
      </c>
      <c r="M558" s="7">
        <v>0.7294983261082231</v>
      </c>
      <c r="N558" s="7">
        <v>0.4169370485913897</v>
      </c>
      <c r="O558" s="7">
        <v>0.0553446894523885</v>
      </c>
      <c r="P558" s="7">
        <v>8.842615403953147</v>
      </c>
      <c r="Q558" s="7">
        <v>0.0454361611954487</v>
      </c>
      <c r="R558" s="7">
        <v>0.1005844323851843</v>
      </c>
      <c r="S558" s="7">
        <v>0.1348069316892269</v>
      </c>
      <c r="T558" s="7">
        <v>3.034271091766993</v>
      </c>
    </row>
    <row x14ac:dyDescent="0.25" r="559" customHeight="1" ht="19.5">
      <c r="A559" s="2" t="s">
        <v>1617</v>
      </c>
      <c r="B559" s="2" t="s">
        <v>1060</v>
      </c>
      <c r="C559" s="2" t="s">
        <v>31</v>
      </c>
      <c r="D559" s="2" t="s">
        <v>402</v>
      </c>
      <c r="E559" s="6">
        <v>1</v>
      </c>
      <c r="F559" s="6">
        <v>2</v>
      </c>
      <c r="G559" s="7">
        <v>0.7837775349617004</v>
      </c>
      <c r="H559" s="7">
        <v>56.69391406250001</v>
      </c>
      <c r="I559" s="7">
        <v>31.31637818248922</v>
      </c>
      <c r="J559" s="7">
        <v>10.23917181503862</v>
      </c>
      <c r="K559" s="7">
        <v>5.504171021056156</v>
      </c>
      <c r="L559" s="7">
        <v>0.8507717388631052</v>
      </c>
      <c r="M559" s="7">
        <v>0.7264458498278072</v>
      </c>
      <c r="N559" s="7">
        <v>0.422551072784841</v>
      </c>
      <c r="O559" s="7">
        <v>0.0557491920886222</v>
      </c>
      <c r="P559" s="7">
        <v>8.803940330657184</v>
      </c>
      <c r="Q559" s="7">
        <v>0.0444469381864802</v>
      </c>
      <c r="R559" s="7">
        <v>0.0996426569932118</v>
      </c>
      <c r="S559" s="7">
        <v>0.1355049641345243</v>
      </c>
      <c r="T559" s="7">
        <v>2.924617472382051</v>
      </c>
    </row>
    <row x14ac:dyDescent="0.25" r="560" customHeight="1" ht="19.5">
      <c r="A560" s="2" t="s">
        <v>1618</v>
      </c>
      <c r="B560" s="2" t="s">
        <v>1060</v>
      </c>
      <c r="C560" s="2" t="s">
        <v>31</v>
      </c>
      <c r="D560" s="2" t="s">
        <v>402</v>
      </c>
      <c r="E560" s="6">
        <v>1</v>
      </c>
      <c r="F560" s="6">
        <v>2</v>
      </c>
      <c r="G560" s="7">
        <v>0.7831494212150574</v>
      </c>
      <c r="H560" s="7">
        <v>55.76575468750001</v>
      </c>
      <c r="I560" s="7">
        <v>30.95736559754267</v>
      </c>
      <c r="J560" s="7">
        <v>10.26146769649285</v>
      </c>
      <c r="K560" s="7">
        <v>5.49704726147026</v>
      </c>
      <c r="L560" s="7">
        <v>0.8543745127350012</v>
      </c>
      <c r="M560" s="7">
        <v>0.7312223475359954</v>
      </c>
      <c r="N560" s="7">
        <v>0.5056144587746195</v>
      </c>
      <c r="O560" s="7">
        <v>0.0650987235179232</v>
      </c>
      <c r="P560" s="7">
        <v>8.41379393616036</v>
      </c>
      <c r="Q560" s="7">
        <v>0.0375685938724159</v>
      </c>
      <c r="R560" s="7">
        <v>0.0851249779234097</v>
      </c>
      <c r="S560" s="7">
        <v>0.1111515076540863</v>
      </c>
      <c r="T560" s="7">
        <v>2.431550560435596</v>
      </c>
    </row>
    <row x14ac:dyDescent="0.25" r="561" customHeight="1" ht="19.5">
      <c r="A561" s="2" t="s">
        <v>1619</v>
      </c>
      <c r="B561" s="2" t="s">
        <v>1060</v>
      </c>
      <c r="C561" s="2" t="s">
        <v>31</v>
      </c>
      <c r="D561" s="2" t="s">
        <v>402</v>
      </c>
      <c r="E561" s="6">
        <v>1</v>
      </c>
      <c r="F561" s="6">
        <v>2</v>
      </c>
      <c r="G561" s="7">
        <v>0.6775267124176025</v>
      </c>
      <c r="H561" s="7">
        <v>51.89726953125</v>
      </c>
      <c r="I561" s="7">
        <v>30.94207147815894</v>
      </c>
      <c r="J561" s="7">
        <v>10.17399276797132</v>
      </c>
      <c r="K561" s="7">
        <v>5.524857943928766</v>
      </c>
      <c r="L561" s="7">
        <v>0.8687190446958307</v>
      </c>
      <c r="M561" s="7">
        <v>0.6811701416394813</v>
      </c>
      <c r="N561" s="7">
        <v>0.5936746611027129</v>
      </c>
      <c r="O561" s="7">
        <v>0.097894806381428</v>
      </c>
      <c r="P561" s="7">
        <v>7.652332731692088</v>
      </c>
      <c r="Q561" s="7">
        <v>0.0496612874238499</v>
      </c>
      <c r="R561" s="7">
        <v>0.0905560584887466</v>
      </c>
      <c r="S561" s="7">
        <v>0.1052043486732493</v>
      </c>
      <c r="T561" s="7">
        <v>2.991253798051624</v>
      </c>
    </row>
    <row x14ac:dyDescent="0.25" r="562" customHeight="1" ht="19.5">
      <c r="A562" s="2" t="s">
        <v>1620</v>
      </c>
      <c r="B562" s="2" t="s">
        <v>1060</v>
      </c>
      <c r="C562" s="2" t="s">
        <v>31</v>
      </c>
      <c r="D562" s="2" t="s">
        <v>402</v>
      </c>
      <c r="E562" s="6">
        <v>1</v>
      </c>
      <c r="F562" s="6">
        <v>2</v>
      </c>
      <c r="G562" s="7">
        <v>0.8241702318191528</v>
      </c>
      <c r="H562" s="7">
        <v>51.9977046875</v>
      </c>
      <c r="I562" s="7">
        <v>30.663834921835</v>
      </c>
      <c r="J562" s="7">
        <v>10.24153492212194</v>
      </c>
      <c r="K562" s="7">
        <v>5.389415452795603</v>
      </c>
      <c r="L562" s="7">
        <v>0.8708827006227404</v>
      </c>
      <c r="M562" s="7">
        <v>0.6949300643796026</v>
      </c>
      <c r="N562" s="7">
        <v>0.530193182423571</v>
      </c>
      <c r="O562" s="7">
        <v>0.0836582453070459</v>
      </c>
      <c r="P562" s="7">
        <v>8.034186311922006</v>
      </c>
      <c r="Q562" s="7">
        <v>0.0606225658621601</v>
      </c>
      <c r="R562" s="7">
        <v>0.1109733135174933</v>
      </c>
      <c r="S562" s="7">
        <v>0.1315510951312969</v>
      </c>
      <c r="T562" s="7">
        <v>3.658552295760739</v>
      </c>
    </row>
    <row x14ac:dyDescent="0.25" r="563" customHeight="1" ht="19.5">
      <c r="A563" s="2" t="s">
        <v>1621</v>
      </c>
      <c r="B563" s="2" t="s">
        <v>1060</v>
      </c>
      <c r="C563" s="2" t="s">
        <v>31</v>
      </c>
      <c r="D563" s="2" t="s">
        <v>402</v>
      </c>
      <c r="E563" s="6">
        <v>1</v>
      </c>
      <c r="F563" s="6">
        <v>2</v>
      </c>
      <c r="G563" s="7">
        <v>0.8417726755142212</v>
      </c>
      <c r="H563" s="7">
        <v>52.6626546875</v>
      </c>
      <c r="I563" s="7">
        <v>30.93370684651642</v>
      </c>
      <c r="J563" s="7">
        <v>10.29690793949545</v>
      </c>
      <c r="K563" s="7">
        <v>5.469179779708321</v>
      </c>
      <c r="L563" s="7">
        <v>0.8669119417429137</v>
      </c>
      <c r="M563" s="7">
        <v>0.6915899615807288</v>
      </c>
      <c r="N563" s="7">
        <v>0.4684005148662368</v>
      </c>
      <c r="O563" s="7">
        <v>0.0742506908351667</v>
      </c>
      <c r="P563" s="7">
        <v>8.366815814892883</v>
      </c>
      <c r="Q563" s="7">
        <v>0.0691184194249203</v>
      </c>
      <c r="R563" s="7">
        <v>0.1325590555376181</v>
      </c>
      <c r="S563" s="7">
        <v>0.1627140537527802</v>
      </c>
      <c r="T563" s="7">
        <v>4.224616842818654</v>
      </c>
    </row>
    <row x14ac:dyDescent="0.25" r="564" customHeight="1" ht="19.5">
      <c r="A564" s="2" t="s">
        <v>1622</v>
      </c>
      <c r="B564" s="2" t="s">
        <v>1060</v>
      </c>
      <c r="C564" s="2" t="s">
        <v>31</v>
      </c>
      <c r="D564" s="2" t="s">
        <v>402</v>
      </c>
      <c r="E564" s="6">
        <v>1</v>
      </c>
      <c r="F564" s="6">
        <v>2</v>
      </c>
      <c r="G564" s="7">
        <v>0.8374569416046143</v>
      </c>
      <c r="H564" s="7">
        <v>53.7293453125</v>
      </c>
      <c r="I564" s="7">
        <v>31.25233141715168</v>
      </c>
      <c r="J564" s="7">
        <v>10.33145361582751</v>
      </c>
      <c r="K564" s="7">
        <v>5.599324480424345</v>
      </c>
      <c r="L564" s="7">
        <v>0.8613674973157082</v>
      </c>
      <c r="M564" s="7">
        <v>0.6912841040181542</v>
      </c>
      <c r="N564" s="7">
        <v>0.4285017618021396</v>
      </c>
      <c r="O564" s="7">
        <v>0.070133353632984</v>
      </c>
      <c r="P564" s="7">
        <v>8.57271595575337</v>
      </c>
      <c r="Q564" s="7">
        <v>0.0721175130386986</v>
      </c>
      <c r="R564" s="7">
        <v>0.1448954465562881</v>
      </c>
      <c r="S564" s="7">
        <v>0.1815512259112968</v>
      </c>
      <c r="T564" s="7">
        <v>4.497208994145997</v>
      </c>
    </row>
    <row x14ac:dyDescent="0.25" r="565" customHeight="1" ht="19.5">
      <c r="A565" s="2" t="s">
        <v>1623</v>
      </c>
      <c r="B565" s="2" t="s">
        <v>1060</v>
      </c>
      <c r="C565" s="2" t="s">
        <v>31</v>
      </c>
      <c r="D565" s="2" t="s">
        <v>402</v>
      </c>
      <c r="E565" s="6">
        <v>1</v>
      </c>
      <c r="F565" s="6">
        <v>2</v>
      </c>
      <c r="G565" s="7">
        <v>0.8445597290992737</v>
      </c>
      <c r="H565" s="7">
        <v>53.55618125</v>
      </c>
      <c r="I565" s="7">
        <v>31.37003071621501</v>
      </c>
      <c r="J565" s="7">
        <v>10.34525487675634</v>
      </c>
      <c r="K565" s="7">
        <v>5.611185588291027</v>
      </c>
      <c r="L565" s="7">
        <v>0.8627787075840073</v>
      </c>
      <c r="M565" s="7">
        <v>0.6838952365592328</v>
      </c>
      <c r="N565" s="7">
        <v>0.4131347666228702</v>
      </c>
      <c r="O565" s="7">
        <v>0.0695326620899615</v>
      </c>
      <c r="P565" s="7">
        <v>8.668820738408044</v>
      </c>
      <c r="Q565" s="7">
        <v>0.0756999670886302</v>
      </c>
      <c r="R565" s="7">
        <v>0.1508081408291199</v>
      </c>
      <c r="S565" s="7">
        <v>0.1940361401216107</v>
      </c>
      <c r="T565" s="7">
        <v>4.705394856562296</v>
      </c>
    </row>
    <row x14ac:dyDescent="0.25" r="566" customHeight="1" ht="19.5">
      <c r="A566" s="2" t="s">
        <v>1624</v>
      </c>
      <c r="B566" s="2" t="s">
        <v>1060</v>
      </c>
      <c r="C566" s="2" t="s">
        <v>31</v>
      </c>
      <c r="D566" s="2" t="s">
        <v>402</v>
      </c>
      <c r="E566" s="6">
        <v>1</v>
      </c>
      <c r="F566" s="6">
        <v>2</v>
      </c>
      <c r="G566" s="7">
        <v>0.8404127955436707</v>
      </c>
      <c r="H566" s="7">
        <v>53.819390625</v>
      </c>
      <c r="I566" s="7">
        <v>31.33555738966026</v>
      </c>
      <c r="J566" s="7">
        <v>10.33652553710443</v>
      </c>
      <c r="K566" s="7">
        <v>5.663845779160488</v>
      </c>
      <c r="L566" s="7">
        <v>0.8610147234598446</v>
      </c>
      <c r="M566" s="7">
        <v>0.6887693162971615</v>
      </c>
      <c r="N566" s="7">
        <v>0.4107516041422135</v>
      </c>
      <c r="O566" s="7">
        <v>0.0672366404555772</v>
      </c>
      <c r="P566" s="7">
        <v>8.674981655056833</v>
      </c>
      <c r="Q566" s="7">
        <v>0.0753982704726555</v>
      </c>
      <c r="R566" s="7">
        <v>0.1517033124142935</v>
      </c>
      <c r="S566" s="7">
        <v>0.1943786615767248</v>
      </c>
      <c r="T566" s="7">
        <v>4.709675013279646</v>
      </c>
    </row>
    <row x14ac:dyDescent="0.25" r="567" customHeight="1" ht="19.5">
      <c r="A567" s="2" t="s">
        <v>1625</v>
      </c>
      <c r="B567" s="2" t="s">
        <v>1060</v>
      </c>
      <c r="C567" s="2" t="s">
        <v>31</v>
      </c>
      <c r="D567" s="2" t="s">
        <v>402</v>
      </c>
      <c r="E567" s="6">
        <v>1</v>
      </c>
      <c r="F567" s="6">
        <v>2</v>
      </c>
      <c r="G567" s="7">
        <v>0.8414068818092346</v>
      </c>
      <c r="H567" s="7">
        <v>54.22113125000001</v>
      </c>
      <c r="I567" s="7">
        <v>31.32127807026117</v>
      </c>
      <c r="J567" s="7">
        <v>10.3960182333044</v>
      </c>
      <c r="K567" s="7">
        <v>5.675430719968071</v>
      </c>
      <c r="L567" s="7">
        <v>0.8619647541486016</v>
      </c>
      <c r="M567" s="7">
        <v>0.6945435586141709</v>
      </c>
      <c r="N567" s="7">
        <v>0.4071730124532374</v>
      </c>
      <c r="O567" s="7">
        <v>0.0666361213067747</v>
      </c>
      <c r="P567" s="7">
        <v>8.684680195988337</v>
      </c>
      <c r="Q567" s="7">
        <v>0.0741093956879104</v>
      </c>
      <c r="R567" s="7">
        <v>0.1524154118984102</v>
      </c>
      <c r="S567" s="7">
        <v>0.1956787147518517</v>
      </c>
      <c r="T567" s="7">
        <v>4.663721695294475</v>
      </c>
    </row>
    <row x14ac:dyDescent="0.25" r="568" customHeight="1" ht="19.5">
      <c r="A568" s="2" t="s">
        <v>1626</v>
      </c>
      <c r="B568" s="2" t="s">
        <v>1060</v>
      </c>
      <c r="C568" s="2" t="s">
        <v>31</v>
      </c>
      <c r="D568" s="2" t="s">
        <v>402</v>
      </c>
      <c r="E568" s="6">
        <v>1</v>
      </c>
      <c r="F568" s="6">
        <v>2</v>
      </c>
      <c r="G568" s="7">
        <v>0.8441884517669678</v>
      </c>
      <c r="H568" s="7">
        <v>53.91982578125</v>
      </c>
      <c r="I568" s="7">
        <v>31.41878336216884</v>
      </c>
      <c r="J568" s="7">
        <v>10.36471123582516</v>
      </c>
      <c r="K568" s="7">
        <v>5.675915067718718</v>
      </c>
      <c r="L568" s="7">
        <v>0.860498722970993</v>
      </c>
      <c r="M568" s="7">
        <v>0.6864037015520307</v>
      </c>
      <c r="N568" s="7">
        <v>0.4135795591613584</v>
      </c>
      <c r="O568" s="7">
        <v>0.0722945150849699</v>
      </c>
      <c r="P568" s="7">
        <v>8.643916903142456</v>
      </c>
      <c r="Q568" s="7">
        <v>0.0753526780662159</v>
      </c>
      <c r="R568" s="7">
        <v>0.1525017806848059</v>
      </c>
      <c r="S568" s="7">
        <v>0.1943748848067637</v>
      </c>
      <c r="T568" s="7">
        <v>4.715610784981584</v>
      </c>
    </row>
    <row x14ac:dyDescent="0.25" r="569" customHeight="1" ht="19.5">
      <c r="A569" s="2" t="s">
        <v>1627</v>
      </c>
      <c r="B569" s="2" t="s">
        <v>1060</v>
      </c>
      <c r="C569" s="2" t="s">
        <v>31</v>
      </c>
      <c r="D569" s="2" t="s">
        <v>402</v>
      </c>
      <c r="E569" s="6">
        <v>1</v>
      </c>
      <c r="F569" s="6">
        <v>2</v>
      </c>
      <c r="G569" s="7">
        <v>0.8407803177833557</v>
      </c>
      <c r="H569" s="7">
        <v>53.74319843750001</v>
      </c>
      <c r="I569" s="7">
        <v>31.28680474370642</v>
      </c>
      <c r="J569" s="7">
        <v>10.32727759196302</v>
      </c>
      <c r="K569" s="7">
        <v>5.648090568934641</v>
      </c>
      <c r="L569" s="7">
        <v>0.8613989521509501</v>
      </c>
      <c r="M569" s="7">
        <v>0.6899394045924345</v>
      </c>
      <c r="N569" s="7">
        <v>0.4098483698064918</v>
      </c>
      <c r="O569" s="7">
        <v>0.068623502514514</v>
      </c>
      <c r="P569" s="7">
        <v>8.669638497997019</v>
      </c>
      <c r="Q569" s="7">
        <v>0.075085236897433</v>
      </c>
      <c r="R569" s="7">
        <v>0.1514449208830816</v>
      </c>
      <c r="S569" s="7">
        <v>0.1940070365391257</v>
      </c>
      <c r="T569" s="7">
        <v>4.683481882715592</v>
      </c>
    </row>
    <row x14ac:dyDescent="0.25" r="570" customHeight="1" ht="19.5">
      <c r="A570" s="2" t="s">
        <v>1628</v>
      </c>
      <c r="B570" s="2" t="s">
        <v>1060</v>
      </c>
      <c r="C570" s="2" t="s">
        <v>31</v>
      </c>
      <c r="D570" s="2" t="s">
        <v>402</v>
      </c>
      <c r="E570" s="6">
        <v>1</v>
      </c>
      <c r="F570" s="6">
        <v>2</v>
      </c>
      <c r="G570" s="7">
        <v>0.8440464735031128</v>
      </c>
      <c r="H570" s="7">
        <v>53.80900078125001</v>
      </c>
      <c r="I570" s="7">
        <v>31.28680474370642</v>
      </c>
      <c r="J570" s="7">
        <v>10.36675311468701</v>
      </c>
      <c r="K570" s="7">
        <v>5.688600661220746</v>
      </c>
      <c r="L570" s="7">
        <v>0.8607466565506585</v>
      </c>
      <c r="M570" s="7">
        <v>0.6907841557644447</v>
      </c>
      <c r="N570" s="7">
        <v>0.4167894874182698</v>
      </c>
      <c r="O570" s="7">
        <v>0.0735204875122757</v>
      </c>
      <c r="P570" s="7">
        <v>8.62433234172359</v>
      </c>
      <c r="Q570" s="7">
        <v>0.0749657112293964</v>
      </c>
      <c r="R570" s="7">
        <v>0.151433079084633</v>
      </c>
      <c r="S570" s="7">
        <v>0.1924685600535505</v>
      </c>
      <c r="T570" s="7">
        <v>4.681751659781543</v>
      </c>
    </row>
    <row x14ac:dyDescent="0.25" r="571" customHeight="1" ht="19.5">
      <c r="A571" s="2" t="s">
        <v>1629</v>
      </c>
      <c r="B571" s="2" t="s">
        <v>1060</v>
      </c>
      <c r="C571" s="2" t="s">
        <v>31</v>
      </c>
      <c r="D571" s="2" t="s">
        <v>402</v>
      </c>
      <c r="E571" s="6">
        <v>1</v>
      </c>
      <c r="F571" s="6">
        <v>2</v>
      </c>
      <c r="G571" s="7">
        <v>0.8394946455955505</v>
      </c>
      <c r="H571" s="7">
        <v>54.22459453125001</v>
      </c>
      <c r="I571" s="7">
        <v>31.34147207741682</v>
      </c>
      <c r="J571" s="7">
        <v>10.35914415426525</v>
      </c>
      <c r="K571" s="7">
        <v>5.624695631622713</v>
      </c>
      <c r="L571" s="7">
        <v>0.8644895658547442</v>
      </c>
      <c r="M571" s="7">
        <v>0.6936931328693664</v>
      </c>
      <c r="N571" s="7">
        <v>0.4064872037693707</v>
      </c>
      <c r="O571" s="7">
        <v>0.0646997998392733</v>
      </c>
      <c r="P571" s="7">
        <v>8.693978295801102</v>
      </c>
      <c r="Q571" s="7">
        <v>0.0730543010875036</v>
      </c>
      <c r="R571" s="7">
        <v>0.1494347084898175</v>
      </c>
      <c r="S571" s="7">
        <v>0.1910220252832892</v>
      </c>
      <c r="T571" s="7">
        <v>4.597617990180305</v>
      </c>
    </row>
    <row x14ac:dyDescent="0.25" r="572" customHeight="1" ht="19.5">
      <c r="A572" s="2" t="s">
        <v>1630</v>
      </c>
      <c r="B572" s="2" t="s">
        <v>1060</v>
      </c>
      <c r="C572" s="2" t="s">
        <v>31</v>
      </c>
      <c r="D572" s="2" t="s">
        <v>402</v>
      </c>
      <c r="E572" s="6">
        <v>1</v>
      </c>
      <c r="F572" s="6">
        <v>2</v>
      </c>
      <c r="G572" s="7">
        <v>0.8423866033554077</v>
      </c>
      <c r="H572" s="7">
        <v>53.8263171875</v>
      </c>
      <c r="I572" s="7">
        <v>31.26661073655076</v>
      </c>
      <c r="J572" s="7">
        <v>10.34855475093986</v>
      </c>
      <c r="K572" s="7">
        <v>5.681313745997542</v>
      </c>
      <c r="L572" s="7">
        <v>0.8595472955558832</v>
      </c>
      <c r="M572" s="7">
        <v>0.6918993406192815</v>
      </c>
      <c r="N572" s="7">
        <v>0.4168225737029556</v>
      </c>
      <c r="O572" s="7">
        <v>0.0732570009725373</v>
      </c>
      <c r="P572" s="7">
        <v>8.63034637220905</v>
      </c>
      <c r="Q572" s="7">
        <v>0.0754202135652079</v>
      </c>
      <c r="R572" s="7">
        <v>0.1525318996503355</v>
      </c>
      <c r="S572" s="7">
        <v>0.193200867347834</v>
      </c>
      <c r="T572" s="7">
        <v>4.711651978053195</v>
      </c>
    </row>
    <row x14ac:dyDescent="0.25" r="573" customHeight="1" ht="19.5">
      <c r="A573" s="2" t="s">
        <v>1631</v>
      </c>
      <c r="B573" s="2" t="s">
        <v>1060</v>
      </c>
      <c r="C573" s="2" t="s">
        <v>31</v>
      </c>
      <c r="D573" s="2" t="s">
        <v>402</v>
      </c>
      <c r="E573" s="6">
        <v>1</v>
      </c>
      <c r="F573" s="6">
        <v>2</v>
      </c>
      <c r="G573" s="7">
        <v>0.8342344760894775</v>
      </c>
      <c r="H573" s="7">
        <v>54.22113125000001</v>
      </c>
      <c r="I573" s="7">
        <v>31.43897736932449</v>
      </c>
      <c r="J573" s="7">
        <v>10.42451334100715</v>
      </c>
      <c r="K573" s="7">
        <v>5.573308307125674</v>
      </c>
      <c r="L573" s="7">
        <v>0.8655453404944874</v>
      </c>
      <c r="M573" s="7">
        <v>0.6893529146033907</v>
      </c>
      <c r="N573" s="7">
        <v>0.4076730130668726</v>
      </c>
      <c r="O573" s="7">
        <v>0.0657011403274266</v>
      </c>
      <c r="P573" s="7">
        <v>8.701612115221032</v>
      </c>
      <c r="Q573" s="7">
        <v>0.0741608169615528</v>
      </c>
      <c r="R573" s="7">
        <v>0.1515544965851852</v>
      </c>
      <c r="S573" s="7">
        <v>0.1937309490676403</v>
      </c>
      <c r="T573" s="7">
        <v>4.666957648134996</v>
      </c>
    </row>
    <row x14ac:dyDescent="0.25" r="574" customHeight="1" ht="19.5">
      <c r="A574" s="2" t="s">
        <v>1632</v>
      </c>
      <c r="B574" s="2" t="s">
        <v>1060</v>
      </c>
      <c r="C574" s="2" t="s">
        <v>31</v>
      </c>
      <c r="D574" s="2" t="s">
        <v>402</v>
      </c>
      <c r="E574" s="6">
        <v>1</v>
      </c>
      <c r="F574" s="6">
        <v>2</v>
      </c>
      <c r="G574" s="7">
        <v>0.8373384475708008</v>
      </c>
      <c r="H574" s="7">
        <v>54.193425</v>
      </c>
      <c r="I574" s="7">
        <v>31.40450404276975</v>
      </c>
      <c r="J574" s="7">
        <v>10.35861476080548</v>
      </c>
      <c r="K574" s="7">
        <v>5.609153145765935</v>
      </c>
      <c r="L574" s="7">
        <v>0.8647422381471204</v>
      </c>
      <c r="M574" s="7">
        <v>0.6905141535070533</v>
      </c>
      <c r="N574" s="7">
        <v>0.4052402191047913</v>
      </c>
      <c r="O574" s="7">
        <v>0.0653949729353255</v>
      </c>
      <c r="P574" s="7">
        <v>8.700219852444796</v>
      </c>
      <c r="Q574" s="7">
        <v>0.0735192217114781</v>
      </c>
      <c r="R574" s="7">
        <v>0.1501807285436593</v>
      </c>
      <c r="S574" s="7">
        <v>0.1931835359703863</v>
      </c>
      <c r="T574" s="7">
        <v>4.624217788671602</v>
      </c>
    </row>
    <row x14ac:dyDescent="0.25" r="575" customHeight="1" ht="19.5">
      <c r="A575" s="2" t="s">
        <v>1633</v>
      </c>
      <c r="B575" s="2" t="s">
        <v>1060</v>
      </c>
      <c r="C575" s="2" t="s">
        <v>31</v>
      </c>
      <c r="D575" s="2" t="s">
        <v>402</v>
      </c>
      <c r="E575" s="6">
        <v>1</v>
      </c>
      <c r="F575" s="6">
        <v>2</v>
      </c>
      <c r="G575" s="7">
        <v>0.8359938263893127</v>
      </c>
      <c r="H575" s="7">
        <v>54.51551015625</v>
      </c>
      <c r="I575" s="7">
        <v>31.60542931434168</v>
      </c>
      <c r="J575" s="7">
        <v>10.36040311870961</v>
      </c>
      <c r="K575" s="7">
        <v>5.616976308668862</v>
      </c>
      <c r="L575" s="7">
        <v>0.8634075644555051</v>
      </c>
      <c r="M575" s="7">
        <v>0.6858143319759019</v>
      </c>
      <c r="N575" s="7">
        <v>0.4009242942654508</v>
      </c>
      <c r="O575" s="7">
        <v>0.0638250704484253</v>
      </c>
      <c r="P575" s="7">
        <v>8.714162159278935</v>
      </c>
      <c r="Q575" s="7">
        <v>0.0733773447653712</v>
      </c>
      <c r="R575" s="7">
        <v>0.1513908563727332</v>
      </c>
      <c r="S575" s="7">
        <v>0.194461949449692</v>
      </c>
      <c r="T575" s="7">
        <v>4.642723854510579</v>
      </c>
    </row>
    <row x14ac:dyDescent="0.25" r="576" customHeight="1" ht="19.5">
      <c r="A576" s="2" t="s">
        <v>1634</v>
      </c>
      <c r="B576" s="2" t="s">
        <v>1060</v>
      </c>
      <c r="C576" s="2" t="s">
        <v>31</v>
      </c>
      <c r="D576" s="2" t="s">
        <v>402</v>
      </c>
      <c r="E576" s="6">
        <v>1</v>
      </c>
      <c r="F576" s="6">
        <v>2</v>
      </c>
      <c r="G576" s="7">
        <v>0.837393581867218</v>
      </c>
      <c r="H576" s="7">
        <v>54.262690625</v>
      </c>
      <c r="I576" s="7">
        <v>31.55076198063127</v>
      </c>
      <c r="J576" s="7">
        <v>10.42142383238763</v>
      </c>
      <c r="K576" s="7">
        <v>5.634449463147577</v>
      </c>
      <c r="L576" s="7">
        <v>0.8648676575673645</v>
      </c>
      <c r="M576" s="7">
        <v>0.6850014391056202</v>
      </c>
      <c r="N576" s="7">
        <v>0.4057262194507107</v>
      </c>
      <c r="O576" s="7">
        <v>0.0652653050073267</v>
      </c>
      <c r="P576" s="7">
        <v>8.69016116552912</v>
      </c>
      <c r="Q576" s="7">
        <v>0.073311025341948</v>
      </c>
      <c r="R576" s="7">
        <v>0.1498698250620405</v>
      </c>
      <c r="S576" s="7">
        <v>0.1941828336639849</v>
      </c>
      <c r="T576" s="7">
        <v>4.617016198701256</v>
      </c>
    </row>
    <row x14ac:dyDescent="0.25" r="577" customHeight="1" ht="19.5">
      <c r="A577" s="2" t="s">
        <v>1635</v>
      </c>
      <c r="B577" s="2" t="s">
        <v>1060</v>
      </c>
      <c r="C577" s="2" t="s">
        <v>31</v>
      </c>
      <c r="D577" s="2" t="s">
        <v>402</v>
      </c>
      <c r="E577" s="6">
        <v>1</v>
      </c>
      <c r="F577" s="6">
        <v>2</v>
      </c>
      <c r="G577" s="7">
        <v>0.8419190049171448</v>
      </c>
      <c r="H577" s="7">
        <v>54.02026093750001</v>
      </c>
      <c r="I577" s="7">
        <v>31.33555738966026</v>
      </c>
      <c r="J577" s="7">
        <v>10.36107751531553</v>
      </c>
      <c r="K577" s="7">
        <v>5.563802884098073</v>
      </c>
      <c r="L577" s="7">
        <v>0.8653552373700918</v>
      </c>
      <c r="M577" s="7">
        <v>0.6913400125870741</v>
      </c>
      <c r="N577" s="7">
        <v>0.4021464931366903</v>
      </c>
      <c r="O577" s="7">
        <v>0.0655225797822511</v>
      </c>
      <c r="P577" s="7">
        <v>8.702145875825886</v>
      </c>
      <c r="Q577" s="7">
        <v>0.074318453124636</v>
      </c>
      <c r="R577" s="7">
        <v>0.1522443469315345</v>
      </c>
      <c r="S577" s="7">
        <v>0.1931551624961102</v>
      </c>
      <c r="T577" s="7">
        <v>4.659551533982323</v>
      </c>
    </row>
    <row x14ac:dyDescent="0.25" r="578" customHeight="1" ht="19.5">
      <c r="A578" s="2" t="s">
        <v>1636</v>
      </c>
      <c r="B578" s="2" t="s">
        <v>1060</v>
      </c>
      <c r="C578" s="2" t="s">
        <v>31</v>
      </c>
      <c r="D578" s="2" t="s">
        <v>402</v>
      </c>
      <c r="E578" s="6">
        <v>1</v>
      </c>
      <c r="F578" s="6">
        <v>2</v>
      </c>
      <c r="G578" s="7">
        <v>0.8384561538696289</v>
      </c>
      <c r="H578" s="7">
        <v>54.2488375</v>
      </c>
      <c r="I578" s="7">
        <v>31.45325668872359</v>
      </c>
      <c r="J578" s="7">
        <v>10.36042230064734</v>
      </c>
      <c r="K578" s="7">
        <v>5.590620019868252</v>
      </c>
      <c r="L578" s="7">
        <v>0.8645167304847069</v>
      </c>
      <c r="M578" s="7">
        <v>0.6890790744287155</v>
      </c>
      <c r="N578" s="7">
        <v>0.4031024530899277</v>
      </c>
      <c r="O578" s="7">
        <v>0.0643036332896677</v>
      </c>
      <c r="P578" s="7">
        <v>8.711555818985655</v>
      </c>
      <c r="Q578" s="7">
        <v>0.0740672397427024</v>
      </c>
      <c r="R578" s="7">
        <v>0.1510414489911543</v>
      </c>
      <c r="S578" s="7">
        <v>0.1919803074325196</v>
      </c>
      <c r="T578" s="7">
        <v>4.663450553606577</v>
      </c>
    </row>
    <row x14ac:dyDescent="0.25" r="579" customHeight="1" ht="19.5">
      <c r="A579" s="2" t="s">
        <v>1637</v>
      </c>
      <c r="B579" s="2" t="s">
        <v>1060</v>
      </c>
      <c r="C579" s="2" t="s">
        <v>31</v>
      </c>
      <c r="D579" s="2" t="s">
        <v>402</v>
      </c>
      <c r="E579" s="6">
        <v>1</v>
      </c>
      <c r="F579" s="6">
        <v>2</v>
      </c>
      <c r="G579" s="7">
        <v>0.842394232749939</v>
      </c>
      <c r="H579" s="7">
        <v>53.79514765625</v>
      </c>
      <c r="I579" s="7">
        <v>31.41878336216884</v>
      </c>
      <c r="J579" s="7">
        <v>10.40334861321346</v>
      </c>
      <c r="K579" s="7">
        <v>5.500950712563087</v>
      </c>
      <c r="L579" s="7">
        <v>0.8675061917255185</v>
      </c>
      <c r="M579" s="7">
        <v>0.6848165390331872</v>
      </c>
      <c r="N579" s="7">
        <v>0.4045820384552524</v>
      </c>
      <c r="O579" s="7">
        <v>0.0648591794706006</v>
      </c>
      <c r="P579" s="7">
        <v>8.714879646704881</v>
      </c>
      <c r="Q579" s="7">
        <v>0.07452370333682</v>
      </c>
      <c r="R579" s="7">
        <v>0.1509355316022763</v>
      </c>
      <c r="S579" s="7">
        <v>0.1887168466180469</v>
      </c>
      <c r="T579" s="7">
        <v>4.652949213721707</v>
      </c>
    </row>
    <row x14ac:dyDescent="0.25" r="580" customHeight="1" ht="19.5">
      <c r="A580" s="2" t="s">
        <v>1638</v>
      </c>
      <c r="B580" s="2" t="s">
        <v>1060</v>
      </c>
      <c r="C580" s="2" t="s">
        <v>31</v>
      </c>
      <c r="D580" s="2" t="s">
        <v>402</v>
      </c>
      <c r="E580" s="6">
        <v>1</v>
      </c>
      <c r="F580" s="6">
        <v>2</v>
      </c>
      <c r="G580" s="7">
        <v>0.8371995687484741</v>
      </c>
      <c r="H580" s="7">
        <v>53.64968984375</v>
      </c>
      <c r="I580" s="7">
        <v>31.12035279868924</v>
      </c>
      <c r="J580" s="7">
        <v>10.32001453310981</v>
      </c>
      <c r="K580" s="7">
        <v>5.593046880110181</v>
      </c>
      <c r="L580" s="7">
        <v>0.8617733682837131</v>
      </c>
      <c r="M580" s="7">
        <v>0.6961263226859111</v>
      </c>
      <c r="N580" s="7">
        <v>0.4100583259455782</v>
      </c>
      <c r="O580" s="7">
        <v>0.068148701262823</v>
      </c>
      <c r="P580" s="7">
        <v>8.654755698280972</v>
      </c>
      <c r="Q580" s="7">
        <v>0.0763605817295191</v>
      </c>
      <c r="R580" s="7">
        <v>0.1523005619015733</v>
      </c>
      <c r="S580" s="7">
        <v>0.1943236439184731</v>
      </c>
      <c r="T580" s="7">
        <v>4.754744929083913</v>
      </c>
    </row>
    <row x14ac:dyDescent="0.25" r="581" customHeight="1" ht="19.5">
      <c r="A581" s="2" t="s">
        <v>1639</v>
      </c>
      <c r="B581" s="2" t="s">
        <v>1060</v>
      </c>
      <c r="C581" s="2" t="s">
        <v>31</v>
      </c>
      <c r="D581" s="2" t="s">
        <v>402</v>
      </c>
      <c r="E581" s="6">
        <v>1</v>
      </c>
      <c r="F581" s="6">
        <v>2</v>
      </c>
      <c r="G581" s="7">
        <v>0.8337122201919556</v>
      </c>
      <c r="H581" s="7">
        <v>54.03065078125</v>
      </c>
      <c r="I581" s="7">
        <v>31.35575139681591</v>
      </c>
      <c r="J581" s="7">
        <v>10.35664082106962</v>
      </c>
      <c r="K581" s="7">
        <v>5.548471051611212</v>
      </c>
      <c r="L581" s="7">
        <v>0.8660628735098234</v>
      </c>
      <c r="M581" s="7">
        <v>0.6905826094050481</v>
      </c>
      <c r="N581" s="7">
        <v>0.4025270561595935</v>
      </c>
      <c r="O581" s="7">
        <v>0.0634623960752083</v>
      </c>
      <c r="P581" s="7">
        <v>8.713774544999179</v>
      </c>
      <c r="Q581" s="7">
        <v>0.0740208401719016</v>
      </c>
      <c r="R581" s="7">
        <v>0.1511736041921244</v>
      </c>
      <c r="S581" s="7">
        <v>0.191949092388657</v>
      </c>
      <c r="T581" s="7">
        <v>4.6417846584152</v>
      </c>
    </row>
    <row x14ac:dyDescent="0.25" r="582" customHeight="1" ht="19.5">
      <c r="A582" s="2" t="s">
        <v>1640</v>
      </c>
      <c r="B582" s="2" t="s">
        <v>1060</v>
      </c>
      <c r="C582" s="2" t="s">
        <v>31</v>
      </c>
      <c r="D582" s="2" t="s">
        <v>402</v>
      </c>
      <c r="E582" s="6">
        <v>1</v>
      </c>
      <c r="F582" s="6">
        <v>2</v>
      </c>
      <c r="G582" s="7">
        <v>0.8415034413337708</v>
      </c>
      <c r="H582" s="7">
        <v>54.14840234375</v>
      </c>
      <c r="I582" s="7">
        <v>31.58523530718601</v>
      </c>
      <c r="J582" s="7">
        <v>10.36042547544999</v>
      </c>
      <c r="K582" s="7">
        <v>5.585013120253929</v>
      </c>
      <c r="L582" s="7">
        <v>0.8649955044956205</v>
      </c>
      <c r="M582" s="7">
        <v>0.6820673769285933</v>
      </c>
      <c r="N582" s="7">
        <v>0.4031195104136151</v>
      </c>
      <c r="O582" s="7">
        <v>0.0652010349316092</v>
      </c>
      <c r="P582" s="7">
        <v>8.722638155172998</v>
      </c>
      <c r="Q582" s="7">
        <v>0.0745753425434435</v>
      </c>
      <c r="R582" s="7">
        <v>0.1506375962039415</v>
      </c>
      <c r="S582" s="7">
        <v>0.1932904720679814</v>
      </c>
      <c r="T582" s="7">
        <v>4.686748878749392</v>
      </c>
    </row>
    <row x14ac:dyDescent="0.25" r="583" customHeight="1" ht="19.5">
      <c r="A583" s="2" t="s">
        <v>1641</v>
      </c>
      <c r="B583" s="2" t="s">
        <v>1060</v>
      </c>
      <c r="C583" s="2" t="s">
        <v>31</v>
      </c>
      <c r="D583" s="2" t="s">
        <v>402</v>
      </c>
      <c r="E583" s="6">
        <v>1</v>
      </c>
      <c r="F583" s="6">
        <v>2</v>
      </c>
      <c r="G583" s="7">
        <v>0.8358319401741028</v>
      </c>
      <c r="H583" s="7">
        <v>53.90597265625</v>
      </c>
      <c r="I583" s="7">
        <v>31.41878336216884</v>
      </c>
      <c r="J583" s="7">
        <v>10.36299655357923</v>
      </c>
      <c r="K583" s="7">
        <v>5.538881401477635</v>
      </c>
      <c r="L583" s="7">
        <v>0.8667428257329138</v>
      </c>
      <c r="M583" s="7">
        <v>0.6862273501610481</v>
      </c>
      <c r="N583" s="7">
        <v>0.4055863592582974</v>
      </c>
      <c r="O583" s="7">
        <v>0.0639717270116941</v>
      </c>
      <c r="P583" s="7">
        <v>8.710052678080112</v>
      </c>
      <c r="Q583" s="7">
        <v>0.0740030299893673</v>
      </c>
      <c r="R583" s="7">
        <v>0.1494710726677548</v>
      </c>
      <c r="S583" s="7">
        <v>0.1878944272596298</v>
      </c>
      <c r="T583" s="7">
        <v>4.62995924990935</v>
      </c>
    </row>
    <row x14ac:dyDescent="0.25" r="584" customHeight="1" ht="19.5">
      <c r="A584" s="2" t="s">
        <v>1642</v>
      </c>
      <c r="B584" s="2" t="s">
        <v>1060</v>
      </c>
      <c r="C584" s="2" t="s">
        <v>31</v>
      </c>
      <c r="D584" s="2" t="s">
        <v>402</v>
      </c>
      <c r="E584" s="6">
        <v>1</v>
      </c>
      <c r="F584" s="6">
        <v>2</v>
      </c>
      <c r="G584" s="7">
        <v>0.8221254348754883</v>
      </c>
      <c r="H584" s="7">
        <v>53.209853125</v>
      </c>
      <c r="I584" s="7">
        <v>31.22622272223945</v>
      </c>
      <c r="J584" s="7">
        <v>10.30491730682568</v>
      </c>
      <c r="K584" s="7">
        <v>5.639627178870131</v>
      </c>
      <c r="L584" s="7">
        <v>0.8634628089128276</v>
      </c>
      <c r="M584" s="7">
        <v>0.6857455817832135</v>
      </c>
      <c r="N584" s="7">
        <v>0.4876621175128222</v>
      </c>
      <c r="O584" s="7">
        <v>0.0793115916734969</v>
      </c>
      <c r="P584" s="7">
        <v>8.265769652350679</v>
      </c>
      <c r="Q584" s="7">
        <v>0.0724394800570177</v>
      </c>
      <c r="R584" s="7">
        <v>0.1388884031209144</v>
      </c>
      <c r="S584" s="7">
        <v>0.1658391191159296</v>
      </c>
      <c r="T584" s="7">
        <v>4.47361045468392</v>
      </c>
    </row>
    <row x14ac:dyDescent="0.25" r="585" customHeight="1" ht="19.5">
      <c r="A585" s="2" t="s">
        <v>1643</v>
      </c>
      <c r="B585" s="2" t="s">
        <v>1060</v>
      </c>
      <c r="C585" s="2" t="s">
        <v>31</v>
      </c>
      <c r="D585" s="2" t="s">
        <v>402</v>
      </c>
      <c r="E585" s="6">
        <v>1</v>
      </c>
      <c r="F585" s="6">
        <v>2</v>
      </c>
      <c r="G585" s="7">
        <v>0.6998006105422974</v>
      </c>
      <c r="H585" s="7">
        <v>52.1362359375</v>
      </c>
      <c r="I585" s="7">
        <v>31.11790285480328</v>
      </c>
      <c r="J585" s="7">
        <v>10.32672684105658</v>
      </c>
      <c r="K585" s="7">
        <v>5.316477469614132</v>
      </c>
      <c r="L585" s="7">
        <v>0.8781132813894214</v>
      </c>
      <c r="M585" s="7">
        <v>0.6765951744644576</v>
      </c>
      <c r="N585" s="7">
        <v>0.5450110950182872</v>
      </c>
      <c r="O585" s="7">
        <v>0.0762121002981133</v>
      </c>
      <c r="P585" s="7">
        <v>8.25347648326241</v>
      </c>
      <c r="Q585" s="7">
        <v>0.0720997111735959</v>
      </c>
      <c r="R585" s="7">
        <v>0.1430858415279692</v>
      </c>
      <c r="S585" s="7">
        <v>0.1636117344832982</v>
      </c>
      <c r="T585" s="7">
        <v>4.362786678607096</v>
      </c>
    </row>
    <row x14ac:dyDescent="0.25" r="586" customHeight="1" ht="19.5">
      <c r="A586" s="2" t="s">
        <v>1644</v>
      </c>
      <c r="B586" s="2" t="s">
        <v>1060</v>
      </c>
      <c r="C586" s="2" t="s">
        <v>31</v>
      </c>
      <c r="D586" s="2" t="s">
        <v>402</v>
      </c>
      <c r="E586" s="6">
        <v>1</v>
      </c>
      <c r="F586" s="6">
        <v>2</v>
      </c>
      <c r="G586" s="7">
        <v>0.7798442840576172</v>
      </c>
      <c r="H586" s="7">
        <v>53.86095</v>
      </c>
      <c r="I586" s="7">
        <v>31.31882812637519</v>
      </c>
      <c r="J586" s="7">
        <v>10.29909438671794</v>
      </c>
      <c r="K586" s="7">
        <v>5.399674106483905</v>
      </c>
      <c r="L586" s="7">
        <v>0.8683835090734167</v>
      </c>
      <c r="M586" s="7">
        <v>0.6900377753269226</v>
      </c>
      <c r="N586" s="7">
        <v>0.4845592175972827</v>
      </c>
      <c r="O586" s="7">
        <v>0.063837343458331</v>
      </c>
      <c r="P586" s="7">
        <v>8.57150137137652</v>
      </c>
      <c r="Q586" s="7">
        <v>0.0813578606140694</v>
      </c>
      <c r="R586" s="7">
        <v>0.1600904867352896</v>
      </c>
      <c r="S586" s="7">
        <v>0.1878012354290533</v>
      </c>
      <c r="T586" s="7">
        <v>5.085858923899639</v>
      </c>
    </row>
    <row x14ac:dyDescent="0.25" r="587" customHeight="1" ht="19.5">
      <c r="A587" s="2" t="s">
        <v>1645</v>
      </c>
      <c r="B587" s="2" t="s">
        <v>1060</v>
      </c>
      <c r="C587" s="2" t="s">
        <v>31</v>
      </c>
      <c r="D587" s="2" t="s">
        <v>402</v>
      </c>
      <c r="E587" s="6">
        <v>1</v>
      </c>
      <c r="F587" s="6">
        <v>2</v>
      </c>
      <c r="G587" s="7">
        <v>0.7910258769989014</v>
      </c>
      <c r="H587" s="7">
        <v>54.60901875</v>
      </c>
      <c r="I587" s="7">
        <v>31.27599016817792</v>
      </c>
      <c r="J587" s="7">
        <v>10.24272226079838</v>
      </c>
      <c r="K587" s="7">
        <v>5.460395236893459</v>
      </c>
      <c r="L587" s="7">
        <v>0.8608602229517164</v>
      </c>
      <c r="M587" s="7">
        <v>0.7015394550687976</v>
      </c>
      <c r="N587" s="7">
        <v>0.4589397540454656</v>
      </c>
      <c r="O587" s="7">
        <v>0.0605320376608203</v>
      </c>
      <c r="P587" s="7">
        <v>8.694741360204919</v>
      </c>
      <c r="Q587" s="7">
        <v>0.0834085479449929</v>
      </c>
      <c r="R587" s="7">
        <v>0.1665124416475214</v>
      </c>
      <c r="S587" s="7">
        <v>0.1942664646077662</v>
      </c>
      <c r="T587" s="7">
        <v>5.286469289753515</v>
      </c>
    </row>
    <row x14ac:dyDescent="0.25" r="588" customHeight="1" ht="19.5">
      <c r="A588" s="2" t="s">
        <v>1646</v>
      </c>
      <c r="B588" s="2" t="s">
        <v>1060</v>
      </c>
      <c r="C588" s="2" t="s">
        <v>31</v>
      </c>
      <c r="D588" s="2" t="s">
        <v>402</v>
      </c>
      <c r="E588" s="6">
        <v>1</v>
      </c>
      <c r="F588" s="6">
        <v>2</v>
      </c>
      <c r="G588" s="7">
        <v>0.7939040660858154</v>
      </c>
      <c r="H588" s="7">
        <v>55.04192890625</v>
      </c>
      <c r="I588" s="7">
        <v>31.53994740510277</v>
      </c>
      <c r="J588" s="7">
        <v>10.315831923467</v>
      </c>
      <c r="K588" s="7">
        <v>5.526180081372193</v>
      </c>
      <c r="L588" s="7">
        <v>0.8620112393718947</v>
      </c>
      <c r="M588" s="7">
        <v>0.695314969587034</v>
      </c>
      <c r="N588" s="7">
        <v>0.4563096956086447</v>
      </c>
      <c r="O588" s="7">
        <v>0.0603252867962724</v>
      </c>
      <c r="P588" s="7">
        <v>8.730210232982976</v>
      </c>
      <c r="Q588" s="7">
        <v>0.0825553980789242</v>
      </c>
      <c r="R588" s="7">
        <v>0.1670382428053723</v>
      </c>
      <c r="S588" s="7">
        <v>0.1960577174597235</v>
      </c>
      <c r="T588" s="7">
        <v>5.273875837379763</v>
      </c>
    </row>
    <row x14ac:dyDescent="0.25" r="589" customHeight="1" ht="19.5">
      <c r="A589" s="2" t="s">
        <v>1647</v>
      </c>
      <c r="B589" s="2" t="s">
        <v>1060</v>
      </c>
      <c r="C589" s="2" t="s">
        <v>31</v>
      </c>
      <c r="D589" s="2" t="s">
        <v>402</v>
      </c>
      <c r="E589" s="6">
        <v>1</v>
      </c>
      <c r="F589" s="6">
        <v>2</v>
      </c>
      <c r="G589" s="7">
        <v>0.8003180623054504</v>
      </c>
      <c r="H589" s="7">
        <v>54.75101328125</v>
      </c>
      <c r="I589" s="7">
        <v>31.57442073165751</v>
      </c>
      <c r="J589" s="7">
        <v>10.27190994876919</v>
      </c>
      <c r="K589" s="7">
        <v>5.528211603981825</v>
      </c>
      <c r="L589" s="7">
        <v>0.8603349177792253</v>
      </c>
      <c r="M589" s="7">
        <v>0.6901305325732091</v>
      </c>
      <c r="N589" s="7">
        <v>0.4603919928757316</v>
      </c>
      <c r="O589" s="7">
        <v>0.0609877485658747</v>
      </c>
      <c r="P589" s="7">
        <v>8.692833103050727</v>
      </c>
      <c r="Q589" s="7">
        <v>0.0822342639233181</v>
      </c>
      <c r="R589" s="7">
        <v>0.166178058834435</v>
      </c>
      <c r="S589" s="7">
        <v>0.1941229613143393</v>
      </c>
      <c r="T589" s="7">
        <v>5.225595037053832</v>
      </c>
    </row>
    <row x14ac:dyDescent="0.25" r="590" customHeight="1" ht="19.5">
      <c r="A590" s="2" t="s">
        <v>1648</v>
      </c>
      <c r="B590" s="2" t="s">
        <v>1060</v>
      </c>
      <c r="C590" s="2" t="s">
        <v>31</v>
      </c>
      <c r="D590" s="2" t="s">
        <v>402</v>
      </c>
      <c r="E590" s="6">
        <v>1</v>
      </c>
      <c r="F590" s="6">
        <v>2</v>
      </c>
      <c r="G590" s="7">
        <v>0.7918708920478821</v>
      </c>
      <c r="H590" s="7">
        <v>55.14582734375001</v>
      </c>
      <c r="I590" s="7">
        <v>31.85265728798146</v>
      </c>
      <c r="J590" s="7">
        <v>10.32406303156745</v>
      </c>
      <c r="K590" s="7">
        <v>5.52643152317674</v>
      </c>
      <c r="L590" s="7">
        <v>0.8618177447703983</v>
      </c>
      <c r="M590" s="7">
        <v>0.6830164805399486</v>
      </c>
      <c r="N590" s="7">
        <v>0.4566017346336566</v>
      </c>
      <c r="O590" s="7">
        <v>0.0603440936182971</v>
      </c>
      <c r="P590" s="7">
        <v>8.738252644642095</v>
      </c>
      <c r="Q590" s="7">
        <v>0.0821620691763567</v>
      </c>
      <c r="R590" s="7">
        <v>0.1648250291704065</v>
      </c>
      <c r="S590" s="7">
        <v>0.1937127776624151</v>
      </c>
      <c r="T590" s="7">
        <v>5.258656519472166</v>
      </c>
    </row>
    <row x14ac:dyDescent="0.25" r="591" customHeight="1" ht="19.5">
      <c r="A591" s="2" t="s">
        <v>1649</v>
      </c>
      <c r="B591" s="2" t="s">
        <v>1060</v>
      </c>
      <c r="C591" s="2" t="s">
        <v>31</v>
      </c>
      <c r="D591" s="2" t="s">
        <v>402</v>
      </c>
      <c r="E591" s="6">
        <v>1</v>
      </c>
      <c r="F591" s="6">
        <v>2</v>
      </c>
      <c r="G591" s="7">
        <v>0.7927157282829285</v>
      </c>
      <c r="H591" s="7">
        <v>54.33195625</v>
      </c>
      <c r="I591" s="7">
        <v>31.53994740510277</v>
      </c>
      <c r="J591" s="7">
        <v>10.3037353039256</v>
      </c>
      <c r="K591" s="7">
        <v>5.439291064376267</v>
      </c>
      <c r="L591" s="7">
        <v>0.8642788914457424</v>
      </c>
      <c r="M591" s="7">
        <v>0.6863462683496753</v>
      </c>
      <c r="N591" s="7">
        <v>0.4555449944514806</v>
      </c>
      <c r="O591" s="7">
        <v>0.0598631190739229</v>
      </c>
      <c r="P591" s="7">
        <v>8.727758117394828</v>
      </c>
      <c r="Q591" s="7">
        <v>0.0854045095278638</v>
      </c>
      <c r="R591" s="7">
        <v>0.1686007309457208</v>
      </c>
      <c r="S591" s="7">
        <v>0.1978270553711048</v>
      </c>
      <c r="T591" s="7">
        <v>5.385511099224658</v>
      </c>
    </row>
    <row x14ac:dyDescent="0.25" r="592" customHeight="1" ht="19.5">
      <c r="A592" s="2" t="s">
        <v>1650</v>
      </c>
      <c r="B592" s="2" t="s">
        <v>1060</v>
      </c>
      <c r="C592" s="2" t="s">
        <v>31</v>
      </c>
      <c r="D592" s="2" t="s">
        <v>402</v>
      </c>
      <c r="E592" s="6">
        <v>1</v>
      </c>
      <c r="F592" s="6">
        <v>2</v>
      </c>
      <c r="G592" s="7">
        <v>0.7915000319480896</v>
      </c>
      <c r="H592" s="7">
        <v>54.68174765625</v>
      </c>
      <c r="I592" s="7">
        <v>31.45672143259418</v>
      </c>
      <c r="J592" s="7">
        <v>10.22760267989451</v>
      </c>
      <c r="K592" s="7">
        <v>5.474157231176632</v>
      </c>
      <c r="L592" s="7">
        <v>0.8609525020465041</v>
      </c>
      <c r="M592" s="7">
        <v>0.69442498409859</v>
      </c>
      <c r="N592" s="7">
        <v>0.4545397729745524</v>
      </c>
      <c r="O592" s="7">
        <v>0.0599807963150291</v>
      </c>
      <c r="P592" s="7">
        <v>8.7065391941155</v>
      </c>
      <c r="Q592" s="7">
        <v>0.0827194096574116</v>
      </c>
      <c r="R592" s="7">
        <v>0.1690821184224422</v>
      </c>
      <c r="S592" s="7">
        <v>0.1990457934706995</v>
      </c>
      <c r="T592" s="7">
        <v>5.249773820258131</v>
      </c>
    </row>
    <row x14ac:dyDescent="0.25" r="593" customHeight="1" ht="19.5">
      <c r="A593" s="2" t="s">
        <v>1651</v>
      </c>
      <c r="B593" s="2" t="s">
        <v>1060</v>
      </c>
      <c r="C593" s="2" t="s">
        <v>31</v>
      </c>
      <c r="D593" s="2" t="s">
        <v>402</v>
      </c>
      <c r="E593" s="6">
        <v>1</v>
      </c>
      <c r="F593" s="6">
        <v>2</v>
      </c>
      <c r="G593" s="7">
        <v>0.8072019219398499</v>
      </c>
      <c r="H593" s="7">
        <v>55.0246125</v>
      </c>
      <c r="I593" s="7">
        <v>31.56850604390096</v>
      </c>
      <c r="J593" s="7">
        <v>10.28552971688278</v>
      </c>
      <c r="K593" s="7">
        <v>5.511148376979549</v>
      </c>
      <c r="L593" s="7">
        <v>0.8623237312523824</v>
      </c>
      <c r="M593" s="7">
        <v>0.6938391436940727</v>
      </c>
      <c r="N593" s="7">
        <v>0.4589264806299831</v>
      </c>
      <c r="O593" s="7">
        <v>0.0609516245389272</v>
      </c>
      <c r="P593" s="7">
        <v>8.721559755329041</v>
      </c>
      <c r="Q593" s="7">
        <v>0.0828783925594028</v>
      </c>
      <c r="R593" s="7">
        <v>0.1673218816634092</v>
      </c>
      <c r="S593" s="7">
        <v>0.1956475118104857</v>
      </c>
      <c r="T593" s="7">
        <v>5.292843978619307</v>
      </c>
    </row>
    <row x14ac:dyDescent="0.25" r="594" customHeight="1" ht="19.5">
      <c r="A594" s="2" t="s">
        <v>1652</v>
      </c>
      <c r="B594" s="2" t="s">
        <v>1060</v>
      </c>
      <c r="C594" s="2" t="s">
        <v>31</v>
      </c>
      <c r="D594" s="2" t="s">
        <v>402</v>
      </c>
      <c r="E594" s="6">
        <v>1</v>
      </c>
      <c r="F594" s="6">
        <v>2</v>
      </c>
      <c r="G594" s="7">
        <v>0.8154596090316772</v>
      </c>
      <c r="H594" s="7">
        <v>54.97612656250001</v>
      </c>
      <c r="I594" s="7">
        <v>31.51383871019055</v>
      </c>
      <c r="J594" s="7">
        <v>10.26877887638211</v>
      </c>
      <c r="K594" s="7">
        <v>5.505140656047098</v>
      </c>
      <c r="L594" s="7">
        <v>0.8612938056600434</v>
      </c>
      <c r="M594" s="7">
        <v>0.695634937381318</v>
      </c>
      <c r="N594" s="7">
        <v>0.4576859721097969</v>
      </c>
      <c r="O594" s="7">
        <v>0.060830542122444</v>
      </c>
      <c r="P594" s="7">
        <v>8.71876271597453</v>
      </c>
      <c r="Q594" s="7">
        <v>0.081534638001395</v>
      </c>
      <c r="R594" s="7">
        <v>0.1658214478928183</v>
      </c>
      <c r="S594" s="7">
        <v>0.1939700302663503</v>
      </c>
      <c r="T594" s="7">
        <v>5.202439818736395</v>
      </c>
    </row>
    <row x14ac:dyDescent="0.25" r="595" customHeight="1" ht="19.5">
      <c r="A595" s="2" t="s">
        <v>1653</v>
      </c>
      <c r="B595" s="2" t="s">
        <v>1060</v>
      </c>
      <c r="C595" s="2" t="s">
        <v>31</v>
      </c>
      <c r="D595" s="2" t="s">
        <v>402</v>
      </c>
      <c r="E595" s="6">
        <v>1</v>
      </c>
      <c r="F595" s="6">
        <v>2</v>
      </c>
      <c r="G595" s="7">
        <v>0.8038584589958191</v>
      </c>
      <c r="H595" s="7">
        <v>54.3388828125</v>
      </c>
      <c r="I595" s="7">
        <v>31.64581732865297</v>
      </c>
      <c r="J595" s="7">
        <v>10.30784789984739</v>
      </c>
      <c r="K595" s="7">
        <v>5.466673995903864</v>
      </c>
      <c r="L595" s="7">
        <v>0.8655801715530386</v>
      </c>
      <c r="M595" s="7">
        <v>0.6818485724365448</v>
      </c>
      <c r="N595" s="7">
        <v>0.4554099358091226</v>
      </c>
      <c r="O595" s="7">
        <v>0.0610475093824031</v>
      </c>
      <c r="P595" s="7">
        <v>8.723816873077293</v>
      </c>
      <c r="Q595" s="7">
        <v>0.0821983467163827</v>
      </c>
      <c r="R595" s="7">
        <v>0.1652260306032262</v>
      </c>
      <c r="S595" s="7">
        <v>0.1938520190517138</v>
      </c>
      <c r="T595" s="7">
        <v>5.183994926409458</v>
      </c>
    </row>
    <row x14ac:dyDescent="0.25" r="596" customHeight="1" ht="19.5">
      <c r="A596" s="2" t="s">
        <v>1654</v>
      </c>
      <c r="B596" s="2" t="s">
        <v>1060</v>
      </c>
      <c r="C596" s="2" t="s">
        <v>31</v>
      </c>
      <c r="D596" s="2" t="s">
        <v>402</v>
      </c>
      <c r="E596" s="6">
        <v>1</v>
      </c>
      <c r="F596" s="6">
        <v>2</v>
      </c>
      <c r="G596" s="7">
        <v>0.7929835319519043</v>
      </c>
      <c r="H596" s="7">
        <v>54.76832968750001</v>
      </c>
      <c r="I596" s="7">
        <v>31.40205409888378</v>
      </c>
      <c r="J596" s="7">
        <v>10.22493693735095</v>
      </c>
      <c r="K596" s="7">
        <v>5.508155443880439</v>
      </c>
      <c r="L596" s="7">
        <v>0.8602575393892106</v>
      </c>
      <c r="M596" s="7">
        <v>0.697948286255522</v>
      </c>
      <c r="N596" s="7">
        <v>0.4583418712996748</v>
      </c>
      <c r="O596" s="7">
        <v>0.0606974115159325</v>
      </c>
      <c r="P596" s="7">
        <v>8.704736502919674</v>
      </c>
      <c r="Q596" s="7">
        <v>0.082952378833134</v>
      </c>
      <c r="R596" s="7">
        <v>0.1687409033861615</v>
      </c>
      <c r="S596" s="7">
        <v>0.1964668302561045</v>
      </c>
      <c r="T596" s="7">
        <v>5.272894973030511</v>
      </c>
    </row>
    <row x14ac:dyDescent="0.25" r="597" customHeight="1" ht="19.5">
      <c r="A597" s="2" t="s">
        <v>1655</v>
      </c>
      <c r="B597" s="2" t="s">
        <v>1060</v>
      </c>
      <c r="C597" s="2" t="s">
        <v>31</v>
      </c>
      <c r="D597" s="2" t="s">
        <v>402</v>
      </c>
      <c r="E597" s="6">
        <v>1</v>
      </c>
      <c r="F597" s="6">
        <v>2</v>
      </c>
      <c r="G597" s="7">
        <v>0.8051730990409851</v>
      </c>
      <c r="H597" s="7">
        <v>55.0869515625</v>
      </c>
      <c r="I597" s="7">
        <v>31.40205409888378</v>
      </c>
      <c r="J597" s="7">
        <v>10.27894532795637</v>
      </c>
      <c r="K597" s="7">
        <v>5.50869148648367</v>
      </c>
      <c r="L597" s="7">
        <v>0.8618109293336585</v>
      </c>
      <c r="M597" s="7">
        <v>0.7020086911079001</v>
      </c>
      <c r="N597" s="7">
        <v>0.4562195497910853</v>
      </c>
      <c r="O597" s="7">
        <v>0.0603799315519896</v>
      </c>
      <c r="P597" s="7">
        <v>8.733526122790144</v>
      </c>
      <c r="Q597" s="7">
        <v>0.0829176349754211</v>
      </c>
      <c r="R597" s="7">
        <v>0.1679192552019626</v>
      </c>
      <c r="S597" s="7">
        <v>0.1946389544801614</v>
      </c>
      <c r="T597" s="7">
        <v>5.301349371846912</v>
      </c>
    </row>
    <row x14ac:dyDescent="0.25" r="598" customHeight="1" ht="19.5">
      <c r="A598" s="2" t="s">
        <v>1656</v>
      </c>
      <c r="B598" s="2" t="s">
        <v>1060</v>
      </c>
      <c r="C598" s="2" t="s">
        <v>31</v>
      </c>
      <c r="D598" s="2" t="s">
        <v>402</v>
      </c>
      <c r="E598" s="6">
        <v>1</v>
      </c>
      <c r="F598" s="6">
        <v>2</v>
      </c>
      <c r="G598" s="7">
        <v>0.8104845881462097</v>
      </c>
      <c r="H598" s="7">
        <v>54.95881015625</v>
      </c>
      <c r="I598" s="7">
        <v>31.43061273768196</v>
      </c>
      <c r="J598" s="7">
        <v>10.27765196911529</v>
      </c>
      <c r="K598" s="7">
        <v>5.508061351659275</v>
      </c>
      <c r="L598" s="7">
        <v>0.8615260932237943</v>
      </c>
      <c r="M598" s="7">
        <v>0.6991035227605292</v>
      </c>
      <c r="N598" s="7">
        <v>0.4592644652247329</v>
      </c>
      <c r="O598" s="7">
        <v>0.0613020975735812</v>
      </c>
      <c r="P598" s="7">
        <v>8.71132799748141</v>
      </c>
      <c r="Q598" s="7">
        <v>0.0811670581705046</v>
      </c>
      <c r="R598" s="7">
        <v>0.1649651637186409</v>
      </c>
      <c r="S598" s="7">
        <v>0.1930376624695913</v>
      </c>
      <c r="T598" s="7">
        <v>5.177354557132054</v>
      </c>
    </row>
    <row x14ac:dyDescent="0.25" r="599" customHeight="1" ht="19.5">
      <c r="A599" s="2" t="s">
        <v>1657</v>
      </c>
      <c r="B599" s="2" t="s">
        <v>1060</v>
      </c>
      <c r="C599" s="2" t="s">
        <v>31</v>
      </c>
      <c r="D599" s="2" t="s">
        <v>402</v>
      </c>
      <c r="E599" s="6">
        <v>1</v>
      </c>
      <c r="F599" s="6">
        <v>2</v>
      </c>
      <c r="G599" s="7">
        <v>0.7878130078315735</v>
      </c>
      <c r="H599" s="7">
        <v>55.06270859375</v>
      </c>
      <c r="I599" s="7">
        <v>31.50547407854802</v>
      </c>
      <c r="J599" s="7">
        <v>10.29526960396512</v>
      </c>
      <c r="K599" s="7">
        <v>5.514652912173276</v>
      </c>
      <c r="L599" s="7">
        <v>0.8622880280035243</v>
      </c>
      <c r="M599" s="7">
        <v>0.6971005043152364</v>
      </c>
      <c r="N599" s="7">
        <v>0.4598020578128245</v>
      </c>
      <c r="O599" s="7">
        <v>0.0609217179278813</v>
      </c>
      <c r="P599" s="7">
        <v>8.712925343608346</v>
      </c>
      <c r="Q599" s="7">
        <v>0.0814986864467261</v>
      </c>
      <c r="R599" s="7">
        <v>0.1646012644164489</v>
      </c>
      <c r="S599" s="7">
        <v>0.1910594735414097</v>
      </c>
      <c r="T599" s="7">
        <v>5.208335597882031</v>
      </c>
    </row>
    <row x14ac:dyDescent="0.25" r="600" customHeight="1" ht="19.5">
      <c r="A600" s="2" t="s">
        <v>1658</v>
      </c>
      <c r="B600" s="2" t="s">
        <v>1060</v>
      </c>
      <c r="C600" s="2" t="s">
        <v>31</v>
      </c>
      <c r="D600" s="2" t="s">
        <v>402</v>
      </c>
      <c r="E600" s="6">
        <v>1</v>
      </c>
      <c r="F600" s="6">
        <v>2</v>
      </c>
      <c r="G600" s="7">
        <v>0.7966495752334595</v>
      </c>
      <c r="H600" s="7">
        <v>54.983053125</v>
      </c>
      <c r="I600" s="7">
        <v>31.50547407854802</v>
      </c>
      <c r="J600" s="7">
        <v>10.28726648594244</v>
      </c>
      <c r="K600" s="7">
        <v>5.511739312790303</v>
      </c>
      <c r="L600" s="7">
        <v>0.8616212932852979</v>
      </c>
      <c r="M600" s="7">
        <v>0.696092056513535</v>
      </c>
      <c r="N600" s="7">
        <v>0.4577227898106418</v>
      </c>
      <c r="O600" s="7">
        <v>0.0605477057529407</v>
      </c>
      <c r="P600" s="7">
        <v>8.728068568537934</v>
      </c>
      <c r="Q600" s="7">
        <v>0.0830096501140711</v>
      </c>
      <c r="R600" s="7">
        <v>0.1684947842420502</v>
      </c>
      <c r="S600" s="7">
        <v>0.1951424277211282</v>
      </c>
      <c r="T600" s="7">
        <v>5.297222502580456</v>
      </c>
    </row>
    <row x14ac:dyDescent="0.25" r="601" customHeight="1" ht="19.5">
      <c r="A601" s="2" t="s">
        <v>1659</v>
      </c>
      <c r="B601" s="2" t="s">
        <v>1060</v>
      </c>
      <c r="C601" s="2" t="s">
        <v>31</v>
      </c>
      <c r="D601" s="2" t="s">
        <v>402</v>
      </c>
      <c r="E601" s="6">
        <v>1</v>
      </c>
      <c r="F601" s="6">
        <v>2</v>
      </c>
      <c r="G601" s="7">
        <v>0.798790693283081</v>
      </c>
      <c r="H601" s="7">
        <v>55.16660703125</v>
      </c>
      <c r="I601" s="7">
        <v>31.62317337761136</v>
      </c>
      <c r="J601" s="7">
        <v>10.30587493299053</v>
      </c>
      <c r="K601" s="7">
        <v>5.516957319054987</v>
      </c>
      <c r="L601" s="7">
        <v>0.8601805476634393</v>
      </c>
      <c r="M601" s="7">
        <v>0.6932266333361224</v>
      </c>
      <c r="N601" s="7">
        <v>0.4592218880910608</v>
      </c>
      <c r="O601" s="7">
        <v>0.0604623870665691</v>
      </c>
      <c r="P601" s="7">
        <v>8.719419762941133</v>
      </c>
      <c r="Q601" s="7">
        <v>0.0817669284762568</v>
      </c>
      <c r="R601" s="7">
        <v>0.1674944262373885</v>
      </c>
      <c r="S601" s="7">
        <v>0.1969630946835685</v>
      </c>
      <c r="T601" s="7">
        <v>5.235338150953863</v>
      </c>
    </row>
    <row x14ac:dyDescent="0.25" r="602" customHeight="1" ht="19.5">
      <c r="A602" s="2" t="s">
        <v>1660</v>
      </c>
      <c r="B602" s="2" t="s">
        <v>1060</v>
      </c>
      <c r="C602" s="2" t="s">
        <v>31</v>
      </c>
      <c r="D602" s="2" t="s">
        <v>402</v>
      </c>
      <c r="E602" s="6">
        <v>1</v>
      </c>
      <c r="F602" s="6">
        <v>2</v>
      </c>
      <c r="G602" s="7">
        <v>0.7913315892219543</v>
      </c>
      <c r="H602" s="7">
        <v>54.373515625</v>
      </c>
      <c r="I602" s="7">
        <v>31.48528007139237</v>
      </c>
      <c r="J602" s="7">
        <v>10.29143061104734</v>
      </c>
      <c r="K602" s="7">
        <v>5.456811714063377</v>
      </c>
      <c r="L602" s="7">
        <v>0.8657726988884598</v>
      </c>
      <c r="M602" s="7">
        <v>0.6892585409966214</v>
      </c>
      <c r="N602" s="7">
        <v>0.4565662068330205</v>
      </c>
      <c r="O602" s="7">
        <v>0.0608924449931969</v>
      </c>
      <c r="P602" s="7">
        <v>8.721330657242488</v>
      </c>
      <c r="Q602" s="7">
        <v>0.0843788029599965</v>
      </c>
      <c r="R602" s="7">
        <v>0.1678690664922643</v>
      </c>
      <c r="S602" s="7">
        <v>0.1976048249301078</v>
      </c>
      <c r="T602" s="7">
        <v>5.32490119946301</v>
      </c>
    </row>
    <row x14ac:dyDescent="0.25" r="603" customHeight="1" ht="19.5">
      <c r="A603" s="2" t="s">
        <v>1661</v>
      </c>
      <c r="B603" s="2" t="s">
        <v>1060</v>
      </c>
      <c r="C603" s="2" t="s">
        <v>31</v>
      </c>
      <c r="D603" s="2" t="s">
        <v>402</v>
      </c>
      <c r="E603" s="6">
        <v>1</v>
      </c>
      <c r="F603" s="6">
        <v>2</v>
      </c>
      <c r="G603" s="7">
        <v>0.7967700958251953</v>
      </c>
      <c r="H603" s="7">
        <v>54.76832968750001</v>
      </c>
      <c r="I603" s="7">
        <v>31.26171084877882</v>
      </c>
      <c r="J603" s="7">
        <v>10.24036371940879</v>
      </c>
      <c r="K603" s="7">
        <v>5.455080340893495</v>
      </c>
      <c r="L603" s="7">
        <v>0.8605215557041651</v>
      </c>
      <c r="M603" s="7">
        <v>0.7042289533727851</v>
      </c>
      <c r="N603" s="7">
        <v>0.45852679858091</v>
      </c>
      <c r="O603" s="7">
        <v>0.0602380410915803</v>
      </c>
      <c r="P603" s="7">
        <v>8.691541426560098</v>
      </c>
      <c r="Q603" s="7">
        <v>0.0828296778469314</v>
      </c>
      <c r="R603" s="7">
        <v>0.1666000267510441</v>
      </c>
      <c r="S603" s="7">
        <v>0.1984955689603381</v>
      </c>
      <c r="T603" s="7">
        <v>5.265095444886354</v>
      </c>
    </row>
    <row x14ac:dyDescent="0.25" r="604" customHeight="1" ht="19.5">
      <c r="A604" s="2" t="s">
        <v>1662</v>
      </c>
      <c r="B604" s="2" t="s">
        <v>1060</v>
      </c>
      <c r="C604" s="2" t="s">
        <v>31</v>
      </c>
      <c r="D604" s="2" t="s">
        <v>402</v>
      </c>
      <c r="E604" s="6">
        <v>1</v>
      </c>
      <c r="F604" s="6">
        <v>2</v>
      </c>
      <c r="G604" s="7">
        <v>0.7863709926605225</v>
      </c>
      <c r="H604" s="7">
        <v>54.93803046875</v>
      </c>
      <c r="I604" s="7">
        <v>31.56850604390096</v>
      </c>
      <c r="J604" s="7">
        <v>10.2924924971061</v>
      </c>
      <c r="K604" s="7">
        <v>5.514844523978415</v>
      </c>
      <c r="L604" s="7">
        <v>0.8607253496047723</v>
      </c>
      <c r="M604" s="7">
        <v>0.6927473776698814</v>
      </c>
      <c r="N604" s="7">
        <v>0.4620921961114623</v>
      </c>
      <c r="O604" s="7">
        <v>0.0608989274166153</v>
      </c>
      <c r="P604" s="7">
        <v>8.711689216230157</v>
      </c>
      <c r="Q604" s="7">
        <v>0.0817138771809385</v>
      </c>
      <c r="R604" s="7">
        <v>0.1683770827319911</v>
      </c>
      <c r="S604" s="7">
        <v>0.1973577008247183</v>
      </c>
      <c r="T604" s="7">
        <v>5.210263450942374</v>
      </c>
    </row>
    <row x14ac:dyDescent="0.25" r="605" customHeight="1" ht="19.5">
      <c r="A605" s="2" t="s">
        <v>1663</v>
      </c>
      <c r="B605" s="2" t="s">
        <v>1060</v>
      </c>
      <c r="C605" s="2" t="s">
        <v>31</v>
      </c>
      <c r="D605" s="2" t="s">
        <v>402</v>
      </c>
      <c r="E605" s="6">
        <v>1</v>
      </c>
      <c r="F605" s="6">
        <v>2</v>
      </c>
      <c r="G605" s="7">
        <v>0.7869691848754883</v>
      </c>
      <c r="H605" s="7">
        <v>55.03500234375</v>
      </c>
      <c r="I605" s="7">
        <v>31.55422672450186</v>
      </c>
      <c r="J605" s="7">
        <v>10.28861851025964</v>
      </c>
      <c r="K605" s="7">
        <v>5.51278805763827</v>
      </c>
      <c r="L605" s="7">
        <v>0.8625085212938254</v>
      </c>
      <c r="M605" s="7">
        <v>0.6945983861079752</v>
      </c>
      <c r="N605" s="7">
        <v>0.4604592682049132</v>
      </c>
      <c r="O605" s="7">
        <v>0.0608395533324656</v>
      </c>
      <c r="P605" s="7">
        <v>8.712109020954243</v>
      </c>
      <c r="Q605" s="7">
        <v>0.0817907787349043</v>
      </c>
      <c r="R605" s="7">
        <v>0.1656032962798075</v>
      </c>
      <c r="S605" s="7">
        <v>0.197024675526895</v>
      </c>
      <c r="T605" s="7">
        <v>5.224372232615461</v>
      </c>
    </row>
    <row x14ac:dyDescent="0.25" r="606" customHeight="1" ht="19.5">
      <c r="A606" s="2" t="s">
        <v>1664</v>
      </c>
      <c r="B606" s="2" t="s">
        <v>1060</v>
      </c>
      <c r="C606" s="2" t="s">
        <v>31</v>
      </c>
      <c r="D606" s="2" t="s">
        <v>402</v>
      </c>
      <c r="E606" s="6">
        <v>1</v>
      </c>
      <c r="F606" s="6">
        <v>2</v>
      </c>
      <c r="G606" s="7">
        <v>0.8004429936408997</v>
      </c>
      <c r="H606" s="7">
        <v>54.2834703125</v>
      </c>
      <c r="I606" s="7">
        <v>31.38777477948469</v>
      </c>
      <c r="J606" s="7">
        <v>10.29963114255132</v>
      </c>
      <c r="K606" s="7">
        <v>5.465802899410598</v>
      </c>
      <c r="L606" s="7">
        <v>0.8645937883349747</v>
      </c>
      <c r="M606" s="7">
        <v>0.6923989692751426</v>
      </c>
      <c r="N606" s="7">
        <v>0.4611146614471188</v>
      </c>
      <c r="O606" s="7">
        <v>0.060962963299785</v>
      </c>
      <c r="P606" s="7">
        <v>8.709503348929639</v>
      </c>
      <c r="Q606" s="7">
        <v>0.084588205088153</v>
      </c>
      <c r="R606" s="7">
        <v>0.1680331325253441</v>
      </c>
      <c r="S606" s="7">
        <v>0.1960620101390978</v>
      </c>
      <c r="T606" s="7">
        <v>5.329275767584255</v>
      </c>
    </row>
    <row x14ac:dyDescent="0.25" r="607" customHeight="1" ht="19.5">
      <c r="A607" s="2" t="s">
        <v>1665</v>
      </c>
      <c r="B607" s="2" t="s">
        <v>1060</v>
      </c>
      <c r="C607" s="2" t="s">
        <v>31</v>
      </c>
      <c r="D607" s="2" t="s">
        <v>402</v>
      </c>
      <c r="E607" s="6">
        <v>1</v>
      </c>
      <c r="F607" s="6">
        <v>2</v>
      </c>
      <c r="G607" s="7">
        <v>0.7164382934570312</v>
      </c>
      <c r="H607" s="7">
        <v>54.23844765625</v>
      </c>
      <c r="I607" s="7">
        <v>31.87285129513712</v>
      </c>
      <c r="J607" s="7">
        <v>10.51151566196993</v>
      </c>
      <c r="K607" s="7">
        <v>5.439479127973372</v>
      </c>
      <c r="L607" s="7">
        <v>0.8756984410810488</v>
      </c>
      <c r="M607" s="7">
        <v>0.6709270196881922</v>
      </c>
      <c r="N607" s="7">
        <v>0.5676909979758553</v>
      </c>
      <c r="O607" s="7">
        <v>0.0761003747415805</v>
      </c>
      <c r="P607" s="7">
        <v>8.185015214233768</v>
      </c>
      <c r="Q607" s="7">
        <v>0.0655273925546395</v>
      </c>
      <c r="R607" s="7">
        <v>0.1359907248888319</v>
      </c>
      <c r="S607" s="7">
        <v>0.155805304460155</v>
      </c>
      <c r="T607" s="7">
        <v>4.124971176819793</v>
      </c>
    </row>
    <row x14ac:dyDescent="0.25" r="608" customHeight="1" ht="19.5">
      <c r="A608" s="2" t="s">
        <v>1666</v>
      </c>
      <c r="B608" s="2" t="s">
        <v>1060</v>
      </c>
      <c r="C608" s="2" t="s">
        <v>31</v>
      </c>
      <c r="D608" s="2" t="s">
        <v>431</v>
      </c>
      <c r="E608" s="6">
        <v>1</v>
      </c>
      <c r="F608" s="6">
        <v>2</v>
      </c>
      <c r="G608" s="7">
        <v>0.7443627715110779</v>
      </c>
      <c r="H608" s="7">
        <v>30.6361859375</v>
      </c>
      <c r="I608" s="7">
        <v>24.8833047483172</v>
      </c>
      <c r="J608" s="7">
        <v>9.125625</v>
      </c>
      <c r="K608" s="7">
        <v>3.277083333333334</v>
      </c>
      <c r="L608" s="7">
        <v>0.9351001193982847</v>
      </c>
      <c r="M608" s="7">
        <v>0.6217681102468636</v>
      </c>
      <c r="N608" s="7">
        <v>0.5453114354435445</v>
      </c>
      <c r="O608" s="7">
        <v>0.0833881164035977</v>
      </c>
      <c r="P608" s="7">
        <v>7.649055295459655</v>
      </c>
      <c r="Q608" s="7">
        <v>0.0358287877515416</v>
      </c>
      <c r="R608" s="7">
        <v>0.0779734049589754</v>
      </c>
      <c r="S608" s="7">
        <v>0.104189304954733</v>
      </c>
      <c r="T608" s="7">
        <v>1.273965276821008</v>
      </c>
    </row>
    <row x14ac:dyDescent="0.25" r="609" customHeight="1" ht="19.5">
      <c r="A609" s="2" t="s">
        <v>1667</v>
      </c>
      <c r="B609" s="2" t="s">
        <v>1060</v>
      </c>
      <c r="C609" s="2" t="s">
        <v>31</v>
      </c>
      <c r="D609" s="2" t="s">
        <v>431</v>
      </c>
      <c r="E609" s="6">
        <v>1</v>
      </c>
      <c r="F609" s="6">
        <v>2</v>
      </c>
      <c r="G609" s="7">
        <v>0.7547324299812317</v>
      </c>
      <c r="H609" s="7">
        <v>29.17468125</v>
      </c>
      <c r="I609" s="7">
        <v>24.48145420517336</v>
      </c>
      <c r="J609" s="7">
        <v>9.009375</v>
      </c>
      <c r="K609" s="7">
        <v>3.157916666666667</v>
      </c>
      <c r="L609" s="7">
        <v>0.9381970390031332</v>
      </c>
      <c r="M609" s="7">
        <v>0.6117043387999357</v>
      </c>
      <c r="N609" s="7">
        <v>0.5014244543593632</v>
      </c>
      <c r="O609" s="7">
        <v>0.076527199099835</v>
      </c>
      <c r="P609" s="7">
        <v>7.847067403591591</v>
      </c>
      <c r="Q609" s="7">
        <v>0.0424045761112166</v>
      </c>
      <c r="R609" s="7">
        <v>0.0925714484825428</v>
      </c>
      <c r="S609" s="7">
        <v>0.1309822948273038</v>
      </c>
      <c r="T609" s="7">
        <v>1.435851830327797</v>
      </c>
    </row>
    <row x14ac:dyDescent="0.25" r="610" customHeight="1" ht="19.5">
      <c r="A610" s="2" t="s">
        <v>1668</v>
      </c>
      <c r="B610" s="2" t="s">
        <v>1060</v>
      </c>
      <c r="C610" s="2" t="s">
        <v>31</v>
      </c>
      <c r="D610" s="2" t="s">
        <v>431</v>
      </c>
      <c r="E610" s="6">
        <v>1</v>
      </c>
      <c r="F610" s="6">
        <v>2</v>
      </c>
      <c r="G610" s="7">
        <v>0.7710771560668945</v>
      </c>
      <c r="H610" s="7">
        <v>29.6249078125</v>
      </c>
      <c r="I610" s="7">
        <v>24.8143580952077</v>
      </c>
      <c r="J610" s="7">
        <v>9.014180890019013</v>
      </c>
      <c r="K610" s="7">
        <v>3.230894705961796</v>
      </c>
      <c r="L610" s="7">
        <v>0.9353267486867032</v>
      </c>
      <c r="M610" s="7">
        <v>0.6045897515464546</v>
      </c>
      <c r="N610" s="7">
        <v>0.4583769054709069</v>
      </c>
      <c r="O610" s="7">
        <v>0.0708602543900816</v>
      </c>
      <c r="P610" s="7">
        <v>8.071836057427806</v>
      </c>
      <c r="Q610" s="7">
        <v>0.0418113272625959</v>
      </c>
      <c r="R610" s="7">
        <v>0.0939278388889232</v>
      </c>
      <c r="S610" s="7">
        <v>0.1364188073250257</v>
      </c>
      <c r="T610" s="7">
        <v>1.437612173595819</v>
      </c>
    </row>
    <row x14ac:dyDescent="0.25" r="611" customHeight="1" ht="19.5">
      <c r="A611" s="2" t="s">
        <v>1669</v>
      </c>
      <c r="B611" s="2" t="s">
        <v>1060</v>
      </c>
      <c r="C611" s="2" t="s">
        <v>31</v>
      </c>
      <c r="D611" s="2" t="s">
        <v>431</v>
      </c>
      <c r="E611" s="6">
        <v>1</v>
      </c>
      <c r="F611" s="6">
        <v>2</v>
      </c>
      <c r="G611" s="7">
        <v>0.7759585976600647</v>
      </c>
      <c r="H611" s="7">
        <v>29.69071015625</v>
      </c>
      <c r="I611" s="7">
        <v>24.84883142176245</v>
      </c>
      <c r="J611" s="7">
        <v>9.010468353725985</v>
      </c>
      <c r="K611" s="7">
        <v>3.220562789853902</v>
      </c>
      <c r="L611" s="7">
        <v>0.9356671696711792</v>
      </c>
      <c r="M611" s="7">
        <v>0.6042525750678572</v>
      </c>
      <c r="N611" s="7">
        <v>0.4618217243330136</v>
      </c>
      <c r="O611" s="7">
        <v>0.0715151650116519</v>
      </c>
      <c r="P611" s="7">
        <v>8.05675176054436</v>
      </c>
      <c r="Q611" s="7">
        <v>0.0403154790042732</v>
      </c>
      <c r="R611" s="7">
        <v>0.0940513364489638</v>
      </c>
      <c r="S611" s="7">
        <v>0.1343992640534077</v>
      </c>
      <c r="T611" s="7">
        <v>1.389258906242203</v>
      </c>
    </row>
    <row x14ac:dyDescent="0.25" r="612" customHeight="1" ht="19.5">
      <c r="A612" s="2" t="s">
        <v>1670</v>
      </c>
      <c r="B612" s="2" t="s">
        <v>1060</v>
      </c>
      <c r="C612" s="2" t="s">
        <v>31</v>
      </c>
      <c r="D612" s="2" t="s">
        <v>431</v>
      </c>
      <c r="E612" s="6">
        <v>1</v>
      </c>
      <c r="F612" s="6">
        <v>2</v>
      </c>
      <c r="G612" s="7">
        <v>0.7756100296974182</v>
      </c>
      <c r="H612" s="7">
        <v>29.48291328125</v>
      </c>
      <c r="I612" s="7">
        <v>24.49573352457244</v>
      </c>
      <c r="J612" s="7">
        <v>8.952469372050366</v>
      </c>
      <c r="K612" s="7">
        <v>3.220958015740813</v>
      </c>
      <c r="L612" s="7">
        <v>0.9347194556773296</v>
      </c>
      <c r="M612" s="7">
        <v>0.6174465398549805</v>
      </c>
      <c r="N612" s="7">
        <v>0.4606563338636454</v>
      </c>
      <c r="O612" s="7">
        <v>0.0721115347617215</v>
      </c>
      <c r="P612" s="7">
        <v>8.033185684459905</v>
      </c>
      <c r="Q612" s="7">
        <v>0.0454506486403565</v>
      </c>
      <c r="R612" s="7">
        <v>0.1006946400734745</v>
      </c>
      <c r="S612" s="7">
        <v>0.1445620781668656</v>
      </c>
      <c r="T612" s="7">
        <v>1.555253762477428</v>
      </c>
    </row>
    <row x14ac:dyDescent="0.25" r="613" customHeight="1" ht="19.5">
      <c r="A613" s="2" t="s">
        <v>1671</v>
      </c>
      <c r="B613" s="2" t="s">
        <v>1060</v>
      </c>
      <c r="C613" s="2" t="s">
        <v>31</v>
      </c>
      <c r="D613" s="2" t="s">
        <v>431</v>
      </c>
      <c r="E613" s="6">
        <v>1</v>
      </c>
      <c r="F613" s="6">
        <v>2</v>
      </c>
      <c r="G613" s="7">
        <v>0.772343635559082</v>
      </c>
      <c r="H613" s="7">
        <v>29.64222421875</v>
      </c>
      <c r="I613" s="7">
        <v>24.84883142176245</v>
      </c>
      <c r="J613" s="7">
        <v>9.012491173840122</v>
      </c>
      <c r="K613" s="7">
        <v>3.226236000712048</v>
      </c>
      <c r="L613" s="7">
        <v>0.9353837987236582</v>
      </c>
      <c r="M613" s="7">
        <v>0.6032658101021567</v>
      </c>
      <c r="N613" s="7">
        <v>0.4630239390901968</v>
      </c>
      <c r="O613" s="7">
        <v>0.0713471187302965</v>
      </c>
      <c r="P613" s="7">
        <v>8.057264130359378</v>
      </c>
      <c r="Q613" s="7">
        <v>0.0386428044719862</v>
      </c>
      <c r="R613" s="7">
        <v>0.0927228190727019</v>
      </c>
      <c r="S613" s="7">
        <v>0.1383388573071265</v>
      </c>
      <c r="T613" s="7">
        <v>1.329444481364246</v>
      </c>
    </row>
    <row x14ac:dyDescent="0.25" r="614" customHeight="1" ht="19.5">
      <c r="A614" s="2" t="s">
        <v>1672</v>
      </c>
      <c r="B614" s="2" t="s">
        <v>1060</v>
      </c>
      <c r="C614" s="2" t="s">
        <v>31</v>
      </c>
      <c r="D614" s="2" t="s">
        <v>431</v>
      </c>
      <c r="E614" s="6">
        <v>1</v>
      </c>
      <c r="F614" s="6">
        <v>2</v>
      </c>
      <c r="G614" s="7">
        <v>0.7614090442657471</v>
      </c>
      <c r="H614" s="7">
        <v>29.51061953125</v>
      </c>
      <c r="I614" s="7">
        <v>24.5302068511272</v>
      </c>
      <c r="J614" s="7">
        <v>8.951834101254642</v>
      </c>
      <c r="K614" s="7">
        <v>3.219125357159736</v>
      </c>
      <c r="L614" s="7">
        <v>0.9348625166335875</v>
      </c>
      <c r="M614" s="7">
        <v>0.6162909213735465</v>
      </c>
      <c r="N614" s="7">
        <v>0.4683894758079269</v>
      </c>
      <c r="O614" s="7">
        <v>0.0719400657479162</v>
      </c>
      <c r="P614" s="7">
        <v>8.00725985932645</v>
      </c>
      <c r="Q614" s="7">
        <v>0.0492490756510536</v>
      </c>
      <c r="R614" s="7">
        <v>0.1043134021177353</v>
      </c>
      <c r="S614" s="7">
        <v>0.1469337553643327</v>
      </c>
      <c r="T614" s="7">
        <v>1.686813976162747</v>
      </c>
    </row>
    <row x14ac:dyDescent="0.25" r="615" customHeight="1" ht="19.5">
      <c r="A615" s="2" t="s">
        <v>1673</v>
      </c>
      <c r="B615" s="2" t="s">
        <v>1060</v>
      </c>
      <c r="C615" s="2" t="s">
        <v>31</v>
      </c>
      <c r="D615" s="2" t="s">
        <v>431</v>
      </c>
      <c r="E615" s="6">
        <v>1</v>
      </c>
      <c r="F615" s="6">
        <v>2</v>
      </c>
      <c r="G615" s="7">
        <v>0.7729617953300476</v>
      </c>
      <c r="H615" s="7">
        <v>29.67685703125</v>
      </c>
      <c r="I615" s="7">
        <v>24.89758406771628</v>
      </c>
      <c r="J615" s="7">
        <v>9.011433456666785</v>
      </c>
      <c r="K615" s="7">
        <v>3.22323121108165</v>
      </c>
      <c r="L615" s="7">
        <v>0.9356082666311116</v>
      </c>
      <c r="M615" s="7">
        <v>0.6016076548631832</v>
      </c>
      <c r="N615" s="7">
        <v>0.466922814361747</v>
      </c>
      <c r="O615" s="7">
        <v>0.0718789100939147</v>
      </c>
      <c r="P615" s="7">
        <v>8.0232766224052</v>
      </c>
      <c r="Q615" s="7">
        <v>0.0398293308318778</v>
      </c>
      <c r="R615" s="7">
        <v>0.0944869172826242</v>
      </c>
      <c r="S615" s="7">
        <v>0.135955706388951</v>
      </c>
      <c r="T615" s="7">
        <v>1.371866005378469</v>
      </c>
    </row>
    <row x14ac:dyDescent="0.25" r="616" customHeight="1" ht="19.5">
      <c r="A616" s="2" t="s">
        <v>1674</v>
      </c>
      <c r="B616" s="2" t="s">
        <v>1060</v>
      </c>
      <c r="C616" s="2" t="s">
        <v>31</v>
      </c>
      <c r="D616" s="2" t="s">
        <v>431</v>
      </c>
      <c r="E616" s="6">
        <v>1</v>
      </c>
      <c r="F616" s="6">
        <v>2</v>
      </c>
      <c r="G616" s="7">
        <v>0.7639283537864685</v>
      </c>
      <c r="H616" s="7">
        <v>29.6456875</v>
      </c>
      <c r="I616" s="7">
        <v>24.86311074116153</v>
      </c>
      <c r="J616" s="7">
        <v>9.012216424191084</v>
      </c>
      <c r="K616" s="7">
        <v>3.225563196923077</v>
      </c>
      <c r="L616" s="7">
        <v>0.9354500830714406</v>
      </c>
      <c r="M616" s="7">
        <v>0.602643479145416</v>
      </c>
      <c r="N616" s="7">
        <v>0.4752763777706822</v>
      </c>
      <c r="O616" s="7">
        <v>0.072896457508382</v>
      </c>
      <c r="P616" s="7">
        <v>8.000834238380452</v>
      </c>
      <c r="Q616" s="7">
        <v>0.0403189181047912</v>
      </c>
      <c r="R616" s="7">
        <v>0.0939146676328257</v>
      </c>
      <c r="S616" s="7">
        <v>0.1371600443264705</v>
      </c>
      <c r="T616" s="7">
        <v>1.387270580417876</v>
      </c>
    </row>
    <row x14ac:dyDescent="0.25" r="617" customHeight="1" ht="19.5">
      <c r="A617" s="2" t="s">
        <v>1675</v>
      </c>
      <c r="B617" s="2" t="s">
        <v>1060</v>
      </c>
      <c r="C617" s="2" t="s">
        <v>31</v>
      </c>
      <c r="D617" s="2" t="s">
        <v>431</v>
      </c>
      <c r="E617" s="6">
        <v>1</v>
      </c>
      <c r="F617" s="6">
        <v>2</v>
      </c>
      <c r="G617" s="7">
        <v>0.7683230638504028</v>
      </c>
      <c r="H617" s="7">
        <v>28.94956796875</v>
      </c>
      <c r="I617" s="7">
        <v>24.41250755206386</v>
      </c>
      <c r="J617" s="7">
        <v>8.953040386002584</v>
      </c>
      <c r="K617" s="7">
        <v>3.162995168492285</v>
      </c>
      <c r="L617" s="7">
        <v>0.9371524520464132</v>
      </c>
      <c r="M617" s="7">
        <v>0.6104177723107386</v>
      </c>
      <c r="N617" s="7">
        <v>0.4783833884022017</v>
      </c>
      <c r="O617" s="7">
        <v>0.0737447623834233</v>
      </c>
      <c r="P617" s="7">
        <v>7.942620984408686</v>
      </c>
      <c r="Q617" s="7">
        <v>0.0468078860099302</v>
      </c>
      <c r="R617" s="7">
        <v>0.1010654110410986</v>
      </c>
      <c r="S617" s="7">
        <v>0.1428967828021168</v>
      </c>
      <c r="T617" s="7">
        <v>1.572721755464752</v>
      </c>
    </row>
    <row x14ac:dyDescent="0.25" r="618" customHeight="1" ht="19.5">
      <c r="A618" s="2" t="s">
        <v>1676</v>
      </c>
      <c r="B618" s="2" t="s">
        <v>1060</v>
      </c>
      <c r="C618" s="2" t="s">
        <v>31</v>
      </c>
      <c r="D618" s="2" t="s">
        <v>431</v>
      </c>
      <c r="E618" s="6">
        <v>1</v>
      </c>
      <c r="F618" s="6">
        <v>2</v>
      </c>
      <c r="G618" s="7">
        <v>0.7646020650863647</v>
      </c>
      <c r="H618" s="7">
        <v>29.48983984375</v>
      </c>
      <c r="I618" s="7">
        <v>24.49573352457244</v>
      </c>
      <c r="J618" s="7">
        <v>8.952011678790132</v>
      </c>
      <c r="K618" s="7">
        <v>3.219659656031733</v>
      </c>
      <c r="L618" s="7">
        <v>0.9347551112617436</v>
      </c>
      <c r="M618" s="7">
        <v>0.6175915995377844</v>
      </c>
      <c r="N618" s="7">
        <v>0.4765878144070535</v>
      </c>
      <c r="O618" s="7">
        <v>0.0735670431796061</v>
      </c>
      <c r="P618" s="7">
        <v>7.968525309412279</v>
      </c>
      <c r="Q618" s="7">
        <v>0.0491388343806113</v>
      </c>
      <c r="R618" s="7">
        <v>0.1014014251117469</v>
      </c>
      <c r="S618" s="7">
        <v>0.1422220082033355</v>
      </c>
      <c r="T618" s="7">
        <v>1.681853039449458</v>
      </c>
    </row>
    <row x14ac:dyDescent="0.25" r="619" customHeight="1" ht="19.5">
      <c r="A619" s="2" t="s">
        <v>1677</v>
      </c>
      <c r="B619" s="2" t="s">
        <v>1060</v>
      </c>
      <c r="C619" s="2" t="s">
        <v>31</v>
      </c>
      <c r="D619" s="2" t="s">
        <v>431</v>
      </c>
      <c r="E619" s="6">
        <v>1</v>
      </c>
      <c r="F619" s="6">
        <v>2</v>
      </c>
      <c r="G619" s="7">
        <v>0.7609414458274841</v>
      </c>
      <c r="H619" s="7">
        <v>30.2067390625</v>
      </c>
      <c r="I619" s="7">
        <v>24.8833047483172</v>
      </c>
      <c r="J619" s="7">
        <v>9.011396875188083</v>
      </c>
      <c r="K619" s="7">
        <v>3.282645980802069</v>
      </c>
      <c r="L619" s="7">
        <v>0.933073813420938</v>
      </c>
      <c r="M619" s="7">
        <v>0.6130523917672558</v>
      </c>
      <c r="N619" s="7">
        <v>0.4736526977077461</v>
      </c>
      <c r="O619" s="7">
        <v>0.0726497474386079</v>
      </c>
      <c r="P619" s="7">
        <v>8.01351856072445</v>
      </c>
      <c r="Q619" s="7">
        <v>0.0391086211538159</v>
      </c>
      <c r="R619" s="7">
        <v>0.0926554488497218</v>
      </c>
      <c r="S619" s="7">
        <v>0.132761230467602</v>
      </c>
      <c r="T619" s="7">
        <v>1.371093678251872</v>
      </c>
    </row>
    <row x14ac:dyDescent="0.25" r="620" customHeight="1" ht="19.5">
      <c r="A620" s="2" t="s">
        <v>1678</v>
      </c>
      <c r="B620" s="2" t="s">
        <v>1060</v>
      </c>
      <c r="C620" s="2" t="s">
        <v>31</v>
      </c>
      <c r="D620" s="2" t="s">
        <v>431</v>
      </c>
      <c r="E620" s="6">
        <v>1</v>
      </c>
      <c r="F620" s="6">
        <v>2</v>
      </c>
      <c r="G620" s="7">
        <v>0.7736724019050598</v>
      </c>
      <c r="H620" s="7">
        <v>29.6387609375</v>
      </c>
      <c r="I620" s="7">
        <v>24.69665879614437</v>
      </c>
      <c r="J620" s="7">
        <v>9.012955692323477</v>
      </c>
      <c r="K620" s="7">
        <v>3.227475240805941</v>
      </c>
      <c r="L620" s="7">
        <v>0.9353825873689332</v>
      </c>
      <c r="M620" s="7">
        <v>0.6106516072419568</v>
      </c>
      <c r="N620" s="7">
        <v>0.4699066596424828</v>
      </c>
      <c r="O620" s="7">
        <v>0.0724752320414057</v>
      </c>
      <c r="P620" s="7">
        <v>8.013333931780451</v>
      </c>
      <c r="Q620" s="7">
        <v>0.0422005190246696</v>
      </c>
      <c r="R620" s="7">
        <v>0.0961612936902357</v>
      </c>
      <c r="S620" s="7">
        <v>0.1365112830694991</v>
      </c>
      <c r="T620" s="7">
        <v>1.451672387942446</v>
      </c>
    </row>
    <row x14ac:dyDescent="0.25" r="621" customHeight="1" ht="19.5">
      <c r="A621" s="2" t="s">
        <v>1679</v>
      </c>
      <c r="B621" s="2" t="s">
        <v>1060</v>
      </c>
      <c r="C621" s="2" t="s">
        <v>31</v>
      </c>
      <c r="D621" s="2" t="s">
        <v>431</v>
      </c>
      <c r="E621" s="6">
        <v>1</v>
      </c>
      <c r="F621" s="6">
        <v>2</v>
      </c>
      <c r="G621" s="7">
        <v>0.7679892182350159</v>
      </c>
      <c r="H621" s="7">
        <v>29.09502578125</v>
      </c>
      <c r="I621" s="7">
        <v>24.61343282363578</v>
      </c>
      <c r="J621" s="7">
        <v>9.01316190474478</v>
      </c>
      <c r="K621" s="7">
        <v>3.168736778679415</v>
      </c>
      <c r="L621" s="7">
        <v>0.9377593249234876</v>
      </c>
      <c r="M621" s="7">
        <v>0.6035096695539481</v>
      </c>
      <c r="N621" s="7">
        <v>0.4819508910969956</v>
      </c>
      <c r="O621" s="7">
        <v>0.0740423454238437</v>
      </c>
      <c r="P621" s="7">
        <v>7.950129009075358</v>
      </c>
      <c r="Q621" s="7">
        <v>0.0403674370762559</v>
      </c>
      <c r="R621" s="7">
        <v>0.093025199698159</v>
      </c>
      <c r="S621" s="7">
        <v>0.1329588972304012</v>
      </c>
      <c r="T621" s="7">
        <v>1.36314075794038</v>
      </c>
    </row>
    <row x14ac:dyDescent="0.25" r="622" customHeight="1" ht="19.5">
      <c r="A622" s="2" t="s">
        <v>1680</v>
      </c>
      <c r="B622" s="2" t="s">
        <v>1060</v>
      </c>
      <c r="C622" s="2" t="s">
        <v>31</v>
      </c>
      <c r="D622" s="2" t="s">
        <v>431</v>
      </c>
      <c r="E622" s="6">
        <v>1</v>
      </c>
      <c r="F622" s="6">
        <v>2</v>
      </c>
      <c r="G622" s="7">
        <v>0.755527913570404</v>
      </c>
      <c r="H622" s="7">
        <v>29.714953125</v>
      </c>
      <c r="I622" s="7">
        <v>24.59915350423669</v>
      </c>
      <c r="J622" s="7">
        <v>9.009375</v>
      </c>
      <c r="K622" s="7">
        <v>3.2175</v>
      </c>
      <c r="L622" s="7">
        <v>0.9358068917945752</v>
      </c>
      <c r="M622" s="7">
        <v>0.6170844295643513</v>
      </c>
      <c r="N622" s="7">
        <v>0.4756044795617248</v>
      </c>
      <c r="O622" s="7">
        <v>0.072798621070867</v>
      </c>
      <c r="P622" s="7">
        <v>7.983357926793468</v>
      </c>
      <c r="Q622" s="7">
        <v>0.0404449048443701</v>
      </c>
      <c r="R622" s="7">
        <v>0.0921418378731381</v>
      </c>
      <c r="S622" s="7">
        <v>0.133758255675302</v>
      </c>
      <c r="T622" s="7">
        <v>1.394856875682098</v>
      </c>
    </row>
    <row x14ac:dyDescent="0.25" r="623" customHeight="1" ht="19.5">
      <c r="A623" s="2" t="s">
        <v>1681</v>
      </c>
      <c r="B623" s="2" t="s">
        <v>1060</v>
      </c>
      <c r="C623" s="2" t="s">
        <v>31</v>
      </c>
      <c r="D623" s="2" t="s">
        <v>431</v>
      </c>
      <c r="E623" s="6">
        <v>1</v>
      </c>
      <c r="F623" s="6">
        <v>2</v>
      </c>
      <c r="G623" s="7">
        <v>0.7544140815734863</v>
      </c>
      <c r="H623" s="7">
        <v>29.1123421875</v>
      </c>
      <c r="I623" s="7">
        <v>24.64790615019053</v>
      </c>
      <c r="J623" s="7">
        <v>9.011647023542508</v>
      </c>
      <c r="K623" s="7">
        <v>3.164404480973517</v>
      </c>
      <c r="L623" s="7">
        <v>0.937830642615933</v>
      </c>
      <c r="M623" s="7">
        <v>0.6021808605518952</v>
      </c>
      <c r="N623" s="7">
        <v>0.4780132643177613</v>
      </c>
      <c r="O623" s="7">
        <v>0.0735982928821136</v>
      </c>
      <c r="P623" s="7">
        <v>7.987729525466149</v>
      </c>
      <c r="Q623" s="7">
        <v>0.0245150412867118</v>
      </c>
      <c r="R623" s="7">
        <v>0.0770867045955903</v>
      </c>
      <c r="S623" s="7">
        <v>0.1164245251550076</v>
      </c>
      <c r="T623" s="7">
        <v>0.8283245941539804</v>
      </c>
    </row>
    <row x14ac:dyDescent="0.25" r="624" customHeight="1" ht="19.5">
      <c r="A624" s="2" t="s">
        <v>1682</v>
      </c>
      <c r="B624" s="2" t="s">
        <v>1060</v>
      </c>
      <c r="C624" s="2" t="s">
        <v>31</v>
      </c>
      <c r="D624" s="2" t="s">
        <v>431</v>
      </c>
      <c r="E624" s="6">
        <v>1</v>
      </c>
      <c r="F624" s="6">
        <v>2</v>
      </c>
      <c r="G624" s="7">
        <v>0.7643792033195496</v>
      </c>
      <c r="H624" s="7">
        <v>29.50369296875</v>
      </c>
      <c r="I624" s="7">
        <v>24.5302068511272</v>
      </c>
      <c r="J624" s="7">
        <v>8.952023811119512</v>
      </c>
      <c r="K624" s="7">
        <v>3.219653409783563</v>
      </c>
      <c r="L624" s="7">
        <v>0.9348174601529812</v>
      </c>
      <c r="M624" s="7">
        <v>0.616146269121141</v>
      </c>
      <c r="N624" s="7">
        <v>0.4759346958823268</v>
      </c>
      <c r="O624" s="7">
        <v>0.0736909233907463</v>
      </c>
      <c r="P624" s="7">
        <v>7.960253115708189</v>
      </c>
      <c r="Q624" s="7">
        <v>0.047537118668379</v>
      </c>
      <c r="R624" s="7">
        <v>0.1002209376781912</v>
      </c>
      <c r="S624" s="7">
        <v>0.1434924529806028</v>
      </c>
      <c r="T624" s="7">
        <v>1.627796141065535</v>
      </c>
    </row>
    <row x14ac:dyDescent="0.25" r="625" customHeight="1" ht="19.5">
      <c r="A625" s="2" t="s">
        <v>1683</v>
      </c>
      <c r="B625" s="2" t="s">
        <v>1060</v>
      </c>
      <c r="C625" s="2" t="s">
        <v>31</v>
      </c>
      <c r="D625" s="2" t="s">
        <v>431</v>
      </c>
      <c r="E625" s="6">
        <v>1</v>
      </c>
      <c r="F625" s="6">
        <v>2</v>
      </c>
      <c r="G625" s="7">
        <v>0.7674298882484436</v>
      </c>
      <c r="H625" s="7">
        <v>29.0846359375</v>
      </c>
      <c r="I625" s="7">
        <v>24.57895949708104</v>
      </c>
      <c r="J625" s="7">
        <v>9.012770598722668</v>
      </c>
      <c r="K625" s="7">
        <v>3.167804314589414</v>
      </c>
      <c r="L625" s="7">
        <v>0.9377138055048918</v>
      </c>
      <c r="M625" s="7">
        <v>0.6049876485034329</v>
      </c>
      <c r="N625" s="7">
        <v>0.4773941992719821</v>
      </c>
      <c r="O625" s="7">
        <v>0.073477918180356</v>
      </c>
      <c r="P625" s="7">
        <v>7.975907023431908</v>
      </c>
      <c r="Q625" s="7">
        <v>0.0439357449029111</v>
      </c>
      <c r="R625" s="7">
        <v>0.0991013218149157</v>
      </c>
      <c r="S625" s="7">
        <v>0.1384442245687256</v>
      </c>
      <c r="T625" s="7">
        <v>1.483106731273389</v>
      </c>
    </row>
    <row x14ac:dyDescent="0.25" r="626" customHeight="1" ht="19.5">
      <c r="A626" s="2" t="s">
        <v>1684</v>
      </c>
      <c r="B626" s="2" t="s">
        <v>1060</v>
      </c>
      <c r="C626" s="2" t="s">
        <v>31</v>
      </c>
      <c r="D626" s="2" t="s">
        <v>431</v>
      </c>
      <c r="E626" s="6">
        <v>1</v>
      </c>
      <c r="F626" s="6">
        <v>2</v>
      </c>
      <c r="G626" s="7">
        <v>0.7567846179008484</v>
      </c>
      <c r="H626" s="7">
        <v>29.659540625</v>
      </c>
      <c r="I626" s="7">
        <v>24.69665879614437</v>
      </c>
      <c r="J626" s="7">
        <v>9.011270575247783</v>
      </c>
      <c r="K626" s="7">
        <v>3.222811657653737</v>
      </c>
      <c r="L626" s="7">
        <v>0.9354687015473104</v>
      </c>
      <c r="M626" s="7">
        <v>0.6110797340991023</v>
      </c>
      <c r="N626" s="7">
        <v>0.4701854420411248</v>
      </c>
      <c r="O626" s="7">
        <v>0.0729904997865149</v>
      </c>
      <c r="P626" s="7">
        <v>8.00190223922662</v>
      </c>
      <c r="Q626" s="7">
        <v>0.024951762390251</v>
      </c>
      <c r="R626" s="7">
        <v>0.0758033046734865</v>
      </c>
      <c r="S626" s="7">
        <v>0.1140681727383412</v>
      </c>
      <c r="T626" s="7">
        <v>0.8589273393992597</v>
      </c>
    </row>
    <row x14ac:dyDescent="0.25" r="627" customHeight="1" ht="19.5">
      <c r="A627" s="2" t="s">
        <v>1685</v>
      </c>
      <c r="B627" s="2" t="s">
        <v>1060</v>
      </c>
      <c r="C627" s="2" t="s">
        <v>31</v>
      </c>
      <c r="D627" s="2" t="s">
        <v>431</v>
      </c>
      <c r="E627" s="6">
        <v>1</v>
      </c>
      <c r="F627" s="6">
        <v>2</v>
      </c>
      <c r="G627" s="7">
        <v>0.7680333852767944</v>
      </c>
      <c r="H627" s="7">
        <v>29.714953125</v>
      </c>
      <c r="I627" s="7">
        <v>24.59915350423669</v>
      </c>
      <c r="J627" s="7">
        <v>9.009375</v>
      </c>
      <c r="K627" s="7">
        <v>3.2175</v>
      </c>
      <c r="L627" s="7">
        <v>0.9358068917945752</v>
      </c>
      <c r="M627" s="7">
        <v>0.6170844295643513</v>
      </c>
      <c r="N627" s="7">
        <v>0.4786682501441039</v>
      </c>
      <c r="O627" s="7">
        <v>0.0734429771683186</v>
      </c>
      <c r="P627" s="7">
        <v>7.974569179545186</v>
      </c>
      <c r="Q627" s="7">
        <v>0.0399775346079689</v>
      </c>
      <c r="R627" s="7">
        <v>0.0928432896603384</v>
      </c>
      <c r="S627" s="7">
        <v>0.1325984371026823</v>
      </c>
      <c r="T627" s="7">
        <v>1.37873829188911</v>
      </c>
    </row>
    <row x14ac:dyDescent="0.25" r="628" customHeight="1" ht="19.5">
      <c r="A628" s="2" t="s">
        <v>1686</v>
      </c>
      <c r="B628" s="2" t="s">
        <v>1060</v>
      </c>
      <c r="C628" s="2" t="s">
        <v>31</v>
      </c>
      <c r="D628" s="2" t="s">
        <v>431</v>
      </c>
      <c r="E628" s="6">
        <v>1</v>
      </c>
      <c r="F628" s="6">
        <v>2</v>
      </c>
      <c r="G628" s="7">
        <v>0.7785557508468628</v>
      </c>
      <c r="H628" s="7">
        <v>29.82924140625</v>
      </c>
      <c r="I628" s="7">
        <v>24.8143580952077</v>
      </c>
      <c r="J628" s="7">
        <v>9.069730683278896</v>
      </c>
      <c r="K628" s="7">
        <v>3.223910788174134</v>
      </c>
      <c r="L628" s="7">
        <v>0.9362230344046654</v>
      </c>
      <c r="M628" s="7">
        <v>0.608759823482536</v>
      </c>
      <c r="N628" s="7">
        <v>0.473381423818314</v>
      </c>
      <c r="O628" s="7">
        <v>0.0727780999971834</v>
      </c>
      <c r="P628" s="7">
        <v>8.003204717803875</v>
      </c>
      <c r="Q628" s="7">
        <v>0.0248252770423109</v>
      </c>
      <c r="R628" s="7">
        <v>0.0763318629109762</v>
      </c>
      <c r="S628" s="7">
        <v>0.1173355136818678</v>
      </c>
      <c r="T628" s="7">
        <v>0.8594628173976767</v>
      </c>
    </row>
    <row x14ac:dyDescent="0.25" r="629" customHeight="1" ht="19.5">
      <c r="A629" s="2" t="s">
        <v>1687</v>
      </c>
      <c r="B629" s="2" t="s">
        <v>1060</v>
      </c>
      <c r="C629" s="2" t="s">
        <v>31</v>
      </c>
      <c r="D629" s="2" t="s">
        <v>431</v>
      </c>
      <c r="E629" s="6">
        <v>1</v>
      </c>
      <c r="F629" s="6">
        <v>2</v>
      </c>
      <c r="G629" s="7">
        <v>0.7691636085510254</v>
      </c>
      <c r="H629" s="7">
        <v>29.146975</v>
      </c>
      <c r="I629" s="7">
        <v>24.5302068511272</v>
      </c>
      <c r="J629" s="7">
        <v>9.010454159532394</v>
      </c>
      <c r="K629" s="7">
        <v>3.160996771422145</v>
      </c>
      <c r="L629" s="7">
        <v>0.938034191943128</v>
      </c>
      <c r="M629" s="7">
        <v>0.6086966781222588</v>
      </c>
      <c r="N629" s="7">
        <v>0.4857112716958456</v>
      </c>
      <c r="O629" s="7">
        <v>0.0746662590199962</v>
      </c>
      <c r="P629" s="7">
        <v>7.936734518829908</v>
      </c>
      <c r="Q629" s="7">
        <v>0.0265341626450136</v>
      </c>
      <c r="R629" s="7">
        <v>0.0748178956452075</v>
      </c>
      <c r="S629" s="7">
        <v>0.1101367497002947</v>
      </c>
      <c r="T629" s="7">
        <v>0.8976140781140173</v>
      </c>
    </row>
    <row x14ac:dyDescent="0.25" r="630" customHeight="1" ht="19.5">
      <c r="A630" s="2" t="s">
        <v>1688</v>
      </c>
      <c r="B630" s="2" t="s">
        <v>1060</v>
      </c>
      <c r="C630" s="2" t="s">
        <v>31</v>
      </c>
      <c r="D630" s="2" t="s">
        <v>431</v>
      </c>
      <c r="E630" s="6">
        <v>1</v>
      </c>
      <c r="F630" s="6">
        <v>2</v>
      </c>
      <c r="G630" s="7">
        <v>0.4030876457691192</v>
      </c>
      <c r="H630" s="7">
        <v>54.39429531250001</v>
      </c>
      <c r="I630" s="7">
        <v>31.0106593452931</v>
      </c>
      <c r="J630" s="7">
        <v>9.68767906108154</v>
      </c>
      <c r="K630" s="7">
        <v>5.861759653438101</v>
      </c>
      <c r="L630" s="7">
        <v>0.8077723396955092</v>
      </c>
      <c r="M630" s="7">
        <v>0.7107898512657912</v>
      </c>
      <c r="N630" s="7">
        <v>0.5976051756411038</v>
      </c>
      <c r="O630" s="7">
        <v>0.0792445476323333</v>
      </c>
      <c r="P630" s="7">
        <v>7.838164830090447</v>
      </c>
      <c r="Q630" s="7">
        <v>0.0151676514967355</v>
      </c>
      <c r="R630" s="7">
        <v>0.0412578727769687</v>
      </c>
      <c r="S630" s="7">
        <v>0.059256967504083</v>
      </c>
      <c r="T630" s="7">
        <v>0.9575522393633508</v>
      </c>
    </row>
    <row x14ac:dyDescent="0.25" r="631" customHeight="1" ht="19.5">
      <c r="A631" s="2" t="s">
        <v>1689</v>
      </c>
      <c r="B631" s="2" t="s">
        <v>1060</v>
      </c>
      <c r="C631" s="2" t="s">
        <v>31</v>
      </c>
      <c r="D631" s="2" t="s">
        <v>431</v>
      </c>
      <c r="E631" s="6">
        <v>1</v>
      </c>
      <c r="F631" s="6">
        <v>2</v>
      </c>
      <c r="G631" s="7">
        <v>0.7498767971992493</v>
      </c>
      <c r="H631" s="7">
        <v>44.76983671875</v>
      </c>
      <c r="I631" s="7">
        <v>28.11238841286701</v>
      </c>
      <c r="J631" s="7">
        <v>9.337675110784158</v>
      </c>
      <c r="K631" s="7">
        <v>4.840670049492473</v>
      </c>
      <c r="L631" s="7">
        <v>0.8636463326862038</v>
      </c>
      <c r="M631" s="7">
        <v>0.7118686792481885</v>
      </c>
      <c r="N631" s="7">
        <v>0.50501972828997</v>
      </c>
      <c r="O631" s="7">
        <v>0.0667955519871153</v>
      </c>
      <c r="P631" s="7">
        <v>8.277735434917433</v>
      </c>
      <c r="Q631" s="7">
        <v>0.0203476946545383</v>
      </c>
      <c r="R631" s="7">
        <v>0.0569637810944903</v>
      </c>
      <c r="S631" s="7">
        <v>0.0930140928338132</v>
      </c>
      <c r="T631" s="7">
        <v>1.057283616110758</v>
      </c>
    </row>
    <row x14ac:dyDescent="0.25" r="632" customHeight="1" ht="19.5">
      <c r="A632" s="2" t="s">
        <v>1690</v>
      </c>
      <c r="B632" s="2" t="s">
        <v>1060</v>
      </c>
      <c r="C632" s="2" t="s">
        <v>31</v>
      </c>
      <c r="D632" s="2" t="s">
        <v>431</v>
      </c>
      <c r="E632" s="6">
        <v>1</v>
      </c>
      <c r="F632" s="6">
        <v>2</v>
      </c>
      <c r="G632" s="7">
        <v>0.802070677280426</v>
      </c>
      <c r="H632" s="7">
        <v>46.04432421875001</v>
      </c>
      <c r="I632" s="7">
        <v>28.72107891533932</v>
      </c>
      <c r="J632" s="7">
        <v>9.719036112431768</v>
      </c>
      <c r="K632" s="7">
        <v>4.746376647185565</v>
      </c>
      <c r="L632" s="7">
        <v>0.8773529846676458</v>
      </c>
      <c r="M632" s="7">
        <v>0.7014302102591053</v>
      </c>
      <c r="N632" s="7">
        <v>0.4432913812557669</v>
      </c>
      <c r="O632" s="7">
        <v>0.0588571623001136</v>
      </c>
      <c r="P632" s="7">
        <v>8.635472370996105</v>
      </c>
      <c r="Q632" s="7">
        <v>0.0196423699193784</v>
      </c>
      <c r="R632" s="7">
        <v>0.067564390863579</v>
      </c>
      <c r="S632" s="7">
        <v>0.1174498785090104</v>
      </c>
      <c r="T632" s="7">
        <v>1.049689297268093</v>
      </c>
    </row>
    <row x14ac:dyDescent="0.25" r="633" customHeight="1" ht="19.5">
      <c r="A633" s="2" t="s">
        <v>1691</v>
      </c>
      <c r="B633" s="2" t="s">
        <v>1060</v>
      </c>
      <c r="C633" s="2" t="s">
        <v>31</v>
      </c>
      <c r="D633" s="2" t="s">
        <v>431</v>
      </c>
      <c r="E633" s="6">
        <v>1</v>
      </c>
      <c r="F633" s="6">
        <v>2</v>
      </c>
      <c r="G633" s="7">
        <v>0.8131256699562073</v>
      </c>
      <c r="H633" s="7">
        <v>46.27982734375</v>
      </c>
      <c r="I633" s="7">
        <v>28.61765893567508</v>
      </c>
      <c r="J633" s="7">
        <v>9.684293802757889</v>
      </c>
      <c r="K633" s="7">
        <v>4.843039379171701</v>
      </c>
      <c r="L633" s="7">
        <v>0.872574433175157</v>
      </c>
      <c r="M633" s="7">
        <v>0.7101226860813651</v>
      </c>
      <c r="N633" s="7">
        <v>0.406232205065699</v>
      </c>
      <c r="O633" s="7">
        <v>0.0534190479530504</v>
      </c>
      <c r="P633" s="7">
        <v>8.891469448282248</v>
      </c>
      <c r="Q633" s="7">
        <v>0.0229552444974711</v>
      </c>
      <c r="R633" s="7">
        <v>0.0753851950844914</v>
      </c>
      <c r="S633" s="7">
        <v>0.1329330671119963</v>
      </c>
      <c r="T633" s="7">
        <v>1.233003850797479</v>
      </c>
    </row>
    <row x14ac:dyDescent="0.25" r="634" customHeight="1" ht="19.5">
      <c r="A634" s="2" t="s">
        <v>1692</v>
      </c>
      <c r="B634" s="2" t="s">
        <v>1060</v>
      </c>
      <c r="C634" s="2" t="s">
        <v>31</v>
      </c>
      <c r="D634" s="2" t="s">
        <v>431</v>
      </c>
      <c r="E634" s="6">
        <v>1</v>
      </c>
      <c r="F634" s="6">
        <v>2</v>
      </c>
      <c r="G634" s="7">
        <v>0.8168579339981079</v>
      </c>
      <c r="H634" s="7">
        <v>46.16900234375</v>
      </c>
      <c r="I634" s="7">
        <v>28.818584207247</v>
      </c>
      <c r="J634" s="7">
        <v>9.634026871466194</v>
      </c>
      <c r="K634" s="7">
        <v>4.853093325111664</v>
      </c>
      <c r="L634" s="7">
        <v>0.87263210830266</v>
      </c>
      <c r="M634" s="7">
        <v>0.6985782693536922</v>
      </c>
      <c r="N634" s="7">
        <v>0.3789369793389114</v>
      </c>
      <c r="O634" s="7">
        <v>0.0505976690177174</v>
      </c>
      <c r="P634" s="7">
        <v>9.028936310370788</v>
      </c>
      <c r="Q634" s="7">
        <v>0.0235971747951086</v>
      </c>
      <c r="R634" s="7">
        <v>0.0768476963166588</v>
      </c>
      <c r="S634" s="7">
        <v>0.1353649749946813</v>
      </c>
      <c r="T634" s="7">
        <v>1.264448890549472</v>
      </c>
    </row>
    <row x14ac:dyDescent="0.25" r="635" customHeight="1" ht="19.5">
      <c r="A635" s="2" t="s">
        <v>1693</v>
      </c>
      <c r="B635" s="2" t="s">
        <v>1060</v>
      </c>
      <c r="C635" s="2" t="s">
        <v>31</v>
      </c>
      <c r="D635" s="2" t="s">
        <v>431</v>
      </c>
      <c r="E635" s="6">
        <v>1</v>
      </c>
      <c r="F635" s="6">
        <v>2</v>
      </c>
      <c r="G635" s="7">
        <v>0.820503830909729</v>
      </c>
      <c r="H635" s="7">
        <v>45.5698546875</v>
      </c>
      <c r="I635" s="7">
        <v>28.63193825507419</v>
      </c>
      <c r="J635" s="7">
        <v>9.628213059803246</v>
      </c>
      <c r="K635" s="7">
        <v>4.786024446906184</v>
      </c>
      <c r="L635" s="7">
        <v>0.8756763480119688</v>
      </c>
      <c r="M635" s="7">
        <v>0.6985315238962244</v>
      </c>
      <c r="N635" s="7">
        <v>0.3784325696933832</v>
      </c>
      <c r="O635" s="7">
        <v>0.051063581426978</v>
      </c>
      <c r="P635" s="7">
        <v>9.00773810206547</v>
      </c>
      <c r="Q635" s="7">
        <v>0.0239136851052626</v>
      </c>
      <c r="R635" s="7">
        <v>0.0777653532826864</v>
      </c>
      <c r="S635" s="7">
        <v>0.1354564050676485</v>
      </c>
      <c r="T635" s="7">
        <v>1.264779826657666</v>
      </c>
    </row>
    <row x14ac:dyDescent="0.25" r="636" customHeight="1" ht="19.5">
      <c r="A636" s="2" t="s">
        <v>1694</v>
      </c>
      <c r="B636" s="2" t="s">
        <v>1060</v>
      </c>
      <c r="C636" s="2" t="s">
        <v>31</v>
      </c>
      <c r="D636" s="2" t="s">
        <v>431</v>
      </c>
      <c r="E636" s="6">
        <v>1</v>
      </c>
      <c r="F636" s="6">
        <v>2</v>
      </c>
      <c r="G636" s="7">
        <v>0.8199699521064758</v>
      </c>
      <c r="H636" s="7">
        <v>46.1655390625</v>
      </c>
      <c r="I636" s="7">
        <v>28.56890628972124</v>
      </c>
      <c r="J636" s="7">
        <v>9.637075904712653</v>
      </c>
      <c r="K636" s="7">
        <v>4.85802495684335</v>
      </c>
      <c r="L636" s="7">
        <v>0.8719900963211462</v>
      </c>
      <c r="M636" s="7">
        <v>0.7107887511251546</v>
      </c>
      <c r="N636" s="7">
        <v>0.3788054037983701</v>
      </c>
      <c r="O636" s="7">
        <v>0.0506776420521608</v>
      </c>
      <c r="P636" s="7">
        <v>9.012082868747406</v>
      </c>
      <c r="Q636" s="7">
        <v>0.0236007786453205</v>
      </c>
      <c r="R636" s="7">
        <v>0.078652057490368</v>
      </c>
      <c r="S636" s="7">
        <v>0.1362131684376624</v>
      </c>
      <c r="T636" s="7">
        <v>1.264547137237891</v>
      </c>
    </row>
    <row x14ac:dyDescent="0.25" r="637" customHeight="1" ht="19.5">
      <c r="A637" s="2" t="s">
        <v>1695</v>
      </c>
      <c r="B637" s="2" t="s">
        <v>1060</v>
      </c>
      <c r="C637" s="2" t="s">
        <v>31</v>
      </c>
      <c r="D637" s="2" t="s">
        <v>431</v>
      </c>
      <c r="E637" s="6">
        <v>1</v>
      </c>
      <c r="F637" s="6">
        <v>2</v>
      </c>
      <c r="G637" s="7">
        <v>0.8161198496818542</v>
      </c>
      <c r="H637" s="7">
        <v>46.1932453125</v>
      </c>
      <c r="I637" s="7">
        <v>28.5344329631665</v>
      </c>
      <c r="J637" s="7">
        <v>9.632937420437155</v>
      </c>
      <c r="K637" s="7">
        <v>4.852082692690173</v>
      </c>
      <c r="L637" s="7">
        <v>0.8720514892674046</v>
      </c>
      <c r="M637" s="7">
        <v>0.7129348513518144</v>
      </c>
      <c r="N637" s="7">
        <v>0.3766811242637715</v>
      </c>
      <c r="O637" s="7">
        <v>0.0506453622000902</v>
      </c>
      <c r="P637" s="7">
        <v>9.007353452632367</v>
      </c>
      <c r="Q637" s="7">
        <v>0.0219987152810775</v>
      </c>
      <c r="R637" s="7">
        <v>0.077088568097077</v>
      </c>
      <c r="S637" s="7">
        <v>0.1330761987404642</v>
      </c>
      <c r="T637" s="7">
        <v>1.179414801146033</v>
      </c>
    </row>
    <row x14ac:dyDescent="0.25" r="638" customHeight="1" ht="19.5">
      <c r="A638" s="2" t="s">
        <v>1696</v>
      </c>
      <c r="B638" s="2" t="s">
        <v>1060</v>
      </c>
      <c r="C638" s="2" t="s">
        <v>31</v>
      </c>
      <c r="D638" s="2" t="s">
        <v>431</v>
      </c>
      <c r="E638" s="6">
        <v>1</v>
      </c>
      <c r="F638" s="6">
        <v>2</v>
      </c>
      <c r="G638" s="7">
        <v>0.8117554783821106</v>
      </c>
      <c r="H638" s="7">
        <v>46.20363515625</v>
      </c>
      <c r="I638" s="7">
        <v>28.70088490818367</v>
      </c>
      <c r="J638" s="7">
        <v>9.64383541748198</v>
      </c>
      <c r="K638" s="7">
        <v>4.868735724104109</v>
      </c>
      <c r="L638" s="7">
        <v>0.872339712870957</v>
      </c>
      <c r="M638" s="7">
        <v>0.7048479412112529</v>
      </c>
      <c r="N638" s="7">
        <v>0.3734101132014725</v>
      </c>
      <c r="O638" s="7">
        <v>0.0505693346741754</v>
      </c>
      <c r="P638" s="7">
        <v>9.01369685450476</v>
      </c>
      <c r="Q638" s="7">
        <v>0.0230291730102436</v>
      </c>
      <c r="R638" s="7">
        <v>0.0773486442572544</v>
      </c>
      <c r="S638" s="7">
        <v>0.1337304562436931</v>
      </c>
      <c r="T638" s="7">
        <v>1.234938324094538</v>
      </c>
    </row>
    <row x14ac:dyDescent="0.25" r="639" customHeight="1" ht="19.5">
      <c r="A639" s="2" t="s">
        <v>1697</v>
      </c>
      <c r="B639" s="2" t="s">
        <v>1060</v>
      </c>
      <c r="C639" s="2" t="s">
        <v>31</v>
      </c>
      <c r="D639" s="2" t="s">
        <v>431</v>
      </c>
      <c r="E639" s="6">
        <v>1</v>
      </c>
      <c r="F639" s="6">
        <v>2</v>
      </c>
      <c r="G639" s="7">
        <v>0.8146435022354126</v>
      </c>
      <c r="H639" s="7">
        <v>45.69106953125</v>
      </c>
      <c r="I639" s="7">
        <v>28.5891002968769</v>
      </c>
      <c r="J639" s="7">
        <v>9.635363172264295</v>
      </c>
      <c r="K639" s="7">
        <v>4.794456918309879</v>
      </c>
      <c r="L639" s="7">
        <v>0.8756487333318417</v>
      </c>
      <c r="M639" s="7">
        <v>0.7024901054324629</v>
      </c>
      <c r="N639" s="7">
        <v>0.3782353599946956</v>
      </c>
      <c r="O639" s="7">
        <v>0.051009646722484</v>
      </c>
      <c r="P639" s="7">
        <v>8.98272665175802</v>
      </c>
      <c r="Q639" s="7">
        <v>0.022467876226715</v>
      </c>
      <c r="R639" s="7">
        <v>0.0764458417852081</v>
      </c>
      <c r="S639" s="7">
        <v>0.1339933843146969</v>
      </c>
      <c r="T639" s="7">
        <v>1.191472785035854</v>
      </c>
    </row>
    <row x14ac:dyDescent="0.25" r="640" customHeight="1" ht="19.5">
      <c r="A640" s="2" t="s">
        <v>1698</v>
      </c>
      <c r="B640" s="2" t="s">
        <v>1060</v>
      </c>
      <c r="C640" s="2" t="s">
        <v>31</v>
      </c>
      <c r="D640" s="2" t="s">
        <v>431</v>
      </c>
      <c r="E640" s="6">
        <v>1</v>
      </c>
      <c r="F640" s="6">
        <v>2</v>
      </c>
      <c r="G640" s="7">
        <v>0.8200579881668091</v>
      </c>
      <c r="H640" s="7">
        <v>45.6114140625</v>
      </c>
      <c r="I640" s="7">
        <v>28.49995963661175</v>
      </c>
      <c r="J640" s="7">
        <v>9.621104298462654</v>
      </c>
      <c r="K640" s="7">
        <v>4.771414719484157</v>
      </c>
      <c r="L640" s="7">
        <v>0.8756962056015563</v>
      </c>
      <c r="M640" s="7">
        <v>0.7056590420095321</v>
      </c>
      <c r="N640" s="7">
        <v>0.3801844298531242</v>
      </c>
      <c r="O640" s="7">
        <v>0.0512101309399743</v>
      </c>
      <c r="P640" s="7">
        <v>8.997125352349185</v>
      </c>
      <c r="Q640" s="7">
        <v>0.0227820867571548</v>
      </c>
      <c r="R640" s="7">
        <v>0.0771380211974467</v>
      </c>
      <c r="S640" s="7">
        <v>0.1342012485861008</v>
      </c>
      <c r="T640" s="7">
        <v>1.206029186454837</v>
      </c>
    </row>
    <row x14ac:dyDescent="0.25" r="641" customHeight="1" ht="19.5">
      <c r="A641" s="2" t="s">
        <v>1699</v>
      </c>
      <c r="B641" s="2" t="s">
        <v>1060</v>
      </c>
      <c r="C641" s="2" t="s">
        <v>31</v>
      </c>
      <c r="D641" s="2" t="s">
        <v>431</v>
      </c>
      <c r="E641" s="6">
        <v>1</v>
      </c>
      <c r="F641" s="6">
        <v>2</v>
      </c>
      <c r="G641" s="7">
        <v>0.8212552070617676</v>
      </c>
      <c r="H641" s="7">
        <v>46.200171875</v>
      </c>
      <c r="I641" s="7">
        <v>28.78411088069226</v>
      </c>
      <c r="J641" s="7">
        <v>9.642241441652804</v>
      </c>
      <c r="K641" s="7">
        <v>4.866941265317461</v>
      </c>
      <c r="L641" s="7">
        <v>0.8730201648562727</v>
      </c>
      <c r="M641" s="7">
        <v>0.7007253308777954</v>
      </c>
      <c r="N641" s="7">
        <v>0.376994362364408</v>
      </c>
      <c r="O641" s="7">
        <v>0.0507195648062748</v>
      </c>
      <c r="P641" s="7">
        <v>9.017032520016816</v>
      </c>
      <c r="Q641" s="7">
        <v>0.0227263000095572</v>
      </c>
      <c r="R641" s="7">
        <v>0.0767994786105303</v>
      </c>
      <c r="S641" s="7">
        <v>0.1359424261905143</v>
      </c>
      <c r="T641" s="7">
        <v>1.218605423885972</v>
      </c>
    </row>
    <row x14ac:dyDescent="0.25" r="642" customHeight="1" ht="19.5">
      <c r="A642" s="2" t="s">
        <v>1700</v>
      </c>
      <c r="B642" s="2" t="s">
        <v>1060</v>
      </c>
      <c r="C642" s="2" t="s">
        <v>31</v>
      </c>
      <c r="D642" s="2" t="s">
        <v>431</v>
      </c>
      <c r="E642" s="6">
        <v>1</v>
      </c>
      <c r="F642" s="6">
        <v>2</v>
      </c>
      <c r="G642" s="7">
        <v>0.8095402121543884</v>
      </c>
      <c r="H642" s="7">
        <v>46.23134140625</v>
      </c>
      <c r="I642" s="7">
        <v>28.56890628972124</v>
      </c>
      <c r="J642" s="7">
        <v>9.62499257131729</v>
      </c>
      <c r="K642" s="7">
        <v>4.836843457066568</v>
      </c>
      <c r="L642" s="7">
        <v>0.8721031555250996</v>
      </c>
      <c r="M642" s="7">
        <v>0.7118018783773211</v>
      </c>
      <c r="N642" s="7">
        <v>0.3767934564986769</v>
      </c>
      <c r="O642" s="7">
        <v>0.0510163141582271</v>
      </c>
      <c r="P642" s="7">
        <v>9.005977135728873</v>
      </c>
      <c r="Q642" s="7">
        <v>0.0231708850181326</v>
      </c>
      <c r="R642" s="7">
        <v>0.0771268238706943</v>
      </c>
      <c r="S642" s="7">
        <v>0.1346462769132015</v>
      </c>
      <c r="T642" s="7">
        <v>1.243282718025646</v>
      </c>
    </row>
    <row x14ac:dyDescent="0.25" r="643" customHeight="1" ht="19.5">
      <c r="A643" s="2" t="s">
        <v>1701</v>
      </c>
      <c r="B643" s="2" t="s">
        <v>1060</v>
      </c>
      <c r="C643" s="2" t="s">
        <v>31</v>
      </c>
      <c r="D643" s="2" t="s">
        <v>431</v>
      </c>
      <c r="E643" s="6">
        <v>1</v>
      </c>
      <c r="F643" s="6">
        <v>2</v>
      </c>
      <c r="G643" s="7">
        <v>0.8173277974128723</v>
      </c>
      <c r="H643" s="7">
        <v>46.19670859375</v>
      </c>
      <c r="I643" s="7">
        <v>28.63785294283074</v>
      </c>
      <c r="J643" s="7">
        <v>9.646395007068817</v>
      </c>
      <c r="K643" s="7">
        <v>4.8723247720862</v>
      </c>
      <c r="L643" s="7">
        <v>0.8724586618526452</v>
      </c>
      <c r="M643" s="7">
        <v>0.7078479668429144</v>
      </c>
      <c r="N643" s="7">
        <v>0.3800424418149107</v>
      </c>
      <c r="O643" s="7">
        <v>0.0509186389775747</v>
      </c>
      <c r="P643" s="7">
        <v>8.998442892842435</v>
      </c>
      <c r="Q643" s="7">
        <v>0.0228587126529864</v>
      </c>
      <c r="R643" s="7">
        <v>0.0768697159703058</v>
      </c>
      <c r="S643" s="7">
        <v>0.1336190714258959</v>
      </c>
      <c r="T643" s="7">
        <v>1.22561363147515</v>
      </c>
    </row>
    <row x14ac:dyDescent="0.25" r="644" customHeight="1" ht="19.5">
      <c r="A644" s="2" t="s">
        <v>1702</v>
      </c>
      <c r="B644" s="2" t="s">
        <v>1060</v>
      </c>
      <c r="C644" s="2" t="s">
        <v>31</v>
      </c>
      <c r="D644" s="2" t="s">
        <v>431</v>
      </c>
      <c r="E644" s="6">
        <v>1</v>
      </c>
      <c r="F644" s="6">
        <v>2</v>
      </c>
      <c r="G644" s="7">
        <v>0.8144494891166687</v>
      </c>
      <c r="H644" s="7">
        <v>45.69799609375</v>
      </c>
      <c r="I644" s="7">
        <v>28.50587432436832</v>
      </c>
      <c r="J644" s="7">
        <v>9.629495779390965</v>
      </c>
      <c r="K644" s="7">
        <v>4.783420613804879</v>
      </c>
      <c r="L644" s="7">
        <v>0.8759380334533697</v>
      </c>
      <c r="M644" s="7">
        <v>0.7067052018126314</v>
      </c>
      <c r="N644" s="7">
        <v>0.379428737225329</v>
      </c>
      <c r="O644" s="7">
        <v>0.0511363995033901</v>
      </c>
      <c r="P644" s="7">
        <v>8.98389242703892</v>
      </c>
      <c r="Q644" s="7">
        <v>0.0225749347507295</v>
      </c>
      <c r="R644" s="7">
        <v>0.0773601326113617</v>
      </c>
      <c r="S644" s="7">
        <v>0.1364196674069919</v>
      </c>
      <c r="T644" s="7">
        <v>1.197331587420706</v>
      </c>
    </row>
    <row x14ac:dyDescent="0.25" r="645" customHeight="1" ht="19.5">
      <c r="A645" s="2" t="s">
        <v>1703</v>
      </c>
      <c r="B645" s="2" t="s">
        <v>1060</v>
      </c>
      <c r="C645" s="2" t="s">
        <v>31</v>
      </c>
      <c r="D645" s="2" t="s">
        <v>431</v>
      </c>
      <c r="E645" s="6">
        <v>1</v>
      </c>
      <c r="F645" s="6">
        <v>2</v>
      </c>
      <c r="G645" s="7">
        <v>0.8123078942298889</v>
      </c>
      <c r="H645" s="7">
        <v>46.25212109375001</v>
      </c>
      <c r="I645" s="7">
        <v>28.67232626938549</v>
      </c>
      <c r="J645" s="7">
        <v>9.635857031621097</v>
      </c>
      <c r="K645" s="7">
        <v>4.853328997243575</v>
      </c>
      <c r="L645" s="7">
        <v>0.8723082904846</v>
      </c>
      <c r="M645" s="7">
        <v>0.7069938860646562</v>
      </c>
      <c r="N645" s="7">
        <v>0.3784967091068854</v>
      </c>
      <c r="O645" s="7">
        <v>0.0507532239553057</v>
      </c>
      <c r="P645" s="7">
        <v>8.994211066706892</v>
      </c>
      <c r="Q645" s="7">
        <v>0.0233641804795532</v>
      </c>
      <c r="R645" s="7">
        <v>0.0774555459561127</v>
      </c>
      <c r="S645" s="7">
        <v>0.1361302025139241</v>
      </c>
      <c r="T645" s="7">
        <v>1.254217876178679</v>
      </c>
    </row>
    <row x14ac:dyDescent="0.25" r="646" customHeight="1" ht="19.5">
      <c r="A646" s="2" t="s">
        <v>1704</v>
      </c>
      <c r="B646" s="2" t="s">
        <v>1060</v>
      </c>
      <c r="C646" s="2" t="s">
        <v>31</v>
      </c>
      <c r="D646" s="2" t="s">
        <v>431</v>
      </c>
      <c r="E646" s="6">
        <v>1</v>
      </c>
      <c r="F646" s="6">
        <v>2</v>
      </c>
      <c r="G646" s="7">
        <v>0.8191990256309509</v>
      </c>
      <c r="H646" s="7">
        <v>46.1239796875</v>
      </c>
      <c r="I646" s="7">
        <v>28.81266951949044</v>
      </c>
      <c r="J646" s="7">
        <v>9.631104308150276</v>
      </c>
      <c r="K646" s="7">
        <v>4.848938847122508</v>
      </c>
      <c r="L646" s="7">
        <v>0.8723175727792575</v>
      </c>
      <c r="M646" s="7">
        <v>0.6981835954542029</v>
      </c>
      <c r="N646" s="7">
        <v>0.3761927961520296</v>
      </c>
      <c r="O646" s="7">
        <v>0.0507940140309471</v>
      </c>
      <c r="P646" s="7">
        <v>9.014120682959684</v>
      </c>
      <c r="Q646" s="7">
        <v>0.0225378939123987</v>
      </c>
      <c r="R646" s="7">
        <v>0.0762719850580836</v>
      </c>
      <c r="S646" s="7">
        <v>0.1335635507045571</v>
      </c>
      <c r="T646" s="7">
        <v>1.206509879769669</v>
      </c>
    </row>
    <row x14ac:dyDescent="0.25" r="647" customHeight="1" ht="19.5">
      <c r="A647" s="2" t="s">
        <v>1705</v>
      </c>
      <c r="B647" s="2" t="s">
        <v>1060</v>
      </c>
      <c r="C647" s="2" t="s">
        <v>31</v>
      </c>
      <c r="D647" s="2" t="s">
        <v>431</v>
      </c>
      <c r="E647" s="6">
        <v>1</v>
      </c>
      <c r="F647" s="6">
        <v>2</v>
      </c>
      <c r="G647" s="7">
        <v>0.8142994046211243</v>
      </c>
      <c r="H647" s="7">
        <v>46.29021718750001</v>
      </c>
      <c r="I647" s="7">
        <v>28.62357362343165</v>
      </c>
      <c r="J647" s="7">
        <v>9.635686888772064</v>
      </c>
      <c r="K647" s="7">
        <v>4.853000648060084</v>
      </c>
      <c r="L647" s="7">
        <v>0.8723803768073418</v>
      </c>
      <c r="M647" s="7">
        <v>0.709988598250427</v>
      </c>
      <c r="N647" s="7">
        <v>0.3779801543411161</v>
      </c>
      <c r="O647" s="7">
        <v>0.0509397588012144</v>
      </c>
      <c r="P647" s="7">
        <v>8.995137156276096</v>
      </c>
      <c r="Q647" s="7">
        <v>0.0233932417029167</v>
      </c>
      <c r="R647" s="7">
        <v>0.0770702193894326</v>
      </c>
      <c r="S647" s="7">
        <v>0.1326368383006591</v>
      </c>
      <c r="T647" s="7">
        <v>1.256812254293807</v>
      </c>
    </row>
    <row x14ac:dyDescent="0.25" r="648" customHeight="1" ht="19.5">
      <c r="A648" s="2" t="s">
        <v>1706</v>
      </c>
      <c r="B648" s="2" t="s">
        <v>1060</v>
      </c>
      <c r="C648" s="2" t="s">
        <v>31</v>
      </c>
      <c r="D648" s="2" t="s">
        <v>431</v>
      </c>
      <c r="E648" s="6">
        <v>1</v>
      </c>
      <c r="F648" s="6">
        <v>2</v>
      </c>
      <c r="G648" s="7">
        <v>0.8131566047668457</v>
      </c>
      <c r="H648" s="7">
        <v>46.17592890625</v>
      </c>
      <c r="I648" s="7">
        <v>28.78411088069226</v>
      </c>
      <c r="J648" s="7">
        <v>9.636722748137563</v>
      </c>
      <c r="K648" s="7">
        <v>4.859095603795003</v>
      </c>
      <c r="L648" s="7">
        <v>0.8723714577552125</v>
      </c>
      <c r="M648" s="7">
        <v>0.7003576339275597</v>
      </c>
      <c r="N648" s="7">
        <v>0.3782891179898441</v>
      </c>
      <c r="O648" s="7">
        <v>0.0509190219197318</v>
      </c>
      <c r="P648" s="7">
        <v>9.004752415357054</v>
      </c>
      <c r="Q648" s="7">
        <v>0.0225261753240344</v>
      </c>
      <c r="R648" s="7">
        <v>0.0773022343597309</v>
      </c>
      <c r="S648" s="7">
        <v>0.1328969028328679</v>
      </c>
      <c r="T648" s="7">
        <v>1.207240734180082</v>
      </c>
    </row>
    <row x14ac:dyDescent="0.25" r="649" customHeight="1" ht="19.5">
      <c r="A649" s="2" t="s">
        <v>1707</v>
      </c>
      <c r="B649" s="2" t="s">
        <v>1060</v>
      </c>
      <c r="C649" s="2" t="s">
        <v>31</v>
      </c>
      <c r="D649" s="2" t="s">
        <v>431</v>
      </c>
      <c r="E649" s="6">
        <v>1</v>
      </c>
      <c r="F649" s="6">
        <v>2</v>
      </c>
      <c r="G649" s="7">
        <v>0.8185771107673645</v>
      </c>
      <c r="H649" s="7">
        <v>46.16900234375</v>
      </c>
      <c r="I649" s="7">
        <v>28.66641158162892</v>
      </c>
      <c r="J649" s="7">
        <v>9.63266753136713</v>
      </c>
      <c r="K649" s="7">
        <v>4.850396988341765</v>
      </c>
      <c r="L649" s="7">
        <v>0.8725991891480859</v>
      </c>
      <c r="M649" s="7">
        <v>0.7060146129110172</v>
      </c>
      <c r="N649" s="7">
        <v>0.3777990330743495</v>
      </c>
      <c r="O649" s="7">
        <v>0.0509380100673778</v>
      </c>
      <c r="P649" s="7">
        <v>9.00666074863312</v>
      </c>
      <c r="Q649" s="7">
        <v>0.0231522294896827</v>
      </c>
      <c r="R649" s="7">
        <v>0.0770103800126265</v>
      </c>
      <c r="S649" s="7">
        <v>0.1348147935118125</v>
      </c>
      <c r="T649" s="7">
        <v>1.240606604229778</v>
      </c>
    </row>
    <row x14ac:dyDescent="0.25" r="650" customHeight="1" ht="19.5">
      <c r="A650" s="2" t="s">
        <v>1708</v>
      </c>
      <c r="B650" s="2" t="s">
        <v>1060</v>
      </c>
      <c r="C650" s="2" t="s">
        <v>31</v>
      </c>
      <c r="D650" s="2" t="s">
        <v>431</v>
      </c>
      <c r="E650" s="6">
        <v>1</v>
      </c>
      <c r="F650" s="6">
        <v>2</v>
      </c>
      <c r="G650" s="7">
        <v>0.8100135326385498</v>
      </c>
      <c r="H650" s="7">
        <v>46.200171875</v>
      </c>
      <c r="I650" s="7">
        <v>28.56890628972124</v>
      </c>
      <c r="J650" s="7">
        <v>9.629882627890574</v>
      </c>
      <c r="K650" s="7">
        <v>4.84531997218017</v>
      </c>
      <c r="L650" s="7">
        <v>0.8720894344425187</v>
      </c>
      <c r="M650" s="7">
        <v>0.7113219759947159</v>
      </c>
      <c r="N650" s="7">
        <v>0.3781850062774883</v>
      </c>
      <c r="O650" s="7">
        <v>0.0507707243868556</v>
      </c>
      <c r="P650" s="7">
        <v>9.004245245133866</v>
      </c>
      <c r="Q650" s="7">
        <v>0.0235205810552616</v>
      </c>
      <c r="R650" s="7">
        <v>0.0764526197628889</v>
      </c>
      <c r="S650" s="7">
        <v>0.1304422647950555</v>
      </c>
      <c r="T650" s="7">
        <v>1.261195515100918</v>
      </c>
    </row>
    <row x14ac:dyDescent="0.25" r="651" customHeight="1" ht="19.5">
      <c r="A651" s="2" t="s">
        <v>1709</v>
      </c>
      <c r="B651" s="2" t="s">
        <v>1060</v>
      </c>
      <c r="C651" s="2" t="s">
        <v>31</v>
      </c>
      <c r="D651" s="2" t="s">
        <v>431</v>
      </c>
      <c r="E651" s="6">
        <v>1</v>
      </c>
      <c r="F651" s="6">
        <v>2</v>
      </c>
      <c r="G651" s="7">
        <v>0.8213720917701721</v>
      </c>
      <c r="H651" s="7">
        <v>45.61487734375</v>
      </c>
      <c r="I651" s="7">
        <v>28.49995963661175</v>
      </c>
      <c r="J651" s="7">
        <v>9.62425995359714</v>
      </c>
      <c r="K651" s="7">
        <v>4.776698312736569</v>
      </c>
      <c r="L651" s="7">
        <v>0.8756361456735372</v>
      </c>
      <c r="M651" s="7">
        <v>0.7057126228023954</v>
      </c>
      <c r="N651" s="7">
        <v>0.3764203393910579</v>
      </c>
      <c r="O651" s="7">
        <v>0.0510251504769749</v>
      </c>
      <c r="P651" s="7">
        <v>8.989978003759898</v>
      </c>
      <c r="Q651" s="7">
        <v>0.0231514190007485</v>
      </c>
      <c r="R651" s="7">
        <v>0.0763912177486593</v>
      </c>
      <c r="S651" s="7">
        <v>0.1314551522878529</v>
      </c>
      <c r="T651" s="7">
        <v>1.225673810645554</v>
      </c>
    </row>
    <row x14ac:dyDescent="0.25" r="652" customHeight="1" ht="19.5">
      <c r="A652" s="2" t="s">
        <v>1710</v>
      </c>
      <c r="B652" s="2" t="s">
        <v>1060</v>
      </c>
      <c r="C652" s="2" t="s">
        <v>31</v>
      </c>
      <c r="D652" s="2" t="s">
        <v>431</v>
      </c>
      <c r="E652" s="6">
        <v>1</v>
      </c>
      <c r="F652" s="6">
        <v>2</v>
      </c>
      <c r="G652" s="7">
        <v>0.8142368197441101</v>
      </c>
      <c r="H652" s="7">
        <v>46.1932453125</v>
      </c>
      <c r="I652" s="7">
        <v>28.54871228256559</v>
      </c>
      <c r="J652" s="7">
        <v>9.635289902852472</v>
      </c>
      <c r="K652" s="7">
        <v>4.855082417477883</v>
      </c>
      <c r="L652" s="7">
        <v>0.8724107726371123</v>
      </c>
      <c r="M652" s="7">
        <v>0.7122218469674889</v>
      </c>
      <c r="N652" s="7">
        <v>0.3788569728689295</v>
      </c>
      <c r="O652" s="7">
        <v>0.0509650648989858</v>
      </c>
      <c r="P652" s="7">
        <v>9.0018563735842</v>
      </c>
      <c r="Q652" s="7">
        <v>0.0225428045703357</v>
      </c>
      <c r="R652" s="7">
        <v>0.0780517749906622</v>
      </c>
      <c r="S652" s="7">
        <v>0.1356863622115036</v>
      </c>
      <c r="T652" s="7">
        <v>1.208585002800858</v>
      </c>
    </row>
    <row x14ac:dyDescent="0.25" r="653" customHeight="1" ht="19.5">
      <c r="A653" s="2" t="s">
        <v>1711</v>
      </c>
      <c r="B653" s="2" t="s">
        <v>1060</v>
      </c>
      <c r="C653" s="2" t="s">
        <v>31</v>
      </c>
      <c r="D653" s="2" t="s">
        <v>431</v>
      </c>
      <c r="E653" s="6">
        <v>1</v>
      </c>
      <c r="F653" s="6">
        <v>2</v>
      </c>
      <c r="G653" s="7">
        <v>0.8120231628417969</v>
      </c>
      <c r="H653" s="7">
        <v>46.3317765625</v>
      </c>
      <c r="I653" s="7">
        <v>28.65213226222983</v>
      </c>
      <c r="J653" s="7">
        <v>9.66660071893592</v>
      </c>
      <c r="K653" s="7">
        <v>4.821799883534427</v>
      </c>
      <c r="L653" s="7">
        <v>0.8726549908782221</v>
      </c>
      <c r="M653" s="7">
        <v>0.709210117856199</v>
      </c>
      <c r="N653" s="7">
        <v>0.4148618306494115</v>
      </c>
      <c r="O653" s="7">
        <v>0.0550347033831745</v>
      </c>
      <c r="P653" s="7">
        <v>8.818250208316408</v>
      </c>
      <c r="Q653" s="7">
        <v>0.0217770496713577</v>
      </c>
      <c r="R653" s="7">
        <v>0.0741712027630635</v>
      </c>
      <c r="S653" s="7">
        <v>0.1309505237978698</v>
      </c>
      <c r="T653" s="7">
        <v>1.171032032721737</v>
      </c>
    </row>
    <row x14ac:dyDescent="0.25" r="654" customHeight="1" ht="19.5">
      <c r="A654" s="2" t="s">
        <v>1712</v>
      </c>
      <c r="B654" s="2" t="s">
        <v>1060</v>
      </c>
      <c r="C654" s="2" t="s">
        <v>31</v>
      </c>
      <c r="D654" s="2" t="s">
        <v>431</v>
      </c>
      <c r="E654" s="6">
        <v>1</v>
      </c>
      <c r="F654" s="6">
        <v>2</v>
      </c>
      <c r="G654" s="7">
        <v>0.3585051298141479</v>
      </c>
      <c r="H654" s="7">
        <v>13.78039609375</v>
      </c>
      <c r="I654" s="7">
        <v>14.82419699422345</v>
      </c>
      <c r="J654" s="7">
        <v>4.569318048943352</v>
      </c>
      <c r="K654" s="7">
        <v>3.018454408519333</v>
      </c>
      <c r="L654" s="7">
        <v>0.7384668276176176</v>
      </c>
      <c r="M654" s="7">
        <v>0.7880054292112367</v>
      </c>
      <c r="N654" s="7">
        <v>0.5379373726718498</v>
      </c>
      <c r="O654" s="7">
        <v>0.1078003617366808</v>
      </c>
      <c r="P654" s="7">
        <v>6.901281687575021</v>
      </c>
      <c r="Q654" s="7">
        <v>0.012045566287071</v>
      </c>
      <c r="R654" s="7">
        <v>0.0429162041246908</v>
      </c>
      <c r="S654" s="7">
        <v>0.0648285893593999</v>
      </c>
      <c r="T654" s="7">
        <v>0.1926547418075816</v>
      </c>
    </row>
    <row x14ac:dyDescent="0.25" r="655" customHeight="1" ht="19.5">
      <c r="A655" s="2" t="s">
        <v>1713</v>
      </c>
      <c r="B655" s="2" t="s">
        <v>1060</v>
      </c>
      <c r="C655" s="2" t="s">
        <v>31</v>
      </c>
      <c r="D655" s="2" t="s">
        <v>431</v>
      </c>
      <c r="E655" s="6">
        <v>1</v>
      </c>
      <c r="F655" s="6">
        <v>2</v>
      </c>
      <c r="G655" s="7">
        <v>0.6310310363769531</v>
      </c>
      <c r="H655" s="7">
        <v>43.00356328125</v>
      </c>
      <c r="I655" s="7">
        <v>29.51157704015393</v>
      </c>
      <c r="J655" s="7">
        <v>9.141364382151394</v>
      </c>
      <c r="K655" s="7">
        <v>5.114076667494032</v>
      </c>
      <c r="L655" s="7">
        <v>0.8565688029389776</v>
      </c>
      <c r="M655" s="7">
        <v>0.6204824052109521</v>
      </c>
      <c r="N655" s="7">
        <v>0.5295939975376871</v>
      </c>
      <c r="O655" s="7">
        <v>0.0732260415213796</v>
      </c>
      <c r="P655" s="7">
        <v>8.21299440186695</v>
      </c>
      <c r="Q655" s="7">
        <v>0.0364281130454927</v>
      </c>
      <c r="R655" s="7">
        <v>0.0713775604318666</v>
      </c>
      <c r="S655" s="7">
        <v>0.0898136138769959</v>
      </c>
      <c r="T655" s="7">
        <v>1.818159160723566</v>
      </c>
    </row>
    <row x14ac:dyDescent="0.25" r="656" customHeight="1" ht="19.5">
      <c r="A656" s="2" t="s">
        <v>1714</v>
      </c>
      <c r="B656" s="2" t="s">
        <v>1060</v>
      </c>
      <c r="C656" s="2" t="s">
        <v>31</v>
      </c>
      <c r="D656" s="2" t="s">
        <v>431</v>
      </c>
      <c r="E656" s="6">
        <v>1</v>
      </c>
      <c r="F656" s="6">
        <v>2</v>
      </c>
      <c r="G656" s="7">
        <v>0.7812288999557495</v>
      </c>
      <c r="H656" s="7">
        <v>45.0295828125</v>
      </c>
      <c r="I656" s="7">
        <v>28.73535823473842</v>
      </c>
      <c r="J656" s="7">
        <v>9.670874129257731</v>
      </c>
      <c r="K656" s="7">
        <v>4.705660242908874</v>
      </c>
      <c r="L656" s="7">
        <v>0.8822399945325328</v>
      </c>
      <c r="M656" s="7">
        <v>0.6852902547763986</v>
      </c>
      <c r="N656" s="7">
        <v>0.477268840066413</v>
      </c>
      <c r="O656" s="7">
        <v>0.062697352944453</v>
      </c>
      <c r="P656" s="7">
        <v>8.480690670193546</v>
      </c>
      <c r="Q656" s="7">
        <v>0.0409783138946888</v>
      </c>
      <c r="R656" s="7">
        <v>0.0920541341318819</v>
      </c>
      <c r="S656" s="7">
        <v>0.1259714337661338</v>
      </c>
      <c r="T656" s="7">
        <v>2.141621845747301</v>
      </c>
    </row>
    <row x14ac:dyDescent="0.25" r="657" customHeight="1" ht="19.5">
      <c r="A657" s="2" t="s">
        <v>1715</v>
      </c>
      <c r="B657" s="2" t="s">
        <v>1060</v>
      </c>
      <c r="C657" s="2" t="s">
        <v>31</v>
      </c>
      <c r="D657" s="2" t="s">
        <v>431</v>
      </c>
      <c r="E657" s="6">
        <v>1</v>
      </c>
      <c r="F657" s="6">
        <v>2</v>
      </c>
      <c r="G657" s="7">
        <v>0.8208433985710144</v>
      </c>
      <c r="H657" s="7">
        <v>44.454678125</v>
      </c>
      <c r="I657" s="7">
        <v>28.64030288671671</v>
      </c>
      <c r="J657" s="7">
        <v>9.664962092816822</v>
      </c>
      <c r="K657" s="7">
        <v>4.621414576394201</v>
      </c>
      <c r="L657" s="7">
        <v>0.8851136775400354</v>
      </c>
      <c r="M657" s="7">
        <v>0.6810392168552208</v>
      </c>
      <c r="N657" s="7">
        <v>0.4298916471709795</v>
      </c>
      <c r="O657" s="7">
        <v>0.0563582131130575</v>
      </c>
      <c r="P657" s="7">
        <v>8.785876131816767</v>
      </c>
      <c r="Q657" s="7">
        <v>0.0451163276050966</v>
      </c>
      <c r="R657" s="7">
        <v>0.1012093062999847</v>
      </c>
      <c r="S657" s="7">
        <v>0.1535475994608454</v>
      </c>
      <c r="T657" s="7">
        <v>2.32778031748755</v>
      </c>
    </row>
    <row x14ac:dyDescent="0.25" r="658" customHeight="1" ht="19.5">
      <c r="A658" s="2" t="s">
        <v>1716</v>
      </c>
      <c r="B658" s="2" t="s">
        <v>1060</v>
      </c>
      <c r="C658" s="2" t="s">
        <v>31</v>
      </c>
      <c r="D658" s="2" t="s">
        <v>431</v>
      </c>
      <c r="E658" s="6">
        <v>1</v>
      </c>
      <c r="F658" s="6">
        <v>2</v>
      </c>
      <c r="G658" s="7">
        <v>0.8155332803726196</v>
      </c>
      <c r="H658" s="7">
        <v>44.22956484375</v>
      </c>
      <c r="I658" s="7">
        <v>28.7235288592253</v>
      </c>
      <c r="J658" s="7">
        <v>9.702596306300393</v>
      </c>
      <c r="K658" s="7">
        <v>4.654487028051857</v>
      </c>
      <c r="L658" s="7">
        <v>0.8862977666972344</v>
      </c>
      <c r="M658" s="7">
        <v>0.6736695870257993</v>
      </c>
      <c r="N658" s="7">
        <v>0.3938708120056545</v>
      </c>
      <c r="O658" s="7">
        <v>0.0525111023499273</v>
      </c>
      <c r="P658" s="7">
        <v>8.9606116471857</v>
      </c>
      <c r="Q658" s="7">
        <v>0.0448109086626499</v>
      </c>
      <c r="R658" s="7">
        <v>0.1007831651324478</v>
      </c>
      <c r="S658" s="7">
        <v>0.1509308692157319</v>
      </c>
      <c r="T658" s="7">
        <v>2.300314394630051</v>
      </c>
    </row>
    <row x14ac:dyDescent="0.25" r="659" customHeight="1" ht="19.5">
      <c r="A659" s="2" t="s">
        <v>1717</v>
      </c>
      <c r="B659" s="2" t="s">
        <v>1060</v>
      </c>
      <c r="C659" s="2" t="s">
        <v>31</v>
      </c>
      <c r="D659" s="2" t="s">
        <v>431</v>
      </c>
      <c r="E659" s="6">
        <v>1</v>
      </c>
      <c r="F659" s="6">
        <v>2</v>
      </c>
      <c r="G659" s="7">
        <v>0.8176162838935852</v>
      </c>
      <c r="H659" s="7">
        <v>44.30229375</v>
      </c>
      <c r="I659" s="7">
        <v>28.66049689387236</v>
      </c>
      <c r="J659" s="7">
        <v>9.667732883967371</v>
      </c>
      <c r="K659" s="7">
        <v>4.625827008568315</v>
      </c>
      <c r="L659" s="7">
        <v>0.8863689386402201</v>
      </c>
      <c r="M659" s="7">
        <v>0.6777486250892176</v>
      </c>
      <c r="N659" s="7">
        <v>0.3960142515680542</v>
      </c>
      <c r="O659" s="7">
        <v>0.052505553694147</v>
      </c>
      <c r="P659" s="7">
        <v>8.963021556975093</v>
      </c>
      <c r="Q659" s="7">
        <v>0.0439685607347375</v>
      </c>
      <c r="R659" s="7">
        <v>0.0996531040992003</v>
      </c>
      <c r="S659" s="7">
        <v>0.1535376806078618</v>
      </c>
      <c r="T659" s="7">
        <v>2.260784891193436</v>
      </c>
    </row>
    <row x14ac:dyDescent="0.25" r="660" customHeight="1" ht="19.5">
      <c r="A660" s="2" t="s">
        <v>1718</v>
      </c>
      <c r="B660" s="2" t="s">
        <v>1060</v>
      </c>
      <c r="C660" s="2" t="s">
        <v>31</v>
      </c>
      <c r="D660" s="2" t="s">
        <v>431</v>
      </c>
      <c r="E660" s="6">
        <v>1</v>
      </c>
      <c r="F660" s="6">
        <v>2</v>
      </c>
      <c r="G660" s="7">
        <v>0.8198491334915161</v>
      </c>
      <c r="H660" s="7">
        <v>44.565503125</v>
      </c>
      <c r="I660" s="7">
        <v>28.67477621327146</v>
      </c>
      <c r="J660" s="7">
        <v>9.685844552592382</v>
      </c>
      <c r="K660" s="7">
        <v>4.693372553302001</v>
      </c>
      <c r="L660" s="7">
        <v>0.8841613765014157</v>
      </c>
      <c r="M660" s="7">
        <v>0.6810964292966931</v>
      </c>
      <c r="N660" s="7">
        <v>0.396202912077608</v>
      </c>
      <c r="O660" s="7">
        <v>0.0527201790928664</v>
      </c>
      <c r="P660" s="7">
        <v>8.977740672818129</v>
      </c>
      <c r="Q660" s="7">
        <v>0.0436446236438946</v>
      </c>
      <c r="R660" s="7">
        <v>0.099250234289375</v>
      </c>
      <c r="S660" s="7">
        <v>0.1526682151176898</v>
      </c>
      <c r="T660" s="7">
        <v>2.257461471078164</v>
      </c>
    </row>
    <row x14ac:dyDescent="0.25" r="661" customHeight="1" ht="19.5">
      <c r="A661" s="2" t="s">
        <v>1719</v>
      </c>
      <c r="B661" s="2" t="s">
        <v>1060</v>
      </c>
      <c r="C661" s="2" t="s">
        <v>31</v>
      </c>
      <c r="D661" s="2" t="s">
        <v>431</v>
      </c>
      <c r="E661" s="6">
        <v>1</v>
      </c>
      <c r="F661" s="6">
        <v>2</v>
      </c>
      <c r="G661" s="7">
        <v>0.8215904235839844</v>
      </c>
      <c r="H661" s="7">
        <v>43.98367187500001</v>
      </c>
      <c r="I661" s="7">
        <v>28.64030288671671</v>
      </c>
      <c r="J661" s="7">
        <v>9.704042569281132</v>
      </c>
      <c r="K661" s="7">
        <v>4.655954883205247</v>
      </c>
      <c r="L661" s="7">
        <v>0.8872064667203473</v>
      </c>
      <c r="M661" s="7">
        <v>0.6738234694656672</v>
      </c>
      <c r="N661" s="7">
        <v>0.3985039509756142</v>
      </c>
      <c r="O661" s="7">
        <v>0.0531883858739451</v>
      </c>
      <c r="P661" s="7">
        <v>8.95891427361492</v>
      </c>
      <c r="Q661" s="7">
        <v>0.0439933244373399</v>
      </c>
      <c r="R661" s="7">
        <v>0.09987316445396</v>
      </c>
      <c r="S661" s="7">
        <v>0.1541269665114666</v>
      </c>
      <c r="T661" s="7">
        <v>2.245789485335605</v>
      </c>
    </row>
    <row x14ac:dyDescent="0.25" r="662" customHeight="1" ht="19.5">
      <c r="A662" s="2" t="s">
        <v>1720</v>
      </c>
      <c r="B662" s="2" t="s">
        <v>1060</v>
      </c>
      <c r="C662" s="2" t="s">
        <v>31</v>
      </c>
      <c r="D662" s="2" t="s">
        <v>431</v>
      </c>
      <c r="E662" s="6">
        <v>1</v>
      </c>
      <c r="F662" s="6">
        <v>2</v>
      </c>
      <c r="G662" s="7">
        <v>0.8213276863098145</v>
      </c>
      <c r="H662" s="7">
        <v>44.20185859375</v>
      </c>
      <c r="I662" s="7">
        <v>28.62602356731762</v>
      </c>
      <c r="J662" s="7">
        <v>9.695530973197368</v>
      </c>
      <c r="K662" s="7">
        <v>4.647527963266078</v>
      </c>
      <c r="L662" s="7">
        <v>0.8865970321187471</v>
      </c>
      <c r="M662" s="7">
        <v>0.6778417988558748</v>
      </c>
      <c r="N662" s="7">
        <v>0.3948170411622231</v>
      </c>
      <c r="O662" s="7">
        <v>0.0526545629367769</v>
      </c>
      <c r="P662" s="7">
        <v>8.958379011566743</v>
      </c>
      <c r="Q662" s="7">
        <v>0.0448918255740652</v>
      </c>
      <c r="R662" s="7">
        <v>0.1009050405781656</v>
      </c>
      <c r="S662" s="7">
        <v>0.1501766186094246</v>
      </c>
      <c r="T662" s="7">
        <v>2.303024604309489</v>
      </c>
    </row>
    <row x14ac:dyDescent="0.25" r="663" customHeight="1" ht="19.5">
      <c r="A663" s="2" t="s">
        <v>1721</v>
      </c>
      <c r="B663" s="2" t="s">
        <v>1060</v>
      </c>
      <c r="C663" s="2" t="s">
        <v>31</v>
      </c>
      <c r="D663" s="2" t="s">
        <v>431</v>
      </c>
      <c r="E663" s="6">
        <v>1</v>
      </c>
      <c r="F663" s="6">
        <v>2</v>
      </c>
      <c r="G663" s="7">
        <v>0.820589005947113</v>
      </c>
      <c r="H663" s="7">
        <v>44.205321875</v>
      </c>
      <c r="I663" s="7">
        <v>28.68905553267055</v>
      </c>
      <c r="J663" s="7">
        <v>9.68776436991165</v>
      </c>
      <c r="K663" s="7">
        <v>4.637396438453049</v>
      </c>
      <c r="L663" s="7">
        <v>0.8866455259338347</v>
      </c>
      <c r="M663" s="7">
        <v>0.6749194110954956</v>
      </c>
      <c r="N663" s="7">
        <v>0.3976943308751368</v>
      </c>
      <c r="O663" s="7">
        <v>0.0530202460842631</v>
      </c>
      <c r="P663" s="7">
        <v>8.948378254095921</v>
      </c>
      <c r="Q663" s="7">
        <v>0.0451560898436795</v>
      </c>
      <c r="R663" s="7">
        <v>0.101266624269604</v>
      </c>
      <c r="S663" s="7">
        <v>0.1551552399664776</v>
      </c>
      <c r="T663" s="7">
        <v>2.316763304298673</v>
      </c>
    </row>
    <row x14ac:dyDescent="0.25" r="664" customHeight="1" ht="19.5">
      <c r="A664" s="2" t="s">
        <v>1722</v>
      </c>
      <c r="B664" s="2" t="s">
        <v>1060</v>
      </c>
      <c r="C664" s="2" t="s">
        <v>31</v>
      </c>
      <c r="D664" s="2" t="s">
        <v>431</v>
      </c>
      <c r="E664" s="6">
        <v>1</v>
      </c>
      <c r="F664" s="6">
        <v>2</v>
      </c>
      <c r="G664" s="7">
        <v>0.817571222782135</v>
      </c>
      <c r="H664" s="7">
        <v>44.440825</v>
      </c>
      <c r="I664" s="7">
        <v>28.68905553267055</v>
      </c>
      <c r="J664" s="7">
        <v>9.662466973384728</v>
      </c>
      <c r="K664" s="7">
        <v>4.616835427849946</v>
      </c>
      <c r="L664" s="7">
        <v>0.8843668090039709</v>
      </c>
      <c r="M664" s="7">
        <v>0.6785150331539799</v>
      </c>
      <c r="N664" s="7">
        <v>0.398008586556322</v>
      </c>
      <c r="O664" s="7">
        <v>0.0531432205700754</v>
      </c>
      <c r="P664" s="7">
        <v>8.92723354889429</v>
      </c>
      <c r="Q664" s="7">
        <v>0.0436265794580534</v>
      </c>
      <c r="R664" s="7">
        <v>0.1003626930039461</v>
      </c>
      <c r="S664" s="7">
        <v>0.1533819644522163</v>
      </c>
      <c r="T664" s="7">
        <v>2.250215211090426</v>
      </c>
    </row>
    <row x14ac:dyDescent="0.25" r="665" customHeight="1" ht="19.5">
      <c r="A665" s="2" t="s">
        <v>1723</v>
      </c>
      <c r="B665" s="2" t="s">
        <v>1060</v>
      </c>
      <c r="C665" s="2" t="s">
        <v>31</v>
      </c>
      <c r="D665" s="2" t="s">
        <v>431</v>
      </c>
      <c r="E665" s="6">
        <v>1</v>
      </c>
      <c r="F665" s="6">
        <v>2</v>
      </c>
      <c r="G665" s="7">
        <v>0.8171079158782959</v>
      </c>
      <c r="H665" s="7">
        <v>44.28497734375</v>
      </c>
      <c r="I665" s="7">
        <v>28.73780817862439</v>
      </c>
      <c r="J665" s="7">
        <v>9.696745282502606</v>
      </c>
      <c r="K665" s="7">
        <v>4.662963708707585</v>
      </c>
      <c r="L665" s="7">
        <v>0.885822621026253</v>
      </c>
      <c r="M665" s="7">
        <v>0.6738434444787499</v>
      </c>
      <c r="N665" s="7">
        <v>0.3977063818103881</v>
      </c>
      <c r="O665" s="7">
        <v>0.0530292895031434</v>
      </c>
      <c r="P665" s="7">
        <v>8.940593172349233</v>
      </c>
      <c r="Q665" s="7">
        <v>0.0445329355849761</v>
      </c>
      <c r="R665" s="7">
        <v>0.1009965767643598</v>
      </c>
      <c r="S665" s="7">
        <v>0.1550198137297519</v>
      </c>
      <c r="T665" s="7">
        <v>2.288909024267475</v>
      </c>
    </row>
    <row x14ac:dyDescent="0.25" r="666" customHeight="1" ht="19.5">
      <c r="A666" s="2" t="s">
        <v>1724</v>
      </c>
      <c r="B666" s="2" t="s">
        <v>1060</v>
      </c>
      <c r="C666" s="2" t="s">
        <v>31</v>
      </c>
      <c r="D666" s="2" t="s">
        <v>431</v>
      </c>
      <c r="E666" s="6">
        <v>1</v>
      </c>
      <c r="F666" s="6">
        <v>2</v>
      </c>
      <c r="G666" s="7">
        <v>0.8176727890968323</v>
      </c>
      <c r="H666" s="7">
        <v>44.09103359375001</v>
      </c>
      <c r="I666" s="7">
        <v>28.52260358765337</v>
      </c>
      <c r="J666" s="7">
        <v>9.6838960110201</v>
      </c>
      <c r="K666" s="7">
        <v>4.650052533800549</v>
      </c>
      <c r="L666" s="7">
        <v>0.8862020888678092</v>
      </c>
      <c r="M666" s="7">
        <v>0.6810544135116858</v>
      </c>
      <c r="N666" s="7">
        <v>0.3989412151479283</v>
      </c>
      <c r="O666" s="7">
        <v>0.0531585695566804</v>
      </c>
      <c r="P666" s="7">
        <v>8.947025738967753</v>
      </c>
      <c r="Q666" s="7">
        <v>0.0431940554651574</v>
      </c>
      <c r="R666" s="7">
        <v>0.0980652854634791</v>
      </c>
      <c r="S666" s="7">
        <v>0.1509550839524815</v>
      </c>
      <c r="T666" s="7">
        <v>2.210370325453316</v>
      </c>
    </row>
    <row x14ac:dyDescent="0.25" r="667" customHeight="1" ht="19.5">
      <c r="A667" s="2" t="s">
        <v>1725</v>
      </c>
      <c r="B667" s="2" t="s">
        <v>1060</v>
      </c>
      <c r="C667" s="2" t="s">
        <v>31</v>
      </c>
      <c r="D667" s="2" t="s">
        <v>431</v>
      </c>
      <c r="E667" s="6">
        <v>1</v>
      </c>
      <c r="F667" s="6">
        <v>2</v>
      </c>
      <c r="G667" s="7">
        <v>0.8216944336891174</v>
      </c>
      <c r="H667" s="7">
        <v>44.2815140625</v>
      </c>
      <c r="I667" s="7">
        <v>28.49404494885519</v>
      </c>
      <c r="J667" s="7">
        <v>9.681075180765449</v>
      </c>
      <c r="K667" s="7">
        <v>4.629308460610506</v>
      </c>
      <c r="L667" s="7">
        <v>0.8860894267173295</v>
      </c>
      <c r="M667" s="7">
        <v>0.6853684614479488</v>
      </c>
      <c r="N667" s="7">
        <v>0.4000270777464588</v>
      </c>
      <c r="O667" s="7">
        <v>0.0531569821006375</v>
      </c>
      <c r="P667" s="7">
        <v>8.942351957699557</v>
      </c>
      <c r="Q667" s="7">
        <v>0.0439588126601134</v>
      </c>
      <c r="R667" s="7">
        <v>0.09956008266275</v>
      </c>
      <c r="S667" s="7">
        <v>0.1530285513508493</v>
      </c>
      <c r="T667" s="7">
        <v>2.259223492027096</v>
      </c>
    </row>
    <row x14ac:dyDescent="0.25" r="668" customHeight="1" ht="19.5">
      <c r="A668" s="2" t="s">
        <v>1726</v>
      </c>
      <c r="B668" s="2" t="s">
        <v>1060</v>
      </c>
      <c r="C668" s="2" t="s">
        <v>31</v>
      </c>
      <c r="D668" s="2" t="s">
        <v>431</v>
      </c>
      <c r="E668" s="6">
        <v>1</v>
      </c>
      <c r="F668" s="6">
        <v>2</v>
      </c>
      <c r="G668" s="7">
        <v>0.8246658444404602</v>
      </c>
      <c r="H668" s="7">
        <v>44.09796015625</v>
      </c>
      <c r="I668" s="7">
        <v>28.4108189763466</v>
      </c>
      <c r="J668" s="7">
        <v>9.70170580600325</v>
      </c>
      <c r="K668" s="7">
        <v>4.677887278859718</v>
      </c>
      <c r="L668" s="7">
        <v>0.8870809501533808</v>
      </c>
      <c r="M668" s="7">
        <v>0.6865321167143839</v>
      </c>
      <c r="N668" s="7">
        <v>0.4048474559521811</v>
      </c>
      <c r="O668" s="7">
        <v>0.0540092357073727</v>
      </c>
      <c r="P668" s="7">
        <v>8.907602196174874</v>
      </c>
      <c r="Q668" s="7">
        <v>0.0447144782544696</v>
      </c>
      <c r="R668" s="7">
        <v>0.0998296126065399</v>
      </c>
      <c r="S668" s="7">
        <v>0.1518979837536695</v>
      </c>
      <c r="T668" s="7">
        <v>2.288534418493272</v>
      </c>
    </row>
    <row x14ac:dyDescent="0.25" r="669" customHeight="1" ht="19.5">
      <c r="A669" s="2" t="s">
        <v>1727</v>
      </c>
      <c r="B669" s="2" t="s">
        <v>1060</v>
      </c>
      <c r="C669" s="2" t="s">
        <v>31</v>
      </c>
      <c r="D669" s="2" t="s">
        <v>431</v>
      </c>
      <c r="E669" s="6">
        <v>1</v>
      </c>
      <c r="F669" s="6">
        <v>2</v>
      </c>
      <c r="G669" s="7">
        <v>0.8177921772003174</v>
      </c>
      <c r="H669" s="7">
        <v>44.73520390625</v>
      </c>
      <c r="I669" s="7">
        <v>28.79247551233479</v>
      </c>
      <c r="J669" s="7">
        <v>9.674379495790625</v>
      </c>
      <c r="K669" s="7">
        <v>4.677948800463945</v>
      </c>
      <c r="L669" s="7">
        <v>0.8837063897491813</v>
      </c>
      <c r="M669" s="7">
        <v>0.6781117550990022</v>
      </c>
      <c r="N669" s="7">
        <v>0.395597959483175</v>
      </c>
      <c r="O669" s="7">
        <v>0.0526266006375385</v>
      </c>
      <c r="P669" s="7">
        <v>8.963704800845857</v>
      </c>
      <c r="Q669" s="7">
        <v>0.044569288856273</v>
      </c>
      <c r="R669" s="7">
        <v>0.1004097725485635</v>
      </c>
      <c r="S669" s="7">
        <v>0.1545820158164865</v>
      </c>
      <c r="T669" s="7">
        <v>2.314066876336091</v>
      </c>
    </row>
    <row x14ac:dyDescent="0.25" r="670" customHeight="1" ht="19.5">
      <c r="A670" s="2" t="s">
        <v>1728</v>
      </c>
      <c r="B670" s="2" t="s">
        <v>1060</v>
      </c>
      <c r="C670" s="2" t="s">
        <v>31</v>
      </c>
      <c r="D670" s="2" t="s">
        <v>431</v>
      </c>
      <c r="E670" s="6">
        <v>1</v>
      </c>
      <c r="F670" s="6">
        <v>2</v>
      </c>
      <c r="G670" s="7">
        <v>0.8169128894805908</v>
      </c>
      <c r="H670" s="7">
        <v>44.38194921875</v>
      </c>
      <c r="I670" s="7">
        <v>28.59155024076287</v>
      </c>
      <c r="J670" s="7">
        <v>9.68126779636966</v>
      </c>
      <c r="K670" s="7">
        <v>4.656747144326494</v>
      </c>
      <c r="L670" s="7">
        <v>0.8854721834138034</v>
      </c>
      <c r="M670" s="7">
        <v>0.6822457345308989</v>
      </c>
      <c r="N670" s="7">
        <v>0.397394732860649</v>
      </c>
      <c r="O670" s="7">
        <v>0.0531677623702583</v>
      </c>
      <c r="P670" s="7">
        <v>8.921937050844225</v>
      </c>
      <c r="Q670" s="7">
        <v>0.0453789938199213</v>
      </c>
      <c r="R670" s="7">
        <v>0.1012791652218259</v>
      </c>
      <c r="S670" s="7">
        <v>0.1530419262342754</v>
      </c>
      <c r="T670" s="7">
        <v>2.337502125020026</v>
      </c>
    </row>
    <row x14ac:dyDescent="0.25" r="671" customHeight="1" ht="19.5">
      <c r="A671" s="2" t="s">
        <v>1729</v>
      </c>
      <c r="B671" s="2" t="s">
        <v>1060</v>
      </c>
      <c r="C671" s="2" t="s">
        <v>31</v>
      </c>
      <c r="D671" s="2" t="s">
        <v>431</v>
      </c>
      <c r="E671" s="6">
        <v>1</v>
      </c>
      <c r="F671" s="6">
        <v>2</v>
      </c>
      <c r="G671" s="7">
        <v>0.8188751935958862</v>
      </c>
      <c r="H671" s="7">
        <v>44.80100625</v>
      </c>
      <c r="I671" s="7">
        <v>29.03623874210399</v>
      </c>
      <c r="J671" s="7">
        <v>9.653043519556665</v>
      </c>
      <c r="K671" s="7">
        <v>4.656179487963732</v>
      </c>
      <c r="L671" s="7">
        <v>0.8823434414222237</v>
      </c>
      <c r="M671" s="7">
        <v>0.6677546413669008</v>
      </c>
      <c r="N671" s="7">
        <v>0.396412019453902</v>
      </c>
      <c r="O671" s="7">
        <v>0.0528087019021729</v>
      </c>
      <c r="P671" s="7">
        <v>8.955317197236317</v>
      </c>
      <c r="Q671" s="7">
        <v>0.0447416982054075</v>
      </c>
      <c r="R671" s="7">
        <v>0.1024608915355086</v>
      </c>
      <c r="S671" s="7">
        <v>0.1521560475128961</v>
      </c>
      <c r="T671" s="7">
        <v>2.326435480540817</v>
      </c>
    </row>
    <row x14ac:dyDescent="0.25" r="672" customHeight="1" ht="19.5">
      <c r="A672" s="2" t="s">
        <v>1730</v>
      </c>
      <c r="B672" s="2" t="s">
        <v>1060</v>
      </c>
      <c r="C672" s="2" t="s">
        <v>31</v>
      </c>
      <c r="D672" s="2" t="s">
        <v>431</v>
      </c>
      <c r="E672" s="6">
        <v>1</v>
      </c>
      <c r="F672" s="6">
        <v>2</v>
      </c>
      <c r="G672" s="7">
        <v>0.8176863789558411</v>
      </c>
      <c r="H672" s="7">
        <v>44.8356390625</v>
      </c>
      <c r="I672" s="7">
        <v>28.7092495398262</v>
      </c>
      <c r="J672" s="7">
        <v>9.702606336246738</v>
      </c>
      <c r="K672" s="7">
        <v>4.714281321817472</v>
      </c>
      <c r="L672" s="7">
        <v>0.8835276543345135</v>
      </c>
      <c r="M672" s="7">
        <v>0.6835803151619319</v>
      </c>
      <c r="N672" s="7">
        <v>0.3954077144852095</v>
      </c>
      <c r="O672" s="7">
        <v>0.0529831382095753</v>
      </c>
      <c r="P672" s="7">
        <v>8.941615062940514</v>
      </c>
      <c r="Q672" s="7">
        <v>0.0440293449948809</v>
      </c>
      <c r="R672" s="7">
        <v>0.0995492748949092</v>
      </c>
      <c r="S672" s="7">
        <v>0.1525860285777267</v>
      </c>
      <c r="T672" s="7">
        <v>2.291165014425113</v>
      </c>
    </row>
    <row x14ac:dyDescent="0.25" r="673" customHeight="1" ht="19.5">
      <c r="A673" s="2" t="s">
        <v>1731</v>
      </c>
      <c r="B673" s="2" t="s">
        <v>1060</v>
      </c>
      <c r="C673" s="2" t="s">
        <v>31</v>
      </c>
      <c r="D673" s="2" t="s">
        <v>431</v>
      </c>
      <c r="E673" s="6">
        <v>1</v>
      </c>
      <c r="F673" s="6">
        <v>2</v>
      </c>
      <c r="G673" s="7">
        <v>0.8151362538337708</v>
      </c>
      <c r="H673" s="7">
        <v>44.3507796875</v>
      </c>
      <c r="I673" s="7">
        <v>28.56299160196469</v>
      </c>
      <c r="J673" s="7">
        <v>9.689635962438809</v>
      </c>
      <c r="K673" s="7">
        <v>4.668832327115397</v>
      </c>
      <c r="L673" s="7">
        <v>0.8861472535374463</v>
      </c>
      <c r="M673" s="7">
        <v>0.6831305989436761</v>
      </c>
      <c r="N673" s="7">
        <v>0.3987082071348229</v>
      </c>
      <c r="O673" s="7">
        <v>0.0531053803419314</v>
      </c>
      <c r="P673" s="7">
        <v>8.924799474489436</v>
      </c>
      <c r="Q673" s="7">
        <v>0.0431966251533927</v>
      </c>
      <c r="R673" s="7">
        <v>0.0998411470841721</v>
      </c>
      <c r="S673" s="7">
        <v>0.1536010762704062</v>
      </c>
      <c r="T673" s="7">
        <v>2.223524181937753</v>
      </c>
    </row>
    <row x14ac:dyDescent="0.25" r="674" customHeight="1" ht="19.5">
      <c r="A674" s="2" t="s">
        <v>1732</v>
      </c>
      <c r="B674" s="2" t="s">
        <v>1060</v>
      </c>
      <c r="C674" s="2" t="s">
        <v>31</v>
      </c>
      <c r="D674" s="2" t="s">
        <v>431</v>
      </c>
      <c r="E674" s="6">
        <v>1</v>
      </c>
      <c r="F674" s="6">
        <v>2</v>
      </c>
      <c r="G674" s="7">
        <v>0.8159555196762085</v>
      </c>
      <c r="H674" s="7">
        <v>44.50662734375</v>
      </c>
      <c r="I674" s="7">
        <v>28.84122815828864</v>
      </c>
      <c r="J674" s="7">
        <v>9.656766292697474</v>
      </c>
      <c r="K674" s="7">
        <v>4.604109910472255</v>
      </c>
      <c r="L674" s="7">
        <v>0.8844634711008197</v>
      </c>
      <c r="M674" s="7">
        <v>0.6723680201225537</v>
      </c>
      <c r="N674" s="7">
        <v>0.3962182674270069</v>
      </c>
      <c r="O674" s="7">
        <v>0.0528815019817287</v>
      </c>
      <c r="P674" s="7">
        <v>8.922262539644672</v>
      </c>
      <c r="Q674" s="7">
        <v>0.0438175377919239</v>
      </c>
      <c r="R674" s="7">
        <v>0.0983448420249052</v>
      </c>
      <c r="S674" s="7">
        <v>0.1507842134021554</v>
      </c>
      <c r="T674" s="7">
        <v>2.263411067842624</v>
      </c>
    </row>
    <row x14ac:dyDescent="0.25" r="675" customHeight="1" ht="19.5">
      <c r="A675" s="2" t="s">
        <v>1733</v>
      </c>
      <c r="B675" s="2" t="s">
        <v>1060</v>
      </c>
      <c r="C675" s="2" t="s">
        <v>31</v>
      </c>
      <c r="D675" s="2" t="s">
        <v>431</v>
      </c>
      <c r="E675" s="6">
        <v>1</v>
      </c>
      <c r="F675" s="6">
        <v>2</v>
      </c>
      <c r="G675" s="7">
        <v>0.8111988306045532</v>
      </c>
      <c r="H675" s="7">
        <v>44.82524921875</v>
      </c>
      <c r="I675" s="7">
        <v>28.88998080424246</v>
      </c>
      <c r="J675" s="7">
        <v>9.650912336846892</v>
      </c>
      <c r="K675" s="7">
        <v>4.65183461535718</v>
      </c>
      <c r="L675" s="7">
        <v>0.8836463054686303</v>
      </c>
      <c r="M675" s="7">
        <v>0.6748978898770629</v>
      </c>
      <c r="N675" s="7">
        <v>0.4346189643771788</v>
      </c>
      <c r="O675" s="7">
        <v>0.0577706542245202</v>
      </c>
      <c r="P675" s="7">
        <v>8.750548897225082</v>
      </c>
      <c r="Q675" s="7">
        <v>0.0429057092489345</v>
      </c>
      <c r="R675" s="7">
        <v>0.0963926088527876</v>
      </c>
      <c r="S675" s="7">
        <v>0.1430135141029335</v>
      </c>
      <c r="T675" s="7">
        <v>2.232176739945412</v>
      </c>
    </row>
    <row x14ac:dyDescent="0.25" r="676" customHeight="1" ht="19.5">
      <c r="A676" s="2" t="s">
        <v>1734</v>
      </c>
      <c r="B676" s="2" t="s">
        <v>1060</v>
      </c>
      <c r="C676" s="2" t="s">
        <v>31</v>
      </c>
      <c r="D676" s="2" t="s">
        <v>431</v>
      </c>
      <c r="E676" s="6">
        <v>1</v>
      </c>
      <c r="F676" s="6">
        <v>2</v>
      </c>
      <c r="G676" s="7">
        <v>0.5763218402862549</v>
      </c>
      <c r="H676" s="7">
        <v>44.10835</v>
      </c>
      <c r="I676" s="7">
        <v>29.30366072289943</v>
      </c>
      <c r="J676" s="7">
        <v>10.59745869375488</v>
      </c>
      <c r="K676" s="7">
        <v>4.35657393568755</v>
      </c>
      <c r="L676" s="7">
        <v>0.9199304217666716</v>
      </c>
      <c r="M676" s="7">
        <v>0.6454861396271047</v>
      </c>
      <c r="N676" s="7">
        <v>0.5530079948049662</v>
      </c>
      <c r="O676" s="7">
        <v>0.081096710912934</v>
      </c>
      <c r="P676" s="7">
        <v>7.90807566041406</v>
      </c>
      <c r="Q676" s="7">
        <v>0.0359884077740925</v>
      </c>
      <c r="R676" s="7">
        <v>0.0653941013319706</v>
      </c>
      <c r="S676" s="7">
        <v>0.0806001643020469</v>
      </c>
      <c r="T676" s="7">
        <v>1.842358849692118</v>
      </c>
    </row>
    <row x14ac:dyDescent="0.25" r="677" customHeight="1" ht="19.5">
      <c r="A677" s="2" t="s">
        <v>1735</v>
      </c>
      <c r="B677" s="2" t="s">
        <v>1060</v>
      </c>
      <c r="C677" s="2" t="s">
        <v>31</v>
      </c>
      <c r="D677" s="2" t="s">
        <v>431</v>
      </c>
      <c r="E677" s="6">
        <v>1</v>
      </c>
      <c r="F677" s="6">
        <v>2</v>
      </c>
      <c r="G677" s="7">
        <v>0.7367013096809387</v>
      </c>
      <c r="H677" s="7">
        <v>49.63921015625</v>
      </c>
      <c r="I677" s="7">
        <v>30.22506110825044</v>
      </c>
      <c r="J677" s="7">
        <v>10.55193418818499</v>
      </c>
      <c r="K677" s="7">
        <v>4.822097526717818</v>
      </c>
      <c r="L677" s="7">
        <v>0.8978136076278557</v>
      </c>
      <c r="M677" s="7">
        <v>0.6828107523064805</v>
      </c>
      <c r="N677" s="7">
        <v>0.4334424889299741</v>
      </c>
      <c r="O677" s="7">
        <v>0.0593813764411219</v>
      </c>
      <c r="P677" s="7">
        <v>8.674756584932963</v>
      </c>
      <c r="Q677" s="7">
        <v>0.0455303026348527</v>
      </c>
      <c r="R677" s="7">
        <v>0.096931359196151</v>
      </c>
      <c r="S677" s="7">
        <v>0.1229062067695989</v>
      </c>
      <c r="T677" s="7">
        <v>2.623108046207715</v>
      </c>
    </row>
    <row x14ac:dyDescent="0.25" r="678" customHeight="1" ht="19.5">
      <c r="A678" s="2" t="s">
        <v>1736</v>
      </c>
      <c r="B678" s="2" t="s">
        <v>1060</v>
      </c>
      <c r="C678" s="2" t="s">
        <v>31</v>
      </c>
      <c r="D678" s="2" t="s">
        <v>431</v>
      </c>
      <c r="E678" s="6">
        <v>1</v>
      </c>
      <c r="F678" s="6">
        <v>2</v>
      </c>
      <c r="G678" s="7">
        <v>0.800403892993927</v>
      </c>
      <c r="H678" s="7">
        <v>48.91192109375</v>
      </c>
      <c r="I678" s="7">
        <v>30.52002692785946</v>
      </c>
      <c r="J678" s="7">
        <v>10.53785031654107</v>
      </c>
      <c r="K678" s="7">
        <v>4.797211345112444</v>
      </c>
      <c r="L678" s="7">
        <v>0.8997224881650276</v>
      </c>
      <c r="M678" s="7">
        <v>0.6598644930854362</v>
      </c>
      <c r="N678" s="7">
        <v>0.375841021670949</v>
      </c>
      <c r="O678" s="7">
        <v>0.0539020142991635</v>
      </c>
      <c r="P678" s="7">
        <v>9.004802043749073</v>
      </c>
      <c r="Q678" s="7">
        <v>0.0524470072369737</v>
      </c>
      <c r="R678" s="7">
        <v>0.1116193836981145</v>
      </c>
      <c r="S678" s="7">
        <v>0.1410947670509228</v>
      </c>
      <c r="T678" s="7">
        <v>2.977324780423897</v>
      </c>
    </row>
    <row x14ac:dyDescent="0.25" r="679" customHeight="1" ht="19.5">
      <c r="A679" s="2" t="s">
        <v>1737</v>
      </c>
      <c r="B679" s="2" t="s">
        <v>1060</v>
      </c>
      <c r="C679" s="2" t="s">
        <v>31</v>
      </c>
      <c r="D679" s="2" t="s">
        <v>431</v>
      </c>
      <c r="E679" s="6">
        <v>1</v>
      </c>
      <c r="F679" s="6">
        <v>2</v>
      </c>
      <c r="G679" s="7">
        <v>0.8064760565757751</v>
      </c>
      <c r="H679" s="7">
        <v>48.69719765625</v>
      </c>
      <c r="I679" s="7">
        <v>30.29054301748935</v>
      </c>
      <c r="J679" s="7">
        <v>10.54170726960736</v>
      </c>
      <c r="K679" s="7">
        <v>4.804410333979647</v>
      </c>
      <c r="L679" s="7">
        <v>0.9003882760939805</v>
      </c>
      <c r="M679" s="7">
        <v>0.6669598885913233</v>
      </c>
      <c r="N679" s="7">
        <v>0.3718721823911344</v>
      </c>
      <c r="O679" s="7">
        <v>0.0538070734906525</v>
      </c>
      <c r="P679" s="7">
        <v>9.036113159317246</v>
      </c>
      <c r="Q679" s="7">
        <v>0.0517640826622826</v>
      </c>
      <c r="R679" s="7">
        <v>0.1091230986149884</v>
      </c>
      <c r="S679" s="7">
        <v>0.1432849910003202</v>
      </c>
      <c r="T679" s="7">
        <v>2.925656079324041</v>
      </c>
    </row>
    <row x14ac:dyDescent="0.25" r="680" customHeight="1" ht="19.5">
      <c r="A680" s="2" t="s">
        <v>1738</v>
      </c>
      <c r="B680" s="2" t="s">
        <v>1060</v>
      </c>
      <c r="C680" s="2" t="s">
        <v>31</v>
      </c>
      <c r="D680" s="2" t="s">
        <v>431</v>
      </c>
      <c r="E680" s="6">
        <v>1</v>
      </c>
      <c r="F680" s="6">
        <v>2</v>
      </c>
      <c r="G680" s="7">
        <v>0.8081502914428711</v>
      </c>
      <c r="H680" s="7">
        <v>48.5067171875</v>
      </c>
      <c r="I680" s="7">
        <v>30.30482233688844</v>
      </c>
      <c r="J680" s="7">
        <v>10.59082372089466</v>
      </c>
      <c r="K680" s="7">
        <v>4.743212980213237</v>
      </c>
      <c r="L680" s="7">
        <v>0.9011094586394016</v>
      </c>
      <c r="M680" s="7">
        <v>0.6637251328670518</v>
      </c>
      <c r="N680" s="7">
        <v>0.3731775064549472</v>
      </c>
      <c r="O680" s="7">
        <v>0.0539849266819942</v>
      </c>
      <c r="P680" s="7">
        <v>9.003837586894907</v>
      </c>
      <c r="Q680" s="7">
        <v>0.0514028480759449</v>
      </c>
      <c r="R680" s="7">
        <v>0.1092794730455069</v>
      </c>
      <c r="S680" s="7">
        <v>0.1412813112132288</v>
      </c>
      <c r="T680" s="7">
        <v>2.893875522100401</v>
      </c>
    </row>
    <row x14ac:dyDescent="0.25" r="681" customHeight="1" ht="19.5">
      <c r="A681" s="2" t="s">
        <v>1739</v>
      </c>
      <c r="B681" s="2" t="s">
        <v>1060</v>
      </c>
      <c r="C681" s="2" t="s">
        <v>31</v>
      </c>
      <c r="D681" s="2" t="s">
        <v>431</v>
      </c>
      <c r="E681" s="6">
        <v>1</v>
      </c>
      <c r="F681" s="6">
        <v>2</v>
      </c>
      <c r="G681" s="7">
        <v>0.801624059677124</v>
      </c>
      <c r="H681" s="7">
        <v>48.89806796875001</v>
      </c>
      <c r="I681" s="7">
        <v>30.22751105213641</v>
      </c>
      <c r="J681" s="7">
        <v>10.54013018340992</v>
      </c>
      <c r="K681" s="7">
        <v>4.800740971713745</v>
      </c>
      <c r="L681" s="7">
        <v>0.8998892840121739</v>
      </c>
      <c r="M681" s="7">
        <v>0.6725069650769666</v>
      </c>
      <c r="N681" s="7">
        <v>0.3725653131202193</v>
      </c>
      <c r="O681" s="7">
        <v>0.0534655280770265</v>
      </c>
      <c r="P681" s="7">
        <v>9.023717758220693</v>
      </c>
      <c r="Q681" s="7">
        <v>0.0519604969226198</v>
      </c>
      <c r="R681" s="7">
        <v>0.1105678503564118</v>
      </c>
      <c r="S681" s="7">
        <v>0.1399946511015623</v>
      </c>
      <c r="T681" s="7">
        <v>2.94887100823506</v>
      </c>
    </row>
    <row x14ac:dyDescent="0.25" r="682" customHeight="1" ht="19.5">
      <c r="A682" s="2" t="s">
        <v>1740</v>
      </c>
      <c r="B682" s="2" t="s">
        <v>1060</v>
      </c>
      <c r="C682" s="2" t="s">
        <v>31</v>
      </c>
      <c r="D682" s="2" t="s">
        <v>431</v>
      </c>
      <c r="E682" s="6">
        <v>1</v>
      </c>
      <c r="F682" s="6">
        <v>2</v>
      </c>
      <c r="G682" s="7">
        <v>0.8042353987693787</v>
      </c>
      <c r="H682" s="7">
        <v>48.75953671875001</v>
      </c>
      <c r="I682" s="7">
        <v>30.17875840618258</v>
      </c>
      <c r="J682" s="7">
        <v>10.57130652175471</v>
      </c>
      <c r="K682" s="7">
        <v>4.796545015513043</v>
      </c>
      <c r="L682" s="7">
        <v>0.9007952755053372</v>
      </c>
      <c r="M682" s="7">
        <v>0.6727701248873152</v>
      </c>
      <c r="N682" s="7">
        <v>0.3707231285954747</v>
      </c>
      <c r="O682" s="7">
        <v>0.0530756394766332</v>
      </c>
      <c r="P682" s="7">
        <v>8.991138077314138</v>
      </c>
      <c r="Q682" s="7">
        <v>0.0512229499360804</v>
      </c>
      <c r="R682" s="7">
        <v>0.1086791849660134</v>
      </c>
      <c r="S682" s="7">
        <v>0.1392107774175822</v>
      </c>
      <c r="T682" s="7">
        <v>2.898777866193221</v>
      </c>
    </row>
    <row x14ac:dyDescent="0.25" r="683" customHeight="1" ht="19.5">
      <c r="A683" s="2" t="s">
        <v>1741</v>
      </c>
      <c r="B683" s="2" t="s">
        <v>1060</v>
      </c>
      <c r="C683" s="2" t="s">
        <v>31</v>
      </c>
      <c r="D683" s="2" t="s">
        <v>431</v>
      </c>
      <c r="E683" s="6">
        <v>1</v>
      </c>
      <c r="F683" s="6">
        <v>2</v>
      </c>
      <c r="G683" s="7">
        <v>0.8086389899253845</v>
      </c>
      <c r="H683" s="7">
        <v>48.87728828125</v>
      </c>
      <c r="I683" s="7">
        <v>30.33929566344319</v>
      </c>
      <c r="J683" s="7">
        <v>10.54695643723212</v>
      </c>
      <c r="K683" s="7">
        <v>4.811447049818548</v>
      </c>
      <c r="L683" s="7">
        <v>0.8998127497686343</v>
      </c>
      <c r="M683" s="7">
        <v>0.6672767280326849</v>
      </c>
      <c r="N683" s="7">
        <v>0.3722067834406521</v>
      </c>
      <c r="O683" s="7">
        <v>0.0536727896820387</v>
      </c>
      <c r="P683" s="7">
        <v>9.021812234364432</v>
      </c>
      <c r="Q683" s="7">
        <v>0.0516813373210632</v>
      </c>
      <c r="R683" s="7">
        <v>0.1099851822131287</v>
      </c>
      <c r="S683" s="7">
        <v>0.1401261957468345</v>
      </c>
      <c r="T683" s="7">
        <v>2.93178167729049</v>
      </c>
    </row>
    <row x14ac:dyDescent="0.25" r="684" customHeight="1" ht="19.5">
      <c r="A684" s="2" t="s">
        <v>1742</v>
      </c>
      <c r="B684" s="2" t="s">
        <v>1060</v>
      </c>
      <c r="C684" s="2" t="s">
        <v>31</v>
      </c>
      <c r="D684" s="2" t="s">
        <v>431</v>
      </c>
      <c r="E684" s="6">
        <v>1</v>
      </c>
      <c r="F684" s="6">
        <v>2</v>
      </c>
      <c r="G684" s="7">
        <v>0.8101281523704529</v>
      </c>
      <c r="H684" s="7">
        <v>48.19848515625</v>
      </c>
      <c r="I684" s="7">
        <v>30.17284371842602</v>
      </c>
      <c r="J684" s="7">
        <v>10.57945093863657</v>
      </c>
      <c r="K684" s="7">
        <v>4.708885443661698</v>
      </c>
      <c r="L684" s="7">
        <v>0.9031435876036636</v>
      </c>
      <c r="M684" s="7">
        <v>0.6652896486953569</v>
      </c>
      <c r="N684" s="7">
        <v>0.3785705051141913</v>
      </c>
      <c r="O684" s="7">
        <v>0.0554477951369221</v>
      </c>
      <c r="P684" s="7">
        <v>8.983881679671578</v>
      </c>
      <c r="Q684" s="7">
        <v>0.0515129984625557</v>
      </c>
      <c r="R684" s="7">
        <v>0.1092951407392618</v>
      </c>
      <c r="S684" s="7">
        <v>0.1378962789234548</v>
      </c>
      <c r="T684" s="7">
        <v>2.881648459797401</v>
      </c>
    </row>
    <row x14ac:dyDescent="0.25" r="685" customHeight="1" ht="19.5">
      <c r="A685" s="2" t="s">
        <v>1743</v>
      </c>
      <c r="B685" s="2" t="s">
        <v>1060</v>
      </c>
      <c r="C685" s="2" t="s">
        <v>31</v>
      </c>
      <c r="D685" s="2" t="s">
        <v>431</v>
      </c>
      <c r="E685" s="6">
        <v>1</v>
      </c>
      <c r="F685" s="6">
        <v>2</v>
      </c>
      <c r="G685" s="7">
        <v>0.8018364906311035</v>
      </c>
      <c r="H685" s="7">
        <v>48.74568359375</v>
      </c>
      <c r="I685" s="7">
        <v>30.45699496250652</v>
      </c>
      <c r="J685" s="7">
        <v>10.53652398132356</v>
      </c>
      <c r="K685" s="7">
        <v>4.794623791815189</v>
      </c>
      <c r="L685" s="7">
        <v>0.9005394886133506</v>
      </c>
      <c r="M685" s="7">
        <v>0.6603465698372638</v>
      </c>
      <c r="N685" s="7">
        <v>0.3765497510404625</v>
      </c>
      <c r="O685" s="7">
        <v>0.054193537017683</v>
      </c>
      <c r="P685" s="7">
        <v>9.014981764913443</v>
      </c>
      <c r="Q685" s="7">
        <v>0.052049561316379</v>
      </c>
      <c r="R685" s="7">
        <v>0.1100690415093837</v>
      </c>
      <c r="S685" s="7">
        <v>0.1413653788017288</v>
      </c>
      <c r="T685" s="7">
        <v>2.944720086666244</v>
      </c>
    </row>
    <row x14ac:dyDescent="0.25" r="686" customHeight="1" ht="19.5">
      <c r="A686" s="2" t="s">
        <v>1744</v>
      </c>
      <c r="B686" s="2" t="s">
        <v>1060</v>
      </c>
      <c r="C686" s="2" t="s">
        <v>31</v>
      </c>
      <c r="D686" s="2" t="s">
        <v>431</v>
      </c>
      <c r="E686" s="6">
        <v>1</v>
      </c>
      <c r="F686" s="6">
        <v>2</v>
      </c>
      <c r="G686" s="7">
        <v>0.8075739145278931</v>
      </c>
      <c r="H686" s="7">
        <v>48.71105078125</v>
      </c>
      <c r="I686" s="7">
        <v>30.33929566344318</v>
      </c>
      <c r="J686" s="7">
        <v>10.53719349683349</v>
      </c>
      <c r="K686" s="7">
        <v>4.793557052984523</v>
      </c>
      <c r="L686" s="7">
        <v>0.9006045332032198</v>
      </c>
      <c r="M686" s="7">
        <v>0.6650072401176019</v>
      </c>
      <c r="N686" s="7">
        <v>0.3725288695078875</v>
      </c>
      <c r="O686" s="7">
        <v>0.0536468522006711</v>
      </c>
      <c r="P686" s="7">
        <v>9.037110181025817</v>
      </c>
      <c r="Q686" s="7">
        <v>0.0517135762165166</v>
      </c>
      <c r="R686" s="7">
        <v>0.1098221216687952</v>
      </c>
      <c r="S686" s="7">
        <v>0.1403325842191269</v>
      </c>
      <c r="T686" s="7">
        <v>2.923632967009762</v>
      </c>
    </row>
    <row x14ac:dyDescent="0.25" r="687" customHeight="1" ht="19.5">
      <c r="A687" s="2" t="s">
        <v>1745</v>
      </c>
      <c r="B687" s="2" t="s">
        <v>1060</v>
      </c>
      <c r="C687" s="2" t="s">
        <v>31</v>
      </c>
      <c r="D687" s="2" t="s">
        <v>431</v>
      </c>
      <c r="E687" s="6">
        <v>1</v>
      </c>
      <c r="F687" s="6">
        <v>2</v>
      </c>
      <c r="G687" s="7">
        <v>0.8096376657485962</v>
      </c>
      <c r="H687" s="7">
        <v>48.17770546875001</v>
      </c>
      <c r="I687" s="7">
        <v>30.33929566344319</v>
      </c>
      <c r="J687" s="7">
        <v>10.52464391017656</v>
      </c>
      <c r="K687" s="7">
        <v>4.714069465079296</v>
      </c>
      <c r="L687" s="7">
        <v>0.9028850313025596</v>
      </c>
      <c r="M687" s="7">
        <v>0.6577259663900432</v>
      </c>
      <c r="N687" s="7">
        <v>0.3761548546866827</v>
      </c>
      <c r="O687" s="7">
        <v>0.0545934329555621</v>
      </c>
      <c r="P687" s="7">
        <v>9.000916984558613</v>
      </c>
      <c r="Q687" s="7">
        <v>0.0513993085724155</v>
      </c>
      <c r="R687" s="7">
        <v>0.1089582725326462</v>
      </c>
      <c r="S687" s="7">
        <v>0.1396159706359914</v>
      </c>
      <c r="T687" s="7">
        <v>2.874049006644086</v>
      </c>
    </row>
    <row x14ac:dyDescent="0.25" r="688" customHeight="1" ht="19.5">
      <c r="A688" s="2" t="s">
        <v>1746</v>
      </c>
      <c r="B688" s="2" t="s">
        <v>1060</v>
      </c>
      <c r="C688" s="2" t="s">
        <v>31</v>
      </c>
      <c r="D688" s="2" t="s">
        <v>431</v>
      </c>
      <c r="E688" s="6">
        <v>1</v>
      </c>
      <c r="F688" s="6">
        <v>2</v>
      </c>
      <c r="G688" s="7">
        <v>0.8157526254653931</v>
      </c>
      <c r="H688" s="7">
        <v>48.40628203125</v>
      </c>
      <c r="I688" s="7">
        <v>30.24179037153551</v>
      </c>
      <c r="J688" s="7">
        <v>10.52142118560992</v>
      </c>
      <c r="K688" s="7">
        <v>4.769223391644815</v>
      </c>
      <c r="L688" s="7">
        <v>0.9015690960013064</v>
      </c>
      <c r="M688" s="7">
        <v>0.6651147720761799</v>
      </c>
      <c r="N688" s="7">
        <v>0.3790668140597909</v>
      </c>
      <c r="O688" s="7">
        <v>0.0558051532949644</v>
      </c>
      <c r="P688" s="7">
        <v>9.005844874124174</v>
      </c>
      <c r="Q688" s="7">
        <v>0.050999682620377</v>
      </c>
      <c r="R688" s="7">
        <v>0.1091884335952395</v>
      </c>
      <c r="S688" s="7">
        <v>0.1409181960395966</v>
      </c>
      <c r="T688" s="7">
        <v>2.865233236518216</v>
      </c>
    </row>
    <row x14ac:dyDescent="0.25" r="689" customHeight="1" ht="19.5">
      <c r="A689" s="2" t="s">
        <v>1747</v>
      </c>
      <c r="B689" s="2" t="s">
        <v>1060</v>
      </c>
      <c r="C689" s="2" t="s">
        <v>31</v>
      </c>
      <c r="D689" s="2" t="s">
        <v>431</v>
      </c>
      <c r="E689" s="6">
        <v>1</v>
      </c>
      <c r="F689" s="6">
        <v>2</v>
      </c>
      <c r="G689" s="7">
        <v>0.8103949427604675</v>
      </c>
      <c r="H689" s="7">
        <v>48.84265546875</v>
      </c>
      <c r="I689" s="7">
        <v>30.33929566344319</v>
      </c>
      <c r="J689" s="7">
        <v>10.54598163536599</v>
      </c>
      <c r="K689" s="7">
        <v>4.809775686260164</v>
      </c>
      <c r="L689" s="7">
        <v>0.9005409323702929</v>
      </c>
      <c r="M689" s="7">
        <v>0.6668039180503759</v>
      </c>
      <c r="N689" s="7">
        <v>0.3760735032553075</v>
      </c>
      <c r="O689" s="7">
        <v>0.0537936958585261</v>
      </c>
      <c r="P689" s="7">
        <v>9.017831691670535</v>
      </c>
      <c r="Q689" s="7">
        <v>0.0510535142522147</v>
      </c>
      <c r="R689" s="7">
        <v>0.1084511952120298</v>
      </c>
      <c r="S689" s="7">
        <v>0.1396456686562865</v>
      </c>
      <c r="T689" s="7">
        <v>2.894114369785426</v>
      </c>
    </row>
    <row x14ac:dyDescent="0.25" r="690" customHeight="1" ht="19.5">
      <c r="A690" s="2" t="s">
        <v>1748</v>
      </c>
      <c r="B690" s="2" t="s">
        <v>1060</v>
      </c>
      <c r="C690" s="2" t="s">
        <v>31</v>
      </c>
      <c r="D690" s="2" t="s">
        <v>431</v>
      </c>
      <c r="E690" s="6">
        <v>1</v>
      </c>
      <c r="F690" s="6">
        <v>2</v>
      </c>
      <c r="G690" s="7">
        <v>0.8030140399932861</v>
      </c>
      <c r="H690" s="7">
        <v>48.29199375</v>
      </c>
      <c r="I690" s="7">
        <v>30.37376898999793</v>
      </c>
      <c r="J690" s="7">
        <v>10.52269815708399</v>
      </c>
      <c r="K690" s="7">
        <v>4.772997085280819</v>
      </c>
      <c r="L690" s="7">
        <v>0.9004684065282312</v>
      </c>
      <c r="M690" s="7">
        <v>0.6577905479576042</v>
      </c>
      <c r="N690" s="7">
        <v>0.3770545903292369</v>
      </c>
      <c r="O690" s="7">
        <v>0.0557624264490972</v>
      </c>
      <c r="P690" s="7">
        <v>9.00429919750524</v>
      </c>
      <c r="Q690" s="7">
        <v>0.0524546517092098</v>
      </c>
      <c r="R690" s="7">
        <v>0.1094500913266666</v>
      </c>
      <c r="S690" s="7">
        <v>0.1386331655718461</v>
      </c>
      <c r="T690" s="7">
        <v>2.940017554525394</v>
      </c>
    </row>
    <row x14ac:dyDescent="0.25" r="691" customHeight="1" ht="19.5">
      <c r="A691" s="2" t="s">
        <v>1749</v>
      </c>
      <c r="B691" s="2" t="s">
        <v>1060</v>
      </c>
      <c r="C691" s="2" t="s">
        <v>31</v>
      </c>
      <c r="D691" s="2" t="s">
        <v>431</v>
      </c>
      <c r="E691" s="6">
        <v>1</v>
      </c>
      <c r="F691" s="6">
        <v>2</v>
      </c>
      <c r="G691" s="7">
        <v>0.8058216571807861</v>
      </c>
      <c r="H691" s="7">
        <v>48.804559375</v>
      </c>
      <c r="I691" s="7">
        <v>30.51411224010289</v>
      </c>
      <c r="J691" s="7">
        <v>10.58665050501039</v>
      </c>
      <c r="K691" s="7">
        <v>4.788672638873042</v>
      </c>
      <c r="L691" s="7">
        <v>0.9005860809255052</v>
      </c>
      <c r="M691" s="7">
        <v>0.6586713620702014</v>
      </c>
      <c r="N691" s="7">
        <v>0.3756022730000044</v>
      </c>
      <c r="O691" s="7">
        <v>0.0544626300450097</v>
      </c>
      <c r="P691" s="7">
        <v>9.023936762349534</v>
      </c>
      <c r="Q691" s="7">
        <v>0.0509227149068753</v>
      </c>
      <c r="R691" s="7">
        <v>0.1077427840838336</v>
      </c>
      <c r="S691" s="7">
        <v>0.1414104472213826</v>
      </c>
      <c r="T691" s="7">
        <v>2.88444807893969</v>
      </c>
    </row>
    <row x14ac:dyDescent="0.25" r="692" customHeight="1" ht="19.5">
      <c r="A692" s="2" t="s">
        <v>1750</v>
      </c>
      <c r="B692" s="2" t="s">
        <v>1060</v>
      </c>
      <c r="C692" s="2" t="s">
        <v>31</v>
      </c>
      <c r="D692" s="2" t="s">
        <v>431</v>
      </c>
      <c r="E692" s="6">
        <v>1</v>
      </c>
      <c r="F692" s="6">
        <v>2</v>
      </c>
      <c r="G692" s="7">
        <v>0.8089427947998047</v>
      </c>
      <c r="H692" s="7">
        <v>48.62793203125</v>
      </c>
      <c r="I692" s="7">
        <v>30.29054301748935</v>
      </c>
      <c r="J692" s="7">
        <v>10.53406071025264</v>
      </c>
      <c r="K692" s="7">
        <v>4.789997422060749</v>
      </c>
      <c r="L692" s="7">
        <v>0.9006063355146099</v>
      </c>
      <c r="M692" s="7">
        <v>0.6660112222253588</v>
      </c>
      <c r="N692" s="7">
        <v>0.3735150713949953</v>
      </c>
      <c r="O692" s="7">
        <v>0.0547397735118478</v>
      </c>
      <c r="P692" s="7">
        <v>9.022518068841308</v>
      </c>
      <c r="Q692" s="7">
        <v>0.0518143208084761</v>
      </c>
      <c r="R692" s="7">
        <v>0.1095904038610256</v>
      </c>
      <c r="S692" s="7">
        <v>0.1403592713338145</v>
      </c>
      <c r="T692" s="7">
        <v>2.924330075268428</v>
      </c>
    </row>
    <row x14ac:dyDescent="0.25" r="693" customHeight="1" ht="19.5">
      <c r="A693" s="2" t="s">
        <v>1751</v>
      </c>
      <c r="B693" s="2" t="s">
        <v>1060</v>
      </c>
      <c r="C693" s="2" t="s">
        <v>31</v>
      </c>
      <c r="D693" s="2" t="s">
        <v>431</v>
      </c>
      <c r="E693" s="6">
        <v>1</v>
      </c>
      <c r="F693" s="6">
        <v>2</v>
      </c>
      <c r="G693" s="7">
        <v>0.8152503371238708</v>
      </c>
      <c r="H693" s="7">
        <v>48.53096015625</v>
      </c>
      <c r="I693" s="7">
        <v>30.10981175307308</v>
      </c>
      <c r="J693" s="7">
        <v>10.55997331440042</v>
      </c>
      <c r="K693" s="7">
        <v>4.775087423203416</v>
      </c>
      <c r="L693" s="7">
        <v>0.9012600851683528</v>
      </c>
      <c r="M693" s="7">
        <v>0.6726864303910677</v>
      </c>
      <c r="N693" s="7">
        <v>0.3739918807175687</v>
      </c>
      <c r="O693" s="7">
        <v>0.0535640985992035</v>
      </c>
      <c r="P693" s="7">
        <v>8.987535075783006</v>
      </c>
      <c r="Q693" s="7">
        <v>0.0515015962114748</v>
      </c>
      <c r="R693" s="7">
        <v>0.1088375735087742</v>
      </c>
      <c r="S693" s="7">
        <v>0.1353835211644421</v>
      </c>
      <c r="T693" s="7">
        <v>2.900883937135142</v>
      </c>
    </row>
    <row x14ac:dyDescent="0.25" r="694" customHeight="1" ht="19.5">
      <c r="A694" s="2" t="s">
        <v>1752</v>
      </c>
      <c r="B694" s="2" t="s">
        <v>1060</v>
      </c>
      <c r="C694" s="2" t="s">
        <v>31</v>
      </c>
      <c r="D694" s="2" t="s">
        <v>431</v>
      </c>
      <c r="E694" s="6">
        <v>1</v>
      </c>
      <c r="F694" s="6">
        <v>2</v>
      </c>
      <c r="G694" s="7">
        <v>0.8083109855651855</v>
      </c>
      <c r="H694" s="7">
        <v>48.71105078125</v>
      </c>
      <c r="I694" s="7">
        <v>30.29054301748935</v>
      </c>
      <c r="J694" s="7">
        <v>10.58982656351698</v>
      </c>
      <c r="K694" s="7">
        <v>4.801256362045113</v>
      </c>
      <c r="L694" s="7">
        <v>0.900805637419432</v>
      </c>
      <c r="M694" s="7">
        <v>0.6671496218645162</v>
      </c>
      <c r="N694" s="7">
        <v>0.3731487026733854</v>
      </c>
      <c r="O694" s="7">
        <v>0.0546169595595699</v>
      </c>
      <c r="P694" s="7">
        <v>9.023554913423208</v>
      </c>
      <c r="Q694" s="7">
        <v>0.051633596308033</v>
      </c>
      <c r="R694" s="7">
        <v>0.1094796844800459</v>
      </c>
      <c r="S694" s="7">
        <v>0.1436646268340342</v>
      </c>
      <c r="T694" s="7">
        <v>2.919111293703667</v>
      </c>
    </row>
    <row x14ac:dyDescent="0.25" r="695" customHeight="1" ht="19.5">
      <c r="A695" s="2" t="s">
        <v>1753</v>
      </c>
      <c r="B695" s="2" t="s">
        <v>1060</v>
      </c>
      <c r="C695" s="2" t="s">
        <v>31</v>
      </c>
      <c r="D695" s="2" t="s">
        <v>431</v>
      </c>
      <c r="E695" s="6">
        <v>1</v>
      </c>
      <c r="F695" s="6">
        <v>2</v>
      </c>
      <c r="G695" s="7">
        <v>0.8088308572769165</v>
      </c>
      <c r="H695" s="7">
        <v>48.89114140625</v>
      </c>
      <c r="I695" s="7">
        <v>30.32501634404409</v>
      </c>
      <c r="J695" s="7">
        <v>10.50335090109274</v>
      </c>
      <c r="K695" s="7">
        <v>4.834770199381472</v>
      </c>
      <c r="L695" s="7">
        <v>0.8980287939383543</v>
      </c>
      <c r="M695" s="7">
        <v>0.6680945871880333</v>
      </c>
      <c r="N695" s="7">
        <v>0.3762374940369479</v>
      </c>
      <c r="O695" s="7">
        <v>0.0538741619412048</v>
      </c>
      <c r="P695" s="7">
        <v>8.979872489107484</v>
      </c>
      <c r="Q695" s="7">
        <v>0.0516208687484224</v>
      </c>
      <c r="R695" s="7">
        <v>0.1099418687556931</v>
      </c>
      <c r="S695" s="7">
        <v>0.1398348557743829</v>
      </c>
      <c r="T695" s="7">
        <v>2.929181385622712</v>
      </c>
    </row>
    <row x14ac:dyDescent="0.25" r="696" customHeight="1" ht="19.5">
      <c r="A696" s="2" t="s">
        <v>1754</v>
      </c>
      <c r="B696" s="2" t="s">
        <v>1060</v>
      </c>
      <c r="C696" s="2" t="s">
        <v>31</v>
      </c>
      <c r="D696" s="2" t="s">
        <v>431</v>
      </c>
      <c r="E696" s="6">
        <v>1</v>
      </c>
      <c r="F696" s="6">
        <v>2</v>
      </c>
      <c r="G696" s="7">
        <v>0.803413987159729</v>
      </c>
      <c r="H696" s="7">
        <v>48.4097453125</v>
      </c>
      <c r="I696" s="7">
        <v>30.27034901033369</v>
      </c>
      <c r="J696" s="7">
        <v>10.46446980583615</v>
      </c>
      <c r="K696" s="7">
        <v>4.772885066338236</v>
      </c>
      <c r="L696" s="7">
        <v>0.8998124161203824</v>
      </c>
      <c r="M696" s="7">
        <v>0.6639078522314706</v>
      </c>
      <c r="N696" s="7">
        <v>0.3758578952507453</v>
      </c>
      <c r="O696" s="7">
        <v>0.0544856672061707</v>
      </c>
      <c r="P696" s="7">
        <v>9.007702906311916</v>
      </c>
      <c r="Q696" s="7">
        <v>0.0521457783197437</v>
      </c>
      <c r="R696" s="7">
        <v>0.1093695808171671</v>
      </c>
      <c r="S696" s="7">
        <v>0.1392027181559777</v>
      </c>
      <c r="T696" s="7">
        <v>2.92983209306433</v>
      </c>
    </row>
    <row x14ac:dyDescent="0.25" r="697" customHeight="1" ht="19.5">
      <c r="A697" s="2" t="s">
        <v>1755</v>
      </c>
      <c r="B697" s="2" t="s">
        <v>1060</v>
      </c>
      <c r="C697" s="2" t="s">
        <v>31</v>
      </c>
      <c r="D697" s="2" t="s">
        <v>431</v>
      </c>
      <c r="E697" s="6">
        <v>1</v>
      </c>
      <c r="F697" s="6">
        <v>2</v>
      </c>
      <c r="G697" s="7">
        <v>0.8087708950042725</v>
      </c>
      <c r="H697" s="7">
        <v>48.76646328125</v>
      </c>
      <c r="I697" s="7">
        <v>30.17875840618258</v>
      </c>
      <c r="J697" s="7">
        <v>10.53452550811505</v>
      </c>
      <c r="K697" s="7">
        <v>4.806380607936115</v>
      </c>
      <c r="L697" s="7">
        <v>0.8992449445919952</v>
      </c>
      <c r="M697" s="7">
        <v>0.6728656956132031</v>
      </c>
      <c r="N697" s="7">
        <v>0.3837538808523532</v>
      </c>
      <c r="O697" s="7">
        <v>0.0548277332824725</v>
      </c>
      <c r="P697" s="7">
        <v>8.958837980048644</v>
      </c>
      <c r="Q697" s="7">
        <v>0.0512844795931519</v>
      </c>
      <c r="R697" s="7">
        <v>0.108508856640823</v>
      </c>
      <c r="S697" s="7">
        <v>0.138979280958687</v>
      </c>
      <c r="T697" s="7">
        <v>2.902672197038553</v>
      </c>
    </row>
    <row x14ac:dyDescent="0.25" r="698" customHeight="1" ht="19.5">
      <c r="A698" s="2" t="s">
        <v>1756</v>
      </c>
      <c r="B698" s="2" t="s">
        <v>1060</v>
      </c>
      <c r="C698" s="2" t="s">
        <v>31</v>
      </c>
      <c r="D698" s="2" t="s">
        <v>431</v>
      </c>
      <c r="E698" s="6">
        <v>1</v>
      </c>
      <c r="F698" s="6">
        <v>2</v>
      </c>
      <c r="G698" s="7">
        <v>0.688993513584137</v>
      </c>
      <c r="H698" s="7">
        <v>49.99939140625001</v>
      </c>
      <c r="I698" s="7">
        <v>30.92534221487389</v>
      </c>
      <c r="J698" s="7">
        <v>10.46855036272989</v>
      </c>
      <c r="K698" s="7">
        <v>4.918766454195985</v>
      </c>
      <c r="L698" s="7">
        <v>0.8923966379120273</v>
      </c>
      <c r="M698" s="7">
        <v>0.6569700234737365</v>
      </c>
      <c r="N698" s="7">
        <v>0.548671315867681</v>
      </c>
      <c r="O698" s="7">
        <v>0.075040238409984</v>
      </c>
      <c r="P698" s="7">
        <v>7.961291023464862</v>
      </c>
      <c r="Q698" s="7">
        <v>0.0412559766957949</v>
      </c>
      <c r="R698" s="7">
        <v>0.075615029445591</v>
      </c>
      <c r="S698" s="7">
        <v>0.0926782862361401</v>
      </c>
      <c r="T698" s="7">
        <v>2.394100466495952</v>
      </c>
    </row>
    <row x14ac:dyDescent="0.25" r="699" customHeight="1" ht="19.5">
      <c r="A699" s="2" t="s">
        <v>1757</v>
      </c>
      <c r="B699" s="2" t="s">
        <v>1060</v>
      </c>
      <c r="C699" s="2" t="s">
        <v>31</v>
      </c>
      <c r="D699" s="2" t="s">
        <v>431</v>
      </c>
      <c r="E699" s="6">
        <v>1</v>
      </c>
      <c r="F699" s="6">
        <v>2</v>
      </c>
      <c r="G699" s="7">
        <v>0.7070823311805725</v>
      </c>
      <c r="H699" s="7">
        <v>50.51888359375</v>
      </c>
      <c r="I699" s="7">
        <v>30.55796499828479</v>
      </c>
      <c r="J699" s="7">
        <v>10.59885365215873</v>
      </c>
      <c r="K699" s="7">
        <v>4.877233634969093</v>
      </c>
      <c r="L699" s="7">
        <v>0.8960704964486038</v>
      </c>
      <c r="M699" s="7">
        <v>0.6798525806227381</v>
      </c>
      <c r="N699" s="7">
        <v>0.5010034918860997</v>
      </c>
      <c r="O699" s="7">
        <v>0.0683627115131544</v>
      </c>
      <c r="P699" s="7">
        <v>8.277238936688162</v>
      </c>
      <c r="Q699" s="7">
        <v>0.0193630779499073</v>
      </c>
      <c r="R699" s="7">
        <v>0.0558980228408579</v>
      </c>
      <c r="S699" s="7">
        <v>0.0772852910688817</v>
      </c>
      <c r="T699" s="7">
        <v>1.135321646773291</v>
      </c>
    </row>
    <row x14ac:dyDescent="0.25" r="700" customHeight="1" ht="19.5">
      <c r="A700" s="2" t="s">
        <v>1758</v>
      </c>
      <c r="B700" s="2" t="s">
        <v>1060</v>
      </c>
      <c r="C700" s="2" t="s">
        <v>31</v>
      </c>
      <c r="D700" s="2" t="s">
        <v>431</v>
      </c>
      <c r="E700" s="6">
        <v>1</v>
      </c>
      <c r="F700" s="6">
        <v>2</v>
      </c>
      <c r="G700" s="7">
        <v>0.7498800754547119</v>
      </c>
      <c r="H700" s="7">
        <v>50.30762343750001</v>
      </c>
      <c r="I700" s="7">
        <v>30.23934042764954</v>
      </c>
      <c r="J700" s="7">
        <v>10.54271286358712</v>
      </c>
      <c r="K700" s="7">
        <v>4.870908637590574</v>
      </c>
      <c r="L700" s="7">
        <v>0.8941240996617157</v>
      </c>
      <c r="M700" s="7">
        <v>0.6913517031394991</v>
      </c>
      <c r="N700" s="7">
        <v>0.4299896162297815</v>
      </c>
      <c r="O700" s="7">
        <v>0.0595328909726746</v>
      </c>
      <c r="P700" s="7">
        <v>8.634682942008446</v>
      </c>
      <c r="Q700" s="7">
        <v>0.0262646586978299</v>
      </c>
      <c r="R700" s="7">
        <v>0.0696023110228964</v>
      </c>
      <c r="S700" s="7">
        <v>0.0992646777764367</v>
      </c>
      <c r="T700" s="7">
        <v>1.533544360278187</v>
      </c>
    </row>
    <row x14ac:dyDescent="0.25" r="701" customHeight="1" ht="19.5">
      <c r="A701" s="2" t="s">
        <v>1759</v>
      </c>
      <c r="B701" s="2" t="s">
        <v>1060</v>
      </c>
      <c r="C701" s="2" t="s">
        <v>31</v>
      </c>
      <c r="D701" s="2" t="s">
        <v>431</v>
      </c>
      <c r="E701" s="6">
        <v>1</v>
      </c>
      <c r="F701" s="6">
        <v>2</v>
      </c>
      <c r="G701" s="7">
        <v>0.764561116695404</v>
      </c>
      <c r="H701" s="7">
        <v>49.8643234375</v>
      </c>
      <c r="I701" s="7">
        <v>30.25953443480519</v>
      </c>
      <c r="J701" s="7">
        <v>10.53407050300404</v>
      </c>
      <c r="K701" s="7">
        <v>4.740005890212225</v>
      </c>
      <c r="L701" s="7">
        <v>0.8983872126506592</v>
      </c>
      <c r="M701" s="7">
        <v>0.6843453352718399</v>
      </c>
      <c r="N701" s="7">
        <v>0.3755099030304616</v>
      </c>
      <c r="O701" s="7">
        <v>0.0530293876414544</v>
      </c>
      <c r="P701" s="7">
        <v>8.892839484562224</v>
      </c>
      <c r="Q701" s="7">
        <v>0.0324154671544303</v>
      </c>
      <c r="R701" s="7">
        <v>0.0790432825877514</v>
      </c>
      <c r="S701" s="7">
        <v>0.1099619028756619</v>
      </c>
      <c r="T701" s="7">
        <v>1.876000698515454</v>
      </c>
    </row>
    <row x14ac:dyDescent="0.25" r="702" customHeight="1" ht="19.5">
      <c r="A702" s="2" t="s">
        <v>1760</v>
      </c>
      <c r="B702" s="2" t="s">
        <v>1060</v>
      </c>
      <c r="C702" s="2" t="s">
        <v>31</v>
      </c>
      <c r="D702" s="2" t="s">
        <v>431</v>
      </c>
      <c r="E702" s="6">
        <v>1</v>
      </c>
      <c r="F702" s="6">
        <v>2</v>
      </c>
      <c r="G702" s="7">
        <v>0.773323118686676</v>
      </c>
      <c r="H702" s="7">
        <v>49.75003515625</v>
      </c>
      <c r="I702" s="7">
        <v>30.23934042764954</v>
      </c>
      <c r="J702" s="7">
        <v>10.52409274997286</v>
      </c>
      <c r="K702" s="7">
        <v>4.715911052384096</v>
      </c>
      <c r="L702" s="7">
        <v>0.898064401408323</v>
      </c>
      <c r="M702" s="7">
        <v>0.6836890551837329</v>
      </c>
      <c r="N702" s="7">
        <v>0.3552117295346466</v>
      </c>
      <c r="O702" s="7">
        <v>0.0507651620449223</v>
      </c>
      <c r="P702" s="7">
        <v>9.000268974872078</v>
      </c>
      <c r="Q702" s="7">
        <v>0.0332455368509496</v>
      </c>
      <c r="R702" s="7">
        <v>0.0800663677159502</v>
      </c>
      <c r="S702" s="7">
        <v>0.1177671077505352</v>
      </c>
      <c r="T702" s="7">
        <v>1.919629973169905</v>
      </c>
    </row>
    <row x14ac:dyDescent="0.25" r="703" customHeight="1" ht="19.5">
      <c r="A703" s="2" t="s">
        <v>1761</v>
      </c>
      <c r="B703" s="2" t="s">
        <v>1060</v>
      </c>
      <c r="C703" s="2" t="s">
        <v>31</v>
      </c>
      <c r="D703" s="2" t="s">
        <v>431</v>
      </c>
      <c r="E703" s="6">
        <v>1</v>
      </c>
      <c r="F703" s="6">
        <v>2</v>
      </c>
      <c r="G703" s="7">
        <v>0.7731825709342957</v>
      </c>
      <c r="H703" s="7">
        <v>49.87125</v>
      </c>
      <c r="I703" s="7">
        <v>30.21078178885135</v>
      </c>
      <c r="J703" s="7">
        <v>10.52951405720886</v>
      </c>
      <c r="K703" s="7">
        <v>4.727546247465614</v>
      </c>
      <c r="L703" s="7">
        <v>0.8985126734979675</v>
      </c>
      <c r="M703" s="7">
        <v>0.6866512100863904</v>
      </c>
      <c r="N703" s="7">
        <v>0.353865573485106</v>
      </c>
      <c r="O703" s="7">
        <v>0.0502975949867316</v>
      </c>
      <c r="P703" s="7">
        <v>9.021745477220463</v>
      </c>
      <c r="Q703" s="7">
        <v>0.0322174759789756</v>
      </c>
      <c r="R703" s="7">
        <v>0.0795473818088574</v>
      </c>
      <c r="S703" s="7">
        <v>0.1191495358548592</v>
      </c>
      <c r="T703" s="7">
        <v>1.864801230983852</v>
      </c>
    </row>
    <row x14ac:dyDescent="0.25" r="704" customHeight="1" ht="19.5">
      <c r="A704" s="2" t="s">
        <v>1762</v>
      </c>
      <c r="B704" s="2" t="s">
        <v>1060</v>
      </c>
      <c r="C704" s="2" t="s">
        <v>31</v>
      </c>
      <c r="D704" s="2" t="s">
        <v>431</v>
      </c>
      <c r="E704" s="6">
        <v>1</v>
      </c>
      <c r="F704" s="6">
        <v>2</v>
      </c>
      <c r="G704" s="7">
        <v>0.7671403884887695</v>
      </c>
      <c r="H704" s="7">
        <v>50.15177578125</v>
      </c>
      <c r="I704" s="7">
        <v>30.25953443480519</v>
      </c>
      <c r="J704" s="7">
        <v>10.58318135961335</v>
      </c>
      <c r="K704" s="7">
        <v>4.718255032242218</v>
      </c>
      <c r="L704" s="7">
        <v>0.8992022607332025</v>
      </c>
      <c r="M704" s="7">
        <v>0.6882903736679756</v>
      </c>
      <c r="N704" s="7">
        <v>0.3521673480841131</v>
      </c>
      <c r="O704" s="7">
        <v>0.0504827329806356</v>
      </c>
      <c r="P704" s="7">
        <v>9.01750873355538</v>
      </c>
      <c r="Q704" s="7">
        <v>0.031677274541858</v>
      </c>
      <c r="R704" s="7">
        <v>0.0781990793893775</v>
      </c>
      <c r="S704" s="7">
        <v>0.1181308971196607</v>
      </c>
      <c r="T704" s="7">
        <v>1.843847096814329</v>
      </c>
    </row>
    <row x14ac:dyDescent="0.25" r="705" customHeight="1" ht="19.5">
      <c r="A705" s="2" t="s">
        <v>1763</v>
      </c>
      <c r="B705" s="2" t="s">
        <v>1060</v>
      </c>
      <c r="C705" s="2" t="s">
        <v>31</v>
      </c>
      <c r="D705" s="2" t="s">
        <v>431</v>
      </c>
      <c r="E705" s="6">
        <v>1</v>
      </c>
      <c r="F705" s="6">
        <v>2</v>
      </c>
      <c r="G705" s="7">
        <v>0.7643807530403137</v>
      </c>
      <c r="H705" s="7">
        <v>50.0444140625</v>
      </c>
      <c r="I705" s="7">
        <v>30.09899717754458</v>
      </c>
      <c r="J705" s="7">
        <v>10.52763267997973</v>
      </c>
      <c r="K705" s="7">
        <v>4.723944628431667</v>
      </c>
      <c r="L705" s="7">
        <v>0.8981645062776462</v>
      </c>
      <c r="M705" s="7">
        <v>0.6941629343438465</v>
      </c>
      <c r="N705" s="7">
        <v>0.3588163730351483</v>
      </c>
      <c r="O705" s="7">
        <v>0.0507584586645455</v>
      </c>
      <c r="P705" s="7">
        <v>8.98752701677845</v>
      </c>
      <c r="Q705" s="7">
        <v>0.033082263463913</v>
      </c>
      <c r="R705" s="7">
        <v>0.0803782605654188</v>
      </c>
      <c r="S705" s="7">
        <v>0.119755415539257</v>
      </c>
      <c r="T705" s="7">
        <v>1.9215053801535</v>
      </c>
    </row>
    <row x14ac:dyDescent="0.25" r="706" customHeight="1" ht="19.5">
      <c r="A706" s="2" t="s">
        <v>1764</v>
      </c>
      <c r="B706" s="2" t="s">
        <v>1060</v>
      </c>
      <c r="C706" s="2" t="s">
        <v>31</v>
      </c>
      <c r="D706" s="2" t="s">
        <v>431</v>
      </c>
      <c r="E706" s="6">
        <v>1</v>
      </c>
      <c r="F706" s="6">
        <v>2</v>
      </c>
      <c r="G706" s="7">
        <v>0.7693349123001099</v>
      </c>
      <c r="H706" s="7">
        <v>49.71886562500001</v>
      </c>
      <c r="I706" s="7">
        <v>30.30828708075904</v>
      </c>
      <c r="J706" s="7">
        <v>10.5281512023882</v>
      </c>
      <c r="K706" s="7">
        <v>4.725664593536047</v>
      </c>
      <c r="L706" s="7">
        <v>0.8981275402122447</v>
      </c>
      <c r="M706" s="7">
        <v>0.6801556199101605</v>
      </c>
      <c r="N706" s="7">
        <v>0.3584668421967584</v>
      </c>
      <c r="O706" s="7">
        <v>0.0510029872479464</v>
      </c>
      <c r="P706" s="7">
        <v>8.997651909368052</v>
      </c>
      <c r="Q706" s="7">
        <v>0.0333539408935129</v>
      </c>
      <c r="R706" s="7">
        <v>0.0808532662834255</v>
      </c>
      <c r="S706" s="7">
        <v>0.1162737984832017</v>
      </c>
      <c r="T706" s="7">
        <v>1.924682715560464</v>
      </c>
    </row>
    <row x14ac:dyDescent="0.25" r="707" customHeight="1" ht="19.5">
      <c r="A707" s="2" t="s">
        <v>1765</v>
      </c>
      <c r="B707" s="2" t="s">
        <v>1060</v>
      </c>
      <c r="C707" s="2" t="s">
        <v>31</v>
      </c>
      <c r="D707" s="2" t="s">
        <v>431</v>
      </c>
      <c r="E707" s="6">
        <v>1</v>
      </c>
      <c r="F707" s="6">
        <v>2</v>
      </c>
      <c r="G707" s="7">
        <v>0.7674326300621033</v>
      </c>
      <c r="H707" s="7">
        <v>50.19333515625</v>
      </c>
      <c r="I707" s="7">
        <v>30.37723373386853</v>
      </c>
      <c r="J707" s="7">
        <v>10.58094812487361</v>
      </c>
      <c r="K707" s="7">
        <v>4.714849479764429</v>
      </c>
      <c r="L707" s="7">
        <v>0.8988479401860159</v>
      </c>
      <c r="M707" s="7">
        <v>0.6835329774958164</v>
      </c>
      <c r="N707" s="7">
        <v>0.3583425274339689</v>
      </c>
      <c r="O707" s="7">
        <v>0.0510304644965577</v>
      </c>
      <c r="P707" s="7">
        <v>8.99215082348661</v>
      </c>
      <c r="Q707" s="7">
        <v>0.0316418433632091</v>
      </c>
      <c r="R707" s="7">
        <v>0.0786266321863894</v>
      </c>
      <c r="S707" s="7">
        <v>0.1180146856236807</v>
      </c>
      <c r="T707" s="7">
        <v>1.843310980821896</v>
      </c>
    </row>
    <row x14ac:dyDescent="0.25" r="708" customHeight="1" ht="19.5">
      <c r="A708" s="2" t="s">
        <v>1766</v>
      </c>
      <c r="B708" s="2" t="s">
        <v>1060</v>
      </c>
      <c r="C708" s="2" t="s">
        <v>31</v>
      </c>
      <c r="D708" s="2" t="s">
        <v>431</v>
      </c>
      <c r="E708" s="6">
        <v>1</v>
      </c>
      <c r="F708" s="6">
        <v>2</v>
      </c>
      <c r="G708" s="7">
        <v>0.7669899463653564</v>
      </c>
      <c r="H708" s="7">
        <v>49.95090546875</v>
      </c>
      <c r="I708" s="7">
        <v>30.13347050409932</v>
      </c>
      <c r="J708" s="7">
        <v>10.5247537308359</v>
      </c>
      <c r="K708" s="7">
        <v>4.721252781453695</v>
      </c>
      <c r="L708" s="7">
        <v>0.8977547457265829</v>
      </c>
      <c r="M708" s="7">
        <v>0.6912814829059617</v>
      </c>
      <c r="N708" s="7">
        <v>0.3626757130722847</v>
      </c>
      <c r="O708" s="7">
        <v>0.0514626876659715</v>
      </c>
      <c r="P708" s="7">
        <v>8.962323309863313</v>
      </c>
      <c r="Q708" s="7">
        <v>0.0325832300901787</v>
      </c>
      <c r="R708" s="7">
        <v>0.079301977259361</v>
      </c>
      <c r="S708" s="7">
        <v>0.1161250849208094</v>
      </c>
      <c r="T708" s="7">
        <v>1.888984004712144</v>
      </c>
    </row>
    <row x14ac:dyDescent="0.25" r="709" customHeight="1" ht="19.5">
      <c r="A709" s="2" t="s">
        <v>1767</v>
      </c>
      <c r="B709" s="2" t="s">
        <v>1060</v>
      </c>
      <c r="C709" s="2" t="s">
        <v>31</v>
      </c>
      <c r="D709" s="2" t="s">
        <v>431</v>
      </c>
      <c r="E709" s="6">
        <v>1</v>
      </c>
      <c r="F709" s="6">
        <v>2</v>
      </c>
      <c r="G709" s="7">
        <v>0.7709100246429443</v>
      </c>
      <c r="H709" s="7">
        <v>50.34571953125</v>
      </c>
      <c r="I709" s="7">
        <v>30.42598637982237</v>
      </c>
      <c r="J709" s="7">
        <v>10.52462908915901</v>
      </c>
      <c r="K709" s="7">
        <v>4.779482338720113</v>
      </c>
      <c r="L709" s="7">
        <v>0.8958556003651981</v>
      </c>
      <c r="M709" s="7">
        <v>0.6834127597183755</v>
      </c>
      <c r="N709" s="7">
        <v>0.3586943638389901</v>
      </c>
      <c r="O709" s="7">
        <v>0.050782429453969</v>
      </c>
      <c r="P709" s="7">
        <v>9.009795523646291</v>
      </c>
      <c r="Q709" s="7">
        <v>0.0324491755890585</v>
      </c>
      <c r="R709" s="7">
        <v>0.0795022424449195</v>
      </c>
      <c r="S709" s="7">
        <v>0.1145686636261388</v>
      </c>
      <c r="T709" s="7">
        <v>1.896081494760524</v>
      </c>
    </row>
    <row x14ac:dyDescent="0.25" r="710" customHeight="1" ht="19.5">
      <c r="A710" s="2" t="s">
        <v>1768</v>
      </c>
      <c r="B710" s="2" t="s">
        <v>1060</v>
      </c>
      <c r="C710" s="2" t="s">
        <v>31</v>
      </c>
      <c r="D710" s="2" t="s">
        <v>431</v>
      </c>
      <c r="E710" s="6">
        <v>1</v>
      </c>
      <c r="F710" s="6">
        <v>2</v>
      </c>
      <c r="G710" s="7">
        <v>0.7710744142532349</v>
      </c>
      <c r="H710" s="7">
        <v>49.7812046875</v>
      </c>
      <c r="I710" s="7">
        <v>30.1905877816957</v>
      </c>
      <c r="J710" s="7">
        <v>10.52898745316035</v>
      </c>
      <c r="K710" s="7">
        <v>4.727927817338818</v>
      </c>
      <c r="L710" s="7">
        <v>0.8979319086460835</v>
      </c>
      <c r="M710" s="7">
        <v>0.6863286515794407</v>
      </c>
      <c r="N710" s="7">
        <v>0.3619653742904941</v>
      </c>
      <c r="O710" s="7">
        <v>0.0513009201126162</v>
      </c>
      <c r="P710" s="7">
        <v>8.975217636202922</v>
      </c>
      <c r="Q710" s="7">
        <v>0.0330643819821355</v>
      </c>
      <c r="R710" s="7">
        <v>0.0801079470047351</v>
      </c>
      <c r="S710" s="7">
        <v>0.1168719778874252</v>
      </c>
      <c r="T710" s="7">
        <v>1.910366051473052</v>
      </c>
    </row>
    <row x14ac:dyDescent="0.25" r="711" customHeight="1" ht="19.5">
      <c r="A711" s="2" t="s">
        <v>1769</v>
      </c>
      <c r="B711" s="2" t="s">
        <v>1060</v>
      </c>
      <c r="C711" s="2" t="s">
        <v>31</v>
      </c>
      <c r="D711" s="2" t="s">
        <v>431</v>
      </c>
      <c r="E711" s="6">
        <v>1</v>
      </c>
      <c r="F711" s="6">
        <v>2</v>
      </c>
      <c r="G711" s="7">
        <v>0.7745623588562012</v>
      </c>
      <c r="H711" s="7">
        <v>50.49810390625</v>
      </c>
      <c r="I711" s="7">
        <v>30.39951889893481</v>
      </c>
      <c r="J711" s="7">
        <v>10.52262800181628</v>
      </c>
      <c r="K711" s="7">
        <v>4.771725301591703</v>
      </c>
      <c r="L711" s="7">
        <v>0.8951736494122033</v>
      </c>
      <c r="M711" s="7">
        <v>0.6866754401345972</v>
      </c>
      <c r="N711" s="7">
        <v>0.3571913809046136</v>
      </c>
      <c r="O711" s="7">
        <v>0.0506956300751545</v>
      </c>
      <c r="P711" s="7">
        <v>8.997011063744212</v>
      </c>
      <c r="Q711" s="7">
        <v>0.0320762601683312</v>
      </c>
      <c r="R711" s="7">
        <v>0.0793557391761316</v>
      </c>
      <c r="S711" s="7">
        <v>0.1154331685032637</v>
      </c>
      <c r="T711" s="7">
        <v>1.879964199657105</v>
      </c>
    </row>
    <row x14ac:dyDescent="0.25" r="712" customHeight="1" ht="19.5">
      <c r="A712" s="2" t="s">
        <v>1770</v>
      </c>
      <c r="B712" s="2" t="s">
        <v>1060</v>
      </c>
      <c r="C712" s="2" t="s">
        <v>31</v>
      </c>
      <c r="D712" s="2" t="s">
        <v>431</v>
      </c>
      <c r="E712" s="6">
        <v>1</v>
      </c>
      <c r="F712" s="6">
        <v>2</v>
      </c>
      <c r="G712" s="7">
        <v>0.7713844180107117</v>
      </c>
      <c r="H712" s="7">
        <v>49.72925546875</v>
      </c>
      <c r="I712" s="7">
        <v>30.1763084622966</v>
      </c>
      <c r="J712" s="7">
        <v>10.52514398236192</v>
      </c>
      <c r="K712" s="7">
        <v>4.718301527661838</v>
      </c>
      <c r="L712" s="7">
        <v>0.8981352898794006</v>
      </c>
      <c r="M712" s="7">
        <v>0.6862614448651058</v>
      </c>
      <c r="N712" s="7">
        <v>0.3619464570088143</v>
      </c>
      <c r="O712" s="7">
        <v>0.0512198267421922</v>
      </c>
      <c r="P712" s="7">
        <v>8.981481049560019</v>
      </c>
      <c r="Q712" s="7">
        <v>0.032788708590418</v>
      </c>
      <c r="R712" s="7">
        <v>0.0805220461460992</v>
      </c>
      <c r="S712" s="7">
        <v>0.1155696685580368</v>
      </c>
      <c r="T712" s="7">
        <v>1.892461483276613</v>
      </c>
    </row>
    <row x14ac:dyDescent="0.25" r="713" customHeight="1" ht="19.5">
      <c r="A713" s="2" t="s">
        <v>1771</v>
      </c>
      <c r="B713" s="2" t="s">
        <v>1060</v>
      </c>
      <c r="C713" s="2" t="s">
        <v>31</v>
      </c>
      <c r="D713" s="2" t="s">
        <v>431</v>
      </c>
      <c r="E713" s="6">
        <v>1</v>
      </c>
      <c r="F713" s="6">
        <v>2</v>
      </c>
      <c r="G713" s="7">
        <v>0.7630668878555298</v>
      </c>
      <c r="H713" s="7">
        <v>49.75696171875001</v>
      </c>
      <c r="I713" s="7">
        <v>30.12755581634277</v>
      </c>
      <c r="J713" s="7">
        <v>10.52238949723045</v>
      </c>
      <c r="K713" s="7">
        <v>4.71335246586775</v>
      </c>
      <c r="L713" s="7">
        <v>0.8980806130735066</v>
      </c>
      <c r="M713" s="7">
        <v>0.6888678525668459</v>
      </c>
      <c r="N713" s="7">
        <v>0.3619956952008823</v>
      </c>
      <c r="O713" s="7">
        <v>0.0511581426957711</v>
      </c>
      <c r="P713" s="7">
        <v>8.985739900134057</v>
      </c>
      <c r="Q713" s="7">
        <v>0.0326221570525632</v>
      </c>
      <c r="R713" s="7">
        <v>0.0788068663193247</v>
      </c>
      <c r="S713" s="7">
        <v>0.1162465950315161</v>
      </c>
      <c r="T713" s="7">
        <v>1.883897664372738</v>
      </c>
    </row>
    <row x14ac:dyDescent="0.25" r="714" customHeight="1" ht="19.5">
      <c r="A714" s="2" t="s">
        <v>1772</v>
      </c>
      <c r="B714" s="2" t="s">
        <v>1060</v>
      </c>
      <c r="C714" s="2" t="s">
        <v>31</v>
      </c>
      <c r="D714" s="2" t="s">
        <v>431</v>
      </c>
      <c r="E714" s="6">
        <v>1</v>
      </c>
      <c r="F714" s="6">
        <v>2</v>
      </c>
      <c r="G714" s="7">
        <v>0.7696564197540283</v>
      </c>
      <c r="H714" s="7">
        <v>49.89895625</v>
      </c>
      <c r="I714" s="7">
        <v>30.32848108791468</v>
      </c>
      <c r="J714" s="7">
        <v>10.5248193081525</v>
      </c>
      <c r="K714" s="7">
        <v>4.721271124013242</v>
      </c>
      <c r="L714" s="7">
        <v>0.897974058246159</v>
      </c>
      <c r="M714" s="7">
        <v>0.6817105333354344</v>
      </c>
      <c r="N714" s="7">
        <v>0.3628688470986539</v>
      </c>
      <c r="O714" s="7">
        <v>0.0513546108689301</v>
      </c>
      <c r="P714" s="7">
        <v>8.9781235023307</v>
      </c>
      <c r="Q714" s="7">
        <v>0.0327865761110419</v>
      </c>
      <c r="R714" s="7">
        <v>0.0801757942868919</v>
      </c>
      <c r="S714" s="7">
        <v>0.1169423118075308</v>
      </c>
      <c r="T714" s="7">
        <v>1.898795996520984</v>
      </c>
    </row>
    <row x14ac:dyDescent="0.25" r="715" customHeight="1" ht="19.5">
      <c r="A715" s="2" t="s">
        <v>1773</v>
      </c>
      <c r="B715" s="2" t="s">
        <v>1060</v>
      </c>
      <c r="C715" s="2" t="s">
        <v>31</v>
      </c>
      <c r="D715" s="2" t="s">
        <v>431</v>
      </c>
      <c r="E715" s="6">
        <v>1</v>
      </c>
      <c r="F715" s="6">
        <v>2</v>
      </c>
      <c r="G715" s="7">
        <v>0.7718241214752197</v>
      </c>
      <c r="H715" s="7">
        <v>49.78813125000001</v>
      </c>
      <c r="I715" s="7">
        <v>30.1763084622966</v>
      </c>
      <c r="J715" s="7">
        <v>10.5270112801617</v>
      </c>
      <c r="K715" s="7">
        <v>4.723253926217318</v>
      </c>
      <c r="L715" s="7">
        <v>0.8979389169985985</v>
      </c>
      <c r="M715" s="7">
        <v>0.6870739279462887</v>
      </c>
      <c r="N715" s="7">
        <v>0.3599564643759207</v>
      </c>
      <c r="O715" s="7">
        <v>0.051301447598617</v>
      </c>
      <c r="P715" s="7">
        <v>8.971652599198672</v>
      </c>
      <c r="Q715" s="7">
        <v>0.0331058612731576</v>
      </c>
      <c r="R715" s="7">
        <v>0.0806985563182264</v>
      </c>
      <c r="S715" s="7">
        <v>0.119446375864285</v>
      </c>
      <c r="T715" s="7">
        <v>1.913028749068577</v>
      </c>
    </row>
    <row x14ac:dyDescent="0.25" r="716" customHeight="1" ht="19.5">
      <c r="A716" s="2" t="s">
        <v>1774</v>
      </c>
      <c r="B716" s="2" t="s">
        <v>1060</v>
      </c>
      <c r="C716" s="2" t="s">
        <v>31</v>
      </c>
      <c r="D716" s="2" t="s">
        <v>431</v>
      </c>
      <c r="E716" s="6">
        <v>1</v>
      </c>
      <c r="F716" s="6">
        <v>2</v>
      </c>
      <c r="G716" s="7">
        <v>0.766028642654419</v>
      </c>
      <c r="H716" s="7">
        <v>50.03402421875001</v>
      </c>
      <c r="I716" s="7">
        <v>30.26544912256175</v>
      </c>
      <c r="J716" s="7">
        <v>10.52686754503479</v>
      </c>
      <c r="K716" s="7">
        <v>4.722691629474508</v>
      </c>
      <c r="L716" s="7">
        <v>0.8978228534557716</v>
      </c>
      <c r="M716" s="7">
        <v>0.6864059705751777</v>
      </c>
      <c r="N716" s="7">
        <v>0.3615262050298719</v>
      </c>
      <c r="O716" s="7">
        <v>0.051458921216768</v>
      </c>
      <c r="P716" s="7">
        <v>8.959585762377277</v>
      </c>
      <c r="Q716" s="7">
        <v>0.0322893566279152</v>
      </c>
      <c r="R716" s="7">
        <v>0.0800150860149204</v>
      </c>
      <c r="S716" s="7">
        <v>0.117551884934204</v>
      </c>
      <c r="T716" s="7">
        <v>1.875061886464435</v>
      </c>
    </row>
    <row x14ac:dyDescent="0.25" r="717" customHeight="1" ht="19.5">
      <c r="A717" s="2" t="s">
        <v>1775</v>
      </c>
      <c r="B717" s="2" t="s">
        <v>1060</v>
      </c>
      <c r="C717" s="2" t="s">
        <v>31</v>
      </c>
      <c r="D717" s="2" t="s">
        <v>431</v>
      </c>
      <c r="E717" s="6">
        <v>1</v>
      </c>
      <c r="F717" s="6">
        <v>2</v>
      </c>
      <c r="G717" s="7">
        <v>0.7669867873191833</v>
      </c>
      <c r="H717" s="7">
        <v>50.45654453125</v>
      </c>
      <c r="I717" s="7">
        <v>30.29400776135994</v>
      </c>
      <c r="J717" s="7">
        <v>10.52525779342591</v>
      </c>
      <c r="K717" s="7">
        <v>4.778254054307631</v>
      </c>
      <c r="L717" s="7">
        <v>0.8951796002754063</v>
      </c>
      <c r="M717" s="7">
        <v>0.690897950343087</v>
      </c>
      <c r="N717" s="7">
        <v>0.3621702238100387</v>
      </c>
      <c r="O717" s="7">
        <v>0.0513621729047059</v>
      </c>
      <c r="P717" s="7">
        <v>8.973172925207074</v>
      </c>
      <c r="Q717" s="7">
        <v>0.0325858707002469</v>
      </c>
      <c r="R717" s="7">
        <v>0.0799951592828046</v>
      </c>
      <c r="S717" s="7">
        <v>0.1208201088830392</v>
      </c>
      <c r="T717" s="7">
        <v>1.908260298807958</v>
      </c>
    </row>
    <row x14ac:dyDescent="0.25" r="718" customHeight="1" ht="19.5">
      <c r="A718" s="2" t="s">
        <v>1776</v>
      </c>
      <c r="B718" s="2" t="s">
        <v>1060</v>
      </c>
      <c r="C718" s="2" t="s">
        <v>31</v>
      </c>
      <c r="D718" s="2" t="s">
        <v>431</v>
      </c>
      <c r="E718" s="6">
        <v>1</v>
      </c>
      <c r="F718" s="6">
        <v>2</v>
      </c>
      <c r="G718" s="7">
        <v>0.7726447582244873</v>
      </c>
      <c r="H718" s="7">
        <v>49.75003515625</v>
      </c>
      <c r="I718" s="7">
        <v>30.22506110825044</v>
      </c>
      <c r="J718" s="7">
        <v>10.5236208141532</v>
      </c>
      <c r="K718" s="7">
        <v>4.714708477580063</v>
      </c>
      <c r="L718" s="7">
        <v>0.8979984484452224</v>
      </c>
      <c r="M718" s="7">
        <v>0.6843352024616334</v>
      </c>
      <c r="N718" s="7">
        <v>0.3585181687123081</v>
      </c>
      <c r="O718" s="7">
        <v>0.0511822436775414</v>
      </c>
      <c r="P718" s="7">
        <v>8.981730724543937</v>
      </c>
      <c r="Q718" s="7">
        <v>0.032807897265353</v>
      </c>
      <c r="R718" s="7">
        <v>0.0800439745032289</v>
      </c>
      <c r="S718" s="7">
        <v>0.1165638042374851</v>
      </c>
      <c r="T718" s="7">
        <v>1.894360233363228</v>
      </c>
    </row>
    <row x14ac:dyDescent="0.25" r="719" customHeight="1" ht="19.5">
      <c r="A719" s="2" t="s">
        <v>1777</v>
      </c>
      <c r="B719" s="2" t="s">
        <v>1060</v>
      </c>
      <c r="C719" s="2" t="s">
        <v>31</v>
      </c>
      <c r="D719" s="2" t="s">
        <v>431</v>
      </c>
      <c r="E719" s="6">
        <v>1</v>
      </c>
      <c r="F719" s="6">
        <v>2</v>
      </c>
      <c r="G719" s="7">
        <v>0.7712458968162537</v>
      </c>
      <c r="H719" s="7">
        <v>50.38035234375</v>
      </c>
      <c r="I719" s="7">
        <v>30.27381375420428</v>
      </c>
      <c r="J719" s="7">
        <v>10.52934279380592</v>
      </c>
      <c r="K719" s="7">
        <v>4.788337995704401</v>
      </c>
      <c r="L719" s="7">
        <v>0.8952073369033874</v>
      </c>
      <c r="M719" s="7">
        <v>0.6907752916784756</v>
      </c>
      <c r="N719" s="7">
        <v>0.3594151831084685</v>
      </c>
      <c r="O719" s="7">
        <v>0.0510365579297571</v>
      </c>
      <c r="P719" s="7">
        <v>8.984561931751738</v>
      </c>
      <c r="Q719" s="7">
        <v>0.0328561274453887</v>
      </c>
      <c r="R719" s="7">
        <v>0.080223418420956</v>
      </c>
      <c r="S719" s="7">
        <v>0.1175498754476424</v>
      </c>
      <c r="T719" s="7">
        <v>1.921181318763418</v>
      </c>
    </row>
    <row x14ac:dyDescent="0.25" r="720" customHeight="1" ht="19.5">
      <c r="A720" s="2" t="s">
        <v>1778</v>
      </c>
      <c r="B720" s="2" t="s">
        <v>1060</v>
      </c>
      <c r="C720" s="2" t="s">
        <v>31</v>
      </c>
      <c r="D720" s="2" t="s">
        <v>431</v>
      </c>
      <c r="E720" s="6">
        <v>1</v>
      </c>
      <c r="F720" s="6">
        <v>2</v>
      </c>
      <c r="G720" s="7">
        <v>0.7733862996101379</v>
      </c>
      <c r="H720" s="7">
        <v>49.86086015625001</v>
      </c>
      <c r="I720" s="7">
        <v>30.07880317038892</v>
      </c>
      <c r="J720" s="7">
        <v>10.52100310866002</v>
      </c>
      <c r="K720" s="7">
        <v>4.708047229643394</v>
      </c>
      <c r="L720" s="7">
        <v>0.8978863084768446</v>
      </c>
      <c r="M720" s="7">
        <v>0.6925458430245252</v>
      </c>
      <c r="N720" s="7">
        <v>0.3589222529069482</v>
      </c>
      <c r="O720" s="7">
        <v>0.051191525060346</v>
      </c>
      <c r="P720" s="7">
        <v>8.977805860634316</v>
      </c>
      <c r="Q720" s="7">
        <v>0.0327440333064931</v>
      </c>
      <c r="R720" s="7">
        <v>0.0801776690287788</v>
      </c>
      <c r="S720" s="7">
        <v>0.1164545397154278</v>
      </c>
      <c r="T720" s="7">
        <v>1.89488439727018</v>
      </c>
    </row>
    <row x14ac:dyDescent="0.25" r="721" customHeight="1" ht="19.5">
      <c r="A721" s="2" t="s">
        <v>1779</v>
      </c>
      <c r="B721" s="2" t="s">
        <v>1060</v>
      </c>
      <c r="C721" s="2" t="s">
        <v>31</v>
      </c>
      <c r="D721" s="2" t="s">
        <v>431</v>
      </c>
      <c r="E721" s="6">
        <v>1</v>
      </c>
      <c r="F721" s="6">
        <v>2</v>
      </c>
      <c r="G721" s="7">
        <v>0.7689645886421204</v>
      </c>
      <c r="H721" s="7">
        <v>49.81930078125</v>
      </c>
      <c r="I721" s="7">
        <v>30.25953443480519</v>
      </c>
      <c r="J721" s="7">
        <v>10.52136971808323</v>
      </c>
      <c r="K721" s="7">
        <v>4.708993753750224</v>
      </c>
      <c r="L721" s="7">
        <v>0.8983068959001237</v>
      </c>
      <c r="M721" s="7">
        <v>0.6837274376917223</v>
      </c>
      <c r="N721" s="7">
        <v>0.364217540476933</v>
      </c>
      <c r="O721" s="7">
        <v>0.0515589297608179</v>
      </c>
      <c r="P721" s="7">
        <v>8.969010878025214</v>
      </c>
      <c r="Q721" s="7">
        <v>0.0329426649167686</v>
      </c>
      <c r="R721" s="7">
        <v>0.080761044087031</v>
      </c>
      <c r="S721" s="7">
        <v>0.1190887032987433</v>
      </c>
      <c r="T721" s="7">
        <v>1.904790150534552</v>
      </c>
    </row>
    <row x14ac:dyDescent="0.25" r="722" customHeight="1" ht="19.5">
      <c r="A722" s="2" t="s">
        <v>1780</v>
      </c>
      <c r="B722" s="2" t="s">
        <v>1060</v>
      </c>
      <c r="C722" s="2" t="s">
        <v>31</v>
      </c>
      <c r="D722" s="2" t="s">
        <v>431</v>
      </c>
      <c r="E722" s="6">
        <v>1</v>
      </c>
      <c r="F722" s="6">
        <v>2</v>
      </c>
      <c r="G722" s="7">
        <v>0.7218746542930603</v>
      </c>
      <c r="H722" s="7">
        <v>50.7924828125</v>
      </c>
      <c r="I722" s="7">
        <v>30.53532104724317</v>
      </c>
      <c r="J722" s="7">
        <v>10.64677779525313</v>
      </c>
      <c r="K722" s="7">
        <v>4.796285135844487</v>
      </c>
      <c r="L722" s="7">
        <v>0.8968830127955084</v>
      </c>
      <c r="M722" s="7">
        <v>0.6845486610129053</v>
      </c>
      <c r="N722" s="7">
        <v>0.5314510887857471</v>
      </c>
      <c r="O722" s="7">
        <v>0.0706404664227629</v>
      </c>
      <c r="P722" s="7">
        <v>8.123501676878266</v>
      </c>
      <c r="Q722" s="7">
        <v>0.0202388185708606</v>
      </c>
      <c r="R722" s="7">
        <v>0.0608479198204921</v>
      </c>
      <c r="S722" s="7">
        <v>0.0807297960041771</v>
      </c>
      <c r="T722" s="7">
        <v>1.193095972297923</v>
      </c>
    </row>
    <row x14ac:dyDescent="0.25" r="723" customHeight="1" ht="19.5">
      <c r="A723" s="2" t="s">
        <v>1781</v>
      </c>
      <c r="B723" s="2" t="s">
        <v>1060</v>
      </c>
      <c r="C723" s="2" t="s">
        <v>31</v>
      </c>
      <c r="D723" s="2" t="s">
        <v>431</v>
      </c>
      <c r="E723" s="6">
        <v>1</v>
      </c>
      <c r="F723" s="6">
        <v>2</v>
      </c>
      <c r="G723" s="7">
        <v>0.7322500944137573</v>
      </c>
      <c r="H723" s="7">
        <v>34.84753593750001</v>
      </c>
      <c r="I723" s="7">
        <v>28.4142837202172</v>
      </c>
      <c r="J723" s="7">
        <v>10.98636085201346</v>
      </c>
      <c r="K723" s="7">
        <v>3.100943423647098</v>
      </c>
      <c r="L723" s="7">
        <v>0.9602345896621062</v>
      </c>
      <c r="M723" s="7">
        <v>0.5423860528912349</v>
      </c>
      <c r="N723" s="7">
        <v>0.5835967549540204</v>
      </c>
      <c r="O723" s="7">
        <v>0.0915455811988995</v>
      </c>
      <c r="P723" s="7">
        <v>7.360264714026135</v>
      </c>
      <c r="Q723" s="7">
        <v>0.0350303528301261</v>
      </c>
      <c r="R723" s="7">
        <v>0.0640258556506765</v>
      </c>
      <c r="S723" s="7">
        <v>0.0752793219348242</v>
      </c>
      <c r="T723" s="7">
        <v>1.416796144397857</v>
      </c>
    </row>
    <row x14ac:dyDescent="0.25" r="724" customHeight="1" ht="19.5">
      <c r="A724" s="2" t="s">
        <v>1782</v>
      </c>
      <c r="B724" s="2" t="s">
        <v>1060</v>
      </c>
      <c r="C724" s="2" t="s">
        <v>31</v>
      </c>
      <c r="D724" s="2" t="s">
        <v>431</v>
      </c>
      <c r="E724" s="6">
        <v>1</v>
      </c>
      <c r="F724" s="6">
        <v>2</v>
      </c>
      <c r="G724" s="7">
        <v>0.7449262738227844</v>
      </c>
      <c r="H724" s="7">
        <v>33.69426328125</v>
      </c>
      <c r="I724" s="7">
        <v>27.75684057179103</v>
      </c>
      <c r="J724" s="7">
        <v>10.63783614397617</v>
      </c>
      <c r="K724" s="7">
        <v>3.101634642344681</v>
      </c>
      <c r="L724" s="7">
        <v>0.9574762081909416</v>
      </c>
      <c r="M724" s="7">
        <v>0.5495734797224889</v>
      </c>
      <c r="N724" s="7">
        <v>0.5176725691042112</v>
      </c>
      <c r="O724" s="7">
        <v>0.0826955623248757</v>
      </c>
      <c r="P724" s="7">
        <v>7.635002365147832</v>
      </c>
      <c r="Q724" s="7">
        <v>0.0458038028170969</v>
      </c>
      <c r="R724" s="7">
        <v>0.0803695730761347</v>
      </c>
      <c r="S724" s="7">
        <v>0.1000307423151039</v>
      </c>
      <c r="T724" s="7">
        <v>1.791217326338678</v>
      </c>
    </row>
    <row x14ac:dyDescent="0.25" r="725" customHeight="1" ht="19.5">
      <c r="A725" s="2" t="s">
        <v>1783</v>
      </c>
      <c r="B725" s="2" t="s">
        <v>1060</v>
      </c>
      <c r="C725" s="2" t="s">
        <v>31</v>
      </c>
      <c r="D725" s="2" t="s">
        <v>431</v>
      </c>
      <c r="E725" s="6">
        <v>1</v>
      </c>
      <c r="F725" s="6">
        <v>2</v>
      </c>
      <c r="G725" s="7">
        <v>0.7500313520431519</v>
      </c>
      <c r="H725" s="7">
        <v>33.4068109375</v>
      </c>
      <c r="I725" s="7">
        <v>27.42393668175669</v>
      </c>
      <c r="J725" s="7">
        <v>10.520625</v>
      </c>
      <c r="K725" s="7">
        <v>3.098333333333333</v>
      </c>
      <c r="L725" s="7">
        <v>0.956673962326203</v>
      </c>
      <c r="M725" s="7">
        <v>0.5581941597105702</v>
      </c>
      <c r="N725" s="7">
        <v>0.4746452949609763</v>
      </c>
      <c r="O725" s="7">
        <v>0.0749259156281727</v>
      </c>
      <c r="P725" s="7">
        <v>7.846534976877207</v>
      </c>
      <c r="Q725" s="7">
        <v>0.0528593905538038</v>
      </c>
      <c r="R725" s="7">
        <v>0.0932958485657577</v>
      </c>
      <c r="S725" s="7">
        <v>0.1344200546672591</v>
      </c>
      <c r="T725" s="7">
        <v>2.049500133292181</v>
      </c>
    </row>
    <row x14ac:dyDescent="0.25" r="726" customHeight="1" ht="19.5">
      <c r="A726" s="2" t="s">
        <v>1784</v>
      </c>
      <c r="B726" s="2" t="s">
        <v>1060</v>
      </c>
      <c r="C726" s="2" t="s">
        <v>31</v>
      </c>
      <c r="D726" s="2" t="s">
        <v>431</v>
      </c>
      <c r="E726" s="6">
        <v>1</v>
      </c>
      <c r="F726" s="6">
        <v>2</v>
      </c>
      <c r="G726" s="7">
        <v>0.7568442821502686</v>
      </c>
      <c r="H726" s="7">
        <v>34.6120328125</v>
      </c>
      <c r="I726" s="7">
        <v>27.72236724523629</v>
      </c>
      <c r="J726" s="7">
        <v>10.52329982451898</v>
      </c>
      <c r="K726" s="7">
        <v>3.226422650817311</v>
      </c>
      <c r="L726" s="7">
        <v>0.9533803976270324</v>
      </c>
      <c r="M726" s="7">
        <v>0.5659477607445222</v>
      </c>
      <c r="N726" s="7">
        <v>0.4479210412333301</v>
      </c>
      <c r="O726" s="7">
        <v>0.0706488094773139</v>
      </c>
      <c r="P726" s="7">
        <v>8.027095387469087</v>
      </c>
      <c r="Q726" s="7">
        <v>0.0492251916054418</v>
      </c>
      <c r="R726" s="7">
        <v>0.0903172583698051</v>
      </c>
      <c r="S726" s="7">
        <v>0.1384972508842161</v>
      </c>
      <c r="T726" s="7">
        <v>1.977449048201238</v>
      </c>
    </row>
    <row x14ac:dyDescent="0.25" r="727" customHeight="1" ht="19.5">
      <c r="A727" s="2" t="s">
        <v>1785</v>
      </c>
      <c r="B727" s="2" t="s">
        <v>1060</v>
      </c>
      <c r="C727" s="2" t="s">
        <v>31</v>
      </c>
      <c r="D727" s="2" t="s">
        <v>431</v>
      </c>
      <c r="E727" s="6">
        <v>1</v>
      </c>
      <c r="F727" s="6">
        <v>2</v>
      </c>
      <c r="G727" s="7">
        <v>0.7567182183265686</v>
      </c>
      <c r="H727" s="7">
        <v>33.55226875</v>
      </c>
      <c r="I727" s="7">
        <v>27.59038862677387</v>
      </c>
      <c r="J727" s="7">
        <v>10.57978484347649</v>
      </c>
      <c r="K727" s="7">
        <v>3.101868480275357</v>
      </c>
      <c r="L727" s="7">
        <v>0.957024507592123</v>
      </c>
      <c r="M727" s="7">
        <v>0.553880556882088</v>
      </c>
      <c r="N727" s="7">
        <v>0.4562224708210153</v>
      </c>
      <c r="O727" s="7">
        <v>0.072112249989398</v>
      </c>
      <c r="P727" s="7">
        <v>7.958428007740279</v>
      </c>
      <c r="Q727" s="7">
        <v>0.0469281407924985</v>
      </c>
      <c r="R727" s="7">
        <v>0.0880101063144249</v>
      </c>
      <c r="S727" s="7">
        <v>0.1337934761271045</v>
      </c>
      <c r="T727" s="7">
        <v>1.827452176235268</v>
      </c>
    </row>
    <row x14ac:dyDescent="0.25" r="728" customHeight="1" ht="19.5">
      <c r="A728" s="2" t="s">
        <v>1786</v>
      </c>
      <c r="B728" s="2" t="s">
        <v>1060</v>
      </c>
      <c r="C728" s="2" t="s">
        <v>31</v>
      </c>
      <c r="D728" s="2" t="s">
        <v>431</v>
      </c>
      <c r="E728" s="6">
        <v>1</v>
      </c>
      <c r="F728" s="6">
        <v>2</v>
      </c>
      <c r="G728" s="7">
        <v>0.7543309926986694</v>
      </c>
      <c r="H728" s="7">
        <v>33.91245</v>
      </c>
      <c r="I728" s="7">
        <v>27.82578722490053</v>
      </c>
      <c r="J728" s="7">
        <v>10.69589651172241</v>
      </c>
      <c r="K728" s="7">
        <v>3.101429379731284</v>
      </c>
      <c r="L728" s="7">
        <v>0.9579411272145496</v>
      </c>
      <c r="M728" s="7">
        <v>0.5503945320292775</v>
      </c>
      <c r="N728" s="7">
        <v>0.4524703447786054</v>
      </c>
      <c r="O728" s="7">
        <v>0.0717686770788254</v>
      </c>
      <c r="P728" s="7">
        <v>7.991826804363145</v>
      </c>
      <c r="Q728" s="7">
        <v>0.0419551582756962</v>
      </c>
      <c r="R728" s="7">
        <v>0.0806701887748366</v>
      </c>
      <c r="S728" s="7">
        <v>0.1201404730767878</v>
      </c>
      <c r="T728" s="7">
        <v>1.651335473262833</v>
      </c>
    </row>
    <row x14ac:dyDescent="0.25" r="729" customHeight="1" ht="19.5">
      <c r="A729" s="2" t="s">
        <v>1787</v>
      </c>
      <c r="B729" s="2" t="s">
        <v>1060</v>
      </c>
      <c r="C729" s="2" t="s">
        <v>31</v>
      </c>
      <c r="D729" s="2" t="s">
        <v>431</v>
      </c>
      <c r="E729" s="6">
        <v>1</v>
      </c>
      <c r="F729" s="6">
        <v>2</v>
      </c>
      <c r="G729" s="7">
        <v>0.7632119059562683</v>
      </c>
      <c r="H729" s="7">
        <v>33.22325703125</v>
      </c>
      <c r="I729" s="7">
        <v>27.30623738269336</v>
      </c>
      <c r="J729" s="7">
        <v>10.4625</v>
      </c>
      <c r="K729" s="7">
        <v>3.098333333333333</v>
      </c>
      <c r="L729" s="7">
        <v>0.9561828874675148</v>
      </c>
      <c r="M729" s="7">
        <v>0.5599230515362457</v>
      </c>
      <c r="N729" s="7">
        <v>0.4675134419923636</v>
      </c>
      <c r="O729" s="7">
        <v>0.0736241210484429</v>
      </c>
      <c r="P729" s="7">
        <v>7.893226372744521</v>
      </c>
      <c r="Q729" s="7">
        <v>0.0518783811108067</v>
      </c>
      <c r="R729" s="7">
        <v>0.0943233560651616</v>
      </c>
      <c r="S729" s="7">
        <v>0.1409770045297942</v>
      </c>
      <c r="T729" s="7">
        <v>2.00041177123221</v>
      </c>
    </row>
    <row x14ac:dyDescent="0.25" r="730" customHeight="1" ht="19.5">
      <c r="A730" s="2" t="s">
        <v>1788</v>
      </c>
      <c r="B730" s="2" t="s">
        <v>1060</v>
      </c>
      <c r="C730" s="2" t="s">
        <v>31</v>
      </c>
      <c r="D730" s="2" t="s">
        <v>431</v>
      </c>
      <c r="E730" s="6">
        <v>1</v>
      </c>
      <c r="F730" s="6">
        <v>2</v>
      </c>
      <c r="G730" s="7">
        <v>0.7479641437530518</v>
      </c>
      <c r="H730" s="7">
        <v>33.4068109375</v>
      </c>
      <c r="I730" s="7">
        <v>27.42393668175669</v>
      </c>
      <c r="J730" s="7">
        <v>10.520625</v>
      </c>
      <c r="K730" s="7">
        <v>3.098333333333333</v>
      </c>
      <c r="L730" s="7">
        <v>0.956673962326203</v>
      </c>
      <c r="M730" s="7">
        <v>0.5581941597105702</v>
      </c>
      <c r="N730" s="7">
        <v>0.4634554418619739</v>
      </c>
      <c r="O730" s="7">
        <v>0.0733858078325736</v>
      </c>
      <c r="P730" s="7">
        <v>7.90093648831413</v>
      </c>
      <c r="Q730" s="7">
        <v>0.0472483125262716</v>
      </c>
      <c r="R730" s="7">
        <v>0.0897155492888955</v>
      </c>
      <c r="S730" s="7">
        <v>0.1373121893103097</v>
      </c>
      <c r="T730" s="7">
        <v>1.831943611265416</v>
      </c>
    </row>
    <row x14ac:dyDescent="0.25" r="731" customHeight="1" ht="19.5">
      <c r="A731" s="2" t="s">
        <v>1789</v>
      </c>
      <c r="B731" s="2" t="s">
        <v>1060</v>
      </c>
      <c r="C731" s="2" t="s">
        <v>31</v>
      </c>
      <c r="D731" s="2" t="s">
        <v>431</v>
      </c>
      <c r="E731" s="6">
        <v>1</v>
      </c>
      <c r="F731" s="6">
        <v>2</v>
      </c>
      <c r="G731" s="7">
        <v>0.7498739361763</v>
      </c>
      <c r="H731" s="7">
        <v>33.59036484375</v>
      </c>
      <c r="I731" s="7">
        <v>27.54163598082003</v>
      </c>
      <c r="J731" s="7">
        <v>10.57875</v>
      </c>
      <c r="K731" s="7">
        <v>3.098333333333333</v>
      </c>
      <c r="L731" s="7">
        <v>0.95715676266899</v>
      </c>
      <c r="M731" s="7">
        <v>0.5564743068735373</v>
      </c>
      <c r="N731" s="7">
        <v>0.4626610741049259</v>
      </c>
      <c r="O731" s="7">
        <v>0.0730667539565907</v>
      </c>
      <c r="P731" s="7">
        <v>7.937219658404019</v>
      </c>
      <c r="Q731" s="7">
        <v>0.050761017138825</v>
      </c>
      <c r="R731" s="7">
        <v>0.0914946232461362</v>
      </c>
      <c r="S731" s="7">
        <v>0.1291818499117765</v>
      </c>
      <c r="T731" s="7">
        <v>1.978954535598669</v>
      </c>
    </row>
    <row x14ac:dyDescent="0.25" r="732" customHeight="1" ht="19.5">
      <c r="A732" s="2" t="s">
        <v>1790</v>
      </c>
      <c r="B732" s="2" t="s">
        <v>1060</v>
      </c>
      <c r="C732" s="2" t="s">
        <v>31</v>
      </c>
      <c r="D732" s="2" t="s">
        <v>431</v>
      </c>
      <c r="E732" s="6">
        <v>1</v>
      </c>
      <c r="F732" s="6">
        <v>2</v>
      </c>
      <c r="G732" s="7">
        <v>0.7506303787231445</v>
      </c>
      <c r="H732" s="7">
        <v>33.898596875</v>
      </c>
      <c r="I732" s="7">
        <v>27.75684057179103</v>
      </c>
      <c r="J732" s="7">
        <v>10.69618604716948</v>
      </c>
      <c r="K732" s="7">
        <v>3.102487605479038</v>
      </c>
      <c r="L732" s="7">
        <v>0.9579210271939026</v>
      </c>
      <c r="M732" s="7">
        <v>0.5529062821999919</v>
      </c>
      <c r="N732" s="7">
        <v>0.4529262993862153</v>
      </c>
      <c r="O732" s="7">
        <v>0.0718169507811814</v>
      </c>
      <c r="P732" s="7">
        <v>7.994189907803743</v>
      </c>
      <c r="Q732" s="7">
        <v>0.0456446752128577</v>
      </c>
      <c r="R732" s="7">
        <v>0.083504784132809</v>
      </c>
      <c r="S732" s="7">
        <v>0.1190517418908391</v>
      </c>
      <c r="T732" s="7">
        <v>1.795819254036186</v>
      </c>
    </row>
    <row x14ac:dyDescent="0.25" r="733" customHeight="1" ht="19.5">
      <c r="A733" s="2" t="s">
        <v>1791</v>
      </c>
      <c r="B733" s="2" t="s">
        <v>1060</v>
      </c>
      <c r="C733" s="2" t="s">
        <v>31</v>
      </c>
      <c r="D733" s="2" t="s">
        <v>431</v>
      </c>
      <c r="E733" s="6">
        <v>1</v>
      </c>
      <c r="F733" s="6">
        <v>2</v>
      </c>
      <c r="G733" s="7">
        <v>0.7616012096405029</v>
      </c>
      <c r="H733" s="7">
        <v>33.5314890625</v>
      </c>
      <c r="I733" s="7">
        <v>27.57019461961821</v>
      </c>
      <c r="J733" s="7">
        <v>10.57923397660707</v>
      </c>
      <c r="K733" s="7">
        <v>3.100009361066118</v>
      </c>
      <c r="L733" s="7">
        <v>0.9570065705338554</v>
      </c>
      <c r="M733" s="7">
        <v>0.5543487088336578</v>
      </c>
      <c r="N733" s="7">
        <v>0.4641138670851409</v>
      </c>
      <c r="O733" s="7">
        <v>0.0733452263368576</v>
      </c>
      <c r="P733" s="7">
        <v>7.918906623662787</v>
      </c>
      <c r="Q733" s="7">
        <v>0.0438371003433982</v>
      </c>
      <c r="R733" s="7">
        <v>0.0806211867295044</v>
      </c>
      <c r="S733" s="7">
        <v>0.1217042301780791</v>
      </c>
      <c r="T733" s="7">
        <v>1.706025190607432</v>
      </c>
    </row>
    <row x14ac:dyDescent="0.25" r="734" customHeight="1" ht="19.5">
      <c r="A734" s="2" t="s">
        <v>1792</v>
      </c>
      <c r="B734" s="2" t="s">
        <v>1060</v>
      </c>
      <c r="C734" s="2" t="s">
        <v>31</v>
      </c>
      <c r="D734" s="2" t="s">
        <v>431</v>
      </c>
      <c r="E734" s="6">
        <v>1</v>
      </c>
      <c r="F734" s="6">
        <v>2</v>
      </c>
      <c r="G734" s="7">
        <v>0.7441567778587341</v>
      </c>
      <c r="H734" s="7">
        <v>33.926303125</v>
      </c>
      <c r="I734" s="7">
        <v>27.82578722490053</v>
      </c>
      <c r="J734" s="7">
        <v>10.69572292041699</v>
      </c>
      <c r="K734" s="7">
        <v>3.100829671710585</v>
      </c>
      <c r="L734" s="7">
        <v>0.9579906171989582</v>
      </c>
      <c r="M734" s="7">
        <v>0.5506193663969365</v>
      </c>
      <c r="N734" s="7">
        <v>0.4593886859211236</v>
      </c>
      <c r="O734" s="7">
        <v>0.0723315217313977</v>
      </c>
      <c r="P734" s="7">
        <v>7.971812440839262</v>
      </c>
      <c r="Q734" s="7">
        <v>0.0435556492231814</v>
      </c>
      <c r="R734" s="7">
        <v>0.0845460771721922</v>
      </c>
      <c r="S734" s="7">
        <v>0.1259801738184123</v>
      </c>
      <c r="T734" s="7">
        <v>1.715030349145827</v>
      </c>
    </row>
    <row x14ac:dyDescent="0.25" r="735" customHeight="1" ht="19.5">
      <c r="A735" s="2" t="s">
        <v>1793</v>
      </c>
      <c r="B735" s="2" t="s">
        <v>1060</v>
      </c>
      <c r="C735" s="2" t="s">
        <v>31</v>
      </c>
      <c r="D735" s="2" t="s">
        <v>431</v>
      </c>
      <c r="E735" s="6">
        <v>1</v>
      </c>
      <c r="F735" s="6">
        <v>2</v>
      </c>
      <c r="G735" s="7">
        <v>0.7542828321456909</v>
      </c>
      <c r="H735" s="7">
        <v>33.5591953125</v>
      </c>
      <c r="I735" s="7">
        <v>27.59038862677387</v>
      </c>
      <c r="J735" s="7">
        <v>10.57949033166689</v>
      </c>
      <c r="K735" s="7">
        <v>3.100862017582183</v>
      </c>
      <c r="L735" s="7">
        <v>0.957045431783862</v>
      </c>
      <c r="M735" s="7">
        <v>0.5539949005148053</v>
      </c>
      <c r="N735" s="7">
        <v>0.4621729348836783</v>
      </c>
      <c r="O735" s="7">
        <v>0.0729279029663305</v>
      </c>
      <c r="P735" s="7">
        <v>7.931409438668435</v>
      </c>
      <c r="Q735" s="7">
        <v>0.0490614362686205</v>
      </c>
      <c r="R735" s="7">
        <v>0.0895008069420214</v>
      </c>
      <c r="S735" s="7">
        <v>0.1282905363988165</v>
      </c>
      <c r="T735" s="7">
        <v>1.910920311977709</v>
      </c>
    </row>
    <row x14ac:dyDescent="0.25" r="736" customHeight="1" ht="19.5">
      <c r="A736" s="2" t="s">
        <v>1794</v>
      </c>
      <c r="B736" s="2" t="s">
        <v>1060</v>
      </c>
      <c r="C736" s="2" t="s">
        <v>31</v>
      </c>
      <c r="D736" s="2" t="s">
        <v>431</v>
      </c>
      <c r="E736" s="6">
        <v>1</v>
      </c>
      <c r="F736" s="6">
        <v>2</v>
      </c>
      <c r="G736" s="7">
        <v>0.7481220960617065</v>
      </c>
      <c r="H736" s="7">
        <v>33.74274921875</v>
      </c>
      <c r="I736" s="7">
        <v>27.7080879258372</v>
      </c>
      <c r="J736" s="7">
        <v>10.6376065460692</v>
      </c>
      <c r="K736" s="7">
        <v>3.100845733309195</v>
      </c>
      <c r="L736" s="7">
        <v>0.9575219986630472</v>
      </c>
      <c r="M736" s="7">
        <v>0.5523027606261404</v>
      </c>
      <c r="N736" s="7">
        <v>0.46002346135361</v>
      </c>
      <c r="O736" s="7">
        <v>0.0730810716178846</v>
      </c>
      <c r="P736" s="7">
        <v>7.942018190709517</v>
      </c>
      <c r="Q736" s="7">
        <v>0.0445979379309589</v>
      </c>
      <c r="R736" s="7">
        <v>0.0821136240113143</v>
      </c>
      <c r="S736" s="7">
        <v>0.1254576166886969</v>
      </c>
      <c r="T736" s="7">
        <v>1.74657010781369</v>
      </c>
    </row>
    <row x14ac:dyDescent="0.25" r="737" customHeight="1" ht="19.5">
      <c r="A737" s="2" t="s">
        <v>1795</v>
      </c>
      <c r="B737" s="2" t="s">
        <v>1060</v>
      </c>
      <c r="C737" s="2" t="s">
        <v>31</v>
      </c>
      <c r="D737" s="2" t="s">
        <v>431</v>
      </c>
      <c r="E737" s="6">
        <v>1</v>
      </c>
      <c r="F737" s="6">
        <v>2</v>
      </c>
      <c r="G737" s="7">
        <v>0.7571291327476501</v>
      </c>
      <c r="H737" s="7">
        <v>33.74274921875</v>
      </c>
      <c r="I737" s="7">
        <v>27.7080879258372</v>
      </c>
      <c r="J737" s="7">
        <v>10.63771099944481</v>
      </c>
      <c r="K737" s="7">
        <v>3.101204617125404</v>
      </c>
      <c r="L737" s="7">
        <v>0.9575245786664598</v>
      </c>
      <c r="M737" s="7">
        <v>0.5523027606261404</v>
      </c>
      <c r="N737" s="7">
        <v>0.4600311102333272</v>
      </c>
      <c r="O737" s="7">
        <v>0.0724293072881731</v>
      </c>
      <c r="P737" s="7">
        <v>7.954494630002679</v>
      </c>
      <c r="Q737" s="7">
        <v>0.0448075174630981</v>
      </c>
      <c r="R737" s="7">
        <v>0.0826458044594107</v>
      </c>
      <c r="S737" s="7">
        <v>0.1235032650258563</v>
      </c>
      <c r="T737" s="7">
        <v>1.754777782047658</v>
      </c>
    </row>
    <row x14ac:dyDescent="0.25" r="738" customHeight="1" ht="19.5">
      <c r="A738" s="2" t="s">
        <v>1796</v>
      </c>
      <c r="B738" s="2" t="s">
        <v>1060</v>
      </c>
      <c r="C738" s="2" t="s">
        <v>31</v>
      </c>
      <c r="D738" s="2" t="s">
        <v>431</v>
      </c>
      <c r="E738" s="6">
        <v>1</v>
      </c>
      <c r="F738" s="6">
        <v>2</v>
      </c>
      <c r="G738" s="7">
        <v>0.7492959499359131</v>
      </c>
      <c r="H738" s="7">
        <v>33.9055234375</v>
      </c>
      <c r="I738" s="7">
        <v>27.75684057179103</v>
      </c>
      <c r="J738" s="7">
        <v>10.69602711455183</v>
      </c>
      <c r="K738" s="7">
        <v>3.101930620661508</v>
      </c>
      <c r="L738" s="7">
        <v>0.9579435509066608</v>
      </c>
      <c r="M738" s="7">
        <v>0.5530192585551615</v>
      </c>
      <c r="N738" s="7">
        <v>0.4593520174901239</v>
      </c>
      <c r="O738" s="7">
        <v>0.0729326180277191</v>
      </c>
      <c r="P738" s="7">
        <v>7.958585700352083</v>
      </c>
      <c r="Q738" s="7">
        <v>0.0446762935537271</v>
      </c>
      <c r="R738" s="7">
        <v>0.0825773071757329</v>
      </c>
      <c r="S738" s="7">
        <v>0.1237740677108308</v>
      </c>
      <c r="T738" s="7">
        <v>1.758078931302638</v>
      </c>
    </row>
    <row x14ac:dyDescent="0.25" r="739" customHeight="1" ht="19.5">
      <c r="A739" s="2" t="s">
        <v>1797</v>
      </c>
      <c r="B739" s="2" t="s">
        <v>1060</v>
      </c>
      <c r="C739" s="2" t="s">
        <v>31</v>
      </c>
      <c r="D739" s="2" t="s">
        <v>431</v>
      </c>
      <c r="E739" s="6">
        <v>1</v>
      </c>
      <c r="F739" s="6">
        <v>2</v>
      </c>
      <c r="G739" s="7">
        <v>0.7549377679824829</v>
      </c>
      <c r="H739" s="7">
        <v>33.59036484375</v>
      </c>
      <c r="I739" s="7">
        <v>27.54163598082003</v>
      </c>
      <c r="J739" s="7">
        <v>10.57875</v>
      </c>
      <c r="K739" s="7">
        <v>3.098333333333333</v>
      </c>
      <c r="L739" s="7">
        <v>0.95715676266899</v>
      </c>
      <c r="M739" s="7">
        <v>0.5564743068735373</v>
      </c>
      <c r="N739" s="7">
        <v>0.461067078399172</v>
      </c>
      <c r="O739" s="7">
        <v>0.0733431244845128</v>
      </c>
      <c r="P739" s="7">
        <v>7.917886044644106</v>
      </c>
      <c r="Q739" s="7">
        <v>0.0468330235019429</v>
      </c>
      <c r="R739" s="7">
        <v>0.0839089738393512</v>
      </c>
      <c r="S739" s="7">
        <v>0.1219200568634615</v>
      </c>
      <c r="T739" s="7">
        <v>1.825818896053631</v>
      </c>
    </row>
    <row x14ac:dyDescent="0.25" r="740" customHeight="1" ht="19.5">
      <c r="A740" s="2" t="s">
        <v>1798</v>
      </c>
      <c r="B740" s="2" t="s">
        <v>1060</v>
      </c>
      <c r="C740" s="2" t="s">
        <v>31</v>
      </c>
      <c r="D740" s="2" t="s">
        <v>431</v>
      </c>
      <c r="E740" s="6">
        <v>1</v>
      </c>
      <c r="F740" s="6">
        <v>2</v>
      </c>
      <c r="G740" s="7">
        <v>0.74857497215271</v>
      </c>
      <c r="H740" s="7">
        <v>33.73582265625</v>
      </c>
      <c r="I740" s="7">
        <v>27.63914127272771</v>
      </c>
      <c r="J740" s="7">
        <v>10.63759345819067</v>
      </c>
      <c r="K740" s="7">
        <v>3.100835439100124</v>
      </c>
      <c r="L740" s="7">
        <v>0.9575212487326844</v>
      </c>
      <c r="M740" s="7">
        <v>0.5549477278733749</v>
      </c>
      <c r="N740" s="7">
        <v>0.4633653693040866</v>
      </c>
      <c r="O740" s="7">
        <v>0.0731460433500426</v>
      </c>
      <c r="P740" s="7">
        <v>7.932914500329325</v>
      </c>
      <c r="Q740" s="7">
        <v>0.043473825514058</v>
      </c>
      <c r="R740" s="7">
        <v>0.0821904298253895</v>
      </c>
      <c r="S740" s="7">
        <v>0.1251037100768642</v>
      </c>
      <c r="T740" s="7">
        <v>1.702197479184795</v>
      </c>
    </row>
    <row x14ac:dyDescent="0.25" r="741" customHeight="1" ht="19.5">
      <c r="A741" s="2" t="s">
        <v>1799</v>
      </c>
      <c r="B741" s="2" t="s">
        <v>1060</v>
      </c>
      <c r="C741" s="2" t="s">
        <v>31</v>
      </c>
      <c r="D741" s="2" t="s">
        <v>431</v>
      </c>
      <c r="E741" s="6">
        <v>1</v>
      </c>
      <c r="F741" s="6">
        <v>2</v>
      </c>
      <c r="G741" s="7">
        <v>0.7606269717216492</v>
      </c>
      <c r="H741" s="7">
        <v>33.77391875</v>
      </c>
      <c r="I741" s="7">
        <v>27.65933527988335</v>
      </c>
      <c r="J741" s="7">
        <v>10.636875</v>
      </c>
      <c r="K741" s="7">
        <v>3.098333333333333</v>
      </c>
      <c r="L741" s="7">
        <v>0.9576314748629589</v>
      </c>
      <c r="M741" s="7">
        <v>0.5547634505714379</v>
      </c>
      <c r="N741" s="7">
        <v>0.4624131630320942</v>
      </c>
      <c r="O741" s="7">
        <v>0.0726351262808208</v>
      </c>
      <c r="P741" s="7">
        <v>7.951914932914486</v>
      </c>
      <c r="Q741" s="7">
        <v>0.0488697783718228</v>
      </c>
      <c r="R741" s="7">
        <v>0.088805462141273</v>
      </c>
      <c r="S741" s="7">
        <v>0.128769926587673</v>
      </c>
      <c r="T741" s="7">
        <v>1.915634296425588</v>
      </c>
    </row>
    <row x14ac:dyDescent="0.25" r="742" customHeight="1" ht="19.5">
      <c r="A742" s="2" t="s">
        <v>1800</v>
      </c>
      <c r="B742" s="2" t="s">
        <v>1060</v>
      </c>
      <c r="C742" s="2" t="s">
        <v>31</v>
      </c>
      <c r="D742" s="2" t="s">
        <v>431</v>
      </c>
      <c r="E742" s="6">
        <v>1</v>
      </c>
      <c r="F742" s="6">
        <v>2</v>
      </c>
      <c r="G742" s="7">
        <v>0.759428083896637</v>
      </c>
      <c r="H742" s="7">
        <v>33.73582265625</v>
      </c>
      <c r="I742" s="7">
        <v>27.7080879258372</v>
      </c>
      <c r="J742" s="7">
        <v>10.63776980843718</v>
      </c>
      <c r="K742" s="7">
        <v>3.101406691456854</v>
      </c>
      <c r="L742" s="7">
        <v>0.9574982649852488</v>
      </c>
      <c r="M742" s="7">
        <v>0.5521893863552534</v>
      </c>
      <c r="N742" s="7">
        <v>0.4657531187345634</v>
      </c>
      <c r="O742" s="7">
        <v>0.0732402820121755</v>
      </c>
      <c r="P742" s="7">
        <v>7.930853749750185</v>
      </c>
      <c r="Q742" s="7">
        <v>0.0429141284767553</v>
      </c>
      <c r="R742" s="7">
        <v>0.080121052629424</v>
      </c>
      <c r="S742" s="7">
        <v>0.1244844780551912</v>
      </c>
      <c r="T742" s="7">
        <v>1.68028280122079</v>
      </c>
    </row>
    <row x14ac:dyDescent="0.25" r="743" customHeight="1" ht="19.5">
      <c r="A743" s="2" t="s">
        <v>1801</v>
      </c>
      <c r="B743" s="2" t="s">
        <v>1060</v>
      </c>
      <c r="C743" s="2" t="s">
        <v>31</v>
      </c>
      <c r="D743" s="2" t="s">
        <v>431</v>
      </c>
      <c r="E743" s="6">
        <v>1</v>
      </c>
      <c r="F743" s="6">
        <v>2</v>
      </c>
      <c r="G743" s="7">
        <v>0.7670334577560425</v>
      </c>
      <c r="H743" s="7">
        <v>33.90898671875</v>
      </c>
      <c r="I743" s="7">
        <v>27.79131389834578</v>
      </c>
      <c r="J743" s="7">
        <v>10.69649427418046</v>
      </c>
      <c r="K743" s="7">
        <v>3.103467235992454</v>
      </c>
      <c r="L743" s="7">
        <v>0.9579476142271476</v>
      </c>
      <c r="M743" s="7">
        <v>0.5517044883890134</v>
      </c>
      <c r="N743" s="7">
        <v>0.4575505761757251</v>
      </c>
      <c r="O743" s="7">
        <v>0.0721142313841562</v>
      </c>
      <c r="P743" s="7">
        <v>7.973348767244298</v>
      </c>
      <c r="Q743" s="7">
        <v>0.0413998911360547</v>
      </c>
      <c r="R743" s="7">
        <v>0.0797200194025698</v>
      </c>
      <c r="S743" s="7">
        <v>0.1232666306091569</v>
      </c>
      <c r="T743" s="7">
        <v>1.629314008115672</v>
      </c>
    </row>
    <row x14ac:dyDescent="0.25" r="744" customHeight="1" ht="19.5">
      <c r="A744" s="2" t="s">
        <v>1802</v>
      </c>
      <c r="B744" s="2" t="s">
        <v>1060</v>
      </c>
      <c r="C744" s="2" t="s">
        <v>31</v>
      </c>
      <c r="D744" s="2" t="s">
        <v>431</v>
      </c>
      <c r="E744" s="6">
        <v>1</v>
      </c>
      <c r="F744" s="6">
        <v>2</v>
      </c>
      <c r="G744" s="7">
        <v>0.7431033849716187</v>
      </c>
      <c r="H744" s="7">
        <v>33.7392859375</v>
      </c>
      <c r="I744" s="7">
        <v>27.67361459928245</v>
      </c>
      <c r="J744" s="7">
        <v>10.6372970159865</v>
      </c>
      <c r="K744" s="7">
        <v>3.099810892228188</v>
      </c>
      <c r="L744" s="7">
        <v>0.9575216277351342</v>
      </c>
      <c r="M744" s="7">
        <v>0.5536228084983247</v>
      </c>
      <c r="N744" s="7">
        <v>0.4859391354966278</v>
      </c>
      <c r="O744" s="7">
        <v>0.0766523140694515</v>
      </c>
      <c r="P744" s="7">
        <v>7.823904259756922</v>
      </c>
      <c r="Q744" s="7">
        <v>0.0444978741858401</v>
      </c>
      <c r="R744" s="7">
        <v>0.0788899301803477</v>
      </c>
      <c r="S744" s="7">
        <v>0.1171199227637622</v>
      </c>
      <c r="T744" s="7">
        <v>1.742472491962782</v>
      </c>
    </row>
    <row x14ac:dyDescent="0.25" r="745" customHeight="1" ht="19.5">
      <c r="A745" s="2" t="s">
        <v>1803</v>
      </c>
      <c r="B745" s="2" t="s">
        <v>1060</v>
      </c>
      <c r="C745" s="2" t="s">
        <v>31</v>
      </c>
      <c r="D745" s="2" t="s">
        <v>431</v>
      </c>
      <c r="E745" s="6">
        <v>1</v>
      </c>
      <c r="F745" s="6">
        <v>2</v>
      </c>
      <c r="G745" s="7">
        <v>0.7086207270622253</v>
      </c>
      <c r="H745" s="7">
        <v>32.8526859375</v>
      </c>
      <c r="I745" s="7">
        <v>27.03636545801194</v>
      </c>
      <c r="J745" s="7">
        <v>10.34656965324062</v>
      </c>
      <c r="K745" s="7">
        <v>3.099394919586136</v>
      </c>
      <c r="L745" s="7">
        <v>0.955174770244121</v>
      </c>
      <c r="M745" s="7">
        <v>0.5647862686636903</v>
      </c>
      <c r="N745" s="7">
        <v>0.5765924002559165</v>
      </c>
      <c r="O745" s="7">
        <v>0.0905524858024682</v>
      </c>
      <c r="P745" s="7">
        <v>7.384106469903363</v>
      </c>
      <c r="Q745" s="7">
        <v>0.032938776821582</v>
      </c>
      <c r="R745" s="7">
        <v>0.0567707024129643</v>
      </c>
      <c r="S745" s="7">
        <v>0.0655012841437443</v>
      </c>
      <c r="T745" s="7">
        <v>1.255940686327595</v>
      </c>
    </row>
    <row x14ac:dyDescent="0.25" r="746" customHeight="1" ht="19.5">
      <c r="A746" s="2" t="s">
        <v>1804</v>
      </c>
      <c r="B746" s="2" t="s">
        <v>1060</v>
      </c>
      <c r="C746" s="2" t="s">
        <v>31</v>
      </c>
      <c r="D746" s="2" t="s">
        <v>431</v>
      </c>
      <c r="E746" s="6">
        <v>1</v>
      </c>
      <c r="F746" s="6">
        <v>2</v>
      </c>
      <c r="G746" s="7">
        <v>0.7243368029594421</v>
      </c>
      <c r="H746" s="7">
        <v>33.0327765625</v>
      </c>
      <c r="I746" s="7">
        <v>27.11959143052053</v>
      </c>
      <c r="J746" s="7">
        <v>10.404375</v>
      </c>
      <c r="K746" s="7">
        <v>3.098333333333333</v>
      </c>
      <c r="L746" s="7">
        <v>0.955682610463563</v>
      </c>
      <c r="M746" s="7">
        <v>0.5644021493834138</v>
      </c>
      <c r="N746" s="7">
        <v>0.5207462419718901</v>
      </c>
      <c r="O746" s="7">
        <v>0.0825472951543575</v>
      </c>
      <c r="P746" s="7">
        <v>7.632801166695901</v>
      </c>
      <c r="Q746" s="7">
        <v>0.0337263923804304</v>
      </c>
      <c r="R746" s="7">
        <v>0.060237920945154</v>
      </c>
      <c r="S746" s="7">
        <v>0.0712184656462468</v>
      </c>
      <c r="T746" s="7">
        <v>1.29302150575434</v>
      </c>
    </row>
    <row x14ac:dyDescent="0.25" r="747" customHeight="1" ht="19.5">
      <c r="A747" s="2" t="s">
        <v>1805</v>
      </c>
      <c r="B747" s="2" t="s">
        <v>1060</v>
      </c>
      <c r="C747" s="2" t="s">
        <v>31</v>
      </c>
      <c r="D747" s="2" t="s">
        <v>431</v>
      </c>
      <c r="E747" s="6">
        <v>1</v>
      </c>
      <c r="F747" s="6">
        <v>2</v>
      </c>
      <c r="G747" s="7">
        <v>0.7433818578720093</v>
      </c>
      <c r="H747" s="7">
        <v>32.596403125</v>
      </c>
      <c r="I747" s="7">
        <v>27.18853808363002</v>
      </c>
      <c r="J747" s="7">
        <v>10.4625</v>
      </c>
      <c r="K747" s="7">
        <v>3.03875</v>
      </c>
      <c r="L747" s="7">
        <v>0.9578574228406034</v>
      </c>
      <c r="M747" s="7">
        <v>0.5541251111408544</v>
      </c>
      <c r="N747" s="7">
        <v>0.4847929950130057</v>
      </c>
      <c r="O747" s="7">
        <v>0.0777079792718049</v>
      </c>
      <c r="P747" s="7">
        <v>7.796567425837773</v>
      </c>
      <c r="Q747" s="7">
        <v>0.0302957036374633</v>
      </c>
      <c r="R747" s="7">
        <v>0.0562604471616286</v>
      </c>
      <c r="S747" s="7">
        <v>0.072122189836694</v>
      </c>
      <c r="T747" s="7">
        <v>1.146150119298426</v>
      </c>
    </row>
    <row x14ac:dyDescent="0.25" r="748" customHeight="1" ht="19.5">
      <c r="A748" s="2" t="s">
        <v>1806</v>
      </c>
      <c r="B748" s="2" t="s">
        <v>1060</v>
      </c>
      <c r="C748" s="2" t="s">
        <v>31</v>
      </c>
      <c r="D748" s="2" t="s">
        <v>431</v>
      </c>
      <c r="E748" s="6">
        <v>1</v>
      </c>
      <c r="F748" s="6">
        <v>2</v>
      </c>
      <c r="G748" s="7">
        <v>0.7438873648643494</v>
      </c>
      <c r="H748" s="7">
        <v>32.55830703125</v>
      </c>
      <c r="I748" s="7">
        <v>27.2860433755377</v>
      </c>
      <c r="J748" s="7">
        <v>10.46531323258827</v>
      </c>
      <c r="K748" s="7">
        <v>3.048450217505319</v>
      </c>
      <c r="L748" s="7">
        <v>0.9578126030014268</v>
      </c>
      <c r="M748" s="7">
        <v>0.5495289137643786</v>
      </c>
      <c r="N748" s="7">
        <v>0.4893816812366702</v>
      </c>
      <c r="O748" s="7">
        <v>0.0783981562933906</v>
      </c>
      <c r="P748" s="7">
        <v>7.786136116716557</v>
      </c>
      <c r="Q748" s="7">
        <v>0.0331349740338326</v>
      </c>
      <c r="R748" s="7">
        <v>0.059076476696744</v>
      </c>
      <c r="S748" s="7">
        <v>0.0764386009253482</v>
      </c>
      <c r="T748" s="7">
        <v>1.25210061537975</v>
      </c>
    </row>
    <row x14ac:dyDescent="0.25" r="749" customHeight="1" ht="19.5">
      <c r="A749" s="2" t="s">
        <v>1807</v>
      </c>
      <c r="B749" s="2" t="s">
        <v>1060</v>
      </c>
      <c r="C749" s="2" t="s">
        <v>31</v>
      </c>
      <c r="D749" s="2" t="s">
        <v>431</v>
      </c>
      <c r="E749" s="6">
        <v>1</v>
      </c>
      <c r="F749" s="6">
        <v>2</v>
      </c>
      <c r="G749" s="7">
        <v>0.7311962246894836</v>
      </c>
      <c r="H749" s="7">
        <v>33.22325703125</v>
      </c>
      <c r="I749" s="7">
        <v>27.30623738269336</v>
      </c>
      <c r="J749" s="7">
        <v>10.4625</v>
      </c>
      <c r="K749" s="7">
        <v>3.098333333333333</v>
      </c>
      <c r="L749" s="7">
        <v>0.9561828874675148</v>
      </c>
      <c r="M749" s="7">
        <v>0.5599230515362457</v>
      </c>
      <c r="N749" s="7">
        <v>0.4848960347689253</v>
      </c>
      <c r="O749" s="7">
        <v>0.0768671023246366</v>
      </c>
      <c r="P749" s="7">
        <v>7.82894092918151</v>
      </c>
      <c r="Q749" s="7">
        <v>0.0299190612439563</v>
      </c>
      <c r="R749" s="7">
        <v>0.0560878149873665</v>
      </c>
      <c r="S749" s="7">
        <v>0.0748238815190528</v>
      </c>
      <c r="T749" s="7">
        <v>1.153668272122705</v>
      </c>
    </row>
    <row x14ac:dyDescent="0.25" r="750" customHeight="1" ht="19.5">
      <c r="A750" s="2" t="s">
        <v>1808</v>
      </c>
      <c r="B750" s="2" t="s">
        <v>1060</v>
      </c>
      <c r="C750" s="2" t="s">
        <v>31</v>
      </c>
      <c r="D750" s="2" t="s">
        <v>431</v>
      </c>
      <c r="E750" s="6">
        <v>1</v>
      </c>
      <c r="F750" s="6">
        <v>2</v>
      </c>
      <c r="G750" s="7">
        <v>0.7298640608787537</v>
      </c>
      <c r="H750" s="7">
        <v>33.22325703125</v>
      </c>
      <c r="I750" s="7">
        <v>27.30623738269336</v>
      </c>
      <c r="J750" s="7">
        <v>10.4625</v>
      </c>
      <c r="K750" s="7">
        <v>3.098333333333333</v>
      </c>
      <c r="L750" s="7">
        <v>0.9561828874675148</v>
      </c>
      <c r="M750" s="7">
        <v>0.5599230515362457</v>
      </c>
      <c r="N750" s="7">
        <v>0.4774663562360252</v>
      </c>
      <c r="O750" s="7">
        <v>0.0766460260891642</v>
      </c>
      <c r="P750" s="7">
        <v>7.835096530421949</v>
      </c>
      <c r="Q750" s="7">
        <v>0.0317711386195974</v>
      </c>
      <c r="R750" s="7">
        <v>0.0571451736276079</v>
      </c>
      <c r="S750" s="7">
        <v>0.0727850707131291</v>
      </c>
      <c r="T750" s="7">
        <v>1.225083711543454</v>
      </c>
    </row>
    <row x14ac:dyDescent="0.25" r="751" customHeight="1" ht="19.5">
      <c r="A751" s="2" t="s">
        <v>1809</v>
      </c>
      <c r="B751" s="2" t="s">
        <v>1060</v>
      </c>
      <c r="C751" s="2" t="s">
        <v>31</v>
      </c>
      <c r="D751" s="2" t="s">
        <v>431</v>
      </c>
      <c r="E751" s="6">
        <v>1</v>
      </c>
      <c r="F751" s="6">
        <v>2</v>
      </c>
      <c r="G751" s="7">
        <v>0.7385773658752441</v>
      </c>
      <c r="H751" s="7">
        <v>33.03623984375</v>
      </c>
      <c r="I751" s="7">
        <v>27.15406475707528</v>
      </c>
      <c r="J751" s="7">
        <v>10.40469076588096</v>
      </c>
      <c r="K751" s="7">
        <v>3.099387933260103</v>
      </c>
      <c r="L751" s="7">
        <v>0.955682980651348</v>
      </c>
      <c r="M751" s="7">
        <v>0.563029014299406</v>
      </c>
      <c r="N751" s="7">
        <v>0.4890072635267655</v>
      </c>
      <c r="O751" s="7">
        <v>0.0775355197025721</v>
      </c>
      <c r="P751" s="7">
        <v>7.80022842327214</v>
      </c>
      <c r="Q751" s="7">
        <v>0.0310466355729646</v>
      </c>
      <c r="R751" s="7">
        <v>0.0561352591413814</v>
      </c>
      <c r="S751" s="7">
        <v>0.0708901138113266</v>
      </c>
      <c r="T751" s="7">
        <v>1.190408267498608</v>
      </c>
    </row>
    <row x14ac:dyDescent="0.25" r="752" customHeight="1" ht="19.5">
      <c r="A752" s="2" t="s">
        <v>1810</v>
      </c>
      <c r="B752" s="2" t="s">
        <v>1060</v>
      </c>
      <c r="C752" s="2" t="s">
        <v>31</v>
      </c>
      <c r="D752" s="2" t="s">
        <v>431</v>
      </c>
      <c r="E752" s="6">
        <v>1</v>
      </c>
      <c r="F752" s="6">
        <v>2</v>
      </c>
      <c r="G752" s="7">
        <v>0.7349095344543457</v>
      </c>
      <c r="H752" s="7">
        <v>33.21979375</v>
      </c>
      <c r="I752" s="7">
        <v>27.27176405613861</v>
      </c>
      <c r="J752" s="7">
        <v>10.46281195112434</v>
      </c>
      <c r="K752" s="7">
        <v>3.099381044921869</v>
      </c>
      <c r="L752" s="7">
        <v>0.9561825271678558</v>
      </c>
      <c r="M752" s="7">
        <v>0.5612809907606346</v>
      </c>
      <c r="N752" s="7">
        <v>0.4856254462502428</v>
      </c>
      <c r="O752" s="7">
        <v>0.0773829660443292</v>
      </c>
      <c r="P752" s="7">
        <v>7.814695749467868</v>
      </c>
      <c r="Q752" s="7">
        <v>0.0312523126427862</v>
      </c>
      <c r="R752" s="7">
        <v>0.0601961463916299</v>
      </c>
      <c r="S752" s="7">
        <v>0.0740370285900273</v>
      </c>
      <c r="T752" s="7">
        <v>1.204952347383428</v>
      </c>
    </row>
    <row x14ac:dyDescent="0.25" r="753" customHeight="1" ht="19.5">
      <c r="A753" s="2" t="s">
        <v>1811</v>
      </c>
      <c r="B753" s="2" t="s">
        <v>1060</v>
      </c>
      <c r="C753" s="2" t="s">
        <v>31</v>
      </c>
      <c r="D753" s="2" t="s">
        <v>431</v>
      </c>
      <c r="E753" s="6">
        <v>1</v>
      </c>
      <c r="F753" s="6">
        <v>2</v>
      </c>
      <c r="G753" s="7">
        <v>0.7282145619392395</v>
      </c>
      <c r="H753" s="7">
        <v>33.21633046875</v>
      </c>
      <c r="I753" s="7">
        <v>27.23729072958386</v>
      </c>
      <c r="J753" s="7">
        <v>10.4625</v>
      </c>
      <c r="K753" s="7">
        <v>3.098333333333333</v>
      </c>
      <c r="L753" s="7">
        <v>0.9561821624277996</v>
      </c>
      <c r="M753" s="7">
        <v>0.5626440152338118</v>
      </c>
      <c r="N753" s="7">
        <v>0.4818824477354896</v>
      </c>
      <c r="O753" s="7">
        <v>0.0763689204430404</v>
      </c>
      <c r="P753" s="7">
        <v>7.84597983427495</v>
      </c>
      <c r="Q753" s="7">
        <v>0.0317184905283917</v>
      </c>
      <c r="R753" s="7">
        <v>0.0581357029367375</v>
      </c>
      <c r="S753" s="7">
        <v>0.0733023600976759</v>
      </c>
      <c r="T753" s="7">
        <v>1.222798631260179</v>
      </c>
    </row>
    <row x14ac:dyDescent="0.25" r="754" customHeight="1" ht="19.5">
      <c r="A754" s="2" t="s">
        <v>1812</v>
      </c>
      <c r="B754" s="2" t="s">
        <v>1060</v>
      </c>
      <c r="C754" s="2" t="s">
        <v>31</v>
      </c>
      <c r="D754" s="2" t="s">
        <v>431</v>
      </c>
      <c r="E754" s="6">
        <v>1</v>
      </c>
      <c r="F754" s="6">
        <v>2</v>
      </c>
      <c r="G754" s="7">
        <v>0.736354649066925</v>
      </c>
      <c r="H754" s="7">
        <v>33.21979375</v>
      </c>
      <c r="I754" s="7">
        <v>27.27176405613861</v>
      </c>
      <c r="J754" s="7">
        <v>10.46281195112434</v>
      </c>
      <c r="K754" s="7">
        <v>3.099381044921869</v>
      </c>
      <c r="L754" s="7">
        <v>0.9561825271678558</v>
      </c>
      <c r="M754" s="7">
        <v>0.5612809907606346</v>
      </c>
      <c r="N754" s="7">
        <v>0.4856346101771024</v>
      </c>
      <c r="O754" s="7">
        <v>0.0770204111732358</v>
      </c>
      <c r="P754" s="7">
        <v>7.81020968196706</v>
      </c>
      <c r="Q754" s="7">
        <v>0.0330914237175356</v>
      </c>
      <c r="R754" s="7">
        <v>0.0582475171341093</v>
      </c>
      <c r="S754" s="7">
        <v>0.0722279352375328</v>
      </c>
      <c r="T754" s="7">
        <v>1.275860418473957</v>
      </c>
    </row>
    <row x14ac:dyDescent="0.25" r="755" customHeight="1" ht="19.5">
      <c r="A755" s="2" t="s">
        <v>1813</v>
      </c>
      <c r="B755" s="2" t="s">
        <v>1060</v>
      </c>
      <c r="C755" s="2" t="s">
        <v>31</v>
      </c>
      <c r="D755" s="2" t="s">
        <v>431</v>
      </c>
      <c r="E755" s="6">
        <v>1</v>
      </c>
      <c r="F755" s="6">
        <v>2</v>
      </c>
      <c r="G755" s="7">
        <v>0.7383124232292175</v>
      </c>
      <c r="H755" s="7">
        <v>32.596403125</v>
      </c>
      <c r="I755" s="7">
        <v>27.18853808363002</v>
      </c>
      <c r="J755" s="7">
        <v>10.4625</v>
      </c>
      <c r="K755" s="7">
        <v>3.03875</v>
      </c>
      <c r="L755" s="7">
        <v>0.9578574228406034</v>
      </c>
      <c r="M755" s="7">
        <v>0.5541251111408544</v>
      </c>
      <c r="N755" s="7">
        <v>0.4849132012426506</v>
      </c>
      <c r="O755" s="7">
        <v>0.0775108088606408</v>
      </c>
      <c r="P755" s="7">
        <v>7.803011592567567</v>
      </c>
      <c r="Q755" s="7">
        <v>0.0337641765798818</v>
      </c>
      <c r="R755" s="7">
        <v>0.06112912186698</v>
      </c>
      <c r="S755" s="7">
        <v>0.0739092927307231</v>
      </c>
      <c r="T755" s="7">
        <v>1.277369737905348</v>
      </c>
    </row>
    <row x14ac:dyDescent="0.25" r="756" customHeight="1" ht="19.5">
      <c r="A756" s="2" t="s">
        <v>1814</v>
      </c>
      <c r="B756" s="2" t="s">
        <v>1060</v>
      </c>
      <c r="C756" s="2" t="s">
        <v>31</v>
      </c>
      <c r="D756" s="2" t="s">
        <v>431</v>
      </c>
      <c r="E756" s="6">
        <v>1</v>
      </c>
      <c r="F756" s="6">
        <v>2</v>
      </c>
      <c r="G756" s="7">
        <v>0.7440838813781738</v>
      </c>
      <c r="H756" s="7">
        <v>33.21979375</v>
      </c>
      <c r="I756" s="7">
        <v>27.27176405613861</v>
      </c>
      <c r="J756" s="7">
        <v>10.46281195112434</v>
      </c>
      <c r="K756" s="7">
        <v>3.099381044921869</v>
      </c>
      <c r="L756" s="7">
        <v>0.9561825271678558</v>
      </c>
      <c r="M756" s="7">
        <v>0.5612809907606346</v>
      </c>
      <c r="N756" s="7">
        <v>0.4857427156545897</v>
      </c>
      <c r="O756" s="7">
        <v>0.0772359819225131</v>
      </c>
      <c r="P756" s="7">
        <v>7.812006254215217</v>
      </c>
      <c r="Q756" s="7">
        <v>0.0314491302940268</v>
      </c>
      <c r="R756" s="7">
        <v>0.0571737989626976</v>
      </c>
      <c r="S756" s="7">
        <v>0.070895566133202</v>
      </c>
      <c r="T756" s="7">
        <v>1.212540774312965</v>
      </c>
    </row>
    <row x14ac:dyDescent="0.25" r="757" customHeight="1" ht="19.5">
      <c r="A757" s="2" t="s">
        <v>1815</v>
      </c>
      <c r="B757" s="2" t="s">
        <v>1060</v>
      </c>
      <c r="C757" s="2" t="s">
        <v>31</v>
      </c>
      <c r="D757" s="2" t="s">
        <v>431</v>
      </c>
      <c r="E757" s="6">
        <v>1</v>
      </c>
      <c r="F757" s="6">
        <v>2</v>
      </c>
      <c r="G757" s="7">
        <v>0.7321054935455322</v>
      </c>
      <c r="H757" s="7">
        <v>33.03623984375</v>
      </c>
      <c r="I757" s="7">
        <v>27.15406475707528</v>
      </c>
      <c r="J757" s="7">
        <v>10.40469076588096</v>
      </c>
      <c r="K757" s="7">
        <v>3.099387933260103</v>
      </c>
      <c r="L757" s="7">
        <v>0.955682980651348</v>
      </c>
      <c r="M757" s="7">
        <v>0.563029014299406</v>
      </c>
      <c r="N757" s="7">
        <v>0.4902440275516417</v>
      </c>
      <c r="O757" s="7">
        <v>0.0775724886086818</v>
      </c>
      <c r="P757" s="7">
        <v>7.792004871833769</v>
      </c>
      <c r="Q757" s="7">
        <v>0.0353287383725714</v>
      </c>
      <c r="R757" s="7">
        <v>0.0650931159633015</v>
      </c>
      <c r="S757" s="7">
        <v>0.0795767429155225</v>
      </c>
      <c r="T757" s="7">
        <v>1.354595158633752</v>
      </c>
    </row>
    <row x14ac:dyDescent="0.25" r="758" customHeight="1" ht="19.5">
      <c r="A758" s="2" t="s">
        <v>1816</v>
      </c>
      <c r="B758" s="2" t="s">
        <v>1060</v>
      </c>
      <c r="C758" s="2" t="s">
        <v>31</v>
      </c>
      <c r="D758" s="2" t="s">
        <v>431</v>
      </c>
      <c r="E758" s="6">
        <v>1</v>
      </c>
      <c r="F758" s="6">
        <v>2</v>
      </c>
      <c r="G758" s="7">
        <v>0.7265875339508057</v>
      </c>
      <c r="H758" s="7">
        <v>33.21979375</v>
      </c>
      <c r="I758" s="7">
        <v>27.27176405613861</v>
      </c>
      <c r="J758" s="7">
        <v>10.46281195112434</v>
      </c>
      <c r="K758" s="7">
        <v>3.099381044921869</v>
      </c>
      <c r="L758" s="7">
        <v>0.9561825271678558</v>
      </c>
      <c r="M758" s="7">
        <v>0.5612809907606346</v>
      </c>
      <c r="N758" s="7">
        <v>0.4900185261715533</v>
      </c>
      <c r="O758" s="7">
        <v>0.0772811793110087</v>
      </c>
      <c r="P758" s="7">
        <v>7.810675992731761</v>
      </c>
      <c r="Q758" s="7">
        <v>0.0325407036569985</v>
      </c>
      <c r="R758" s="7">
        <v>0.0618854975571453</v>
      </c>
      <c r="S758" s="7">
        <v>0.0744218763288316</v>
      </c>
      <c r="T758" s="7">
        <v>1.254627064088949</v>
      </c>
    </row>
    <row x14ac:dyDescent="0.25" r="759" customHeight="1" ht="19.5">
      <c r="A759" s="2" t="s">
        <v>1817</v>
      </c>
      <c r="B759" s="2" t="s">
        <v>1060</v>
      </c>
      <c r="C759" s="2" t="s">
        <v>31</v>
      </c>
      <c r="D759" s="2" t="s">
        <v>431</v>
      </c>
      <c r="E759" s="6">
        <v>1</v>
      </c>
      <c r="F759" s="6">
        <v>2</v>
      </c>
      <c r="G759" s="7">
        <v>0.7332528829574585</v>
      </c>
      <c r="H759" s="7">
        <v>33.21633046875</v>
      </c>
      <c r="I759" s="7">
        <v>27.23729072958386</v>
      </c>
      <c r="J759" s="7">
        <v>10.4625</v>
      </c>
      <c r="K759" s="7">
        <v>3.098333333333333</v>
      </c>
      <c r="L759" s="7">
        <v>0.9561821624277996</v>
      </c>
      <c r="M759" s="7">
        <v>0.5626440152338118</v>
      </c>
      <c r="N759" s="7">
        <v>0.4855409686185206</v>
      </c>
      <c r="O759" s="7">
        <v>0.077051049129016</v>
      </c>
      <c r="P759" s="7">
        <v>7.827559864429904</v>
      </c>
      <c r="Q759" s="7">
        <v>0.0318892564485888</v>
      </c>
      <c r="R759" s="7">
        <v>0.0569404847173798</v>
      </c>
      <c r="S759" s="7">
        <v>0.0728137298850752</v>
      </c>
      <c r="T759" s="7">
        <v>1.229381931095837</v>
      </c>
    </row>
    <row x14ac:dyDescent="0.25" r="760" customHeight="1" ht="19.5">
      <c r="A760" s="2" t="s">
        <v>1818</v>
      </c>
      <c r="B760" s="2" t="s">
        <v>1060</v>
      </c>
      <c r="C760" s="2" t="s">
        <v>31</v>
      </c>
      <c r="D760" s="2" t="s">
        <v>431</v>
      </c>
      <c r="E760" s="6">
        <v>1</v>
      </c>
      <c r="F760" s="6">
        <v>2</v>
      </c>
      <c r="G760" s="7">
        <v>0.7394689321517944</v>
      </c>
      <c r="H760" s="7">
        <v>32.596403125</v>
      </c>
      <c r="I760" s="7">
        <v>27.18853808363002</v>
      </c>
      <c r="J760" s="7">
        <v>10.4625</v>
      </c>
      <c r="K760" s="7">
        <v>3.03875</v>
      </c>
      <c r="L760" s="7">
        <v>0.9578574228406034</v>
      </c>
      <c r="M760" s="7">
        <v>0.5541251111408544</v>
      </c>
      <c r="N760" s="7">
        <v>0.4829522488013928</v>
      </c>
      <c r="O760" s="7">
        <v>0.0776650200429769</v>
      </c>
      <c r="P760" s="7">
        <v>7.797131945982373</v>
      </c>
      <c r="Q760" s="7">
        <v>0.0325949843989158</v>
      </c>
      <c r="R760" s="7">
        <v>0.0576997150681552</v>
      </c>
      <c r="S760" s="7">
        <v>0.0747249347536714</v>
      </c>
      <c r="T760" s="7">
        <v>1.233136741249022</v>
      </c>
    </row>
    <row x14ac:dyDescent="0.25" r="761" customHeight="1" ht="19.5">
      <c r="A761" s="2" t="s">
        <v>1819</v>
      </c>
      <c r="B761" s="2" t="s">
        <v>1060</v>
      </c>
      <c r="C761" s="2" t="s">
        <v>31</v>
      </c>
      <c r="D761" s="2" t="s">
        <v>431</v>
      </c>
      <c r="E761" s="6">
        <v>1</v>
      </c>
      <c r="F761" s="6">
        <v>2</v>
      </c>
      <c r="G761" s="7">
        <v>0.7228109836578369</v>
      </c>
      <c r="H761" s="7">
        <v>33.21979375</v>
      </c>
      <c r="I761" s="7">
        <v>27.27176405613861</v>
      </c>
      <c r="J761" s="7">
        <v>10.46281195112434</v>
      </c>
      <c r="K761" s="7">
        <v>3.099381044921869</v>
      </c>
      <c r="L761" s="7">
        <v>0.9561825271678558</v>
      </c>
      <c r="M761" s="7">
        <v>0.5612809907606346</v>
      </c>
      <c r="N761" s="7">
        <v>0.4857528362968978</v>
      </c>
      <c r="O761" s="7">
        <v>0.077104306056593</v>
      </c>
      <c r="P761" s="7">
        <v>7.822312391610258</v>
      </c>
      <c r="Q761" s="7">
        <v>0.0304312717841599</v>
      </c>
      <c r="R761" s="7">
        <v>0.0554997006929514</v>
      </c>
      <c r="S761" s="7">
        <v>0.0715955737073528</v>
      </c>
      <c r="T761" s="7">
        <v>1.173296606536109</v>
      </c>
    </row>
    <row x14ac:dyDescent="0.25" r="762" customHeight="1" ht="19.5">
      <c r="A762" s="2" t="s">
        <v>1820</v>
      </c>
      <c r="B762" s="2" t="s">
        <v>1060</v>
      </c>
      <c r="C762" s="2" t="s">
        <v>31</v>
      </c>
      <c r="D762" s="2" t="s">
        <v>431</v>
      </c>
      <c r="E762" s="6">
        <v>1</v>
      </c>
      <c r="F762" s="6">
        <v>2</v>
      </c>
      <c r="G762" s="7">
        <v>0.730072557926178</v>
      </c>
      <c r="H762" s="7">
        <v>32.596403125</v>
      </c>
      <c r="I762" s="7">
        <v>27.18853808363002</v>
      </c>
      <c r="J762" s="7">
        <v>10.4625</v>
      </c>
      <c r="K762" s="7">
        <v>3.03875</v>
      </c>
      <c r="L762" s="7">
        <v>0.9578574228406034</v>
      </c>
      <c r="M762" s="7">
        <v>0.5541251111408544</v>
      </c>
      <c r="N762" s="7">
        <v>0.4898928787226709</v>
      </c>
      <c r="O762" s="7">
        <v>0.0779080086799156</v>
      </c>
      <c r="P762" s="7">
        <v>7.786830535198848</v>
      </c>
      <c r="Q762" s="7">
        <v>0.0334532705726125</v>
      </c>
      <c r="R762" s="7">
        <v>0.0586463016884364</v>
      </c>
      <c r="S762" s="7">
        <v>0.0704059924184481</v>
      </c>
      <c r="T762" s="7">
        <v>1.265607510442782</v>
      </c>
    </row>
    <row x14ac:dyDescent="0.25" r="763" customHeight="1" ht="19.5">
      <c r="A763" s="2" t="s">
        <v>1821</v>
      </c>
      <c r="B763" s="2" t="s">
        <v>1060</v>
      </c>
      <c r="C763" s="2" t="s">
        <v>31</v>
      </c>
      <c r="D763" s="2" t="s">
        <v>431</v>
      </c>
      <c r="E763" s="6">
        <v>1</v>
      </c>
      <c r="F763" s="6">
        <v>2</v>
      </c>
      <c r="G763" s="7">
        <v>0.7362963557243347</v>
      </c>
      <c r="H763" s="7">
        <v>33.21979375</v>
      </c>
      <c r="I763" s="7">
        <v>27.27176405613861</v>
      </c>
      <c r="J763" s="7">
        <v>10.46281195112434</v>
      </c>
      <c r="K763" s="7">
        <v>3.099381044921869</v>
      </c>
      <c r="L763" s="7">
        <v>0.9561825271678558</v>
      </c>
      <c r="M763" s="7">
        <v>0.5612809907606346</v>
      </c>
      <c r="N763" s="7">
        <v>0.4880689671021572</v>
      </c>
      <c r="O763" s="7">
        <v>0.0771366404185904</v>
      </c>
      <c r="P763" s="7">
        <v>7.814053051567165</v>
      </c>
      <c r="Q763" s="7">
        <v>0.0304733545813436</v>
      </c>
      <c r="R763" s="7">
        <v>0.0590745058342822</v>
      </c>
      <c r="S763" s="7">
        <v>0.0727672265610434</v>
      </c>
      <c r="T763" s="7">
        <v>1.174919134949621</v>
      </c>
    </row>
    <row x14ac:dyDescent="0.25" r="764" customHeight="1" ht="19.5">
      <c r="A764" s="2" t="s">
        <v>1822</v>
      </c>
      <c r="B764" s="2" t="s">
        <v>1060</v>
      </c>
      <c r="C764" s="2" t="s">
        <v>31</v>
      </c>
      <c r="D764" s="2" t="s">
        <v>431</v>
      </c>
      <c r="E764" s="6">
        <v>1</v>
      </c>
      <c r="F764" s="6">
        <v>2</v>
      </c>
      <c r="G764" s="7">
        <v>0.7316305637359619</v>
      </c>
      <c r="H764" s="7">
        <v>32.596403125</v>
      </c>
      <c r="I764" s="7">
        <v>27.18853808363002</v>
      </c>
      <c r="J764" s="7">
        <v>10.4625</v>
      </c>
      <c r="K764" s="7">
        <v>3.03875</v>
      </c>
      <c r="L764" s="7">
        <v>0.9578574228406034</v>
      </c>
      <c r="M764" s="7">
        <v>0.5541251111408544</v>
      </c>
      <c r="N764" s="7">
        <v>0.4872018817844415</v>
      </c>
      <c r="O764" s="7">
        <v>0.0780350227097875</v>
      </c>
      <c r="P764" s="7">
        <v>7.785651555452838</v>
      </c>
      <c r="Q764" s="7">
        <v>0.0326153122975333</v>
      </c>
      <c r="R764" s="7">
        <v>0.0587580721333522</v>
      </c>
      <c r="S764" s="7">
        <v>0.0726213819850262</v>
      </c>
      <c r="T764" s="7">
        <v>1.233905788362248</v>
      </c>
    </row>
    <row x14ac:dyDescent="0.25" r="765" customHeight="1" ht="19.5">
      <c r="A765" s="2" t="s">
        <v>1823</v>
      </c>
      <c r="B765" s="2" t="s">
        <v>1060</v>
      </c>
      <c r="C765" s="2" t="s">
        <v>31</v>
      </c>
      <c r="D765" s="2" t="s">
        <v>431</v>
      </c>
      <c r="E765" s="6">
        <v>1</v>
      </c>
      <c r="F765" s="6">
        <v>2</v>
      </c>
      <c r="G765" s="7">
        <v>0.7333183884620667</v>
      </c>
      <c r="H765" s="7">
        <v>33.21979375</v>
      </c>
      <c r="I765" s="7">
        <v>27.27176405613861</v>
      </c>
      <c r="J765" s="7">
        <v>10.46281195112434</v>
      </c>
      <c r="K765" s="7">
        <v>3.099381044921869</v>
      </c>
      <c r="L765" s="7">
        <v>0.9561825271678558</v>
      </c>
      <c r="M765" s="7">
        <v>0.5612809907606346</v>
      </c>
      <c r="N765" s="7">
        <v>0.4851888242971415</v>
      </c>
      <c r="O765" s="7">
        <v>0.07729250467443</v>
      </c>
      <c r="P765" s="7">
        <v>7.815326408697969</v>
      </c>
      <c r="Q765" s="7">
        <v>0.0324426888237433</v>
      </c>
      <c r="R765" s="7">
        <v>0.058234890778862</v>
      </c>
      <c r="S765" s="7">
        <v>0.0715417427901481</v>
      </c>
      <c r="T765" s="7">
        <v>1.250848041244812</v>
      </c>
    </row>
    <row x14ac:dyDescent="0.25" r="766" customHeight="1" ht="19.5">
      <c r="A766" s="2" t="s">
        <v>1824</v>
      </c>
      <c r="B766" s="2" t="s">
        <v>1060</v>
      </c>
      <c r="C766" s="2" t="s">
        <v>31</v>
      </c>
      <c r="D766" s="2" t="s">
        <v>431</v>
      </c>
      <c r="E766" s="6">
        <v>1</v>
      </c>
      <c r="F766" s="6">
        <v>2</v>
      </c>
      <c r="G766" s="7">
        <v>0.7316797971725464</v>
      </c>
      <c r="H766" s="7">
        <v>33.03623984375</v>
      </c>
      <c r="I766" s="7">
        <v>27.15406475707528</v>
      </c>
      <c r="J766" s="7">
        <v>10.40469076588096</v>
      </c>
      <c r="K766" s="7">
        <v>3.099387933260103</v>
      </c>
      <c r="L766" s="7">
        <v>0.955682980651348</v>
      </c>
      <c r="M766" s="7">
        <v>0.563029014299406</v>
      </c>
      <c r="N766" s="7">
        <v>0.493551180456904</v>
      </c>
      <c r="O766" s="7">
        <v>0.078204021967322</v>
      </c>
      <c r="P766" s="7">
        <v>7.767037224801391</v>
      </c>
      <c r="Q766" s="7">
        <v>0.033080724174708</v>
      </c>
      <c r="R766" s="7">
        <v>0.0600595661352153</v>
      </c>
      <c r="S766" s="7">
        <v>0.0720213955650813</v>
      </c>
      <c r="T766" s="7">
        <v>1.268400482875676</v>
      </c>
    </row>
    <row x14ac:dyDescent="0.25" r="767" customHeight="1" ht="19.5">
      <c r="A767" s="2" t="s">
        <v>1825</v>
      </c>
      <c r="B767" s="2" t="s">
        <v>1060</v>
      </c>
      <c r="C767" s="2" t="s">
        <v>31</v>
      </c>
      <c r="D767" s="2" t="s">
        <v>431</v>
      </c>
      <c r="E767" s="6">
        <v>1</v>
      </c>
      <c r="F767" s="6">
        <v>2</v>
      </c>
      <c r="G767" s="7">
        <v>0.7173871397972107</v>
      </c>
      <c r="H767" s="7">
        <v>32.4163125</v>
      </c>
      <c r="I767" s="7">
        <v>27.07083878456669</v>
      </c>
      <c r="J767" s="7">
        <v>10.404375</v>
      </c>
      <c r="K767" s="7">
        <v>3.03875</v>
      </c>
      <c r="L767" s="7">
        <v>0.9573774068361668</v>
      </c>
      <c r="M767" s="7">
        <v>0.5558659213156988</v>
      </c>
      <c r="N767" s="7">
        <v>0.5687192110512218</v>
      </c>
      <c r="O767" s="7">
        <v>0.0894935213120593</v>
      </c>
      <c r="P767" s="7">
        <v>7.414481430057808</v>
      </c>
      <c r="Q767" s="7">
        <v>0.02993656294508</v>
      </c>
      <c r="R767" s="7">
        <v>0.0551929889842318</v>
      </c>
      <c r="S767" s="7">
        <v>0.0659836343469112</v>
      </c>
      <c r="T767" s="7">
        <v>1.126305817814433</v>
      </c>
    </row>
    <row x14ac:dyDescent="0.25" r="768" customHeight="1" ht="19.5">
      <c r="A768" s="2" t="s">
        <v>1826</v>
      </c>
      <c r="B768" s="2" t="s">
        <v>1060</v>
      </c>
      <c r="C768" s="2" t="s">
        <v>31</v>
      </c>
      <c r="D768" s="2" t="s">
        <v>431</v>
      </c>
      <c r="E768" s="6">
        <v>1</v>
      </c>
      <c r="F768" s="6">
        <v>2</v>
      </c>
      <c r="G768" s="7">
        <v>0.6320031881332397</v>
      </c>
      <c r="H768" s="7">
        <v>47.36729765625</v>
      </c>
      <c r="I768" s="7">
        <v>29.64839398844691</v>
      </c>
      <c r="J768" s="7">
        <v>10.3707281431309</v>
      </c>
      <c r="K768" s="7">
        <v>4.718571525974497</v>
      </c>
      <c r="L768" s="7">
        <v>0.9000415368876936</v>
      </c>
      <c r="M768" s="7">
        <v>0.6771519386354664</v>
      </c>
      <c r="N768" s="7">
        <v>0.5548777661304334</v>
      </c>
      <c r="O768" s="7">
        <v>0.0762249420594494</v>
      </c>
      <c r="P768" s="7">
        <v>7.909580283511932</v>
      </c>
      <c r="Q768" s="7">
        <v>0.0169932665192226</v>
      </c>
      <c r="R768" s="7">
        <v>0.0639711346971331</v>
      </c>
      <c r="S768" s="7">
        <v>0.0854210430666144</v>
      </c>
      <c r="T768" s="7">
        <v>0.934213755247292</v>
      </c>
    </row>
    <row x14ac:dyDescent="0.25" r="769" customHeight="1" ht="19.5">
      <c r="A769" s="2" t="s">
        <v>1827</v>
      </c>
      <c r="B769" s="2" t="s">
        <v>1060</v>
      </c>
      <c r="C769" s="2" t="s">
        <v>31</v>
      </c>
      <c r="D769" s="2" t="s">
        <v>431</v>
      </c>
      <c r="E769" s="6">
        <v>1</v>
      </c>
      <c r="F769" s="6">
        <v>2</v>
      </c>
      <c r="G769" s="7">
        <v>0.7196342945098877</v>
      </c>
      <c r="H769" s="7">
        <v>47.66513984375</v>
      </c>
      <c r="I769" s="7">
        <v>29.65675862008944</v>
      </c>
      <c r="J769" s="7">
        <v>10.48080790984862</v>
      </c>
      <c r="K769" s="7">
        <v>4.719516299271232</v>
      </c>
      <c r="L769" s="7">
        <v>0.9019696884152908</v>
      </c>
      <c r="M769" s="7">
        <v>0.6810254952552013</v>
      </c>
      <c r="N769" s="7">
        <v>0.4647491143095051</v>
      </c>
      <c r="O769" s="7">
        <v>0.0645941820853889</v>
      </c>
      <c r="P769" s="7">
        <v>8.370233789546823</v>
      </c>
      <c r="Q769" s="7">
        <v>0.0230044707978762</v>
      </c>
      <c r="R769" s="7">
        <v>0.0765547877095887</v>
      </c>
      <c r="S769" s="7">
        <v>0.1007278802499866</v>
      </c>
      <c r="T769" s="7">
        <v>1.272635104415408</v>
      </c>
    </row>
    <row x14ac:dyDescent="0.25" r="770" customHeight="1" ht="19.5">
      <c r="A770" s="2" t="s">
        <v>1828</v>
      </c>
      <c r="B770" s="2" t="s">
        <v>1060</v>
      </c>
      <c r="C770" s="2" t="s">
        <v>31</v>
      </c>
      <c r="D770" s="2" t="s">
        <v>431</v>
      </c>
      <c r="E770" s="6">
        <v>1</v>
      </c>
      <c r="F770" s="6">
        <v>2</v>
      </c>
      <c r="G770" s="7">
        <v>0.7577902674674988</v>
      </c>
      <c r="H770" s="7">
        <v>49.0054296875</v>
      </c>
      <c r="I770" s="7">
        <v>29.80893124570752</v>
      </c>
      <c r="J770" s="7">
        <v>10.49159855599405</v>
      </c>
      <c r="K770" s="7">
        <v>4.840410722287316</v>
      </c>
      <c r="L770" s="7">
        <v>0.8973658143531241</v>
      </c>
      <c r="M770" s="7">
        <v>0.6930447131106096</v>
      </c>
      <c r="N770" s="7">
        <v>0.4214701948744356</v>
      </c>
      <c r="O770" s="7">
        <v>0.0594581393267641</v>
      </c>
      <c r="P770" s="7">
        <v>8.60093728940608</v>
      </c>
      <c r="Q770" s="7">
        <v>0.0253679548841633</v>
      </c>
      <c r="R770" s="7">
        <v>0.079770845943754</v>
      </c>
      <c r="S770" s="7">
        <v>0.1067791368388512</v>
      </c>
      <c r="T770" s="7">
        <v>1.442847523013471</v>
      </c>
    </row>
    <row x14ac:dyDescent="0.25" r="771" customHeight="1" ht="19.5">
      <c r="A771" s="2" t="s">
        <v>1829</v>
      </c>
      <c r="B771" s="2" t="s">
        <v>1060</v>
      </c>
      <c r="C771" s="2" t="s">
        <v>31</v>
      </c>
      <c r="D771" s="2" t="s">
        <v>431</v>
      </c>
      <c r="E771" s="6">
        <v>1</v>
      </c>
      <c r="F771" s="6">
        <v>2</v>
      </c>
      <c r="G771" s="7">
        <v>0.7748154401779175</v>
      </c>
      <c r="H771" s="7">
        <v>48.195021875</v>
      </c>
      <c r="I771" s="7">
        <v>29.75426391199712</v>
      </c>
      <c r="J771" s="7">
        <v>10.4717025393666</v>
      </c>
      <c r="K771" s="7">
        <v>4.765813613111839</v>
      </c>
      <c r="L771" s="7">
        <v>0.8993953586880103</v>
      </c>
      <c r="M771" s="7">
        <v>0.6840906021151253</v>
      </c>
      <c r="N771" s="7">
        <v>0.4004378207606066</v>
      </c>
      <c r="O771" s="7">
        <v>0.0571518460616431</v>
      </c>
      <c r="P771" s="7">
        <v>8.735738305056886</v>
      </c>
      <c r="Q771" s="7">
        <v>0.0298175405934743</v>
      </c>
      <c r="R771" s="7">
        <v>0.0849050585602944</v>
      </c>
      <c r="S771" s="7">
        <v>0.1112909978101887</v>
      </c>
      <c r="T771" s="7">
        <v>1.66787992317205</v>
      </c>
    </row>
    <row x14ac:dyDescent="0.25" r="772" customHeight="1" ht="19.5">
      <c r="A772" s="2" t="s">
        <v>1830</v>
      </c>
      <c r="B772" s="2" t="s">
        <v>1060</v>
      </c>
      <c r="C772" s="2" t="s">
        <v>31</v>
      </c>
      <c r="D772" s="2" t="s">
        <v>431</v>
      </c>
      <c r="E772" s="6">
        <v>1</v>
      </c>
      <c r="F772" s="6">
        <v>2</v>
      </c>
      <c r="G772" s="7">
        <v>0.7670820951461792</v>
      </c>
      <c r="H772" s="7">
        <v>48.87036171875</v>
      </c>
      <c r="I772" s="7">
        <v>29.80893124570751</v>
      </c>
      <c r="J772" s="7">
        <v>10.48987867499474</v>
      </c>
      <c r="K772" s="7">
        <v>4.845544377427137</v>
      </c>
      <c r="L772" s="7">
        <v>0.8964685651344314</v>
      </c>
      <c r="M772" s="7">
        <v>0.6911345545373719</v>
      </c>
      <c r="N772" s="7">
        <v>0.4006367645928658</v>
      </c>
      <c r="O772" s="7">
        <v>0.0571965908729863</v>
      </c>
      <c r="P772" s="7">
        <v>8.733777315657587</v>
      </c>
      <c r="Q772" s="7">
        <v>0.0290605909845244</v>
      </c>
      <c r="R772" s="7">
        <v>0.0857452893117899</v>
      </c>
      <c r="S772" s="7">
        <v>0.1146627507841753</v>
      </c>
      <c r="T772" s="7">
        <v>1.648317143462025</v>
      </c>
    </row>
    <row x14ac:dyDescent="0.25" r="773" customHeight="1" ht="19.5">
      <c r="A773" s="2" t="s">
        <v>1831</v>
      </c>
      <c r="B773" s="2" t="s">
        <v>1060</v>
      </c>
      <c r="C773" s="2" t="s">
        <v>31</v>
      </c>
      <c r="D773" s="2" t="s">
        <v>431</v>
      </c>
      <c r="E773" s="6">
        <v>1</v>
      </c>
      <c r="F773" s="6">
        <v>2</v>
      </c>
      <c r="G773" s="7">
        <v>0.7704964876174927</v>
      </c>
      <c r="H773" s="7">
        <v>48.85650859375</v>
      </c>
      <c r="I773" s="7">
        <v>29.71979058544236</v>
      </c>
      <c r="J773" s="7">
        <v>10.4620919014589</v>
      </c>
      <c r="K773" s="7">
        <v>4.817008811395326</v>
      </c>
      <c r="L773" s="7">
        <v>0.8968110983375052</v>
      </c>
      <c r="M773" s="7">
        <v>0.6950896184947425</v>
      </c>
      <c r="N773" s="7">
        <v>0.4004824001571354</v>
      </c>
      <c r="O773" s="7">
        <v>0.0569924938088928</v>
      </c>
      <c r="P773" s="7">
        <v>8.740298224089557</v>
      </c>
      <c r="Q773" s="7">
        <v>0.0289128778756435</v>
      </c>
      <c r="R773" s="7">
        <v>0.0852481239906439</v>
      </c>
      <c r="S773" s="7">
        <v>0.1147501244455934</v>
      </c>
      <c r="T773" s="7">
        <v>1.639473985559777</v>
      </c>
    </row>
    <row x14ac:dyDescent="0.25" r="774" customHeight="1" ht="19.5">
      <c r="A774" s="2" t="s">
        <v>1832</v>
      </c>
      <c r="B774" s="2" t="s">
        <v>1060</v>
      </c>
      <c r="C774" s="2" t="s">
        <v>31</v>
      </c>
      <c r="D774" s="2" t="s">
        <v>431</v>
      </c>
      <c r="E774" s="6">
        <v>1</v>
      </c>
      <c r="F774" s="6">
        <v>2</v>
      </c>
      <c r="G774" s="7">
        <v>0.7641460299491882</v>
      </c>
      <c r="H774" s="7">
        <v>48.86689843750001</v>
      </c>
      <c r="I774" s="7">
        <v>29.73998459259802</v>
      </c>
      <c r="J774" s="7">
        <v>10.46066469601362</v>
      </c>
      <c r="K774" s="7">
        <v>4.817099295592469</v>
      </c>
      <c r="L774" s="7">
        <v>0.8962223172611984</v>
      </c>
      <c r="M774" s="7">
        <v>0.6942935985589159</v>
      </c>
      <c r="N774" s="7">
        <v>0.3974244263824252</v>
      </c>
      <c r="O774" s="7">
        <v>0.05701217828372</v>
      </c>
      <c r="P774" s="7">
        <v>8.735921221275863</v>
      </c>
      <c r="Q774" s="7">
        <v>0.029644225246848</v>
      </c>
      <c r="R774" s="7">
        <v>0.0854910568848167</v>
      </c>
      <c r="S774" s="7">
        <v>0.1129733081795887</v>
      </c>
      <c r="T774" s="7">
        <v>1.681301730563505</v>
      </c>
    </row>
    <row x14ac:dyDescent="0.25" r="775" customHeight="1" ht="19.5">
      <c r="A775" s="2" t="s">
        <v>1833</v>
      </c>
      <c r="B775" s="2" t="s">
        <v>1060</v>
      </c>
      <c r="C775" s="2" t="s">
        <v>31</v>
      </c>
      <c r="D775" s="2" t="s">
        <v>431</v>
      </c>
      <c r="E775" s="6">
        <v>1</v>
      </c>
      <c r="F775" s="6">
        <v>2</v>
      </c>
      <c r="G775" s="7">
        <v>0.7706945538520813</v>
      </c>
      <c r="H775" s="7">
        <v>48.86689843750001</v>
      </c>
      <c r="I775" s="7">
        <v>29.97538319072468</v>
      </c>
      <c r="J775" s="7">
        <v>10.49302872081737</v>
      </c>
      <c r="K775" s="7">
        <v>4.841933211615078</v>
      </c>
      <c r="L775" s="7">
        <v>0.8965099249474292</v>
      </c>
      <c r="M775" s="7">
        <v>0.6834317521495937</v>
      </c>
      <c r="N775" s="7">
        <v>0.4023084407849435</v>
      </c>
      <c r="O775" s="7">
        <v>0.0570375839198534</v>
      </c>
      <c r="P775" s="7">
        <v>8.73258211458743</v>
      </c>
      <c r="Q775" s="7">
        <v>0.0299256472244952</v>
      </c>
      <c r="R775" s="7">
        <v>0.085052162965386</v>
      </c>
      <c r="S775" s="7">
        <v>0.111117243807572</v>
      </c>
      <c r="T775" s="7">
        <v>1.697262858037639</v>
      </c>
    </row>
    <row x14ac:dyDescent="0.25" r="776" customHeight="1" ht="19.5">
      <c r="A776" s="2" t="s">
        <v>1834</v>
      </c>
      <c r="B776" s="2" t="s">
        <v>1060</v>
      </c>
      <c r="C776" s="2" t="s">
        <v>31</v>
      </c>
      <c r="D776" s="2" t="s">
        <v>431</v>
      </c>
      <c r="E776" s="6">
        <v>1</v>
      </c>
      <c r="F776" s="6">
        <v>2</v>
      </c>
      <c r="G776" s="7">
        <v>0.7657932639122009</v>
      </c>
      <c r="H776" s="7">
        <v>48.804559375</v>
      </c>
      <c r="I776" s="7">
        <v>29.80893124570751</v>
      </c>
      <c r="J776" s="7">
        <v>10.48849041175807</v>
      </c>
      <c r="K776" s="7">
        <v>4.842048825853665</v>
      </c>
      <c r="L776" s="7">
        <v>0.8965665338007196</v>
      </c>
      <c r="M776" s="7">
        <v>0.6902039644632305</v>
      </c>
      <c r="N776" s="7">
        <v>0.4017459399002776</v>
      </c>
      <c r="O776" s="7">
        <v>0.0571846918856804</v>
      </c>
      <c r="P776" s="7">
        <v>8.723525439444911</v>
      </c>
      <c r="Q776" s="7">
        <v>0.0294021706533362</v>
      </c>
      <c r="R776" s="7">
        <v>0.0856644063636314</v>
      </c>
      <c r="S776" s="7">
        <v>0.1136657050421247</v>
      </c>
      <c r="T776" s="7">
        <v>1.665446055120329</v>
      </c>
    </row>
    <row x14ac:dyDescent="0.25" r="777" customHeight="1" ht="19.5">
      <c r="A777" s="2" t="s">
        <v>1835</v>
      </c>
      <c r="B777" s="2" t="s">
        <v>1060</v>
      </c>
      <c r="C777" s="2" t="s">
        <v>31</v>
      </c>
      <c r="D777" s="2" t="s">
        <v>431</v>
      </c>
      <c r="E777" s="6">
        <v>1</v>
      </c>
      <c r="F777" s="6">
        <v>2</v>
      </c>
      <c r="G777" s="7">
        <v>0.7671031951904297</v>
      </c>
      <c r="H777" s="7">
        <v>48.9361640625</v>
      </c>
      <c r="I777" s="7">
        <v>29.86359857941792</v>
      </c>
      <c r="J777" s="7">
        <v>10.47905441589197</v>
      </c>
      <c r="K777" s="7">
        <v>4.831696638055014</v>
      </c>
      <c r="L777" s="7">
        <v>0.8966080546316955</v>
      </c>
      <c r="M777" s="7">
        <v>0.6895337197497244</v>
      </c>
      <c r="N777" s="7">
        <v>0.4012144908460744</v>
      </c>
      <c r="O777" s="7">
        <v>0.0573343021384839</v>
      </c>
      <c r="P777" s="7">
        <v>8.709845108541506</v>
      </c>
      <c r="Q777" s="7">
        <v>0.0291014172773479</v>
      </c>
      <c r="R777" s="7">
        <v>0.0844411496686463</v>
      </c>
      <c r="S777" s="7">
        <v>0.1129876450288717</v>
      </c>
      <c r="T777" s="7">
        <v>1.652855334481591</v>
      </c>
    </row>
    <row x14ac:dyDescent="0.25" r="778" customHeight="1" ht="19.5">
      <c r="A778" s="2" t="s">
        <v>1836</v>
      </c>
      <c r="B778" s="2" t="s">
        <v>1060</v>
      </c>
      <c r="C778" s="2" t="s">
        <v>31</v>
      </c>
      <c r="D778" s="2" t="s">
        <v>431</v>
      </c>
      <c r="E778" s="6">
        <v>1</v>
      </c>
      <c r="F778" s="6">
        <v>2</v>
      </c>
      <c r="G778" s="7">
        <v>0.7673434615135193</v>
      </c>
      <c r="H778" s="7">
        <v>48.84958203125</v>
      </c>
      <c r="I778" s="7">
        <v>29.78873723855186</v>
      </c>
      <c r="J778" s="7">
        <v>10.47231146526296</v>
      </c>
      <c r="K778" s="7">
        <v>4.835792207120312</v>
      </c>
      <c r="L778" s="7">
        <v>0.8972468874924179</v>
      </c>
      <c r="M778" s="7">
        <v>0.6917776535740966</v>
      </c>
      <c r="N778" s="7">
        <v>0.3976938746907325</v>
      </c>
      <c r="O778" s="7">
        <v>0.0570486816553056</v>
      </c>
      <c r="P778" s="7">
        <v>8.738306805236398</v>
      </c>
      <c r="Q778" s="7">
        <v>0.0287548132720507</v>
      </c>
      <c r="R778" s="7">
        <v>0.0841358689362181</v>
      </c>
      <c r="S778" s="7">
        <v>0.1114042370487708</v>
      </c>
      <c r="T778" s="7">
        <v>1.630279936936712</v>
      </c>
    </row>
    <row x14ac:dyDescent="0.25" r="779" customHeight="1" ht="19.5">
      <c r="A779" s="2" t="s">
        <v>1837</v>
      </c>
      <c r="B779" s="2" t="s">
        <v>1060</v>
      </c>
      <c r="C779" s="2" t="s">
        <v>31</v>
      </c>
      <c r="D779" s="2" t="s">
        <v>431</v>
      </c>
      <c r="E779" s="6">
        <v>1</v>
      </c>
      <c r="F779" s="6">
        <v>2</v>
      </c>
      <c r="G779" s="7">
        <v>0.7594439387321472</v>
      </c>
      <c r="H779" s="7">
        <v>49.0469890625</v>
      </c>
      <c r="I779" s="7">
        <v>29.79465192630843</v>
      </c>
      <c r="J779" s="7">
        <v>10.49441711117867</v>
      </c>
      <c r="K779" s="7">
        <v>4.842204438499411</v>
      </c>
      <c r="L779" s="7">
        <v>0.8970364279267338</v>
      </c>
      <c r="M779" s="7">
        <v>0.6942974710602058</v>
      </c>
      <c r="N779" s="7">
        <v>0.4022682118431769</v>
      </c>
      <c r="O779" s="7">
        <v>0.0573930773726506</v>
      </c>
      <c r="P779" s="7">
        <v>8.711384467496332</v>
      </c>
      <c r="Q779" s="7">
        <v>0.0293436062567229</v>
      </c>
      <c r="R779" s="7">
        <v>0.0859123219601939</v>
      </c>
      <c r="S779" s="7">
        <v>0.1120105707212412</v>
      </c>
      <c r="T779" s="7">
        <v>1.670385141862585</v>
      </c>
    </row>
    <row x14ac:dyDescent="0.25" r="780" customHeight="1" ht="19.5">
      <c r="A780" s="2" t="s">
        <v>1838</v>
      </c>
      <c r="B780" s="2" t="s">
        <v>1060</v>
      </c>
      <c r="C780" s="2" t="s">
        <v>31</v>
      </c>
      <c r="D780" s="2" t="s">
        <v>431</v>
      </c>
      <c r="E780" s="6">
        <v>1</v>
      </c>
      <c r="F780" s="6">
        <v>2</v>
      </c>
      <c r="G780" s="7">
        <v>0.7679111957550049</v>
      </c>
      <c r="H780" s="7">
        <v>48.97426015625</v>
      </c>
      <c r="I780" s="7">
        <v>29.80893124570752</v>
      </c>
      <c r="J780" s="7">
        <v>10.47279266477475</v>
      </c>
      <c r="K780" s="7">
        <v>4.824402778665645</v>
      </c>
      <c r="L780" s="7">
        <v>0.897052300492551</v>
      </c>
      <c r="M780" s="7">
        <v>0.6926039072860163</v>
      </c>
      <c r="N780" s="7">
        <v>0.3977667221911282</v>
      </c>
      <c r="O780" s="7">
        <v>0.0569610371099617</v>
      </c>
      <c r="P780" s="7">
        <v>8.72804255190381</v>
      </c>
      <c r="Q780" s="7">
        <v>0.0285824140133243</v>
      </c>
      <c r="R780" s="7">
        <v>0.0835401457403196</v>
      </c>
      <c r="S780" s="7">
        <v>0.1108568458067524</v>
      </c>
      <c r="T780" s="7">
        <v>1.624641600746388</v>
      </c>
    </row>
    <row x14ac:dyDescent="0.25" r="781" customHeight="1" ht="19.5">
      <c r="A781" s="2" t="s">
        <v>1839</v>
      </c>
      <c r="B781" s="2" t="s">
        <v>1060</v>
      </c>
      <c r="C781" s="2" t="s">
        <v>31</v>
      </c>
      <c r="D781" s="2" t="s">
        <v>431</v>
      </c>
      <c r="E781" s="6">
        <v>1</v>
      </c>
      <c r="F781" s="6">
        <v>2</v>
      </c>
      <c r="G781" s="7">
        <v>0.768138587474823</v>
      </c>
      <c r="H781" s="7">
        <v>49.01235625</v>
      </c>
      <c r="I781" s="7">
        <v>29.85768389166136</v>
      </c>
      <c r="J781" s="7">
        <v>10.47488270983845</v>
      </c>
      <c r="K781" s="7">
        <v>4.827222089122138</v>
      </c>
      <c r="L781" s="7">
        <v>0.8969453612480787</v>
      </c>
      <c r="M781" s="7">
        <v>0.6908809439337738</v>
      </c>
      <c r="N781" s="7">
        <v>0.3969826007891989</v>
      </c>
      <c r="O781" s="7">
        <v>0.0569075618319823</v>
      </c>
      <c r="P781" s="7">
        <v>8.73304564828193</v>
      </c>
      <c r="Q781" s="7">
        <v>0.0290382496450865</v>
      </c>
      <c r="R781" s="7">
        <v>0.0851829902056076</v>
      </c>
      <c r="S781" s="7">
        <v>0.1106543491294562</v>
      </c>
      <c r="T781" s="7">
        <v>1.651835503106513</v>
      </c>
    </row>
    <row x14ac:dyDescent="0.25" r="782" customHeight="1" ht="19.5">
      <c r="A782" s="2" t="s">
        <v>1840</v>
      </c>
      <c r="B782" s="2" t="s">
        <v>1060</v>
      </c>
      <c r="C782" s="2" t="s">
        <v>31</v>
      </c>
      <c r="D782" s="2" t="s">
        <v>431</v>
      </c>
      <c r="E782" s="6">
        <v>1</v>
      </c>
      <c r="F782" s="6">
        <v>2</v>
      </c>
      <c r="G782" s="7">
        <v>0.7621877193450928</v>
      </c>
      <c r="H782" s="7">
        <v>48.9361640625</v>
      </c>
      <c r="I782" s="7">
        <v>29.87787789881701</v>
      </c>
      <c r="J782" s="7">
        <v>10.48944551564925</v>
      </c>
      <c r="K782" s="7">
        <v>4.846921920667777</v>
      </c>
      <c r="L782" s="7">
        <v>0.8972719058509019</v>
      </c>
      <c r="M782" s="7">
        <v>0.6888747894587024</v>
      </c>
      <c r="N782" s="7">
        <v>0.3985977565829584</v>
      </c>
      <c r="O782" s="7">
        <v>0.0569657452596217</v>
      </c>
      <c r="P782" s="7">
        <v>8.724108459244828</v>
      </c>
      <c r="Q782" s="7">
        <v>0.0287934244871783</v>
      </c>
      <c r="R782" s="7">
        <v>0.0840336790836056</v>
      </c>
      <c r="S782" s="7">
        <v>0.1132384132821363</v>
      </c>
      <c r="T782" s="7">
        <v>1.635362457026104</v>
      </c>
    </row>
    <row x14ac:dyDescent="0.25" r="783" customHeight="1" ht="19.5">
      <c r="A783" s="2" t="s">
        <v>1841</v>
      </c>
      <c r="B783" s="2" t="s">
        <v>1060</v>
      </c>
      <c r="C783" s="2" t="s">
        <v>31</v>
      </c>
      <c r="D783" s="2" t="s">
        <v>431</v>
      </c>
      <c r="E783" s="6">
        <v>1</v>
      </c>
      <c r="F783" s="6">
        <v>2</v>
      </c>
      <c r="G783" s="7">
        <v>0.7715301513671875</v>
      </c>
      <c r="H783" s="7">
        <v>48.99503984375</v>
      </c>
      <c r="I783" s="7">
        <v>29.8921572182161</v>
      </c>
      <c r="J783" s="7">
        <v>10.48495821617965</v>
      </c>
      <c r="K783" s="7">
        <v>4.830534592800241</v>
      </c>
      <c r="L783" s="7">
        <v>0.8963866746323095</v>
      </c>
      <c r="M783" s="7">
        <v>0.6890448064753457</v>
      </c>
      <c r="N783" s="7">
        <v>0.4008294702942653</v>
      </c>
      <c r="O783" s="7">
        <v>0.0570470999086253</v>
      </c>
      <c r="P783" s="7">
        <v>8.731213810372633</v>
      </c>
      <c r="Q783" s="7">
        <v>0.02877165313991</v>
      </c>
      <c r="R783" s="7">
        <v>0.0845588107333021</v>
      </c>
      <c r="S783" s="7">
        <v>0.1150376067180668</v>
      </c>
      <c r="T783" s="7">
        <v>1.636091962859792</v>
      </c>
    </row>
    <row x14ac:dyDescent="0.25" r="784" customHeight="1" ht="19.5">
      <c r="A784" s="2" t="s">
        <v>1842</v>
      </c>
      <c r="B784" s="2" t="s">
        <v>1060</v>
      </c>
      <c r="C784" s="2" t="s">
        <v>31</v>
      </c>
      <c r="D784" s="2" t="s">
        <v>431</v>
      </c>
      <c r="E784" s="6">
        <v>1</v>
      </c>
      <c r="F784" s="6">
        <v>2</v>
      </c>
      <c r="G784" s="7">
        <v>0.7709773182868958</v>
      </c>
      <c r="H784" s="7">
        <v>48.95694375</v>
      </c>
      <c r="I784" s="7">
        <v>29.9468245519265</v>
      </c>
      <c r="J784" s="7">
        <v>10.48139510227897</v>
      </c>
      <c r="K784" s="7">
        <v>4.837651377391444</v>
      </c>
      <c r="L784" s="7">
        <v>0.8970005611181862</v>
      </c>
      <c r="M784" s="7">
        <v>0.6859976148838988</v>
      </c>
      <c r="N784" s="7">
        <v>0.4027906269409487</v>
      </c>
      <c r="O784" s="7">
        <v>0.0572670173075154</v>
      </c>
      <c r="P784" s="7">
        <v>8.710539273132053</v>
      </c>
      <c r="Q784" s="7">
        <v>0.0292823772980022</v>
      </c>
      <c r="R784" s="7">
        <v>0.0854713164375616</v>
      </c>
      <c r="S784" s="7">
        <v>0.1163843159790366</v>
      </c>
      <c r="T784" s="7">
        <v>1.663839423377533</v>
      </c>
    </row>
    <row x14ac:dyDescent="0.25" r="785" customHeight="1" ht="19.5">
      <c r="A785" s="2" t="s">
        <v>1843</v>
      </c>
      <c r="B785" s="2" t="s">
        <v>1060</v>
      </c>
      <c r="C785" s="2" t="s">
        <v>31</v>
      </c>
      <c r="D785" s="2" t="s">
        <v>431</v>
      </c>
      <c r="E785" s="6">
        <v>1</v>
      </c>
      <c r="F785" s="6">
        <v>2</v>
      </c>
      <c r="G785" s="7">
        <v>0.7731308341026306</v>
      </c>
      <c r="H785" s="7">
        <v>48.86689843750001</v>
      </c>
      <c r="I785" s="7">
        <v>30.02413583667853</v>
      </c>
      <c r="J785" s="7">
        <v>10.4817474177428</v>
      </c>
      <c r="K785" s="7">
        <v>4.834844371978249</v>
      </c>
      <c r="L785" s="7">
        <v>0.8967844112056769</v>
      </c>
      <c r="M785" s="7">
        <v>0.6812140660221556</v>
      </c>
      <c r="N785" s="7">
        <v>0.4020151725992484</v>
      </c>
      <c r="O785" s="7">
        <v>0.0571062528805568</v>
      </c>
      <c r="P785" s="7">
        <v>8.725244349868168</v>
      </c>
      <c r="Q785" s="7">
        <v>0.0297979041207184</v>
      </c>
      <c r="R785" s="7">
        <v>0.0853157417263281</v>
      </c>
      <c r="S785" s="7">
        <v>0.1143568890982969</v>
      </c>
      <c r="T785" s="7">
        <v>1.690017780803908</v>
      </c>
    </row>
    <row x14ac:dyDescent="0.25" r="786" customHeight="1" ht="19.5">
      <c r="A786" s="2" t="s">
        <v>1844</v>
      </c>
      <c r="B786" s="2" t="s">
        <v>1060</v>
      </c>
      <c r="C786" s="2" t="s">
        <v>31</v>
      </c>
      <c r="D786" s="2" t="s">
        <v>431</v>
      </c>
      <c r="E786" s="6">
        <v>1</v>
      </c>
      <c r="F786" s="6">
        <v>2</v>
      </c>
      <c r="G786" s="7">
        <v>0.7705138921737671</v>
      </c>
      <c r="H786" s="7">
        <v>48.91192109375</v>
      </c>
      <c r="I786" s="7">
        <v>29.88624253045954</v>
      </c>
      <c r="J786" s="7">
        <v>10.47876067581892</v>
      </c>
      <c r="K786" s="7">
        <v>4.830624671793458</v>
      </c>
      <c r="L786" s="7">
        <v>0.8968048254548788</v>
      </c>
      <c r="M786" s="7">
        <v>0.6881481581682591</v>
      </c>
      <c r="N786" s="7">
        <v>0.3970177532610748</v>
      </c>
      <c r="O786" s="7">
        <v>0.0569583101341451</v>
      </c>
      <c r="P786" s="7">
        <v>8.735333416099797</v>
      </c>
      <c r="Q786" s="7">
        <v>0.0293201695214006</v>
      </c>
      <c r="R786" s="7">
        <v>0.0857275525552341</v>
      </c>
      <c r="S786" s="7">
        <v>0.1119277593712829</v>
      </c>
      <c r="T786" s="7">
        <v>1.664454692102136</v>
      </c>
    </row>
    <row x14ac:dyDescent="0.25" r="787" customHeight="1" ht="19.5">
      <c r="A787" s="2" t="s">
        <v>1845</v>
      </c>
      <c r="B787" s="2" t="s">
        <v>1060</v>
      </c>
      <c r="C787" s="2" t="s">
        <v>31</v>
      </c>
      <c r="D787" s="2" t="s">
        <v>431</v>
      </c>
      <c r="E787" s="6">
        <v>1</v>
      </c>
      <c r="F787" s="6">
        <v>2</v>
      </c>
      <c r="G787" s="7">
        <v>0.7738683223724365</v>
      </c>
      <c r="H787" s="7">
        <v>48.80802265625</v>
      </c>
      <c r="I787" s="7">
        <v>29.76017859975367</v>
      </c>
      <c r="J787" s="7">
        <v>10.49369017820972</v>
      </c>
      <c r="K787" s="7">
        <v>4.854050756140673</v>
      </c>
      <c r="L787" s="7">
        <v>0.896725435644216</v>
      </c>
      <c r="M787" s="7">
        <v>0.6925163178227313</v>
      </c>
      <c r="N787" s="7">
        <v>0.4006787110974595</v>
      </c>
      <c r="O787" s="7">
        <v>0.0571539836145004</v>
      </c>
      <c r="P787" s="7">
        <v>8.725101578548506</v>
      </c>
      <c r="Q787" s="7">
        <v>0.0289409180272849</v>
      </c>
      <c r="R787" s="7">
        <v>0.0853674218290111</v>
      </c>
      <c r="S787" s="7">
        <v>0.1127426913474492</v>
      </c>
      <c r="T787" s="7">
        <v>1.639435355844689</v>
      </c>
    </row>
    <row x14ac:dyDescent="0.25" r="788" customHeight="1" ht="19.5">
      <c r="A788" s="2" t="s">
        <v>1846</v>
      </c>
      <c r="B788" s="2" t="s">
        <v>1060</v>
      </c>
      <c r="C788" s="2" t="s">
        <v>31</v>
      </c>
      <c r="D788" s="2" t="s">
        <v>431</v>
      </c>
      <c r="E788" s="6">
        <v>1</v>
      </c>
      <c r="F788" s="6">
        <v>2</v>
      </c>
      <c r="G788" s="7">
        <v>0.7605322599411011</v>
      </c>
      <c r="H788" s="7">
        <v>48.96387031250001</v>
      </c>
      <c r="I788" s="7">
        <v>29.92663054477084</v>
      </c>
      <c r="J788" s="7">
        <v>10.48230522424171</v>
      </c>
      <c r="K788" s="7">
        <v>4.836093685277659</v>
      </c>
      <c r="L788" s="7">
        <v>0.8967589638625664</v>
      </c>
      <c r="M788" s="7">
        <v>0.6870209153234799</v>
      </c>
      <c r="N788" s="7">
        <v>0.4009584209822435</v>
      </c>
      <c r="O788" s="7">
        <v>0.0572954550483907</v>
      </c>
      <c r="P788" s="7">
        <v>8.712897219699405</v>
      </c>
      <c r="Q788" s="7">
        <v>0.0289082883261843</v>
      </c>
      <c r="R788" s="7">
        <v>0.0843453402601766</v>
      </c>
      <c r="S788" s="7">
        <v>0.1145126549326873</v>
      </c>
      <c r="T788" s="7">
        <v>1.642815896836977</v>
      </c>
    </row>
    <row x14ac:dyDescent="0.25" r="789" customHeight="1" ht="19.5">
      <c r="A789" s="2" t="s">
        <v>1847</v>
      </c>
      <c r="B789" s="2" t="s">
        <v>1060</v>
      </c>
      <c r="C789" s="2" t="s">
        <v>31</v>
      </c>
      <c r="D789" s="2" t="s">
        <v>431</v>
      </c>
      <c r="E789" s="6">
        <v>1</v>
      </c>
      <c r="F789" s="6">
        <v>2</v>
      </c>
      <c r="G789" s="7">
        <v>0.7616041302680969</v>
      </c>
      <c r="H789" s="7">
        <v>49.03313593750001</v>
      </c>
      <c r="I789" s="7">
        <v>29.84340457226227</v>
      </c>
      <c r="J789" s="7">
        <v>10.48163794351625</v>
      </c>
      <c r="K789" s="7">
        <v>4.830857230628272</v>
      </c>
      <c r="L789" s="7">
        <v>0.8971972038647146</v>
      </c>
      <c r="M789" s="7">
        <v>0.6918354324735511</v>
      </c>
      <c r="N789" s="7">
        <v>0.4004772347685579</v>
      </c>
      <c r="O789" s="7">
        <v>0.057150282325452</v>
      </c>
      <c r="P789" s="7">
        <v>8.71887389835285</v>
      </c>
      <c r="Q789" s="7">
        <v>0.0287617292872453</v>
      </c>
      <c r="R789" s="7">
        <v>0.084649332099198</v>
      </c>
      <c r="S789" s="7">
        <v>0.1131477529409015</v>
      </c>
      <c r="T789" s="7">
        <v>1.636799350307724</v>
      </c>
    </row>
    <row x14ac:dyDescent="0.25" r="790" customHeight="1" ht="19.5">
      <c r="A790" s="2" t="s">
        <v>1848</v>
      </c>
      <c r="B790" s="2" t="s">
        <v>1060</v>
      </c>
      <c r="C790" s="2" t="s">
        <v>31</v>
      </c>
      <c r="D790" s="2" t="s">
        <v>431</v>
      </c>
      <c r="E790" s="6">
        <v>1</v>
      </c>
      <c r="F790" s="6">
        <v>2</v>
      </c>
      <c r="G790" s="7">
        <v>0.7638469338417053</v>
      </c>
      <c r="H790" s="7">
        <v>49.02967265625</v>
      </c>
      <c r="I790" s="7">
        <v>29.82321056510661</v>
      </c>
      <c r="J790" s="7">
        <v>10.4824535066979</v>
      </c>
      <c r="K790" s="7">
        <v>4.832547922417422</v>
      </c>
      <c r="L790" s="7">
        <v>0.8971125627696298</v>
      </c>
      <c r="M790" s="7">
        <v>0.6927237346863989</v>
      </c>
      <c r="N790" s="7">
        <v>0.4003593660233182</v>
      </c>
      <c r="O790" s="7">
        <v>0.0574478185114592</v>
      </c>
      <c r="P790" s="7">
        <v>8.70348827553961</v>
      </c>
      <c r="Q790" s="7">
        <v>0.0289510808298059</v>
      </c>
      <c r="R790" s="7">
        <v>0.0842283639040385</v>
      </c>
      <c r="S790" s="7">
        <v>0.111576828369886</v>
      </c>
      <c r="T790" s="7">
        <v>1.647458774110129</v>
      </c>
    </row>
    <row x14ac:dyDescent="0.25" r="791" customHeight="1" ht="19.5">
      <c r="A791" s="2" t="s">
        <v>1849</v>
      </c>
      <c r="B791" s="2" t="s">
        <v>1060</v>
      </c>
      <c r="C791" s="2" t="s">
        <v>31</v>
      </c>
      <c r="D791" s="2" t="s">
        <v>431</v>
      </c>
      <c r="E791" s="6">
        <v>1</v>
      </c>
      <c r="F791" s="6">
        <v>2</v>
      </c>
      <c r="G791" s="7">
        <v>0.745834231376648</v>
      </c>
      <c r="H791" s="7">
        <v>47.84523046875</v>
      </c>
      <c r="I791" s="7">
        <v>29.64247930069034</v>
      </c>
      <c r="J791" s="7">
        <v>10.47001116713609</v>
      </c>
      <c r="K791" s="7">
        <v>4.709469771927758</v>
      </c>
      <c r="L791" s="7">
        <v>0.9022692765048528</v>
      </c>
      <c r="M791" s="7">
        <v>0.6842573393968767</v>
      </c>
      <c r="N791" s="7">
        <v>0.467639179696614</v>
      </c>
      <c r="O791" s="7">
        <v>0.0643953863423459</v>
      </c>
      <c r="P791" s="7">
        <v>8.36799581676539</v>
      </c>
      <c r="Q791" s="7">
        <v>0.0245126918746854</v>
      </c>
      <c r="R791" s="7">
        <v>0.0810409909265085</v>
      </c>
      <c r="S791" s="7">
        <v>0.1057901884392125</v>
      </c>
      <c r="T791" s="7">
        <v>1.361195288256434</v>
      </c>
    </row>
    <row x14ac:dyDescent="0.25" r="792" customHeight="1" ht="19.5">
      <c r="A792" s="2" t="s">
        <v>1850</v>
      </c>
      <c r="B792" s="2" t="s">
        <v>1060</v>
      </c>
      <c r="C792" s="2" t="s">
        <v>31</v>
      </c>
      <c r="D792" s="2" t="s">
        <v>431</v>
      </c>
      <c r="E792" s="6">
        <v>1</v>
      </c>
      <c r="F792" s="6">
        <v>2</v>
      </c>
      <c r="G792" s="7">
        <v>0.5471742749214172</v>
      </c>
      <c r="H792" s="7">
        <v>50.09982656250001</v>
      </c>
      <c r="I792" s="7">
        <v>30.91351283936076</v>
      </c>
      <c r="J792" s="7">
        <v>10.63103445053626</v>
      </c>
      <c r="K792" s="7">
        <v>5.087429848550878</v>
      </c>
      <c r="L792" s="7">
        <v>0.8933881611951667</v>
      </c>
      <c r="M792" s="7">
        <v>0.6587935963948843</v>
      </c>
      <c r="N792" s="7">
        <v>0.579958076749695</v>
      </c>
      <c r="O792" s="7">
        <v>0.0878237257287705</v>
      </c>
      <c r="P792" s="7">
        <v>7.73772476474926</v>
      </c>
      <c r="Q792" s="7">
        <v>0.0374226254478018</v>
      </c>
      <c r="R792" s="7">
        <v>0.0654056507149499</v>
      </c>
      <c r="S792" s="7">
        <v>0.0865014901681722</v>
      </c>
      <c r="T792" s="7">
        <v>2.176011846436972</v>
      </c>
    </row>
    <row x14ac:dyDescent="0.25" r="793" customHeight="1" ht="19.5">
      <c r="A793" s="2" t="s">
        <v>1851</v>
      </c>
      <c r="B793" s="2" t="s">
        <v>1060</v>
      </c>
      <c r="C793" s="2" t="s">
        <v>31</v>
      </c>
      <c r="D793" s="2" t="s">
        <v>431</v>
      </c>
      <c r="E793" s="6">
        <v>1</v>
      </c>
      <c r="F793" s="6">
        <v>2</v>
      </c>
      <c r="G793" s="7">
        <v>0.7337168455123901</v>
      </c>
      <c r="H793" s="7">
        <v>47.9318125</v>
      </c>
      <c r="I793" s="7">
        <v>29.53905932102609</v>
      </c>
      <c r="J793" s="7">
        <v>10.31698499161231</v>
      </c>
      <c r="K793" s="7">
        <v>4.854841749288815</v>
      </c>
      <c r="L793" s="7">
        <v>0.8943599186640737</v>
      </c>
      <c r="M793" s="7">
        <v>0.6903040062083601</v>
      </c>
      <c r="N793" s="7">
        <v>0.5016572989065432</v>
      </c>
      <c r="O793" s="7">
        <v>0.0741336137575742</v>
      </c>
      <c r="P793" s="7">
        <v>8.035793527620417</v>
      </c>
      <c r="Q793" s="7">
        <v>0.044753707621632</v>
      </c>
      <c r="R793" s="7">
        <v>0.0853003808010304</v>
      </c>
      <c r="S793" s="7">
        <v>0.1048744603620731</v>
      </c>
      <c r="T793" s="7">
        <v>2.489680696808857</v>
      </c>
    </row>
    <row x14ac:dyDescent="0.25" r="794" customHeight="1" ht="19.5">
      <c r="A794" s="2" t="s">
        <v>1852</v>
      </c>
      <c r="B794" s="2" t="s">
        <v>1060</v>
      </c>
      <c r="C794" s="2" t="s">
        <v>31</v>
      </c>
      <c r="D794" s="2" t="s">
        <v>431</v>
      </c>
      <c r="E794" s="6">
        <v>1</v>
      </c>
      <c r="F794" s="6">
        <v>2</v>
      </c>
      <c r="G794" s="7">
        <v>0.8021867275238037</v>
      </c>
      <c r="H794" s="7">
        <v>47.322275</v>
      </c>
      <c r="I794" s="7">
        <v>29.35486331273924</v>
      </c>
      <c r="J794" s="7">
        <v>10.36197801566607</v>
      </c>
      <c r="K794" s="7">
        <v>4.696847808224932</v>
      </c>
      <c r="L794" s="7">
        <v>0.8989362240893296</v>
      </c>
      <c r="M794" s="7">
        <v>0.6901052861166256</v>
      </c>
      <c r="N794" s="7">
        <v>0.4406998030330433</v>
      </c>
      <c r="O794" s="7">
        <v>0.0666910680739677</v>
      </c>
      <c r="P794" s="7">
        <v>8.411936325622097</v>
      </c>
      <c r="Q794" s="7">
        <v>0.0467669954068732</v>
      </c>
      <c r="R794" s="7">
        <v>0.0947893391653822</v>
      </c>
      <c r="S794" s="7">
        <v>0.1240372241260634</v>
      </c>
      <c r="T794" s="7">
        <v>2.56859636830333</v>
      </c>
    </row>
    <row x14ac:dyDescent="0.25" r="795" customHeight="1" ht="19.5">
      <c r="A795" s="2" t="s">
        <v>1853</v>
      </c>
      <c r="B795" s="2" t="s">
        <v>1060</v>
      </c>
      <c r="C795" s="2" t="s">
        <v>31</v>
      </c>
      <c r="D795" s="2" t="s">
        <v>431</v>
      </c>
      <c r="E795" s="6">
        <v>1</v>
      </c>
      <c r="F795" s="6">
        <v>2</v>
      </c>
      <c r="G795" s="7">
        <v>0.8127217888832092</v>
      </c>
      <c r="H795" s="7">
        <v>47.3430546875</v>
      </c>
      <c r="I795" s="7">
        <v>29.27163734023065</v>
      </c>
      <c r="J795" s="7">
        <v>10.39674498895347</v>
      </c>
      <c r="K795" s="7">
        <v>4.750714117983013</v>
      </c>
      <c r="L795" s="7">
        <v>0.8986226697167067</v>
      </c>
      <c r="M795" s="7">
        <v>0.6943398776348262</v>
      </c>
      <c r="N795" s="7">
        <v>0.4139091911136554</v>
      </c>
      <c r="O795" s="7">
        <v>0.0633702696444786</v>
      </c>
      <c r="P795" s="7">
        <v>8.539222823963902</v>
      </c>
      <c r="Q795" s="7">
        <v>0.0489864932906047</v>
      </c>
      <c r="R795" s="7">
        <v>0.1032407750619119</v>
      </c>
      <c r="S795" s="7">
        <v>0.1344161374117264</v>
      </c>
      <c r="T795" s="7">
        <v>2.691679877291139</v>
      </c>
    </row>
    <row x14ac:dyDescent="0.25" r="796" customHeight="1" ht="19.5">
      <c r="A796" s="2" t="s">
        <v>1854</v>
      </c>
      <c r="B796" s="2" t="s">
        <v>1060</v>
      </c>
      <c r="C796" s="2" t="s">
        <v>31</v>
      </c>
      <c r="D796" s="2" t="s">
        <v>431</v>
      </c>
      <c r="E796" s="6">
        <v>1</v>
      </c>
      <c r="F796" s="6">
        <v>2</v>
      </c>
      <c r="G796" s="7">
        <v>0.8126250505447388</v>
      </c>
      <c r="H796" s="7">
        <v>47.59241093750001</v>
      </c>
      <c r="I796" s="7">
        <v>29.13374403401166</v>
      </c>
      <c r="J796" s="7">
        <v>10.40683512013454</v>
      </c>
      <c r="K796" s="7">
        <v>4.801227117824897</v>
      </c>
      <c r="L796" s="7">
        <v>0.8966691679815925</v>
      </c>
      <c r="M796" s="7">
        <v>0.7046200053872217</v>
      </c>
      <c r="N796" s="7">
        <v>0.4150204980162795</v>
      </c>
      <c r="O796" s="7">
        <v>0.0639721171912964</v>
      </c>
      <c r="P796" s="7">
        <v>8.556498436348221</v>
      </c>
      <c r="Q796" s="7">
        <v>0.0489873978534858</v>
      </c>
      <c r="R796" s="7">
        <v>0.1026299949016822</v>
      </c>
      <c r="S796" s="7">
        <v>0.1345809399232171</v>
      </c>
      <c r="T796" s="7">
        <v>2.705906942020364</v>
      </c>
    </row>
    <row x14ac:dyDescent="0.25" r="797" customHeight="1" ht="19.5">
      <c r="A797" s="2" t="s">
        <v>1855</v>
      </c>
      <c r="B797" s="2" t="s">
        <v>1060</v>
      </c>
      <c r="C797" s="2" t="s">
        <v>31</v>
      </c>
      <c r="D797" s="2" t="s">
        <v>431</v>
      </c>
      <c r="E797" s="6">
        <v>1</v>
      </c>
      <c r="F797" s="6">
        <v>2</v>
      </c>
      <c r="G797" s="7">
        <v>0.8187844753265381</v>
      </c>
      <c r="H797" s="7">
        <v>47.530071875</v>
      </c>
      <c r="I797" s="7">
        <v>29.37750726378087</v>
      </c>
      <c r="J797" s="7">
        <v>10.40676387972176</v>
      </c>
      <c r="K797" s="7">
        <v>4.821295564398653</v>
      </c>
      <c r="L797" s="7">
        <v>0.8972806979080789</v>
      </c>
      <c r="M797" s="7">
        <v>0.6920674928030038</v>
      </c>
      <c r="N797" s="7">
        <v>0.4118356506555913</v>
      </c>
      <c r="O797" s="7">
        <v>0.0637371518946982</v>
      </c>
      <c r="P797" s="7">
        <v>8.573736497865706</v>
      </c>
      <c r="Q797" s="7">
        <v>0.0491409475660678</v>
      </c>
      <c r="R797" s="7">
        <v>0.1019327812875125</v>
      </c>
      <c r="S797" s="7">
        <v>0.1344143218562095</v>
      </c>
      <c r="T797" s="7">
        <v>2.710833086314123</v>
      </c>
    </row>
    <row x14ac:dyDescent="0.25" r="798" customHeight="1" ht="19.5">
      <c r="A798" s="2" t="s">
        <v>1856</v>
      </c>
      <c r="B798" s="2" t="s">
        <v>1060</v>
      </c>
      <c r="C798" s="2" t="s">
        <v>31</v>
      </c>
      <c r="D798" s="2" t="s">
        <v>431</v>
      </c>
      <c r="E798" s="6">
        <v>1</v>
      </c>
      <c r="F798" s="6">
        <v>2</v>
      </c>
      <c r="G798" s="7">
        <v>0.8170148134231567</v>
      </c>
      <c r="H798" s="7">
        <v>47.87986328125</v>
      </c>
      <c r="I798" s="7">
        <v>29.48684193120167</v>
      </c>
      <c r="J798" s="7">
        <v>10.39694833818059</v>
      </c>
      <c r="K798" s="7">
        <v>4.803379938990567</v>
      </c>
      <c r="L798" s="7">
        <v>0.8965769013305364</v>
      </c>
      <c r="M798" s="7">
        <v>0.6920002355225172</v>
      </c>
      <c r="N798" s="7">
        <v>0.4162018470377924</v>
      </c>
      <c r="O798" s="7">
        <v>0.0633448029775179</v>
      </c>
      <c r="P798" s="7">
        <v>8.559304423065358</v>
      </c>
      <c r="Q798" s="7">
        <v>0.0487547265853099</v>
      </c>
      <c r="R798" s="7">
        <v>0.1013484656019402</v>
      </c>
      <c r="S798" s="7">
        <v>0.1345311029347743</v>
      </c>
      <c r="T798" s="7">
        <v>2.709320648975936</v>
      </c>
    </row>
    <row x14ac:dyDescent="0.25" r="799" customHeight="1" ht="19.5">
      <c r="A799" s="2" t="s">
        <v>1857</v>
      </c>
      <c r="B799" s="2" t="s">
        <v>1060</v>
      </c>
      <c r="C799" s="2" t="s">
        <v>31</v>
      </c>
      <c r="D799" s="2" t="s">
        <v>431</v>
      </c>
      <c r="E799" s="6">
        <v>1</v>
      </c>
      <c r="F799" s="6">
        <v>2</v>
      </c>
      <c r="G799" s="7">
        <v>0.8180057406425476</v>
      </c>
      <c r="H799" s="7">
        <v>47.85908359375</v>
      </c>
      <c r="I799" s="7">
        <v>29.3750573198949</v>
      </c>
      <c r="J799" s="7">
        <v>10.3796640880796</v>
      </c>
      <c r="K799" s="7">
        <v>4.774259915732362</v>
      </c>
      <c r="L799" s="7">
        <v>0.8974322970589441</v>
      </c>
      <c r="M799" s="7">
        <v>0.6969743524663886</v>
      </c>
      <c r="N799" s="7">
        <v>0.4169246262125574</v>
      </c>
      <c r="O799" s="7">
        <v>0.0634880168819647</v>
      </c>
      <c r="P799" s="7">
        <v>8.559540839952222</v>
      </c>
      <c r="Q799" s="7">
        <v>0.0487600802638153</v>
      </c>
      <c r="R799" s="7">
        <v>0.1012608217655076</v>
      </c>
      <c r="S799" s="7">
        <v>0.1353612939376786</v>
      </c>
      <c r="T799" s="7">
        <v>2.70844219066112</v>
      </c>
    </row>
    <row x14ac:dyDescent="0.25" r="800" customHeight="1" ht="19.5">
      <c r="A800" s="2" t="s">
        <v>1858</v>
      </c>
      <c r="B800" s="2" t="s">
        <v>1060</v>
      </c>
      <c r="C800" s="2" t="s">
        <v>31</v>
      </c>
      <c r="D800" s="2" t="s">
        <v>431</v>
      </c>
      <c r="E800" s="6">
        <v>1</v>
      </c>
      <c r="F800" s="6">
        <v>2</v>
      </c>
      <c r="G800" s="7">
        <v>0.8137303590774536</v>
      </c>
      <c r="H800" s="7">
        <v>47.68245625</v>
      </c>
      <c r="I800" s="7">
        <v>29.4952065628442</v>
      </c>
      <c r="J800" s="7">
        <v>10.372241058137</v>
      </c>
      <c r="K800" s="7">
        <v>4.757825672927613</v>
      </c>
      <c r="L800" s="7">
        <v>0.897768632349571</v>
      </c>
      <c r="M800" s="7">
        <v>0.6887563232563122</v>
      </c>
      <c r="N800" s="7">
        <v>0.4121712156081501</v>
      </c>
      <c r="O800" s="7">
        <v>0.0636340591069093</v>
      </c>
      <c r="P800" s="7">
        <v>8.57750911336741</v>
      </c>
      <c r="Q800" s="7">
        <v>0.0491719283118274</v>
      </c>
      <c r="R800" s="7">
        <v>0.1032745279041386</v>
      </c>
      <c r="S800" s="7">
        <v>0.1362972850874324</v>
      </c>
      <c r="T800" s="7">
        <v>2.721238701182449</v>
      </c>
    </row>
    <row x14ac:dyDescent="0.25" r="801" customHeight="1" ht="19.5">
      <c r="A801" s="2" t="s">
        <v>1859</v>
      </c>
      <c r="B801" s="2" t="s">
        <v>1060</v>
      </c>
      <c r="C801" s="2" t="s">
        <v>31</v>
      </c>
      <c r="D801" s="2" t="s">
        <v>431</v>
      </c>
      <c r="E801" s="6">
        <v>1</v>
      </c>
      <c r="F801" s="6">
        <v>2</v>
      </c>
      <c r="G801" s="7">
        <v>0.8087341785430908</v>
      </c>
      <c r="H801" s="7">
        <v>47.85908359375</v>
      </c>
      <c r="I801" s="7">
        <v>29.45828329240348</v>
      </c>
      <c r="J801" s="7">
        <v>10.37625851086751</v>
      </c>
      <c r="K801" s="7">
        <v>4.769078106866916</v>
      </c>
      <c r="L801" s="7">
        <v>0.8973897045151101</v>
      </c>
      <c r="M801" s="7">
        <v>0.6930417113479065</v>
      </c>
      <c r="N801" s="7">
        <v>0.4167468946275415</v>
      </c>
      <c r="O801" s="7">
        <v>0.0638232761716146</v>
      </c>
      <c r="P801" s="7">
        <v>8.54302623185671</v>
      </c>
      <c r="Q801" s="7">
        <v>0.0476479059402553</v>
      </c>
      <c r="R801" s="7">
        <v>0.1003614779669</v>
      </c>
      <c r="S801" s="7">
        <v>0.130759632163686</v>
      </c>
      <c r="T801" s="7">
        <v>2.646665018740929</v>
      </c>
    </row>
    <row x14ac:dyDescent="0.25" r="802" customHeight="1" ht="19.5">
      <c r="A802" s="2" t="s">
        <v>1860</v>
      </c>
      <c r="B802" s="2" t="s">
        <v>1060</v>
      </c>
      <c r="C802" s="2" t="s">
        <v>31</v>
      </c>
      <c r="D802" s="2" t="s">
        <v>431</v>
      </c>
      <c r="E802" s="6">
        <v>1</v>
      </c>
      <c r="F802" s="6">
        <v>2</v>
      </c>
      <c r="G802" s="7">
        <v>0.8166475892066956</v>
      </c>
      <c r="H802" s="7">
        <v>47.68245625</v>
      </c>
      <c r="I802" s="7">
        <v>29.34894862498268</v>
      </c>
      <c r="J802" s="7">
        <v>10.3931927532956</v>
      </c>
      <c r="K802" s="7">
        <v>4.799531716445624</v>
      </c>
      <c r="L802" s="7">
        <v>0.8966358780512248</v>
      </c>
      <c r="M802" s="7">
        <v>0.6956381428112789</v>
      </c>
      <c r="N802" s="7">
        <v>0.4148962080394954</v>
      </c>
      <c r="O802" s="7">
        <v>0.0634477115332164</v>
      </c>
      <c r="P802" s="7">
        <v>8.558723335711178</v>
      </c>
      <c r="Q802" s="7">
        <v>0.048468408318419</v>
      </c>
      <c r="R802" s="7">
        <v>0.1014300700288248</v>
      </c>
      <c r="S802" s="7">
        <v>0.1325787254214974</v>
      </c>
      <c r="T802" s="7">
        <v>2.682304986381235</v>
      </c>
    </row>
    <row x14ac:dyDescent="0.25" r="803" customHeight="1" ht="19.5">
      <c r="A803" s="2" t="s">
        <v>1861</v>
      </c>
      <c r="B803" s="2" t="s">
        <v>1060</v>
      </c>
      <c r="C803" s="2" t="s">
        <v>31</v>
      </c>
      <c r="D803" s="2" t="s">
        <v>431</v>
      </c>
      <c r="E803" s="6">
        <v>1</v>
      </c>
      <c r="F803" s="6">
        <v>2</v>
      </c>
      <c r="G803" s="7">
        <v>0.8093141317367554</v>
      </c>
      <c r="H803" s="7">
        <v>47.84523046875</v>
      </c>
      <c r="I803" s="7">
        <v>29.28591665962975</v>
      </c>
      <c r="J803" s="7">
        <v>10.37538103791011</v>
      </c>
      <c r="K803" s="7">
        <v>4.765597097873977</v>
      </c>
      <c r="L803" s="7">
        <v>0.8972695844635351</v>
      </c>
      <c r="M803" s="7">
        <v>0.7010207459445982</v>
      </c>
      <c r="N803" s="7">
        <v>0.4147293673437993</v>
      </c>
      <c r="O803" s="7">
        <v>0.0634034279758182</v>
      </c>
      <c r="P803" s="7">
        <v>8.563980385770922</v>
      </c>
      <c r="Q803" s="7">
        <v>0.0487836027071206</v>
      </c>
      <c r="R803" s="7">
        <v>0.1017374978374912</v>
      </c>
      <c r="S803" s="7">
        <v>0.1320610897631007</v>
      </c>
      <c r="T803" s="7">
        <v>2.70896442090404</v>
      </c>
    </row>
    <row x14ac:dyDescent="0.25" r="804" customHeight="1" ht="19.5">
      <c r="A804" s="2" t="s">
        <v>1862</v>
      </c>
      <c r="B804" s="2" t="s">
        <v>1060</v>
      </c>
      <c r="C804" s="2" t="s">
        <v>31</v>
      </c>
      <c r="D804" s="2" t="s">
        <v>431</v>
      </c>
      <c r="E804" s="6">
        <v>1</v>
      </c>
      <c r="F804" s="6">
        <v>2</v>
      </c>
      <c r="G804" s="7">
        <v>0.8102011680603027</v>
      </c>
      <c r="H804" s="7">
        <v>48.03224765625</v>
      </c>
      <c r="I804" s="7">
        <v>29.55578858431116</v>
      </c>
      <c r="J804" s="7">
        <v>10.39204670616956</v>
      </c>
      <c r="K804" s="7">
        <v>4.793919988348259</v>
      </c>
      <c r="L804" s="7">
        <v>0.8974361514207853</v>
      </c>
      <c r="M804" s="7">
        <v>0.6909675804207335</v>
      </c>
      <c r="N804" s="7">
        <v>0.419354743366279</v>
      </c>
      <c r="O804" s="7">
        <v>0.0635828403631133</v>
      </c>
      <c r="P804" s="7">
        <v>8.537926160934317</v>
      </c>
      <c r="Q804" s="7">
        <v>0.0480146324601218</v>
      </c>
      <c r="R804" s="7">
        <v>0.1002936844519391</v>
      </c>
      <c r="S804" s="7">
        <v>0.13282954545716</v>
      </c>
      <c r="T804" s="7">
        <v>2.67668520649595</v>
      </c>
    </row>
    <row x14ac:dyDescent="0.25" r="805" customHeight="1" ht="19.5">
      <c r="A805" s="2" t="s">
        <v>1863</v>
      </c>
      <c r="B805" s="2" t="s">
        <v>1060</v>
      </c>
      <c r="C805" s="2" t="s">
        <v>31</v>
      </c>
      <c r="D805" s="2" t="s">
        <v>431</v>
      </c>
      <c r="E805" s="6">
        <v>1</v>
      </c>
      <c r="F805" s="6">
        <v>2</v>
      </c>
      <c r="G805" s="7">
        <v>0.8238911628723145</v>
      </c>
      <c r="H805" s="7">
        <v>47.55431484375</v>
      </c>
      <c r="I805" s="7">
        <v>29.54395920879804</v>
      </c>
      <c r="J805" s="7">
        <v>10.38232432005866</v>
      </c>
      <c r="K805" s="7">
        <v>4.779089427650023</v>
      </c>
      <c r="L805" s="7">
        <v>0.8984831323308614</v>
      </c>
      <c r="M805" s="7">
        <v>0.6846402106924113</v>
      </c>
      <c r="N805" s="7">
        <v>0.4139422401595928</v>
      </c>
      <c r="O805" s="7">
        <v>0.0636948908989374</v>
      </c>
      <c r="P805" s="7">
        <v>8.581160830005816</v>
      </c>
      <c r="Q805" s="7">
        <v>0.0489551222957998</v>
      </c>
      <c r="R805" s="7">
        <v>0.1017208543030767</v>
      </c>
      <c r="S805" s="7">
        <v>0.1374226915910637</v>
      </c>
      <c r="T805" s="7">
        <v>2.701959584903694</v>
      </c>
    </row>
    <row x14ac:dyDescent="0.25" r="806" customHeight="1" ht="19.5">
      <c r="A806" s="2" t="s">
        <v>1864</v>
      </c>
      <c r="B806" s="2" t="s">
        <v>1060</v>
      </c>
      <c r="C806" s="2" t="s">
        <v>31</v>
      </c>
      <c r="D806" s="2" t="s">
        <v>431</v>
      </c>
      <c r="E806" s="6">
        <v>1</v>
      </c>
      <c r="F806" s="6">
        <v>2</v>
      </c>
      <c r="G806" s="7">
        <v>0.814124345779419</v>
      </c>
      <c r="H806" s="7">
        <v>47.83830390625</v>
      </c>
      <c r="I806" s="7">
        <v>29.50112125060076</v>
      </c>
      <c r="J806" s="7">
        <v>10.38247851038724</v>
      </c>
      <c r="K806" s="7">
        <v>4.776786122483704</v>
      </c>
      <c r="L806" s="7">
        <v>0.8971292209371203</v>
      </c>
      <c r="M806" s="7">
        <v>0.6907304351012827</v>
      </c>
      <c r="N806" s="7">
        <v>0.4177688701043348</v>
      </c>
      <c r="O806" s="7">
        <v>0.0636037328900473</v>
      </c>
      <c r="P806" s="7">
        <v>8.552850483943692</v>
      </c>
      <c r="Q806" s="7">
        <v>0.0488283839131134</v>
      </c>
      <c r="R806" s="7">
        <v>0.1009007668773371</v>
      </c>
      <c r="S806" s="7">
        <v>0.1322997954267829</v>
      </c>
      <c r="T806" s="7">
        <v>2.711058594074842</v>
      </c>
    </row>
    <row x14ac:dyDescent="0.25" r="807" customHeight="1" ht="19.5">
      <c r="A807" s="2" t="s">
        <v>1865</v>
      </c>
      <c r="B807" s="2" t="s">
        <v>1060</v>
      </c>
      <c r="C807" s="2" t="s">
        <v>31</v>
      </c>
      <c r="D807" s="2" t="s">
        <v>431</v>
      </c>
      <c r="E807" s="6">
        <v>1</v>
      </c>
      <c r="F807" s="6">
        <v>2</v>
      </c>
      <c r="G807" s="7">
        <v>0.8189317584037781</v>
      </c>
      <c r="H807" s="7">
        <v>47.68245625</v>
      </c>
      <c r="I807" s="7">
        <v>29.71041115381521</v>
      </c>
      <c r="J807" s="7">
        <v>10.39121152355236</v>
      </c>
      <c r="K807" s="7">
        <v>4.79467217439441</v>
      </c>
      <c r="L807" s="7">
        <v>0.8979031303897793</v>
      </c>
      <c r="M807" s="7">
        <v>0.678814575871403</v>
      </c>
      <c r="N807" s="7">
        <v>0.4136432806570792</v>
      </c>
      <c r="O807" s="7">
        <v>0.0632961422549906</v>
      </c>
      <c r="P807" s="7">
        <v>8.589890191394487</v>
      </c>
      <c r="Q807" s="7">
        <v>0.0480329364109158</v>
      </c>
      <c r="R807" s="7">
        <v>0.1001457655251642</v>
      </c>
      <c r="S807" s="7">
        <v>0.1307385331980835</v>
      </c>
      <c r="T807" s="7">
        <v>2.658205402560551</v>
      </c>
    </row>
    <row x14ac:dyDescent="0.25" r="808" customHeight="1" ht="19.5">
      <c r="A808" s="2" t="s">
        <v>1866</v>
      </c>
      <c r="B808" s="2" t="s">
        <v>1060</v>
      </c>
      <c r="C808" s="2" t="s">
        <v>31</v>
      </c>
      <c r="D808" s="2" t="s">
        <v>431</v>
      </c>
      <c r="E808" s="6">
        <v>1</v>
      </c>
      <c r="F808" s="6">
        <v>2</v>
      </c>
      <c r="G808" s="7">
        <v>0.8159351944923401</v>
      </c>
      <c r="H808" s="7">
        <v>47.97683515625</v>
      </c>
      <c r="I808" s="7">
        <v>29.45236860464692</v>
      </c>
      <c r="J808" s="7">
        <v>10.38628051750032</v>
      </c>
      <c r="K808" s="7">
        <v>4.789386305201305</v>
      </c>
      <c r="L808" s="7">
        <v>0.8971801173937837</v>
      </c>
      <c r="M808" s="7">
        <v>0.6950259268773636</v>
      </c>
      <c r="N808" s="7">
        <v>0.4170844072058035</v>
      </c>
      <c r="O808" s="7">
        <v>0.0633179996408745</v>
      </c>
      <c r="P808" s="7">
        <v>8.551436041701674</v>
      </c>
      <c r="Q808" s="7">
        <v>0.0493396531400427</v>
      </c>
      <c r="R808" s="7">
        <v>0.1024687177001423</v>
      </c>
      <c r="S808" s="7">
        <v>0.1341449679145792</v>
      </c>
      <c r="T808" s="7">
        <v>2.747378327304062</v>
      </c>
    </row>
    <row x14ac:dyDescent="0.25" r="809" customHeight="1" ht="19.5">
      <c r="A809" s="2" t="s">
        <v>1867</v>
      </c>
      <c r="B809" s="2" t="s">
        <v>1060</v>
      </c>
      <c r="C809" s="2" t="s">
        <v>31</v>
      </c>
      <c r="D809" s="2" t="s">
        <v>431</v>
      </c>
      <c r="E809" s="6">
        <v>1</v>
      </c>
      <c r="F809" s="6">
        <v>2</v>
      </c>
      <c r="G809" s="7">
        <v>0.8172270059585571</v>
      </c>
      <c r="H809" s="7">
        <v>47.225303125</v>
      </c>
      <c r="I809" s="7">
        <v>29.21697000652026</v>
      </c>
      <c r="J809" s="7">
        <v>10.37617904875171</v>
      </c>
      <c r="K809" s="7">
        <v>4.701016389917491</v>
      </c>
      <c r="L809" s="7">
        <v>0.8998908447517547</v>
      </c>
      <c r="M809" s="7">
        <v>0.6952072120189904</v>
      </c>
      <c r="N809" s="7">
        <v>0.4129700770948971</v>
      </c>
      <c r="O809" s="7">
        <v>0.0633754198948541</v>
      </c>
      <c r="P809" s="7">
        <v>8.570016652661586</v>
      </c>
      <c r="Q809" s="7">
        <v>0.0491219507191746</v>
      </c>
      <c r="R809" s="7">
        <v>0.1017330515282315</v>
      </c>
      <c r="S809" s="7">
        <v>0.1323072115108718</v>
      </c>
      <c r="T809" s="7">
        <v>2.692409655480666</v>
      </c>
    </row>
    <row x14ac:dyDescent="0.25" r="810" customHeight="1" ht="19.5">
      <c r="A810" s="2" t="s">
        <v>1868</v>
      </c>
      <c r="B810" s="2" t="s">
        <v>1060</v>
      </c>
      <c r="C810" s="2" t="s">
        <v>31</v>
      </c>
      <c r="D810" s="2" t="s">
        <v>431</v>
      </c>
      <c r="E810" s="6">
        <v>1</v>
      </c>
      <c r="F810" s="6">
        <v>2</v>
      </c>
      <c r="G810" s="7">
        <v>0.820920467376709</v>
      </c>
      <c r="H810" s="7">
        <v>47.72055234375</v>
      </c>
      <c r="I810" s="7">
        <v>29.28591665962975</v>
      </c>
      <c r="J810" s="7">
        <v>10.38091910098956</v>
      </c>
      <c r="K810" s="7">
        <v>4.763735490523562</v>
      </c>
      <c r="L810" s="7">
        <v>0.8975819501424382</v>
      </c>
      <c r="M810" s="7">
        <v>0.699193981785785</v>
      </c>
      <c r="N810" s="7">
        <v>0.4131929797201416</v>
      </c>
      <c r="O810" s="7">
        <v>0.0632089208685426</v>
      </c>
      <c r="P810" s="7">
        <v>8.574842033563302</v>
      </c>
      <c r="Q810" s="7">
        <v>0.0483734166827186</v>
      </c>
      <c r="R810" s="7">
        <v>0.1008909052704575</v>
      </c>
      <c r="S810" s="7">
        <v>0.1341940391815539</v>
      </c>
      <c r="T810" s="7">
        <v>2.679186863746895</v>
      </c>
    </row>
    <row x14ac:dyDescent="0.25" r="811" customHeight="1" ht="19.5">
      <c r="A811" s="2" t="s">
        <v>1869</v>
      </c>
      <c r="B811" s="2" t="s">
        <v>1060</v>
      </c>
      <c r="C811" s="2" t="s">
        <v>31</v>
      </c>
      <c r="D811" s="2" t="s">
        <v>431</v>
      </c>
      <c r="E811" s="6">
        <v>1</v>
      </c>
      <c r="F811" s="6">
        <v>2</v>
      </c>
      <c r="G811" s="7">
        <v>0.8203960061073303</v>
      </c>
      <c r="H811" s="7">
        <v>47.73786875</v>
      </c>
      <c r="I811" s="7">
        <v>29.28591665962974</v>
      </c>
      <c r="J811" s="7">
        <v>10.38890587232869</v>
      </c>
      <c r="K811" s="7">
        <v>4.791728666677243</v>
      </c>
      <c r="L811" s="7">
        <v>0.8966110793830963</v>
      </c>
      <c r="M811" s="7">
        <v>0.6994476990300647</v>
      </c>
      <c r="N811" s="7">
        <v>0.4182231082608735</v>
      </c>
      <c r="O811" s="7">
        <v>0.0639760989255349</v>
      </c>
      <c r="P811" s="7">
        <v>8.539247896669906</v>
      </c>
      <c r="Q811" s="7">
        <v>0.0482306967497431</v>
      </c>
      <c r="R811" s="7">
        <v>0.1016614112584847</v>
      </c>
      <c r="S811" s="7">
        <v>0.1330397225038714</v>
      </c>
      <c r="T811" s="7">
        <v>2.672251576921274</v>
      </c>
    </row>
    <row x14ac:dyDescent="0.25" r="812" customHeight="1" ht="19.5">
      <c r="A812" s="2" t="s">
        <v>1870</v>
      </c>
      <c r="B812" s="2" t="s">
        <v>1060</v>
      </c>
      <c r="C812" s="2" t="s">
        <v>31</v>
      </c>
      <c r="D812" s="2" t="s">
        <v>431</v>
      </c>
      <c r="E812" s="6">
        <v>1</v>
      </c>
      <c r="F812" s="6">
        <v>2</v>
      </c>
      <c r="G812" s="7">
        <v>0.8130272626876831</v>
      </c>
      <c r="H812" s="7">
        <v>47.530071875</v>
      </c>
      <c r="I812" s="7">
        <v>29.11110008297005</v>
      </c>
      <c r="J812" s="7">
        <v>10.39960753415252</v>
      </c>
      <c r="K812" s="7">
        <v>4.752804142015856</v>
      </c>
      <c r="L812" s="7">
        <v>0.8980307584902921</v>
      </c>
      <c r="M812" s="7">
        <v>0.7047922183221867</v>
      </c>
      <c r="N812" s="7">
        <v>0.4196526051630623</v>
      </c>
      <c r="O812" s="7">
        <v>0.0638208333741731</v>
      </c>
      <c r="P812" s="7">
        <v>8.499566189785309</v>
      </c>
      <c r="Q812" s="7">
        <v>0.0474679462621693</v>
      </c>
      <c r="R812" s="7">
        <v>0.1001465720231876</v>
      </c>
      <c r="S812" s="7">
        <v>0.1321127379900179</v>
      </c>
      <c r="T812" s="7">
        <v>2.618542898340898</v>
      </c>
    </row>
    <row x14ac:dyDescent="0.25" r="813" customHeight="1" ht="19.5">
      <c r="A813" s="2" t="s">
        <v>1871</v>
      </c>
      <c r="B813" s="2" t="s">
        <v>1060</v>
      </c>
      <c r="C813" s="2" t="s">
        <v>31</v>
      </c>
      <c r="D813" s="2" t="s">
        <v>431</v>
      </c>
      <c r="E813" s="6">
        <v>1</v>
      </c>
      <c r="F813" s="6">
        <v>2</v>
      </c>
      <c r="G813" s="7">
        <v>0.8161863088607788</v>
      </c>
      <c r="H813" s="7">
        <v>47.74825859375</v>
      </c>
      <c r="I813" s="7">
        <v>29.3061106667854</v>
      </c>
      <c r="J813" s="7">
        <v>10.38235272409537</v>
      </c>
      <c r="K813" s="7">
        <v>4.777819528462485</v>
      </c>
      <c r="L813" s="7">
        <v>0.8976711261541966</v>
      </c>
      <c r="M813" s="7">
        <v>0.6986361127423832</v>
      </c>
      <c r="N813" s="7">
        <v>0.4174128617667791</v>
      </c>
      <c r="O813" s="7">
        <v>0.0637148857110936</v>
      </c>
      <c r="P813" s="7">
        <v>8.546727347146978</v>
      </c>
      <c r="Q813" s="7">
        <v>0.04891705450016</v>
      </c>
      <c r="R813" s="7">
        <v>0.1026607203366256</v>
      </c>
      <c r="S813" s="7">
        <v>0.1358173705665774</v>
      </c>
      <c r="T813" s="7">
        <v>2.710869527635168</v>
      </c>
    </row>
    <row x14ac:dyDescent="0.25" r="814" customHeight="1" ht="19.5">
      <c r="A814" s="2" t="s">
        <v>1872</v>
      </c>
      <c r="B814" s="2" t="s">
        <v>1060</v>
      </c>
      <c r="C814" s="2" t="s">
        <v>31</v>
      </c>
      <c r="D814" s="2" t="s">
        <v>431</v>
      </c>
      <c r="E814" s="6">
        <v>1</v>
      </c>
      <c r="F814" s="6">
        <v>2</v>
      </c>
      <c r="G814" s="7">
        <v>0.753203809261322</v>
      </c>
      <c r="H814" s="7">
        <v>47.8140609375</v>
      </c>
      <c r="I814" s="7">
        <v>29.44991866076095</v>
      </c>
      <c r="J814" s="7">
        <v>10.38505814968499</v>
      </c>
      <c r="K814" s="7">
        <v>4.83192178339525</v>
      </c>
      <c r="L814" s="7">
        <v>0.8967791094853356</v>
      </c>
      <c r="M814" s="7">
        <v>0.6927831170268649</v>
      </c>
      <c r="N814" s="7">
        <v>0.4926336452905142</v>
      </c>
      <c r="O814" s="7">
        <v>0.0735789352378893</v>
      </c>
      <c r="P814" s="7">
        <v>8.094067763034264</v>
      </c>
      <c r="Q814" s="7">
        <v>0.0448235029801775</v>
      </c>
      <c r="R814" s="7">
        <v>0.0873825604879774</v>
      </c>
      <c r="S814" s="7">
        <v>0.1061832306522576</v>
      </c>
      <c r="T814" s="7">
        <v>2.487437656225594</v>
      </c>
    </row>
    <row x14ac:dyDescent="0.25" r="815" customHeight="1" ht="19.5">
      <c r="A815" s="2" t="s">
        <v>1873</v>
      </c>
      <c r="B815" s="2" t="s">
        <v>1060</v>
      </c>
      <c r="C815" s="2" t="s">
        <v>31</v>
      </c>
      <c r="D815" s="2" t="s">
        <v>650</v>
      </c>
      <c r="E815" s="6">
        <v>1</v>
      </c>
      <c r="F815" s="6">
        <v>2</v>
      </c>
      <c r="G815" s="7">
        <v>0.7581364512443542</v>
      </c>
      <c r="H815" s="7">
        <v>37.001696875</v>
      </c>
      <c r="I815" s="7">
        <v>26.07457705834962</v>
      </c>
      <c r="J815" s="7">
        <v>8.844725262438484</v>
      </c>
      <c r="K815" s="7">
        <v>4.132053392276404</v>
      </c>
      <c r="L815" s="7">
        <v>0.8886606907113388</v>
      </c>
      <c r="M815" s="7">
        <v>0.683906859422109</v>
      </c>
      <c r="N815" s="7">
        <v>0.5384624598000499</v>
      </c>
      <c r="O815" s="7">
        <v>0.0779702792403811</v>
      </c>
      <c r="P815" s="7">
        <v>7.804892477035542</v>
      </c>
      <c r="Q815" s="7">
        <v>0.0291053432989579</v>
      </c>
      <c r="R815" s="7">
        <v>0.0732734181313805</v>
      </c>
      <c r="S815" s="7">
        <v>0.0919764413103062</v>
      </c>
      <c r="T815" s="7">
        <v>1.249928432621604</v>
      </c>
    </row>
    <row x14ac:dyDescent="0.25" r="816" customHeight="1" ht="19.5">
      <c r="A816" s="2" t="s">
        <v>1874</v>
      </c>
      <c r="B816" s="2" t="s">
        <v>1060</v>
      </c>
      <c r="C816" s="2" t="s">
        <v>31</v>
      </c>
      <c r="D816" s="2" t="s">
        <v>650</v>
      </c>
      <c r="E816" s="6">
        <v>1</v>
      </c>
      <c r="F816" s="6">
        <v>2</v>
      </c>
      <c r="G816" s="7">
        <v>0.7632202506065369</v>
      </c>
      <c r="H816" s="7">
        <v>37.52465234375</v>
      </c>
      <c r="I816" s="7">
        <v>26.15780303085821</v>
      </c>
      <c r="J816" s="7">
        <v>8.84490940773303</v>
      </c>
      <c r="K816" s="7">
        <v>4.192031262867689</v>
      </c>
      <c r="L816" s="7">
        <v>0.8852583163883104</v>
      </c>
      <c r="M816" s="7">
        <v>0.6891662658601622</v>
      </c>
      <c r="N816" s="7">
        <v>0.4980200401558725</v>
      </c>
      <c r="O816" s="7">
        <v>0.0712335516855376</v>
      </c>
      <c r="P816" s="7">
        <v>8.030528782664106</v>
      </c>
      <c r="Q816" s="7">
        <v>0.0316443066400856</v>
      </c>
      <c r="R816" s="7">
        <v>0.0874869684572519</v>
      </c>
      <c r="S816" s="7">
        <v>0.11755511713357</v>
      </c>
      <c r="T816" s="7">
        <v>1.378170792322368</v>
      </c>
    </row>
    <row x14ac:dyDescent="0.25" r="817" customHeight="1" ht="19.5">
      <c r="A817" s="2" t="s">
        <v>1875</v>
      </c>
      <c r="B817" s="2" t="s">
        <v>1060</v>
      </c>
      <c r="C817" s="2" t="s">
        <v>31</v>
      </c>
      <c r="D817" s="2" t="s">
        <v>650</v>
      </c>
      <c r="E817" s="6">
        <v>1</v>
      </c>
      <c r="F817" s="6">
        <v>2</v>
      </c>
      <c r="G817" s="7">
        <v>0.7613037824630737</v>
      </c>
      <c r="H817" s="7">
        <v>38.67446171875</v>
      </c>
      <c r="I817" s="7">
        <v>26.76649353333053</v>
      </c>
      <c r="J817" s="7">
        <v>9.25644707160136</v>
      </c>
      <c r="K817" s="7">
        <v>4.143699077273741</v>
      </c>
      <c r="L817" s="7">
        <v>0.8988332194235876</v>
      </c>
      <c r="M817" s="7">
        <v>0.6783458602299155</v>
      </c>
      <c r="N817" s="7">
        <v>0.4618161918323534</v>
      </c>
      <c r="O817" s="7">
        <v>0.0653800282493618</v>
      </c>
      <c r="P817" s="7">
        <v>8.266768970490476</v>
      </c>
      <c r="Q817" s="7">
        <v>0.0330663082524687</v>
      </c>
      <c r="R817" s="7">
        <v>0.1002313472136691</v>
      </c>
      <c r="S817" s="7">
        <v>0.1467203745210425</v>
      </c>
      <c r="T817" s="7">
        <v>1.484228504359756</v>
      </c>
    </row>
    <row x14ac:dyDescent="0.25" r="818" customHeight="1" ht="19.5">
      <c r="A818" s="2" t="s">
        <v>1876</v>
      </c>
      <c r="B818" s="2" t="s">
        <v>1060</v>
      </c>
      <c r="C818" s="2" t="s">
        <v>31</v>
      </c>
      <c r="D818" s="2" t="s">
        <v>650</v>
      </c>
      <c r="E818" s="6">
        <v>1</v>
      </c>
      <c r="F818" s="6">
        <v>2</v>
      </c>
      <c r="G818" s="7">
        <v>0.7926247715950012</v>
      </c>
      <c r="H818" s="7">
        <v>37.6250875</v>
      </c>
      <c r="I818" s="7">
        <v>26.49662160864911</v>
      </c>
      <c r="J818" s="7">
        <v>9.139354718417003</v>
      </c>
      <c r="K818" s="7">
        <v>4.082488055842092</v>
      </c>
      <c r="L818" s="7">
        <v>0.898974179774701</v>
      </c>
      <c r="M818" s="7">
        <v>0.6734515784045333</v>
      </c>
      <c r="N818" s="7">
        <v>0.4345334304214275</v>
      </c>
      <c r="O818" s="7">
        <v>0.0623417922507784</v>
      </c>
      <c r="P818" s="7">
        <v>8.396424259241426</v>
      </c>
      <c r="Q818" s="7">
        <v>0.0367414902653629</v>
      </c>
      <c r="R818" s="7">
        <v>0.1107262727960812</v>
      </c>
      <c r="S818" s="7">
        <v>0.1730032661891992</v>
      </c>
      <c r="T818" s="7">
        <v>1.604445857656211</v>
      </c>
    </row>
    <row x14ac:dyDescent="0.25" r="819" customHeight="1" ht="19.5">
      <c r="A819" s="2" t="s">
        <v>1877</v>
      </c>
      <c r="B819" s="2" t="s">
        <v>1060</v>
      </c>
      <c r="C819" s="2" t="s">
        <v>31</v>
      </c>
      <c r="D819" s="2" t="s">
        <v>650</v>
      </c>
      <c r="E819" s="6">
        <v>1</v>
      </c>
      <c r="F819" s="6">
        <v>2</v>
      </c>
      <c r="G819" s="7">
        <v>0.8085328340530396</v>
      </c>
      <c r="H819" s="7">
        <v>37.5904546875</v>
      </c>
      <c r="I819" s="7">
        <v>26.37892230958579</v>
      </c>
      <c r="J819" s="7">
        <v>9.144197179704792</v>
      </c>
      <c r="K819" s="7">
        <v>4.092868750362973</v>
      </c>
      <c r="L819" s="7">
        <v>0.8988926551287928</v>
      </c>
      <c r="M819" s="7">
        <v>0.678849254337579</v>
      </c>
      <c r="N819" s="7">
        <v>0.4284794135969939</v>
      </c>
      <c r="O819" s="7">
        <v>0.0615369392480389</v>
      </c>
      <c r="P819" s="7">
        <v>8.444753981329534</v>
      </c>
      <c r="Q819" s="7">
        <v>0.0373307029923449</v>
      </c>
      <c r="R819" s="7">
        <v>0.1099919306656438</v>
      </c>
      <c r="S819" s="7">
        <v>0.1708114668184</v>
      </c>
      <c r="T819" s="7">
        <v>1.628675364972909</v>
      </c>
    </row>
    <row x14ac:dyDescent="0.25" r="820" customHeight="1" ht="19.5">
      <c r="A820" s="2" t="s">
        <v>1878</v>
      </c>
      <c r="B820" s="2" t="s">
        <v>1060</v>
      </c>
      <c r="C820" s="2" t="s">
        <v>31</v>
      </c>
      <c r="D820" s="2" t="s">
        <v>650</v>
      </c>
      <c r="E820" s="6">
        <v>1</v>
      </c>
      <c r="F820" s="6">
        <v>2</v>
      </c>
      <c r="G820" s="7">
        <v>0.7983250617980957</v>
      </c>
      <c r="H820" s="7">
        <v>37.61469765625</v>
      </c>
      <c r="I820" s="7">
        <v>26.49662160864911</v>
      </c>
      <c r="J820" s="7">
        <v>9.139856308994196</v>
      </c>
      <c r="K820" s="7">
        <v>4.083617675459125</v>
      </c>
      <c r="L820" s="7">
        <v>0.8989012536955048</v>
      </c>
      <c r="M820" s="7">
        <v>0.6732656105533539</v>
      </c>
      <c r="N820" s="7">
        <v>0.4263789052966719</v>
      </c>
      <c r="O820" s="7">
        <v>0.0613981134197306</v>
      </c>
      <c r="P820" s="7">
        <v>8.448660306988863</v>
      </c>
      <c r="Q820" s="7">
        <v>0.0367750034590499</v>
      </c>
      <c r="R820" s="7">
        <v>0.1106395250164476</v>
      </c>
      <c r="S820" s="7">
        <v>0.1730654117062026</v>
      </c>
      <c r="T820" s="7">
        <v>1.605465870611615</v>
      </c>
    </row>
    <row x14ac:dyDescent="0.25" r="821" customHeight="1" ht="19.5">
      <c r="A821" s="2" t="s">
        <v>1879</v>
      </c>
      <c r="B821" s="2" t="s">
        <v>1060</v>
      </c>
      <c r="C821" s="2" t="s">
        <v>31</v>
      </c>
      <c r="D821" s="2" t="s">
        <v>650</v>
      </c>
      <c r="E821" s="6">
        <v>1</v>
      </c>
      <c r="F821" s="6">
        <v>2</v>
      </c>
      <c r="G821" s="7">
        <v>0.7989135384559631</v>
      </c>
      <c r="H821" s="7">
        <v>37.59391796875001</v>
      </c>
      <c r="I821" s="7">
        <v>26.41339563614053</v>
      </c>
      <c r="J821" s="7">
        <v>9.14338338213945</v>
      </c>
      <c r="K821" s="7">
        <v>4.091312147391566</v>
      </c>
      <c r="L821" s="7">
        <v>0.8988741451093283</v>
      </c>
      <c r="M821" s="7">
        <v>0.6771407970291119</v>
      </c>
      <c r="N821" s="7">
        <v>0.4280602723786367</v>
      </c>
      <c r="O821" s="7">
        <v>0.061172528559503</v>
      </c>
      <c r="P821" s="7">
        <v>8.446980411782937</v>
      </c>
      <c r="Q821" s="7">
        <v>0.0362201200335975</v>
      </c>
      <c r="R821" s="7">
        <v>0.1094036343458745</v>
      </c>
      <c r="S821" s="7">
        <v>0.1716204818429904</v>
      </c>
      <c r="T821" s="7">
        <v>1.580368099823755</v>
      </c>
    </row>
    <row x14ac:dyDescent="0.25" r="822" customHeight="1" ht="19.5">
      <c r="A822" s="2" t="s">
        <v>1880</v>
      </c>
      <c r="B822" s="2" t="s">
        <v>1060</v>
      </c>
      <c r="C822" s="2" t="s">
        <v>31</v>
      </c>
      <c r="D822" s="2" t="s">
        <v>650</v>
      </c>
      <c r="E822" s="6">
        <v>1</v>
      </c>
      <c r="F822" s="6">
        <v>2</v>
      </c>
      <c r="G822" s="7">
        <v>0.7948487997055054</v>
      </c>
      <c r="H822" s="7">
        <v>37.07442578125</v>
      </c>
      <c r="I822" s="7">
        <v>26.37892230958578</v>
      </c>
      <c r="J822" s="7">
        <v>9.139832257882798</v>
      </c>
      <c r="K822" s="7">
        <v>4.024460132125451</v>
      </c>
      <c r="L822" s="7">
        <v>0.9020354113684044</v>
      </c>
      <c r="M822" s="7">
        <v>0.669530243936225</v>
      </c>
      <c r="N822" s="7">
        <v>0.4320752820991</v>
      </c>
      <c r="O822" s="7">
        <v>0.0618890152186973</v>
      </c>
      <c r="P822" s="7">
        <v>8.417156258469785</v>
      </c>
      <c r="Q822" s="7">
        <v>0.0353181918423547</v>
      </c>
      <c r="R822" s="7">
        <v>0.110395351076685</v>
      </c>
      <c r="S822" s="7">
        <v>0.1712301622064009</v>
      </c>
      <c r="T822" s="7">
        <v>1.519720334634505</v>
      </c>
    </row>
    <row x14ac:dyDescent="0.25" r="823" customHeight="1" ht="19.5">
      <c r="A823" s="2" t="s">
        <v>1881</v>
      </c>
      <c r="B823" s="2" t="s">
        <v>1060</v>
      </c>
      <c r="C823" s="2" t="s">
        <v>31</v>
      </c>
      <c r="D823" s="2" t="s">
        <v>650</v>
      </c>
      <c r="E823" s="6">
        <v>1</v>
      </c>
      <c r="F823" s="6">
        <v>2</v>
      </c>
      <c r="G823" s="7">
        <v>0.786424994468689</v>
      </c>
      <c r="H823" s="7">
        <v>37.6043078125</v>
      </c>
      <c r="I823" s="7">
        <v>26.46214828209437</v>
      </c>
      <c r="J823" s="7">
        <v>9.141824207956066</v>
      </c>
      <c r="K823" s="7">
        <v>4.087818566688423</v>
      </c>
      <c r="L823" s="7">
        <v>0.8988953757335534</v>
      </c>
      <c r="M823" s="7">
        <v>0.6748344819551773</v>
      </c>
      <c r="N823" s="7">
        <v>0.4305393906391112</v>
      </c>
      <c r="O823" s="7">
        <v>0.0614371802418222</v>
      </c>
      <c r="P823" s="7">
        <v>8.44404856499146</v>
      </c>
      <c r="Q823" s="7">
        <v>0.0360471771131628</v>
      </c>
      <c r="R823" s="7">
        <v>0.1103054874701452</v>
      </c>
      <c r="S823" s="7">
        <v>0.1720954079970191</v>
      </c>
      <c r="T823" s="7">
        <v>1.573256879269173</v>
      </c>
    </row>
    <row x14ac:dyDescent="0.25" r="824" customHeight="1" ht="19.5">
      <c r="A824" s="2" t="s">
        <v>1882</v>
      </c>
      <c r="B824" s="2" t="s">
        <v>1060</v>
      </c>
      <c r="C824" s="2" t="s">
        <v>31</v>
      </c>
      <c r="D824" s="2" t="s">
        <v>650</v>
      </c>
      <c r="E824" s="6">
        <v>1</v>
      </c>
      <c r="F824" s="6">
        <v>2</v>
      </c>
      <c r="G824" s="7">
        <v>0.7941053509712219</v>
      </c>
      <c r="H824" s="7">
        <v>37.62162421875</v>
      </c>
      <c r="I824" s="7">
        <v>26.49662160864911</v>
      </c>
      <c r="J824" s="7">
        <v>9.13978951728395</v>
      </c>
      <c r="K824" s="7">
        <v>4.083467240688924</v>
      </c>
      <c r="L824" s="7">
        <v>0.8989601453378608</v>
      </c>
      <c r="M824" s="7">
        <v>0.6733895891208067</v>
      </c>
      <c r="N824" s="7">
        <v>0.4339161272650705</v>
      </c>
      <c r="O824" s="7">
        <v>0.0620605534001325</v>
      </c>
      <c r="P824" s="7">
        <v>8.417390706001308</v>
      </c>
      <c r="Q824" s="7">
        <v>0.0356373303121324</v>
      </c>
      <c r="R824" s="7">
        <v>0.1107053323713606</v>
      </c>
      <c r="S824" s="7">
        <v>0.1703957319765801</v>
      </c>
      <c r="T824" s="7">
        <v>1.556085599637787</v>
      </c>
    </row>
    <row x14ac:dyDescent="0.25" r="825" customHeight="1" ht="19.5">
      <c r="A825" s="2" t="s">
        <v>1883</v>
      </c>
      <c r="B825" s="2" t="s">
        <v>1060</v>
      </c>
      <c r="C825" s="2" t="s">
        <v>31</v>
      </c>
      <c r="D825" s="2" t="s">
        <v>650</v>
      </c>
      <c r="E825" s="6">
        <v>1</v>
      </c>
      <c r="F825" s="6">
        <v>2</v>
      </c>
      <c r="G825" s="7">
        <v>0.7886732816696167</v>
      </c>
      <c r="H825" s="7">
        <v>38.5878796875</v>
      </c>
      <c r="I825" s="7">
        <v>26.64287954651063</v>
      </c>
      <c r="J825" s="7">
        <v>9.156046106394989</v>
      </c>
      <c r="K825" s="7">
        <v>4.235683623176007</v>
      </c>
      <c r="L825" s="7">
        <v>0.8930417585771976</v>
      </c>
      <c r="M825" s="7">
        <v>0.6831222911542262</v>
      </c>
      <c r="N825" s="7">
        <v>0.4271218513680235</v>
      </c>
      <c r="O825" s="7">
        <v>0.0609437206846898</v>
      </c>
      <c r="P825" s="7">
        <v>8.470148497089824</v>
      </c>
      <c r="Q825" s="7">
        <v>0.036241514453547</v>
      </c>
      <c r="R825" s="7">
        <v>0.1109396218202432</v>
      </c>
      <c r="S825" s="7">
        <v>0.172269867769404</v>
      </c>
      <c r="T825" s="7">
        <v>1.623110298943974</v>
      </c>
    </row>
    <row x14ac:dyDescent="0.25" r="826" customHeight="1" ht="19.5">
      <c r="A826" s="2" t="s">
        <v>1884</v>
      </c>
      <c r="B826" s="2" t="s">
        <v>1060</v>
      </c>
      <c r="C826" s="2" t="s">
        <v>31</v>
      </c>
      <c r="D826" s="2" t="s">
        <v>650</v>
      </c>
      <c r="E826" s="6">
        <v>1</v>
      </c>
      <c r="F826" s="6">
        <v>2</v>
      </c>
      <c r="G826" s="7">
        <v>0.7889147400856018</v>
      </c>
      <c r="H826" s="7">
        <v>37.61469765625</v>
      </c>
      <c r="I826" s="7">
        <v>26.49662160864911</v>
      </c>
      <c r="J826" s="7">
        <v>9.140766887633593</v>
      </c>
      <c r="K826" s="7">
        <v>4.085669023760095</v>
      </c>
      <c r="L826" s="7">
        <v>0.8989405852743495</v>
      </c>
      <c r="M826" s="7">
        <v>0.6732656105533539</v>
      </c>
      <c r="N826" s="7">
        <v>0.4311087908002508</v>
      </c>
      <c r="O826" s="7">
        <v>0.0615305508136476</v>
      </c>
      <c r="P826" s="7">
        <v>8.43098049355818</v>
      </c>
      <c r="Q826" s="7">
        <v>0.0362380799898033</v>
      </c>
      <c r="R826" s="7">
        <v>0.1127034839535882</v>
      </c>
      <c r="S826" s="7">
        <v>0.1728566199295858</v>
      </c>
      <c r="T826" s="7">
        <v>1.582025701368239</v>
      </c>
    </row>
    <row x14ac:dyDescent="0.25" r="827" customHeight="1" ht="19.5">
      <c r="A827" s="2" t="s">
        <v>1885</v>
      </c>
      <c r="B827" s="2" t="s">
        <v>1060</v>
      </c>
      <c r="C827" s="2" t="s">
        <v>31</v>
      </c>
      <c r="D827" s="2" t="s">
        <v>650</v>
      </c>
      <c r="E827" s="6">
        <v>1</v>
      </c>
      <c r="F827" s="6">
        <v>2</v>
      </c>
      <c r="G827" s="7">
        <v>0.7838742136955261</v>
      </c>
      <c r="H827" s="7">
        <v>37.63547734375</v>
      </c>
      <c r="I827" s="7">
        <v>26.61432090771245</v>
      </c>
      <c r="J827" s="7">
        <v>9.13741470888473</v>
      </c>
      <c r="K827" s="7">
        <v>4.078291116374313</v>
      </c>
      <c r="L827" s="7">
        <v>0.8989710011869714</v>
      </c>
      <c r="M827" s="7">
        <v>0.6676925252705702</v>
      </c>
      <c r="N827" s="7">
        <v>0.4320047868273768</v>
      </c>
      <c r="O827" s="7">
        <v>0.0619185786542312</v>
      </c>
      <c r="P827" s="7">
        <v>8.417963676377314</v>
      </c>
      <c r="Q827" s="7">
        <v>0.0373471612512968</v>
      </c>
      <c r="R827" s="7">
        <v>0.1128424858812877</v>
      </c>
      <c r="S827" s="7">
        <v>0.1723738115705966</v>
      </c>
      <c r="T827" s="7">
        <v>1.631344960082489</v>
      </c>
    </row>
    <row x14ac:dyDescent="0.25" r="828" customHeight="1" ht="19.5">
      <c r="A828" s="2" t="s">
        <v>1886</v>
      </c>
      <c r="B828" s="2" t="s">
        <v>1060</v>
      </c>
      <c r="C828" s="2" t="s">
        <v>31</v>
      </c>
      <c r="D828" s="2" t="s">
        <v>650</v>
      </c>
      <c r="E828" s="6">
        <v>1</v>
      </c>
      <c r="F828" s="6">
        <v>2</v>
      </c>
      <c r="G828" s="7">
        <v>0.7826849818229675</v>
      </c>
      <c r="H828" s="7">
        <v>37.722059375</v>
      </c>
      <c r="I828" s="7">
        <v>26.49662160864911</v>
      </c>
      <c r="J828" s="7">
        <v>9.210296824720825</v>
      </c>
      <c r="K828" s="7">
        <v>4.111053459667536</v>
      </c>
      <c r="L828" s="7">
        <v>0.8996054389611198</v>
      </c>
      <c r="M828" s="7">
        <v>0.6751872783488747</v>
      </c>
      <c r="N828" s="7">
        <v>0.4248967658248236</v>
      </c>
      <c r="O828" s="7">
        <v>0.0610566646758337</v>
      </c>
      <c r="P828" s="7">
        <v>8.476837398549565</v>
      </c>
      <c r="Q828" s="7">
        <v>0.0355606797411974</v>
      </c>
      <c r="R828" s="7">
        <v>0.1074112710203065</v>
      </c>
      <c r="S828" s="7">
        <v>0.1681743409569696</v>
      </c>
      <c r="T828" s="7">
        <v>1.556883902632407</v>
      </c>
    </row>
    <row x14ac:dyDescent="0.25" r="829" customHeight="1" ht="19.5">
      <c r="A829" s="2" t="s">
        <v>1887</v>
      </c>
      <c r="B829" s="2" t="s">
        <v>1060</v>
      </c>
      <c r="C829" s="2" t="s">
        <v>31</v>
      </c>
      <c r="D829" s="2" t="s">
        <v>650</v>
      </c>
      <c r="E829" s="6">
        <v>1</v>
      </c>
      <c r="F829" s="6">
        <v>2</v>
      </c>
      <c r="G829" s="7">
        <v>0.7986002564430237</v>
      </c>
      <c r="H829" s="7">
        <v>38.38700937500001</v>
      </c>
      <c r="I829" s="7">
        <v>26.5798475811577</v>
      </c>
      <c r="J829" s="7">
        <v>9.200320502899988</v>
      </c>
      <c r="K829" s="7">
        <v>4.148234217901368</v>
      </c>
      <c r="L829" s="7">
        <v>0.8972008781721429</v>
      </c>
      <c r="M829" s="7">
        <v>0.6827931734081606</v>
      </c>
      <c r="N829" s="7">
        <v>0.428856798604906</v>
      </c>
      <c r="O829" s="7">
        <v>0.0614117493016926</v>
      </c>
      <c r="P829" s="7">
        <v>8.44562434938808</v>
      </c>
      <c r="Q829" s="7">
        <v>0.068576846679816</v>
      </c>
      <c r="R829" s="7">
        <v>0.1428730760889835</v>
      </c>
      <c r="S829" s="7">
        <v>0.2030509545172549</v>
      </c>
      <c r="T829" s="7">
        <v>3.055290925814618</v>
      </c>
    </row>
    <row x14ac:dyDescent="0.25" r="830" customHeight="1" ht="19.5">
      <c r="A830" s="2" t="s">
        <v>1888</v>
      </c>
      <c r="B830" s="2" t="s">
        <v>1060</v>
      </c>
      <c r="C830" s="2" t="s">
        <v>31</v>
      </c>
      <c r="D830" s="2" t="s">
        <v>650</v>
      </c>
      <c r="E830" s="6">
        <v>1</v>
      </c>
      <c r="F830" s="6">
        <v>2</v>
      </c>
      <c r="G830" s="7">
        <v>0.8026901483535767</v>
      </c>
      <c r="H830" s="7">
        <v>37.17139765625</v>
      </c>
      <c r="I830" s="7">
        <v>26.34444898303103</v>
      </c>
      <c r="J830" s="7">
        <v>9.2088352800433</v>
      </c>
      <c r="K830" s="7">
        <v>4.04990594086575</v>
      </c>
      <c r="L830" s="7">
        <v>0.9026619717760348</v>
      </c>
      <c r="M830" s="7">
        <v>0.6730394427311875</v>
      </c>
      <c r="N830" s="7">
        <v>0.4252463080826122</v>
      </c>
      <c r="O830" s="7">
        <v>0.0611423074915687</v>
      </c>
      <c r="P830" s="7">
        <v>8.46064604920829</v>
      </c>
      <c r="Q830" s="7">
        <v>0.0351560797706667</v>
      </c>
      <c r="R830" s="7">
        <v>0.109410613246438</v>
      </c>
      <c r="S830" s="7">
        <v>0.168345056635107</v>
      </c>
      <c r="T830" s="7">
        <v>1.516701486146231</v>
      </c>
    </row>
    <row x14ac:dyDescent="0.25" r="831" customHeight="1" ht="19.5">
      <c r="A831" s="2" t="s">
        <v>1889</v>
      </c>
      <c r="B831" s="2" t="s">
        <v>1060</v>
      </c>
      <c r="C831" s="2" t="s">
        <v>31</v>
      </c>
      <c r="D831" s="2" t="s">
        <v>650</v>
      </c>
      <c r="E831" s="6">
        <v>1</v>
      </c>
      <c r="F831" s="6">
        <v>2</v>
      </c>
      <c r="G831" s="7">
        <v>0.8012425303459167</v>
      </c>
      <c r="H831" s="7">
        <v>37.6250875</v>
      </c>
      <c r="I831" s="7">
        <v>26.49662160864911</v>
      </c>
      <c r="J831" s="7">
        <v>9.139354718417003</v>
      </c>
      <c r="K831" s="7">
        <v>4.082488055842092</v>
      </c>
      <c r="L831" s="7">
        <v>0.898974179774701</v>
      </c>
      <c r="M831" s="7">
        <v>0.6734515784045333</v>
      </c>
      <c r="N831" s="7">
        <v>0.4332608379541058</v>
      </c>
      <c r="O831" s="7">
        <v>0.0619497908317046</v>
      </c>
      <c r="P831" s="7">
        <v>8.418665736285972</v>
      </c>
      <c r="Q831" s="7">
        <v>0.0368286918747584</v>
      </c>
      <c r="R831" s="7">
        <v>0.1112779146440439</v>
      </c>
      <c r="S831" s="7">
        <v>0.1737852226839335</v>
      </c>
      <c r="T831" s="7">
        <v>1.608253821349712</v>
      </c>
    </row>
    <row x14ac:dyDescent="0.25" r="832" customHeight="1" ht="19.5">
      <c r="A832" s="2" t="s">
        <v>1890</v>
      </c>
      <c r="B832" s="2" t="s">
        <v>1060</v>
      </c>
      <c r="C832" s="2" t="s">
        <v>31</v>
      </c>
      <c r="D832" s="2" t="s">
        <v>650</v>
      </c>
      <c r="E832" s="6">
        <v>1</v>
      </c>
      <c r="F832" s="6">
        <v>2</v>
      </c>
      <c r="G832" s="7">
        <v>0.7884384393692017</v>
      </c>
      <c r="H832" s="7">
        <v>37.84327421875</v>
      </c>
      <c r="I832" s="7">
        <v>26.53109493520386</v>
      </c>
      <c r="J832" s="7">
        <v>9.20041585437571</v>
      </c>
      <c r="K832" s="7">
        <v>4.089105228237216</v>
      </c>
      <c r="L832" s="7">
        <v>0.9002789557381236</v>
      </c>
      <c r="M832" s="7">
        <v>0.6755977919183238</v>
      </c>
      <c r="N832" s="7">
        <v>0.426636724991565</v>
      </c>
      <c r="O832" s="7">
        <v>0.0613832055658814</v>
      </c>
      <c r="P832" s="7">
        <v>8.43909140687088</v>
      </c>
      <c r="Q832" s="7">
        <v>0.0347653873353488</v>
      </c>
      <c r="R832" s="7">
        <v>0.1094525020685351</v>
      </c>
      <c r="S832" s="7">
        <v>0.1726814283454217</v>
      </c>
      <c r="T832" s="7">
        <v>1.526956120842285</v>
      </c>
    </row>
    <row x14ac:dyDescent="0.25" r="833" customHeight="1" ht="19.5">
      <c r="A833" s="2" t="s">
        <v>1891</v>
      </c>
      <c r="B833" s="2" t="s">
        <v>1060</v>
      </c>
      <c r="C833" s="2" t="s">
        <v>31</v>
      </c>
      <c r="D833" s="2" t="s">
        <v>650</v>
      </c>
      <c r="E833" s="6">
        <v>1</v>
      </c>
      <c r="F833" s="6">
        <v>2</v>
      </c>
      <c r="G833" s="7">
        <v>0.7939196825027466</v>
      </c>
      <c r="H833" s="7">
        <v>37.61469765625</v>
      </c>
      <c r="I833" s="7">
        <v>26.46214828209437</v>
      </c>
      <c r="J833" s="7">
        <v>9.140963138162071</v>
      </c>
      <c r="K833" s="7">
        <v>4.085890261008137</v>
      </c>
      <c r="L833" s="7">
        <v>0.8989563615244867</v>
      </c>
      <c r="M833" s="7">
        <v>0.6750209346578726</v>
      </c>
      <c r="N833" s="7">
        <v>0.4315209158111114</v>
      </c>
      <c r="O833" s="7">
        <v>0.0617238060715168</v>
      </c>
      <c r="P833" s="7">
        <v>8.422980898584356</v>
      </c>
      <c r="Q833" s="7">
        <v>0.0363813187713979</v>
      </c>
      <c r="R833" s="7">
        <v>0.1130687451108813</v>
      </c>
      <c r="S833" s="7">
        <v>0.1729660071943906</v>
      </c>
      <c r="T833" s="7">
        <v>1.588278997182452</v>
      </c>
    </row>
    <row x14ac:dyDescent="0.25" r="834" customHeight="1" ht="19.5">
      <c r="A834" s="2" t="s">
        <v>1892</v>
      </c>
      <c r="B834" s="2" t="s">
        <v>1060</v>
      </c>
      <c r="C834" s="2" t="s">
        <v>31</v>
      </c>
      <c r="D834" s="2" t="s">
        <v>650</v>
      </c>
      <c r="E834" s="6">
        <v>1</v>
      </c>
      <c r="F834" s="6">
        <v>2</v>
      </c>
      <c r="G834" s="7">
        <v>0.7893466353416443</v>
      </c>
      <c r="H834" s="7">
        <v>37.72552265625</v>
      </c>
      <c r="I834" s="7">
        <v>26.46214828209437</v>
      </c>
      <c r="J834" s="7">
        <v>9.209271080327856</v>
      </c>
      <c r="K834" s="7">
        <v>4.10960874898112</v>
      </c>
      <c r="L834" s="7">
        <v>0.8996611527141353</v>
      </c>
      <c r="M834" s="7">
        <v>0.6770097634866225</v>
      </c>
      <c r="N834" s="7">
        <v>0.4212578236872752</v>
      </c>
      <c r="O834" s="7">
        <v>0.0608545732892165</v>
      </c>
      <c r="P834" s="7">
        <v>8.482399956041423</v>
      </c>
      <c r="Q834" s="7">
        <v>0.0344077067408537</v>
      </c>
      <c r="R834" s="7">
        <v>0.1072252159165854</v>
      </c>
      <c r="S834" s="7">
        <v>0.167758134120369</v>
      </c>
      <c r="T834" s="7">
        <v>1.506543837748465</v>
      </c>
    </row>
    <row x14ac:dyDescent="0.25" r="835" customHeight="1" ht="19.5">
      <c r="A835" s="2" t="s">
        <v>1893</v>
      </c>
      <c r="B835" s="2" t="s">
        <v>1060</v>
      </c>
      <c r="C835" s="2" t="s">
        <v>31</v>
      </c>
      <c r="D835" s="2" t="s">
        <v>650</v>
      </c>
      <c r="E835" s="6">
        <v>1</v>
      </c>
      <c r="F835" s="6">
        <v>2</v>
      </c>
      <c r="G835" s="7">
        <v>0.790958821773529</v>
      </c>
      <c r="H835" s="7">
        <v>37.75322890625</v>
      </c>
      <c r="I835" s="7">
        <v>26.66307355366629</v>
      </c>
      <c r="J835" s="7">
        <v>9.20615935650516</v>
      </c>
      <c r="K835" s="7">
        <v>4.102397222322654</v>
      </c>
      <c r="L835" s="7">
        <v>0.8996709755557977</v>
      </c>
      <c r="M835" s="7">
        <v>0.6673344480094495</v>
      </c>
      <c r="N835" s="7">
        <v>0.4258937964022734</v>
      </c>
      <c r="O835" s="7">
        <v>0.0612611233860133</v>
      </c>
      <c r="P835" s="7">
        <v>8.480521652947289</v>
      </c>
      <c r="Q835" s="7">
        <v>0.0340770560377939</v>
      </c>
      <c r="R835" s="7">
        <v>0.1073441985125863</v>
      </c>
      <c r="S835" s="7">
        <v>0.1671211484145231</v>
      </c>
      <c r="T835" s="7">
        <v>1.493162071906184</v>
      </c>
    </row>
    <row x14ac:dyDescent="0.25" r="836" customHeight="1" ht="19.5">
      <c r="A836" s="2" t="s">
        <v>1894</v>
      </c>
      <c r="B836" s="2" t="s">
        <v>1060</v>
      </c>
      <c r="C836" s="2" t="s">
        <v>31</v>
      </c>
      <c r="D836" s="2" t="s">
        <v>650</v>
      </c>
      <c r="E836" s="6">
        <v>1</v>
      </c>
      <c r="F836" s="6">
        <v>2</v>
      </c>
      <c r="G836" s="7">
        <v>0.7990569472312927</v>
      </c>
      <c r="H836" s="7">
        <v>37.9506359375</v>
      </c>
      <c r="I836" s="7">
        <v>26.51090092804821</v>
      </c>
      <c r="J836" s="7">
        <v>9.266668173576573</v>
      </c>
      <c r="K836" s="7">
        <v>4.108813360354967</v>
      </c>
      <c r="L836" s="7">
        <v>0.90092998439608</v>
      </c>
      <c r="M836" s="7">
        <v>0.6785470211745391</v>
      </c>
      <c r="N836" s="7">
        <v>0.4249935069205702</v>
      </c>
      <c r="O836" s="7">
        <v>0.060731832286705</v>
      </c>
      <c r="P836" s="7">
        <v>8.482090173232747</v>
      </c>
      <c r="Q836" s="7">
        <v>0.0332401104015617</v>
      </c>
      <c r="R836" s="7">
        <v>0.1056529173428723</v>
      </c>
      <c r="S836" s="7">
        <v>0.165581693602659</v>
      </c>
      <c r="T836" s="7">
        <v>1.464105241354837</v>
      </c>
    </row>
    <row x14ac:dyDescent="0.25" r="837" customHeight="1" ht="19.5">
      <c r="A837" s="2" t="s">
        <v>1895</v>
      </c>
      <c r="B837" s="2" t="s">
        <v>1060</v>
      </c>
      <c r="C837" s="2" t="s">
        <v>31</v>
      </c>
      <c r="D837" s="2" t="s">
        <v>650</v>
      </c>
      <c r="E837" s="6">
        <v>1</v>
      </c>
      <c r="F837" s="6">
        <v>2</v>
      </c>
      <c r="G837" s="7">
        <v>0.7940155267715454</v>
      </c>
      <c r="H837" s="7">
        <v>37.18525078125001</v>
      </c>
      <c r="I837" s="7">
        <v>26.46214828209437</v>
      </c>
      <c r="J837" s="7">
        <v>9.208220968989515</v>
      </c>
      <c r="K837" s="7">
        <v>4.047987424149889</v>
      </c>
      <c r="L837" s="7">
        <v>0.902676469364538</v>
      </c>
      <c r="M837" s="7">
        <v>0.6673142229464669</v>
      </c>
      <c r="N837" s="7">
        <v>0.4282024561676834</v>
      </c>
      <c r="O837" s="7">
        <v>0.061988330762659</v>
      </c>
      <c r="P837" s="7">
        <v>8.445999918563972</v>
      </c>
      <c r="Q837" s="7">
        <v>0.0355043545973066</v>
      </c>
      <c r="R837" s="7">
        <v>0.1070481713657989</v>
      </c>
      <c r="S837" s="7">
        <v>0.1697923220700005</v>
      </c>
      <c r="T837" s="7">
        <v>1.532297585409273</v>
      </c>
    </row>
    <row x14ac:dyDescent="0.25" r="838" customHeight="1" ht="19.5">
      <c r="A838" s="2" t="s">
        <v>1896</v>
      </c>
      <c r="B838" s="2" t="s">
        <v>1060</v>
      </c>
      <c r="C838" s="2" t="s">
        <v>31</v>
      </c>
      <c r="D838" s="2" t="s">
        <v>650</v>
      </c>
      <c r="E838" s="6">
        <v>1</v>
      </c>
      <c r="F838" s="6">
        <v>2</v>
      </c>
      <c r="G838" s="7">
        <v>0.763128399848938</v>
      </c>
      <c r="H838" s="7">
        <v>38.9203546875</v>
      </c>
      <c r="I838" s="7">
        <v>26.79505217212872</v>
      </c>
      <c r="J838" s="7">
        <v>9.199536768989791</v>
      </c>
      <c r="K838" s="7">
        <v>4.206289080546596</v>
      </c>
      <c r="L838" s="7">
        <v>0.8938678136483371</v>
      </c>
      <c r="M838" s="7">
        <v>0.6812043921366433</v>
      </c>
      <c r="N838" s="7">
        <v>0.4791109315562999</v>
      </c>
      <c r="O838" s="7">
        <v>0.0675709682683629</v>
      </c>
      <c r="P838" s="7">
        <v>8.192456675950263</v>
      </c>
      <c r="Q838" s="7">
        <v>0.0506022279107981</v>
      </c>
      <c r="R838" s="7">
        <v>0.1181193767357071</v>
      </c>
      <c r="S838" s="7">
        <v>0.1672916819988951</v>
      </c>
      <c r="T838" s="7">
        <v>2.285794628542356</v>
      </c>
    </row>
    <row x14ac:dyDescent="0.25" r="839" customHeight="1" ht="19.5">
      <c r="A839" s="2" t="s">
        <v>1897</v>
      </c>
      <c r="B839" s="2" t="s">
        <v>1060</v>
      </c>
      <c r="C839" s="2" t="s">
        <v>31</v>
      </c>
      <c r="D839" s="2" t="s">
        <v>650</v>
      </c>
      <c r="E839" s="6">
        <v>1</v>
      </c>
      <c r="F839" s="6">
        <v>2</v>
      </c>
      <c r="G839" s="7">
        <v>0.6407808065414429</v>
      </c>
      <c r="H839" s="7">
        <v>39.86583046875</v>
      </c>
      <c r="I839" s="7">
        <v>27.32260786000308</v>
      </c>
      <c r="J839" s="7">
        <v>9.51364592485669</v>
      </c>
      <c r="K839" s="7">
        <v>4.258613298602747</v>
      </c>
      <c r="L839" s="7">
        <v>0.8993158470647963</v>
      </c>
      <c r="M839" s="7">
        <v>0.6710677705959015</v>
      </c>
      <c r="N839" s="7">
        <v>0.6567485683117611</v>
      </c>
      <c r="O839" s="7">
        <v>0.093552974994762</v>
      </c>
      <c r="P839" s="7">
        <v>7.312469677050098</v>
      </c>
      <c r="Q839" s="7">
        <v>0.0248609179857544</v>
      </c>
      <c r="R839" s="7">
        <v>0.0452259481864751</v>
      </c>
      <c r="S839" s="7">
        <v>0.0524947887233722</v>
      </c>
      <c r="T839" s="7">
        <v>1.150293740444579</v>
      </c>
    </row>
    <row x14ac:dyDescent="0.25" r="840" customHeight="1" ht="19.5">
      <c r="A840" s="2" t="s">
        <v>1898</v>
      </c>
      <c r="B840" s="2" t="s">
        <v>1060</v>
      </c>
      <c r="C840" s="2" t="s">
        <v>31</v>
      </c>
      <c r="D840" s="2" t="s">
        <v>650</v>
      </c>
      <c r="E840" s="6">
        <v>1</v>
      </c>
      <c r="F840" s="6">
        <v>2</v>
      </c>
      <c r="G840" s="7">
        <v>0.6833150386810303</v>
      </c>
      <c r="H840" s="7">
        <v>37.88483359375</v>
      </c>
      <c r="I840" s="7">
        <v>25.67517645909175</v>
      </c>
      <c r="J840" s="7">
        <v>8.246326794592488</v>
      </c>
      <c r="K840" s="7">
        <v>4.6726259247892</v>
      </c>
      <c r="L840" s="7">
        <v>0.8352796831926707</v>
      </c>
      <c r="M840" s="7">
        <v>0.7221848504964571</v>
      </c>
      <c r="N840" s="7">
        <v>0.5783042916627686</v>
      </c>
      <c r="O840" s="7">
        <v>0.0890037880717342</v>
      </c>
      <c r="P840" s="7">
        <v>7.512682700615064</v>
      </c>
      <c r="Q840" s="7">
        <v>0.0233704683188706</v>
      </c>
      <c r="R840" s="7">
        <v>0.0609587644652447</v>
      </c>
      <c r="S840" s="7">
        <v>0.0829675703646752</v>
      </c>
      <c r="T840" s="7">
        <v>1.027598778425421</v>
      </c>
    </row>
    <row x14ac:dyDescent="0.25" r="841" customHeight="1" ht="19.5">
      <c r="A841" s="2" t="s">
        <v>1899</v>
      </c>
      <c r="B841" s="2" t="s">
        <v>1060</v>
      </c>
      <c r="C841" s="2" t="s">
        <v>31</v>
      </c>
      <c r="D841" s="2" t="s">
        <v>650</v>
      </c>
      <c r="E841" s="6">
        <v>1</v>
      </c>
      <c r="F841" s="6">
        <v>2</v>
      </c>
      <c r="G841" s="7">
        <v>0.7936387658119202</v>
      </c>
      <c r="H841" s="7">
        <v>42.94122421875</v>
      </c>
      <c r="I841" s="7">
        <v>27.67014985541186</v>
      </c>
      <c r="J841" s="7">
        <v>9.46470931033434</v>
      </c>
      <c r="K841" s="7">
        <v>4.713629428016234</v>
      </c>
      <c r="L841" s="7">
        <v>0.8787007322663847</v>
      </c>
      <c r="M841" s="7">
        <v>0.7047924827658468</v>
      </c>
      <c r="N841" s="7">
        <v>0.4848511252092039</v>
      </c>
      <c r="O841" s="7">
        <v>0.0661140578575991</v>
      </c>
      <c r="P841" s="7">
        <v>8.297501067203115</v>
      </c>
      <c r="Q841" s="7">
        <v>0.0248745639633166</v>
      </c>
      <c r="R841" s="7">
        <v>0.074196476824458</v>
      </c>
      <c r="S841" s="7">
        <v>0.1253161444824226</v>
      </c>
      <c r="T841" s="7">
        <v>1.239711638105391</v>
      </c>
    </row>
    <row x14ac:dyDescent="0.25" r="842" customHeight="1" ht="19.5">
      <c r="A842" s="2" t="s">
        <v>1900</v>
      </c>
      <c r="B842" s="2" t="s">
        <v>1060</v>
      </c>
      <c r="C842" s="2" t="s">
        <v>31</v>
      </c>
      <c r="D842" s="2" t="s">
        <v>650</v>
      </c>
      <c r="E842" s="6">
        <v>1</v>
      </c>
      <c r="F842" s="6">
        <v>2</v>
      </c>
      <c r="G842" s="7">
        <v>0.8167592287063599</v>
      </c>
      <c r="H842" s="7">
        <v>45.38630078125</v>
      </c>
      <c r="I842" s="7">
        <v>28.63647935687078</v>
      </c>
      <c r="J842" s="7">
        <v>9.832177910437512</v>
      </c>
      <c r="K842" s="7">
        <v>4.875240711430751</v>
      </c>
      <c r="L842" s="7">
        <v>0.8830782717073624</v>
      </c>
      <c r="M842" s="7">
        <v>0.6954972285001512</v>
      </c>
      <c r="N842" s="7">
        <v>0.4321455849207907</v>
      </c>
      <c r="O842" s="7">
        <v>0.0578465210736996</v>
      </c>
      <c r="P842" s="7">
        <v>8.706518308388993</v>
      </c>
      <c r="Q842" s="7">
        <v>0.0252670499571084</v>
      </c>
      <c r="R842" s="7">
        <v>0.0776430034878514</v>
      </c>
      <c r="S842" s="7">
        <v>0.1512459345028647</v>
      </c>
      <c r="T842" s="7">
        <v>1.330975637221161</v>
      </c>
    </row>
    <row x14ac:dyDescent="0.25" r="843" customHeight="1" ht="19.5">
      <c r="A843" s="2" t="s">
        <v>1901</v>
      </c>
      <c r="B843" s="2" t="s">
        <v>1060</v>
      </c>
      <c r="C843" s="2" t="s">
        <v>31</v>
      </c>
      <c r="D843" s="2" t="s">
        <v>650</v>
      </c>
      <c r="E843" s="6">
        <v>1</v>
      </c>
      <c r="F843" s="6">
        <v>2</v>
      </c>
      <c r="G843" s="7">
        <v>0.8329537510871887</v>
      </c>
      <c r="H843" s="7">
        <v>45.49366250000001</v>
      </c>
      <c r="I843" s="7">
        <v>29.11737355670195</v>
      </c>
      <c r="J843" s="7">
        <v>9.885026673002344</v>
      </c>
      <c r="K843" s="7">
        <v>4.855349130635063</v>
      </c>
      <c r="L843" s="7">
        <v>0.8854925319442261</v>
      </c>
      <c r="M843" s="7">
        <v>0.6743049829740014</v>
      </c>
      <c r="N843" s="7">
        <v>0.4059460596186475</v>
      </c>
      <c r="O843" s="7">
        <v>0.0536597600086631</v>
      </c>
      <c r="P843" s="7">
        <v>8.91492243677316</v>
      </c>
      <c r="Q843" s="7">
        <v>0.0255657069574974</v>
      </c>
      <c r="R843" s="7">
        <v>0.0799609262073538</v>
      </c>
      <c r="S843" s="7">
        <v>0.1638950092042693</v>
      </c>
      <c r="T843" s="7">
        <v>1.34989344388069</v>
      </c>
    </row>
    <row x14ac:dyDescent="0.25" r="844" customHeight="1" ht="19.5">
      <c r="A844" s="2" t="s">
        <v>1902</v>
      </c>
      <c r="B844" s="2" t="s">
        <v>1060</v>
      </c>
      <c r="C844" s="2" t="s">
        <v>31</v>
      </c>
      <c r="D844" s="2" t="s">
        <v>650</v>
      </c>
      <c r="E844" s="6">
        <v>1</v>
      </c>
      <c r="F844" s="6">
        <v>2</v>
      </c>
      <c r="G844" s="7">
        <v>0.8541692495346069</v>
      </c>
      <c r="H844" s="7">
        <v>44.94992734375001</v>
      </c>
      <c r="I844" s="7">
        <v>28.86769563917618</v>
      </c>
      <c r="J844" s="7">
        <v>9.774950632454216</v>
      </c>
      <c r="K844" s="7">
        <v>4.851757467213004</v>
      </c>
      <c r="L844" s="7">
        <v>0.8824374425785895</v>
      </c>
      <c r="M844" s="7">
        <v>0.6778203799817191</v>
      </c>
      <c r="N844" s="7">
        <v>0.3726048705490671</v>
      </c>
      <c r="O844" s="7">
        <v>0.0504761398413148</v>
      </c>
      <c r="P844" s="7">
        <v>9.108627960784752</v>
      </c>
      <c r="Q844" s="7">
        <v>0.0257831059092347</v>
      </c>
      <c r="R844" s="7">
        <v>0.0824090453637248</v>
      </c>
      <c r="S844" s="7">
        <v>0.1697482515365419</v>
      </c>
      <c r="T844" s="7">
        <v>1.345101344269241</v>
      </c>
    </row>
    <row x14ac:dyDescent="0.25" r="845" customHeight="1" ht="19.5">
      <c r="A845" s="2" t="s">
        <v>1903</v>
      </c>
      <c r="B845" s="2" t="s">
        <v>1060</v>
      </c>
      <c r="C845" s="2" t="s">
        <v>31</v>
      </c>
      <c r="D845" s="2" t="s">
        <v>650</v>
      </c>
      <c r="E845" s="6">
        <v>1</v>
      </c>
      <c r="F845" s="6">
        <v>2</v>
      </c>
      <c r="G845" s="7">
        <v>0.8598026037216187</v>
      </c>
      <c r="H845" s="7">
        <v>44.6971078125</v>
      </c>
      <c r="I845" s="7">
        <v>28.55498575629749</v>
      </c>
      <c r="J845" s="7">
        <v>9.751386355003897</v>
      </c>
      <c r="K845" s="7">
        <v>4.741898798420904</v>
      </c>
      <c r="L845" s="7">
        <v>0.8833709546909786</v>
      </c>
      <c r="M845" s="7">
        <v>0.6888511546549675</v>
      </c>
      <c r="N845" s="7">
        <v>0.3683934297212528</v>
      </c>
      <c r="O845" s="7">
        <v>0.0492155838628392</v>
      </c>
      <c r="P845" s="7">
        <v>9.121573770749569</v>
      </c>
      <c r="Q845" s="7">
        <v>0.0262212717405442</v>
      </c>
      <c r="R845" s="7">
        <v>0.0860825744688986</v>
      </c>
      <c r="S845" s="7">
        <v>0.166446928801123</v>
      </c>
      <c r="T845" s="7">
        <v>1.360266347122626</v>
      </c>
    </row>
    <row x14ac:dyDescent="0.25" r="846" customHeight="1" ht="19.5">
      <c r="A846" s="2" t="s">
        <v>1904</v>
      </c>
      <c r="B846" s="2" t="s">
        <v>1060</v>
      </c>
      <c r="C846" s="2" t="s">
        <v>31</v>
      </c>
      <c r="D846" s="2" t="s">
        <v>650</v>
      </c>
      <c r="E846" s="6">
        <v>1</v>
      </c>
      <c r="F846" s="6">
        <v>2</v>
      </c>
      <c r="G846" s="7">
        <v>0.8546540141105652</v>
      </c>
      <c r="H846" s="7">
        <v>44.97763359375</v>
      </c>
      <c r="I846" s="7">
        <v>28.63821172880608</v>
      </c>
      <c r="J846" s="7">
        <v>9.770067747439338</v>
      </c>
      <c r="K846" s="7">
        <v>4.840036667594322</v>
      </c>
      <c r="L846" s="7">
        <v>0.8816427584210343</v>
      </c>
      <c r="M846" s="7">
        <v>0.6891514511843941</v>
      </c>
      <c r="N846" s="7">
        <v>0.3698928733583416</v>
      </c>
      <c r="O846" s="7">
        <v>0.0496815597869752</v>
      </c>
      <c r="P846" s="7">
        <v>9.144170995341296</v>
      </c>
      <c r="Q846" s="7">
        <v>0.0256168916720886</v>
      </c>
      <c r="R846" s="7">
        <v>0.0843200959766722</v>
      </c>
      <c r="S846" s="7">
        <v>0.1667045784780154</v>
      </c>
      <c r="T846" s="7">
        <v>1.337253717847242</v>
      </c>
    </row>
    <row x14ac:dyDescent="0.25" r="847" customHeight="1" ht="19.5">
      <c r="A847" s="2" t="s">
        <v>1905</v>
      </c>
      <c r="B847" s="2" t="s">
        <v>1060</v>
      </c>
      <c r="C847" s="2" t="s">
        <v>31</v>
      </c>
      <c r="D847" s="2" t="s">
        <v>650</v>
      </c>
      <c r="E847" s="6">
        <v>1</v>
      </c>
      <c r="F847" s="6">
        <v>2</v>
      </c>
      <c r="G847" s="7">
        <v>0.8527587056159973</v>
      </c>
      <c r="H847" s="7">
        <v>45.18543046875001</v>
      </c>
      <c r="I847" s="7">
        <v>28.99967425763861</v>
      </c>
      <c r="J847" s="7">
        <v>9.745616397010494</v>
      </c>
      <c r="K847" s="7">
        <v>4.777334196699906</v>
      </c>
      <c r="L847" s="7">
        <v>0.8809186984665057</v>
      </c>
      <c r="M847" s="7">
        <v>0.6751838547622523</v>
      </c>
      <c r="N847" s="7">
        <v>0.3666898826458131</v>
      </c>
      <c r="O847" s="7">
        <v>0.0490559015314056</v>
      </c>
      <c r="P847" s="7">
        <v>9.14074832710786</v>
      </c>
      <c r="Q847" s="7">
        <v>0.0260279601375286</v>
      </c>
      <c r="R847" s="7">
        <v>0.0828540051991412</v>
      </c>
      <c r="S847" s="7">
        <v>0.1661752524483516</v>
      </c>
      <c r="T847" s="7">
        <v>1.364989582957346</v>
      </c>
    </row>
    <row x14ac:dyDescent="0.25" r="848" customHeight="1" ht="19.5">
      <c r="A848" s="2" t="s">
        <v>1906</v>
      </c>
      <c r="B848" s="2" t="s">
        <v>1060</v>
      </c>
      <c r="C848" s="2" t="s">
        <v>31</v>
      </c>
      <c r="D848" s="2" t="s">
        <v>650</v>
      </c>
      <c r="E848" s="6">
        <v>1</v>
      </c>
      <c r="F848" s="6">
        <v>2</v>
      </c>
      <c r="G848" s="7">
        <v>0.8573956489562988</v>
      </c>
      <c r="H848" s="7">
        <v>44.731740625</v>
      </c>
      <c r="I848" s="7">
        <v>29.05051806150308</v>
      </c>
      <c r="J848" s="7">
        <v>9.76880032607086</v>
      </c>
      <c r="K848" s="7">
        <v>4.835334496458087</v>
      </c>
      <c r="L848" s="7">
        <v>0.883304891021459</v>
      </c>
      <c r="M848" s="7">
        <v>0.6660669716488937</v>
      </c>
      <c r="N848" s="7">
        <v>0.362248959560967</v>
      </c>
      <c r="O848" s="7">
        <v>0.0495466178010255</v>
      </c>
      <c r="P848" s="7">
        <v>9.186657533880233</v>
      </c>
      <c r="Q848" s="7">
        <v>0.0269088548179471</v>
      </c>
      <c r="R848" s="7">
        <v>0.0851166064729693</v>
      </c>
      <c r="S848" s="7">
        <v>0.1677109698209036</v>
      </c>
      <c r="T848" s="7">
        <v>1.397017330078605</v>
      </c>
    </row>
    <row x14ac:dyDescent="0.25" r="849" customHeight="1" ht="19.5">
      <c r="A849" s="2" t="s">
        <v>1907</v>
      </c>
      <c r="B849" s="2" t="s">
        <v>1060</v>
      </c>
      <c r="C849" s="2" t="s">
        <v>31</v>
      </c>
      <c r="D849" s="2" t="s">
        <v>650</v>
      </c>
      <c r="E849" s="6">
        <v>1</v>
      </c>
      <c r="F849" s="6">
        <v>2</v>
      </c>
      <c r="G849" s="7">
        <v>0.861139714717865</v>
      </c>
      <c r="H849" s="7">
        <v>44.36463281250001</v>
      </c>
      <c r="I849" s="7">
        <v>29.04842690359245</v>
      </c>
      <c r="J849" s="7">
        <v>9.770017903712825</v>
      </c>
      <c r="K849" s="7">
        <v>4.765619070459103</v>
      </c>
      <c r="L849" s="7">
        <v>0.8855314483112287</v>
      </c>
      <c r="M849" s="7">
        <v>0.6606957581021909</v>
      </c>
      <c r="N849" s="7">
        <v>0.3688652198371584</v>
      </c>
      <c r="O849" s="7">
        <v>0.0501372115134562</v>
      </c>
      <c r="P849" s="7">
        <v>9.135704936563531</v>
      </c>
      <c r="Q849" s="7">
        <v>0.026677921056239</v>
      </c>
      <c r="R849" s="7">
        <v>0.0843550668196453</v>
      </c>
      <c r="S849" s="7">
        <v>0.1687721357529317</v>
      </c>
      <c r="T849" s="7">
        <v>1.373661272952196</v>
      </c>
    </row>
    <row x14ac:dyDescent="0.25" r="850" customHeight="1" ht="19.5">
      <c r="A850" s="2" t="s">
        <v>1908</v>
      </c>
      <c r="B850" s="2" t="s">
        <v>1060</v>
      </c>
      <c r="C850" s="2" t="s">
        <v>31</v>
      </c>
      <c r="D850" s="2" t="s">
        <v>650</v>
      </c>
      <c r="E850" s="6">
        <v>1</v>
      </c>
      <c r="F850" s="6">
        <v>2</v>
      </c>
      <c r="G850" s="7">
        <v>0.8551599979400635</v>
      </c>
      <c r="H850" s="7">
        <v>44.87373515625</v>
      </c>
      <c r="I850" s="7">
        <v>28.67477621327146</v>
      </c>
      <c r="J850" s="7">
        <v>9.736458278640864</v>
      </c>
      <c r="K850" s="7">
        <v>4.697614283766203</v>
      </c>
      <c r="L850" s="7">
        <v>0.8836356535024444</v>
      </c>
      <c r="M850" s="7">
        <v>0.6858071521912692</v>
      </c>
      <c r="N850" s="7">
        <v>0.3661726182923166</v>
      </c>
      <c r="O850" s="7">
        <v>0.049327787253085</v>
      </c>
      <c r="P850" s="7">
        <v>9.109902535505364</v>
      </c>
      <c r="Q850" s="7">
        <v>0.0260168393266664</v>
      </c>
      <c r="R850" s="7">
        <v>0.0849228636434417</v>
      </c>
      <c r="S850" s="7">
        <v>0.1675936442700162</v>
      </c>
      <c r="T850" s="7">
        <v>1.354994509257845</v>
      </c>
    </row>
    <row x14ac:dyDescent="0.25" r="851" customHeight="1" ht="19.5">
      <c r="A851" s="2" t="s">
        <v>1909</v>
      </c>
      <c r="B851" s="2" t="s">
        <v>1060</v>
      </c>
      <c r="C851" s="2" t="s">
        <v>31</v>
      </c>
      <c r="D851" s="2" t="s">
        <v>650</v>
      </c>
      <c r="E851" s="6">
        <v>1</v>
      </c>
      <c r="F851" s="6">
        <v>2</v>
      </c>
      <c r="G851" s="7">
        <v>0.8577872514724731</v>
      </c>
      <c r="H851" s="7">
        <v>44.56203984375</v>
      </c>
      <c r="I851" s="7">
        <v>28.85341631977709</v>
      </c>
      <c r="J851" s="7">
        <v>9.764391822803557</v>
      </c>
      <c r="K851" s="7">
        <v>4.819166807223798</v>
      </c>
      <c r="L851" s="7">
        <v>0.8841563798315183</v>
      </c>
      <c r="M851" s="7">
        <v>0.6726365188213632</v>
      </c>
      <c r="N851" s="7">
        <v>0.368878368715738</v>
      </c>
      <c r="O851" s="7">
        <v>0.0497370576102574</v>
      </c>
      <c r="P851" s="7">
        <v>9.114992009676396</v>
      </c>
      <c r="Q851" s="7">
        <v>0.0271063141075829</v>
      </c>
      <c r="R851" s="7">
        <v>0.0845493644918206</v>
      </c>
      <c r="S851" s="7">
        <v>0.1665788783998019</v>
      </c>
      <c r="T851" s="7">
        <v>1.401929935285809</v>
      </c>
    </row>
    <row x14ac:dyDescent="0.25" r="852" customHeight="1" ht="19.5">
      <c r="A852" s="2" t="s">
        <v>1910</v>
      </c>
      <c r="B852" s="2" t="s">
        <v>1060</v>
      </c>
      <c r="C852" s="2" t="s">
        <v>31</v>
      </c>
      <c r="D852" s="2" t="s">
        <v>650</v>
      </c>
      <c r="E852" s="6">
        <v>1</v>
      </c>
      <c r="F852" s="6">
        <v>2</v>
      </c>
      <c r="G852" s="7">
        <v>0.8585980534553528</v>
      </c>
      <c r="H852" s="7">
        <v>44.84256562500001</v>
      </c>
      <c r="I852" s="7">
        <v>28.79874898606669</v>
      </c>
      <c r="J852" s="7">
        <v>9.73989167587867</v>
      </c>
      <c r="K852" s="7">
        <v>4.750407033836728</v>
      </c>
      <c r="L852" s="7">
        <v>0.8830908273293456</v>
      </c>
      <c r="M852" s="7">
        <v>0.6794430669622336</v>
      </c>
      <c r="N852" s="7">
        <v>0.3670073607622029</v>
      </c>
      <c r="O852" s="7">
        <v>0.0493958724989634</v>
      </c>
      <c r="P852" s="7">
        <v>9.113108520028648</v>
      </c>
      <c r="Q852" s="7">
        <v>0.0258048362191026</v>
      </c>
      <c r="R852" s="7">
        <v>0.0837200029821103</v>
      </c>
      <c r="S852" s="7">
        <v>0.1684397558658461</v>
      </c>
      <c r="T852" s="7">
        <v>1.34301956485753</v>
      </c>
    </row>
    <row x14ac:dyDescent="0.25" r="853" customHeight="1" ht="19.5">
      <c r="A853" s="2" t="s">
        <v>1911</v>
      </c>
      <c r="B853" s="2" t="s">
        <v>1060</v>
      </c>
      <c r="C853" s="2" t="s">
        <v>31</v>
      </c>
      <c r="D853" s="2" t="s">
        <v>650</v>
      </c>
      <c r="E853" s="6">
        <v>1</v>
      </c>
      <c r="F853" s="6">
        <v>2</v>
      </c>
      <c r="G853" s="7">
        <v>0.8558177947998047</v>
      </c>
      <c r="H853" s="7">
        <v>44.94646406250001</v>
      </c>
      <c r="I853" s="7">
        <v>28.85341631977709</v>
      </c>
      <c r="J853" s="7">
        <v>9.768397748737431</v>
      </c>
      <c r="K853" s="7">
        <v>4.820455152596306</v>
      </c>
      <c r="L853" s="7">
        <v>0.8821773230955118</v>
      </c>
      <c r="M853" s="7">
        <v>0.678439165404807</v>
      </c>
      <c r="N853" s="7">
        <v>0.364658399110335</v>
      </c>
      <c r="O853" s="7">
        <v>0.0494312317838014</v>
      </c>
      <c r="P853" s="7">
        <v>9.162262395557628</v>
      </c>
      <c r="Q853" s="7">
        <v>0.02618245159383</v>
      </c>
      <c r="R853" s="7">
        <v>0.0860984743027589</v>
      </c>
      <c r="S853" s="7">
        <v>0.1716785177403434</v>
      </c>
      <c r="T853" s="7">
        <v>1.36582991571975</v>
      </c>
    </row>
    <row x14ac:dyDescent="0.25" r="854" customHeight="1" ht="19.5">
      <c r="A854" s="2" t="s">
        <v>1912</v>
      </c>
      <c r="B854" s="2" t="s">
        <v>1060</v>
      </c>
      <c r="C854" s="2" t="s">
        <v>31</v>
      </c>
      <c r="D854" s="2" t="s">
        <v>650</v>
      </c>
      <c r="E854" s="6">
        <v>1</v>
      </c>
      <c r="F854" s="6">
        <v>2</v>
      </c>
      <c r="G854" s="7">
        <v>0.8576930165290833</v>
      </c>
      <c r="H854" s="7">
        <v>44.7663734375</v>
      </c>
      <c r="I854" s="7">
        <v>28.60373840225133</v>
      </c>
      <c r="J854" s="7">
        <v>9.754179841803772</v>
      </c>
      <c r="K854" s="7">
        <v>4.780391712303757</v>
      </c>
      <c r="L854" s="7">
        <v>0.8837432143196976</v>
      </c>
      <c r="M854" s="7">
        <v>0.6875688330476402</v>
      </c>
      <c r="N854" s="7">
        <v>0.3668300037979617</v>
      </c>
      <c r="O854" s="7">
        <v>0.0494583650223355</v>
      </c>
      <c r="P854" s="7">
        <v>9.112044684749344</v>
      </c>
      <c r="Q854" s="7">
        <v>0.0268458591923587</v>
      </c>
      <c r="R854" s="7">
        <v>0.0857035753213004</v>
      </c>
      <c r="S854" s="7">
        <v>0.1698966909306648</v>
      </c>
      <c r="T854" s="7">
        <v>1.394825894341658</v>
      </c>
    </row>
    <row x14ac:dyDescent="0.25" r="855" customHeight="1" ht="19.5">
      <c r="A855" s="2" t="s">
        <v>1913</v>
      </c>
      <c r="B855" s="2" t="s">
        <v>1060</v>
      </c>
      <c r="C855" s="2" t="s">
        <v>31</v>
      </c>
      <c r="D855" s="2" t="s">
        <v>650</v>
      </c>
      <c r="E855" s="6">
        <v>1</v>
      </c>
      <c r="F855" s="6">
        <v>2</v>
      </c>
      <c r="G855" s="7">
        <v>0.8539267778396606</v>
      </c>
      <c r="H855" s="7">
        <v>44.6001359375</v>
      </c>
      <c r="I855" s="7">
        <v>28.63821172880608</v>
      </c>
      <c r="J855" s="7">
        <v>9.76391104296136</v>
      </c>
      <c r="K855" s="7">
        <v>4.806086141437502</v>
      </c>
      <c r="L855" s="7">
        <v>0.8841411867620534</v>
      </c>
      <c r="M855" s="7">
        <v>0.6833673972705495</v>
      </c>
      <c r="N855" s="7">
        <v>0.3680096897107929</v>
      </c>
      <c r="O855" s="7">
        <v>0.0495695961136086</v>
      </c>
      <c r="P855" s="7">
        <v>9.12287939702236</v>
      </c>
      <c r="Q855" s="7">
        <v>0.0264458433024647</v>
      </c>
      <c r="R855" s="7">
        <v>0.0848145087949062</v>
      </c>
      <c r="S855" s="7">
        <v>0.1656802908170882</v>
      </c>
      <c r="T855" s="7">
        <v>1.368939902794714</v>
      </c>
    </row>
    <row x14ac:dyDescent="0.25" r="856" customHeight="1" ht="19.5">
      <c r="A856" s="2" t="s">
        <v>1914</v>
      </c>
      <c r="B856" s="2" t="s">
        <v>1060</v>
      </c>
      <c r="C856" s="2" t="s">
        <v>31</v>
      </c>
      <c r="D856" s="2" t="s">
        <v>650</v>
      </c>
      <c r="E856" s="6">
        <v>1</v>
      </c>
      <c r="F856" s="6">
        <v>2</v>
      </c>
      <c r="G856" s="7">
        <v>0.8535066246986389</v>
      </c>
      <c r="H856" s="7">
        <v>44.731740625</v>
      </c>
      <c r="I856" s="7">
        <v>28.75591102786941</v>
      </c>
      <c r="J856" s="7">
        <v>9.761766748377624</v>
      </c>
      <c r="K856" s="7">
        <v>4.811056515912677</v>
      </c>
      <c r="L856" s="7">
        <v>0.8834940102390918</v>
      </c>
      <c r="M856" s="7">
        <v>0.6797847218416244</v>
      </c>
      <c r="N856" s="7">
        <v>0.365967739389836</v>
      </c>
      <c r="O856" s="7">
        <v>0.0495020605938434</v>
      </c>
      <c r="P856" s="7">
        <v>9.11506482094562</v>
      </c>
      <c r="Q856" s="7">
        <v>0.026762813691502</v>
      </c>
      <c r="R856" s="7">
        <v>0.0849777579572702</v>
      </c>
      <c r="S856" s="7">
        <v>0.1677923439008853</v>
      </c>
      <c r="T856" s="7">
        <v>1.389435365482626</v>
      </c>
    </row>
    <row x14ac:dyDescent="0.25" r="857" customHeight="1" ht="19.5">
      <c r="A857" s="2" t="s">
        <v>1915</v>
      </c>
      <c r="B857" s="2" t="s">
        <v>1060</v>
      </c>
      <c r="C857" s="2" t="s">
        <v>31</v>
      </c>
      <c r="D857" s="2" t="s">
        <v>650</v>
      </c>
      <c r="E857" s="6">
        <v>1</v>
      </c>
      <c r="F857" s="6">
        <v>2</v>
      </c>
      <c r="G857" s="7">
        <v>0.8537088632583618</v>
      </c>
      <c r="H857" s="7">
        <v>45.34474140625</v>
      </c>
      <c r="I857" s="7">
        <v>28.7701903472685</v>
      </c>
      <c r="J857" s="7">
        <v>9.741551992337786</v>
      </c>
      <c r="K857" s="7">
        <v>4.818351131222301</v>
      </c>
      <c r="L857" s="7">
        <v>0.8806030498015217</v>
      </c>
      <c r="M857" s="7">
        <v>0.688416582560595</v>
      </c>
      <c r="N857" s="7">
        <v>0.3650968782414181</v>
      </c>
      <c r="O857" s="7">
        <v>0.0489789631840135</v>
      </c>
      <c r="P857" s="7">
        <v>9.135535461181512</v>
      </c>
      <c r="Q857" s="7">
        <v>0.0259239792126787</v>
      </c>
      <c r="R857" s="7">
        <v>0.0823352798268839</v>
      </c>
      <c r="S857" s="7">
        <v>0.1664623035867885</v>
      </c>
      <c r="T857" s="7">
        <v>1.364329828085205</v>
      </c>
    </row>
    <row x14ac:dyDescent="0.25" r="858" customHeight="1" ht="19.5">
      <c r="A858" s="2" t="s">
        <v>1916</v>
      </c>
      <c r="B858" s="2" t="s">
        <v>1060</v>
      </c>
      <c r="C858" s="2" t="s">
        <v>31</v>
      </c>
      <c r="D858" s="2" t="s">
        <v>650</v>
      </c>
      <c r="E858" s="6">
        <v>1</v>
      </c>
      <c r="F858" s="6">
        <v>2</v>
      </c>
      <c r="G858" s="7">
        <v>0.8546288013458252</v>
      </c>
      <c r="H858" s="7">
        <v>45.01919296875</v>
      </c>
      <c r="I858" s="7">
        <v>28.81894299322234</v>
      </c>
      <c r="J858" s="7">
        <v>9.76348628866924</v>
      </c>
      <c r="K858" s="7">
        <v>4.812414578041912</v>
      </c>
      <c r="L858" s="7">
        <v>0.8820320490622342</v>
      </c>
      <c r="M858" s="7">
        <v>0.6811636650335144</v>
      </c>
      <c r="N858" s="7">
        <v>0.3630457849947388</v>
      </c>
      <c r="O858" s="7">
        <v>0.0490413490192909</v>
      </c>
      <c r="P858" s="7">
        <v>9.165236009861228</v>
      </c>
      <c r="Q858" s="7">
        <v>0.0261544356873313</v>
      </c>
      <c r="R858" s="7">
        <v>0.0826356338741858</v>
      </c>
      <c r="S858" s="7">
        <v>0.1668986689816375</v>
      </c>
      <c r="T858" s="7">
        <v>1.366576157991024</v>
      </c>
    </row>
    <row x14ac:dyDescent="0.25" r="859" customHeight="1" ht="19.5">
      <c r="A859" s="2" t="s">
        <v>1917</v>
      </c>
      <c r="B859" s="2" t="s">
        <v>1060</v>
      </c>
      <c r="C859" s="2" t="s">
        <v>31</v>
      </c>
      <c r="D859" s="2" t="s">
        <v>650</v>
      </c>
      <c r="E859" s="6">
        <v>1</v>
      </c>
      <c r="F859" s="6">
        <v>2</v>
      </c>
      <c r="G859" s="7">
        <v>0.8567837476730347</v>
      </c>
      <c r="H859" s="7">
        <v>44.9326109375</v>
      </c>
      <c r="I859" s="7">
        <v>28.88998080424246</v>
      </c>
      <c r="J859" s="7">
        <v>9.762915931989834</v>
      </c>
      <c r="K859" s="7">
        <v>4.874172674683198</v>
      </c>
      <c r="L859" s="7">
        <v>0.8816872022907483</v>
      </c>
      <c r="M859" s="7">
        <v>0.6765143493212558</v>
      </c>
      <c r="N859" s="7">
        <v>0.3666342042889885</v>
      </c>
      <c r="O859" s="7">
        <v>0.0499646522208371</v>
      </c>
      <c r="P859" s="7">
        <v>9.13789049971745</v>
      </c>
      <c r="Q859" s="7">
        <v>0.0261229414184408</v>
      </c>
      <c r="R859" s="7">
        <v>0.0844214622578211</v>
      </c>
      <c r="S859" s="7">
        <v>0.1675627804064531</v>
      </c>
      <c r="T859" s="7">
        <v>1.362305505723717</v>
      </c>
    </row>
    <row x14ac:dyDescent="0.25" r="860" customHeight="1" ht="19.5">
      <c r="A860" s="2" t="s">
        <v>1918</v>
      </c>
      <c r="B860" s="2" t="s">
        <v>1060</v>
      </c>
      <c r="C860" s="2" t="s">
        <v>31</v>
      </c>
      <c r="D860" s="2" t="s">
        <v>650</v>
      </c>
      <c r="E860" s="6">
        <v>1</v>
      </c>
      <c r="F860" s="6">
        <v>2</v>
      </c>
      <c r="G860" s="7">
        <v>0.8200797438621521</v>
      </c>
      <c r="H860" s="7">
        <v>45.549075</v>
      </c>
      <c r="I860" s="7">
        <v>29.15393804116732</v>
      </c>
      <c r="J860" s="7">
        <v>9.875796896757995</v>
      </c>
      <c r="K860" s="7">
        <v>4.878556300196969</v>
      </c>
      <c r="L860" s="7">
        <v>0.8842268962821812</v>
      </c>
      <c r="M860" s="7">
        <v>0.673433897467131</v>
      </c>
      <c r="N860" s="7">
        <v>0.4412420858828386</v>
      </c>
      <c r="O860" s="7">
        <v>0.057828940046571</v>
      </c>
      <c r="P860" s="7">
        <v>8.69572488656832</v>
      </c>
      <c r="Q860" s="7">
        <v>0.0275021420916741</v>
      </c>
      <c r="R860" s="7">
        <v>0.0820185548775116</v>
      </c>
      <c r="S860" s="7">
        <v>0.1657950798432206</v>
      </c>
      <c r="T860" s="7">
        <v>1.453907789904239</v>
      </c>
    </row>
    <row x14ac:dyDescent="0.25" r="861" customHeight="1" ht="19.5">
      <c r="A861" s="2" t="s">
        <v>1919</v>
      </c>
      <c r="B861" s="2" t="s">
        <v>1060</v>
      </c>
      <c r="C861" s="2" t="s">
        <v>31</v>
      </c>
      <c r="D861" s="2" t="s">
        <v>650</v>
      </c>
      <c r="E861" s="6">
        <v>1</v>
      </c>
      <c r="F861" s="6">
        <v>2</v>
      </c>
      <c r="G861" s="7">
        <v>0.5087036490440369</v>
      </c>
      <c r="H861" s="7">
        <v>37.64240390625</v>
      </c>
      <c r="I861" s="7">
        <v>25.25068196490628</v>
      </c>
      <c r="J861" s="7">
        <v>8.089170051978527</v>
      </c>
      <c r="K861" s="7">
        <v>4.76143059892002</v>
      </c>
      <c r="L861" s="7">
        <v>0.8192806293717282</v>
      </c>
      <c r="M861" s="7">
        <v>0.7418925168135468</v>
      </c>
      <c r="N861" s="7">
        <v>0.6415939841805018</v>
      </c>
      <c r="O861" s="7">
        <v>0.101365375714815</v>
      </c>
      <c r="P861" s="7">
        <v>7.080216797674618</v>
      </c>
      <c r="Q861" s="7">
        <v>0.0171430736984837</v>
      </c>
      <c r="R861" s="7">
        <v>0.0461239806786667</v>
      </c>
      <c r="S861" s="7">
        <v>0.0625007577983053</v>
      </c>
      <c r="T861" s="7">
        <v>0.7489568938836624</v>
      </c>
    </row>
    <row x14ac:dyDescent="0.25" r="862" customHeight="1" ht="19.5">
      <c r="A862" s="2" t="s">
        <v>1920</v>
      </c>
      <c r="B862" s="2" t="s">
        <v>1060</v>
      </c>
      <c r="C862" s="2" t="s">
        <v>31</v>
      </c>
      <c r="D862" s="2" t="s">
        <v>650</v>
      </c>
      <c r="E862" s="6">
        <v>1</v>
      </c>
      <c r="F862" s="6">
        <v>2</v>
      </c>
      <c r="G862" s="7">
        <v>0.6936876177787781</v>
      </c>
      <c r="H862" s="7">
        <v>42.25549453125</v>
      </c>
      <c r="I862" s="7">
        <v>27.27421400002458</v>
      </c>
      <c r="J862" s="7">
        <v>9.047697771363216</v>
      </c>
      <c r="K862" s="7">
        <v>4.716363898426375</v>
      </c>
      <c r="L862" s="7">
        <v>0.8645838589116451</v>
      </c>
      <c r="M862" s="7">
        <v>0.7138197589051883</v>
      </c>
      <c r="N862" s="7">
        <v>0.5374480378055562</v>
      </c>
      <c r="O862" s="7">
        <v>0.0705681085502338</v>
      </c>
      <c r="P862" s="7">
        <v>8.087385309084423</v>
      </c>
      <c r="Q862" s="7">
        <v>0.0467587302187309</v>
      </c>
      <c r="R862" s="7">
        <v>0.0925281516416136</v>
      </c>
      <c r="S862" s="7">
        <v>0.121207709045685</v>
      </c>
      <c r="T862" s="7">
        <v>2.293172250545471</v>
      </c>
    </row>
    <row x14ac:dyDescent="0.25" r="863" customHeight="1" ht="19.5">
      <c r="A863" s="2" t="s">
        <v>1921</v>
      </c>
      <c r="B863" s="2" t="s">
        <v>1060</v>
      </c>
      <c r="C863" s="2" t="s">
        <v>31</v>
      </c>
      <c r="D863" s="2" t="s">
        <v>650</v>
      </c>
      <c r="E863" s="6">
        <v>1</v>
      </c>
      <c r="F863" s="6">
        <v>2</v>
      </c>
      <c r="G863" s="7">
        <v>0.7560046315193176</v>
      </c>
      <c r="H863" s="7">
        <v>44.17415234375</v>
      </c>
      <c r="I863" s="7">
        <v>28.04935644751407</v>
      </c>
      <c r="J863" s="7">
        <v>9.534868891924546</v>
      </c>
      <c r="K863" s="7">
        <v>4.594308714667874</v>
      </c>
      <c r="L863" s="7">
        <v>0.8806315061332126</v>
      </c>
      <c r="M863" s="7">
        <v>0.7055572937010817</v>
      </c>
      <c r="N863" s="7">
        <v>0.4534112208894373</v>
      </c>
      <c r="O863" s="7">
        <v>0.05878164183182</v>
      </c>
      <c r="P863" s="7">
        <v>8.579891632473275</v>
      </c>
      <c r="Q863" s="7">
        <v>0.0456712376454586</v>
      </c>
      <c r="R863" s="7">
        <v>0.1015119023474787</v>
      </c>
      <c r="S863" s="7">
        <v>0.1593879194954076</v>
      </c>
      <c r="T863" s="7">
        <v>2.341541101205479</v>
      </c>
    </row>
    <row x14ac:dyDescent="0.25" r="864" customHeight="1" ht="19.5">
      <c r="A864" s="2" t="s">
        <v>1922</v>
      </c>
      <c r="B864" s="2" t="s">
        <v>1060</v>
      </c>
      <c r="C864" s="2" t="s">
        <v>31</v>
      </c>
      <c r="D864" s="2" t="s">
        <v>650</v>
      </c>
      <c r="E864" s="6">
        <v>1</v>
      </c>
      <c r="F864" s="6">
        <v>2</v>
      </c>
      <c r="G864" s="7">
        <v>0.8181596398353577</v>
      </c>
      <c r="H864" s="7">
        <v>45.0434359375</v>
      </c>
      <c r="I864" s="7">
        <v>28.63193825507419</v>
      </c>
      <c r="J864" s="7">
        <v>9.836507601541252</v>
      </c>
      <c r="K864" s="7">
        <v>4.614553882276038</v>
      </c>
      <c r="L864" s="7">
        <v>0.8898568295186383</v>
      </c>
      <c r="M864" s="7">
        <v>0.6904621522871481</v>
      </c>
      <c r="N864" s="7">
        <v>0.4348150844678297</v>
      </c>
      <c r="O864" s="7">
        <v>0.0556295585064665</v>
      </c>
      <c r="P864" s="7">
        <v>8.770932539392396</v>
      </c>
      <c r="Q864" s="7">
        <v>0.0496009665115719</v>
      </c>
      <c r="R864" s="7">
        <v>0.1066729109840141</v>
      </c>
      <c r="S864" s="7">
        <v>0.1842725147867128</v>
      </c>
      <c r="T864" s="7">
        <v>2.593059191693496</v>
      </c>
    </row>
    <row x14ac:dyDescent="0.25" r="865" customHeight="1" ht="19.5">
      <c r="A865" s="2" t="s">
        <v>1923</v>
      </c>
      <c r="B865" s="2" t="s">
        <v>1060</v>
      </c>
      <c r="C865" s="2" t="s">
        <v>31</v>
      </c>
      <c r="D865" s="2" t="s">
        <v>650</v>
      </c>
      <c r="E865" s="6">
        <v>1</v>
      </c>
      <c r="F865" s="6">
        <v>2</v>
      </c>
      <c r="G865" s="7">
        <v>0.8303572535514832</v>
      </c>
      <c r="H865" s="7">
        <v>44.5862828125</v>
      </c>
      <c r="I865" s="7">
        <v>29.06862091074811</v>
      </c>
      <c r="J865" s="7">
        <v>9.822810261206712</v>
      </c>
      <c r="K865" s="7">
        <v>4.719559333971944</v>
      </c>
      <c r="L865" s="7">
        <v>0.8887483300169744</v>
      </c>
      <c r="M865" s="7">
        <v>0.6630744199050015</v>
      </c>
      <c r="N865" s="7">
        <v>0.3879517942924417</v>
      </c>
      <c r="O865" s="7">
        <v>0.0506029254096089</v>
      </c>
      <c r="P865" s="7">
        <v>9.094470067914916</v>
      </c>
      <c r="Q865" s="7">
        <v>0.0484602671642996</v>
      </c>
      <c r="R865" s="7">
        <v>0.1053920519570506</v>
      </c>
      <c r="S865" s="7">
        <v>0.189982987560429</v>
      </c>
      <c r="T865" s="7">
        <v>2.507713111252464</v>
      </c>
    </row>
    <row x14ac:dyDescent="0.25" r="866" customHeight="1" ht="19.5">
      <c r="A866" s="2" t="s">
        <v>1924</v>
      </c>
      <c r="B866" s="2" t="s">
        <v>1060</v>
      </c>
      <c r="C866" s="2" t="s">
        <v>31</v>
      </c>
      <c r="D866" s="2" t="s">
        <v>650</v>
      </c>
      <c r="E866" s="6">
        <v>1</v>
      </c>
      <c r="F866" s="6">
        <v>2</v>
      </c>
      <c r="G866" s="7">
        <v>0.8289780616760254</v>
      </c>
      <c r="H866" s="7">
        <v>44.99841328125</v>
      </c>
      <c r="I866" s="7">
        <v>29.09717954954629</v>
      </c>
      <c r="J866" s="7">
        <v>9.776477850754643</v>
      </c>
      <c r="K866" s="7">
        <v>4.675408794831937</v>
      </c>
      <c r="L866" s="7">
        <v>0.8866181446246503</v>
      </c>
      <c r="M866" s="7">
        <v>0.6678905154756215</v>
      </c>
      <c r="N866" s="7">
        <v>0.3822429513943677</v>
      </c>
      <c r="O866" s="7">
        <v>0.0497883293670006</v>
      </c>
      <c r="P866" s="7">
        <v>9.094081923335825</v>
      </c>
      <c r="Q866" s="7">
        <v>0.0479304831352933</v>
      </c>
      <c r="R866" s="7">
        <v>0.1063987785370078</v>
      </c>
      <c r="S866" s="7">
        <v>0.1924644858991312</v>
      </c>
      <c r="T866" s="7">
        <v>2.503224419710304</v>
      </c>
    </row>
    <row x14ac:dyDescent="0.25" r="867" customHeight="1" ht="19.5">
      <c r="A867" s="2" t="s">
        <v>1925</v>
      </c>
      <c r="B867" s="2" t="s">
        <v>1060</v>
      </c>
      <c r="C867" s="2" t="s">
        <v>31</v>
      </c>
      <c r="D867" s="2" t="s">
        <v>650</v>
      </c>
      <c r="E867" s="6">
        <v>1</v>
      </c>
      <c r="F867" s="6">
        <v>2</v>
      </c>
      <c r="G867" s="7">
        <v>0.8279880881309509</v>
      </c>
      <c r="H867" s="7">
        <v>44.26419765625</v>
      </c>
      <c r="I867" s="7">
        <v>28.90216896573093</v>
      </c>
      <c r="J867" s="7">
        <v>9.813147626956262</v>
      </c>
      <c r="K867" s="7">
        <v>4.66182497333858</v>
      </c>
      <c r="L867" s="7">
        <v>0.8903566499887622</v>
      </c>
      <c r="M867" s="7">
        <v>0.6658886143904471</v>
      </c>
      <c r="N867" s="7">
        <v>0.3821311904792343</v>
      </c>
      <c r="O867" s="7">
        <v>0.0501022304564396</v>
      </c>
      <c r="P867" s="7">
        <v>9.095219023761054</v>
      </c>
      <c r="Q867" s="7">
        <v>0.0492620604324292</v>
      </c>
      <c r="R867" s="7">
        <v>0.1071830393085238</v>
      </c>
      <c r="S867" s="7">
        <v>0.1910069417407743</v>
      </c>
      <c r="T867" s="7">
        <v>2.530789064581932</v>
      </c>
    </row>
    <row x14ac:dyDescent="0.25" r="868" customHeight="1" ht="19.5">
      <c r="A868" s="2" t="s">
        <v>1926</v>
      </c>
      <c r="B868" s="2" t="s">
        <v>1060</v>
      </c>
      <c r="C868" s="2" t="s">
        <v>31</v>
      </c>
      <c r="D868" s="2" t="s">
        <v>650</v>
      </c>
      <c r="E868" s="6">
        <v>1</v>
      </c>
      <c r="F868" s="6">
        <v>2</v>
      </c>
      <c r="G868" s="7">
        <v>0.8294867873191833</v>
      </c>
      <c r="H868" s="7">
        <v>44.6971078125</v>
      </c>
      <c r="I868" s="7">
        <v>28.93873345019631</v>
      </c>
      <c r="J868" s="7">
        <v>9.776929056664256</v>
      </c>
      <c r="K868" s="7">
        <v>4.61692848333542</v>
      </c>
      <c r="L868" s="7">
        <v>0.8885071081284643</v>
      </c>
      <c r="M868" s="7">
        <v>0.67070299740326</v>
      </c>
      <c r="N868" s="7">
        <v>0.3819277097923741</v>
      </c>
      <c r="O868" s="7">
        <v>0.0497405499530832</v>
      </c>
      <c r="P868" s="7">
        <v>9.074889414353605</v>
      </c>
      <c r="Q868" s="7">
        <v>0.0486520833248616</v>
      </c>
      <c r="R868" s="7">
        <v>0.1053484484516079</v>
      </c>
      <c r="S868" s="7">
        <v>0.1916272254076429</v>
      </c>
      <c r="T868" s="7">
        <v>2.523897098472366</v>
      </c>
    </row>
    <row x14ac:dyDescent="0.25" r="869" customHeight="1" ht="19.5">
      <c r="A869" s="2" t="s">
        <v>1927</v>
      </c>
      <c r="B869" s="2" t="s">
        <v>1060</v>
      </c>
      <c r="C869" s="2" t="s">
        <v>31</v>
      </c>
      <c r="D869" s="2" t="s">
        <v>650</v>
      </c>
      <c r="E869" s="6">
        <v>1</v>
      </c>
      <c r="F869" s="6">
        <v>2</v>
      </c>
      <c r="G869" s="7">
        <v>0.8320414423942566</v>
      </c>
      <c r="H869" s="7">
        <v>44.57242968750001</v>
      </c>
      <c r="I869" s="7">
        <v>28.87570148484338</v>
      </c>
      <c r="J869" s="7">
        <v>9.806986887279928</v>
      </c>
      <c r="K869" s="7">
        <v>4.665806736020768</v>
      </c>
      <c r="L869" s="7">
        <v>0.8894092248148436</v>
      </c>
      <c r="M869" s="7">
        <v>0.6717552753451667</v>
      </c>
      <c r="N869" s="7">
        <v>0.3819918540273154</v>
      </c>
      <c r="O869" s="7">
        <v>0.0498946865331685</v>
      </c>
      <c r="P869" s="7">
        <v>9.078372542048982</v>
      </c>
      <c r="Q869" s="7">
        <v>0.0487050071774333</v>
      </c>
      <c r="R869" s="7">
        <v>0.1051284805593278</v>
      </c>
      <c r="S869" s="7">
        <v>0.1869349616765885</v>
      </c>
      <c r="T869" s="7">
        <v>2.519594782198335</v>
      </c>
    </row>
    <row x14ac:dyDescent="0.25" r="870" customHeight="1" ht="19.5">
      <c r="A870" s="2" t="s">
        <v>1928</v>
      </c>
      <c r="B870" s="2" t="s">
        <v>1060</v>
      </c>
      <c r="C870" s="2" t="s">
        <v>31</v>
      </c>
      <c r="D870" s="2" t="s">
        <v>650</v>
      </c>
      <c r="E870" s="6">
        <v>1</v>
      </c>
      <c r="F870" s="6">
        <v>2</v>
      </c>
      <c r="G870" s="7">
        <v>0.8337566256523132</v>
      </c>
      <c r="H870" s="7">
        <v>44.31961015625</v>
      </c>
      <c r="I870" s="7">
        <v>28.98539493823952</v>
      </c>
      <c r="J870" s="7">
        <v>9.827248122791088</v>
      </c>
      <c r="K870" s="7">
        <v>4.679235303501009</v>
      </c>
      <c r="L870" s="7">
        <v>0.89037347272646</v>
      </c>
      <c r="M870" s="7">
        <v>0.6628989807110085</v>
      </c>
      <c r="N870" s="7">
        <v>0.3849436852224807</v>
      </c>
      <c r="O870" s="7">
        <v>0.0502275900601918</v>
      </c>
      <c r="P870" s="7">
        <v>9.078922392810846</v>
      </c>
      <c r="Q870" s="7">
        <v>0.0481713228123848</v>
      </c>
      <c r="R870" s="7">
        <v>0.1056244152750582</v>
      </c>
      <c r="S870" s="7">
        <v>0.190493547993182</v>
      </c>
      <c r="T870" s="7">
        <v>2.477851551253687</v>
      </c>
    </row>
    <row x14ac:dyDescent="0.25" r="871" customHeight="1" ht="19.5">
      <c r="A871" s="2" t="s">
        <v>1929</v>
      </c>
      <c r="B871" s="2" t="s">
        <v>1060</v>
      </c>
      <c r="C871" s="2" t="s">
        <v>31</v>
      </c>
      <c r="D871" s="2" t="s">
        <v>650</v>
      </c>
      <c r="E871" s="6">
        <v>1</v>
      </c>
      <c r="F871" s="6">
        <v>2</v>
      </c>
      <c r="G871" s="7">
        <v>0.8265146613121033</v>
      </c>
      <c r="H871" s="7">
        <v>44.55511328125</v>
      </c>
      <c r="I871" s="7">
        <v>28.839137000378</v>
      </c>
      <c r="J871" s="7">
        <v>9.805248733472231</v>
      </c>
      <c r="K871" s="7">
        <v>4.644688105272112</v>
      </c>
      <c r="L871" s="7">
        <v>0.8895979996236018</v>
      </c>
      <c r="M871" s="7">
        <v>0.6731981222254814</v>
      </c>
      <c r="N871" s="7">
        <v>0.3829842955624774</v>
      </c>
      <c r="O871" s="7">
        <v>0.0500648401218208</v>
      </c>
      <c r="P871" s="7">
        <v>9.069656475692456</v>
      </c>
      <c r="Q871" s="7">
        <v>0.0498784016216875</v>
      </c>
      <c r="R871" s="7">
        <v>0.1061199208794377</v>
      </c>
      <c r="S871" s="7">
        <v>0.1930010132467896</v>
      </c>
      <c r="T871" s="7">
        <v>2.579294072647961</v>
      </c>
    </row>
    <row x14ac:dyDescent="0.25" r="872" customHeight="1" ht="19.5">
      <c r="A872" s="2" t="s">
        <v>1930</v>
      </c>
      <c r="B872" s="2" t="s">
        <v>1060</v>
      </c>
      <c r="C872" s="2" t="s">
        <v>31</v>
      </c>
      <c r="D872" s="2" t="s">
        <v>650</v>
      </c>
      <c r="E872" s="6">
        <v>1</v>
      </c>
      <c r="F872" s="6">
        <v>2</v>
      </c>
      <c r="G872" s="7">
        <v>0.8302468061447144</v>
      </c>
      <c r="H872" s="7">
        <v>44.33346328125</v>
      </c>
      <c r="I872" s="7">
        <v>29.24935217516437</v>
      </c>
      <c r="J872" s="7">
        <v>9.873252508863196</v>
      </c>
      <c r="K872" s="7">
        <v>4.742317542470412</v>
      </c>
      <c r="L872" s="7">
        <v>0.8909495096011993</v>
      </c>
      <c r="M872" s="7">
        <v>0.6511919452388366</v>
      </c>
      <c r="N872" s="7">
        <v>0.3836614514943555</v>
      </c>
      <c r="O872" s="7">
        <v>0.0505517557990084</v>
      </c>
      <c r="P872" s="7">
        <v>9.100718817774409</v>
      </c>
      <c r="Q872" s="7">
        <v>0.0499197715996932</v>
      </c>
      <c r="R872" s="7">
        <v>0.1069224691642777</v>
      </c>
      <c r="S872" s="7">
        <v>0.1895897194266672</v>
      </c>
      <c r="T872" s="7">
        <v>2.568591428296582</v>
      </c>
    </row>
    <row x14ac:dyDescent="0.25" r="873" customHeight="1" ht="19.5">
      <c r="A873" s="2" t="s">
        <v>1931</v>
      </c>
      <c r="B873" s="2" t="s">
        <v>1060</v>
      </c>
      <c r="C873" s="2" t="s">
        <v>31</v>
      </c>
      <c r="D873" s="2" t="s">
        <v>650</v>
      </c>
      <c r="E873" s="6">
        <v>1</v>
      </c>
      <c r="F873" s="6">
        <v>2</v>
      </c>
      <c r="G873" s="7">
        <v>0.8334648013114929</v>
      </c>
      <c r="H873" s="7">
        <v>44.53433359375001</v>
      </c>
      <c r="I873" s="7">
        <v>28.98539493823952</v>
      </c>
      <c r="J873" s="7">
        <v>9.813468085037815</v>
      </c>
      <c r="K873" s="7">
        <v>4.707003087124456</v>
      </c>
      <c r="L873" s="7">
        <v>0.8890896685243103</v>
      </c>
      <c r="M873" s="7">
        <v>0.6661106503839069</v>
      </c>
      <c r="N873" s="7">
        <v>0.3849057427857379</v>
      </c>
      <c r="O873" s="7">
        <v>0.0502205634524199</v>
      </c>
      <c r="P873" s="7">
        <v>9.058968686976918</v>
      </c>
      <c r="Q873" s="7">
        <v>0.0502227858688525</v>
      </c>
      <c r="R873" s="7">
        <v>0.1082356068709669</v>
      </c>
      <c r="S873" s="7">
        <v>0.1923499737044168</v>
      </c>
      <c r="T873" s="7">
        <v>2.595891506637259</v>
      </c>
    </row>
    <row x14ac:dyDescent="0.25" r="874" customHeight="1" ht="19.5">
      <c r="A874" s="2" t="s">
        <v>1932</v>
      </c>
      <c r="B874" s="2" t="s">
        <v>1060</v>
      </c>
      <c r="C874" s="2" t="s">
        <v>31</v>
      </c>
      <c r="D874" s="2" t="s">
        <v>650</v>
      </c>
      <c r="E874" s="6">
        <v>1</v>
      </c>
      <c r="F874" s="6">
        <v>2</v>
      </c>
      <c r="G874" s="7">
        <v>0.8335292935371399</v>
      </c>
      <c r="H874" s="7">
        <v>44.99495</v>
      </c>
      <c r="I874" s="7">
        <v>29.07071206865874</v>
      </c>
      <c r="J874" s="7">
        <v>9.846663722409549</v>
      </c>
      <c r="K874" s="7">
        <v>4.684816481013997</v>
      </c>
      <c r="L874" s="7">
        <v>0.888739819614214</v>
      </c>
      <c r="M874" s="7">
        <v>0.6690557357753605</v>
      </c>
      <c r="N874" s="7">
        <v>0.378719836912485</v>
      </c>
      <c r="O874" s="7">
        <v>0.049484219548366</v>
      </c>
      <c r="P874" s="7">
        <v>9.140992093197577</v>
      </c>
      <c r="Q874" s="7">
        <v>0.0486383925191033</v>
      </c>
      <c r="R874" s="7">
        <v>0.1039553933443339</v>
      </c>
      <c r="S874" s="7">
        <v>0.1895308866237362</v>
      </c>
      <c r="T874" s="7">
        <v>2.540000293737537</v>
      </c>
    </row>
    <row x14ac:dyDescent="0.25" r="875" customHeight="1" ht="19.5">
      <c r="A875" s="2" t="s">
        <v>1933</v>
      </c>
      <c r="B875" s="2" t="s">
        <v>1060</v>
      </c>
      <c r="C875" s="2" t="s">
        <v>31</v>
      </c>
      <c r="D875" s="2" t="s">
        <v>650</v>
      </c>
      <c r="E875" s="6">
        <v>1</v>
      </c>
      <c r="F875" s="6">
        <v>2</v>
      </c>
      <c r="G875" s="7">
        <v>0.8344659209251404</v>
      </c>
      <c r="H875" s="7">
        <v>44.510090625</v>
      </c>
      <c r="I875" s="7">
        <v>29.00558894539517</v>
      </c>
      <c r="J875" s="7">
        <v>9.869850691591774</v>
      </c>
      <c r="K875" s="7">
        <v>4.731471525674785</v>
      </c>
      <c r="L875" s="7">
        <v>0.8898299095259243</v>
      </c>
      <c r="M875" s="7">
        <v>0.6648213631257148</v>
      </c>
      <c r="N875" s="7">
        <v>0.3842554993988153</v>
      </c>
      <c r="O875" s="7">
        <v>0.0506399624235753</v>
      </c>
      <c r="P875" s="7">
        <v>9.070065222898236</v>
      </c>
      <c r="Q875" s="7">
        <v>0.0482565904693894</v>
      </c>
      <c r="R875" s="7">
        <v>0.1046402402494659</v>
      </c>
      <c r="S875" s="7">
        <v>0.1933855221289866</v>
      </c>
      <c r="T875" s="7">
        <v>2.492905940612625</v>
      </c>
    </row>
    <row x14ac:dyDescent="0.25" r="876" customHeight="1" ht="19.5">
      <c r="A876" s="2" t="s">
        <v>1934</v>
      </c>
      <c r="B876" s="2" t="s">
        <v>1060</v>
      </c>
      <c r="C876" s="2" t="s">
        <v>31</v>
      </c>
      <c r="D876" s="2" t="s">
        <v>650</v>
      </c>
      <c r="E876" s="6">
        <v>1</v>
      </c>
      <c r="F876" s="6">
        <v>2</v>
      </c>
      <c r="G876" s="7">
        <v>0.8324492573738098</v>
      </c>
      <c r="H876" s="7">
        <v>44.7663734375</v>
      </c>
      <c r="I876" s="7">
        <v>28.87570148484338</v>
      </c>
      <c r="J876" s="7">
        <v>9.853767384740214</v>
      </c>
      <c r="K876" s="7">
        <v>4.664174020564765</v>
      </c>
      <c r="L876" s="7">
        <v>0.8895730291856504</v>
      </c>
      <c r="M876" s="7">
        <v>0.6746782198221931</v>
      </c>
      <c r="N876" s="7">
        <v>0.3829646917971381</v>
      </c>
      <c r="O876" s="7">
        <v>0.0499146101076886</v>
      </c>
      <c r="P876" s="7">
        <v>9.08075349610274</v>
      </c>
      <c r="Q876" s="7">
        <v>0.0482720393088441</v>
      </c>
      <c r="R876" s="7">
        <v>0.1037631371358769</v>
      </c>
      <c r="S876" s="7">
        <v>0.1898969268910345</v>
      </c>
      <c r="T876" s="7">
        <v>2.508062413581419</v>
      </c>
    </row>
    <row x14ac:dyDescent="0.25" r="877" customHeight="1" ht="19.5">
      <c r="A877" s="2" t="s">
        <v>1935</v>
      </c>
      <c r="B877" s="2" t="s">
        <v>1060</v>
      </c>
      <c r="C877" s="2" t="s">
        <v>31</v>
      </c>
      <c r="D877" s="2" t="s">
        <v>650</v>
      </c>
      <c r="E877" s="6">
        <v>1</v>
      </c>
      <c r="F877" s="6">
        <v>2</v>
      </c>
      <c r="G877" s="7">
        <v>0.8254122138023376</v>
      </c>
      <c r="H877" s="7">
        <v>44.74559375</v>
      </c>
      <c r="I877" s="7">
        <v>28.52851827540994</v>
      </c>
      <c r="J877" s="7">
        <v>9.793626012459658</v>
      </c>
      <c r="K877" s="7">
        <v>4.630442072105676</v>
      </c>
      <c r="L877" s="7">
        <v>0.8890374587873348</v>
      </c>
      <c r="M877" s="7">
        <v>0.690878548042702</v>
      </c>
      <c r="N877" s="7">
        <v>0.3838615169521295</v>
      </c>
      <c r="O877" s="7">
        <v>0.0500331052175466</v>
      </c>
      <c r="P877" s="7">
        <v>9.056409668171264</v>
      </c>
      <c r="Q877" s="7">
        <v>0.0490634658672746</v>
      </c>
      <c r="R877" s="7">
        <v>0.1073466216510795</v>
      </c>
      <c r="S877" s="7">
        <v>0.1903446996147648</v>
      </c>
      <c r="T877" s="7">
        <v>2.547999151878783</v>
      </c>
    </row>
    <row x14ac:dyDescent="0.25" r="878" customHeight="1" ht="19.5">
      <c r="A878" s="2" t="s">
        <v>1936</v>
      </c>
      <c r="B878" s="2" t="s">
        <v>1060</v>
      </c>
      <c r="C878" s="2" t="s">
        <v>31</v>
      </c>
      <c r="D878" s="2" t="s">
        <v>650</v>
      </c>
      <c r="E878" s="6">
        <v>1</v>
      </c>
      <c r="F878" s="6">
        <v>2</v>
      </c>
      <c r="G878" s="7">
        <v>0.8228570818901062</v>
      </c>
      <c r="H878" s="7">
        <v>45.147334375</v>
      </c>
      <c r="I878" s="7">
        <v>29.21278769069899</v>
      </c>
      <c r="J878" s="7">
        <v>9.845883224998037</v>
      </c>
      <c r="K878" s="7">
        <v>4.704054612849003</v>
      </c>
      <c r="L878" s="7">
        <v>0.8875520815681243</v>
      </c>
      <c r="M878" s="7">
        <v>0.6648075954985433</v>
      </c>
      <c r="N878" s="7">
        <v>0.3834962122438021</v>
      </c>
      <c r="O878" s="7">
        <v>0.0499331597763596</v>
      </c>
      <c r="P878" s="7">
        <v>9.106379447960247</v>
      </c>
      <c r="Q878" s="7">
        <v>0.0486679204649171</v>
      </c>
      <c r="R878" s="7">
        <v>0.1034361127016447</v>
      </c>
      <c r="S878" s="7">
        <v>0.1864661503903382</v>
      </c>
      <c r="T878" s="7">
        <v>2.550149745938541</v>
      </c>
    </row>
    <row x14ac:dyDescent="0.25" r="879" customHeight="1" ht="19.5">
      <c r="A879" s="2" t="s">
        <v>1937</v>
      </c>
      <c r="B879" s="2" t="s">
        <v>1060</v>
      </c>
      <c r="C879" s="2" t="s">
        <v>31</v>
      </c>
      <c r="D879" s="2" t="s">
        <v>650</v>
      </c>
      <c r="E879" s="6">
        <v>1</v>
      </c>
      <c r="F879" s="6">
        <v>2</v>
      </c>
      <c r="G879" s="7">
        <v>0.8295220136642456</v>
      </c>
      <c r="H879" s="7">
        <v>44.62437890625</v>
      </c>
      <c r="I879" s="7">
        <v>28.85550747768772</v>
      </c>
      <c r="J879" s="7">
        <v>9.792372742022586</v>
      </c>
      <c r="K879" s="7">
        <v>4.622995647969649</v>
      </c>
      <c r="L879" s="7">
        <v>0.8894446709262487</v>
      </c>
      <c r="M879" s="7">
        <v>0.6734798637874088</v>
      </c>
      <c r="N879" s="7">
        <v>0.3847787732948411</v>
      </c>
      <c r="O879" s="7">
        <v>0.0498389357852469</v>
      </c>
      <c r="P879" s="7">
        <v>9.080192364586363</v>
      </c>
      <c r="Q879" s="7">
        <v>0.0494554048130391</v>
      </c>
      <c r="R879" s="7">
        <v>0.1063534505214514</v>
      </c>
      <c r="S879" s="7">
        <v>0.1897823314407088</v>
      </c>
      <c r="T879" s="7">
        <v>2.561395992481599</v>
      </c>
    </row>
    <row x14ac:dyDescent="0.25" r="880" customHeight="1" ht="19.5">
      <c r="A880" s="2" t="s">
        <v>1938</v>
      </c>
      <c r="B880" s="2" t="s">
        <v>1060</v>
      </c>
      <c r="C880" s="2" t="s">
        <v>31</v>
      </c>
      <c r="D880" s="2" t="s">
        <v>650</v>
      </c>
      <c r="E880" s="6">
        <v>1</v>
      </c>
      <c r="F880" s="6">
        <v>2</v>
      </c>
      <c r="G880" s="7">
        <v>0.8333051800727844</v>
      </c>
      <c r="H880" s="7">
        <v>44.44428828125</v>
      </c>
      <c r="I880" s="7">
        <v>29.11737355670195</v>
      </c>
      <c r="J880" s="7">
        <v>9.876432071562272</v>
      </c>
      <c r="K880" s="7">
        <v>4.751213359236226</v>
      </c>
      <c r="L880" s="7">
        <v>0.8902646751792977</v>
      </c>
      <c r="M880" s="7">
        <v>0.6587512063417601</v>
      </c>
      <c r="N880" s="7">
        <v>0.3839527628729957</v>
      </c>
      <c r="O880" s="7">
        <v>0.0504992458493108</v>
      </c>
      <c r="P880" s="7">
        <v>9.087814510651905</v>
      </c>
      <c r="Q880" s="7">
        <v>0.0500281605383879</v>
      </c>
      <c r="R880" s="7">
        <v>0.1055080697056133</v>
      </c>
      <c r="S880" s="7">
        <v>0.1906915875507179</v>
      </c>
      <c r="T880" s="7">
        <v>2.580603433648395</v>
      </c>
    </row>
    <row x14ac:dyDescent="0.25" r="881" customHeight="1" ht="19.5">
      <c r="A881" s="2" t="s">
        <v>1939</v>
      </c>
      <c r="B881" s="2" t="s">
        <v>1060</v>
      </c>
      <c r="C881" s="2" t="s">
        <v>31</v>
      </c>
      <c r="D881" s="2" t="s">
        <v>650</v>
      </c>
      <c r="E881" s="6">
        <v>1</v>
      </c>
      <c r="F881" s="6">
        <v>2</v>
      </c>
      <c r="G881" s="7">
        <v>0.8315567374229431</v>
      </c>
      <c r="H881" s="7">
        <v>44.87373515625</v>
      </c>
      <c r="I881" s="7">
        <v>28.90216896573093</v>
      </c>
      <c r="J881" s="7">
        <v>9.804095187971305</v>
      </c>
      <c r="K881" s="7">
        <v>4.730345943678595</v>
      </c>
      <c r="L881" s="7">
        <v>0.8876668418252867</v>
      </c>
      <c r="M881" s="7">
        <v>0.6750581939329491</v>
      </c>
      <c r="N881" s="7">
        <v>0.38233433472747</v>
      </c>
      <c r="O881" s="7">
        <v>0.0499304759688637</v>
      </c>
      <c r="P881" s="7">
        <v>9.096169870529204</v>
      </c>
      <c r="Q881" s="7">
        <v>0.048820113844453</v>
      </c>
      <c r="R881" s="7">
        <v>0.1062728785986072</v>
      </c>
      <c r="S881" s="7">
        <v>0.1913592962388092</v>
      </c>
      <c r="T881" s="7">
        <v>2.542621929204671</v>
      </c>
    </row>
    <row x14ac:dyDescent="0.25" r="882" customHeight="1" ht="19.5">
      <c r="A882" s="2" t="s">
        <v>1940</v>
      </c>
      <c r="B882" s="2" t="s">
        <v>1060</v>
      </c>
      <c r="C882" s="2" t="s">
        <v>31</v>
      </c>
      <c r="D882" s="2" t="s">
        <v>650</v>
      </c>
      <c r="E882" s="6">
        <v>1</v>
      </c>
      <c r="F882" s="6">
        <v>2</v>
      </c>
      <c r="G882" s="7">
        <v>0.8231178522109985</v>
      </c>
      <c r="H882" s="7">
        <v>44.73520390625</v>
      </c>
      <c r="I882" s="7">
        <v>28.88998080424247</v>
      </c>
      <c r="J882" s="7">
        <v>9.834441752238746</v>
      </c>
      <c r="K882" s="7">
        <v>4.617494698804773</v>
      </c>
      <c r="L882" s="7">
        <v>0.8903636364651343</v>
      </c>
      <c r="M882" s="7">
        <v>0.6735421496980621</v>
      </c>
      <c r="N882" s="7">
        <v>0.385940493965464</v>
      </c>
      <c r="O882" s="7">
        <v>0.0501131251481863</v>
      </c>
      <c r="P882" s="7">
        <v>9.083626141476705</v>
      </c>
      <c r="Q882" s="7">
        <v>0.0474706168508262</v>
      </c>
      <c r="R882" s="7">
        <v>0.1033754975145683</v>
      </c>
      <c r="S882" s="7">
        <v>0.1896597358491171</v>
      </c>
      <c r="T882" s="7">
        <v>2.464705739595341</v>
      </c>
    </row>
    <row x14ac:dyDescent="0.25" r="883" customHeight="1" ht="19.5">
      <c r="A883" s="2" t="s">
        <v>1941</v>
      </c>
      <c r="B883" s="2" t="s">
        <v>1060</v>
      </c>
      <c r="C883" s="2" t="s">
        <v>31</v>
      </c>
      <c r="D883" s="2" t="s">
        <v>650</v>
      </c>
      <c r="E883" s="6">
        <v>1</v>
      </c>
      <c r="F883" s="6">
        <v>2</v>
      </c>
      <c r="G883" s="7">
        <v>0.8298680186271667</v>
      </c>
      <c r="H883" s="7">
        <v>44.70403437500001</v>
      </c>
      <c r="I883" s="7">
        <v>28.93873345019631</v>
      </c>
      <c r="J883" s="7">
        <v>9.843699337526353</v>
      </c>
      <c r="K883" s="7">
        <v>4.623708996692297</v>
      </c>
      <c r="L883" s="7">
        <v>0.8901124793614978</v>
      </c>
      <c r="M883" s="7">
        <v>0.6708069340214848</v>
      </c>
      <c r="N883" s="7">
        <v>0.3837252463621404</v>
      </c>
      <c r="O883" s="7">
        <v>0.0499377368759338</v>
      </c>
      <c r="P883" s="7">
        <v>9.090582433316996</v>
      </c>
      <c r="Q883" s="7">
        <v>0.0490117884930616</v>
      </c>
      <c r="R883" s="7">
        <v>0.1057668132958621</v>
      </c>
      <c r="S883" s="7">
        <v>0.1901797534987052</v>
      </c>
      <c r="T883" s="7">
        <v>2.542951335325176</v>
      </c>
    </row>
    <row x14ac:dyDescent="0.25" r="884" customHeight="1" ht="19.5">
      <c r="A884" s="2" t="s">
        <v>1942</v>
      </c>
      <c r="B884" s="2" t="s">
        <v>1060</v>
      </c>
      <c r="C884" s="2" t="s">
        <v>31</v>
      </c>
      <c r="D884" s="2" t="s">
        <v>650</v>
      </c>
      <c r="E884" s="6">
        <v>1</v>
      </c>
      <c r="F884" s="6">
        <v>2</v>
      </c>
      <c r="G884" s="7">
        <v>0.8281320333480835</v>
      </c>
      <c r="H884" s="7">
        <v>44.9395375</v>
      </c>
      <c r="I884" s="7">
        <v>28.62602356731762</v>
      </c>
      <c r="J884" s="7">
        <v>9.832744289714409</v>
      </c>
      <c r="K884" s="7">
        <v>4.613028531889499</v>
      </c>
      <c r="L884" s="7">
        <v>0.8892826023024437</v>
      </c>
      <c r="M884" s="7">
        <v>0.6891542099783617</v>
      </c>
      <c r="N884" s="7">
        <v>0.3869395138722317</v>
      </c>
      <c r="O884" s="7">
        <v>0.049961281450773</v>
      </c>
      <c r="P884" s="7">
        <v>9.059368845457628</v>
      </c>
      <c r="Q884" s="7">
        <v>0.0491152104440526</v>
      </c>
      <c r="R884" s="7">
        <v>0.1056657667042464</v>
      </c>
      <c r="S884" s="7">
        <v>0.1908975669319491</v>
      </c>
      <c r="T884" s="7">
        <v>2.561741995045393</v>
      </c>
    </row>
    <row x14ac:dyDescent="0.25" r="885" customHeight="1" ht="19.5">
      <c r="A885" s="2" t="s">
        <v>1943</v>
      </c>
      <c r="B885" s="2" t="s">
        <v>1060</v>
      </c>
      <c r="C885" s="2" t="s">
        <v>31</v>
      </c>
      <c r="D885" s="2" t="s">
        <v>650</v>
      </c>
      <c r="E885" s="6">
        <v>1</v>
      </c>
      <c r="F885" s="6">
        <v>2</v>
      </c>
      <c r="G885" s="7">
        <v>0.8117411732673645</v>
      </c>
      <c r="H885" s="7">
        <v>44.71442421875</v>
      </c>
      <c r="I885" s="7">
        <v>28.51423895601085</v>
      </c>
      <c r="J885" s="7">
        <v>9.779519079649006</v>
      </c>
      <c r="K885" s="7">
        <v>4.609751234546284</v>
      </c>
      <c r="L885" s="7">
        <v>0.8894194972592124</v>
      </c>
      <c r="M885" s="7">
        <v>0.6910889313447601</v>
      </c>
      <c r="N885" s="7">
        <v>0.4468589166328438</v>
      </c>
      <c r="O885" s="7">
        <v>0.0566814421177347</v>
      </c>
      <c r="P885" s="7">
        <v>8.702246915961643</v>
      </c>
      <c r="Q885" s="7">
        <v>0.0494787949768071</v>
      </c>
      <c r="R885" s="7">
        <v>0.1050839342029462</v>
      </c>
      <c r="S885" s="7">
        <v>0.1725695308965205</v>
      </c>
      <c r="T885" s="7">
        <v>2.567778374554181</v>
      </c>
    </row>
    <row x14ac:dyDescent="0.25" r="886" customHeight="1" ht="19.5">
      <c r="A886" s="2" t="s">
        <v>1944</v>
      </c>
      <c r="B886" s="2" t="s">
        <v>1060</v>
      </c>
      <c r="C886" s="2" t="s">
        <v>31</v>
      </c>
      <c r="D886" s="2" t="s">
        <v>650</v>
      </c>
      <c r="E886" s="6">
        <v>1</v>
      </c>
      <c r="F886" s="6">
        <v>2</v>
      </c>
      <c r="G886" s="7">
        <v>0.6744885444641113</v>
      </c>
      <c r="H886" s="7">
        <v>48.53096015625</v>
      </c>
      <c r="I886" s="7">
        <v>32.36073654065084</v>
      </c>
      <c r="J886" s="7">
        <v>10.80716886310231</v>
      </c>
      <c r="K886" s="7">
        <v>5.092841731036742</v>
      </c>
      <c r="L886" s="7">
        <v>0.908231756059659</v>
      </c>
      <c r="M886" s="7">
        <v>0.5823605562888069</v>
      </c>
      <c r="N886" s="7">
        <v>0.5417926341210254</v>
      </c>
      <c r="O886" s="7">
        <v>0.0762739188654564</v>
      </c>
      <c r="P886" s="7">
        <v>8.150615225211844</v>
      </c>
      <c r="Q886" s="7">
        <v>0.0433636230531522</v>
      </c>
      <c r="R886" s="7">
        <v>0.0818780412900654</v>
      </c>
      <c r="S886" s="7">
        <v>0.1004832268914951</v>
      </c>
      <c r="T886" s="7">
        <v>2.442503666378501</v>
      </c>
    </row>
    <row x14ac:dyDescent="0.25" r="887" customHeight="1" ht="19.5">
      <c r="A887" s="2" t="s">
        <v>1945</v>
      </c>
      <c r="B887" s="2" t="s">
        <v>1060</v>
      </c>
      <c r="C887" s="2" t="s">
        <v>31</v>
      </c>
      <c r="D887" s="2" t="s">
        <v>650</v>
      </c>
      <c r="E887" s="6">
        <v>1</v>
      </c>
      <c r="F887" s="6">
        <v>2</v>
      </c>
      <c r="G887" s="7">
        <v>0.7666292786598206</v>
      </c>
      <c r="H887" s="7">
        <v>48.499790625</v>
      </c>
      <c r="I887" s="7">
        <v>30.49947413472846</v>
      </c>
      <c r="J887" s="7">
        <v>10.55607489918219</v>
      </c>
      <c r="K887" s="7">
        <v>4.870538680630101</v>
      </c>
      <c r="L887" s="7">
        <v>0.9007300162580842</v>
      </c>
      <c r="M887" s="7">
        <v>0.6551866277505183</v>
      </c>
      <c r="N887" s="7">
        <v>0.4639689769380438</v>
      </c>
      <c r="O887" s="7">
        <v>0.0632199321848148</v>
      </c>
      <c r="P887" s="7">
        <v>8.49255387053169</v>
      </c>
      <c r="Q887" s="7">
        <v>0.0479908045916741</v>
      </c>
      <c r="R887" s="7">
        <v>0.0916092845441921</v>
      </c>
      <c r="S887" s="7">
        <v>0.1258012255020336</v>
      </c>
      <c r="T887" s="7">
        <v>2.70139862817301</v>
      </c>
    </row>
    <row x14ac:dyDescent="0.25" r="888" customHeight="1" ht="19.5">
      <c r="A888" s="2" t="s">
        <v>1946</v>
      </c>
      <c r="B888" s="2" t="s">
        <v>1060</v>
      </c>
      <c r="C888" s="2" t="s">
        <v>31</v>
      </c>
      <c r="D888" s="2" t="s">
        <v>650</v>
      </c>
      <c r="E888" s="6">
        <v>1</v>
      </c>
      <c r="F888" s="6">
        <v>2</v>
      </c>
      <c r="G888" s="7">
        <v>0.7843128442764282</v>
      </c>
      <c r="H888" s="7">
        <v>48.527496875</v>
      </c>
      <c r="I888" s="7">
        <v>30.10144712143055</v>
      </c>
      <c r="J888" s="7">
        <v>10.6019424056941</v>
      </c>
      <c r="K888" s="7">
        <v>4.735213385784443</v>
      </c>
      <c r="L888" s="7">
        <v>0.9034781168793456</v>
      </c>
      <c r="M888" s="7">
        <v>0.6730123052627529</v>
      </c>
      <c r="N888" s="7">
        <v>0.4058559510371026</v>
      </c>
      <c r="O888" s="7">
        <v>0.0555703000673039</v>
      </c>
      <c r="P888" s="7">
        <v>8.79341134325386</v>
      </c>
      <c r="Q888" s="7">
        <v>0.0523966668663582</v>
      </c>
      <c r="R888" s="7">
        <v>0.1008345234791123</v>
      </c>
      <c r="S888" s="7">
        <v>0.1588541653598198</v>
      </c>
      <c r="T888" s="7">
        <v>2.951089162683365</v>
      </c>
    </row>
    <row x14ac:dyDescent="0.25" r="889" customHeight="1" ht="19.5">
      <c r="A889" s="2" t="s">
        <v>1947</v>
      </c>
      <c r="B889" s="2" t="s">
        <v>1060</v>
      </c>
      <c r="C889" s="2" t="s">
        <v>31</v>
      </c>
      <c r="D889" s="2" t="s">
        <v>650</v>
      </c>
      <c r="E889" s="6">
        <v>1</v>
      </c>
      <c r="F889" s="6">
        <v>2</v>
      </c>
      <c r="G889" s="7">
        <v>0.7872720956802368</v>
      </c>
      <c r="H889" s="7">
        <v>47.60280078125</v>
      </c>
      <c r="I889" s="7">
        <v>30.19303772558166</v>
      </c>
      <c r="J889" s="7">
        <v>10.58516783460604</v>
      </c>
      <c r="K889" s="7">
        <v>4.663183020566942</v>
      </c>
      <c r="L889" s="7">
        <v>0.9071639225557352</v>
      </c>
      <c r="M889" s="7">
        <v>0.6561887049553367</v>
      </c>
      <c r="N889" s="7">
        <v>0.3821926712508192</v>
      </c>
      <c r="O889" s="7">
        <v>0.0522659200226652</v>
      </c>
      <c r="P889" s="7">
        <v>9.001683741207863</v>
      </c>
      <c r="Q889" s="7">
        <v>0.0539542476689809</v>
      </c>
      <c r="R889" s="7">
        <v>0.1039785432401718</v>
      </c>
      <c r="S889" s="7">
        <v>0.1762960870608517</v>
      </c>
      <c r="T889" s="7">
        <v>2.980910433165237</v>
      </c>
    </row>
    <row x14ac:dyDescent="0.25" r="890" customHeight="1" ht="19.5">
      <c r="A890" s="2" t="s">
        <v>1948</v>
      </c>
      <c r="B890" s="2" t="s">
        <v>1060</v>
      </c>
      <c r="C890" s="2" t="s">
        <v>31</v>
      </c>
      <c r="D890" s="2" t="s">
        <v>650</v>
      </c>
      <c r="E890" s="6">
        <v>1</v>
      </c>
      <c r="F890" s="6">
        <v>2</v>
      </c>
      <c r="G890" s="7">
        <v>0.8011642098426819</v>
      </c>
      <c r="H890" s="7">
        <v>47.63743359375</v>
      </c>
      <c r="I890" s="7">
        <v>29.99211245400975</v>
      </c>
      <c r="J890" s="7">
        <v>10.61224637577053</v>
      </c>
      <c r="K890" s="7">
        <v>4.695104095409431</v>
      </c>
      <c r="L890" s="7">
        <v>0.905678587712999</v>
      </c>
      <c r="M890" s="7">
        <v>0.6654939456661314</v>
      </c>
      <c r="N890" s="7">
        <v>0.3671491724842752</v>
      </c>
      <c r="O890" s="7">
        <v>0.0516499822008029</v>
      </c>
      <c r="P890" s="7">
        <v>9.087363829685671</v>
      </c>
      <c r="Q890" s="7">
        <v>0.0530493669761458</v>
      </c>
      <c r="R890" s="7">
        <v>0.1061024778267874</v>
      </c>
      <c r="S890" s="7">
        <v>0.1785057831913406</v>
      </c>
      <c r="T890" s="7">
        <v>2.933049161783184</v>
      </c>
    </row>
    <row x14ac:dyDescent="0.25" r="891" customHeight="1" ht="19.5">
      <c r="A891" s="2" t="s">
        <v>1949</v>
      </c>
      <c r="B891" s="2" t="s">
        <v>1060</v>
      </c>
      <c r="C891" s="2" t="s">
        <v>31</v>
      </c>
      <c r="D891" s="2" t="s">
        <v>650</v>
      </c>
      <c r="E891" s="6">
        <v>1</v>
      </c>
      <c r="F891" s="6">
        <v>2</v>
      </c>
      <c r="G891" s="7">
        <v>0.8053787350654602</v>
      </c>
      <c r="H891" s="7">
        <v>47.49197578125001</v>
      </c>
      <c r="I891" s="7">
        <v>30.04086509996358</v>
      </c>
      <c r="J891" s="7">
        <v>10.59249039221616</v>
      </c>
      <c r="K891" s="7">
        <v>4.672074280955879</v>
      </c>
      <c r="L891" s="7">
        <v>0.9068730400366036</v>
      </c>
      <c r="M891" s="7">
        <v>0.6613102155912326</v>
      </c>
      <c r="N891" s="7">
        <v>0.3667805882539623</v>
      </c>
      <c r="O891" s="7">
        <v>0.0510559728642392</v>
      </c>
      <c r="P891" s="7">
        <v>9.1241017658779</v>
      </c>
      <c r="Q891" s="7">
        <v>0.0545134838440742</v>
      </c>
      <c r="R891" s="7">
        <v>0.10645818220552</v>
      </c>
      <c r="S891" s="7">
        <v>0.1783443788901422</v>
      </c>
      <c r="T891" s="7">
        <v>3.004795744363397</v>
      </c>
    </row>
    <row x14ac:dyDescent="0.25" r="892" customHeight="1" ht="19.5">
      <c r="A892" s="2" t="s">
        <v>1950</v>
      </c>
      <c r="B892" s="2" t="s">
        <v>1060</v>
      </c>
      <c r="C892" s="2" t="s">
        <v>31</v>
      </c>
      <c r="D892" s="2" t="s">
        <v>650</v>
      </c>
      <c r="E892" s="6">
        <v>1</v>
      </c>
      <c r="F892" s="6">
        <v>2</v>
      </c>
      <c r="G892" s="7">
        <v>0.8072766065597534</v>
      </c>
      <c r="H892" s="7">
        <v>47.6339703125</v>
      </c>
      <c r="I892" s="7">
        <v>30.08961774591743</v>
      </c>
      <c r="J892" s="7">
        <v>10.59052988029744</v>
      </c>
      <c r="K892" s="7">
        <v>4.725979259570591</v>
      </c>
      <c r="L892" s="7">
        <v>0.9060382079449264</v>
      </c>
      <c r="M892" s="7">
        <v>0.6611398037826384</v>
      </c>
      <c r="N892" s="7">
        <v>0.3686979814580908</v>
      </c>
      <c r="O892" s="7">
        <v>0.0517779461285222</v>
      </c>
      <c r="P892" s="7">
        <v>9.07581698282446</v>
      </c>
      <c r="Q892" s="7">
        <v>0.0533067279052877</v>
      </c>
      <c r="R892" s="7">
        <v>0.1040838331309734</v>
      </c>
      <c r="S892" s="7">
        <v>0.1722221007817149</v>
      </c>
      <c r="T892" s="7">
        <v>2.947064133742684</v>
      </c>
    </row>
    <row x14ac:dyDescent="0.25" r="893" customHeight="1" ht="19.5">
      <c r="A893" s="2" t="s">
        <v>1951</v>
      </c>
      <c r="B893" s="2" t="s">
        <v>1060</v>
      </c>
      <c r="C893" s="2" t="s">
        <v>31</v>
      </c>
      <c r="D893" s="2" t="s">
        <v>650</v>
      </c>
      <c r="E893" s="6">
        <v>1</v>
      </c>
      <c r="F893" s="6">
        <v>2</v>
      </c>
      <c r="G893" s="7">
        <v>0.807610809803009</v>
      </c>
      <c r="H893" s="7">
        <v>47.58894765625001</v>
      </c>
      <c r="I893" s="7">
        <v>29.90888648150116</v>
      </c>
      <c r="J893" s="7">
        <v>10.62212459009369</v>
      </c>
      <c r="K893" s="7">
        <v>4.683608861704494</v>
      </c>
      <c r="L893" s="7">
        <v>0.9064627886404002</v>
      </c>
      <c r="M893" s="7">
        <v>0.6685216501463597</v>
      </c>
      <c r="N893" s="7">
        <v>0.366198150475674</v>
      </c>
      <c r="O893" s="7">
        <v>0.051598540774812</v>
      </c>
      <c r="P893" s="7">
        <v>9.089034479042455</v>
      </c>
      <c r="Q893" s="7">
        <v>0.0542951709278314</v>
      </c>
      <c r="R893" s="7">
        <v>0.1067399639627307</v>
      </c>
      <c r="S893" s="7">
        <v>0.1749357360961474</v>
      </c>
      <c r="T893" s="7">
        <v>2.998873082189437</v>
      </c>
    </row>
    <row x14ac:dyDescent="0.25" r="894" customHeight="1" ht="19.5">
      <c r="A894" s="2" t="s">
        <v>1952</v>
      </c>
      <c r="B894" s="2" t="s">
        <v>1060</v>
      </c>
      <c r="C894" s="2" t="s">
        <v>31</v>
      </c>
      <c r="D894" s="2" t="s">
        <v>650</v>
      </c>
      <c r="E894" s="6">
        <v>1</v>
      </c>
      <c r="F894" s="6">
        <v>2</v>
      </c>
      <c r="G894" s="7">
        <v>0.8000039458274841</v>
      </c>
      <c r="H894" s="7">
        <v>48.06688046875</v>
      </c>
      <c r="I894" s="7">
        <v>29.94335980805591</v>
      </c>
      <c r="J894" s="7">
        <v>10.60546775931262</v>
      </c>
      <c r="K894" s="7">
        <v>4.750691024083791</v>
      </c>
      <c r="L894" s="7">
        <v>0.9034121833279064</v>
      </c>
      <c r="M894" s="7">
        <v>0.6736816895699247</v>
      </c>
      <c r="N894" s="7">
        <v>0.3638928868796527</v>
      </c>
      <c r="O894" s="7">
        <v>0.0521482227007816</v>
      </c>
      <c r="P894" s="7">
        <v>9.103144687759494</v>
      </c>
      <c r="Q894" s="7">
        <v>0.0539511444648767</v>
      </c>
      <c r="R894" s="7">
        <v>0.1056232063872143</v>
      </c>
      <c r="S894" s="7">
        <v>0.1726661433118459</v>
      </c>
      <c r="T894" s="7">
        <v>3.009798207967534</v>
      </c>
    </row>
    <row x14ac:dyDescent="0.25" r="895" customHeight="1" ht="19.5">
      <c r="A895" s="2" t="s">
        <v>1953</v>
      </c>
      <c r="B895" s="2" t="s">
        <v>1060</v>
      </c>
      <c r="C895" s="2" t="s">
        <v>31</v>
      </c>
      <c r="D895" s="2" t="s">
        <v>650</v>
      </c>
      <c r="E895" s="6">
        <v>1</v>
      </c>
      <c r="F895" s="6">
        <v>2</v>
      </c>
      <c r="G895" s="7">
        <v>0.8015035390853882</v>
      </c>
      <c r="H895" s="7">
        <v>47.89371640625</v>
      </c>
      <c r="I895" s="7">
        <v>30.29054301748935</v>
      </c>
      <c r="J895" s="7">
        <v>10.62173425130238</v>
      </c>
      <c r="K895" s="7">
        <v>4.757276552973735</v>
      </c>
      <c r="L895" s="7">
        <v>0.9050968378788712</v>
      </c>
      <c r="M895" s="7">
        <v>0.6559553587461354</v>
      </c>
      <c r="N895" s="7">
        <v>0.3686609939858568</v>
      </c>
      <c r="O895" s="7">
        <v>0.0527987664989789</v>
      </c>
      <c r="P895" s="7">
        <v>9.096948435672829</v>
      </c>
      <c r="Q895" s="7">
        <v>0.0540925968306551</v>
      </c>
      <c r="R895" s="7">
        <v>0.1063778245345723</v>
      </c>
      <c r="S895" s="7">
        <v>0.1757362276547848</v>
      </c>
      <c r="T895" s="7">
        <v>3.006818055934203</v>
      </c>
    </row>
    <row x14ac:dyDescent="0.25" r="896" customHeight="1" ht="19.5">
      <c r="A896" s="2" t="s">
        <v>1954</v>
      </c>
      <c r="B896" s="2" t="s">
        <v>1060</v>
      </c>
      <c r="C896" s="2" t="s">
        <v>31</v>
      </c>
      <c r="D896" s="2" t="s">
        <v>650</v>
      </c>
      <c r="E896" s="6">
        <v>1</v>
      </c>
      <c r="F896" s="6">
        <v>2</v>
      </c>
      <c r="G896" s="7">
        <v>0.8061325550079346</v>
      </c>
      <c r="H896" s="7">
        <v>47.60972734375</v>
      </c>
      <c r="I896" s="7">
        <v>30.05514441936268</v>
      </c>
      <c r="J896" s="7">
        <v>10.63233290863198</v>
      </c>
      <c r="K896" s="7">
        <v>4.710868932288474</v>
      </c>
      <c r="L896" s="7">
        <v>0.9060637356834252</v>
      </c>
      <c r="M896" s="7">
        <v>0.6623200769243872</v>
      </c>
      <c r="N896" s="7">
        <v>0.3685983103423653</v>
      </c>
      <c r="O896" s="7">
        <v>0.0540364566838671</v>
      </c>
      <c r="P896" s="7">
        <v>9.104310166968014</v>
      </c>
      <c r="Q896" s="7">
        <v>0.0535941660873057</v>
      </c>
      <c r="R896" s="7">
        <v>0.1055729916511874</v>
      </c>
      <c r="S896" s="7">
        <v>0.1758412944418493</v>
      </c>
      <c r="T896" s="7">
        <v>2.961447187848671</v>
      </c>
    </row>
    <row x14ac:dyDescent="0.25" r="897" customHeight="1" ht="19.5">
      <c r="A897" s="2" t="s">
        <v>1955</v>
      </c>
      <c r="B897" s="2" t="s">
        <v>1060</v>
      </c>
      <c r="C897" s="2" t="s">
        <v>31</v>
      </c>
      <c r="D897" s="2" t="s">
        <v>650</v>
      </c>
      <c r="E897" s="6">
        <v>1</v>
      </c>
      <c r="F897" s="6">
        <v>2</v>
      </c>
      <c r="G897" s="7">
        <v>0.8037793636322021</v>
      </c>
      <c r="H897" s="7">
        <v>47.42963671875</v>
      </c>
      <c r="I897" s="7">
        <v>30.07533842651834</v>
      </c>
      <c r="J897" s="7">
        <v>10.59861792912717</v>
      </c>
      <c r="K897" s="7">
        <v>4.671998386953073</v>
      </c>
      <c r="L897" s="7">
        <v>0.9075738640111256</v>
      </c>
      <c r="M897" s="7">
        <v>0.6589289918945854</v>
      </c>
      <c r="N897" s="7">
        <v>0.3671203827679927</v>
      </c>
      <c r="O897" s="7">
        <v>0.0519062814751439</v>
      </c>
      <c r="P897" s="7">
        <v>9.115222042979523</v>
      </c>
      <c r="Q897" s="7">
        <v>0.054204469620177</v>
      </c>
      <c r="R897" s="7">
        <v>0.1069803262853036</v>
      </c>
      <c r="S897" s="7">
        <v>0.1777810399858523</v>
      </c>
      <c r="T897" s="7">
        <v>2.983841003043871</v>
      </c>
    </row>
    <row x14ac:dyDescent="0.25" r="898" customHeight="1" ht="19.5">
      <c r="A898" s="2" t="s">
        <v>1956</v>
      </c>
      <c r="B898" s="2" t="s">
        <v>1060</v>
      </c>
      <c r="C898" s="2" t="s">
        <v>31</v>
      </c>
      <c r="D898" s="2" t="s">
        <v>650</v>
      </c>
      <c r="E898" s="6">
        <v>1</v>
      </c>
      <c r="F898" s="6">
        <v>2</v>
      </c>
      <c r="G898" s="7">
        <v>0.8049324154853821</v>
      </c>
      <c r="H898" s="7">
        <v>47.49890234375</v>
      </c>
      <c r="I898" s="7">
        <v>29.94335980805591</v>
      </c>
      <c r="J898" s="7">
        <v>10.57938020790349</v>
      </c>
      <c r="K898" s="7">
        <v>4.62464766561118</v>
      </c>
      <c r="L898" s="7">
        <v>0.9069722342177688</v>
      </c>
      <c r="M898" s="7">
        <v>0.6657211883025808</v>
      </c>
      <c r="N898" s="7">
        <v>0.3607367477762655</v>
      </c>
      <c r="O898" s="7">
        <v>0.0503470869403465</v>
      </c>
      <c r="P898" s="7">
        <v>9.152810378443974</v>
      </c>
      <c r="Q898" s="7">
        <v>0.0538483998825458</v>
      </c>
      <c r="R898" s="7">
        <v>0.1059599980185929</v>
      </c>
      <c r="S898" s="7">
        <v>0.173668769364391</v>
      </c>
      <c r="T898" s="7">
        <v>2.968569057492306</v>
      </c>
    </row>
    <row x14ac:dyDescent="0.25" r="899" customHeight="1" ht="19.5">
      <c r="A899" s="2" t="s">
        <v>1957</v>
      </c>
      <c r="B899" s="2" t="s">
        <v>1060</v>
      </c>
      <c r="C899" s="2" t="s">
        <v>31</v>
      </c>
      <c r="D899" s="2" t="s">
        <v>650</v>
      </c>
      <c r="E899" s="6">
        <v>1</v>
      </c>
      <c r="F899" s="6">
        <v>2</v>
      </c>
      <c r="G899" s="7">
        <v>0.8001537322998047</v>
      </c>
      <c r="H899" s="7">
        <v>47.87986328125</v>
      </c>
      <c r="I899" s="7">
        <v>29.84585451614823</v>
      </c>
      <c r="J899" s="7">
        <v>10.60634046179934</v>
      </c>
      <c r="K899" s="7">
        <v>4.715904356233297</v>
      </c>
      <c r="L899" s="7">
        <v>0.904643326395226</v>
      </c>
      <c r="M899" s="7">
        <v>0.6754523706640476</v>
      </c>
      <c r="N899" s="7">
        <v>0.3710659675920189</v>
      </c>
      <c r="O899" s="7">
        <v>0.0517560482979634</v>
      </c>
      <c r="P899" s="7">
        <v>9.05550852835798</v>
      </c>
      <c r="Q899" s="7">
        <v>0.0528981360170749</v>
      </c>
      <c r="R899" s="7">
        <v>0.1038652737609431</v>
      </c>
      <c r="S899" s="7">
        <v>0.1758586251539097</v>
      </c>
      <c r="T899" s="7">
        <v>2.939571652660677</v>
      </c>
    </row>
    <row x14ac:dyDescent="0.25" r="900" customHeight="1" ht="19.5">
      <c r="A900" s="2" t="s">
        <v>1958</v>
      </c>
      <c r="B900" s="2" t="s">
        <v>1060</v>
      </c>
      <c r="C900" s="2" t="s">
        <v>31</v>
      </c>
      <c r="D900" s="2" t="s">
        <v>650</v>
      </c>
      <c r="E900" s="6">
        <v>1</v>
      </c>
      <c r="F900" s="6">
        <v>2</v>
      </c>
      <c r="G900" s="7">
        <v>0.7965699434280396</v>
      </c>
      <c r="H900" s="7">
        <v>47.640896875</v>
      </c>
      <c r="I900" s="7">
        <v>30.15856439902692</v>
      </c>
      <c r="J900" s="7">
        <v>10.60181678518878</v>
      </c>
      <c r="K900" s="7">
        <v>4.692504886569</v>
      </c>
      <c r="L900" s="7">
        <v>0.9065630836565414</v>
      </c>
      <c r="M900" s="7">
        <v>0.6582160437108695</v>
      </c>
      <c r="N900" s="7">
        <v>0.3651344774524986</v>
      </c>
      <c r="O900" s="7">
        <v>0.0524819406246971</v>
      </c>
      <c r="P900" s="7">
        <v>9.145624724286126</v>
      </c>
      <c r="Q900" s="7">
        <v>0.0530993071044516</v>
      </c>
      <c r="R900" s="7">
        <v>0.1059549695584547</v>
      </c>
      <c r="S900" s="7">
        <v>0.1730969295854456</v>
      </c>
      <c r="T900" s="7">
        <v>2.93602373995285</v>
      </c>
    </row>
    <row x14ac:dyDescent="0.25" r="901" customHeight="1" ht="19.5">
      <c r="A901" s="2" t="s">
        <v>1959</v>
      </c>
      <c r="B901" s="2" t="s">
        <v>1060</v>
      </c>
      <c r="C901" s="2" t="s">
        <v>31</v>
      </c>
      <c r="D901" s="2" t="s">
        <v>650</v>
      </c>
      <c r="E901" s="6">
        <v>1</v>
      </c>
      <c r="F901" s="6">
        <v>2</v>
      </c>
      <c r="G901" s="7">
        <v>0.8104310631752014</v>
      </c>
      <c r="H901" s="7">
        <v>47.62704375000001</v>
      </c>
      <c r="I901" s="7">
        <v>29.957639127455</v>
      </c>
      <c r="J901" s="7">
        <v>10.62663226505649</v>
      </c>
      <c r="K901" s="7">
        <v>4.710755720706779</v>
      </c>
      <c r="L901" s="7">
        <v>0.9062331952180674</v>
      </c>
      <c r="M901" s="7">
        <v>0.6668809621277094</v>
      </c>
      <c r="N901" s="7">
        <v>0.3688836881702421</v>
      </c>
      <c r="O901" s="7">
        <v>0.0536607909945753</v>
      </c>
      <c r="P901" s="7">
        <v>9.109856341800418</v>
      </c>
      <c r="Q901" s="7">
        <v>0.0542733254554325</v>
      </c>
      <c r="R901" s="7">
        <v>0.1048794150720685</v>
      </c>
      <c r="S901" s="7">
        <v>0.175803155491919</v>
      </c>
      <c r="T901" s="7">
        <v>3.000066199990428</v>
      </c>
    </row>
    <row x14ac:dyDescent="0.25" r="902" customHeight="1" ht="19.5">
      <c r="A902" s="2" t="s">
        <v>1960</v>
      </c>
      <c r="B902" s="2" t="s">
        <v>1060</v>
      </c>
      <c r="C902" s="2" t="s">
        <v>31</v>
      </c>
      <c r="D902" s="2" t="s">
        <v>650</v>
      </c>
      <c r="E902" s="6">
        <v>1</v>
      </c>
      <c r="F902" s="6">
        <v>2</v>
      </c>
      <c r="G902" s="7">
        <v>0.8026014566421509</v>
      </c>
      <c r="H902" s="7">
        <v>47.53353515625</v>
      </c>
      <c r="I902" s="7">
        <v>30.20731704498076</v>
      </c>
      <c r="J902" s="7">
        <v>10.5897824299341</v>
      </c>
      <c r="K902" s="7">
        <v>4.645737744689603</v>
      </c>
      <c r="L902" s="7">
        <v>0.9068684600720128</v>
      </c>
      <c r="M902" s="7">
        <v>0.6546145758312122</v>
      </c>
      <c r="N902" s="7">
        <v>0.3667675145557635</v>
      </c>
      <c r="O902" s="7">
        <v>0.0513320299278665</v>
      </c>
      <c r="P902" s="7">
        <v>9.125604817303683</v>
      </c>
      <c r="Q902" s="7">
        <v>0.0530890622210977</v>
      </c>
      <c r="R902" s="7">
        <v>0.103625970269676</v>
      </c>
      <c r="S902" s="7">
        <v>0.1749019427541442</v>
      </c>
      <c r="T902" s="7">
        <v>2.928842033699104</v>
      </c>
    </row>
    <row x14ac:dyDescent="0.25" r="903" customHeight="1" ht="19.5">
      <c r="A903" s="2" t="s">
        <v>1961</v>
      </c>
      <c r="B903" s="2" t="s">
        <v>1060</v>
      </c>
      <c r="C903" s="2" t="s">
        <v>31</v>
      </c>
      <c r="D903" s="2" t="s">
        <v>650</v>
      </c>
      <c r="E903" s="6">
        <v>1</v>
      </c>
      <c r="F903" s="6">
        <v>2</v>
      </c>
      <c r="G903" s="7">
        <v>0.7994918823242188</v>
      </c>
      <c r="H903" s="7">
        <v>47.74825859375</v>
      </c>
      <c r="I903" s="7">
        <v>30.04086509996359</v>
      </c>
      <c r="J903" s="7">
        <v>10.60945812213853</v>
      </c>
      <c r="K903" s="7">
        <v>4.695625015986648</v>
      </c>
      <c r="L903" s="7">
        <v>0.9053687825203584</v>
      </c>
      <c r="M903" s="7">
        <v>0.664878869857531</v>
      </c>
      <c r="N903" s="7">
        <v>0.3686196677767565</v>
      </c>
      <c r="O903" s="7">
        <v>0.0516202641888322</v>
      </c>
      <c r="P903" s="7">
        <v>9.080388713128237</v>
      </c>
      <c r="Q903" s="7">
        <v>0.0530303992228455</v>
      </c>
      <c r="R903" s="7">
        <v>0.1049337761138911</v>
      </c>
      <c r="S903" s="7">
        <v>0.1770289499195711</v>
      </c>
      <c r="T903" s="7">
        <v>2.938821536997273</v>
      </c>
    </row>
    <row x14ac:dyDescent="0.25" r="904" customHeight="1" ht="19.5">
      <c r="A904" s="2" t="s">
        <v>1962</v>
      </c>
      <c r="B904" s="2" t="s">
        <v>1060</v>
      </c>
      <c r="C904" s="2" t="s">
        <v>31</v>
      </c>
      <c r="D904" s="2" t="s">
        <v>650</v>
      </c>
      <c r="E904" s="6">
        <v>1</v>
      </c>
      <c r="F904" s="6">
        <v>2</v>
      </c>
      <c r="G904" s="7">
        <v>0.8112739324569702</v>
      </c>
      <c r="H904" s="7">
        <v>47.336128125</v>
      </c>
      <c r="I904" s="7">
        <v>30.00639177340884</v>
      </c>
      <c r="J904" s="7">
        <v>10.62862342608288</v>
      </c>
      <c r="K904" s="7">
        <v>4.666514625227991</v>
      </c>
      <c r="L904" s="7">
        <v>0.9073037973690922</v>
      </c>
      <c r="M904" s="7">
        <v>0.6606554854075253</v>
      </c>
      <c r="N904" s="7">
        <v>0.3683353525140519</v>
      </c>
      <c r="O904" s="7">
        <v>0.0542697502996354</v>
      </c>
      <c r="P904" s="7">
        <v>9.111817188925702</v>
      </c>
      <c r="Q904" s="7">
        <v>0.0551967841882567</v>
      </c>
      <c r="R904" s="7">
        <v>0.1056011401279223</v>
      </c>
      <c r="S904" s="7">
        <v>0.1765304867373369</v>
      </c>
      <c r="T904" s="7">
        <v>3.032475410242749</v>
      </c>
    </row>
    <row x14ac:dyDescent="0.25" r="905" customHeight="1" ht="19.5">
      <c r="A905" s="2" t="s">
        <v>1963</v>
      </c>
      <c r="B905" s="2" t="s">
        <v>1060</v>
      </c>
      <c r="C905" s="2" t="s">
        <v>31</v>
      </c>
      <c r="D905" s="2" t="s">
        <v>650</v>
      </c>
      <c r="E905" s="6">
        <v>1</v>
      </c>
      <c r="F905" s="6">
        <v>2</v>
      </c>
      <c r="G905" s="7">
        <v>0.8089849948883057</v>
      </c>
      <c r="H905" s="7">
        <v>47.85215703125</v>
      </c>
      <c r="I905" s="7">
        <v>30.07533842651834</v>
      </c>
      <c r="J905" s="7">
        <v>10.63450546123539</v>
      </c>
      <c r="K905" s="7">
        <v>4.767905563437212</v>
      </c>
      <c r="L905" s="7">
        <v>0.9046177261921684</v>
      </c>
      <c r="M905" s="7">
        <v>0.6647989690403422</v>
      </c>
      <c r="N905" s="7">
        <v>0.3718632919004457</v>
      </c>
      <c r="O905" s="7">
        <v>0.0539929142112724</v>
      </c>
      <c r="P905" s="7">
        <v>9.0760776021059</v>
      </c>
      <c r="Q905" s="7">
        <v>0.0537128820523306</v>
      </c>
      <c r="R905" s="7">
        <v>0.1059213606501587</v>
      </c>
      <c r="S905" s="7">
        <v>0.1779322570608995</v>
      </c>
      <c r="T905" s="7">
        <v>2.983120214973941</v>
      </c>
    </row>
    <row x14ac:dyDescent="0.25" r="906" customHeight="1" ht="19.5">
      <c r="A906" s="2" t="s">
        <v>1964</v>
      </c>
      <c r="B906" s="2" t="s">
        <v>1060</v>
      </c>
      <c r="C906" s="2" t="s">
        <v>31</v>
      </c>
      <c r="D906" s="2" t="s">
        <v>650</v>
      </c>
      <c r="E906" s="6">
        <v>1</v>
      </c>
      <c r="F906" s="6">
        <v>2</v>
      </c>
      <c r="G906" s="7">
        <v>0.8031673431396484</v>
      </c>
      <c r="H906" s="7">
        <v>47.48851250000001</v>
      </c>
      <c r="I906" s="7">
        <v>30.06105910711924</v>
      </c>
      <c r="J906" s="7">
        <v>10.58706864212061</v>
      </c>
      <c r="K906" s="7">
        <v>4.670368835264945</v>
      </c>
      <c r="L906" s="7">
        <v>0.907277572376697</v>
      </c>
      <c r="M906" s="7">
        <v>0.660373861868827</v>
      </c>
      <c r="N906" s="7">
        <v>0.3652883546249933</v>
      </c>
      <c r="O906" s="7">
        <v>0.0538706654461192</v>
      </c>
      <c r="P906" s="7">
        <v>9.13505810481596</v>
      </c>
      <c r="Q906" s="7">
        <v>0.0530838841081245</v>
      </c>
      <c r="R906" s="7">
        <v>0.1043620853233845</v>
      </c>
      <c r="S906" s="7">
        <v>0.1744737174104286</v>
      </c>
      <c r="T906" s="7">
        <v>2.925782504848976</v>
      </c>
    </row>
    <row x14ac:dyDescent="0.25" r="907" customHeight="1" ht="19.5">
      <c r="A907" s="2" t="s">
        <v>1965</v>
      </c>
      <c r="B907" s="2" t="s">
        <v>1060</v>
      </c>
      <c r="C907" s="2" t="s">
        <v>31</v>
      </c>
      <c r="D907" s="2" t="s">
        <v>650</v>
      </c>
      <c r="E907" s="6">
        <v>1</v>
      </c>
      <c r="F907" s="6">
        <v>2</v>
      </c>
      <c r="G907" s="7">
        <v>0.8081077933311462</v>
      </c>
      <c r="H907" s="7">
        <v>48.1603890625</v>
      </c>
      <c r="I907" s="7">
        <v>30.10981175307308</v>
      </c>
      <c r="J907" s="7">
        <v>10.59538224108176</v>
      </c>
      <c r="K907" s="7">
        <v>4.74032463786244</v>
      </c>
      <c r="L907" s="7">
        <v>0.904104355743294</v>
      </c>
      <c r="M907" s="7">
        <v>0.6675499536871611</v>
      </c>
      <c r="N907" s="7">
        <v>0.3671068074887788</v>
      </c>
      <c r="O907" s="7">
        <v>0.0508901591044212</v>
      </c>
      <c r="P907" s="7">
        <v>9.12771481941052</v>
      </c>
      <c r="Q907" s="7">
        <v>0.0530898314245264</v>
      </c>
      <c r="R907" s="7">
        <v>0.1040048990921471</v>
      </c>
      <c r="S907" s="7">
        <v>0.1740018199124872</v>
      </c>
      <c r="T907" s="7">
        <v>2.96750946684617</v>
      </c>
    </row>
    <row x14ac:dyDescent="0.25" r="908" customHeight="1" ht="19.5">
      <c r="A908" s="2" t="s">
        <v>1966</v>
      </c>
      <c r="B908" s="2" t="s">
        <v>1060</v>
      </c>
      <c r="C908" s="2" t="s">
        <v>31</v>
      </c>
      <c r="D908" s="2" t="s">
        <v>650</v>
      </c>
      <c r="E908" s="6">
        <v>1</v>
      </c>
      <c r="F908" s="6">
        <v>2</v>
      </c>
      <c r="G908" s="7">
        <v>0.7976319789886475</v>
      </c>
      <c r="H908" s="7">
        <v>47.58894765625001</v>
      </c>
      <c r="I908" s="7">
        <v>30.20731704498076</v>
      </c>
      <c r="J908" s="7">
        <v>10.59309728368027</v>
      </c>
      <c r="K908" s="7">
        <v>4.690385657122436</v>
      </c>
      <c r="L908" s="7">
        <v>0.906719086205863</v>
      </c>
      <c r="M908" s="7">
        <v>0.6553776966482104</v>
      </c>
      <c r="N908" s="7">
        <v>0.3653293420680903</v>
      </c>
      <c r="O908" s="7">
        <v>0.0522545002807482</v>
      </c>
      <c r="P908" s="7">
        <v>9.158256602486844</v>
      </c>
      <c r="Q908" s="7">
        <v>0.0532049835350539</v>
      </c>
      <c r="R908" s="7">
        <v>0.1048285810186899</v>
      </c>
      <c r="S908" s="7">
        <v>0.1745937933199865</v>
      </c>
      <c r="T908" s="7">
        <v>2.93865900475172</v>
      </c>
    </row>
    <row x14ac:dyDescent="0.25" r="909" customHeight="1" ht="19.5">
      <c r="A909" s="2" t="s">
        <v>1967</v>
      </c>
      <c r="B909" s="2" t="s">
        <v>1060</v>
      </c>
      <c r="C909" s="2" t="s">
        <v>31</v>
      </c>
      <c r="D909" s="2" t="s">
        <v>650</v>
      </c>
      <c r="E909" s="6">
        <v>1</v>
      </c>
      <c r="F909" s="6">
        <v>2</v>
      </c>
      <c r="G909" s="7">
        <v>0.7963343262672424</v>
      </c>
      <c r="H909" s="7">
        <v>47.67206640625</v>
      </c>
      <c r="I909" s="7">
        <v>30.19303772558167</v>
      </c>
      <c r="J909" s="7">
        <v>10.6047089285378</v>
      </c>
      <c r="K909" s="7">
        <v>4.699339128808189</v>
      </c>
      <c r="L909" s="7">
        <v>0.9060590937938972</v>
      </c>
      <c r="M909" s="7">
        <v>0.6571435084547257</v>
      </c>
      <c r="N909" s="7">
        <v>0.3768944029026574</v>
      </c>
      <c r="O909" s="7">
        <v>0.0526342793281068</v>
      </c>
      <c r="P909" s="7">
        <v>9.02718644571742</v>
      </c>
      <c r="Q909" s="7">
        <v>0.0533428347504705</v>
      </c>
      <c r="R909" s="7">
        <v>0.1036960776466604</v>
      </c>
      <c r="S909" s="7">
        <v>0.1721740703756035</v>
      </c>
      <c r="T909" s="7">
        <v>2.951418863931856</v>
      </c>
    </row>
    <row x14ac:dyDescent="0.25" r="910" customHeight="1" ht="19.5">
      <c r="A910" s="2" t="s">
        <v>1968</v>
      </c>
      <c r="B910" s="2" t="s">
        <v>1060</v>
      </c>
      <c r="C910" s="2" t="s">
        <v>31</v>
      </c>
      <c r="D910" s="2" t="s">
        <v>650</v>
      </c>
      <c r="E910" s="6">
        <v>1</v>
      </c>
      <c r="F910" s="6">
        <v>2</v>
      </c>
      <c r="G910" s="7">
        <v>0.715086817741394</v>
      </c>
      <c r="H910" s="7">
        <v>50.660878125</v>
      </c>
      <c r="I910" s="7">
        <v>30.89086888831914</v>
      </c>
      <c r="J910" s="7">
        <v>10.57866596192457</v>
      </c>
      <c r="K910" s="7">
        <v>4.954436271748413</v>
      </c>
      <c r="L910" s="7">
        <v>0.8948425000797312</v>
      </c>
      <c r="M910" s="7">
        <v>0.6671482159628633</v>
      </c>
      <c r="N910" s="7">
        <v>0.5299853822988766</v>
      </c>
      <c r="O910" s="7">
        <v>0.0709966784263933</v>
      </c>
      <c r="P910" s="7">
        <v>8.129549842394756</v>
      </c>
      <c r="Q910" s="7">
        <v>0.0420134717751345</v>
      </c>
      <c r="R910" s="7">
        <v>0.0788780131056823</v>
      </c>
      <c r="S910" s="7">
        <v>0.0986162876235141</v>
      </c>
      <c r="T910" s="7">
        <v>2.470313457286735</v>
      </c>
    </row>
    <row x14ac:dyDescent="0.25" r="911" customHeight="1" ht="19.5">
      <c r="A911" s="2" t="s">
        <v>1969</v>
      </c>
      <c r="B911" s="2" t="s">
        <v>1060</v>
      </c>
      <c r="C911" s="2" t="s">
        <v>31</v>
      </c>
      <c r="D911" s="2" t="s">
        <v>650</v>
      </c>
      <c r="E911" s="6">
        <v>1</v>
      </c>
      <c r="F911" s="6">
        <v>2</v>
      </c>
      <c r="G911" s="7">
        <v>0.5997215509414673</v>
      </c>
      <c r="H911" s="7">
        <v>45.71877578125</v>
      </c>
      <c r="I911" s="7">
        <v>28.96484214510853</v>
      </c>
      <c r="J911" s="7">
        <v>9.53563651619071</v>
      </c>
      <c r="K911" s="7">
        <v>5.056439385137531</v>
      </c>
      <c r="L911" s="7">
        <v>0.8692076623048456</v>
      </c>
      <c r="M911" s="7">
        <v>0.6847974346655842</v>
      </c>
      <c r="N911" s="7">
        <v>0.6102499437153694</v>
      </c>
      <c r="O911" s="7">
        <v>0.0978887762908909</v>
      </c>
      <c r="P911" s="7">
        <v>7.310513175559653</v>
      </c>
      <c r="Q911" s="7">
        <v>0.017426292385719</v>
      </c>
      <c r="R911" s="7">
        <v>0.0457064348252511</v>
      </c>
      <c r="S911" s="7">
        <v>0.0612836367701241</v>
      </c>
      <c r="T911" s="7">
        <v>0.9246776685362712</v>
      </c>
    </row>
    <row x14ac:dyDescent="0.25" r="912" customHeight="1" ht="19.5">
      <c r="A912" s="2" t="s">
        <v>1970</v>
      </c>
      <c r="B912" s="2" t="s">
        <v>1060</v>
      </c>
      <c r="C912" s="2" t="s">
        <v>31</v>
      </c>
      <c r="D912" s="2" t="s">
        <v>650</v>
      </c>
      <c r="E912" s="6">
        <v>1</v>
      </c>
      <c r="F912" s="6">
        <v>2</v>
      </c>
      <c r="G912" s="7">
        <v>0.7321894764900208</v>
      </c>
      <c r="H912" s="7">
        <v>47.98376171875</v>
      </c>
      <c r="I912" s="7">
        <v>30.58060894932641</v>
      </c>
      <c r="J912" s="7">
        <v>10.57728608539508</v>
      </c>
      <c r="K912" s="7">
        <v>4.855859812714481</v>
      </c>
      <c r="L912" s="7">
        <v>0.9062165492366876</v>
      </c>
      <c r="M912" s="7">
        <v>0.6447805039027088</v>
      </c>
      <c r="N912" s="7">
        <v>0.4837550301619741</v>
      </c>
      <c r="O912" s="7">
        <v>0.0709407908879584</v>
      </c>
      <c r="P912" s="7">
        <v>8.248624762178567</v>
      </c>
      <c r="Q912" s="7">
        <v>0.0257369454722225</v>
      </c>
      <c r="R912" s="7">
        <v>0.0625638422716266</v>
      </c>
      <c r="S912" s="7">
        <v>0.089916676158603</v>
      </c>
      <c r="T912" s="7">
        <v>1.433316413749074</v>
      </c>
    </row>
    <row x14ac:dyDescent="0.25" r="913" customHeight="1" ht="19.5">
      <c r="A913" s="2" t="s">
        <v>1971</v>
      </c>
      <c r="B913" s="2" t="s">
        <v>1060</v>
      </c>
      <c r="C913" s="2" t="s">
        <v>31</v>
      </c>
      <c r="D913" s="2" t="s">
        <v>650</v>
      </c>
      <c r="E913" s="6">
        <v>1</v>
      </c>
      <c r="F913" s="6">
        <v>2</v>
      </c>
      <c r="G913" s="7">
        <v>0.7637197375297546</v>
      </c>
      <c r="H913" s="7">
        <v>47.45734296875001</v>
      </c>
      <c r="I913" s="7">
        <v>29.53559457715551</v>
      </c>
      <c r="J913" s="7">
        <v>10.57475359843202</v>
      </c>
      <c r="K913" s="7">
        <v>4.683999897869509</v>
      </c>
      <c r="L913" s="7">
        <v>0.9067908280192142</v>
      </c>
      <c r="M913" s="7">
        <v>0.6836311563581773</v>
      </c>
      <c r="N913" s="7">
        <v>0.4115250101539924</v>
      </c>
      <c r="O913" s="7">
        <v>0.0609904447111403</v>
      </c>
      <c r="P913" s="7">
        <v>8.616276083150197</v>
      </c>
      <c r="Q913" s="7">
        <v>0.0302404071973099</v>
      </c>
      <c r="R913" s="7">
        <v>0.0691687667698355</v>
      </c>
      <c r="S913" s="7">
        <v>0.1149571816871019</v>
      </c>
      <c r="T913" s="7">
        <v>1.665642655742498</v>
      </c>
    </row>
    <row x14ac:dyDescent="0.25" r="914" customHeight="1" ht="19.5">
      <c r="A914" s="2" t="s">
        <v>1972</v>
      </c>
      <c r="B914" s="2" t="s">
        <v>1060</v>
      </c>
      <c r="C914" s="2" t="s">
        <v>31</v>
      </c>
      <c r="D914" s="2" t="s">
        <v>650</v>
      </c>
      <c r="E914" s="6">
        <v>1</v>
      </c>
      <c r="F914" s="6">
        <v>2</v>
      </c>
      <c r="G914" s="7">
        <v>0.7874284386634827</v>
      </c>
      <c r="H914" s="7">
        <v>47.65821328125001</v>
      </c>
      <c r="I914" s="7">
        <v>29.50112125060076</v>
      </c>
      <c r="J914" s="7">
        <v>10.59210821550599</v>
      </c>
      <c r="K914" s="7">
        <v>4.74823819417929</v>
      </c>
      <c r="L914" s="7">
        <v>0.9047403284645352</v>
      </c>
      <c r="M914" s="7">
        <v>0.6881301322977452</v>
      </c>
      <c r="N914" s="7">
        <v>0.3940231080765541</v>
      </c>
      <c r="O914" s="7">
        <v>0.0593939086860663</v>
      </c>
      <c r="P914" s="7">
        <v>8.772001052993094</v>
      </c>
      <c r="Q914" s="7">
        <v>0.0328812569816076</v>
      </c>
      <c r="R914" s="7">
        <v>0.075517659931994</v>
      </c>
      <c r="S914" s="7">
        <v>0.1327215037301397</v>
      </c>
      <c r="T914" s="7">
        <v>1.818766506781739</v>
      </c>
    </row>
    <row x14ac:dyDescent="0.25" r="915" customHeight="1" ht="19.5">
      <c r="A915" s="2" t="s">
        <v>1973</v>
      </c>
      <c r="B915" s="2" t="s">
        <v>1060</v>
      </c>
      <c r="C915" s="2" t="s">
        <v>31</v>
      </c>
      <c r="D915" s="2" t="s">
        <v>650</v>
      </c>
      <c r="E915" s="6">
        <v>1</v>
      </c>
      <c r="F915" s="6">
        <v>2</v>
      </c>
      <c r="G915" s="7">
        <v>0.7893319725990295</v>
      </c>
      <c r="H915" s="7">
        <v>48.1603890625</v>
      </c>
      <c r="I915" s="7">
        <v>29.57006790371025</v>
      </c>
      <c r="J915" s="7">
        <v>10.56922702297242</v>
      </c>
      <c r="K915" s="7">
        <v>4.724987489151696</v>
      </c>
      <c r="L915" s="7">
        <v>0.9028172769483996</v>
      </c>
      <c r="M915" s="7">
        <v>0.6921420056161195</v>
      </c>
      <c r="N915" s="7">
        <v>0.3639193076854871</v>
      </c>
      <c r="O915" s="7">
        <v>0.0542789939115626</v>
      </c>
      <c r="P915" s="7">
        <v>8.963800866992054</v>
      </c>
      <c r="Q915" s="7">
        <v>0.0344281544607368</v>
      </c>
      <c r="R915" s="7">
        <v>0.0793763899881581</v>
      </c>
      <c r="S915" s="7">
        <v>0.1467398646602082</v>
      </c>
      <c r="T915" s="7">
        <v>1.924396283561756</v>
      </c>
    </row>
    <row x14ac:dyDescent="0.25" r="916" customHeight="1" ht="19.5">
      <c r="A916" s="2" t="s">
        <v>1974</v>
      </c>
      <c r="B916" s="2" t="s">
        <v>1060</v>
      </c>
      <c r="C916" s="2" t="s">
        <v>31</v>
      </c>
      <c r="D916" s="2" t="s">
        <v>650</v>
      </c>
      <c r="E916" s="6">
        <v>1</v>
      </c>
      <c r="F916" s="6">
        <v>2</v>
      </c>
      <c r="G916" s="7">
        <v>0.793606698513031</v>
      </c>
      <c r="H916" s="7">
        <v>47.8556203125</v>
      </c>
      <c r="I916" s="7">
        <v>29.42380996584874</v>
      </c>
      <c r="J916" s="7">
        <v>10.57402282149011</v>
      </c>
      <c r="K916" s="7">
        <v>4.726352669151255</v>
      </c>
      <c r="L916" s="7">
        <v>0.9038247740268944</v>
      </c>
      <c r="M916" s="7">
        <v>0.6946163474686591</v>
      </c>
      <c r="N916" s="7">
        <v>0.359447762686226</v>
      </c>
      <c r="O916" s="7">
        <v>0.0542383374062444</v>
      </c>
      <c r="P916" s="7">
        <v>9.00284180077353</v>
      </c>
      <c r="Q916" s="7">
        <v>0.0352498416985608</v>
      </c>
      <c r="R916" s="7">
        <v>0.0817023169197501</v>
      </c>
      <c r="S916" s="7">
        <v>0.1480839113855261</v>
      </c>
      <c r="T916" s="7">
        <v>1.957856697398848</v>
      </c>
    </row>
    <row x14ac:dyDescent="0.25" r="917" customHeight="1" ht="19.5">
      <c r="A917" s="2" t="s">
        <v>1975</v>
      </c>
      <c r="B917" s="2" t="s">
        <v>1060</v>
      </c>
      <c r="C917" s="2" t="s">
        <v>31</v>
      </c>
      <c r="D917" s="2" t="s">
        <v>650</v>
      </c>
      <c r="E917" s="6">
        <v>1</v>
      </c>
      <c r="F917" s="6">
        <v>2</v>
      </c>
      <c r="G917" s="7">
        <v>0.7978638410568237</v>
      </c>
      <c r="H917" s="7">
        <v>48.12229296875</v>
      </c>
      <c r="I917" s="7">
        <v>29.71632584157178</v>
      </c>
      <c r="J917" s="7">
        <v>10.56644474325538</v>
      </c>
      <c r="K917" s="7">
        <v>4.769722019547338</v>
      </c>
      <c r="L917" s="7">
        <v>0.902028889748627</v>
      </c>
      <c r="M917" s="7">
        <v>0.6848034714735389</v>
      </c>
      <c r="N917" s="7">
        <v>0.3604938690480141</v>
      </c>
      <c r="O917" s="7">
        <v>0.0546274760965387</v>
      </c>
      <c r="P917" s="7">
        <v>9.041407513768071</v>
      </c>
      <c r="Q917" s="7">
        <v>0.0350121313400624</v>
      </c>
      <c r="R917" s="7">
        <v>0.0814784096666374</v>
      </c>
      <c r="S917" s="7">
        <v>0.147043704869753</v>
      </c>
      <c r="T917" s="7">
        <v>1.955490190871782</v>
      </c>
    </row>
    <row x14ac:dyDescent="0.25" r="918" customHeight="1" ht="19.5">
      <c r="A918" s="2" t="s">
        <v>1976</v>
      </c>
      <c r="B918" s="2" t="s">
        <v>1060</v>
      </c>
      <c r="C918" s="2" t="s">
        <v>31</v>
      </c>
      <c r="D918" s="2" t="s">
        <v>650</v>
      </c>
      <c r="E918" s="6">
        <v>1</v>
      </c>
      <c r="F918" s="6">
        <v>2</v>
      </c>
      <c r="G918" s="7">
        <v>0.7932215332984924</v>
      </c>
      <c r="H918" s="7">
        <v>48.17770546875001</v>
      </c>
      <c r="I918" s="7">
        <v>29.73651984872743</v>
      </c>
      <c r="J918" s="7">
        <v>10.57923434961708</v>
      </c>
      <c r="K918" s="7">
        <v>4.750524708010763</v>
      </c>
      <c r="L918" s="7">
        <v>0.9037461385163402</v>
      </c>
      <c r="M918" s="7">
        <v>0.6846611661371471</v>
      </c>
      <c r="N918" s="7">
        <v>0.3552276411551553</v>
      </c>
      <c r="O918" s="7">
        <v>0.0530610692693077</v>
      </c>
      <c r="P918" s="7">
        <v>9.025128422505023</v>
      </c>
      <c r="Q918" s="7">
        <v>0.0346628068311206</v>
      </c>
      <c r="R918" s="7">
        <v>0.0804387761408421</v>
      </c>
      <c r="S918" s="7">
        <v>0.1485071786775419</v>
      </c>
      <c r="T918" s="7">
        <v>1.93820905976044</v>
      </c>
    </row>
    <row x14ac:dyDescent="0.25" r="919" customHeight="1" ht="19.5">
      <c r="A919" s="2" t="s">
        <v>1977</v>
      </c>
      <c r="B919" s="2" t="s">
        <v>1060</v>
      </c>
      <c r="C919" s="2" t="s">
        <v>31</v>
      </c>
      <c r="D919" s="2" t="s">
        <v>650</v>
      </c>
      <c r="E919" s="6">
        <v>1</v>
      </c>
      <c r="F919" s="6">
        <v>2</v>
      </c>
      <c r="G919" s="7">
        <v>0.7952277660369873</v>
      </c>
      <c r="H919" s="7">
        <v>48.01146796875</v>
      </c>
      <c r="I919" s="7">
        <v>29.76507848752561</v>
      </c>
      <c r="J919" s="7">
        <v>10.58827981119899</v>
      </c>
      <c r="K919" s="7">
        <v>4.724202764026705</v>
      </c>
      <c r="L919" s="7">
        <v>0.9043765197560484</v>
      </c>
      <c r="M919" s="7">
        <v>0.6809900787007755</v>
      </c>
      <c r="N919" s="7">
        <v>0.3575620948441705</v>
      </c>
      <c r="O919" s="7">
        <v>0.0531904018971705</v>
      </c>
      <c r="P919" s="7">
        <v>9.03452813995827</v>
      </c>
      <c r="Q919" s="7">
        <v>0.035085735294973</v>
      </c>
      <c r="R919" s="7">
        <v>0.0809671696981596</v>
      </c>
      <c r="S919" s="7">
        <v>0.1474861047581963</v>
      </c>
      <c r="T919" s="7">
        <v>1.955088168219706</v>
      </c>
    </row>
    <row x14ac:dyDescent="0.25" r="920" customHeight="1" ht="19.5">
      <c r="A920" s="2" t="s">
        <v>1978</v>
      </c>
      <c r="B920" s="2" t="s">
        <v>1060</v>
      </c>
      <c r="C920" s="2" t="s">
        <v>31</v>
      </c>
      <c r="D920" s="2" t="s">
        <v>650</v>
      </c>
      <c r="E920" s="6">
        <v>1</v>
      </c>
      <c r="F920" s="6">
        <v>2</v>
      </c>
      <c r="G920" s="7">
        <v>0.8006908297538757</v>
      </c>
      <c r="H920" s="7">
        <v>48.250434375</v>
      </c>
      <c r="I920" s="7">
        <v>29.52131525775642</v>
      </c>
      <c r="J920" s="7">
        <v>10.5792319371127</v>
      </c>
      <c r="K920" s="7">
        <v>4.742099488720065</v>
      </c>
      <c r="L920" s="7">
        <v>0.9029695850446224</v>
      </c>
      <c r="M920" s="7">
        <v>0.6957283268880917</v>
      </c>
      <c r="N920" s="7">
        <v>0.3584511273256588</v>
      </c>
      <c r="O920" s="7">
        <v>0.0530729818208</v>
      </c>
      <c r="P920" s="7">
        <v>9.004170385032351</v>
      </c>
      <c r="Q920" s="7">
        <v>0.0357690557626682</v>
      </c>
      <c r="R920" s="7">
        <v>0.0819669873600789</v>
      </c>
      <c r="S920" s="7">
        <v>0.1485586967391557</v>
      </c>
      <c r="T920" s="7">
        <v>2.003085481770928</v>
      </c>
    </row>
    <row x14ac:dyDescent="0.25" r="921" customHeight="1" ht="19.5">
      <c r="A921" s="2" t="s">
        <v>1979</v>
      </c>
      <c r="B921" s="2" t="s">
        <v>1060</v>
      </c>
      <c r="C921" s="2" t="s">
        <v>31</v>
      </c>
      <c r="D921" s="2" t="s">
        <v>650</v>
      </c>
      <c r="E921" s="6">
        <v>1</v>
      </c>
      <c r="F921" s="6">
        <v>2</v>
      </c>
      <c r="G921" s="7">
        <v>0.8010658025741577</v>
      </c>
      <c r="H921" s="7">
        <v>48.06688046875</v>
      </c>
      <c r="I921" s="7">
        <v>29.81383113347945</v>
      </c>
      <c r="J921" s="7">
        <v>10.56991028964621</v>
      </c>
      <c r="K921" s="7">
        <v>4.734343347765057</v>
      </c>
      <c r="L921" s="7">
        <v>0.902819506139829</v>
      </c>
      <c r="M921" s="7">
        <v>0.6795481380983517</v>
      </c>
      <c r="N921" s="7">
        <v>0.3527377595515755</v>
      </c>
      <c r="O921" s="7">
        <v>0.0540517892667146</v>
      </c>
      <c r="P921" s="7">
        <v>9.064835869193615</v>
      </c>
      <c r="Q921" s="7">
        <v>0.0345991572708724</v>
      </c>
      <c r="R921" s="7">
        <v>0.0810975635305933</v>
      </c>
      <c r="S921" s="7">
        <v>0.1473786667231287</v>
      </c>
      <c r="T921" s="7">
        <v>1.930199675724275</v>
      </c>
    </row>
    <row x14ac:dyDescent="0.25" r="922" customHeight="1" ht="19.5">
      <c r="A922" s="2" t="s">
        <v>1980</v>
      </c>
      <c r="B922" s="2" t="s">
        <v>1060</v>
      </c>
      <c r="C922" s="2" t="s">
        <v>31</v>
      </c>
      <c r="D922" s="2" t="s">
        <v>650</v>
      </c>
      <c r="E922" s="6">
        <v>1</v>
      </c>
      <c r="F922" s="6">
        <v>2</v>
      </c>
      <c r="G922" s="7">
        <v>0.8011994361877441</v>
      </c>
      <c r="H922" s="7">
        <v>47.83484062500001</v>
      </c>
      <c r="I922" s="7">
        <v>29.88277778658894</v>
      </c>
      <c r="J922" s="7">
        <v>10.5826328808675</v>
      </c>
      <c r="K922" s="7">
        <v>4.689067643161347</v>
      </c>
      <c r="L922" s="7">
        <v>0.905040925077734</v>
      </c>
      <c r="M922" s="7">
        <v>0.673150642526988</v>
      </c>
      <c r="N922" s="7">
        <v>0.3547426645956684</v>
      </c>
      <c r="O922" s="7">
        <v>0.0532225947334123</v>
      </c>
      <c r="P922" s="7">
        <v>9.045849399169091</v>
      </c>
      <c r="Q922" s="7">
        <v>0.0353910615868663</v>
      </c>
      <c r="R922" s="7">
        <v>0.0809013766944441</v>
      </c>
      <c r="S922" s="7">
        <v>0.1461564288808849</v>
      </c>
      <c r="T922" s="7">
        <v>1.964846833432632</v>
      </c>
    </row>
    <row x14ac:dyDescent="0.25" r="923" customHeight="1" ht="19.5">
      <c r="A923" s="2" t="s">
        <v>1981</v>
      </c>
      <c r="B923" s="2" t="s">
        <v>1060</v>
      </c>
      <c r="C923" s="2" t="s">
        <v>31</v>
      </c>
      <c r="D923" s="2" t="s">
        <v>650</v>
      </c>
      <c r="E923" s="6">
        <v>1</v>
      </c>
      <c r="F923" s="6">
        <v>2</v>
      </c>
      <c r="G923" s="7">
        <v>0.7990236282348633</v>
      </c>
      <c r="H923" s="7">
        <v>47.71362578125</v>
      </c>
      <c r="I923" s="7">
        <v>29.57006790371026</v>
      </c>
      <c r="J923" s="7">
        <v>10.54720818946012</v>
      </c>
      <c r="K923" s="7">
        <v>4.74334294431817</v>
      </c>
      <c r="L923" s="7">
        <v>0.903667072391618</v>
      </c>
      <c r="M923" s="7">
        <v>0.6857213009760734</v>
      </c>
      <c r="N923" s="7">
        <v>0.3552235935574396</v>
      </c>
      <c r="O923" s="7">
        <v>0.053742468880913</v>
      </c>
      <c r="P923" s="7">
        <v>9.014429211443712</v>
      </c>
      <c r="Q923" s="7">
        <v>0.0354814880981988</v>
      </c>
      <c r="R923" s="7">
        <v>0.0816322419973723</v>
      </c>
      <c r="S923" s="7">
        <v>0.147519901733818</v>
      </c>
      <c r="T923" s="7">
        <v>1.964875448244205</v>
      </c>
    </row>
    <row x14ac:dyDescent="0.25" r="924" customHeight="1" ht="19.5">
      <c r="A924" s="2" t="s">
        <v>1982</v>
      </c>
      <c r="B924" s="2" t="s">
        <v>1060</v>
      </c>
      <c r="C924" s="2" t="s">
        <v>31</v>
      </c>
      <c r="D924" s="2" t="s">
        <v>650</v>
      </c>
      <c r="E924" s="6">
        <v>1</v>
      </c>
      <c r="F924" s="6">
        <v>2</v>
      </c>
      <c r="G924" s="7">
        <v>0.8049812912940979</v>
      </c>
      <c r="H924" s="7">
        <v>48.195021875</v>
      </c>
      <c r="I924" s="7">
        <v>29.66757319561793</v>
      </c>
      <c r="J924" s="7">
        <v>10.530074314338</v>
      </c>
      <c r="K924" s="7">
        <v>4.771765990803031</v>
      </c>
      <c r="L924" s="7">
        <v>0.9014558967096742</v>
      </c>
      <c r="M924" s="7">
        <v>0.6880943640426092</v>
      </c>
      <c r="N924" s="7">
        <v>0.3503362189376953</v>
      </c>
      <c r="O924" s="7">
        <v>0.05300133054918</v>
      </c>
      <c r="P924" s="7">
        <v>9.047408801955886</v>
      </c>
      <c r="Q924" s="7">
        <v>0.0355804064765289</v>
      </c>
      <c r="R924" s="7">
        <v>0.0822890970922019</v>
      </c>
      <c r="S924" s="7">
        <v>0.1480629313061536</v>
      </c>
      <c r="T924" s="7">
        <v>1.990232743524494</v>
      </c>
    </row>
    <row x14ac:dyDescent="0.25" r="925" customHeight="1" ht="19.5">
      <c r="A925" s="2" t="s">
        <v>1983</v>
      </c>
      <c r="B925" s="2" t="s">
        <v>1060</v>
      </c>
      <c r="C925" s="2" t="s">
        <v>31</v>
      </c>
      <c r="D925" s="2" t="s">
        <v>650</v>
      </c>
      <c r="E925" s="6">
        <v>1</v>
      </c>
      <c r="F925" s="6">
        <v>2</v>
      </c>
      <c r="G925" s="7">
        <v>0.7941573858261108</v>
      </c>
      <c r="H925" s="7">
        <v>47.62358046875001</v>
      </c>
      <c r="I925" s="7">
        <v>29.48684193120167</v>
      </c>
      <c r="J925" s="7">
        <v>10.54261839061375</v>
      </c>
      <c r="K925" s="7">
        <v>4.710647808458192</v>
      </c>
      <c r="L925" s="7">
        <v>0.9038327141849616</v>
      </c>
      <c r="M925" s="7">
        <v>0.6882962197953081</v>
      </c>
      <c r="N925" s="7">
        <v>0.3539313055541125</v>
      </c>
      <c r="O925" s="7">
        <v>0.0538385323839053</v>
      </c>
      <c r="P925" s="7">
        <v>9.003825440666734</v>
      </c>
      <c r="Q925" s="7">
        <v>0.0360282165569518</v>
      </c>
      <c r="R925" s="7">
        <v>0.0799516852131361</v>
      </c>
      <c r="S925" s="7">
        <v>0.1469843574163556</v>
      </c>
      <c r="T925" s="7">
        <v>1.991386636058959</v>
      </c>
    </row>
    <row x14ac:dyDescent="0.25" r="926" customHeight="1" ht="19.5">
      <c r="A926" s="2" t="s">
        <v>1984</v>
      </c>
      <c r="B926" s="2" t="s">
        <v>1060</v>
      </c>
      <c r="C926" s="2" t="s">
        <v>31</v>
      </c>
      <c r="D926" s="2" t="s">
        <v>650</v>
      </c>
      <c r="E926" s="6">
        <v>1</v>
      </c>
      <c r="F926" s="6">
        <v>2</v>
      </c>
      <c r="G926" s="7">
        <v>0.7988249659538269</v>
      </c>
      <c r="H926" s="7">
        <v>48.08766015625</v>
      </c>
      <c r="I926" s="7">
        <v>29.53559457715551</v>
      </c>
      <c r="J926" s="7">
        <v>10.5862063871504</v>
      </c>
      <c r="K926" s="7">
        <v>4.718444320832518</v>
      </c>
      <c r="L926" s="7">
        <v>0.9038879931903911</v>
      </c>
      <c r="M926" s="7">
        <v>0.6927109834367141</v>
      </c>
      <c r="N926" s="7">
        <v>0.3557028006320705</v>
      </c>
      <c r="O926" s="7">
        <v>0.0531561397097284</v>
      </c>
      <c r="P926" s="7">
        <v>9.031838658352545</v>
      </c>
      <c r="Q926" s="7">
        <v>0.0359735790876055</v>
      </c>
      <c r="R926" s="7">
        <v>0.0824644298968303</v>
      </c>
      <c r="S926" s="7">
        <v>0.1484735013920537</v>
      </c>
      <c r="T926" s="7">
        <v>2.007742788437075</v>
      </c>
    </row>
    <row x14ac:dyDescent="0.25" r="927" customHeight="1" ht="19.5">
      <c r="A927" s="2" t="s">
        <v>1985</v>
      </c>
      <c r="B927" s="2" t="s">
        <v>1060</v>
      </c>
      <c r="C927" s="2" t="s">
        <v>31</v>
      </c>
      <c r="D927" s="2" t="s">
        <v>650</v>
      </c>
      <c r="E927" s="6">
        <v>1</v>
      </c>
      <c r="F927" s="6">
        <v>2</v>
      </c>
      <c r="G927" s="7">
        <v>0.7940142154693604</v>
      </c>
      <c r="H927" s="7">
        <v>47.7447953125</v>
      </c>
      <c r="I927" s="7">
        <v>29.59862654250844</v>
      </c>
      <c r="J927" s="7">
        <v>10.56324419024129</v>
      </c>
      <c r="K927" s="7">
        <v>4.74272064488403</v>
      </c>
      <c r="L927" s="7">
        <v>0.9035983184087336</v>
      </c>
      <c r="M927" s="7">
        <v>0.6848457763652616</v>
      </c>
      <c r="N927" s="7">
        <v>0.3582091703593129</v>
      </c>
      <c r="O927" s="7">
        <v>0.056424754203468</v>
      </c>
      <c r="P927" s="7">
        <v>9.032043591063136</v>
      </c>
      <c r="Q927" s="7">
        <v>0.0347431865080007</v>
      </c>
      <c r="R927" s="7">
        <v>0.0804524190637118</v>
      </c>
      <c r="S927" s="7">
        <v>0.144479989591769</v>
      </c>
      <c r="T927" s="7">
        <v>1.925247036623689</v>
      </c>
    </row>
    <row x14ac:dyDescent="0.25" r="928" customHeight="1" ht="19.5">
      <c r="A928" s="2" t="s">
        <v>1986</v>
      </c>
      <c r="B928" s="2" t="s">
        <v>1060</v>
      </c>
      <c r="C928" s="2" t="s">
        <v>31</v>
      </c>
      <c r="D928" s="2" t="s">
        <v>650</v>
      </c>
      <c r="E928" s="6">
        <v>1</v>
      </c>
      <c r="F928" s="6">
        <v>2</v>
      </c>
      <c r="G928" s="7">
        <v>0.798622190952301</v>
      </c>
      <c r="H928" s="7">
        <v>47.8209875</v>
      </c>
      <c r="I928" s="7">
        <v>29.53559457715551</v>
      </c>
      <c r="J928" s="7">
        <v>10.57275486919562</v>
      </c>
      <c r="K928" s="7">
        <v>4.722875675979324</v>
      </c>
      <c r="L928" s="7">
        <v>0.903833369144198</v>
      </c>
      <c r="M928" s="7">
        <v>0.6888695181342563</v>
      </c>
      <c r="N928" s="7">
        <v>0.3575609988542021</v>
      </c>
      <c r="O928" s="7">
        <v>0.0540816155648606</v>
      </c>
      <c r="P928" s="7">
        <v>9.007696469110028</v>
      </c>
      <c r="Q928" s="7">
        <v>0.0355987963123052</v>
      </c>
      <c r="R928" s="7">
        <v>0.0807441802962783</v>
      </c>
      <c r="S928" s="7">
        <v>0.1474356240477993</v>
      </c>
      <c r="T928" s="7">
        <v>1.975807518386336</v>
      </c>
    </row>
    <row x14ac:dyDescent="0.25" r="929" customHeight="1" ht="19.5">
      <c r="A929" s="2" t="s">
        <v>1987</v>
      </c>
      <c r="B929" s="2" t="s">
        <v>1060</v>
      </c>
      <c r="C929" s="2" t="s">
        <v>31</v>
      </c>
      <c r="D929" s="2" t="s">
        <v>650</v>
      </c>
      <c r="E929" s="6">
        <v>1</v>
      </c>
      <c r="F929" s="6">
        <v>2</v>
      </c>
      <c r="G929" s="7">
        <v>0.7958911061286926</v>
      </c>
      <c r="H929" s="7">
        <v>47.8209875</v>
      </c>
      <c r="I929" s="7">
        <v>29.50112125060076</v>
      </c>
      <c r="J929" s="7">
        <v>10.53645940670717</v>
      </c>
      <c r="K929" s="7">
        <v>4.728388503221517</v>
      </c>
      <c r="L929" s="7">
        <v>0.9027871554265452</v>
      </c>
      <c r="M929" s="7">
        <v>0.6904804059855582</v>
      </c>
      <c r="N929" s="7">
        <v>0.3533201179608506</v>
      </c>
      <c r="O929" s="7">
        <v>0.0533043675478314</v>
      </c>
      <c r="P929" s="7">
        <v>9.002969083874886</v>
      </c>
      <c r="Q929" s="7">
        <v>0.0362584814090359</v>
      </c>
      <c r="R929" s="7">
        <v>0.0822552968088746</v>
      </c>
      <c r="S929" s="7">
        <v>0.1499342862359413</v>
      </c>
      <c r="T929" s="7">
        <v>2.01242141854333</v>
      </c>
    </row>
    <row x14ac:dyDescent="0.25" r="930" customHeight="1" ht="19.5">
      <c r="A930" s="2" t="s">
        <v>1988</v>
      </c>
      <c r="B930" s="2" t="s">
        <v>1060</v>
      </c>
      <c r="C930" s="2" t="s">
        <v>31</v>
      </c>
      <c r="D930" s="2" t="s">
        <v>650</v>
      </c>
      <c r="E930" s="6">
        <v>1</v>
      </c>
      <c r="F930" s="6">
        <v>2</v>
      </c>
      <c r="G930" s="7">
        <v>0.7903061509132385</v>
      </c>
      <c r="H930" s="7">
        <v>47.543925</v>
      </c>
      <c r="I930" s="7">
        <v>29.53559457715551</v>
      </c>
      <c r="J930" s="7">
        <v>10.55379337309518</v>
      </c>
      <c r="K930" s="7">
        <v>4.710058309592616</v>
      </c>
      <c r="L930" s="7">
        <v>0.904306961017914</v>
      </c>
      <c r="M930" s="7">
        <v>0.684878385352482</v>
      </c>
      <c r="N930" s="7">
        <v>0.3559292806816859</v>
      </c>
      <c r="O930" s="7">
        <v>0.0542122261720951</v>
      </c>
      <c r="P930" s="7">
        <v>9.00728645135328</v>
      </c>
      <c r="Q930" s="7">
        <v>0.0363611143439114</v>
      </c>
      <c r="R930" s="7">
        <v>0.0819938374442481</v>
      </c>
      <c r="S930" s="7">
        <v>0.1480830952877409</v>
      </c>
      <c r="T930" s="7">
        <v>2.006425305545116</v>
      </c>
    </row>
    <row x14ac:dyDescent="0.25" r="931" customHeight="1" ht="19.5">
      <c r="A931" s="2" t="s">
        <v>1989</v>
      </c>
      <c r="B931" s="2" t="s">
        <v>1060</v>
      </c>
      <c r="C931" s="2" t="s">
        <v>31</v>
      </c>
      <c r="D931" s="2" t="s">
        <v>650</v>
      </c>
      <c r="E931" s="6">
        <v>1</v>
      </c>
      <c r="F931" s="6">
        <v>2</v>
      </c>
      <c r="G931" s="7">
        <v>0.7961240410804749</v>
      </c>
      <c r="H931" s="7">
        <v>47.60972734375</v>
      </c>
      <c r="I931" s="7">
        <v>29.35486331273924</v>
      </c>
      <c r="J931" s="7">
        <v>10.54996759620509</v>
      </c>
      <c r="K931" s="7">
        <v>4.708665492731788</v>
      </c>
      <c r="L931" s="7">
        <v>0.9036144972028414</v>
      </c>
      <c r="M931" s="7">
        <v>0.6942972312825859</v>
      </c>
      <c r="N931" s="7">
        <v>0.3560018418980853</v>
      </c>
      <c r="O931" s="7">
        <v>0.0539732512397487</v>
      </c>
      <c r="P931" s="7">
        <v>8.999396382808108</v>
      </c>
      <c r="Q931" s="7">
        <v>0.0366842614328888</v>
      </c>
      <c r="R931" s="7">
        <v>0.0817559725051983</v>
      </c>
      <c r="S931" s="7">
        <v>0.1482114004732297</v>
      </c>
      <c r="T931" s="7">
        <v>2.027058368288819</v>
      </c>
    </row>
    <row x14ac:dyDescent="0.25" r="932" customHeight="1" ht="19.5">
      <c r="A932" s="2" t="s">
        <v>1990</v>
      </c>
      <c r="B932" s="2" t="s">
        <v>1060</v>
      </c>
      <c r="C932" s="2" t="s">
        <v>31</v>
      </c>
      <c r="D932" s="2" t="s">
        <v>650</v>
      </c>
      <c r="E932" s="6">
        <v>1</v>
      </c>
      <c r="F932" s="6">
        <v>2</v>
      </c>
      <c r="G932" s="7">
        <v>0.8047105669975281</v>
      </c>
      <c r="H932" s="7">
        <v>48.18116875</v>
      </c>
      <c r="I932" s="7">
        <v>29.48684193120167</v>
      </c>
      <c r="J932" s="7">
        <v>10.55238143550944</v>
      </c>
      <c r="K932" s="7">
        <v>4.700946721135461</v>
      </c>
      <c r="L932" s="7">
        <v>0.9025318924896</v>
      </c>
      <c r="M932" s="7">
        <v>0.6963549567153171</v>
      </c>
      <c r="N932" s="7">
        <v>0.3539754686444002</v>
      </c>
      <c r="O932" s="7">
        <v>0.0530429999444413</v>
      </c>
      <c r="P932" s="7">
        <v>9.000591630608248</v>
      </c>
      <c r="Q932" s="7">
        <v>0.0356358195244481</v>
      </c>
      <c r="R932" s="7">
        <v>0.0816294367426424</v>
      </c>
      <c r="S932" s="7">
        <v>0.1488140316426426</v>
      </c>
      <c r="T932" s="7">
        <v>1.99275937757914</v>
      </c>
    </row>
    <row x14ac:dyDescent="0.25" r="933" customHeight="1" ht="19.5">
      <c r="A933" s="2" t="s">
        <v>1991</v>
      </c>
      <c r="B933" s="2" t="s">
        <v>1060</v>
      </c>
      <c r="C933" s="2" t="s">
        <v>31</v>
      </c>
      <c r="D933" s="2" t="s">
        <v>650</v>
      </c>
      <c r="E933" s="6">
        <v>1</v>
      </c>
      <c r="F933" s="6">
        <v>2</v>
      </c>
      <c r="G933" s="7">
        <v>0.7954201698303223</v>
      </c>
      <c r="H933" s="7">
        <v>47.92142265625</v>
      </c>
      <c r="I933" s="7">
        <v>29.70204652217268</v>
      </c>
      <c r="J933" s="7">
        <v>10.62133819613166</v>
      </c>
      <c r="K933" s="7">
        <v>4.718710294046213</v>
      </c>
      <c r="L933" s="7">
        <v>0.9056499975783558</v>
      </c>
      <c r="M933" s="7">
        <v>0.682600840408841</v>
      </c>
      <c r="N933" s="7">
        <v>0.3591409427934744</v>
      </c>
      <c r="O933" s="7">
        <v>0.0541246094232815</v>
      </c>
      <c r="P933" s="7">
        <v>9.041675166569744</v>
      </c>
      <c r="Q933" s="7">
        <v>0.0355572486522949</v>
      </c>
      <c r="R933" s="7">
        <v>0.0808523688516827</v>
      </c>
      <c r="S933" s="7">
        <v>0.1453909885175769</v>
      </c>
      <c r="T933" s="7">
        <v>1.97764634709778</v>
      </c>
    </row>
    <row x14ac:dyDescent="0.25" r="934" customHeight="1" ht="19.5">
      <c r="A934" s="2" t="s">
        <v>1992</v>
      </c>
      <c r="B934" s="2" t="s">
        <v>1060</v>
      </c>
      <c r="C934" s="2" t="s">
        <v>31</v>
      </c>
      <c r="D934" s="2" t="s">
        <v>650</v>
      </c>
      <c r="E934" s="6">
        <v>1</v>
      </c>
      <c r="F934" s="6">
        <v>2</v>
      </c>
      <c r="G934" s="7">
        <v>0.7967050075531006</v>
      </c>
      <c r="H934" s="7">
        <v>47.7032359375</v>
      </c>
      <c r="I934" s="7">
        <v>29.59862654250844</v>
      </c>
      <c r="J934" s="7">
        <v>10.57150202353135</v>
      </c>
      <c r="K934" s="7">
        <v>4.712083137190714</v>
      </c>
      <c r="L934" s="7">
        <v>0.9045959427037996</v>
      </c>
      <c r="M934" s="7">
        <v>0.684249653536567</v>
      </c>
      <c r="N934" s="7">
        <v>0.3576757959166736</v>
      </c>
      <c r="O934" s="7">
        <v>0.054312536728126</v>
      </c>
      <c r="P934" s="7">
        <v>9.018414632022145</v>
      </c>
      <c r="Q934" s="7">
        <v>0.0362817146539801</v>
      </c>
      <c r="R934" s="7">
        <v>0.0821395134633092</v>
      </c>
      <c r="S934" s="7">
        <v>0.1472122515427524</v>
      </c>
      <c r="T934" s="7">
        <v>2.008752469863257</v>
      </c>
    </row>
    <row x14ac:dyDescent="0.25" r="935" customHeight="1" ht="19.5">
      <c r="A935" s="2" t="s">
        <v>1993</v>
      </c>
      <c r="B935" s="2" t="s">
        <v>1060</v>
      </c>
      <c r="C935" s="2" t="s">
        <v>31</v>
      </c>
      <c r="D935" s="2" t="s">
        <v>650</v>
      </c>
      <c r="E935" s="6">
        <v>1</v>
      </c>
      <c r="F935" s="6">
        <v>2</v>
      </c>
      <c r="G935" s="7">
        <v>0.7944114804267883</v>
      </c>
      <c r="H935" s="7">
        <v>48.12575625</v>
      </c>
      <c r="I935" s="7">
        <v>29.604541230265</v>
      </c>
      <c r="J935" s="7">
        <v>10.56246060230348</v>
      </c>
      <c r="K935" s="7">
        <v>4.709331111238376</v>
      </c>
      <c r="L935" s="7">
        <v>0.903625170124803</v>
      </c>
      <c r="M935" s="7">
        <v>0.6900344291836585</v>
      </c>
      <c r="N935" s="7">
        <v>0.3714510871816244</v>
      </c>
      <c r="O935" s="7">
        <v>0.0547834604345166</v>
      </c>
      <c r="P935" s="7">
        <v>8.924256928031696</v>
      </c>
      <c r="Q935" s="7">
        <v>0.0353049235406646</v>
      </c>
      <c r="R935" s="7">
        <v>0.0803992979404445</v>
      </c>
      <c r="S935" s="7">
        <v>0.1475748715201294</v>
      </c>
      <c r="T935" s="7">
        <v>1.971985069505045</v>
      </c>
    </row>
    <row x14ac:dyDescent="0.25" r="936" customHeight="1" ht="19.5">
      <c r="A936" s="2" t="s">
        <v>1994</v>
      </c>
      <c r="B936" s="2" t="s">
        <v>1060</v>
      </c>
      <c r="C936" s="2" t="s">
        <v>31</v>
      </c>
      <c r="D936" s="2" t="s">
        <v>650</v>
      </c>
      <c r="E936" s="6">
        <v>1</v>
      </c>
      <c r="F936" s="6">
        <v>2</v>
      </c>
      <c r="G936" s="7">
        <v>0.7240136861801147</v>
      </c>
      <c r="H936" s="7">
        <v>48.91192109375</v>
      </c>
      <c r="I936" s="7">
        <v>30.63318512512618</v>
      </c>
      <c r="J936" s="7">
        <v>10.57645643802121</v>
      </c>
      <c r="K936" s="7">
        <v>4.912379247497169</v>
      </c>
      <c r="L936" s="7">
        <v>0.9012452309588262</v>
      </c>
      <c r="M936" s="7">
        <v>0.6549984523292904</v>
      </c>
      <c r="N936" s="7">
        <v>0.5162849793968937</v>
      </c>
      <c r="O936" s="7">
        <v>0.0736654447252698</v>
      </c>
      <c r="P936" s="7">
        <v>8.06902052708369</v>
      </c>
      <c r="Q936" s="7">
        <v>0.0281188891796426</v>
      </c>
      <c r="R936" s="7">
        <v>0.0629951059773316</v>
      </c>
      <c r="S936" s="7">
        <v>0.0889884236121704</v>
      </c>
      <c r="T936" s="7">
        <v>1.596260110215093</v>
      </c>
    </row>
    <row x14ac:dyDescent="0.25" r="937" customHeight="1" ht="19.5">
      <c r="A937" s="2" t="s">
        <v>1995</v>
      </c>
      <c r="B937" s="2" t="s">
        <v>1060</v>
      </c>
      <c r="C937" s="2" t="s">
        <v>31</v>
      </c>
      <c r="D937" s="2" t="s">
        <v>650</v>
      </c>
      <c r="E937" s="6">
        <v>1</v>
      </c>
      <c r="F937" s="6">
        <v>2</v>
      </c>
      <c r="G937" s="7">
        <v>0.7078772783279419</v>
      </c>
      <c r="H937" s="7">
        <v>44.4616046875</v>
      </c>
      <c r="I937" s="7">
        <v>29.60555603024962</v>
      </c>
      <c r="J937" s="7">
        <v>10.71635434241709</v>
      </c>
      <c r="K937" s="7">
        <v>4.165605518586828</v>
      </c>
      <c r="L937" s="7">
        <v>0.9243769499709112</v>
      </c>
      <c r="M937" s="7">
        <v>0.6374535628501027</v>
      </c>
      <c r="N937" s="7">
        <v>0.5377438135071984</v>
      </c>
      <c r="O937" s="7">
        <v>0.079984821809841</v>
      </c>
      <c r="P937" s="7">
        <v>7.805894685609559</v>
      </c>
      <c r="Q937" s="7">
        <v>0.033868670935605</v>
      </c>
      <c r="R937" s="7">
        <v>0.0636850669198562</v>
      </c>
      <c r="S937" s="7">
        <v>0.0813852405376263</v>
      </c>
      <c r="T937" s="7">
        <v>1.747728899640184</v>
      </c>
    </row>
    <row x14ac:dyDescent="0.25" r="938" customHeight="1" ht="19.5">
      <c r="A938" s="2" t="s">
        <v>1996</v>
      </c>
      <c r="B938" s="2" t="s">
        <v>1060</v>
      </c>
      <c r="C938" s="2" t="s">
        <v>31</v>
      </c>
      <c r="D938" s="2" t="s">
        <v>650</v>
      </c>
      <c r="E938" s="6">
        <v>1</v>
      </c>
      <c r="F938" s="6">
        <v>2</v>
      </c>
      <c r="G938" s="7">
        <v>0.764666736125946</v>
      </c>
      <c r="H938" s="7">
        <v>45.24084296875</v>
      </c>
      <c r="I938" s="7">
        <v>29.73753464871205</v>
      </c>
      <c r="J938" s="7">
        <v>10.70675698984971</v>
      </c>
      <c r="K938" s="7">
        <v>4.200087431823469</v>
      </c>
      <c r="L938" s="7">
        <v>0.9231118313450146</v>
      </c>
      <c r="M938" s="7">
        <v>0.6428810588882509</v>
      </c>
      <c r="N938" s="7">
        <v>0.4803251281404331</v>
      </c>
      <c r="O938" s="7">
        <v>0.0707312942106896</v>
      </c>
      <c r="P938" s="7">
        <v>8.103574341810976</v>
      </c>
      <c r="Q938" s="7">
        <v>0.0399457262895506</v>
      </c>
      <c r="R938" s="7">
        <v>0.0753156311872107</v>
      </c>
      <c r="S938" s="7">
        <v>0.1025995456658297</v>
      </c>
      <c r="T938" s="7">
        <v>2.097450839025976</v>
      </c>
    </row>
    <row x14ac:dyDescent="0.25" r="939" customHeight="1" ht="19.5">
      <c r="A939" s="2" t="s">
        <v>1997</v>
      </c>
      <c r="B939" s="2" t="s">
        <v>1060</v>
      </c>
      <c r="C939" s="2" t="s">
        <v>31</v>
      </c>
      <c r="D939" s="2" t="s">
        <v>650</v>
      </c>
      <c r="E939" s="6">
        <v>1</v>
      </c>
      <c r="F939" s="6">
        <v>2</v>
      </c>
      <c r="G939" s="7">
        <v>0.795298159122467</v>
      </c>
      <c r="H939" s="7">
        <v>44.94300078125</v>
      </c>
      <c r="I939" s="7">
        <v>29.66858799560256</v>
      </c>
      <c r="J939" s="7">
        <v>10.64457574577292</v>
      </c>
      <c r="K939" s="7">
        <v>4.189758853231917</v>
      </c>
      <c r="L939" s="7">
        <v>0.9223040835081144</v>
      </c>
      <c r="M939" s="7">
        <v>0.6416204168441667</v>
      </c>
      <c r="N939" s="7">
        <v>0.437543061904488</v>
      </c>
      <c r="O939" s="7">
        <v>0.064105778149328</v>
      </c>
      <c r="P939" s="7">
        <v>8.351037607779524</v>
      </c>
      <c r="Q939" s="7">
        <v>0.0463251644211284</v>
      </c>
      <c r="R939" s="7">
        <v>0.086788506532476</v>
      </c>
      <c r="S939" s="7">
        <v>0.1294196827046626</v>
      </c>
      <c r="T939" s="7">
        <v>2.416405501220608</v>
      </c>
    </row>
    <row x14ac:dyDescent="0.25" r="940" customHeight="1" ht="19.5">
      <c r="A940" s="2" t="s">
        <v>1998</v>
      </c>
      <c r="B940" s="2" t="s">
        <v>1060</v>
      </c>
      <c r="C940" s="2" t="s">
        <v>31</v>
      </c>
      <c r="D940" s="2" t="s">
        <v>650</v>
      </c>
      <c r="E940" s="6">
        <v>1</v>
      </c>
      <c r="F940" s="6">
        <v>2</v>
      </c>
      <c r="G940" s="7">
        <v>0.7871075868606567</v>
      </c>
      <c r="H940" s="7">
        <v>44.22610156250001</v>
      </c>
      <c r="I940" s="7">
        <v>29.73161996095549</v>
      </c>
      <c r="J940" s="7">
        <v>10.64335903549517</v>
      </c>
      <c r="K940" s="7">
        <v>4.139477818693829</v>
      </c>
      <c r="L940" s="7">
        <v>0.9250631029420308</v>
      </c>
      <c r="M940" s="7">
        <v>0.62871146079392</v>
      </c>
      <c r="N940" s="7">
        <v>0.4136740149914863</v>
      </c>
      <c r="O940" s="7">
        <v>0.0605780065340985</v>
      </c>
      <c r="P940" s="7">
        <v>8.498985605864059</v>
      </c>
      <c r="Q940" s="7">
        <v>0.0487724618258014</v>
      </c>
      <c r="R940" s="7">
        <v>0.0922803714696582</v>
      </c>
      <c r="S940" s="7">
        <v>0.1433820809705405</v>
      </c>
      <c r="T940" s="7">
        <v>2.503479943711957</v>
      </c>
    </row>
    <row x14ac:dyDescent="0.25" r="941" customHeight="1" ht="19.5">
      <c r="A941" s="2" t="s">
        <v>1999</v>
      </c>
      <c r="B941" s="2" t="s">
        <v>1060</v>
      </c>
      <c r="C941" s="2" t="s">
        <v>31</v>
      </c>
      <c r="D941" s="2" t="s">
        <v>650</v>
      </c>
      <c r="E941" s="6">
        <v>1</v>
      </c>
      <c r="F941" s="6">
        <v>2</v>
      </c>
      <c r="G941" s="7">
        <v>0.7688890695571899</v>
      </c>
      <c r="H941" s="7">
        <v>43.955965625</v>
      </c>
      <c r="I941" s="7">
        <v>29.31549009841256</v>
      </c>
      <c r="J941" s="7">
        <v>10.58778383824092</v>
      </c>
      <c r="K941" s="7">
        <v>4.134327168505365</v>
      </c>
      <c r="L941" s="7">
        <v>0.9233057852950054</v>
      </c>
      <c r="M941" s="7">
        <v>0.6427371027761059</v>
      </c>
      <c r="N941" s="7">
        <v>0.4081532568262446</v>
      </c>
      <c r="O941" s="7">
        <v>0.0604014606045493</v>
      </c>
      <c r="P941" s="7">
        <v>8.499311708900695</v>
      </c>
      <c r="Q941" s="7">
        <v>0.0715199627069887</v>
      </c>
      <c r="R941" s="7">
        <v>0.1273908893012489</v>
      </c>
      <c r="S941" s="7">
        <v>0.1776842073547242</v>
      </c>
      <c r="T941" s="7">
        <v>3.64868091028615</v>
      </c>
    </row>
    <row x14ac:dyDescent="0.25" r="942" customHeight="1" ht="19.5">
      <c r="A942" s="2" t="s">
        <v>2000</v>
      </c>
      <c r="B942" s="2" t="s">
        <v>1060</v>
      </c>
      <c r="C942" s="2" t="s">
        <v>31</v>
      </c>
      <c r="D942" s="2" t="s">
        <v>650</v>
      </c>
      <c r="E942" s="6">
        <v>1</v>
      </c>
      <c r="F942" s="6">
        <v>2</v>
      </c>
      <c r="G942" s="7">
        <v>0.7627333998680115</v>
      </c>
      <c r="H942" s="7">
        <v>43.9628921875</v>
      </c>
      <c r="I942" s="7">
        <v>29.57944733533741</v>
      </c>
      <c r="J942" s="7">
        <v>10.64730547952682</v>
      </c>
      <c r="K942" s="7">
        <v>4.13766166668546</v>
      </c>
      <c r="L942" s="7">
        <v>0.9233259111070764</v>
      </c>
      <c r="M942" s="7">
        <v>0.6314166197920092</v>
      </c>
      <c r="N942" s="7">
        <v>0.4113535084635234</v>
      </c>
      <c r="O942" s="7">
        <v>0.0604156517422979</v>
      </c>
      <c r="P942" s="7">
        <v>8.513096150292228</v>
      </c>
      <c r="Q942" s="7">
        <v>0.0716389100000542</v>
      </c>
      <c r="R942" s="7">
        <v>0.1265463051627328</v>
      </c>
      <c r="S942" s="7">
        <v>0.1719692148416013</v>
      </c>
      <c r="T942" s="7">
        <v>3.655325069973809</v>
      </c>
    </row>
    <row x14ac:dyDescent="0.25" r="943" customHeight="1" ht="19.5">
      <c r="A943" s="2" t="s">
        <v>2001</v>
      </c>
      <c r="B943" s="2" t="s">
        <v>1060</v>
      </c>
      <c r="C943" s="2" t="s">
        <v>31</v>
      </c>
      <c r="D943" s="2" t="s">
        <v>650</v>
      </c>
      <c r="E943" s="6">
        <v>1</v>
      </c>
      <c r="F943" s="6">
        <v>2</v>
      </c>
      <c r="G943" s="7">
        <v>0.7939969301223755</v>
      </c>
      <c r="H943" s="7">
        <v>44.23649140625</v>
      </c>
      <c r="I943" s="7">
        <v>29.69714663440073</v>
      </c>
      <c r="J943" s="7">
        <v>10.63718064899915</v>
      </c>
      <c r="K943" s="7">
        <v>4.112614475742228</v>
      </c>
      <c r="L943" s="7">
        <v>0.9248412162419252</v>
      </c>
      <c r="M943" s="7">
        <v>0.6303200052637483</v>
      </c>
      <c r="N943" s="7">
        <v>0.4065529906312694</v>
      </c>
      <c r="O943" s="7">
        <v>0.0597424766683094</v>
      </c>
      <c r="P943" s="7">
        <v>8.547373471769337</v>
      </c>
      <c r="Q943" s="7">
        <v>0.0482670313644544</v>
      </c>
      <c r="R943" s="7">
        <v>0.0960664460078037</v>
      </c>
      <c r="S943" s="7">
        <v>0.1460674171311816</v>
      </c>
      <c r="T943" s="7">
        <v>2.478118343889364</v>
      </c>
    </row>
    <row x14ac:dyDescent="0.25" r="944" customHeight="1" ht="19.5">
      <c r="A944" s="2" t="s">
        <v>2002</v>
      </c>
      <c r="B944" s="2" t="s">
        <v>1060</v>
      </c>
      <c r="C944" s="2" t="s">
        <v>31</v>
      </c>
      <c r="D944" s="2" t="s">
        <v>650</v>
      </c>
      <c r="E944" s="6">
        <v>1</v>
      </c>
      <c r="F944" s="6">
        <v>2</v>
      </c>
      <c r="G944" s="7">
        <v>0.8045167326927185</v>
      </c>
      <c r="H944" s="7">
        <v>44.17415234375</v>
      </c>
      <c r="I944" s="7">
        <v>29.6483939884469</v>
      </c>
      <c r="J944" s="7">
        <v>10.64299244458796</v>
      </c>
      <c r="K944" s="7">
        <v>4.138020182886854</v>
      </c>
      <c r="L944" s="7">
        <v>0.9250897511891712</v>
      </c>
      <c r="M944" s="7">
        <v>0.6315034713237826</v>
      </c>
      <c r="N944" s="7">
        <v>0.4103668974793396</v>
      </c>
      <c r="O944" s="7">
        <v>0.0600860263837804</v>
      </c>
      <c r="P944" s="7">
        <v>8.530726396158613</v>
      </c>
      <c r="Q944" s="7">
        <v>0.048205950122904</v>
      </c>
      <c r="R944" s="7">
        <v>0.0929738476571113</v>
      </c>
      <c r="S944" s="7">
        <v>0.144814150210618</v>
      </c>
      <c r="T944" s="7">
        <v>2.471494519410401</v>
      </c>
    </row>
    <row x14ac:dyDescent="0.25" r="945" customHeight="1" ht="19.5">
      <c r="A945" s="2" t="s">
        <v>2003</v>
      </c>
      <c r="B945" s="2" t="s">
        <v>1060</v>
      </c>
      <c r="C945" s="2" t="s">
        <v>31</v>
      </c>
      <c r="D945" s="2" t="s">
        <v>650</v>
      </c>
      <c r="E945" s="6">
        <v>1</v>
      </c>
      <c r="F945" s="6">
        <v>2</v>
      </c>
      <c r="G945" s="7">
        <v>0.801188051700592</v>
      </c>
      <c r="H945" s="7">
        <v>44.02869453125</v>
      </c>
      <c r="I945" s="7">
        <v>29.69714663440073</v>
      </c>
      <c r="J945" s="7">
        <v>10.64996676799883</v>
      </c>
      <c r="K945" s="7">
        <v>4.167164315037696</v>
      </c>
      <c r="L945" s="7">
        <v>0.9254801505238468</v>
      </c>
      <c r="M945" s="7">
        <v>0.6273591346526292</v>
      </c>
      <c r="N945" s="7">
        <v>0.4108860863267103</v>
      </c>
      <c r="O945" s="7">
        <v>0.0604250544971667</v>
      </c>
      <c r="P945" s="7">
        <v>8.520454803265961</v>
      </c>
      <c r="Q945" s="7">
        <v>0.0471241088555863</v>
      </c>
      <c r="R945" s="7">
        <v>0.0945999750879636</v>
      </c>
      <c r="S945" s="7">
        <v>0.1444398010204909</v>
      </c>
      <c r="T945" s="7">
        <v>2.408073504278426</v>
      </c>
    </row>
    <row x14ac:dyDescent="0.25" r="946" customHeight="1" ht="19.5">
      <c r="A946" s="2" t="s">
        <v>2004</v>
      </c>
      <c r="B946" s="2" t="s">
        <v>1060</v>
      </c>
      <c r="C946" s="2" t="s">
        <v>31</v>
      </c>
      <c r="D946" s="2" t="s">
        <v>650</v>
      </c>
      <c r="E946" s="6">
        <v>1</v>
      </c>
      <c r="F946" s="6">
        <v>2</v>
      </c>
      <c r="G946" s="7">
        <v>0.7905641198158264</v>
      </c>
      <c r="H946" s="7">
        <v>44.10488671875</v>
      </c>
      <c r="I946" s="7">
        <v>29.61392066189216</v>
      </c>
      <c r="J946" s="7">
        <v>10.64993575413182</v>
      </c>
      <c r="K946" s="7">
        <v>4.155223092245079</v>
      </c>
      <c r="L946" s="7">
        <v>0.9251036604763444</v>
      </c>
      <c r="M946" s="7">
        <v>0.6319820712044413</v>
      </c>
      <c r="N946" s="7">
        <v>0.4127997835028463</v>
      </c>
      <c r="O946" s="7">
        <v>0.0602608573612213</v>
      </c>
      <c r="P946" s="7">
        <v>8.517512371786994</v>
      </c>
      <c r="Q946" s="7">
        <v>0.0478103039139458</v>
      </c>
      <c r="R946" s="7">
        <v>0.0932008666563476</v>
      </c>
      <c r="S946" s="7">
        <v>0.1435197494764305</v>
      </c>
      <c r="T946" s="7">
        <v>2.447366411781198</v>
      </c>
    </row>
    <row x14ac:dyDescent="0.25" r="947" customHeight="1" ht="19.5">
      <c r="A947" s="2" t="s">
        <v>2005</v>
      </c>
      <c r="B947" s="2" t="s">
        <v>1060</v>
      </c>
      <c r="C947" s="2" t="s">
        <v>31</v>
      </c>
      <c r="D947" s="2" t="s">
        <v>650</v>
      </c>
      <c r="E947" s="6">
        <v>1</v>
      </c>
      <c r="F947" s="6">
        <v>2</v>
      </c>
      <c r="G947" s="7">
        <v>0.7986138463020325</v>
      </c>
      <c r="H947" s="7">
        <v>44.34731640625</v>
      </c>
      <c r="I947" s="7">
        <v>29.58536202309397</v>
      </c>
      <c r="J947" s="7">
        <v>10.63739455909583</v>
      </c>
      <c r="K947" s="7">
        <v>4.113396060033234</v>
      </c>
      <c r="L947" s="7">
        <v>0.92475826174805</v>
      </c>
      <c r="M947" s="7">
        <v>0.6366832619384662</v>
      </c>
      <c r="N947" s="7">
        <v>0.4121265001573228</v>
      </c>
      <c r="O947" s="7">
        <v>0.0607017656378682</v>
      </c>
      <c r="P947" s="7">
        <v>8.485832658470772</v>
      </c>
      <c r="Q947" s="7">
        <v>0.0474973774823552</v>
      </c>
      <c r="R947" s="7">
        <v>0.0931427484971509</v>
      </c>
      <c r="S947" s="7">
        <v>0.1443068650104582</v>
      </c>
      <c r="T947" s="7">
        <v>2.444712289391513</v>
      </c>
    </row>
    <row x14ac:dyDescent="0.25" r="948" customHeight="1" ht="19.5">
      <c r="A948" s="2" t="s">
        <v>2006</v>
      </c>
      <c r="B948" s="2" t="s">
        <v>1060</v>
      </c>
      <c r="C948" s="2" t="s">
        <v>31</v>
      </c>
      <c r="D948" s="2" t="s">
        <v>650</v>
      </c>
      <c r="E948" s="6">
        <v>1</v>
      </c>
      <c r="F948" s="6">
        <v>2</v>
      </c>
      <c r="G948" s="7">
        <v>0.7922663688659668</v>
      </c>
      <c r="H948" s="7">
        <v>44.343853125</v>
      </c>
      <c r="I948" s="7">
        <v>29.58536202309397</v>
      </c>
      <c r="J948" s="7">
        <v>10.63697120847786</v>
      </c>
      <c r="K948" s="7">
        <v>4.111649452232589</v>
      </c>
      <c r="L948" s="7">
        <v>0.9247119788727702</v>
      </c>
      <c r="M948" s="7">
        <v>0.6366335404810717</v>
      </c>
      <c r="N948" s="7">
        <v>0.4134246289725848</v>
      </c>
      <c r="O948" s="7">
        <v>0.060889774617269</v>
      </c>
      <c r="P948" s="7">
        <v>8.480391873125946</v>
      </c>
      <c r="Q948" s="7">
        <v>0.0491620132074033</v>
      </c>
      <c r="R948" s="7">
        <v>0.091010209369815</v>
      </c>
      <c r="S948" s="7">
        <v>0.1432649284209615</v>
      </c>
      <c r="T948" s="7">
        <v>2.530194260993662</v>
      </c>
    </row>
    <row x14ac:dyDescent="0.25" r="949" customHeight="1" ht="19.5">
      <c r="A949" s="2" t="s">
        <v>2007</v>
      </c>
      <c r="B949" s="2" t="s">
        <v>1060</v>
      </c>
      <c r="C949" s="2" t="s">
        <v>31</v>
      </c>
      <c r="D949" s="2" t="s">
        <v>650</v>
      </c>
      <c r="E949" s="6">
        <v>1</v>
      </c>
      <c r="F949" s="6">
        <v>2</v>
      </c>
      <c r="G949" s="7">
        <v>0.7841234803199768</v>
      </c>
      <c r="H949" s="7">
        <v>44.343853125</v>
      </c>
      <c r="I949" s="7">
        <v>29.56516801593832</v>
      </c>
      <c r="J949" s="7">
        <v>10.64062955781177</v>
      </c>
      <c r="K949" s="7">
        <v>4.120793551997821</v>
      </c>
      <c r="L949" s="7">
        <v>0.924697492930875</v>
      </c>
      <c r="M949" s="7">
        <v>0.6375035218637699</v>
      </c>
      <c r="N949" s="7">
        <v>0.4096057619950508</v>
      </c>
      <c r="O949" s="7">
        <v>0.0606085483812603</v>
      </c>
      <c r="P949" s="7">
        <v>8.49449546905395</v>
      </c>
      <c r="Q949" s="7">
        <v>0.0480943351460545</v>
      </c>
      <c r="R949" s="7">
        <v>0.0931807958853633</v>
      </c>
      <c r="S949" s="7">
        <v>0.146589259498231</v>
      </c>
      <c r="T949" s="7">
        <v>2.475244662163832</v>
      </c>
    </row>
    <row x14ac:dyDescent="0.25" r="950" customHeight="1" ht="19.5">
      <c r="A950" s="2" t="s">
        <v>2008</v>
      </c>
      <c r="B950" s="2" t="s">
        <v>1060</v>
      </c>
      <c r="C950" s="2" t="s">
        <v>31</v>
      </c>
      <c r="D950" s="2" t="s">
        <v>650</v>
      </c>
      <c r="E950" s="6">
        <v>1</v>
      </c>
      <c r="F950" s="6">
        <v>2</v>
      </c>
      <c r="G950" s="7">
        <v>0.7753480076789856</v>
      </c>
      <c r="H950" s="7">
        <v>44.43389843750001</v>
      </c>
      <c r="I950" s="7">
        <v>29.4189100780768</v>
      </c>
      <c r="J950" s="7">
        <v>10.65338334363119</v>
      </c>
      <c r="K950" s="7">
        <v>4.152509747308452</v>
      </c>
      <c r="L950" s="7">
        <v>0.9245165931371392</v>
      </c>
      <c r="M950" s="7">
        <v>0.6451654834521969</v>
      </c>
      <c r="N950" s="7">
        <v>0.4133445571082049</v>
      </c>
      <c r="O950" s="7">
        <v>0.0612305372295734</v>
      </c>
      <c r="P950" s="7">
        <v>8.453479612205225</v>
      </c>
      <c r="Q950" s="7">
        <v>0.0472302384863113</v>
      </c>
      <c r="R950" s="7">
        <v>0.0925433078784382</v>
      </c>
      <c r="S950" s="7">
        <v>0.1432174965988294</v>
      </c>
      <c r="T950" s="7">
        <v>2.43570863972898</v>
      </c>
    </row>
    <row x14ac:dyDescent="0.25" r="951" customHeight="1" ht="19.5">
      <c r="A951" s="2" t="s">
        <v>2009</v>
      </c>
      <c r="B951" s="2" t="s">
        <v>1060</v>
      </c>
      <c r="C951" s="2" t="s">
        <v>31</v>
      </c>
      <c r="D951" s="2" t="s">
        <v>650</v>
      </c>
      <c r="E951" s="6">
        <v>1</v>
      </c>
      <c r="F951" s="6">
        <v>2</v>
      </c>
      <c r="G951" s="7">
        <v>0.7925007939338684</v>
      </c>
      <c r="H951" s="7">
        <v>44.22263828125</v>
      </c>
      <c r="I951" s="7">
        <v>29.51641536998447</v>
      </c>
      <c r="J951" s="7">
        <v>10.64321300293499</v>
      </c>
      <c r="K951" s="7">
        <v>4.131996609017136</v>
      </c>
      <c r="L951" s="7">
        <v>0.924880273073377</v>
      </c>
      <c r="M951" s="7">
        <v>0.637862816216154</v>
      </c>
      <c r="N951" s="7">
        <v>0.4132804760947137</v>
      </c>
      <c r="O951" s="7">
        <v>0.0605696741689663</v>
      </c>
      <c r="P951" s="7">
        <v>8.506497425999957</v>
      </c>
      <c r="Q951" s="7">
        <v>0.0481554253899535</v>
      </c>
      <c r="R951" s="7">
        <v>0.0931830897798132</v>
      </c>
      <c r="S951" s="7">
        <v>0.1424849759485917</v>
      </c>
      <c r="T951" s="7">
        <v>2.471614032941465</v>
      </c>
    </row>
    <row x14ac:dyDescent="0.25" r="952" customHeight="1" ht="19.5">
      <c r="A952" s="2" t="s">
        <v>2010</v>
      </c>
      <c r="B952" s="2" t="s">
        <v>1060</v>
      </c>
      <c r="C952" s="2" t="s">
        <v>31</v>
      </c>
      <c r="D952" s="2" t="s">
        <v>650</v>
      </c>
      <c r="E952" s="6">
        <v>1</v>
      </c>
      <c r="F952" s="6">
        <v>2</v>
      </c>
      <c r="G952" s="7">
        <v>0.7861698865890503</v>
      </c>
      <c r="H952" s="7">
        <v>44.3507796875</v>
      </c>
      <c r="I952" s="7">
        <v>29.68286731500165</v>
      </c>
      <c r="J952" s="7">
        <v>10.6371236838374</v>
      </c>
      <c r="K952" s="7">
        <v>4.111888645088076</v>
      </c>
      <c r="L952" s="7">
        <v>0.9247798446232351</v>
      </c>
      <c r="M952" s="7">
        <v>0.6325566439961248</v>
      </c>
      <c r="N952" s="7">
        <v>0.4113062436812484</v>
      </c>
      <c r="O952" s="7">
        <v>0.06067197570079</v>
      </c>
      <c r="P952" s="7">
        <v>8.49336458362698</v>
      </c>
      <c r="Q952" s="7">
        <v>0.0469041887670464</v>
      </c>
      <c r="R952" s="7">
        <v>0.0922104370596583</v>
      </c>
      <c r="S952" s="7">
        <v>0.1439288390870962</v>
      </c>
      <c r="T952" s="7">
        <v>2.414369122294953</v>
      </c>
    </row>
    <row x14ac:dyDescent="0.25" r="953" customHeight="1" ht="19.5">
      <c r="A953" s="2" t="s">
        <v>2011</v>
      </c>
      <c r="B953" s="2" t="s">
        <v>1060</v>
      </c>
      <c r="C953" s="2" t="s">
        <v>31</v>
      </c>
      <c r="D953" s="2" t="s">
        <v>650</v>
      </c>
      <c r="E953" s="6">
        <v>1</v>
      </c>
      <c r="F953" s="6">
        <v>2</v>
      </c>
      <c r="G953" s="7">
        <v>0.7982277870178223</v>
      </c>
      <c r="H953" s="7">
        <v>44.32653671875001</v>
      </c>
      <c r="I953" s="7">
        <v>29.56516801593831</v>
      </c>
      <c r="J953" s="7">
        <v>10.6395481538728</v>
      </c>
      <c r="K953" s="7">
        <v>4.11804275242514</v>
      </c>
      <c r="L953" s="7">
        <v>0.9246426518289736</v>
      </c>
      <c r="M953" s="7">
        <v>0.6372545748464848</v>
      </c>
      <c r="N953" s="7">
        <v>0.4137809909687477</v>
      </c>
      <c r="O953" s="7">
        <v>0.0609326665188542</v>
      </c>
      <c r="P953" s="7">
        <v>8.486397321108162</v>
      </c>
      <c r="Q953" s="7">
        <v>0.0477847095932828</v>
      </c>
      <c r="R953" s="7">
        <v>0.0922610944557618</v>
      </c>
      <c r="S953" s="7">
        <v>0.1412797574481432</v>
      </c>
      <c r="T953" s="7">
        <v>2.458348966751425</v>
      </c>
    </row>
    <row x14ac:dyDescent="0.25" r="954" customHeight="1" ht="19.5">
      <c r="A954" s="2" t="s">
        <v>2012</v>
      </c>
      <c r="B954" s="2" t="s">
        <v>1060</v>
      </c>
      <c r="C954" s="2" t="s">
        <v>31</v>
      </c>
      <c r="D954" s="2" t="s">
        <v>650</v>
      </c>
      <c r="E954" s="6">
        <v>1</v>
      </c>
      <c r="F954" s="6">
        <v>2</v>
      </c>
      <c r="G954" s="7">
        <v>0.7993206977844238</v>
      </c>
      <c r="H954" s="7">
        <v>44.2676609375</v>
      </c>
      <c r="I954" s="7">
        <v>29.51641536998448</v>
      </c>
      <c r="J954" s="7">
        <v>10.63904250054232</v>
      </c>
      <c r="K954" s="7">
        <v>4.120213827425594</v>
      </c>
      <c r="L954" s="7">
        <v>0.9248391767431507</v>
      </c>
      <c r="M954" s="7">
        <v>0.6385122184098112</v>
      </c>
      <c r="N954" s="7">
        <v>0.4099832037150437</v>
      </c>
      <c r="O954" s="7">
        <v>0.0606548710377223</v>
      </c>
      <c r="P954" s="7">
        <v>8.503434277081938</v>
      </c>
      <c r="Q954" s="7">
        <v>0.0467896504690234</v>
      </c>
      <c r="R954" s="7">
        <v>0.0917355008212179</v>
      </c>
      <c r="S954" s="7">
        <v>0.1440171061684721</v>
      </c>
      <c r="T954" s="7">
        <v>2.403959550349589</v>
      </c>
    </row>
    <row x14ac:dyDescent="0.25" r="955" customHeight="1" ht="19.5">
      <c r="A955" s="2" t="s">
        <v>2013</v>
      </c>
      <c r="B955" s="2" t="s">
        <v>1060</v>
      </c>
      <c r="C955" s="2" t="s">
        <v>31</v>
      </c>
      <c r="D955" s="2" t="s">
        <v>650</v>
      </c>
      <c r="E955" s="6">
        <v>1</v>
      </c>
      <c r="F955" s="6">
        <v>2</v>
      </c>
      <c r="G955" s="7">
        <v>0.8014970421791077</v>
      </c>
      <c r="H955" s="7">
        <v>44.00098828125</v>
      </c>
      <c r="I955" s="7">
        <v>29.73161996095549</v>
      </c>
      <c r="J955" s="7">
        <v>10.65794147306611</v>
      </c>
      <c r="K955" s="7">
        <v>4.179198628902597</v>
      </c>
      <c r="L955" s="7">
        <v>0.92540502030413</v>
      </c>
      <c r="M955" s="7">
        <v>0.6255112849950473</v>
      </c>
      <c r="N955" s="7">
        <v>0.410777093889892</v>
      </c>
      <c r="O955" s="7">
        <v>0.0599639529681018</v>
      </c>
      <c r="P955" s="7">
        <v>8.529104600847983</v>
      </c>
      <c r="Q955" s="7">
        <v>0.0476205727436868</v>
      </c>
      <c r="R955" s="7">
        <v>0.0914671634770828</v>
      </c>
      <c r="S955" s="7">
        <v>0.1421490281270387</v>
      </c>
      <c r="T955" s="7">
        <v>2.431911831173883</v>
      </c>
    </row>
    <row x14ac:dyDescent="0.25" r="956" customHeight="1" ht="19.5">
      <c r="A956" s="2" t="s">
        <v>2014</v>
      </c>
      <c r="B956" s="2" t="s">
        <v>1060</v>
      </c>
      <c r="C956" s="2" t="s">
        <v>31</v>
      </c>
      <c r="D956" s="2" t="s">
        <v>650</v>
      </c>
      <c r="E956" s="6">
        <v>1</v>
      </c>
      <c r="F956" s="6">
        <v>2</v>
      </c>
      <c r="G956" s="7">
        <v>0.7889407277107239</v>
      </c>
      <c r="H956" s="7">
        <v>44.09103359375001</v>
      </c>
      <c r="I956" s="7">
        <v>29.6341146690478</v>
      </c>
      <c r="J956" s="7">
        <v>10.58438387656404</v>
      </c>
      <c r="K956" s="7">
        <v>4.134608615191625</v>
      </c>
      <c r="L956" s="7">
        <v>0.9238990724810624</v>
      </c>
      <c r="M956" s="7">
        <v>0.6309228111748786</v>
      </c>
      <c r="N956" s="7">
        <v>0.418254378298339</v>
      </c>
      <c r="O956" s="7">
        <v>0.0610998755379179</v>
      </c>
      <c r="P956" s="7">
        <v>8.471938806962273</v>
      </c>
      <c r="Q956" s="7">
        <v>0.0499220718157365</v>
      </c>
      <c r="R956" s="7">
        <v>0.0938698681490352</v>
      </c>
      <c r="S956" s="7">
        <v>0.145094756315907</v>
      </c>
      <c r="T956" s="7">
        <v>2.55466325026286</v>
      </c>
    </row>
    <row x14ac:dyDescent="0.25" r="957" customHeight="1" ht="19.5">
      <c r="A957" s="2" t="s">
        <v>2015</v>
      </c>
      <c r="B957" s="2" t="s">
        <v>1060</v>
      </c>
      <c r="C957" s="2" t="s">
        <v>31</v>
      </c>
      <c r="D957" s="2" t="s">
        <v>650</v>
      </c>
      <c r="E957" s="6">
        <v>1</v>
      </c>
      <c r="F957" s="6">
        <v>2</v>
      </c>
      <c r="G957" s="7">
        <v>0.7890399694442749</v>
      </c>
      <c r="H957" s="7">
        <v>43.58539453125</v>
      </c>
      <c r="I957" s="7">
        <v>29.30121077901346</v>
      </c>
      <c r="J957" s="7">
        <v>10.59066602029007</v>
      </c>
      <c r="K957" s="7">
        <v>4.082023631145471</v>
      </c>
      <c r="L957" s="7">
        <v>0.925928402468259</v>
      </c>
      <c r="M957" s="7">
        <v>0.6379398213543477</v>
      </c>
      <c r="N957" s="7">
        <v>0.4169031591386457</v>
      </c>
      <c r="O957" s="7">
        <v>0.061693711268772</v>
      </c>
      <c r="P957" s="7">
        <v>8.43601069701546</v>
      </c>
      <c r="Q957" s="7">
        <v>0.048900332908019</v>
      </c>
      <c r="R957" s="7">
        <v>0.0929897569752876</v>
      </c>
      <c r="S957" s="7">
        <v>0.1444686248059456</v>
      </c>
      <c r="T957" s="7">
        <v>2.473680339506571</v>
      </c>
    </row>
    <row x14ac:dyDescent="0.25" r="958" customHeight="1" ht="19.5">
      <c r="A958" s="2" t="s">
        <v>2016</v>
      </c>
      <c r="B958" s="2" t="s">
        <v>1060</v>
      </c>
      <c r="C958" s="2" t="s">
        <v>31</v>
      </c>
      <c r="D958" s="2" t="s">
        <v>650</v>
      </c>
      <c r="E958" s="6">
        <v>1</v>
      </c>
      <c r="F958" s="6">
        <v>2</v>
      </c>
      <c r="G958" s="7">
        <v>0.7989985346794128</v>
      </c>
      <c r="H958" s="7">
        <v>44.371559375</v>
      </c>
      <c r="I958" s="7">
        <v>29.66858799560256</v>
      </c>
      <c r="J958" s="7">
        <v>10.63876181958302</v>
      </c>
      <c r="K958" s="7">
        <v>4.116027395006093</v>
      </c>
      <c r="L958" s="7">
        <v>0.9247339024022676</v>
      </c>
      <c r="M958" s="7">
        <v>0.6334623395705837</v>
      </c>
      <c r="N958" s="7">
        <v>0.4151827917799127</v>
      </c>
      <c r="O958" s="7">
        <v>0.0609399206111673</v>
      </c>
      <c r="P958" s="7">
        <v>8.482066842422139</v>
      </c>
      <c r="Q958" s="7">
        <v>0.0485642087083011</v>
      </c>
      <c r="R958" s="7">
        <v>0.0923868384727231</v>
      </c>
      <c r="S958" s="7">
        <v>0.1434698645453121</v>
      </c>
      <c r="T958" s="7">
        <v>2.500989040139324</v>
      </c>
    </row>
    <row x14ac:dyDescent="0.25" r="959" customHeight="1" ht="19.5">
      <c r="A959" s="2" t="s">
        <v>2017</v>
      </c>
      <c r="B959" s="2" t="s">
        <v>1060</v>
      </c>
      <c r="C959" s="2" t="s">
        <v>31</v>
      </c>
      <c r="D959" s="2" t="s">
        <v>650</v>
      </c>
      <c r="E959" s="6">
        <v>1</v>
      </c>
      <c r="F959" s="6">
        <v>2</v>
      </c>
      <c r="G959" s="7">
        <v>0.7960240244865417</v>
      </c>
      <c r="H959" s="7">
        <v>44.41311875</v>
      </c>
      <c r="I959" s="7">
        <v>29.53660937714013</v>
      </c>
      <c r="J959" s="7">
        <v>10.64356510306194</v>
      </c>
      <c r="K959" s="7">
        <v>4.128461450500444</v>
      </c>
      <c r="L959" s="7">
        <v>0.924651350196418</v>
      </c>
      <c r="M959" s="7">
        <v>0.6397346234645873</v>
      </c>
      <c r="N959" s="7">
        <v>0.4139514557340362</v>
      </c>
      <c r="O959" s="7">
        <v>0.0611130372416331</v>
      </c>
      <c r="P959" s="7">
        <v>8.467722452714879</v>
      </c>
      <c r="Q959" s="7">
        <v>0.047090496600995</v>
      </c>
      <c r="R959" s="7">
        <v>0.0930321782094855</v>
      </c>
      <c r="S959" s="7">
        <v>0.1427950191976935</v>
      </c>
      <c r="T959" s="7">
        <v>2.427366318320026</v>
      </c>
    </row>
    <row x14ac:dyDescent="0.25" r="960" customHeight="1" ht="19.5">
      <c r="A960" s="2" t="s">
        <v>2018</v>
      </c>
      <c r="B960" s="2" t="s">
        <v>1060</v>
      </c>
      <c r="C960" s="2" t="s">
        <v>31</v>
      </c>
      <c r="D960" s="2" t="s">
        <v>650</v>
      </c>
      <c r="E960" s="6">
        <v>1</v>
      </c>
      <c r="F960" s="6">
        <v>2</v>
      </c>
      <c r="G960" s="7">
        <v>0.7937967777252197</v>
      </c>
      <c r="H960" s="7">
        <v>45.0988484375</v>
      </c>
      <c r="I960" s="7">
        <v>29.76609328751024</v>
      </c>
      <c r="J960" s="7">
        <v>10.71030096436078</v>
      </c>
      <c r="K960" s="7">
        <v>4.209063581263464</v>
      </c>
      <c r="L960" s="7">
        <v>0.9228082986882484</v>
      </c>
      <c r="M960" s="7">
        <v>0.6396341456346576</v>
      </c>
      <c r="N960" s="7">
        <v>0.4462253381505903</v>
      </c>
      <c r="O960" s="7">
        <v>0.0652778578430373</v>
      </c>
      <c r="P960" s="7">
        <v>8.326685505198533</v>
      </c>
      <c r="Q960" s="7">
        <v>0.0440661835340652</v>
      </c>
      <c r="R960" s="7">
        <v>0.0822651337112339</v>
      </c>
      <c r="S960" s="7">
        <v>0.1172977145082299</v>
      </c>
      <c r="T960" s="7">
        <v>2.306543617470812</v>
      </c>
    </row>
    <row x14ac:dyDescent="0.25" r="961" customHeight="1" ht="19.5">
      <c r="A961" s="2" t="s">
        <v>2019</v>
      </c>
      <c r="B961" s="2" t="s">
        <v>1060</v>
      </c>
      <c r="C961" s="2" t="s">
        <v>31</v>
      </c>
      <c r="D961" s="2" t="s">
        <v>650</v>
      </c>
      <c r="E961" s="6">
        <v>1</v>
      </c>
      <c r="F961" s="6">
        <v>2</v>
      </c>
      <c r="G961" s="7">
        <v>0.7286927700042725</v>
      </c>
      <c r="H961" s="7">
        <v>42.85810546875</v>
      </c>
      <c r="I961" s="7">
        <v>29.15495284115194</v>
      </c>
      <c r="J961" s="7">
        <v>10.52105068032999</v>
      </c>
      <c r="K961" s="7">
        <v>3.993199095555601</v>
      </c>
      <c r="L961" s="7">
        <v>0.9275929647654276</v>
      </c>
      <c r="M961" s="7">
        <v>0.6336043448859241</v>
      </c>
      <c r="N961" s="7">
        <v>0.6055194167830806</v>
      </c>
      <c r="O961" s="7">
        <v>0.0883738646678877</v>
      </c>
      <c r="P961" s="7">
        <v>7.508044535431207</v>
      </c>
      <c r="Q961" s="7">
        <v>0.0198225899024388</v>
      </c>
      <c r="R961" s="7">
        <v>0.0360905053708503</v>
      </c>
      <c r="S961" s="7">
        <v>0.0442558843831391</v>
      </c>
      <c r="T961" s="7">
        <v>0.9860164160939988</v>
      </c>
    </row>
    <row x14ac:dyDescent="0.25" r="962" customHeight="1" ht="19.5">
      <c r="A962" s="2" t="s">
        <v>2020</v>
      </c>
      <c r="B962" s="2" t="s">
        <v>1060</v>
      </c>
      <c r="C962" s="2" t="s">
        <v>31</v>
      </c>
      <c r="D962" s="2" t="s">
        <v>650</v>
      </c>
      <c r="E962" s="6">
        <v>1</v>
      </c>
      <c r="F962" s="6">
        <v>2</v>
      </c>
      <c r="G962" s="7">
        <v>0.7854928374290466</v>
      </c>
      <c r="H962" s="7">
        <v>43.93864921875</v>
      </c>
      <c r="I962" s="7">
        <v>29.18351147995013</v>
      </c>
      <c r="J962" s="7">
        <v>10.53083526299708</v>
      </c>
      <c r="K962" s="7">
        <v>4.140573975080411</v>
      </c>
      <c r="L962" s="7">
        <v>0.922777495029355</v>
      </c>
      <c r="M962" s="7">
        <v>0.6483081361373075</v>
      </c>
      <c r="N962" s="7">
        <v>0.5334957620730254</v>
      </c>
      <c r="O962" s="7">
        <v>0.076319346574648</v>
      </c>
      <c r="P962" s="7">
        <v>7.895553951337559</v>
      </c>
      <c r="Q962" s="7">
        <v>0.0241189930659784</v>
      </c>
      <c r="R962" s="7">
        <v>0.0412557208639855</v>
      </c>
      <c r="S962" s="7">
        <v>0.068358808790869</v>
      </c>
      <c r="T962" s="7">
        <v>1.229976047943717</v>
      </c>
    </row>
    <row x14ac:dyDescent="0.25" r="963" customHeight="1" ht="19.5">
      <c r="A963" s="2" t="s">
        <v>2021</v>
      </c>
      <c r="B963" s="2" t="s">
        <v>1060</v>
      </c>
      <c r="C963" s="2" t="s">
        <v>31</v>
      </c>
      <c r="D963" s="2" t="s">
        <v>650</v>
      </c>
      <c r="E963" s="6">
        <v>1</v>
      </c>
      <c r="F963" s="6">
        <v>2</v>
      </c>
      <c r="G963" s="7">
        <v>0.7831660509109497</v>
      </c>
      <c r="H963" s="7">
        <v>43.7204625</v>
      </c>
      <c r="I963" s="7">
        <v>29.08009150028589</v>
      </c>
      <c r="J963" s="7">
        <v>10.4781449828316</v>
      </c>
      <c r="K963" s="7">
        <v>4.151059574786029</v>
      </c>
      <c r="L963" s="7">
        <v>0.9221356183325154</v>
      </c>
      <c r="M963" s="7">
        <v>0.6496853505181381</v>
      </c>
      <c r="N963" s="7">
        <v>0.4958667497031069</v>
      </c>
      <c r="O963" s="7">
        <v>0.0711845840526217</v>
      </c>
      <c r="P963" s="7">
        <v>8.068382809677145</v>
      </c>
      <c r="Q963" s="7">
        <v>0.0285124520303687</v>
      </c>
      <c r="R963" s="7">
        <v>0.0479075626644489</v>
      </c>
      <c r="S963" s="7">
        <v>0.0816193284622294</v>
      </c>
      <c r="T963" s="7">
        <v>1.446805313949813</v>
      </c>
    </row>
    <row x14ac:dyDescent="0.25" r="964" customHeight="1" ht="19.5">
      <c r="A964" s="2" t="s">
        <v>2022</v>
      </c>
      <c r="B964" s="2" t="s">
        <v>1060</v>
      </c>
      <c r="C964" s="2" t="s">
        <v>31</v>
      </c>
      <c r="D964" s="2" t="s">
        <v>650</v>
      </c>
      <c r="E964" s="6">
        <v>1</v>
      </c>
      <c r="F964" s="6">
        <v>2</v>
      </c>
      <c r="G964" s="7">
        <v>0.7508106827735901</v>
      </c>
      <c r="H964" s="7">
        <v>43.58539453125</v>
      </c>
      <c r="I964" s="7">
        <v>29.26673745245872</v>
      </c>
      <c r="J964" s="7">
        <v>10.64944648341958</v>
      </c>
      <c r="K964" s="7">
        <v>4.090160637722716</v>
      </c>
      <c r="L964" s="7">
        <v>0.9259135276589155</v>
      </c>
      <c r="M964" s="7">
        <v>0.6391895168001464</v>
      </c>
      <c r="N964" s="7">
        <v>0.4651110423290245</v>
      </c>
      <c r="O964" s="7">
        <v>0.0673383566372261</v>
      </c>
      <c r="P964" s="7">
        <v>8.25644233973499</v>
      </c>
      <c r="Q964" s="7">
        <v>0.035741407875978</v>
      </c>
      <c r="R964" s="7">
        <v>0.0612989352526498</v>
      </c>
      <c r="S964" s="7">
        <v>0.0948510648884079</v>
      </c>
      <c r="T964" s="7">
        <v>1.808020778414651</v>
      </c>
    </row>
    <row x14ac:dyDescent="0.25" r="965" customHeight="1" ht="19.5">
      <c r="A965" s="2" t="s">
        <v>2023</v>
      </c>
      <c r="B965" s="2" t="s">
        <v>1060</v>
      </c>
      <c r="C965" s="2" t="s">
        <v>31</v>
      </c>
      <c r="D965" s="2" t="s">
        <v>650</v>
      </c>
      <c r="E965" s="6">
        <v>1</v>
      </c>
      <c r="F965" s="6">
        <v>2</v>
      </c>
      <c r="G965" s="7">
        <v>0.7531689405441284</v>
      </c>
      <c r="H965" s="7">
        <v>43.50573906250001</v>
      </c>
      <c r="I965" s="7">
        <v>29.53870053505076</v>
      </c>
      <c r="J965" s="7">
        <v>10.58285993892654</v>
      </c>
      <c r="K965" s="7">
        <v>4.061937407460485</v>
      </c>
      <c r="L965" s="7">
        <v>0.9256052386669944</v>
      </c>
      <c r="M965" s="7">
        <v>0.6265758369209764</v>
      </c>
      <c r="N965" s="7">
        <v>0.4539855523790526</v>
      </c>
      <c r="O965" s="7">
        <v>0.0666086820667717</v>
      </c>
      <c r="P965" s="7">
        <v>8.286155918128614</v>
      </c>
      <c r="Q965" s="7">
        <v>0.0385822326320096</v>
      </c>
      <c r="R965" s="7">
        <v>0.0682088230784759</v>
      </c>
      <c r="S965" s="7">
        <v>0.1005910290564716</v>
      </c>
      <c r="T965" s="7">
        <v>1.948160287039161</v>
      </c>
    </row>
    <row x14ac:dyDescent="0.25" r="966" customHeight="1" ht="19.5">
      <c r="A966" s="2" t="s">
        <v>2024</v>
      </c>
      <c r="B966" s="2" t="s">
        <v>1060</v>
      </c>
      <c r="C966" s="2" t="s">
        <v>31</v>
      </c>
      <c r="D966" s="2" t="s">
        <v>650</v>
      </c>
      <c r="E966" s="6">
        <v>1</v>
      </c>
      <c r="F966" s="6">
        <v>2</v>
      </c>
      <c r="G966" s="7">
        <v>0.7702329754829407</v>
      </c>
      <c r="H966" s="7">
        <v>43.31525859375</v>
      </c>
      <c r="I966" s="7">
        <v>29.09437081968498</v>
      </c>
      <c r="J966" s="7">
        <v>10.6431797827012</v>
      </c>
      <c r="K966" s="7">
        <v>4.070814318503034</v>
      </c>
      <c r="L966" s="7">
        <v>0.9253664094372278</v>
      </c>
      <c r="M966" s="7">
        <v>0.6430323703523184</v>
      </c>
      <c r="N966" s="7">
        <v>0.4516109353309739</v>
      </c>
      <c r="O966" s="7">
        <v>0.0656235771243219</v>
      </c>
      <c r="P966" s="7">
        <v>8.33553971157291</v>
      </c>
      <c r="Q966" s="7">
        <v>0.0415915911107981</v>
      </c>
      <c r="R966" s="7">
        <v>0.0697631390189075</v>
      </c>
      <c r="S966" s="7">
        <v>0.1013358276580173</v>
      </c>
      <c r="T966" s="7">
        <v>2.090919083791792</v>
      </c>
    </row>
    <row x14ac:dyDescent="0.25" r="967" customHeight="1" ht="19.5">
      <c r="A967" s="2" t="s">
        <v>2025</v>
      </c>
      <c r="B967" s="2" t="s">
        <v>1060</v>
      </c>
      <c r="C967" s="2" t="s">
        <v>31</v>
      </c>
      <c r="D967" s="2" t="s">
        <v>650</v>
      </c>
      <c r="E967" s="6">
        <v>1</v>
      </c>
      <c r="F967" s="6">
        <v>2</v>
      </c>
      <c r="G967" s="7">
        <v>0.7657637596130371</v>
      </c>
      <c r="H967" s="7">
        <v>43.50227578125001</v>
      </c>
      <c r="I967" s="7">
        <v>29.26673745245872</v>
      </c>
      <c r="J967" s="7">
        <v>10.58823382595284</v>
      </c>
      <c r="K967" s="7">
        <v>4.0792076014726</v>
      </c>
      <c r="L967" s="7">
        <v>0.925541778789868</v>
      </c>
      <c r="M967" s="7">
        <v>0.6379700773404321</v>
      </c>
      <c r="N967" s="7">
        <v>0.4509643292087884</v>
      </c>
      <c r="O967" s="7">
        <v>0.0661313363362276</v>
      </c>
      <c r="P967" s="7">
        <v>8.307424853440603</v>
      </c>
      <c r="Q967" s="7">
        <v>0.0424771766621245</v>
      </c>
      <c r="R967" s="7">
        <v>0.0713912252051114</v>
      </c>
      <c r="S967" s="7">
        <v>0.1045355573633371</v>
      </c>
      <c r="T967" s="7">
        <v>2.144659744138867</v>
      </c>
    </row>
    <row x14ac:dyDescent="0.25" r="968" customHeight="1" ht="19.5">
      <c r="A968" s="2" t="s">
        <v>2026</v>
      </c>
      <c r="B968" s="2" t="s">
        <v>1060</v>
      </c>
      <c r="C968" s="2" t="s">
        <v>31</v>
      </c>
      <c r="D968" s="2" t="s">
        <v>650</v>
      </c>
      <c r="E968" s="6">
        <v>1</v>
      </c>
      <c r="F968" s="6">
        <v>2</v>
      </c>
      <c r="G968" s="7">
        <v>0.7671088576316833</v>
      </c>
      <c r="H968" s="7">
        <v>43.42608359375</v>
      </c>
      <c r="I968" s="7">
        <v>29.24654344530306</v>
      </c>
      <c r="J968" s="7">
        <v>10.6476859602626</v>
      </c>
      <c r="K968" s="7">
        <v>4.083614577146023</v>
      </c>
      <c r="L968" s="7">
        <v>0.925528758787913</v>
      </c>
      <c r="M968" s="7">
        <v>0.637986423425928</v>
      </c>
      <c r="N968" s="7">
        <v>0.4467538648143165</v>
      </c>
      <c r="O968" s="7">
        <v>0.0657932902349917</v>
      </c>
      <c r="P968" s="7">
        <v>8.334853056641508</v>
      </c>
      <c r="Q968" s="7">
        <v>0.0405530579346455</v>
      </c>
      <c r="R968" s="7">
        <v>0.0702010608502468</v>
      </c>
      <c r="S968" s="7">
        <v>0.1017390640894745</v>
      </c>
      <c r="T968" s="7">
        <v>2.043925454075013</v>
      </c>
    </row>
    <row x14ac:dyDescent="0.25" r="969" customHeight="1" ht="19.5">
      <c r="A969" s="2" t="s">
        <v>2027</v>
      </c>
      <c r="B969" s="2" t="s">
        <v>1060</v>
      </c>
      <c r="C969" s="2" t="s">
        <v>31</v>
      </c>
      <c r="D969" s="2" t="s">
        <v>650</v>
      </c>
      <c r="E969" s="6">
        <v>1</v>
      </c>
      <c r="F969" s="6">
        <v>2</v>
      </c>
      <c r="G969" s="7">
        <v>0.7742241621017456</v>
      </c>
      <c r="H969" s="7">
        <v>43.41569375</v>
      </c>
      <c r="I969" s="7">
        <v>29.23226412590397</v>
      </c>
      <c r="J969" s="7">
        <v>10.64937768115597</v>
      </c>
      <c r="K969" s="7">
        <v>4.089948882490056</v>
      </c>
      <c r="L969" s="7">
        <v>0.9254123934362736</v>
      </c>
      <c r="M969" s="7">
        <v>0.6384570707226722</v>
      </c>
      <c r="N969" s="7">
        <v>0.4524656785806522</v>
      </c>
      <c r="O969" s="7">
        <v>0.066002754365181</v>
      </c>
      <c r="P969" s="7">
        <v>8.326643963615753</v>
      </c>
      <c r="Q969" s="7">
        <v>0.0410749769327012</v>
      </c>
      <c r="R969" s="7">
        <v>0.0704778156587338</v>
      </c>
      <c r="S969" s="7">
        <v>0.1048321368029387</v>
      </c>
      <c r="T969" s="7">
        <v>2.069735522216777</v>
      </c>
    </row>
    <row x14ac:dyDescent="0.25" r="970" customHeight="1" ht="19.5">
      <c r="A970" s="2" t="s">
        <v>2028</v>
      </c>
      <c r="B970" s="2" t="s">
        <v>1060</v>
      </c>
      <c r="C970" s="2" t="s">
        <v>31</v>
      </c>
      <c r="D970" s="2" t="s">
        <v>650</v>
      </c>
      <c r="E970" s="6">
        <v>1</v>
      </c>
      <c r="F970" s="6">
        <v>2</v>
      </c>
      <c r="G970" s="7">
        <v>0.7651422023773193</v>
      </c>
      <c r="H970" s="7">
        <v>42.8684953125</v>
      </c>
      <c r="I970" s="7">
        <v>29.10028550744154</v>
      </c>
      <c r="J970" s="7">
        <v>10.58531351123859</v>
      </c>
      <c r="K970" s="7">
        <v>4.012243965032273</v>
      </c>
      <c r="L970" s="7">
        <v>0.9278867768073922</v>
      </c>
      <c r="M970" s="7">
        <v>0.6361413177237849</v>
      </c>
      <c r="N970" s="7">
        <v>0.4517709381275538</v>
      </c>
      <c r="O970" s="7">
        <v>0.0663742393646178</v>
      </c>
      <c r="P970" s="7">
        <v>8.286671867573173</v>
      </c>
      <c r="Q970" s="7">
        <v>0.0306229415808063</v>
      </c>
      <c r="R970" s="7">
        <v>0.0562338936485563</v>
      </c>
      <c r="S970" s="7">
        <v>0.0918719421570872</v>
      </c>
      <c r="T970" s="7">
        <v>1.52361740767897</v>
      </c>
    </row>
    <row x14ac:dyDescent="0.25" r="971" customHeight="1" ht="19.5">
      <c r="A971" s="2" t="s">
        <v>2029</v>
      </c>
      <c r="B971" s="2" t="s">
        <v>1060</v>
      </c>
      <c r="C971" s="2" t="s">
        <v>31</v>
      </c>
      <c r="D971" s="2" t="s">
        <v>650</v>
      </c>
      <c r="E971" s="6">
        <v>1</v>
      </c>
      <c r="F971" s="6">
        <v>2</v>
      </c>
      <c r="G971" s="7">
        <v>0.7588723301887512</v>
      </c>
      <c r="H971" s="7">
        <v>43.512665625</v>
      </c>
      <c r="I971" s="7">
        <v>29.44746871687498</v>
      </c>
      <c r="J971" s="7">
        <v>10.64732534574168</v>
      </c>
      <c r="K971" s="7">
        <v>4.083434907565588</v>
      </c>
      <c r="L971" s="7">
        <v>0.9257127623165974</v>
      </c>
      <c r="M971" s="7">
        <v>0.6305646428196999</v>
      </c>
      <c r="N971" s="7">
        <v>0.4533041048575444</v>
      </c>
      <c r="O971" s="7">
        <v>0.0660753871831517</v>
      </c>
      <c r="P971" s="7">
        <v>8.319386879912834</v>
      </c>
      <c r="Q971" s="7">
        <v>0.0390967928612865</v>
      </c>
      <c r="R971" s="7">
        <v>0.0675489630433905</v>
      </c>
      <c r="S971" s="7">
        <v>0.0989025958705015</v>
      </c>
      <c r="T971" s="7">
        <v>1.974456648814308</v>
      </c>
    </row>
    <row x14ac:dyDescent="0.25" r="972" customHeight="1" ht="19.5">
      <c r="A972" s="2" t="s">
        <v>2030</v>
      </c>
      <c r="B972" s="2" t="s">
        <v>1060</v>
      </c>
      <c r="C972" s="2" t="s">
        <v>31</v>
      </c>
      <c r="D972" s="2" t="s">
        <v>650</v>
      </c>
      <c r="E972" s="6">
        <v>1</v>
      </c>
      <c r="F972" s="6">
        <v>2</v>
      </c>
      <c r="G972" s="7">
        <v>0.7697085738182068</v>
      </c>
      <c r="H972" s="7">
        <v>43.55768828125</v>
      </c>
      <c r="I972" s="7">
        <v>29.31549009841256</v>
      </c>
      <c r="J972" s="7">
        <v>10.65555391618375</v>
      </c>
      <c r="K972" s="7">
        <v>4.10768462027484</v>
      </c>
      <c r="L972" s="7">
        <v>0.9259777401442596</v>
      </c>
      <c r="M972" s="7">
        <v>0.6369133739060103</v>
      </c>
      <c r="N972" s="7">
        <v>0.4506244948926226</v>
      </c>
      <c r="O972" s="7">
        <v>0.0659347217605889</v>
      </c>
      <c r="P972" s="7">
        <v>8.324709100161767</v>
      </c>
      <c r="Q972" s="7">
        <v>0.0381840053393558</v>
      </c>
      <c r="R972" s="7">
        <v>0.0669113615646218</v>
      </c>
      <c r="S972" s="7">
        <v>0.0994074368844075</v>
      </c>
      <c r="T972" s="7">
        <v>1.930354554970092</v>
      </c>
    </row>
    <row x14ac:dyDescent="0.25" r="973" customHeight="1" ht="19.5">
      <c r="A973" s="2" t="s">
        <v>2031</v>
      </c>
      <c r="B973" s="2" t="s">
        <v>1060</v>
      </c>
      <c r="C973" s="2" t="s">
        <v>31</v>
      </c>
      <c r="D973" s="2" t="s">
        <v>650</v>
      </c>
      <c r="E973" s="6">
        <v>1</v>
      </c>
      <c r="F973" s="6">
        <v>2</v>
      </c>
      <c r="G973" s="7">
        <v>0.7649248242378235</v>
      </c>
      <c r="H973" s="7">
        <v>42.81654609375001</v>
      </c>
      <c r="I973" s="7">
        <v>28.9968655277773</v>
      </c>
      <c r="J973" s="7">
        <v>10.58625365844125</v>
      </c>
      <c r="K973" s="7">
        <v>4.014882813747837</v>
      </c>
      <c r="L973" s="7">
        <v>0.9277878375118974</v>
      </c>
      <c r="M973" s="7">
        <v>0.6399107202517108</v>
      </c>
      <c r="N973" s="7">
        <v>0.4517432720065594</v>
      </c>
      <c r="O973" s="7">
        <v>0.0660297250084981</v>
      </c>
      <c r="P973" s="7">
        <v>8.30087809813625</v>
      </c>
      <c r="Q973" s="7">
        <v>0.0275605219268804</v>
      </c>
      <c r="R973" s="7">
        <v>0.0536637981631302</v>
      </c>
      <c r="S973" s="7">
        <v>0.0880243189563724</v>
      </c>
      <c r="T973" s="7">
        <v>1.369587705304099</v>
      </c>
    </row>
    <row x14ac:dyDescent="0.25" r="974" customHeight="1" ht="19.5">
      <c r="A974" s="2" t="s">
        <v>2032</v>
      </c>
      <c r="B974" s="2" t="s">
        <v>1060</v>
      </c>
      <c r="C974" s="2" t="s">
        <v>31</v>
      </c>
      <c r="D974" s="2" t="s">
        <v>650</v>
      </c>
      <c r="E974" s="6">
        <v>1</v>
      </c>
      <c r="F974" s="6">
        <v>2</v>
      </c>
      <c r="G974" s="7">
        <v>0.7693777680397034</v>
      </c>
      <c r="H974" s="7">
        <v>43.4641796875</v>
      </c>
      <c r="I974" s="7">
        <v>29.12884414623973</v>
      </c>
      <c r="J974" s="7">
        <v>10.64560484581528</v>
      </c>
      <c r="K974" s="7">
        <v>4.077744493715223</v>
      </c>
      <c r="L974" s="7">
        <v>0.9259393253135786</v>
      </c>
      <c r="M974" s="7">
        <v>0.6437168060948428</v>
      </c>
      <c r="N974" s="7">
        <v>0.4507932430445394</v>
      </c>
      <c r="O974" s="7">
        <v>0.0659038696894043</v>
      </c>
      <c r="P974" s="7">
        <v>8.329233396330828</v>
      </c>
      <c r="Q974" s="7">
        <v>0.0391895357580376</v>
      </c>
      <c r="R974" s="7">
        <v>0.0676045301071161</v>
      </c>
      <c r="S974" s="7">
        <v>0.0989216509340275</v>
      </c>
      <c r="T974" s="7">
        <v>1.976934982054138</v>
      </c>
    </row>
    <row x14ac:dyDescent="0.25" r="975" customHeight="1" ht="19.5">
      <c r="A975" s="2" t="s">
        <v>2033</v>
      </c>
      <c r="B975" s="2" t="s">
        <v>1060</v>
      </c>
      <c r="C975" s="2" t="s">
        <v>31</v>
      </c>
      <c r="D975" s="2" t="s">
        <v>650</v>
      </c>
      <c r="E975" s="6">
        <v>1</v>
      </c>
      <c r="F975" s="6">
        <v>2</v>
      </c>
      <c r="G975" s="7">
        <v>0.7539951801300049</v>
      </c>
      <c r="H975" s="7">
        <v>43.50573906250001</v>
      </c>
      <c r="I975" s="7">
        <v>29.28101677185781</v>
      </c>
      <c r="J975" s="7">
        <v>10.65203390891074</v>
      </c>
      <c r="K975" s="7">
        <v>4.098707983547863</v>
      </c>
      <c r="L975" s="7">
        <v>0.9258433349965906</v>
      </c>
      <c r="M975" s="7">
        <v>0.6376525606367147</v>
      </c>
      <c r="N975" s="7">
        <v>0.4475699943426603</v>
      </c>
      <c r="O975" s="7">
        <v>0.0652751397240356</v>
      </c>
      <c r="P975" s="7">
        <v>8.340812612361345</v>
      </c>
      <c r="Q975" s="7">
        <v>0.0364522870944989</v>
      </c>
      <c r="R975" s="7">
        <v>0.064568626590309</v>
      </c>
      <c r="S975" s="7">
        <v>0.0969554655714776</v>
      </c>
      <c r="T975" s="7">
        <v>1.840611422531722</v>
      </c>
    </row>
    <row x14ac:dyDescent="0.25" r="976" customHeight="1" ht="19.5">
      <c r="A976" s="2" t="s">
        <v>2034</v>
      </c>
      <c r="B976" s="2" t="s">
        <v>1060</v>
      </c>
      <c r="C976" s="2" t="s">
        <v>31</v>
      </c>
      <c r="D976" s="2" t="s">
        <v>650</v>
      </c>
      <c r="E976" s="6">
        <v>1</v>
      </c>
      <c r="F976" s="6">
        <v>2</v>
      </c>
      <c r="G976" s="7">
        <v>0.7557722330093384</v>
      </c>
      <c r="H976" s="7">
        <v>42.9793203125</v>
      </c>
      <c r="I976" s="7">
        <v>29.44119524314308</v>
      </c>
      <c r="J976" s="7">
        <v>10.58071013132676</v>
      </c>
      <c r="K976" s="7">
        <v>3.997887651977228</v>
      </c>
      <c r="L976" s="7">
        <v>0.9280441636455826</v>
      </c>
      <c r="M976" s="7">
        <v>0.6231011208289109</v>
      </c>
      <c r="N976" s="7">
        <v>0.4522709525794649</v>
      </c>
      <c r="O976" s="7">
        <v>0.0666540132194557</v>
      </c>
      <c r="P976" s="7">
        <v>8.274749552562643</v>
      </c>
      <c r="Q976" s="7">
        <v>0.0288315926076296</v>
      </c>
      <c r="R976" s="7">
        <v>0.0544662859596835</v>
      </c>
      <c r="S976" s="7">
        <v>0.0905067234054026</v>
      </c>
      <c r="T976" s="7">
        <v>1.438198912246591</v>
      </c>
    </row>
    <row x14ac:dyDescent="0.25" r="977" customHeight="1" ht="19.5">
      <c r="A977" s="2" t="s">
        <v>2035</v>
      </c>
      <c r="B977" s="2" t="s">
        <v>1060</v>
      </c>
      <c r="C977" s="2" t="s">
        <v>31</v>
      </c>
      <c r="D977" s="2" t="s">
        <v>650</v>
      </c>
      <c r="E977" s="6">
        <v>1</v>
      </c>
      <c r="F977" s="6">
        <v>2</v>
      </c>
      <c r="G977" s="7">
        <v>0.7570410966873169</v>
      </c>
      <c r="H977" s="7">
        <v>43.32911171875</v>
      </c>
      <c r="I977" s="7">
        <v>28.99095084002074</v>
      </c>
      <c r="J977" s="7">
        <v>10.65157568036113</v>
      </c>
      <c r="K977" s="7">
        <v>4.096245407050503</v>
      </c>
      <c r="L977" s="7">
        <v>0.9255300837107784</v>
      </c>
      <c r="M977" s="7">
        <v>0.6478354821409529</v>
      </c>
      <c r="N977" s="7">
        <v>0.4499979907156546</v>
      </c>
      <c r="O977" s="7">
        <v>0.0653157558853182</v>
      </c>
      <c r="P977" s="7">
        <v>8.346725742820059</v>
      </c>
      <c r="Q977" s="7">
        <v>0.0394782100880892</v>
      </c>
      <c r="R977" s="7">
        <v>0.0677238045552448</v>
      </c>
      <c r="S977" s="7">
        <v>0.0999001882506462</v>
      </c>
      <c r="T977" s="7">
        <v>1.9853085807888</v>
      </c>
    </row>
    <row x14ac:dyDescent="0.25" r="978" customHeight="1" ht="19.5">
      <c r="A978" s="2" t="s">
        <v>2036</v>
      </c>
      <c r="B978" s="2" t="s">
        <v>1060</v>
      </c>
      <c r="C978" s="2" t="s">
        <v>31</v>
      </c>
      <c r="D978" s="2" t="s">
        <v>650</v>
      </c>
      <c r="E978" s="6">
        <v>1</v>
      </c>
      <c r="F978" s="6">
        <v>2</v>
      </c>
      <c r="G978" s="7">
        <v>0.7656432390213013</v>
      </c>
      <c r="H978" s="7">
        <v>43.5334453125</v>
      </c>
      <c r="I978" s="7">
        <v>29.28101677185781</v>
      </c>
      <c r="J978" s="7">
        <v>10.658340610929</v>
      </c>
      <c r="K978" s="7">
        <v>4.114643444815759</v>
      </c>
      <c r="L978" s="7">
        <v>0.9259240397299258</v>
      </c>
      <c r="M978" s="7">
        <v>0.6380586441015368</v>
      </c>
      <c r="N978" s="7">
        <v>0.4529254968101447</v>
      </c>
      <c r="O978" s="7">
        <v>0.0659807176171998</v>
      </c>
      <c r="P978" s="7">
        <v>8.31974058835782</v>
      </c>
      <c r="Q978" s="7">
        <v>0.0385580465411835</v>
      </c>
      <c r="R978" s="7">
        <v>0.0663177615248921</v>
      </c>
      <c r="S978" s="7">
        <v>0.0996316106626863</v>
      </c>
      <c r="T978" s="7">
        <v>1.948178932570725</v>
      </c>
    </row>
    <row x14ac:dyDescent="0.25" r="979" customHeight="1" ht="19.5">
      <c r="A979" s="2" t="s">
        <v>2037</v>
      </c>
      <c r="B979" s="2" t="s">
        <v>1060</v>
      </c>
      <c r="C979" s="2" t="s">
        <v>31</v>
      </c>
      <c r="D979" s="2" t="s">
        <v>650</v>
      </c>
      <c r="E979" s="6">
        <v>1</v>
      </c>
      <c r="F979" s="6">
        <v>2</v>
      </c>
      <c r="G979" s="7">
        <v>0.7618301510810852</v>
      </c>
      <c r="H979" s="7">
        <v>43.50227578125001</v>
      </c>
      <c r="I979" s="7">
        <v>29.21207011874831</v>
      </c>
      <c r="J979" s="7">
        <v>10.64903157267176</v>
      </c>
      <c r="K979" s="7">
        <v>4.088674601847765</v>
      </c>
      <c r="L979" s="7">
        <v>0.925892318852404</v>
      </c>
      <c r="M979" s="7">
        <v>0.6406151017604298</v>
      </c>
      <c r="N979" s="7">
        <v>0.4498718386903206</v>
      </c>
      <c r="O979" s="7">
        <v>0.0655462910023414</v>
      </c>
      <c r="P979" s="7">
        <v>8.340904329202889</v>
      </c>
      <c r="Q979" s="7">
        <v>0.0384651755660252</v>
      </c>
      <c r="R979" s="7">
        <v>0.066170389393274</v>
      </c>
      <c r="S979" s="7">
        <v>0.0991613864080084</v>
      </c>
      <c r="T979" s="7">
        <v>1.942095027733941</v>
      </c>
    </row>
    <row x14ac:dyDescent="0.25" r="980" customHeight="1" ht="19.5">
      <c r="A980" s="2" t="s">
        <v>2038</v>
      </c>
      <c r="B980" s="2" t="s">
        <v>1060</v>
      </c>
      <c r="C980" s="2" t="s">
        <v>31</v>
      </c>
      <c r="D980" s="2" t="s">
        <v>650</v>
      </c>
      <c r="E980" s="6">
        <v>1</v>
      </c>
      <c r="F980" s="6">
        <v>2</v>
      </c>
      <c r="G980" s="7">
        <v>0.7620954513549805</v>
      </c>
      <c r="H980" s="7">
        <v>43.60963750000001</v>
      </c>
      <c r="I980" s="7">
        <v>29.38443675152205</v>
      </c>
      <c r="J980" s="7">
        <v>10.65653287982725</v>
      </c>
      <c r="K980" s="7">
        <v>4.102902744254523</v>
      </c>
      <c r="L980" s="7">
        <v>0.9259902890068948</v>
      </c>
      <c r="M980" s="7">
        <v>0.6346840725085126</v>
      </c>
      <c r="N980" s="7">
        <v>0.4526276069537081</v>
      </c>
      <c r="O980" s="7">
        <v>0.0659113287584469</v>
      </c>
      <c r="P980" s="7">
        <v>8.322570275386045</v>
      </c>
      <c r="Q980" s="7">
        <v>0.0390421853763195</v>
      </c>
      <c r="R980" s="7">
        <v>0.067585487736222</v>
      </c>
      <c r="S980" s="7">
        <v>0.1028962218286895</v>
      </c>
      <c r="T980" s="7">
        <v>1.976092982643921</v>
      </c>
    </row>
    <row x14ac:dyDescent="0.25" r="981" customHeight="1" ht="19.5">
      <c r="A981" s="2" t="s">
        <v>2039</v>
      </c>
      <c r="B981" s="2" t="s">
        <v>1060</v>
      </c>
      <c r="C981" s="2" t="s">
        <v>31</v>
      </c>
      <c r="D981" s="2" t="s">
        <v>650</v>
      </c>
      <c r="E981" s="6">
        <v>1</v>
      </c>
      <c r="F981" s="6">
        <v>2</v>
      </c>
      <c r="G981" s="7">
        <v>0.7605943083763123</v>
      </c>
      <c r="H981" s="7">
        <v>43.49534921875</v>
      </c>
      <c r="I981" s="7">
        <v>29.21207011874831</v>
      </c>
      <c r="J981" s="7">
        <v>10.6461653490384</v>
      </c>
      <c r="K981" s="7">
        <v>4.080424527448092</v>
      </c>
      <c r="L981" s="7">
        <v>0.9258445451523828</v>
      </c>
      <c r="M981" s="7">
        <v>0.6405131011073354</v>
      </c>
      <c r="N981" s="7">
        <v>0.4514388746970258</v>
      </c>
      <c r="O981" s="7">
        <v>0.0656061495569753</v>
      </c>
      <c r="P981" s="7">
        <v>8.335790768885065</v>
      </c>
      <c r="Q981" s="7">
        <v>0.0379820190232153</v>
      </c>
      <c r="R981" s="7">
        <v>0.0672706214330659</v>
      </c>
      <c r="S981" s="7">
        <v>0.0982234422417684</v>
      </c>
      <c r="T981" s="7">
        <v>1.917395258654392</v>
      </c>
    </row>
    <row x14ac:dyDescent="0.25" r="982" customHeight="1" ht="19.5">
      <c r="A982" s="2" t="s">
        <v>2040</v>
      </c>
      <c r="B982" s="2" t="s">
        <v>1060</v>
      </c>
      <c r="C982" s="2" t="s">
        <v>31</v>
      </c>
      <c r="D982" s="2" t="s">
        <v>650</v>
      </c>
      <c r="E982" s="6">
        <v>1</v>
      </c>
      <c r="F982" s="6">
        <v>2</v>
      </c>
      <c r="G982" s="7">
        <v>0.7655864953994751</v>
      </c>
      <c r="H982" s="7">
        <v>43.66505</v>
      </c>
      <c r="I982" s="7">
        <v>29.21207011874831</v>
      </c>
      <c r="J982" s="7">
        <v>10.70109140666818</v>
      </c>
      <c r="K982" s="7">
        <v>4.072355069915218</v>
      </c>
      <c r="L982" s="7">
        <v>0.9265234430952052</v>
      </c>
      <c r="M982" s="7">
        <v>0.6430121171081521</v>
      </c>
      <c r="N982" s="7">
        <v>0.4519304336098632</v>
      </c>
      <c r="O982" s="7">
        <v>0.0651655035558326</v>
      </c>
      <c r="P982" s="7">
        <v>8.362008125832867</v>
      </c>
      <c r="Q982" s="7">
        <v>0.0280047530016604</v>
      </c>
      <c r="R982" s="7">
        <v>0.0518182634640492</v>
      </c>
      <c r="S982" s="7">
        <v>0.0852851593355058</v>
      </c>
      <c r="T982" s="7">
        <v>1.419242109783322</v>
      </c>
    </row>
    <row x14ac:dyDescent="0.25" r="983" customHeight="1" ht="19.5">
      <c r="A983" s="2" t="s">
        <v>2041</v>
      </c>
      <c r="B983" s="2" t="s">
        <v>1060</v>
      </c>
      <c r="C983" s="2" t="s">
        <v>31</v>
      </c>
      <c r="D983" s="2" t="s">
        <v>650</v>
      </c>
      <c r="E983" s="6">
        <v>1</v>
      </c>
      <c r="F983" s="6">
        <v>2</v>
      </c>
      <c r="G983" s="7">
        <v>0.7592631578445435</v>
      </c>
      <c r="H983" s="7">
        <v>43.35681796875</v>
      </c>
      <c r="I983" s="7">
        <v>29.11456482684063</v>
      </c>
      <c r="J983" s="7">
        <v>10.59238457275767</v>
      </c>
      <c r="K983" s="7">
        <v>4.089813399114909</v>
      </c>
      <c r="L983" s="7">
        <v>0.9253038252075984</v>
      </c>
      <c r="M983" s="7">
        <v>0.6427567688094223</v>
      </c>
      <c r="N983" s="7">
        <v>0.4609595101705002</v>
      </c>
      <c r="O983" s="7">
        <v>0.0669627159064233</v>
      </c>
      <c r="P983" s="7">
        <v>8.270466158142403</v>
      </c>
      <c r="Q983" s="7">
        <v>0.040454806492685</v>
      </c>
      <c r="R983" s="7">
        <v>0.0674640403440001</v>
      </c>
      <c r="S983" s="7">
        <v>0.1013782042886106</v>
      </c>
      <c r="T983" s="7">
        <v>2.035721246394353</v>
      </c>
    </row>
    <row x14ac:dyDescent="0.25" r="984" customHeight="1" ht="19.5">
      <c r="A984" s="2" t="s">
        <v>2042</v>
      </c>
      <c r="B984" s="2" t="s">
        <v>1060</v>
      </c>
      <c r="C984" s="2" t="s">
        <v>31</v>
      </c>
      <c r="D984" s="2" t="s">
        <v>650</v>
      </c>
      <c r="E984" s="6">
        <v>1</v>
      </c>
      <c r="F984" s="6">
        <v>2</v>
      </c>
      <c r="G984" s="7">
        <v>0.5875531435012817</v>
      </c>
      <c r="H984" s="7">
        <v>50.12060625</v>
      </c>
      <c r="I984" s="7">
        <v>30.88250425667661</v>
      </c>
      <c r="J984" s="7">
        <v>10.38173223675745</v>
      </c>
      <c r="K984" s="7">
        <v>4.950791139600939</v>
      </c>
      <c r="L984" s="7">
        <v>0.8909541007579368</v>
      </c>
      <c r="M984" s="7">
        <v>0.66039102080236</v>
      </c>
      <c r="N984" s="7">
        <v>0.6138589140541638</v>
      </c>
      <c r="O984" s="7">
        <v>0.0939049994039219</v>
      </c>
      <c r="P984" s="7">
        <v>7.45738156511424</v>
      </c>
      <c r="Q984" s="7">
        <v>0.0170634181845935</v>
      </c>
      <c r="R984" s="7">
        <v>0.0508468407770253</v>
      </c>
      <c r="S984" s="7">
        <v>0.063898148572462</v>
      </c>
      <c r="T984" s="7">
        <v>0.9925973925601176</v>
      </c>
    </row>
    <row x14ac:dyDescent="0.25" r="985" customHeight="1" ht="19.5">
      <c r="A985" s="2" t="s">
        <v>2043</v>
      </c>
      <c r="B985" s="2" t="s">
        <v>1060</v>
      </c>
      <c r="C985" s="2" t="s">
        <v>31</v>
      </c>
      <c r="D985" s="2" t="s">
        <v>650</v>
      </c>
      <c r="E985" s="6">
        <v>1</v>
      </c>
      <c r="F985" s="6">
        <v>2</v>
      </c>
      <c r="G985" s="7">
        <v>0.7261025309562683</v>
      </c>
      <c r="H985" s="7">
        <v>48.16385234375</v>
      </c>
      <c r="I985" s="7">
        <v>29.94580975194188</v>
      </c>
      <c r="J985" s="7">
        <v>10.52580395929082</v>
      </c>
      <c r="K985" s="7">
        <v>4.735362507463318</v>
      </c>
      <c r="L985" s="7">
        <v>0.9016050023508968</v>
      </c>
      <c r="M985" s="7">
        <v>0.6749303504049728</v>
      </c>
      <c r="N985" s="7">
        <v>0.5076552522278686</v>
      </c>
      <c r="O985" s="7">
        <v>0.0758593361206546</v>
      </c>
      <c r="P985" s="7">
        <v>8.117570272494952</v>
      </c>
      <c r="Q985" s="7">
        <v>0.021094606376232</v>
      </c>
      <c r="R985" s="7">
        <v>0.0547456215730088</v>
      </c>
      <c r="S985" s="7">
        <v>0.0763159303510593</v>
      </c>
      <c r="T985" s="7">
        <v>1.179189008198994</v>
      </c>
    </row>
    <row x14ac:dyDescent="0.25" r="986" customHeight="1" ht="19.5">
      <c r="A986" s="2" t="s">
        <v>2044</v>
      </c>
      <c r="B986" s="2" t="s">
        <v>1060</v>
      </c>
      <c r="C986" s="2" t="s">
        <v>31</v>
      </c>
      <c r="D986" s="2" t="s">
        <v>650</v>
      </c>
      <c r="E986" s="6">
        <v>1</v>
      </c>
      <c r="F986" s="6">
        <v>2</v>
      </c>
      <c r="G986" s="7">
        <v>0.7666349411010742</v>
      </c>
      <c r="H986" s="7">
        <v>47.01404296875</v>
      </c>
      <c r="I986" s="7">
        <v>29.48092724344511</v>
      </c>
      <c r="J986" s="7">
        <v>10.41413029705204</v>
      </c>
      <c r="K986" s="7">
        <v>4.66483467275661</v>
      </c>
      <c r="L986" s="7">
        <v>0.9029331257333968</v>
      </c>
      <c r="M986" s="7">
        <v>0.679759343789664</v>
      </c>
      <c r="N986" s="7">
        <v>0.4593006894181576</v>
      </c>
      <c r="O986" s="7">
        <v>0.0691995972886025</v>
      </c>
      <c r="P986" s="7">
        <v>8.36168232763474</v>
      </c>
      <c r="Q986" s="7">
        <v>0.0253588601203098</v>
      </c>
      <c r="R986" s="7">
        <v>0.0618494180144007</v>
      </c>
      <c r="S986" s="7">
        <v>0.0943365974361914</v>
      </c>
      <c r="T986" s="7">
        <v>1.383719649275216</v>
      </c>
    </row>
    <row x14ac:dyDescent="0.25" r="987" customHeight="1" ht="19.5">
      <c r="A987" s="2" t="s">
        <v>2045</v>
      </c>
      <c r="B987" s="2" t="s">
        <v>1060</v>
      </c>
      <c r="C987" s="2" t="s">
        <v>31</v>
      </c>
      <c r="D987" s="2" t="s">
        <v>650</v>
      </c>
      <c r="E987" s="6">
        <v>1</v>
      </c>
      <c r="F987" s="6">
        <v>2</v>
      </c>
      <c r="G987" s="7">
        <v>0.7803381681442261</v>
      </c>
      <c r="H987" s="7">
        <v>46.94477734375</v>
      </c>
      <c r="I987" s="7">
        <v>29.63309986906319</v>
      </c>
      <c r="J987" s="7">
        <v>10.43957002427903</v>
      </c>
      <c r="K987" s="7">
        <v>4.695244313955509</v>
      </c>
      <c r="L987" s="7">
        <v>0.9036958768635464</v>
      </c>
      <c r="M987" s="7">
        <v>0.6718046077458536</v>
      </c>
      <c r="N987" s="7">
        <v>0.433310667840246</v>
      </c>
      <c r="O987" s="7">
        <v>0.0660926378075185</v>
      </c>
      <c r="P987" s="7">
        <v>8.51654131469693</v>
      </c>
      <c r="Q987" s="7">
        <v>0.0271497580686712</v>
      </c>
      <c r="R987" s="7">
        <v>0.0638847862433767</v>
      </c>
      <c r="S987" s="7">
        <v>0.1137657431567111</v>
      </c>
      <c r="T987" s="7">
        <v>1.479258343709331</v>
      </c>
    </row>
    <row x14ac:dyDescent="0.25" r="988" customHeight="1" ht="19.5">
      <c r="A988" s="2" t="s">
        <v>2046</v>
      </c>
      <c r="B988" s="2" t="s">
        <v>1060</v>
      </c>
      <c r="C988" s="2" t="s">
        <v>31</v>
      </c>
      <c r="D988" s="2" t="s">
        <v>650</v>
      </c>
      <c r="E988" s="6">
        <v>1</v>
      </c>
      <c r="F988" s="6">
        <v>2</v>
      </c>
      <c r="G988" s="7">
        <v>0.7815567255020142</v>
      </c>
      <c r="H988" s="7">
        <v>47.1214046875</v>
      </c>
      <c r="I988" s="7">
        <v>29.5498738965546</v>
      </c>
      <c r="J988" s="7">
        <v>10.46866860100426</v>
      </c>
      <c r="K988" s="7">
        <v>4.605905608380781</v>
      </c>
      <c r="L988" s="7">
        <v>0.9051486760375336</v>
      </c>
      <c r="M988" s="7">
        <v>0.6781360441767833</v>
      </c>
      <c r="N988" s="7">
        <v>0.4111564144088748</v>
      </c>
      <c r="O988" s="7">
        <v>0.0622154690247821</v>
      </c>
      <c r="P988" s="7">
        <v>8.63171832847461</v>
      </c>
      <c r="Q988" s="7">
        <v>0.0288541144981179</v>
      </c>
      <c r="R988" s="7">
        <v>0.0673950031004942</v>
      </c>
      <c r="S988" s="7">
        <v>0.1151384085668496</v>
      </c>
      <c r="T988" s="7">
        <v>1.57803546419034</v>
      </c>
    </row>
    <row x14ac:dyDescent="0.25" r="989" customHeight="1" ht="19.5">
      <c r="A989" s="2" t="s">
        <v>2047</v>
      </c>
      <c r="B989" s="2" t="s">
        <v>1060</v>
      </c>
      <c r="C989" s="2" t="s">
        <v>31</v>
      </c>
      <c r="D989" s="2" t="s">
        <v>650</v>
      </c>
      <c r="E989" s="6">
        <v>1</v>
      </c>
      <c r="F989" s="6">
        <v>2</v>
      </c>
      <c r="G989" s="7">
        <v>0.7940296530723572</v>
      </c>
      <c r="H989" s="7">
        <v>47.14564765625001</v>
      </c>
      <c r="I989" s="7">
        <v>29.48684193120167</v>
      </c>
      <c r="J989" s="7">
        <v>10.48240698859969</v>
      </c>
      <c r="K989" s="7">
        <v>4.623795464430584</v>
      </c>
      <c r="L989" s="7">
        <v>0.9048345113206048</v>
      </c>
      <c r="M989" s="7">
        <v>0.6813887310067289</v>
      </c>
      <c r="N989" s="7">
        <v>0.4039195833360839</v>
      </c>
      <c r="O989" s="7">
        <v>0.0620127109191558</v>
      </c>
      <c r="P989" s="7">
        <v>8.648865813411366</v>
      </c>
      <c r="Q989" s="7">
        <v>0.029892448945384</v>
      </c>
      <c r="R989" s="7">
        <v>0.0704371244428865</v>
      </c>
      <c r="S989" s="7">
        <v>0.1207188742086013</v>
      </c>
      <c r="T989" s="7">
        <v>1.635663198472025</v>
      </c>
    </row>
    <row x14ac:dyDescent="0.25" r="990" customHeight="1" ht="19.5">
      <c r="A990" s="2" t="s">
        <v>2048</v>
      </c>
      <c r="B990" s="2" t="s">
        <v>1060</v>
      </c>
      <c r="C990" s="2" t="s">
        <v>31</v>
      </c>
      <c r="D990" s="2" t="s">
        <v>650</v>
      </c>
      <c r="E990" s="6">
        <v>1</v>
      </c>
      <c r="F990" s="6">
        <v>2</v>
      </c>
      <c r="G990" s="7">
        <v>0.7837710976600647</v>
      </c>
      <c r="H990" s="7">
        <v>47.52660859375001</v>
      </c>
      <c r="I990" s="7">
        <v>29.50703593835732</v>
      </c>
      <c r="J990" s="7">
        <v>10.5280380634673</v>
      </c>
      <c r="K990" s="7">
        <v>4.603645045086925</v>
      </c>
      <c r="L990" s="7">
        <v>0.9051197311281662</v>
      </c>
      <c r="M990" s="7">
        <v>0.6859548289080312</v>
      </c>
      <c r="N990" s="7">
        <v>0.4045906290672617</v>
      </c>
      <c r="O990" s="7">
        <v>0.0617702502626462</v>
      </c>
      <c r="P990" s="7">
        <v>8.649480668411186</v>
      </c>
      <c r="Q990" s="7">
        <v>0.0282951394439882</v>
      </c>
      <c r="R990" s="7">
        <v>0.069843988590924</v>
      </c>
      <c r="S990" s="7">
        <v>0.1162583381416522</v>
      </c>
      <c r="T990" s="7">
        <v>1.560771922155712</v>
      </c>
    </row>
    <row x14ac:dyDescent="0.25" r="991" customHeight="1" ht="19.5">
      <c r="A991" s="2" t="s">
        <v>2049</v>
      </c>
      <c r="B991" s="2" t="s">
        <v>1060</v>
      </c>
      <c r="C991" s="2" t="s">
        <v>31</v>
      </c>
      <c r="D991" s="2" t="s">
        <v>650</v>
      </c>
      <c r="E991" s="6">
        <v>1</v>
      </c>
      <c r="F991" s="6">
        <v>2</v>
      </c>
      <c r="G991" s="7">
        <v>0.7855383157730103</v>
      </c>
      <c r="H991" s="7">
        <v>47.4123203125</v>
      </c>
      <c r="I991" s="7">
        <v>29.40361595869308</v>
      </c>
      <c r="J991" s="7">
        <v>10.52810836890172</v>
      </c>
      <c r="K991" s="7">
        <v>4.60316864423077</v>
      </c>
      <c r="L991" s="7">
        <v>0.905197948102932</v>
      </c>
      <c r="M991" s="7">
        <v>0.6891275146391025</v>
      </c>
      <c r="N991" s="7">
        <v>0.4023038765908291</v>
      </c>
      <c r="O991" s="7">
        <v>0.061948370457987</v>
      </c>
      <c r="P991" s="7">
        <v>8.645069805643999</v>
      </c>
      <c r="Q991" s="7">
        <v>0.0287409424920172</v>
      </c>
      <c r="R991" s="7">
        <v>0.0702371881807469</v>
      </c>
      <c r="S991" s="7">
        <v>0.1193242892426611</v>
      </c>
      <c r="T991" s="7">
        <v>1.581550251489591</v>
      </c>
    </row>
    <row x14ac:dyDescent="0.25" r="992" customHeight="1" ht="19.5">
      <c r="A992" s="2" t="s">
        <v>2050</v>
      </c>
      <c r="B992" s="2" t="s">
        <v>1060</v>
      </c>
      <c r="C992" s="2" t="s">
        <v>31</v>
      </c>
      <c r="D992" s="2" t="s">
        <v>650</v>
      </c>
      <c r="E992" s="6">
        <v>1</v>
      </c>
      <c r="F992" s="6">
        <v>2</v>
      </c>
      <c r="G992" s="7">
        <v>0.7901721596717834</v>
      </c>
      <c r="H992" s="7">
        <v>47.34998125000001</v>
      </c>
      <c r="I992" s="7">
        <v>29.5498738965546</v>
      </c>
      <c r="J992" s="7">
        <v>10.47637199245352</v>
      </c>
      <c r="K992" s="7">
        <v>4.663449179611632</v>
      </c>
      <c r="L992" s="7">
        <v>0.9038008029674318</v>
      </c>
      <c r="M992" s="7">
        <v>0.6814255472574585</v>
      </c>
      <c r="N992" s="7">
        <v>0.4048335947985123</v>
      </c>
      <c r="O992" s="7">
        <v>0.0620574303599394</v>
      </c>
      <c r="P992" s="7">
        <v>8.67588185098122</v>
      </c>
      <c r="Q992" s="7">
        <v>0.0291010801948039</v>
      </c>
      <c r="R992" s="7">
        <v>0.070508210618388</v>
      </c>
      <c r="S992" s="7">
        <v>0.12124268460018</v>
      </c>
      <c r="T992" s="7">
        <v>1.599262305847879</v>
      </c>
    </row>
    <row x14ac:dyDescent="0.25" r="993" customHeight="1" ht="19.5">
      <c r="A993" s="2" t="s">
        <v>2051</v>
      </c>
      <c r="B993" s="2" t="s">
        <v>1060</v>
      </c>
      <c r="C993" s="2" t="s">
        <v>31</v>
      </c>
      <c r="D993" s="2" t="s">
        <v>650</v>
      </c>
      <c r="E993" s="6">
        <v>1</v>
      </c>
      <c r="F993" s="6">
        <v>2</v>
      </c>
      <c r="G993" s="7">
        <v>0.7912272810935974</v>
      </c>
      <c r="H993" s="7">
        <v>47.21145000000001</v>
      </c>
      <c r="I993" s="7">
        <v>29.45236860464692</v>
      </c>
      <c r="J993" s="7">
        <v>10.47821243857033</v>
      </c>
      <c r="K993" s="7">
        <v>4.616761179933253</v>
      </c>
      <c r="L993" s="7">
        <v>0.9044563005267646</v>
      </c>
      <c r="M993" s="7">
        <v>0.683938023185752</v>
      </c>
      <c r="N993" s="7">
        <v>0.4013827748753925</v>
      </c>
      <c r="O993" s="7">
        <v>0.0616159767877982</v>
      </c>
      <c r="P993" s="7">
        <v>8.651957727517665</v>
      </c>
      <c r="Q993" s="7">
        <v>0.0300658973114991</v>
      </c>
      <c r="R993" s="7">
        <v>0.0712520107719475</v>
      </c>
      <c r="S993" s="7">
        <v>0.1198948354563758</v>
      </c>
      <c r="T993" s="7">
        <v>1.647450175638879</v>
      </c>
    </row>
    <row x14ac:dyDescent="0.25" r="994" customHeight="1" ht="19.5">
      <c r="A994" s="2" t="s">
        <v>2052</v>
      </c>
      <c r="B994" s="2" t="s">
        <v>1060</v>
      </c>
      <c r="C994" s="2" t="s">
        <v>31</v>
      </c>
      <c r="D994" s="2" t="s">
        <v>650</v>
      </c>
      <c r="E994" s="6">
        <v>1</v>
      </c>
      <c r="F994" s="6">
        <v>2</v>
      </c>
      <c r="G994" s="7">
        <v>0.7921603918075562</v>
      </c>
      <c r="H994" s="7">
        <v>47.20106015625</v>
      </c>
      <c r="I994" s="7">
        <v>29.75079916812652</v>
      </c>
      <c r="J994" s="7">
        <v>10.53307358783862</v>
      </c>
      <c r="K994" s="7">
        <v>4.613888258116285</v>
      </c>
      <c r="L994" s="7">
        <v>0.9057444836931516</v>
      </c>
      <c r="M994" s="7">
        <v>0.6701381534970363</v>
      </c>
      <c r="N994" s="7">
        <v>0.3988189529109029</v>
      </c>
      <c r="O994" s="7">
        <v>0.0615370342991144</v>
      </c>
      <c r="P994" s="7">
        <v>8.691033745328848</v>
      </c>
      <c r="Q994" s="7">
        <v>0.0283296713549036</v>
      </c>
      <c r="R994" s="7">
        <v>0.06885479338043</v>
      </c>
      <c r="S994" s="7">
        <v>0.1197316446784352</v>
      </c>
      <c r="T994" s="7">
        <v>1.551972671907896</v>
      </c>
    </row>
    <row x14ac:dyDescent="0.25" r="995" customHeight="1" ht="19.5">
      <c r="A995" s="2" t="s">
        <v>2053</v>
      </c>
      <c r="B995" s="2" t="s">
        <v>1060</v>
      </c>
      <c r="C995" s="2" t="s">
        <v>31</v>
      </c>
      <c r="D995" s="2" t="s">
        <v>650</v>
      </c>
      <c r="E995" s="6">
        <v>1</v>
      </c>
      <c r="F995" s="6">
        <v>2</v>
      </c>
      <c r="G995" s="7">
        <v>0.7880290150642395</v>
      </c>
      <c r="H995" s="7">
        <v>46.82702578125</v>
      </c>
      <c r="I995" s="7">
        <v>29.41789527809217</v>
      </c>
      <c r="J995" s="7">
        <v>10.47493556022592</v>
      </c>
      <c r="K995" s="7">
        <v>4.603087245199747</v>
      </c>
      <c r="L995" s="7">
        <v>0.906326387905678</v>
      </c>
      <c r="M995" s="7">
        <v>0.6799598089636474</v>
      </c>
      <c r="N995" s="7">
        <v>0.4030635075184511</v>
      </c>
      <c r="O995" s="7">
        <v>0.061722242842377</v>
      </c>
      <c r="P995" s="7">
        <v>8.672636992184568</v>
      </c>
      <c r="Q995" s="7">
        <v>0.0293265470705846</v>
      </c>
      <c r="R995" s="7">
        <v>0.0703200237536221</v>
      </c>
      <c r="S995" s="7">
        <v>0.1185806994329467</v>
      </c>
      <c r="T995" s="7">
        <v>1.593853081206257</v>
      </c>
    </row>
    <row x14ac:dyDescent="0.25" r="996" customHeight="1" ht="19.5">
      <c r="A996" s="2" t="s">
        <v>2054</v>
      </c>
      <c r="B996" s="2" t="s">
        <v>1060</v>
      </c>
      <c r="C996" s="2" t="s">
        <v>31</v>
      </c>
      <c r="D996" s="2" t="s">
        <v>650</v>
      </c>
      <c r="E996" s="6">
        <v>1</v>
      </c>
      <c r="F996" s="6">
        <v>2</v>
      </c>
      <c r="G996" s="7">
        <v>0.7891029715538025</v>
      </c>
      <c r="H996" s="7">
        <v>47.7170890625</v>
      </c>
      <c r="I996" s="7">
        <v>29.76507848752561</v>
      </c>
      <c r="J996" s="7">
        <v>10.52814957527113</v>
      </c>
      <c r="K996" s="7">
        <v>4.675705700184007</v>
      </c>
      <c r="L996" s="7">
        <v>0.9031439872638468</v>
      </c>
      <c r="M996" s="7">
        <v>0.6768146363946683</v>
      </c>
      <c r="N996" s="7">
        <v>0.4048370015780047</v>
      </c>
      <c r="O996" s="7">
        <v>0.0624701715828382</v>
      </c>
      <c r="P996" s="7">
        <v>8.669073066673768</v>
      </c>
      <c r="Q996" s="7">
        <v>0.0283495007681652</v>
      </c>
      <c r="R996" s="7">
        <v>0.0690426796570229</v>
      </c>
      <c r="S996" s="7">
        <v>0.1220193856636258</v>
      </c>
      <c r="T996" s="7">
        <v>1.57003790484693</v>
      </c>
    </row>
    <row x14ac:dyDescent="0.25" r="997" customHeight="1" ht="19.5">
      <c r="A997" s="2" t="s">
        <v>2055</v>
      </c>
      <c r="B997" s="2" t="s">
        <v>1060</v>
      </c>
      <c r="C997" s="2" t="s">
        <v>31</v>
      </c>
      <c r="D997" s="2" t="s">
        <v>650</v>
      </c>
      <c r="E997" s="6">
        <v>1</v>
      </c>
      <c r="F997" s="6">
        <v>2</v>
      </c>
      <c r="G997" s="7">
        <v>0.7831220626831055</v>
      </c>
      <c r="H997" s="7">
        <v>47.2045234375</v>
      </c>
      <c r="I997" s="7">
        <v>29.57006790371025</v>
      </c>
      <c r="J997" s="7">
        <v>10.53204514908656</v>
      </c>
      <c r="K997" s="7">
        <v>4.608563715434844</v>
      </c>
      <c r="L997" s="7">
        <v>0.9057506983160292</v>
      </c>
      <c r="M997" s="7">
        <v>0.6784046840606723</v>
      </c>
      <c r="N997" s="7">
        <v>0.3996007399974853</v>
      </c>
      <c r="O997" s="7">
        <v>0.0611987175734283</v>
      </c>
      <c r="P997" s="7">
        <v>8.693010662881267</v>
      </c>
      <c r="Q997" s="7">
        <v>0.0292243066794957</v>
      </c>
      <c r="R997" s="7">
        <v>0.06966551568492</v>
      </c>
      <c r="S997" s="7">
        <v>0.1178356304037058</v>
      </c>
      <c r="T997" s="7">
        <v>1.601100577836857</v>
      </c>
    </row>
    <row x14ac:dyDescent="0.25" r="998" customHeight="1" ht="19.5">
      <c r="A998" s="2" t="s">
        <v>2056</v>
      </c>
      <c r="B998" s="2" t="s">
        <v>1060</v>
      </c>
      <c r="C998" s="2" t="s">
        <v>31</v>
      </c>
      <c r="D998" s="2" t="s">
        <v>650</v>
      </c>
      <c r="E998" s="6">
        <v>1</v>
      </c>
      <c r="F998" s="6">
        <v>2</v>
      </c>
      <c r="G998" s="7">
        <v>0.7931814789772034</v>
      </c>
      <c r="H998" s="7">
        <v>47.46080625</v>
      </c>
      <c r="I998" s="7">
        <v>29.68185251501703</v>
      </c>
      <c r="J998" s="7">
        <v>10.5529568052829</v>
      </c>
      <c r="K998" s="7">
        <v>4.688142688026771</v>
      </c>
      <c r="L998" s="7">
        <v>0.9047098831770402</v>
      </c>
      <c r="M998" s="7">
        <v>0.6769599408214</v>
      </c>
      <c r="N998" s="7">
        <v>0.3995186114079984</v>
      </c>
      <c r="O998" s="7">
        <v>0.0621180015435564</v>
      </c>
      <c r="P998" s="7">
        <v>8.70827371824858</v>
      </c>
      <c r="Q998" s="7">
        <v>0.0282622798194308</v>
      </c>
      <c r="R998" s="7">
        <v>0.0683996968014907</v>
      </c>
      <c r="S998" s="7">
        <v>0.1155593923036905</v>
      </c>
      <c r="T998" s="7">
        <v>1.556800934505052</v>
      </c>
    </row>
    <row x14ac:dyDescent="0.25" r="999" customHeight="1" ht="19.5">
      <c r="A999" s="2" t="s">
        <v>2057</v>
      </c>
      <c r="B999" s="2" t="s">
        <v>1060</v>
      </c>
      <c r="C999" s="2" t="s">
        <v>31</v>
      </c>
      <c r="D999" s="2" t="s">
        <v>650</v>
      </c>
      <c r="E999" s="6">
        <v>1</v>
      </c>
      <c r="F999" s="6">
        <v>2</v>
      </c>
      <c r="G999" s="7">
        <v>0.7902891635894775</v>
      </c>
      <c r="H999" s="7">
        <v>46.95170390625</v>
      </c>
      <c r="I999" s="7">
        <v>29.63309986906319</v>
      </c>
      <c r="J999" s="7">
        <v>10.53231797416095</v>
      </c>
      <c r="K999" s="7">
        <v>4.60793581452241</v>
      </c>
      <c r="L999" s="7">
        <v>0.9067280101504006</v>
      </c>
      <c r="M999" s="7">
        <v>0.6719037305208807</v>
      </c>
      <c r="N999" s="7">
        <v>0.4021548369922734</v>
      </c>
      <c r="O999" s="7">
        <v>0.0618654102125206</v>
      </c>
      <c r="P999" s="7">
        <v>8.702673937818874</v>
      </c>
      <c r="Q999" s="7">
        <v>0.0288599355411704</v>
      </c>
      <c r="R999" s="7">
        <v>0.0690640878094758</v>
      </c>
      <c r="S999" s="7">
        <v>0.1179739867476467</v>
      </c>
      <c r="T999" s="7">
        <v>1.572669609607822</v>
      </c>
    </row>
    <row x14ac:dyDescent="0.25" r="1000" customHeight="1" ht="19.5">
      <c r="A1000" s="2" t="s">
        <v>2058</v>
      </c>
      <c r="B1000" s="2" t="s">
        <v>1060</v>
      </c>
      <c r="C1000" s="2" t="s">
        <v>31</v>
      </c>
      <c r="D1000" s="2" t="s">
        <v>650</v>
      </c>
      <c r="E1000" s="6">
        <v>1</v>
      </c>
      <c r="F1000" s="6">
        <v>2</v>
      </c>
      <c r="G1000" s="7">
        <v>0.7914303541183472</v>
      </c>
      <c r="H1000" s="7">
        <v>47.36037109375</v>
      </c>
      <c r="I1000" s="7">
        <v>29.73060516097087</v>
      </c>
      <c r="J1000" s="7">
        <v>10.53712085780931</v>
      </c>
      <c r="K1000" s="7">
        <v>4.667154357520168</v>
      </c>
      <c r="L1000" s="7">
        <v>0.9051633757273768</v>
      </c>
      <c r="M1000" s="7">
        <v>0.6733137169272023</v>
      </c>
      <c r="N1000" s="7">
        <v>0.3987992628160735</v>
      </c>
      <c r="O1000" s="7">
        <v>0.0615728746516157</v>
      </c>
      <c r="P1000" s="7">
        <v>8.719985625113804</v>
      </c>
      <c r="Q1000" s="7">
        <v>0.0283524491187763</v>
      </c>
      <c r="R1000" s="7">
        <v>0.0687886650475742</v>
      </c>
      <c r="S1000" s="7">
        <v>0.1166746732128791</v>
      </c>
      <c r="T1000" s="7">
        <v>1.558462858078602</v>
      </c>
    </row>
    <row x14ac:dyDescent="0.25" r="1001" customHeight="1" ht="19.5">
      <c r="A1001" s="2" t="s">
        <v>2059</v>
      </c>
      <c r="B1001" s="2" t="s">
        <v>1060</v>
      </c>
      <c r="C1001" s="2" t="s">
        <v>31</v>
      </c>
      <c r="D1001" s="2" t="s">
        <v>650</v>
      </c>
      <c r="E1001" s="6">
        <v>1</v>
      </c>
      <c r="F1001" s="6">
        <v>2</v>
      </c>
      <c r="G1001" s="7">
        <v>0.7886582016944885</v>
      </c>
      <c r="H1001" s="7">
        <v>47.17335390625</v>
      </c>
      <c r="I1001" s="7">
        <v>29.64737918846228</v>
      </c>
      <c r="J1001" s="7">
        <v>10.54067803104806</v>
      </c>
      <c r="K1001" s="7">
        <v>4.631362823874012</v>
      </c>
      <c r="L1001" s="7">
        <v>0.9058572296251252</v>
      </c>
      <c r="M1001" s="7">
        <v>0.6744255310597891</v>
      </c>
      <c r="N1001" s="7">
        <v>0.4013005453603312</v>
      </c>
      <c r="O1001" s="7">
        <v>0.061491718518697</v>
      </c>
      <c r="P1001" s="7">
        <v>8.699864538072935</v>
      </c>
      <c r="Q1001" s="7">
        <v>0.0289060423909057</v>
      </c>
      <c r="R1001" s="7">
        <v>0.0702215282406915</v>
      </c>
      <c r="S1001" s="7">
        <v>0.1188121803045604</v>
      </c>
      <c r="T1001" s="7">
        <v>1.58261825142217</v>
      </c>
    </row>
    <row x14ac:dyDescent="0.25" r="1002" customHeight="1" ht="19.5">
      <c r="A1002" s="2" t="s">
        <v>2060</v>
      </c>
      <c r="B1002" s="2" t="s">
        <v>1060</v>
      </c>
      <c r="C1002" s="2" t="s">
        <v>31</v>
      </c>
      <c r="D1002" s="2" t="s">
        <v>650</v>
      </c>
      <c r="E1002" s="6">
        <v>1</v>
      </c>
      <c r="F1002" s="6">
        <v>2</v>
      </c>
      <c r="G1002" s="7">
        <v>0.7910163402557373</v>
      </c>
      <c r="H1002" s="7">
        <v>47.9110328125</v>
      </c>
      <c r="I1002" s="7">
        <v>29.76507848752561</v>
      </c>
      <c r="J1002" s="7">
        <v>10.54502113255513</v>
      </c>
      <c r="K1002" s="7">
        <v>4.694691300362368</v>
      </c>
      <c r="L1002" s="7">
        <v>0.9028963652244196</v>
      </c>
      <c r="M1002" s="7">
        <v>0.679565516031633</v>
      </c>
      <c r="N1002" s="7">
        <v>0.4055240717998633</v>
      </c>
      <c r="O1002" s="7">
        <v>0.0621194386772768</v>
      </c>
      <c r="P1002" s="7">
        <v>8.657855178694508</v>
      </c>
      <c r="Q1002" s="7">
        <v>0.0281730172091586</v>
      </c>
      <c r="R1002" s="7">
        <v>0.0681244621831196</v>
      </c>
      <c r="S1002" s="7">
        <v>0.1163899486777129</v>
      </c>
      <c r="T1002" s="7">
        <v>1.566605596279114</v>
      </c>
    </row>
    <row x14ac:dyDescent="0.25" r="1003" customHeight="1" ht="19.5">
      <c r="A1003" s="2" t="s">
        <v>2061</v>
      </c>
      <c r="B1003" s="2" t="s">
        <v>1060</v>
      </c>
      <c r="C1003" s="2" t="s">
        <v>31</v>
      </c>
      <c r="D1003" s="2" t="s">
        <v>650</v>
      </c>
      <c r="E1003" s="6">
        <v>1</v>
      </c>
      <c r="F1003" s="6">
        <v>2</v>
      </c>
      <c r="G1003" s="7">
        <v>0.7913473844528198</v>
      </c>
      <c r="H1003" s="7">
        <v>47.51968203125</v>
      </c>
      <c r="I1003" s="7">
        <v>29.63309986906318</v>
      </c>
      <c r="J1003" s="7">
        <v>10.53706118206767</v>
      </c>
      <c r="K1003" s="7">
        <v>4.67410233484566</v>
      </c>
      <c r="L1003" s="7">
        <v>0.9043143604216975</v>
      </c>
      <c r="M1003" s="7">
        <v>0.6800317980730992</v>
      </c>
      <c r="N1003" s="7">
        <v>0.4018837206684942</v>
      </c>
      <c r="O1003" s="7">
        <v>0.0619873897828005</v>
      </c>
      <c r="P1003" s="7">
        <v>8.69858584375081</v>
      </c>
      <c r="Q1003" s="7">
        <v>0.0287473795786395</v>
      </c>
      <c r="R1003" s="7">
        <v>0.0690271235795227</v>
      </c>
      <c r="S1003" s="7">
        <v>0.1186554067215136</v>
      </c>
      <c r="T1003" s="7">
        <v>1.585486576616975</v>
      </c>
    </row>
    <row x14ac:dyDescent="0.25" r="1004" customHeight="1" ht="19.5">
      <c r="A1004" s="2" t="s">
        <v>2062</v>
      </c>
      <c r="B1004" s="2" t="s">
        <v>1060</v>
      </c>
      <c r="C1004" s="2" t="s">
        <v>31</v>
      </c>
      <c r="D1004" s="2" t="s">
        <v>650</v>
      </c>
      <c r="E1004" s="6">
        <v>1</v>
      </c>
      <c r="F1004" s="6">
        <v>2</v>
      </c>
      <c r="G1004" s="7">
        <v>0.7860637903213501</v>
      </c>
      <c r="H1004" s="7">
        <v>47.059065625</v>
      </c>
      <c r="I1004" s="7">
        <v>29.8340251406351</v>
      </c>
      <c r="J1004" s="7">
        <v>10.53730392402696</v>
      </c>
      <c r="K1004" s="7">
        <v>4.624339691777624</v>
      </c>
      <c r="L1004" s="7">
        <v>0.9063164626756752</v>
      </c>
      <c r="M1004" s="7">
        <v>0.6643997511896914</v>
      </c>
      <c r="N1004" s="7">
        <v>0.3991816792520375</v>
      </c>
      <c r="O1004" s="7">
        <v>0.0614747689849402</v>
      </c>
      <c r="P1004" s="7">
        <v>8.70509980995461</v>
      </c>
      <c r="Q1004" s="7">
        <v>0.0290265400355217</v>
      </c>
      <c r="R1004" s="7">
        <v>0.068829571886396</v>
      </c>
      <c r="S1004" s="7">
        <v>0.1193740967381637</v>
      </c>
      <c r="T1004" s="7">
        <v>1.585365309716885</v>
      </c>
    </row>
    <row x14ac:dyDescent="0.25" r="1005" customHeight="1" ht="19.5">
      <c r="A1005" s="2" t="s">
        <v>2063</v>
      </c>
      <c r="B1005" s="2" t="s">
        <v>1060</v>
      </c>
      <c r="C1005" s="2" t="s">
        <v>31</v>
      </c>
      <c r="D1005" s="2" t="s">
        <v>650</v>
      </c>
      <c r="E1005" s="6">
        <v>1</v>
      </c>
      <c r="F1005" s="6">
        <v>2</v>
      </c>
      <c r="G1005" s="7">
        <v>0.78846675157547</v>
      </c>
      <c r="H1005" s="7">
        <v>47.43656328125</v>
      </c>
      <c r="I1005" s="7">
        <v>29.68185251501703</v>
      </c>
      <c r="J1005" s="7">
        <v>10.53825659031456</v>
      </c>
      <c r="K1005" s="7">
        <v>4.672360914962706</v>
      </c>
      <c r="L1005" s="7">
        <v>0.9045685287683402</v>
      </c>
      <c r="M1005" s="7">
        <v>0.6766141498417044</v>
      </c>
      <c r="N1005" s="7">
        <v>0.403614760671728</v>
      </c>
      <c r="O1005" s="7">
        <v>0.0621794708696326</v>
      </c>
      <c r="P1005" s="7">
        <v>8.697677612852425</v>
      </c>
      <c r="Q1005" s="7">
        <v>0.0286879687453709</v>
      </c>
      <c r="R1005" s="7">
        <v>0.0692784742053932</v>
      </c>
      <c r="S1005" s="7">
        <v>0.1187596159669104</v>
      </c>
      <c r="T1005" s="7">
        <v>1.579442414959654</v>
      </c>
    </row>
    <row x14ac:dyDescent="0.25" r="1006" customHeight="1" ht="19.5">
      <c r="A1006" s="2" t="s">
        <v>2064</v>
      </c>
      <c r="B1006" s="2" t="s">
        <v>1060</v>
      </c>
      <c r="C1006" s="2" t="s">
        <v>31</v>
      </c>
      <c r="D1006" s="2" t="s">
        <v>650</v>
      </c>
      <c r="E1006" s="6">
        <v>1</v>
      </c>
      <c r="F1006" s="6">
        <v>2</v>
      </c>
      <c r="G1006" s="7">
        <v>0.7837936282157898</v>
      </c>
      <c r="H1006" s="7">
        <v>47.06252890625</v>
      </c>
      <c r="I1006" s="7">
        <v>29.79955181408036</v>
      </c>
      <c r="J1006" s="7">
        <v>10.52283018387661</v>
      </c>
      <c r="K1006" s="7">
        <v>4.592355533613033</v>
      </c>
      <c r="L1006" s="7">
        <v>0.906758787476916</v>
      </c>
      <c r="M1006" s="7">
        <v>0.6659868586017976</v>
      </c>
      <c r="N1006" s="7">
        <v>0.4012957493368828</v>
      </c>
      <c r="O1006" s="7">
        <v>0.0616114285330584</v>
      </c>
      <c r="P1006" s="7">
        <v>8.698714281537278</v>
      </c>
      <c r="Q1006" s="7">
        <v>0.028772950534656</v>
      </c>
      <c r="R1006" s="7">
        <v>0.0695163858508403</v>
      </c>
      <c r="S1006" s="7">
        <v>0.1154296883439895</v>
      </c>
      <c r="T1006" s="7">
        <v>1.571630467603951</v>
      </c>
    </row>
    <row x14ac:dyDescent="0.25" r="1007" customHeight="1" ht="19.5">
      <c r="A1007" s="2" t="s">
        <v>2065</v>
      </c>
      <c r="B1007" s="2" t="s">
        <v>1060</v>
      </c>
      <c r="C1007" s="2" t="s">
        <v>31</v>
      </c>
      <c r="D1007" s="2" t="s">
        <v>650</v>
      </c>
      <c r="E1007" s="6">
        <v>1</v>
      </c>
      <c r="F1007" s="6">
        <v>2</v>
      </c>
      <c r="G1007" s="7">
        <v>0.7882146835327148</v>
      </c>
      <c r="H1007" s="7">
        <v>46.93785078125001</v>
      </c>
      <c r="I1007" s="7">
        <v>29.61290586190753</v>
      </c>
      <c r="J1007" s="7">
        <v>10.54453397308932</v>
      </c>
      <c r="K1007" s="7">
        <v>4.63466007770386</v>
      </c>
      <c r="L1007" s="7">
        <v>0.9068744044693482</v>
      </c>
      <c r="M1007" s="7">
        <v>0.6726219131285689</v>
      </c>
      <c r="N1007" s="7">
        <v>0.4090476626679354</v>
      </c>
      <c r="O1007" s="7">
        <v>0.0627275264612127</v>
      </c>
      <c r="P1007" s="7">
        <v>8.67077077154814</v>
      </c>
      <c r="Q1007" s="7">
        <v>0.0286647619842594</v>
      </c>
      <c r="R1007" s="7">
        <v>0.0676635268084965</v>
      </c>
      <c r="S1007" s="7">
        <v>0.1185917945388475</v>
      </c>
      <c r="T1007" s="7">
        <v>1.561573103245459</v>
      </c>
    </row>
    <row x14ac:dyDescent="0.25" r="1008" customHeight="1" ht="19.5">
      <c r="A1008" s="2" t="s">
        <v>2066</v>
      </c>
      <c r="B1008" s="2" t="s">
        <v>1060</v>
      </c>
      <c r="C1008" s="2" t="s">
        <v>31</v>
      </c>
      <c r="D1008" s="2" t="s">
        <v>650</v>
      </c>
      <c r="E1008" s="6">
        <v>1</v>
      </c>
      <c r="F1008" s="6">
        <v>2</v>
      </c>
      <c r="G1008" s="7">
        <v>0.7796821594238281</v>
      </c>
      <c r="H1008" s="7">
        <v>47.3292015625</v>
      </c>
      <c r="I1008" s="7">
        <v>29.48092724344511</v>
      </c>
      <c r="J1008" s="7">
        <v>10.49405848039263</v>
      </c>
      <c r="K1008" s="7">
        <v>4.703387597244049</v>
      </c>
      <c r="L1008" s="7">
        <v>0.903487941190298</v>
      </c>
      <c r="M1008" s="7">
        <v>0.6843161099248284</v>
      </c>
      <c r="N1008" s="7">
        <v>0.4629862748647944</v>
      </c>
      <c r="O1008" s="7">
        <v>0.0692543163597326</v>
      </c>
      <c r="P1008" s="7">
        <v>8.35711278012929</v>
      </c>
      <c r="Q1008" s="7">
        <v>0.027117816505968</v>
      </c>
      <c r="R1008" s="7">
        <v>0.0645148800497507</v>
      </c>
      <c r="S1008" s="7">
        <v>0.0974409039325071</v>
      </c>
      <c r="T1008" s="7">
        <v>1.489617191593962</v>
      </c>
    </row>
    <row x14ac:dyDescent="0.25" r="1009" customHeight="1" ht="19.5">
      <c r="A1009" s="2" t="s">
        <v>2067</v>
      </c>
      <c r="B1009" s="2" t="s">
        <v>1060</v>
      </c>
      <c r="C1009" s="2" t="s">
        <v>31</v>
      </c>
      <c r="D1009" s="2" t="s">
        <v>650</v>
      </c>
      <c r="E1009" s="6">
        <v>1</v>
      </c>
      <c r="F1009" s="6">
        <v>2</v>
      </c>
      <c r="G1009" s="7">
        <v>0.755630373954773</v>
      </c>
      <c r="H1009" s="7">
        <v>49.13357109375</v>
      </c>
      <c r="I1009" s="7">
        <v>30.11817638471561</v>
      </c>
      <c r="J1009" s="7">
        <v>10.96868174685447</v>
      </c>
      <c r="K1009" s="7">
        <v>4.918803932655688</v>
      </c>
      <c r="L1009" s="7">
        <v>0.9049881625511628</v>
      </c>
      <c r="M1009" s="7">
        <v>0.6806609721316992</v>
      </c>
      <c r="N1009" s="7">
        <v>0.5009972940184662</v>
      </c>
      <c r="O1009" s="7">
        <v>0.0757379194578069</v>
      </c>
      <c r="P1009" s="7">
        <v>8.332878936812495</v>
      </c>
      <c r="Q1009" s="7">
        <v>0.0450738071500296</v>
      </c>
      <c r="R1009" s="7">
        <v>0.0833960826973204</v>
      </c>
      <c r="S1009" s="7">
        <v>0.1100327441820358</v>
      </c>
      <c r="T1009" s="7">
        <v>2.5703564404705</v>
      </c>
    </row>
    <row x14ac:dyDescent="0.25" r="1010" customHeight="1" ht="19.5">
      <c r="A1010" s="2" t="s">
        <v>2068</v>
      </c>
      <c r="B1010" s="2" t="s">
        <v>1060</v>
      </c>
      <c r="C1010" s="2" t="s">
        <v>31</v>
      </c>
      <c r="D1010" s="2" t="s">
        <v>650</v>
      </c>
      <c r="E1010" s="6">
        <v>1</v>
      </c>
      <c r="F1010" s="6">
        <v>2</v>
      </c>
      <c r="G1010" s="7">
        <v>0.781683623790741</v>
      </c>
      <c r="H1010" s="7">
        <v>47.79328125</v>
      </c>
      <c r="I1010" s="7">
        <v>29.67940257113106</v>
      </c>
      <c r="J1010" s="7">
        <v>10.64132708030827</v>
      </c>
      <c r="K1010" s="7">
        <v>4.763926342280392</v>
      </c>
      <c r="L1010" s="7">
        <v>0.9047883488710168</v>
      </c>
      <c r="M1010" s="7">
        <v>0.6818147666245572</v>
      </c>
      <c r="N1010" s="7">
        <v>0.4490000476276538</v>
      </c>
      <c r="O1010" s="7">
        <v>0.0633880216763705</v>
      </c>
      <c r="P1010" s="7">
        <v>8.563836730890822</v>
      </c>
      <c r="Q1010" s="7">
        <v>0.0478459279643958</v>
      </c>
      <c r="R1010" s="7">
        <v>0.0889465508399898</v>
      </c>
      <c r="S1010" s="7">
        <v>0.1354860986671299</v>
      </c>
      <c r="T1010" s="7">
        <v>2.654010337882155</v>
      </c>
    </row>
    <row x14ac:dyDescent="0.25" r="1011" customHeight="1" ht="19.5">
      <c r="A1011" s="2" t="s">
        <v>2069</v>
      </c>
      <c r="B1011" s="2" t="s">
        <v>1060</v>
      </c>
      <c r="C1011" s="2" t="s">
        <v>31</v>
      </c>
      <c r="D1011" s="2" t="s">
        <v>650</v>
      </c>
      <c r="E1011" s="6">
        <v>1</v>
      </c>
      <c r="F1011" s="6">
        <v>2</v>
      </c>
      <c r="G1011" s="7">
        <v>0.8038222789764404</v>
      </c>
      <c r="H1011" s="7">
        <v>47.98376171875</v>
      </c>
      <c r="I1011" s="7">
        <v>29.46664792404601</v>
      </c>
      <c r="J1011" s="7">
        <v>10.4870581310687</v>
      </c>
      <c r="K1011" s="7">
        <v>4.886820297996353</v>
      </c>
      <c r="L1011" s="7">
        <v>0.8987073740290811</v>
      </c>
      <c r="M1011" s="7">
        <v>0.6944527270469862</v>
      </c>
      <c r="N1011" s="7">
        <v>0.4270229463429206</v>
      </c>
      <c r="O1011" s="7">
        <v>0.0653817099177775</v>
      </c>
      <c r="P1011" s="7">
        <v>8.714106767981503</v>
      </c>
      <c r="Q1011" s="7">
        <v>0.047436151406764</v>
      </c>
      <c r="R1011" s="7">
        <v>0.093160318575639</v>
      </c>
      <c r="S1011" s="7">
        <v>0.1414077214196503</v>
      </c>
      <c r="T1011" s="7">
        <v>2.641767046123739</v>
      </c>
    </row>
    <row x14ac:dyDescent="0.25" r="1012" customHeight="1" ht="19.5">
      <c r="A1012" s="2" t="s">
        <v>2070</v>
      </c>
      <c r="B1012" s="2" t="s">
        <v>1060</v>
      </c>
      <c r="C1012" s="2" t="s">
        <v>31</v>
      </c>
      <c r="D1012" s="2" t="s">
        <v>650</v>
      </c>
      <c r="E1012" s="6">
        <v>1</v>
      </c>
      <c r="F1012" s="6">
        <v>2</v>
      </c>
      <c r="G1012" s="7">
        <v>0.8117466568946838</v>
      </c>
      <c r="H1012" s="7">
        <v>47.8140609375</v>
      </c>
      <c r="I1012" s="7">
        <v>29.64737918846228</v>
      </c>
      <c r="J1012" s="7">
        <v>10.47346254765556</v>
      </c>
      <c r="K1012" s="7">
        <v>4.811352996404826</v>
      </c>
      <c r="L1012" s="7">
        <v>0.8999975141063647</v>
      </c>
      <c r="M1012" s="7">
        <v>0.6835855577278797</v>
      </c>
      <c r="N1012" s="7">
        <v>0.42099861823223</v>
      </c>
      <c r="O1012" s="7">
        <v>0.0620427737459312</v>
      </c>
      <c r="P1012" s="7">
        <v>8.763105169358537</v>
      </c>
      <c r="Q1012" s="7">
        <v>0.0484323412501773</v>
      </c>
      <c r="R1012" s="7">
        <v>0.0958584145235194</v>
      </c>
      <c r="S1012" s="7">
        <v>0.1502520056556308</v>
      </c>
      <c r="T1012" s="7">
        <v>2.687706702845966</v>
      </c>
    </row>
    <row x14ac:dyDescent="0.25" r="1013" customHeight="1" ht="19.5">
      <c r="A1013" s="2" t="s">
        <v>2071</v>
      </c>
      <c r="B1013" s="2" t="s">
        <v>1060</v>
      </c>
      <c r="C1013" s="2" t="s">
        <v>31</v>
      </c>
      <c r="D1013" s="2" t="s">
        <v>650</v>
      </c>
      <c r="E1013" s="6">
        <v>1</v>
      </c>
      <c r="F1013" s="6">
        <v>2</v>
      </c>
      <c r="G1013" s="7">
        <v>0.8094061613082886</v>
      </c>
      <c r="H1013" s="7">
        <v>47.5647046875</v>
      </c>
      <c r="I1013" s="7">
        <v>29.67593782726047</v>
      </c>
      <c r="J1013" s="7">
        <v>10.47874058947026</v>
      </c>
      <c r="K1013" s="7">
        <v>4.820787891597249</v>
      </c>
      <c r="L1013" s="7">
        <v>0.9007793901702495</v>
      </c>
      <c r="M1013" s="7">
        <v>0.678712368554063</v>
      </c>
      <c r="N1013" s="7">
        <v>0.4179366150023391</v>
      </c>
      <c r="O1013" s="7">
        <v>0.0623609716646712</v>
      </c>
      <c r="P1013" s="7">
        <v>8.790134048867436</v>
      </c>
      <c r="Q1013" s="7">
        <v>0.048961588300284</v>
      </c>
      <c r="R1013" s="7">
        <v>0.096988207670241</v>
      </c>
      <c r="S1013" s="7">
        <v>0.1436877221526798</v>
      </c>
      <c r="T1013" s="7">
        <v>2.702906872545079</v>
      </c>
    </row>
    <row x14ac:dyDescent="0.25" r="1014" customHeight="1" ht="19.5">
      <c r="A1014" s="2" t="s">
        <v>2072</v>
      </c>
      <c r="B1014" s="2" t="s">
        <v>1060</v>
      </c>
      <c r="C1014" s="2" t="s">
        <v>31</v>
      </c>
      <c r="D1014" s="2" t="s">
        <v>650</v>
      </c>
      <c r="E1014" s="6">
        <v>1</v>
      </c>
      <c r="F1014" s="6">
        <v>2</v>
      </c>
      <c r="G1014" s="7">
        <v>0.8026648759841919</v>
      </c>
      <c r="H1014" s="7">
        <v>47.8833265625</v>
      </c>
      <c r="I1014" s="7">
        <v>29.52131525775642</v>
      </c>
      <c r="J1014" s="7">
        <v>10.47027350701494</v>
      </c>
      <c r="K1014" s="7">
        <v>4.824670867726431</v>
      </c>
      <c r="L1014" s="7">
        <v>0.9000392344530967</v>
      </c>
      <c r="M1014" s="7">
        <v>0.6904349589114813</v>
      </c>
      <c r="N1014" s="7">
        <v>0.4183216251362119</v>
      </c>
      <c r="O1014" s="7">
        <v>0.0599439672409496</v>
      </c>
      <c r="P1014" s="7">
        <v>8.722998492052422</v>
      </c>
      <c r="Q1014" s="7">
        <v>0.048253629931617</v>
      </c>
      <c r="R1014" s="7">
        <v>0.096870009665577</v>
      </c>
      <c r="S1014" s="7">
        <v>0.1474331772793922</v>
      </c>
      <c r="T1014" s="7">
        <v>2.681668455681149</v>
      </c>
    </row>
    <row x14ac:dyDescent="0.25" r="1015" customHeight="1" ht="19.5">
      <c r="A1015" s="2" t="s">
        <v>2073</v>
      </c>
      <c r="B1015" s="2" t="s">
        <v>1060</v>
      </c>
      <c r="C1015" s="2" t="s">
        <v>31</v>
      </c>
      <c r="D1015" s="2" t="s">
        <v>650</v>
      </c>
      <c r="E1015" s="6">
        <v>1</v>
      </c>
      <c r="F1015" s="6">
        <v>2</v>
      </c>
      <c r="G1015" s="7">
        <v>0.8087944984436035</v>
      </c>
      <c r="H1015" s="7">
        <v>47.585484375</v>
      </c>
      <c r="I1015" s="7">
        <v>29.74488448036996</v>
      </c>
      <c r="J1015" s="7">
        <v>10.48175794436628</v>
      </c>
      <c r="K1015" s="7">
        <v>4.784769097540661</v>
      </c>
      <c r="L1015" s="7">
        <v>0.9011844319485348</v>
      </c>
      <c r="M1015" s="7">
        <v>0.6758647328211052</v>
      </c>
      <c r="N1015" s="7">
        <v>0.4136703798983117</v>
      </c>
      <c r="O1015" s="7">
        <v>0.0597023221091019</v>
      </c>
      <c r="P1015" s="7">
        <v>8.791379669141078</v>
      </c>
      <c r="Q1015" s="7">
        <v>0.0472895744044309</v>
      </c>
      <c r="R1015" s="7">
        <v>0.0939287705939909</v>
      </c>
      <c r="S1015" s="7">
        <v>0.1436401182941917</v>
      </c>
      <c r="T1015" s="7">
        <v>2.611744446540958</v>
      </c>
    </row>
    <row x14ac:dyDescent="0.25" r="1016" customHeight="1" ht="19.5">
      <c r="A1016" s="2" t="s">
        <v>2074</v>
      </c>
      <c r="B1016" s="2" t="s">
        <v>1060</v>
      </c>
      <c r="C1016" s="2" t="s">
        <v>31</v>
      </c>
      <c r="D1016" s="2" t="s">
        <v>650</v>
      </c>
      <c r="E1016" s="6">
        <v>1</v>
      </c>
      <c r="F1016" s="6">
        <v>2</v>
      </c>
      <c r="G1016" s="7">
        <v>0.8031125068664551</v>
      </c>
      <c r="H1016" s="7">
        <v>47.81752421875</v>
      </c>
      <c r="I1016" s="7">
        <v>29.40361595869308</v>
      </c>
      <c r="J1016" s="7">
        <v>10.44507333030113</v>
      </c>
      <c r="K1016" s="7">
        <v>4.84352438849297</v>
      </c>
      <c r="L1016" s="7">
        <v>0.8994183915941635</v>
      </c>
      <c r="M1016" s="7">
        <v>0.6950170631572014</v>
      </c>
      <c r="N1016" s="7">
        <v>0.4189183295073743</v>
      </c>
      <c r="O1016" s="7">
        <v>0.0623654203313045</v>
      </c>
      <c r="P1016" s="7">
        <v>8.736239195278728</v>
      </c>
      <c r="Q1016" s="7">
        <v>0.0484666818017285</v>
      </c>
      <c r="R1016" s="7">
        <v>0.0962776044636202</v>
      </c>
      <c r="S1016" s="7">
        <v>0.144447913675362</v>
      </c>
      <c r="T1016" s="7">
        <v>2.689807213832469</v>
      </c>
    </row>
    <row x14ac:dyDescent="0.25" r="1017" customHeight="1" ht="19.5">
      <c r="A1017" s="2" t="s">
        <v>2075</v>
      </c>
      <c r="B1017" s="2" t="s">
        <v>1060</v>
      </c>
      <c r="C1017" s="2" t="s">
        <v>31</v>
      </c>
      <c r="D1017" s="2" t="s">
        <v>650</v>
      </c>
      <c r="E1017" s="6">
        <v>1</v>
      </c>
      <c r="F1017" s="6">
        <v>2</v>
      </c>
      <c r="G1017" s="7">
        <v>0.8085004687309265</v>
      </c>
      <c r="H1017" s="7">
        <v>48.13960937500001</v>
      </c>
      <c r="I1017" s="7">
        <v>29.67593782726047</v>
      </c>
      <c r="J1017" s="7">
        <v>10.4812866953979</v>
      </c>
      <c r="K1017" s="7">
        <v>4.881827887144715</v>
      </c>
      <c r="L1017" s="7">
        <v>0.8978660501333806</v>
      </c>
      <c r="M1017" s="7">
        <v>0.6869158237149757</v>
      </c>
      <c r="N1017" s="7">
        <v>0.4204726068612863</v>
      </c>
      <c r="O1017" s="7">
        <v>0.0636523570365367</v>
      </c>
      <c r="P1017" s="7">
        <v>8.76353494697431</v>
      </c>
      <c r="Q1017" s="7">
        <v>0.0479121862403018</v>
      </c>
      <c r="R1017" s="7">
        <v>0.0946017023782311</v>
      </c>
      <c r="S1017" s="7">
        <v>0.1440642974867623</v>
      </c>
      <c r="T1017" s="7">
        <v>2.676944271779005</v>
      </c>
    </row>
    <row x14ac:dyDescent="0.25" r="1018" customHeight="1" ht="19.5">
      <c r="A1018" s="2" t="s">
        <v>2076</v>
      </c>
      <c r="B1018" s="2" t="s">
        <v>1060</v>
      </c>
      <c r="C1018" s="2" t="s">
        <v>31</v>
      </c>
      <c r="D1018" s="2" t="s">
        <v>650</v>
      </c>
      <c r="E1018" s="6">
        <v>1</v>
      </c>
      <c r="F1018" s="6">
        <v>2</v>
      </c>
      <c r="G1018" s="7">
        <v>0.8056811690330505</v>
      </c>
      <c r="H1018" s="7">
        <v>47.94220234375</v>
      </c>
      <c r="I1018" s="7">
        <v>29.59862654250844</v>
      </c>
      <c r="J1018" s="7">
        <v>10.49152559934679</v>
      </c>
      <c r="K1018" s="7">
        <v>4.780230877831393</v>
      </c>
      <c r="L1018" s="7">
        <v>0.9011043366247692</v>
      </c>
      <c r="M1018" s="7">
        <v>0.6876773598015608</v>
      </c>
      <c r="N1018" s="7">
        <v>0.4113406446642943</v>
      </c>
      <c r="O1018" s="7">
        <v>0.0594885411416683</v>
      </c>
      <c r="P1018" s="7">
        <v>8.782867029999384</v>
      </c>
      <c r="Q1018" s="7">
        <v>0.0481649518075665</v>
      </c>
      <c r="R1018" s="7">
        <v>0.0956651407665725</v>
      </c>
      <c r="S1018" s="7">
        <v>0.1456921437427797</v>
      </c>
      <c r="T1018" s="7">
        <v>2.680031451336707</v>
      </c>
    </row>
    <row x14ac:dyDescent="0.25" r="1019" customHeight="1" ht="19.5">
      <c r="A1019" s="2" t="s">
        <v>2077</v>
      </c>
      <c r="B1019" s="2" t="s">
        <v>1060</v>
      </c>
      <c r="C1019" s="2" t="s">
        <v>31</v>
      </c>
      <c r="D1019" s="2" t="s">
        <v>650</v>
      </c>
      <c r="E1019" s="6">
        <v>1</v>
      </c>
      <c r="F1019" s="6">
        <v>2</v>
      </c>
      <c r="G1019" s="7">
        <v>0.7985161542892456</v>
      </c>
      <c r="H1019" s="7">
        <v>47.78981796875</v>
      </c>
      <c r="I1019" s="7">
        <v>29.43217459749127</v>
      </c>
      <c r="J1019" s="7">
        <v>10.484094069871</v>
      </c>
      <c r="K1019" s="7">
        <v>4.786084157783272</v>
      </c>
      <c r="L1019" s="7">
        <v>0.9003454798973936</v>
      </c>
      <c r="M1019" s="7">
        <v>0.6932670160439023</v>
      </c>
      <c r="N1019" s="7">
        <v>0.4156808177544445</v>
      </c>
      <c r="O1019" s="7">
        <v>0.0601925524414392</v>
      </c>
      <c r="P1019" s="7">
        <v>8.761647861837007</v>
      </c>
      <c r="Q1019" s="7">
        <v>0.0481016128248668</v>
      </c>
      <c r="R1019" s="7">
        <v>0.0957016984765107</v>
      </c>
      <c r="S1019" s="7">
        <v>0.1454257171571925</v>
      </c>
      <c r="T1019" s="7">
        <v>2.667999812200334</v>
      </c>
    </row>
    <row x14ac:dyDescent="0.25" r="1020" customHeight="1" ht="19.5">
      <c r="A1020" s="2" t="s">
        <v>2078</v>
      </c>
      <c r="B1020" s="2" t="s">
        <v>1060</v>
      </c>
      <c r="C1020" s="2" t="s">
        <v>31</v>
      </c>
      <c r="D1020" s="2" t="s">
        <v>650</v>
      </c>
      <c r="E1020" s="6">
        <v>1</v>
      </c>
      <c r="F1020" s="6">
        <v>2</v>
      </c>
      <c r="G1020" s="7">
        <v>0.8077841997146606</v>
      </c>
      <c r="H1020" s="7">
        <v>48.0634171875</v>
      </c>
      <c r="I1020" s="7">
        <v>29.57843253535279</v>
      </c>
      <c r="J1020" s="7">
        <v>10.48100444645729</v>
      </c>
      <c r="K1020" s="7">
        <v>4.83590947143192</v>
      </c>
      <c r="L1020" s="7">
        <v>0.8997701234537997</v>
      </c>
      <c r="M1020" s="7">
        <v>0.6903577392281556</v>
      </c>
      <c r="N1020" s="7">
        <v>0.4159712170779376</v>
      </c>
      <c r="O1020" s="7">
        <v>0.0609005118014069</v>
      </c>
      <c r="P1020" s="7">
        <v>8.779724110184127</v>
      </c>
      <c r="Q1020" s="7">
        <v>0.0470379827515102</v>
      </c>
      <c r="R1020" s="7">
        <v>0.0944019990527345</v>
      </c>
      <c r="S1020" s="7">
        <v>0.1441093518187239</v>
      </c>
      <c r="T1020" s="7">
        <v>2.62394128882651</v>
      </c>
    </row>
    <row x14ac:dyDescent="0.25" r="1021" customHeight="1" ht="19.5">
      <c r="A1021" s="2" t="s">
        <v>2079</v>
      </c>
      <c r="B1021" s="2" t="s">
        <v>1060</v>
      </c>
      <c r="C1021" s="2" t="s">
        <v>31</v>
      </c>
      <c r="D1021" s="2" t="s">
        <v>650</v>
      </c>
      <c r="E1021" s="6">
        <v>1</v>
      </c>
      <c r="F1021" s="6">
        <v>2</v>
      </c>
      <c r="G1021" s="7">
        <v>0.809580385684967</v>
      </c>
      <c r="H1021" s="7">
        <v>47.85215703125</v>
      </c>
      <c r="I1021" s="7">
        <v>29.56415321595369</v>
      </c>
      <c r="J1021" s="7">
        <v>10.49476162388607</v>
      </c>
      <c r="K1021" s="7">
        <v>4.846192342275641</v>
      </c>
      <c r="L1021" s="7">
        <v>0.9005373398512707</v>
      </c>
      <c r="M1021" s="7">
        <v>0.6879874159553556</v>
      </c>
      <c r="N1021" s="7">
        <v>0.4181660296885652</v>
      </c>
      <c r="O1021" s="7">
        <v>0.061893244714657</v>
      </c>
      <c r="P1021" s="7">
        <v>8.766053915690808</v>
      </c>
      <c r="Q1021" s="7">
        <v>0.0476463551359506</v>
      </c>
      <c r="R1021" s="7">
        <v>0.0935376497962325</v>
      </c>
      <c r="S1021" s="7">
        <v>0.144576995421763</v>
      </c>
      <c r="T1021" s="7">
        <v>2.646195842505803</v>
      </c>
    </row>
    <row x14ac:dyDescent="0.25" r="1022" customHeight="1" ht="19.5">
      <c r="A1022" s="2" t="s">
        <v>2080</v>
      </c>
      <c r="B1022" s="2" t="s">
        <v>1060</v>
      </c>
      <c r="C1022" s="2" t="s">
        <v>31</v>
      </c>
      <c r="D1022" s="2" t="s">
        <v>650</v>
      </c>
      <c r="E1022" s="6">
        <v>1</v>
      </c>
      <c r="F1022" s="6">
        <v>2</v>
      </c>
      <c r="G1022" s="7">
        <v>0.7986013293266296</v>
      </c>
      <c r="H1022" s="7">
        <v>47.49890234375</v>
      </c>
      <c r="I1022" s="7">
        <v>29.33466930558358</v>
      </c>
      <c r="J1022" s="7">
        <v>10.45962357365657</v>
      </c>
      <c r="K1022" s="7">
        <v>4.805404606388011</v>
      </c>
      <c r="L1022" s="7">
        <v>0.901231823090307</v>
      </c>
      <c r="M1022" s="7">
        <v>0.6936350721762996</v>
      </c>
      <c r="N1022" s="7">
        <v>0.4160393792406951</v>
      </c>
      <c r="O1022" s="7">
        <v>0.0602729304736529</v>
      </c>
      <c r="P1022" s="7">
        <v>8.750127082573727</v>
      </c>
      <c r="Q1022" s="7">
        <v>0.04828291755735</v>
      </c>
      <c r="R1022" s="7">
        <v>0.0949013070982899</v>
      </c>
      <c r="S1022" s="7">
        <v>0.1449314170445327</v>
      </c>
      <c r="T1022" s="7">
        <v>2.661753652454581</v>
      </c>
    </row>
    <row x14ac:dyDescent="0.25" r="1023" customHeight="1" ht="19.5">
      <c r="A1023" s="2" t="s">
        <v>2081</v>
      </c>
      <c r="B1023" s="2" t="s">
        <v>1060</v>
      </c>
      <c r="C1023" s="2" t="s">
        <v>31</v>
      </c>
      <c r="D1023" s="2" t="s">
        <v>650</v>
      </c>
      <c r="E1023" s="6">
        <v>1</v>
      </c>
      <c r="F1023" s="6">
        <v>2</v>
      </c>
      <c r="G1023" s="7">
        <v>0.8085685968399048</v>
      </c>
      <c r="H1023" s="7">
        <v>47.92142265625</v>
      </c>
      <c r="I1023" s="7">
        <v>29.59862654250844</v>
      </c>
      <c r="J1023" s="7">
        <v>10.43050285269072</v>
      </c>
      <c r="K1023" s="7">
        <v>4.824359038513736</v>
      </c>
      <c r="L1023" s="7">
        <v>0.8990955963638155</v>
      </c>
      <c r="M1023" s="7">
        <v>0.6873792983872132</v>
      </c>
      <c r="N1023" s="7">
        <v>0.4157982553828951</v>
      </c>
      <c r="O1023" s="7">
        <v>0.0612643938112063</v>
      </c>
      <c r="P1023" s="7">
        <v>8.744092622909067</v>
      </c>
      <c r="Q1023" s="7">
        <v>0.0483372378212196</v>
      </c>
      <c r="R1023" s="7">
        <v>0.0945156053565747</v>
      </c>
      <c r="S1023" s="7">
        <v>0.1438706200478883</v>
      </c>
      <c r="T1023" s="7">
        <v>2.688452156147405</v>
      </c>
    </row>
    <row x14ac:dyDescent="0.25" r="1024" customHeight="1" ht="19.5">
      <c r="A1024" s="2" t="s">
        <v>2082</v>
      </c>
      <c r="B1024" s="2" t="s">
        <v>1060</v>
      </c>
      <c r="C1024" s="2" t="s">
        <v>31</v>
      </c>
      <c r="D1024" s="2" t="s">
        <v>650</v>
      </c>
      <c r="E1024" s="6">
        <v>1</v>
      </c>
      <c r="F1024" s="6">
        <v>2</v>
      </c>
      <c r="G1024" s="7">
        <v>0.8005906343460083</v>
      </c>
      <c r="H1024" s="7">
        <v>47.9318125</v>
      </c>
      <c r="I1024" s="7">
        <v>29.61290586190753</v>
      </c>
      <c r="J1024" s="7">
        <v>10.5111952115642</v>
      </c>
      <c r="K1024" s="7">
        <v>4.808061011402715</v>
      </c>
      <c r="L1024" s="7">
        <v>0.901445371819972</v>
      </c>
      <c r="M1024" s="7">
        <v>0.686865437740677</v>
      </c>
      <c r="N1024" s="7">
        <v>0.4160884088572967</v>
      </c>
      <c r="O1024" s="7">
        <v>0.0600144024257006</v>
      </c>
      <c r="P1024" s="7">
        <v>8.750065665687886</v>
      </c>
      <c r="Q1024" s="7">
        <v>0.0465097043504762</v>
      </c>
      <c r="R1024" s="7">
        <v>0.0937291366392014</v>
      </c>
      <c r="S1024" s="7">
        <v>0.1413137259376738</v>
      </c>
      <c r="T1024" s="7">
        <v>2.58736804813234</v>
      </c>
    </row>
    <row x14ac:dyDescent="0.25" r="1025" customHeight="1" ht="19.5">
      <c r="A1025" s="2" t="s">
        <v>2083</v>
      </c>
      <c r="B1025" s="2" t="s">
        <v>1060</v>
      </c>
      <c r="C1025" s="2" t="s">
        <v>31</v>
      </c>
      <c r="D1025" s="2" t="s">
        <v>650</v>
      </c>
      <c r="E1025" s="6">
        <v>1</v>
      </c>
      <c r="F1025" s="6">
        <v>2</v>
      </c>
      <c r="G1025" s="7">
        <v>0.809030294418335</v>
      </c>
      <c r="H1025" s="7">
        <v>47.6755296875</v>
      </c>
      <c r="I1025" s="7">
        <v>29.62718518130663</v>
      </c>
      <c r="J1025" s="7">
        <v>10.51728744424423</v>
      </c>
      <c r="K1025" s="7">
        <v>4.817783909904515</v>
      </c>
      <c r="L1025" s="7">
        <v>0.9026000713556696</v>
      </c>
      <c r="M1025" s="7">
        <v>0.6825344974528901</v>
      </c>
      <c r="N1025" s="7">
        <v>0.4151390573211672</v>
      </c>
      <c r="O1025" s="7">
        <v>0.0600911690403926</v>
      </c>
      <c r="P1025" s="7">
        <v>8.780460819110107</v>
      </c>
      <c r="Q1025" s="7">
        <v>0.0474170590850893</v>
      </c>
      <c r="R1025" s="7">
        <v>0.0944792611378385</v>
      </c>
      <c r="S1025" s="7">
        <v>0.1400748953394198</v>
      </c>
      <c r="T1025" s="7">
        <v>2.623740755940121</v>
      </c>
    </row>
    <row x14ac:dyDescent="0.25" r="1026" customHeight="1" ht="19.5">
      <c r="A1026" s="2" t="s">
        <v>2084</v>
      </c>
      <c r="B1026" s="2" t="s">
        <v>1060</v>
      </c>
      <c r="C1026" s="2" t="s">
        <v>31</v>
      </c>
      <c r="D1026" s="2" t="s">
        <v>650</v>
      </c>
      <c r="E1026" s="6">
        <v>1</v>
      </c>
      <c r="F1026" s="6">
        <v>2</v>
      </c>
      <c r="G1026" s="7">
        <v>0.809598445892334</v>
      </c>
      <c r="H1026" s="7">
        <v>47.70669921875</v>
      </c>
      <c r="I1026" s="7">
        <v>29.50112125060076</v>
      </c>
      <c r="J1026" s="7">
        <v>10.48191472599987</v>
      </c>
      <c r="K1026" s="7">
        <v>4.771419990958007</v>
      </c>
      <c r="L1026" s="7">
        <v>0.901165647943984</v>
      </c>
      <c r="M1026" s="7">
        <v>0.6888302138217745</v>
      </c>
      <c r="N1026" s="7">
        <v>0.414541247341383</v>
      </c>
      <c r="O1026" s="7">
        <v>0.0598012423340319</v>
      </c>
      <c r="P1026" s="7">
        <v>8.7824687610278</v>
      </c>
      <c r="Q1026" s="7">
        <v>0.0477293334504753</v>
      </c>
      <c r="R1026" s="7">
        <v>0.0956810034112595</v>
      </c>
      <c r="S1026" s="7">
        <v>0.1447073580766085</v>
      </c>
      <c r="T1026" s="7">
        <v>2.642746574927561</v>
      </c>
    </row>
    <row x14ac:dyDescent="0.25" r="1027" customHeight="1" ht="19.5">
      <c r="A1027" s="2" t="s">
        <v>2085</v>
      </c>
      <c r="B1027" s="2" t="s">
        <v>1060</v>
      </c>
      <c r="C1027" s="2" t="s">
        <v>31</v>
      </c>
      <c r="D1027" s="2" t="s">
        <v>650</v>
      </c>
      <c r="E1027" s="6">
        <v>1</v>
      </c>
      <c r="F1027" s="6">
        <v>2</v>
      </c>
      <c r="G1027" s="7">
        <v>0.804489016532898</v>
      </c>
      <c r="H1027" s="7">
        <v>47.20106015625</v>
      </c>
      <c r="I1027" s="7">
        <v>29.36914263213833</v>
      </c>
      <c r="J1027" s="7">
        <v>10.46604295852665</v>
      </c>
      <c r="K1027" s="7">
        <v>4.757074956157851</v>
      </c>
      <c r="L1027" s="7">
        <v>0.9029523122390978</v>
      </c>
      <c r="M1027" s="7">
        <v>0.6876684196522235</v>
      </c>
      <c r="N1027" s="7">
        <v>0.4187288358336786</v>
      </c>
      <c r="O1027" s="7">
        <v>0.0604040412624325</v>
      </c>
      <c r="P1027" s="7">
        <v>8.696248440514244</v>
      </c>
      <c r="Q1027" s="7">
        <v>0.0494396419083251</v>
      </c>
      <c r="R1027" s="7">
        <v>0.0959304669196896</v>
      </c>
      <c r="S1027" s="7">
        <v>0.1440590600668468</v>
      </c>
      <c r="T1027" s="7">
        <v>2.708431460054755</v>
      </c>
    </row>
    <row x14ac:dyDescent="0.25" r="1028" customHeight="1" ht="19.5">
      <c r="A1028" s="2" t="s">
        <v>2086</v>
      </c>
      <c r="B1028" s="2" t="s">
        <v>1060</v>
      </c>
      <c r="C1028" s="2" t="s">
        <v>31</v>
      </c>
      <c r="D1028" s="2" t="s">
        <v>650</v>
      </c>
      <c r="E1028" s="6">
        <v>1</v>
      </c>
      <c r="F1028" s="6">
        <v>2</v>
      </c>
      <c r="G1028" s="7">
        <v>0.8099439144134521</v>
      </c>
      <c r="H1028" s="7">
        <v>47.82445078125</v>
      </c>
      <c r="I1028" s="7">
        <v>29.77935780692471</v>
      </c>
      <c r="J1028" s="7">
        <v>10.48514096843282</v>
      </c>
      <c r="K1028" s="7">
        <v>4.828104773425228</v>
      </c>
      <c r="L1028" s="7">
        <v>0.9001306819189169</v>
      </c>
      <c r="M1028" s="7">
        <v>0.6776870697763798</v>
      </c>
      <c r="N1028" s="7">
        <v>0.4143372966031264</v>
      </c>
      <c r="O1028" s="7">
        <v>0.0608819878445501</v>
      </c>
      <c r="P1028" s="7">
        <v>8.797575303195845</v>
      </c>
      <c r="Q1028" s="7">
        <v>0.0489182118236375</v>
      </c>
      <c r="R1028" s="7">
        <v>0.0958283593729669</v>
      </c>
      <c r="S1028" s="7">
        <v>0.1474264203295389</v>
      </c>
      <c r="T1028" s="7">
        <v>2.715259517197768</v>
      </c>
    </row>
    <row x14ac:dyDescent="0.25" r="1029" customHeight="1" ht="19.5">
      <c r="A1029" s="2" t="s">
        <v>2087</v>
      </c>
      <c r="B1029" s="2" t="s">
        <v>1060</v>
      </c>
      <c r="C1029" s="2" t="s">
        <v>31</v>
      </c>
      <c r="D1029" s="2" t="s">
        <v>650</v>
      </c>
      <c r="E1029" s="6">
        <v>1</v>
      </c>
      <c r="F1029" s="6">
        <v>2</v>
      </c>
      <c r="G1029" s="7">
        <v>0.7996466159820557</v>
      </c>
      <c r="H1029" s="7">
        <v>48.05302734375</v>
      </c>
      <c r="I1029" s="7">
        <v>29.38933663929399</v>
      </c>
      <c r="J1029" s="7">
        <v>10.50912974557694</v>
      </c>
      <c r="K1029" s="7">
        <v>4.805324921304635</v>
      </c>
      <c r="L1029" s="7">
        <v>0.900963261620798</v>
      </c>
      <c r="M1029" s="7">
        <v>0.699118911944221</v>
      </c>
      <c r="N1029" s="7">
        <v>0.4216942993161508</v>
      </c>
      <c r="O1029" s="7">
        <v>0.0604883938713293</v>
      </c>
      <c r="P1029" s="7">
        <v>8.723656115641734</v>
      </c>
      <c r="Q1029" s="7">
        <v>0.0474380678184506</v>
      </c>
      <c r="R1029" s="7">
        <v>0.0950682598056062</v>
      </c>
      <c r="S1029" s="7">
        <v>0.1439077116919196</v>
      </c>
      <c r="T1029" s="7">
        <v>2.645687376446146</v>
      </c>
    </row>
    <row x14ac:dyDescent="0.25" r="1030" customHeight="1" ht="19.5">
      <c r="A1030" s="2" t="s">
        <v>2088</v>
      </c>
      <c r="B1030" s="2" t="s">
        <v>1060</v>
      </c>
      <c r="C1030" s="2" t="s">
        <v>31</v>
      </c>
      <c r="D1030" s="2" t="s">
        <v>650</v>
      </c>
      <c r="E1030" s="6">
        <v>1</v>
      </c>
      <c r="F1030" s="6">
        <v>2</v>
      </c>
      <c r="G1030" s="7">
        <v>0.8083856105804443</v>
      </c>
      <c r="H1030" s="7">
        <v>47.6339703125</v>
      </c>
      <c r="I1030" s="7">
        <v>29.41789527809217</v>
      </c>
      <c r="J1030" s="7">
        <v>10.48051001459507</v>
      </c>
      <c r="K1030" s="7">
        <v>4.817090553503531</v>
      </c>
      <c r="L1030" s="7">
        <v>0.9005037679760879</v>
      </c>
      <c r="M1030" s="7">
        <v>0.6916771845637163</v>
      </c>
      <c r="N1030" s="7">
        <v>0.4190926912603544</v>
      </c>
      <c r="O1030" s="7">
        <v>0.0624959447181355</v>
      </c>
      <c r="P1030" s="7">
        <v>8.77340746402441</v>
      </c>
      <c r="Q1030" s="7">
        <v>0.0482296500522384</v>
      </c>
      <c r="R1030" s="7">
        <v>0.0964562680656003</v>
      </c>
      <c r="S1030" s="7">
        <v>0.1460982449773699</v>
      </c>
      <c r="T1030" s="7">
        <v>2.666377724486325</v>
      </c>
    </row>
    <row x14ac:dyDescent="0.25" r="1031" customHeight="1" ht="19.5">
      <c r="A1031" s="2" t="s">
        <v>2089</v>
      </c>
      <c r="B1031" s="2" t="s">
        <v>1060</v>
      </c>
      <c r="C1031" s="2" t="s">
        <v>31</v>
      </c>
      <c r="D1031" s="2" t="s">
        <v>650</v>
      </c>
      <c r="E1031" s="6">
        <v>1</v>
      </c>
      <c r="F1031" s="6">
        <v>2</v>
      </c>
      <c r="G1031" s="7">
        <v>0.7980259656906128</v>
      </c>
      <c r="H1031" s="7">
        <v>47.59241093750001</v>
      </c>
      <c r="I1031" s="7">
        <v>29.36914263213833</v>
      </c>
      <c r="J1031" s="7">
        <v>10.4431691385225</v>
      </c>
      <c r="K1031" s="7">
        <v>4.787406215953723</v>
      </c>
      <c r="L1031" s="7">
        <v>0.900171354528703</v>
      </c>
      <c r="M1031" s="7">
        <v>0.6933699774642932</v>
      </c>
      <c r="N1031" s="7">
        <v>0.4267278636561178</v>
      </c>
      <c r="O1031" s="7">
        <v>0.0608881712728359</v>
      </c>
      <c r="P1031" s="7">
        <v>8.718238133044894</v>
      </c>
      <c r="Q1031" s="7">
        <v>0.0488409925430377</v>
      </c>
      <c r="R1031" s="7">
        <v>0.0953442486604628</v>
      </c>
      <c r="S1031" s="7">
        <v>0.1459934187351179</v>
      </c>
      <c r="T1031" s="7">
        <v>2.697819981633634</v>
      </c>
    </row>
    <row x14ac:dyDescent="0.25" r="1032" customHeight="1" ht="19.5">
      <c r="A1032" s="2" t="s">
        <v>2090</v>
      </c>
      <c r="B1032" s="2" t="s">
        <v>1060</v>
      </c>
      <c r="C1032" s="2" t="s">
        <v>31</v>
      </c>
      <c r="D1032" s="2" t="s">
        <v>840</v>
      </c>
      <c r="E1032" s="6">
        <v>1</v>
      </c>
      <c r="F1032" s="6">
        <v>2</v>
      </c>
      <c r="G1032" s="7">
        <v>0.7234479188919067</v>
      </c>
      <c r="H1032" s="7">
        <v>46.32831328125</v>
      </c>
      <c r="I1032" s="7">
        <v>28.39408971306154</v>
      </c>
      <c r="J1032" s="7">
        <v>9.0253666026279</v>
      </c>
      <c r="K1032" s="7">
        <v>5.093085712294477</v>
      </c>
      <c r="L1032" s="7">
        <v>0.833209850389525</v>
      </c>
      <c r="M1032" s="7">
        <v>0.7221051666512638</v>
      </c>
      <c r="N1032" s="7">
        <v>0.5934925869722588</v>
      </c>
      <c r="O1032" s="7">
        <v>0.0805415670482357</v>
      </c>
      <c r="P1032" s="7">
        <v>7.737120219334582</v>
      </c>
      <c r="Q1032" s="7">
        <v>0.0189571006698263</v>
      </c>
      <c r="R1032" s="7">
        <v>0.0339144791048956</v>
      </c>
      <c r="S1032" s="7">
        <v>0.0442404648483314</v>
      </c>
      <c r="T1032" s="7">
        <v>1.019316807049061</v>
      </c>
    </row>
    <row x14ac:dyDescent="0.25" r="1033" customHeight="1" ht="19.5">
      <c r="A1033" s="2" t="s">
        <v>2091</v>
      </c>
      <c r="B1033" s="2" t="s">
        <v>1060</v>
      </c>
      <c r="C1033" s="2" t="s">
        <v>31</v>
      </c>
      <c r="D1033" s="2" t="s">
        <v>840</v>
      </c>
      <c r="E1033" s="6">
        <v>1</v>
      </c>
      <c r="F1033" s="6">
        <v>2</v>
      </c>
      <c r="G1033" s="7">
        <v>0.7520266771316528</v>
      </c>
      <c r="H1033" s="7">
        <v>46.58459609375</v>
      </c>
      <c r="I1033" s="7">
        <v>28.22763776804437</v>
      </c>
      <c r="J1033" s="7">
        <v>8.835414609867666</v>
      </c>
      <c r="K1033" s="7">
        <v>5.18445667797001</v>
      </c>
      <c r="L1033" s="7">
        <v>0.8175104502751609</v>
      </c>
      <c r="M1033" s="7">
        <v>0.7346883055039476</v>
      </c>
      <c r="N1033" s="7">
        <v>0.5357703280775977</v>
      </c>
      <c r="O1033" s="7">
        <v>0.0728636086609059</v>
      </c>
      <c r="P1033" s="7">
        <v>8.007486666275005</v>
      </c>
      <c r="Q1033" s="7">
        <v>0.0253908059908877</v>
      </c>
      <c r="R1033" s="7">
        <v>0.0473333031967604</v>
      </c>
      <c r="S1033" s="7">
        <v>0.0715462422843488</v>
      </c>
      <c r="T1033" s="7">
        <v>1.372807368238692</v>
      </c>
    </row>
    <row x14ac:dyDescent="0.25" r="1034" customHeight="1" ht="19.5">
      <c r="A1034" s="2" t="s">
        <v>2092</v>
      </c>
      <c r="B1034" s="2" t="s">
        <v>1060</v>
      </c>
      <c r="C1034" s="2" t="s">
        <v>31</v>
      </c>
      <c r="D1034" s="2" t="s">
        <v>840</v>
      </c>
      <c r="E1034" s="6">
        <v>1</v>
      </c>
      <c r="F1034" s="6">
        <v>2</v>
      </c>
      <c r="G1034" s="7">
        <v>0.7742812037467957</v>
      </c>
      <c r="H1034" s="7">
        <v>45.74648203125</v>
      </c>
      <c r="I1034" s="7">
        <v>27.90901319740912</v>
      </c>
      <c r="J1034" s="7">
        <v>8.778669589297783</v>
      </c>
      <c r="K1034" s="7">
        <v>5.127277306521253</v>
      </c>
      <c r="L1034" s="7">
        <v>0.8194145522187934</v>
      </c>
      <c r="M1034" s="7">
        <v>0.7380377968773323</v>
      </c>
      <c r="N1034" s="7">
        <v>0.4997547034745593</v>
      </c>
      <c r="O1034" s="7">
        <v>0.0697323086400761</v>
      </c>
      <c r="P1034" s="7">
        <v>8.156310761421823</v>
      </c>
      <c r="Q1034" s="7">
        <v>0.0250296935003865</v>
      </c>
      <c r="R1034" s="7">
        <v>0.0521238642145421</v>
      </c>
      <c r="S1034" s="7">
        <v>0.0863775908590747</v>
      </c>
      <c r="T1034" s="7">
        <v>1.32893583805526</v>
      </c>
    </row>
    <row x14ac:dyDescent="0.25" r="1035" customHeight="1" ht="19.5">
      <c r="A1035" s="2" t="s">
        <v>2093</v>
      </c>
      <c r="B1035" s="2" t="s">
        <v>1060</v>
      </c>
      <c r="C1035" s="2" t="s">
        <v>31</v>
      </c>
      <c r="D1035" s="2" t="s">
        <v>840</v>
      </c>
      <c r="E1035" s="6">
        <v>1</v>
      </c>
      <c r="F1035" s="6">
        <v>2</v>
      </c>
      <c r="G1035" s="7">
        <v>0.7815499305725098</v>
      </c>
      <c r="H1035" s="7">
        <v>46.05125078125</v>
      </c>
      <c r="I1035" s="7">
        <v>28.12421778838013</v>
      </c>
      <c r="J1035" s="7">
        <v>8.781501736369144</v>
      </c>
      <c r="K1035" s="7">
        <v>5.191535708235456</v>
      </c>
      <c r="L1035" s="7">
        <v>0.812364450710991</v>
      </c>
      <c r="M1035" s="7">
        <v>0.7316281209051014</v>
      </c>
      <c r="N1035" s="7">
        <v>0.4551092945458919</v>
      </c>
      <c r="O1035" s="7">
        <v>0.0633632975432008</v>
      </c>
      <c r="P1035" s="7">
        <v>8.418778545898682</v>
      </c>
      <c r="Q1035" s="7">
        <v>0.0232496484058864</v>
      </c>
      <c r="R1035" s="7">
        <v>0.058297047133786</v>
      </c>
      <c r="S1035" s="7">
        <v>0.098392952972085</v>
      </c>
      <c r="T1035" s="7">
        <v>1.242649358917265</v>
      </c>
    </row>
    <row x14ac:dyDescent="0.25" r="1036" customHeight="1" ht="19.5">
      <c r="A1036" s="2" t="s">
        <v>2094</v>
      </c>
      <c r="B1036" s="2" t="s">
        <v>1060</v>
      </c>
      <c r="C1036" s="2" t="s">
        <v>31</v>
      </c>
      <c r="D1036" s="2" t="s">
        <v>840</v>
      </c>
      <c r="E1036" s="6">
        <v>1</v>
      </c>
      <c r="F1036" s="6">
        <v>2</v>
      </c>
      <c r="G1036" s="7">
        <v>0.764136552810669</v>
      </c>
      <c r="H1036" s="7">
        <v>45.06075234375</v>
      </c>
      <c r="I1036" s="7">
        <v>27.72236724523629</v>
      </c>
      <c r="J1036" s="7">
        <v>8.674550007063266</v>
      </c>
      <c r="K1036" s="7">
        <v>5.148015728355984</v>
      </c>
      <c r="L1036" s="7">
        <v>0.8132107952908149</v>
      </c>
      <c r="M1036" s="7">
        <v>0.7367967095304161</v>
      </c>
      <c r="N1036" s="7">
        <v>0.4215999970676911</v>
      </c>
      <c r="O1036" s="7">
        <v>0.0596028868301826</v>
      </c>
      <c r="P1036" s="7">
        <v>8.586793584593076</v>
      </c>
      <c r="Q1036" s="7">
        <v>0.0261108762216931</v>
      </c>
      <c r="R1036" s="7">
        <v>0.0633567683665263</v>
      </c>
      <c r="S1036" s="7">
        <v>0.1139905487340309</v>
      </c>
      <c r="T1036" s="7">
        <v>1.365559615309561</v>
      </c>
    </row>
    <row x14ac:dyDescent="0.25" r="1037" customHeight="1" ht="19.5">
      <c r="A1037" s="2" t="s">
        <v>2095</v>
      </c>
      <c r="B1037" s="2" t="s">
        <v>1060</v>
      </c>
      <c r="C1037" s="2" t="s">
        <v>31</v>
      </c>
      <c r="D1037" s="2" t="s">
        <v>840</v>
      </c>
      <c r="E1037" s="6">
        <v>1</v>
      </c>
      <c r="F1037" s="6">
        <v>2</v>
      </c>
      <c r="G1037" s="7">
        <v>0.7775880098342896</v>
      </c>
      <c r="H1037" s="7">
        <v>44.5308703125</v>
      </c>
      <c r="I1037" s="7">
        <v>27.73664656463538</v>
      </c>
      <c r="J1037" s="7">
        <v>8.667031355646252</v>
      </c>
      <c r="K1037" s="7">
        <v>5.075546252164867</v>
      </c>
      <c r="L1037" s="7">
        <v>0.8176580888207986</v>
      </c>
      <c r="M1037" s="7">
        <v>0.7273829920978474</v>
      </c>
      <c r="N1037" s="7">
        <v>0.4265200587897196</v>
      </c>
      <c r="O1037" s="7">
        <v>0.0601356150778565</v>
      </c>
      <c r="P1037" s="7">
        <v>8.563157943512048</v>
      </c>
      <c r="Q1037" s="7">
        <v>0.0263010685989238</v>
      </c>
      <c r="R1037" s="7">
        <v>0.0620833516807318</v>
      </c>
      <c r="S1037" s="7">
        <v>0.1141890385781565</v>
      </c>
      <c r="T1037" s="7">
        <v>1.359331425392916</v>
      </c>
    </row>
    <row x14ac:dyDescent="0.25" r="1038" customHeight="1" ht="19.5">
      <c r="A1038" s="2" t="s">
        <v>2096</v>
      </c>
      <c r="B1038" s="2" t="s">
        <v>1060</v>
      </c>
      <c r="C1038" s="2" t="s">
        <v>31</v>
      </c>
      <c r="D1038" s="2" t="s">
        <v>840</v>
      </c>
      <c r="E1038" s="6">
        <v>1</v>
      </c>
      <c r="F1038" s="6">
        <v>2</v>
      </c>
      <c r="G1038" s="7">
        <v>0.7719647884368896</v>
      </c>
      <c r="H1038" s="7">
        <v>44.50316406250001</v>
      </c>
      <c r="I1038" s="7">
        <v>27.59038862677387</v>
      </c>
      <c r="J1038" s="7">
        <v>8.665609625073571</v>
      </c>
      <c r="K1038" s="7">
        <v>5.073111954770635</v>
      </c>
      <c r="L1038" s="7">
        <v>0.8172873298617878</v>
      </c>
      <c r="M1038" s="7">
        <v>0.7346578402079719</v>
      </c>
      <c r="N1038" s="7">
        <v>0.4265803656892881</v>
      </c>
      <c r="O1038" s="7">
        <v>0.0599687163671076</v>
      </c>
      <c r="P1038" s="7">
        <v>8.558606010980979</v>
      </c>
      <c r="Q1038" s="7">
        <v>0.0268287718800525</v>
      </c>
      <c r="R1038" s="7">
        <v>0.0623422163795568</v>
      </c>
      <c r="S1038" s="7">
        <v>0.1133055181312778</v>
      </c>
      <c r="T1038" s="7">
        <v>1.385742261943763</v>
      </c>
    </row>
    <row x14ac:dyDescent="0.25" r="1039" customHeight="1" ht="19.5">
      <c r="A1039" s="2" t="s">
        <v>2097</v>
      </c>
      <c r="B1039" s="2" t="s">
        <v>1060</v>
      </c>
      <c r="C1039" s="2" t="s">
        <v>31</v>
      </c>
      <c r="D1039" s="2" t="s">
        <v>840</v>
      </c>
      <c r="E1039" s="6">
        <v>1</v>
      </c>
      <c r="F1039" s="6">
        <v>2</v>
      </c>
      <c r="G1039" s="7">
        <v>0.7620149254798889</v>
      </c>
      <c r="H1039" s="7">
        <v>44.593209375</v>
      </c>
      <c r="I1039" s="7">
        <v>27.42393668175669</v>
      </c>
      <c r="J1039" s="7">
        <v>8.544375</v>
      </c>
      <c r="K1039" s="7">
        <v>5.124166666666666</v>
      </c>
      <c r="L1039" s="7">
        <v>0.8089972532233718</v>
      </c>
      <c r="M1039" s="7">
        <v>0.7451076094166806</v>
      </c>
      <c r="N1039" s="7">
        <v>0.4291559678852171</v>
      </c>
      <c r="O1039" s="7">
        <v>0.0604972927960622</v>
      </c>
      <c r="P1039" s="7">
        <v>8.52773306011069</v>
      </c>
      <c r="Q1039" s="7">
        <v>0.0275517809597095</v>
      </c>
      <c r="R1039" s="7">
        <v>0.0637294987999042</v>
      </c>
      <c r="S1039" s="7">
        <v>0.1135019172212219</v>
      </c>
      <c r="T1039" s="7">
        <v>1.425966053435579</v>
      </c>
    </row>
    <row x14ac:dyDescent="0.25" r="1040" customHeight="1" ht="19.5">
      <c r="A1040" s="2" t="s">
        <v>2098</v>
      </c>
      <c r="B1040" s="2" t="s">
        <v>1060</v>
      </c>
      <c r="C1040" s="2" t="s">
        <v>31</v>
      </c>
      <c r="D1040" s="2" t="s">
        <v>840</v>
      </c>
      <c r="E1040" s="6">
        <v>1</v>
      </c>
      <c r="F1040" s="6">
        <v>2</v>
      </c>
      <c r="G1040" s="7">
        <v>0.7751989364624023</v>
      </c>
      <c r="H1040" s="7">
        <v>45.618340625</v>
      </c>
      <c r="I1040" s="7">
        <v>27.65933527988335</v>
      </c>
      <c r="J1040" s="7">
        <v>8.544375</v>
      </c>
      <c r="K1040" s="7">
        <v>5.243333333333334</v>
      </c>
      <c r="L1040" s="7">
        <v>0.7990029398253862</v>
      </c>
      <c r="M1040" s="7">
        <v>0.7493174908661794</v>
      </c>
      <c r="N1040" s="7">
        <v>0.4299696160617052</v>
      </c>
      <c r="O1040" s="7">
        <v>0.0603168422844478</v>
      </c>
      <c r="P1040" s="7">
        <v>8.549272371120093</v>
      </c>
      <c r="Q1040" s="7">
        <v>0.0268508695223019</v>
      </c>
      <c r="R1040" s="7">
        <v>0.0644526945161337</v>
      </c>
      <c r="S1040" s="7">
        <v>0.1146645702485032</v>
      </c>
      <c r="T1040" s="7">
        <v>1.42163667236768</v>
      </c>
    </row>
    <row x14ac:dyDescent="0.25" r="1041" customHeight="1" ht="19.5">
      <c r="A1041" s="2" t="s">
        <v>2099</v>
      </c>
      <c r="B1041" s="2" t="s">
        <v>1060</v>
      </c>
      <c r="C1041" s="2" t="s">
        <v>31</v>
      </c>
      <c r="D1041" s="2" t="s">
        <v>840</v>
      </c>
      <c r="E1041" s="6">
        <v>1</v>
      </c>
      <c r="F1041" s="6">
        <v>2</v>
      </c>
      <c r="G1041" s="7">
        <v>0.7776379585266113</v>
      </c>
      <c r="H1041" s="7">
        <v>44.49277421875</v>
      </c>
      <c r="I1041" s="7">
        <v>27.63914127272771</v>
      </c>
      <c r="J1041" s="7">
        <v>8.667172489786013</v>
      </c>
      <c r="K1041" s="7">
        <v>5.075787945219496</v>
      </c>
      <c r="L1041" s="7">
        <v>0.8172422955438919</v>
      </c>
      <c r="M1041" s="7">
        <v>0.7318974910162455</v>
      </c>
      <c r="N1041" s="7">
        <v>0.4298334610995767</v>
      </c>
      <c r="O1041" s="7">
        <v>0.0601505427669991</v>
      </c>
      <c r="P1041" s="7">
        <v>8.55278163463064</v>
      </c>
      <c r="Q1041" s="7">
        <v>0.0258684591192995</v>
      </c>
      <c r="R1041" s="7">
        <v>0.0630430886217606</v>
      </c>
      <c r="S1041" s="7">
        <v>0.1108927948694134</v>
      </c>
      <c r="T1041" s="7">
        <v>1.335828872816456</v>
      </c>
    </row>
    <row x14ac:dyDescent="0.25" r="1042" customHeight="1" ht="19.5">
      <c r="A1042" s="2" t="s">
        <v>2100</v>
      </c>
      <c r="B1042" s="2" t="s">
        <v>1060</v>
      </c>
      <c r="C1042" s="2" t="s">
        <v>31</v>
      </c>
      <c r="D1042" s="2" t="s">
        <v>840</v>
      </c>
      <c r="E1042" s="6">
        <v>1</v>
      </c>
      <c r="F1042" s="6">
        <v>2</v>
      </c>
      <c r="G1042" s="7">
        <v>0.7716273069381714</v>
      </c>
      <c r="H1042" s="7">
        <v>45.105775</v>
      </c>
      <c r="I1042" s="7">
        <v>27.54163598082003</v>
      </c>
      <c r="J1042" s="7">
        <v>8.544375</v>
      </c>
      <c r="K1042" s="7">
        <v>5.18375</v>
      </c>
      <c r="L1042" s="7">
        <v>0.8040440178451153</v>
      </c>
      <c r="M1042" s="7">
        <v>0.7472441873101299</v>
      </c>
      <c r="N1042" s="7">
        <v>0.4308591823015765</v>
      </c>
      <c r="O1042" s="7">
        <v>0.0606599821277978</v>
      </c>
      <c r="P1042" s="7">
        <v>8.52658105288823</v>
      </c>
      <c r="Q1042" s="7">
        <v>0.0264223634234162</v>
      </c>
      <c r="R1042" s="7">
        <v>0.0633632944927427</v>
      </c>
      <c r="S1042" s="7">
        <v>0.1140543851356135</v>
      </c>
      <c r="T1042" s="7">
        <v>1.383230609853885</v>
      </c>
    </row>
    <row x14ac:dyDescent="0.25" r="1043" customHeight="1" ht="19.5">
      <c r="A1043" s="2" t="s">
        <v>2101</v>
      </c>
      <c r="B1043" s="2" t="s">
        <v>1060</v>
      </c>
      <c r="C1043" s="2" t="s">
        <v>31</v>
      </c>
      <c r="D1043" s="2" t="s">
        <v>840</v>
      </c>
      <c r="E1043" s="6">
        <v>1</v>
      </c>
      <c r="F1043" s="6">
        <v>2</v>
      </c>
      <c r="G1043" s="7">
        <v>0.7673037648200989</v>
      </c>
      <c r="H1043" s="7">
        <v>45.02611953125</v>
      </c>
      <c r="I1043" s="7">
        <v>27.72236724523629</v>
      </c>
      <c r="J1043" s="7">
        <v>8.677332206111561</v>
      </c>
      <c r="K1043" s="7">
        <v>5.152265207812457</v>
      </c>
      <c r="L1043" s="7">
        <v>0.8128302700579865</v>
      </c>
      <c r="M1043" s="7">
        <v>0.7362304219971516</v>
      </c>
      <c r="N1043" s="7">
        <v>0.4288869680410476</v>
      </c>
      <c r="O1043" s="7">
        <v>0.0602352679690497</v>
      </c>
      <c r="P1043" s="7">
        <v>8.556890702745822</v>
      </c>
      <c r="Q1043" s="7">
        <v>0.0264158771694388</v>
      </c>
      <c r="R1043" s="7">
        <v>0.0634831588236291</v>
      </c>
      <c r="S1043" s="7">
        <v>0.1111018421793772</v>
      </c>
      <c r="T1043" s="7">
        <v>1.380448904756467</v>
      </c>
    </row>
    <row x14ac:dyDescent="0.25" r="1044" customHeight="1" ht="19.5">
      <c r="A1044" s="2" t="s">
        <v>2102</v>
      </c>
      <c r="B1044" s="2" t="s">
        <v>1060</v>
      </c>
      <c r="C1044" s="2" t="s">
        <v>31</v>
      </c>
      <c r="D1044" s="2" t="s">
        <v>840</v>
      </c>
      <c r="E1044" s="6">
        <v>1</v>
      </c>
      <c r="F1044" s="6">
        <v>2</v>
      </c>
      <c r="G1044" s="7">
        <v>0.7710473537445068</v>
      </c>
      <c r="H1044" s="7">
        <v>45.52483203125</v>
      </c>
      <c r="I1044" s="7">
        <v>27.80559321774487</v>
      </c>
      <c r="J1044" s="7">
        <v>8.666914056465039</v>
      </c>
      <c r="K1044" s="7">
        <v>5.194315189315157</v>
      </c>
      <c r="L1044" s="7">
        <v>0.8076319661595335</v>
      </c>
      <c r="M1044" s="7">
        <v>0.7399355377680868</v>
      </c>
      <c r="N1044" s="7">
        <v>0.4302823726317721</v>
      </c>
      <c r="O1044" s="7">
        <v>0.0599826228629452</v>
      </c>
      <c r="P1044" s="7">
        <v>8.574394930784887</v>
      </c>
      <c r="Q1044" s="7">
        <v>0.0279022111443722</v>
      </c>
      <c r="R1044" s="7">
        <v>0.0642717410397974</v>
      </c>
      <c r="S1044" s="7">
        <v>0.1150074630162916</v>
      </c>
      <c r="T1044" s="7">
        <v>1.474272460574802</v>
      </c>
    </row>
    <row x14ac:dyDescent="0.25" r="1045" customHeight="1" ht="19.5">
      <c r="A1045" s="2" t="s">
        <v>2103</v>
      </c>
      <c r="B1045" s="2" t="s">
        <v>1060</v>
      </c>
      <c r="C1045" s="2" t="s">
        <v>31</v>
      </c>
      <c r="D1045" s="2" t="s">
        <v>840</v>
      </c>
      <c r="E1045" s="6">
        <v>1</v>
      </c>
      <c r="F1045" s="6">
        <v>2</v>
      </c>
      <c r="G1045" s="7">
        <v>0.769233763217926</v>
      </c>
      <c r="H1045" s="7">
        <v>45.535221875</v>
      </c>
      <c r="I1045" s="7">
        <v>27.84006654429962</v>
      </c>
      <c r="J1045" s="7">
        <v>8.665682059131147</v>
      </c>
      <c r="K1045" s="7">
        <v>5.192301814716161</v>
      </c>
      <c r="L1045" s="7">
        <v>0.8077028467818236</v>
      </c>
      <c r="M1045" s="7">
        <v>0.7382726554334287</v>
      </c>
      <c r="N1045" s="7">
        <v>0.4302349635547162</v>
      </c>
      <c r="O1045" s="7">
        <v>0.0600252769654249</v>
      </c>
      <c r="P1045" s="7">
        <v>8.56855974473695</v>
      </c>
      <c r="Q1045" s="7">
        <v>0.0276009354256688</v>
      </c>
      <c r="R1045" s="7">
        <v>0.0660358972903078</v>
      </c>
      <c r="S1045" s="7">
        <v>0.114329195955003</v>
      </c>
      <c r="T1045" s="7">
        <v>1.45868675033403</v>
      </c>
    </row>
    <row x14ac:dyDescent="0.25" r="1046" customHeight="1" ht="19.5">
      <c r="A1046" s="2" t="s">
        <v>2104</v>
      </c>
      <c r="B1046" s="2" t="s">
        <v>1060</v>
      </c>
      <c r="C1046" s="2" t="s">
        <v>31</v>
      </c>
      <c r="D1046" s="2" t="s">
        <v>840</v>
      </c>
      <c r="E1046" s="6">
        <v>1</v>
      </c>
      <c r="F1046" s="6">
        <v>2</v>
      </c>
      <c r="G1046" s="7">
        <v>0.7619980573654175</v>
      </c>
      <c r="H1046" s="7">
        <v>45.02265625</v>
      </c>
      <c r="I1046" s="7">
        <v>27.68789391868154</v>
      </c>
      <c r="J1046" s="7">
        <v>8.676075707553757</v>
      </c>
      <c r="K1046" s="7">
        <v>5.150455469312635</v>
      </c>
      <c r="L1046" s="7">
        <v>0.812828269391341</v>
      </c>
      <c r="M1046" s="7">
        <v>0.7380081081649302</v>
      </c>
      <c r="N1046" s="7">
        <v>0.4310365863181106</v>
      </c>
      <c r="O1046" s="7">
        <v>0.0601545797304898</v>
      </c>
      <c r="P1046" s="7">
        <v>8.558398018327395</v>
      </c>
      <c r="Q1046" s="7">
        <v>0.0256349241559185</v>
      </c>
      <c r="R1046" s="7">
        <v>0.0637589942737512</v>
      </c>
      <c r="S1046" s="7">
        <v>0.1134557781154073</v>
      </c>
      <c r="T1046" s="7">
        <v>1.339534584672857</v>
      </c>
    </row>
    <row x14ac:dyDescent="0.25" r="1047" customHeight="1" ht="19.5">
      <c r="A1047" s="2" t="s">
        <v>2105</v>
      </c>
      <c r="B1047" s="2" t="s">
        <v>1060</v>
      </c>
      <c r="C1047" s="2" t="s">
        <v>31</v>
      </c>
      <c r="D1047" s="2" t="s">
        <v>840</v>
      </c>
      <c r="E1047" s="6">
        <v>1</v>
      </c>
      <c r="F1047" s="6">
        <v>2</v>
      </c>
      <c r="G1047" s="7">
        <v>0.766046404838562</v>
      </c>
      <c r="H1047" s="7">
        <v>44.99495</v>
      </c>
      <c r="I1047" s="7">
        <v>27.68789391868154</v>
      </c>
      <c r="J1047" s="7">
        <v>8.670023094542072</v>
      </c>
      <c r="K1047" s="7">
        <v>5.14014645433355</v>
      </c>
      <c r="L1047" s="7">
        <v>0.8124153915969272</v>
      </c>
      <c r="M1047" s="7">
        <v>0.7375539493291363</v>
      </c>
      <c r="N1047" s="7">
        <v>0.4322390035826322</v>
      </c>
      <c r="O1047" s="7">
        <v>0.0605869268405768</v>
      </c>
      <c r="P1047" s="7">
        <v>8.54497989151619</v>
      </c>
      <c r="Q1047" s="7">
        <v>0.0276858988237368</v>
      </c>
      <c r="R1047" s="7">
        <v>0.0631607817926336</v>
      </c>
      <c r="S1047" s="7">
        <v>0.1104288213014529</v>
      </c>
      <c r="T1047" s="7">
        <v>1.445816514537549</v>
      </c>
    </row>
    <row x14ac:dyDescent="0.25" r="1048" customHeight="1" ht="19.5">
      <c r="A1048" s="2" t="s">
        <v>2106</v>
      </c>
      <c r="B1048" s="2" t="s">
        <v>1060</v>
      </c>
      <c r="C1048" s="2" t="s">
        <v>31</v>
      </c>
      <c r="D1048" s="2" t="s">
        <v>840</v>
      </c>
      <c r="E1048" s="6">
        <v>1</v>
      </c>
      <c r="F1048" s="6">
        <v>2</v>
      </c>
      <c r="G1048" s="7">
        <v>0.7755224108695984</v>
      </c>
      <c r="H1048" s="7">
        <v>45.923109375</v>
      </c>
      <c r="I1048" s="7">
        <v>27.74256125239194</v>
      </c>
      <c r="J1048" s="7">
        <v>8.603641292825628</v>
      </c>
      <c r="K1048" s="7">
        <v>5.245193357025141</v>
      </c>
      <c r="L1048" s="7">
        <v>0.8020240412850798</v>
      </c>
      <c r="M1048" s="7">
        <v>0.7498045000717988</v>
      </c>
      <c r="N1048" s="7">
        <v>0.4335417686991855</v>
      </c>
      <c r="O1048" s="7">
        <v>0.0607254594049092</v>
      </c>
      <c r="P1048" s="7">
        <v>8.523548039319884</v>
      </c>
      <c r="Q1048" s="7">
        <v>0.0257016905645481</v>
      </c>
      <c r="R1048" s="7">
        <v>0.0638100229164617</v>
      </c>
      <c r="S1048" s="7">
        <v>0.1104725117022086</v>
      </c>
      <c r="T1048" s="7">
        <v>1.36988388380232</v>
      </c>
    </row>
    <row x14ac:dyDescent="0.25" r="1049" customHeight="1" ht="19.5">
      <c r="A1049" s="2" t="s">
        <v>2107</v>
      </c>
      <c r="B1049" s="2" t="s">
        <v>1060</v>
      </c>
      <c r="C1049" s="2" t="s">
        <v>31</v>
      </c>
      <c r="D1049" s="2" t="s">
        <v>840</v>
      </c>
      <c r="E1049" s="6">
        <v>1</v>
      </c>
      <c r="F1049" s="6">
        <v>2</v>
      </c>
      <c r="G1049" s="7">
        <v>0.7590517401695251</v>
      </c>
      <c r="H1049" s="7">
        <v>45.618340625</v>
      </c>
      <c r="I1049" s="7">
        <v>27.65933527988335</v>
      </c>
      <c r="J1049" s="7">
        <v>8.544375</v>
      </c>
      <c r="K1049" s="7">
        <v>5.243333333333334</v>
      </c>
      <c r="L1049" s="7">
        <v>0.7990029398253862</v>
      </c>
      <c r="M1049" s="7">
        <v>0.7493174908661794</v>
      </c>
      <c r="N1049" s="7">
        <v>0.4305358848305913</v>
      </c>
      <c r="O1049" s="7">
        <v>0.0602973302979202</v>
      </c>
      <c r="P1049" s="7">
        <v>8.53691423037876</v>
      </c>
      <c r="Q1049" s="7">
        <v>0.0270960709465142</v>
      </c>
      <c r="R1049" s="7">
        <v>0.0629368354752146</v>
      </c>
      <c r="S1049" s="7">
        <v>0.1118230406726957</v>
      </c>
      <c r="T1049" s="7">
        <v>1.43461902053661</v>
      </c>
    </row>
    <row x14ac:dyDescent="0.25" r="1050" customHeight="1" ht="19.5">
      <c r="A1050" s="2" t="s">
        <v>2108</v>
      </c>
      <c r="B1050" s="2" t="s">
        <v>1060</v>
      </c>
      <c r="C1050" s="2" t="s">
        <v>31</v>
      </c>
      <c r="D1050" s="2" t="s">
        <v>840</v>
      </c>
      <c r="E1050" s="6">
        <v>1</v>
      </c>
      <c r="F1050" s="6">
        <v>2</v>
      </c>
      <c r="G1050" s="7">
        <v>0.7662968039512634</v>
      </c>
      <c r="H1050" s="7">
        <v>45.7153125</v>
      </c>
      <c r="I1050" s="7">
        <v>27.75684057179103</v>
      </c>
      <c r="J1050" s="7">
        <v>8.614884005830874</v>
      </c>
      <c r="K1050" s="7">
        <v>5.263771492385782</v>
      </c>
      <c r="L1050" s="7">
        <v>0.7995773329640053</v>
      </c>
      <c r="M1050" s="7">
        <v>0.745643944119319</v>
      </c>
      <c r="N1050" s="7">
        <v>0.4338612046121238</v>
      </c>
      <c r="O1050" s="7">
        <v>0.0605678377503931</v>
      </c>
      <c r="P1050" s="7">
        <v>8.551232223967983</v>
      </c>
      <c r="Q1050" s="7">
        <v>0.0271856503899305</v>
      </c>
      <c r="R1050" s="7">
        <v>0.0631390094655768</v>
      </c>
      <c r="S1050" s="7">
        <v>0.1132018279877048</v>
      </c>
      <c r="T1050" s="7">
        <v>1.442421544233067</v>
      </c>
    </row>
    <row x14ac:dyDescent="0.25" r="1051" customHeight="1" ht="19.5">
      <c r="A1051" s="2" t="s">
        <v>2109</v>
      </c>
      <c r="B1051" s="2" t="s">
        <v>1060</v>
      </c>
      <c r="C1051" s="2" t="s">
        <v>31</v>
      </c>
      <c r="D1051" s="2" t="s">
        <v>840</v>
      </c>
      <c r="E1051" s="6">
        <v>1</v>
      </c>
      <c r="F1051" s="6">
        <v>2</v>
      </c>
      <c r="G1051" s="7">
        <v>0.7646133899688721</v>
      </c>
      <c r="H1051" s="7">
        <v>45.01919296875</v>
      </c>
      <c r="I1051" s="7">
        <v>27.7080879258372</v>
      </c>
      <c r="J1051" s="7">
        <v>8.665775374714885</v>
      </c>
      <c r="K1051" s="7">
        <v>5.132876401046413</v>
      </c>
      <c r="L1051" s="7">
        <v>0.8125075420911917</v>
      </c>
      <c r="M1051" s="7">
        <v>0.7368760736302165</v>
      </c>
      <c r="N1051" s="7">
        <v>0.4324438914201691</v>
      </c>
      <c r="O1051" s="7">
        <v>0.0604149172103709</v>
      </c>
      <c r="P1051" s="7">
        <v>8.544153750484684</v>
      </c>
      <c r="Q1051" s="7">
        <v>0.0255641981057267</v>
      </c>
      <c r="R1051" s="7">
        <v>0.0639330260482694</v>
      </c>
      <c r="S1051" s="7">
        <v>0.1130307463812795</v>
      </c>
      <c r="T1051" s="7">
        <v>1.335736088787702</v>
      </c>
    </row>
    <row x14ac:dyDescent="0.25" r="1052" customHeight="1" ht="19.5">
      <c r="A1052" s="2" t="s">
        <v>2110</v>
      </c>
      <c r="B1052" s="2" t="s">
        <v>1060</v>
      </c>
      <c r="C1052" s="2" t="s">
        <v>31</v>
      </c>
      <c r="D1052" s="2" t="s">
        <v>840</v>
      </c>
      <c r="E1052" s="6">
        <v>1</v>
      </c>
      <c r="F1052" s="6">
        <v>2</v>
      </c>
      <c r="G1052" s="7">
        <v>0.7676206827163696</v>
      </c>
      <c r="H1052" s="7">
        <v>45.105775</v>
      </c>
      <c r="I1052" s="7">
        <v>27.54163598082003</v>
      </c>
      <c r="J1052" s="7">
        <v>8.544375</v>
      </c>
      <c r="K1052" s="7">
        <v>5.18375</v>
      </c>
      <c r="L1052" s="7">
        <v>0.8040440178451153</v>
      </c>
      <c r="M1052" s="7">
        <v>0.7472441873101299</v>
      </c>
      <c r="N1052" s="7">
        <v>0.4333736598538862</v>
      </c>
      <c r="O1052" s="7">
        <v>0.0607550878391443</v>
      </c>
      <c r="P1052" s="7">
        <v>8.5210732524754</v>
      </c>
      <c r="Q1052" s="7">
        <v>0.0272638063222147</v>
      </c>
      <c r="R1052" s="7">
        <v>0.063474513963443</v>
      </c>
      <c r="S1052" s="7">
        <v>0.1115930293315714</v>
      </c>
      <c r="T1052" s="7">
        <v>1.427280778849395</v>
      </c>
    </row>
    <row x14ac:dyDescent="0.25" r="1053" customHeight="1" ht="19.5">
      <c r="A1053" s="2" t="s">
        <v>2111</v>
      </c>
      <c r="B1053" s="2" t="s">
        <v>1060</v>
      </c>
      <c r="C1053" s="2" t="s">
        <v>31</v>
      </c>
      <c r="D1053" s="2" t="s">
        <v>840</v>
      </c>
      <c r="E1053" s="6">
        <v>1</v>
      </c>
      <c r="F1053" s="6">
        <v>2</v>
      </c>
      <c r="G1053" s="7">
        <v>0.7734957933425903</v>
      </c>
      <c r="H1053" s="7">
        <v>44.5308703125</v>
      </c>
      <c r="I1053" s="7">
        <v>27.60466794617296</v>
      </c>
      <c r="J1053" s="7">
        <v>8.666535719645196</v>
      </c>
      <c r="K1053" s="7">
        <v>5.074629629172835</v>
      </c>
      <c r="L1053" s="7">
        <v>0.8176270089282731</v>
      </c>
      <c r="M1053" s="7">
        <v>0.7343548918802989</v>
      </c>
      <c r="N1053" s="7">
        <v>0.4292309325330902</v>
      </c>
      <c r="O1053" s="7">
        <v>0.0602461075560236</v>
      </c>
      <c r="P1053" s="7">
        <v>8.541840951717042</v>
      </c>
      <c r="Q1053" s="7">
        <v>0.026437927433057</v>
      </c>
      <c r="R1053" s="7">
        <v>0.0629512224095119</v>
      </c>
      <c r="S1053" s="7">
        <v>0.1117538316545623</v>
      </c>
      <c r="T1053" s="7">
        <v>1.366404769708952</v>
      </c>
    </row>
    <row x14ac:dyDescent="0.25" r="1054" customHeight="1" ht="19.5">
      <c r="A1054" s="2" t="s">
        <v>2112</v>
      </c>
      <c r="B1054" s="2" t="s">
        <v>1060</v>
      </c>
      <c r="C1054" s="2" t="s">
        <v>31</v>
      </c>
      <c r="D1054" s="2" t="s">
        <v>840</v>
      </c>
      <c r="E1054" s="6">
        <v>1</v>
      </c>
      <c r="F1054" s="6">
        <v>2</v>
      </c>
      <c r="G1054" s="7">
        <v>0.7695156931877136</v>
      </c>
      <c r="H1054" s="7">
        <v>46.3317765625</v>
      </c>
      <c r="I1054" s="7">
        <v>27.97204516276205</v>
      </c>
      <c r="J1054" s="7">
        <v>8.60755459024464</v>
      </c>
      <c r="K1054" s="7">
        <v>5.311157527788344</v>
      </c>
      <c r="L1054" s="7">
        <v>0.795593672464859</v>
      </c>
      <c r="M1054" s="7">
        <v>0.7441155423683692</v>
      </c>
      <c r="N1054" s="7">
        <v>0.4594833316236043</v>
      </c>
      <c r="O1054" s="7">
        <v>0.0635459386987067</v>
      </c>
      <c r="P1054" s="7">
        <v>8.419130108202314</v>
      </c>
      <c r="Q1054" s="7">
        <v>0.0282000333790438</v>
      </c>
      <c r="R1054" s="7">
        <v>0.0619526276753633</v>
      </c>
      <c r="S1054" s="7">
        <v>0.1063160732017054</v>
      </c>
      <c r="T1054" s="7">
        <v>1.516419483311194</v>
      </c>
    </row>
    <row x14ac:dyDescent="0.25" r="1055" customHeight="1" ht="19.5">
      <c r="A1055" s="2" t="s">
        <v>2113</v>
      </c>
      <c r="B1055" s="2" t="s">
        <v>1060</v>
      </c>
      <c r="C1055" s="2" t="s">
        <v>31</v>
      </c>
      <c r="D1055" s="2" t="s">
        <v>840</v>
      </c>
      <c r="E1055" s="6">
        <v>1</v>
      </c>
      <c r="F1055" s="6">
        <v>2</v>
      </c>
      <c r="G1055" s="7">
        <v>0.7734618186950684</v>
      </c>
      <c r="H1055" s="7">
        <v>46.4010421875</v>
      </c>
      <c r="I1055" s="7">
        <v>28.13013247613669</v>
      </c>
      <c r="J1055" s="7">
        <v>8.893125000000001</v>
      </c>
      <c r="K1055" s="7">
        <v>5.124166666666667</v>
      </c>
      <c r="L1055" s="7">
        <v>0.8251527628358291</v>
      </c>
      <c r="M1055" s="7">
        <v>0.7368753763553868</v>
      </c>
      <c r="N1055" s="7">
        <v>0.6274860933369028</v>
      </c>
      <c r="O1055" s="7">
        <v>0.0856252965426297</v>
      </c>
      <c r="P1055" s="7">
        <v>7.540415952251941</v>
      </c>
      <c r="Q1055" s="7">
        <v>0.0206278044150148</v>
      </c>
      <c r="R1055" s="7">
        <v>0.0398613576813525</v>
      </c>
      <c r="S1055" s="7">
        <v>0.0565163630135858</v>
      </c>
      <c r="T1055" s="7">
        <v>1.11089118368513</v>
      </c>
    </row>
    <row x14ac:dyDescent="0.25" r="1056" customHeight="1" ht="19.5">
      <c r="A1056" s="2" t="s">
        <v>2114</v>
      </c>
      <c r="B1056" s="2" t="s">
        <v>1060</v>
      </c>
      <c r="C1056" s="2" t="s">
        <v>31</v>
      </c>
      <c r="D1056" s="2" t="s">
        <v>840</v>
      </c>
      <c r="E1056" s="6">
        <v>1</v>
      </c>
      <c r="F1056" s="6">
        <v>2</v>
      </c>
      <c r="G1056" s="7">
        <v>0.7692947387695312</v>
      </c>
      <c r="H1056" s="7">
        <v>44.97763359375</v>
      </c>
      <c r="I1056" s="7">
        <v>27.98040979440458</v>
      </c>
      <c r="J1056" s="7">
        <v>8.982567424603522</v>
      </c>
      <c r="K1056" s="7">
        <v>5.068183567700492</v>
      </c>
      <c r="L1056" s="7">
        <v>0.8394836191190618</v>
      </c>
      <c r="M1056" s="7">
        <v>0.7219353779761165</v>
      </c>
      <c r="N1056" s="7">
        <v>0.5437738413770181</v>
      </c>
      <c r="O1056" s="7">
        <v>0.0770181759346161</v>
      </c>
      <c r="P1056" s="7">
        <v>7.838162033578829</v>
      </c>
      <c r="Q1056" s="7">
        <v>0.0428524157547167</v>
      </c>
      <c r="R1056" s="7">
        <v>0.0803104123896721</v>
      </c>
      <c r="S1056" s="7">
        <v>0.0988700054634505</v>
      </c>
      <c r="T1056" s="7">
        <v>2.23698304307419</v>
      </c>
    </row>
    <row x14ac:dyDescent="0.25" r="1057" customHeight="1" ht="19.5">
      <c r="A1057" s="2" t="s">
        <v>2115</v>
      </c>
      <c r="B1057" s="2" t="s">
        <v>1060</v>
      </c>
      <c r="C1057" s="2" t="s">
        <v>31</v>
      </c>
      <c r="D1057" s="2" t="s">
        <v>840</v>
      </c>
      <c r="E1057" s="6">
        <v>1</v>
      </c>
      <c r="F1057" s="6">
        <v>2</v>
      </c>
      <c r="G1057" s="7">
        <v>0.8086503744125366</v>
      </c>
      <c r="H1057" s="7">
        <v>47.530071875</v>
      </c>
      <c r="I1057" s="7">
        <v>28.99095084002074</v>
      </c>
      <c r="J1057" s="7">
        <v>9.452160350027322</v>
      </c>
      <c r="K1057" s="7">
        <v>5.071169961703964</v>
      </c>
      <c r="L1057" s="7">
        <v>0.8549163529089875</v>
      </c>
      <c r="M1057" s="7">
        <v>0.7106461639279384</v>
      </c>
      <c r="N1057" s="7">
        <v>0.4913536133678855</v>
      </c>
      <c r="O1057" s="7">
        <v>0.0665938908638267</v>
      </c>
      <c r="P1057" s="7">
        <v>8.20507364808506</v>
      </c>
      <c r="Q1057" s="7">
        <v>0.0391241169619337</v>
      </c>
      <c r="R1057" s="7">
        <v>0.0869158151894973</v>
      </c>
      <c r="S1057" s="7">
        <v>0.1125211741654029</v>
      </c>
      <c r="T1057" s="7">
        <v>2.158260188016155</v>
      </c>
    </row>
    <row x14ac:dyDescent="0.25" r="1058" customHeight="1" ht="19.5">
      <c r="A1058" s="2" t="s">
        <v>2116</v>
      </c>
      <c r="B1058" s="2" t="s">
        <v>1060</v>
      </c>
      <c r="C1058" s="2" t="s">
        <v>31</v>
      </c>
      <c r="D1058" s="2" t="s">
        <v>840</v>
      </c>
      <c r="E1058" s="6">
        <v>1</v>
      </c>
      <c r="F1058" s="6">
        <v>2</v>
      </c>
      <c r="G1058" s="7">
        <v>0.8192448019981384</v>
      </c>
      <c r="H1058" s="7">
        <v>47.19413359375</v>
      </c>
      <c r="I1058" s="7">
        <v>28.80430488784792</v>
      </c>
      <c r="J1058" s="7">
        <v>9.300511917356676</v>
      </c>
      <c r="K1058" s="7">
        <v>5.005986209453733</v>
      </c>
      <c r="L1058" s="7">
        <v>0.8507145590074835</v>
      </c>
      <c r="M1058" s="7">
        <v>0.7147975959722891</v>
      </c>
      <c r="N1058" s="7">
        <v>0.4339721076134791</v>
      </c>
      <c r="O1058" s="7">
        <v>0.0595641101270221</v>
      </c>
      <c r="P1058" s="7">
        <v>8.49748235378623</v>
      </c>
      <c r="Q1058" s="7">
        <v>0.0380218788171227</v>
      </c>
      <c r="R1058" s="7">
        <v>0.0880203668926507</v>
      </c>
      <c r="S1058" s="7">
        <v>0.1264825443788776</v>
      </c>
      <c r="T1058" s="7">
        <v>2.082631203252034</v>
      </c>
    </row>
    <row x14ac:dyDescent="0.25" r="1059" customHeight="1" ht="19.5">
      <c r="A1059" s="2" t="s">
        <v>2117</v>
      </c>
      <c r="B1059" s="2" t="s">
        <v>1060</v>
      </c>
      <c r="C1059" s="2" t="s">
        <v>31</v>
      </c>
      <c r="D1059" s="2" t="s">
        <v>840</v>
      </c>
      <c r="E1059" s="6">
        <v>1</v>
      </c>
      <c r="F1059" s="6">
        <v>2</v>
      </c>
      <c r="G1059" s="7">
        <v>0.8003840446472168</v>
      </c>
      <c r="H1059" s="7">
        <v>47.4331</v>
      </c>
      <c r="I1059" s="7">
        <v>28.80430488784792</v>
      </c>
      <c r="J1059" s="7">
        <v>9.200955660251829</v>
      </c>
      <c r="K1059" s="7">
        <v>5.155946290626023</v>
      </c>
      <c r="L1059" s="7">
        <v>0.8411906976345448</v>
      </c>
      <c r="M1059" s="7">
        <v>0.7184169571025518</v>
      </c>
      <c r="N1059" s="7">
        <v>0.4195611081787313</v>
      </c>
      <c r="O1059" s="7">
        <v>0.0574616835259602</v>
      </c>
      <c r="P1059" s="7">
        <v>8.632145299598903</v>
      </c>
      <c r="Q1059" s="7">
        <v>0.036308299393095</v>
      </c>
      <c r="R1059" s="7">
        <v>0.0857407453743864</v>
      </c>
      <c r="S1059" s="7">
        <v>0.1265875287187492</v>
      </c>
      <c r="T1059" s="7">
        <v>1.998840760245869</v>
      </c>
    </row>
    <row x14ac:dyDescent="0.25" r="1060" customHeight="1" ht="19.5">
      <c r="A1060" s="2" t="s">
        <v>2118</v>
      </c>
      <c r="B1060" s="2" t="s">
        <v>1060</v>
      </c>
      <c r="C1060" s="2" t="s">
        <v>31</v>
      </c>
      <c r="D1060" s="2" t="s">
        <v>840</v>
      </c>
      <c r="E1060" s="6">
        <v>1</v>
      </c>
      <c r="F1060" s="6">
        <v>2</v>
      </c>
      <c r="G1060" s="7">
        <v>0.8125098943710327</v>
      </c>
      <c r="H1060" s="7">
        <v>47.00711640625001</v>
      </c>
      <c r="I1060" s="7">
        <v>28.55462697032216</v>
      </c>
      <c r="J1060" s="7">
        <v>9.126010933316795</v>
      </c>
      <c r="K1060" s="7">
        <v>5.124882495255935</v>
      </c>
      <c r="L1060" s="7">
        <v>0.8354932991191468</v>
      </c>
      <c r="M1060" s="7">
        <v>0.7244701442421878</v>
      </c>
      <c r="N1060" s="7">
        <v>0.3975612610533487</v>
      </c>
      <c r="O1060" s="7">
        <v>0.0545881146141923</v>
      </c>
      <c r="P1060" s="7">
        <v>8.780547875479234</v>
      </c>
      <c r="Q1060" s="7">
        <v>0.0338676154306671</v>
      </c>
      <c r="R1060" s="7">
        <v>0.0824006880758559</v>
      </c>
      <c r="S1060" s="7">
        <v>0.1262861091350445</v>
      </c>
      <c r="T1060" s="7">
        <v>1.847732128803784</v>
      </c>
    </row>
    <row x14ac:dyDescent="0.25" r="1061" customHeight="1" ht="19.5">
      <c r="A1061" s="2" t="s">
        <v>2119</v>
      </c>
      <c r="B1061" s="2" t="s">
        <v>1060</v>
      </c>
      <c r="C1061" s="2" t="s">
        <v>31</v>
      </c>
      <c r="D1061" s="2" t="s">
        <v>840</v>
      </c>
      <c r="E1061" s="6">
        <v>1</v>
      </c>
      <c r="F1061" s="6">
        <v>2</v>
      </c>
      <c r="G1061" s="7">
        <v>0.805006742477417</v>
      </c>
      <c r="H1061" s="7">
        <v>46.9967265625</v>
      </c>
      <c r="I1061" s="7">
        <v>28.52015364376741</v>
      </c>
      <c r="J1061" s="7">
        <v>9.074558746723252</v>
      </c>
      <c r="K1061" s="7">
        <v>5.137026806896229</v>
      </c>
      <c r="L1061" s="7">
        <v>0.8337365131874731</v>
      </c>
      <c r="M1061" s="7">
        <v>0.7260620736816316</v>
      </c>
      <c r="N1061" s="7">
        <v>0.3809409985882666</v>
      </c>
      <c r="O1061" s="7">
        <v>0.0531390944641895</v>
      </c>
      <c r="P1061" s="7">
        <v>8.850571484541126</v>
      </c>
      <c r="Q1061" s="7">
        <v>0.0351798373355317</v>
      </c>
      <c r="R1061" s="7">
        <v>0.0828738423087347</v>
      </c>
      <c r="S1061" s="7">
        <v>0.1308221645874285</v>
      </c>
      <c r="T1061" s="7">
        <v>1.918899441326392</v>
      </c>
    </row>
    <row x14ac:dyDescent="0.25" r="1062" customHeight="1" ht="19.5">
      <c r="A1062" s="2" t="s">
        <v>2120</v>
      </c>
      <c r="B1062" s="2" t="s">
        <v>1060</v>
      </c>
      <c r="C1062" s="2" t="s">
        <v>31</v>
      </c>
      <c r="D1062" s="2" t="s">
        <v>840</v>
      </c>
      <c r="E1062" s="6">
        <v>1</v>
      </c>
      <c r="F1062" s="6">
        <v>2</v>
      </c>
      <c r="G1062" s="7">
        <v>0.7988131046295166</v>
      </c>
      <c r="H1062" s="7">
        <v>46.99326328125</v>
      </c>
      <c r="I1062" s="7">
        <v>28.68660558878458</v>
      </c>
      <c r="J1062" s="7">
        <v>9.067833025826602</v>
      </c>
      <c r="K1062" s="7">
        <v>5.124866792271919</v>
      </c>
      <c r="L1062" s="7">
        <v>0.8342023495234855</v>
      </c>
      <c r="M1062" s="7">
        <v>0.7176077881540508</v>
      </c>
      <c r="N1062" s="7">
        <v>0.3860681984918764</v>
      </c>
      <c r="O1062" s="7">
        <v>0.0537593948818663</v>
      </c>
      <c r="P1062" s="7">
        <v>8.818568277920193</v>
      </c>
      <c r="Q1062" s="7">
        <v>0.0348432646729455</v>
      </c>
      <c r="R1062" s="7">
        <v>0.0824246877773</v>
      </c>
      <c r="S1062" s="7">
        <v>0.1288262005870078</v>
      </c>
      <c r="T1062" s="7">
        <v>1.900400885290216</v>
      </c>
    </row>
    <row x14ac:dyDescent="0.25" r="1063" customHeight="1" ht="19.5">
      <c r="A1063" s="2" t="s">
        <v>2121</v>
      </c>
      <c r="B1063" s="2" t="s">
        <v>1060</v>
      </c>
      <c r="C1063" s="2" t="s">
        <v>31</v>
      </c>
      <c r="D1063" s="2" t="s">
        <v>840</v>
      </c>
      <c r="E1063" s="6">
        <v>1</v>
      </c>
      <c r="F1063" s="6">
        <v>2</v>
      </c>
      <c r="G1063" s="7">
        <v>0.8117638826370239</v>
      </c>
      <c r="H1063" s="7">
        <v>47.47812265625</v>
      </c>
      <c r="I1063" s="7">
        <v>28.63785294283074</v>
      </c>
      <c r="J1063" s="7">
        <v>9.125962446482657</v>
      </c>
      <c r="K1063" s="7">
        <v>5.184375890983848</v>
      </c>
      <c r="L1063" s="7">
        <v>0.8305910587977243</v>
      </c>
      <c r="M1063" s="7">
        <v>0.7274824032873165</v>
      </c>
      <c r="N1063" s="7">
        <v>0.3852148052411354</v>
      </c>
      <c r="O1063" s="7">
        <v>0.053347007529433</v>
      </c>
      <c r="P1063" s="7">
        <v>8.850152362204867</v>
      </c>
      <c r="Q1063" s="7">
        <v>0.0350166621031381</v>
      </c>
      <c r="R1063" s="7">
        <v>0.082499023513967</v>
      </c>
      <c r="S1063" s="7">
        <v>0.1297185230603458</v>
      </c>
      <c r="T1063" s="7">
        <v>1.929563447708892</v>
      </c>
    </row>
    <row x14ac:dyDescent="0.25" r="1064" customHeight="1" ht="19.5">
      <c r="A1064" s="2" t="s">
        <v>2122</v>
      </c>
      <c r="B1064" s="2" t="s">
        <v>1060</v>
      </c>
      <c r="C1064" s="2" t="s">
        <v>31</v>
      </c>
      <c r="D1064" s="2" t="s">
        <v>840</v>
      </c>
      <c r="E1064" s="6">
        <v>1</v>
      </c>
      <c r="F1064" s="6">
        <v>2</v>
      </c>
      <c r="G1064" s="7">
        <v>0.8083968758583069</v>
      </c>
      <c r="H1064" s="7">
        <v>47.003653125</v>
      </c>
      <c r="I1064" s="7">
        <v>28.42264835185973</v>
      </c>
      <c r="J1064" s="7">
        <v>9.134928244054386</v>
      </c>
      <c r="K1064" s="7">
        <v>5.141546394130978</v>
      </c>
      <c r="L1064" s="7">
        <v>0.8350356105230342</v>
      </c>
      <c r="M1064" s="7">
        <v>0.731159947062334</v>
      </c>
      <c r="N1064" s="7">
        <v>0.3829770158702049</v>
      </c>
      <c r="O1064" s="7">
        <v>0.0535316870753763</v>
      </c>
      <c r="P1064" s="7">
        <v>8.833157282503048</v>
      </c>
      <c r="Q1064" s="7">
        <v>0.0350432267407212</v>
      </c>
      <c r="R1064" s="7">
        <v>0.0834402926897856</v>
      </c>
      <c r="S1064" s="7">
        <v>0.128140074328745</v>
      </c>
      <c r="T1064" s="7">
        <v>1.911729674075674</v>
      </c>
    </row>
    <row x14ac:dyDescent="0.25" r="1065" customHeight="1" ht="19.5">
      <c r="A1065" s="2" t="s">
        <v>2123</v>
      </c>
      <c r="B1065" s="2" t="s">
        <v>1060</v>
      </c>
      <c r="C1065" s="2" t="s">
        <v>31</v>
      </c>
      <c r="D1065" s="2" t="s">
        <v>840</v>
      </c>
      <c r="E1065" s="6">
        <v>1</v>
      </c>
      <c r="F1065" s="6">
        <v>2</v>
      </c>
      <c r="G1065" s="7">
        <v>0.8247158527374268</v>
      </c>
      <c r="H1065" s="7">
        <v>46.94131406250001</v>
      </c>
      <c r="I1065" s="7">
        <v>28.38817502530497</v>
      </c>
      <c r="J1065" s="7">
        <v>9.068487811650376</v>
      </c>
      <c r="K1065" s="7">
        <v>5.126230035460685</v>
      </c>
      <c r="L1065" s="7">
        <v>0.8349949967815643</v>
      </c>
      <c r="M1065" s="7">
        <v>0.7319647362458265</v>
      </c>
      <c r="N1065" s="7">
        <v>0.3872144083839061</v>
      </c>
      <c r="O1065" s="7">
        <v>0.0536489972075044</v>
      </c>
      <c r="P1065" s="7">
        <v>8.816631182306201</v>
      </c>
      <c r="Q1065" s="7">
        <v>0.0350239948618903</v>
      </c>
      <c r="R1065" s="7">
        <v>0.0820861220331824</v>
      </c>
      <c r="S1065" s="7">
        <v>0.1307612669663374</v>
      </c>
      <c r="T1065" s="7">
        <v>1.908146449290836</v>
      </c>
    </row>
    <row x14ac:dyDescent="0.25" r="1066" customHeight="1" ht="19.5">
      <c r="A1066" s="2" t="s">
        <v>2124</v>
      </c>
      <c r="B1066" s="2" t="s">
        <v>1060</v>
      </c>
      <c r="C1066" s="2" t="s">
        <v>31</v>
      </c>
      <c r="D1066" s="2" t="s">
        <v>840</v>
      </c>
      <c r="E1066" s="6">
        <v>1</v>
      </c>
      <c r="F1066" s="6">
        <v>2</v>
      </c>
      <c r="G1066" s="7">
        <v>0.7941421270370483</v>
      </c>
      <c r="H1066" s="7">
        <v>47.13179453125</v>
      </c>
      <c r="I1066" s="7">
        <v>28.45712167841447</v>
      </c>
      <c r="J1066" s="7">
        <v>9.136447335397625</v>
      </c>
      <c r="K1066" s="7">
        <v>5.144268657797335</v>
      </c>
      <c r="L1066" s="7">
        <v>0.8348036353508633</v>
      </c>
      <c r="M1066" s="7">
        <v>0.7313780092688363</v>
      </c>
      <c r="N1066" s="7">
        <v>0.3884678790946843</v>
      </c>
      <c r="O1066" s="7">
        <v>0.0538018015996164</v>
      </c>
      <c r="P1066" s="7">
        <v>8.808701073707681</v>
      </c>
      <c r="Q1066" s="7">
        <v>0.034988095133962</v>
      </c>
      <c r="R1066" s="7">
        <v>0.0826431334895615</v>
      </c>
      <c r="S1066" s="7">
        <v>0.1324538740828522</v>
      </c>
      <c r="T1066" s="7">
        <v>1.91392561350817</v>
      </c>
    </row>
    <row x14ac:dyDescent="0.25" r="1067" customHeight="1" ht="19.5">
      <c r="A1067" s="2" t="s">
        <v>2125</v>
      </c>
      <c r="B1067" s="2" t="s">
        <v>1060</v>
      </c>
      <c r="C1067" s="2" t="s">
        <v>31</v>
      </c>
      <c r="D1067" s="2" t="s">
        <v>840</v>
      </c>
      <c r="E1067" s="6">
        <v>1</v>
      </c>
      <c r="F1067" s="6">
        <v>2</v>
      </c>
      <c r="G1067" s="7">
        <v>0.8042941093444824</v>
      </c>
      <c r="H1067" s="7">
        <v>46.98633671875</v>
      </c>
      <c r="I1067" s="7">
        <v>28.40836903246064</v>
      </c>
      <c r="J1067" s="7">
        <v>9.070745993196288</v>
      </c>
      <c r="K1067" s="7">
        <v>5.13089949663291</v>
      </c>
      <c r="L1067" s="7">
        <v>0.8347668396265598</v>
      </c>
      <c r="M1067" s="7">
        <v>0.7316255250720042</v>
      </c>
      <c r="N1067" s="7">
        <v>0.3906393634909794</v>
      </c>
      <c r="O1067" s="7">
        <v>0.0539504319433092</v>
      </c>
      <c r="P1067" s="7">
        <v>8.802999588370009</v>
      </c>
      <c r="Q1067" s="7">
        <v>0.0349851790623209</v>
      </c>
      <c r="R1067" s="7">
        <v>0.0824666728353777</v>
      </c>
      <c r="S1067" s="7">
        <v>0.1328305032214888</v>
      </c>
      <c r="T1067" s="7">
        <v>1.907859846527992</v>
      </c>
    </row>
    <row x14ac:dyDescent="0.25" r="1068" customHeight="1" ht="19.5">
      <c r="A1068" s="2" t="s">
        <v>2126</v>
      </c>
      <c r="B1068" s="2" t="s">
        <v>1060</v>
      </c>
      <c r="C1068" s="2" t="s">
        <v>31</v>
      </c>
      <c r="D1068" s="2" t="s">
        <v>840</v>
      </c>
      <c r="E1068" s="6">
        <v>1</v>
      </c>
      <c r="F1068" s="6">
        <v>2</v>
      </c>
      <c r="G1068" s="7">
        <v>0.8006055951118469</v>
      </c>
      <c r="H1068" s="7">
        <v>47.02789609375</v>
      </c>
      <c r="I1068" s="7">
        <v>28.47140099781357</v>
      </c>
      <c r="J1068" s="7">
        <v>9.137071524341687</v>
      </c>
      <c r="K1068" s="7">
        <v>5.145291719112488</v>
      </c>
      <c r="L1068" s="7">
        <v>0.834838258721059</v>
      </c>
      <c r="M1068" s="7">
        <v>0.7290339241461661</v>
      </c>
      <c r="N1068" s="7">
        <v>0.3849375613406585</v>
      </c>
      <c r="O1068" s="7">
        <v>0.0534486668558677</v>
      </c>
      <c r="P1068" s="7">
        <v>8.840494976589257</v>
      </c>
      <c r="Q1068" s="7">
        <v>0.0351302875088821</v>
      </c>
      <c r="R1068" s="7">
        <v>0.0834889481691259</v>
      </c>
      <c r="S1068" s="7">
        <v>0.1308775150868386</v>
      </c>
      <c r="T1068" s="7">
        <v>1.917467599365566</v>
      </c>
    </row>
    <row x14ac:dyDescent="0.25" r="1069" customHeight="1" ht="19.5">
      <c r="A1069" s="2" t="s">
        <v>2127</v>
      </c>
      <c r="B1069" s="2" t="s">
        <v>1060</v>
      </c>
      <c r="C1069" s="2" t="s">
        <v>31</v>
      </c>
      <c r="D1069" s="2" t="s">
        <v>840</v>
      </c>
      <c r="E1069" s="6">
        <v>1</v>
      </c>
      <c r="F1069" s="6">
        <v>2</v>
      </c>
      <c r="G1069" s="7">
        <v>0.8129881024360657</v>
      </c>
      <c r="H1069" s="7">
        <v>47.04521250000001</v>
      </c>
      <c r="I1069" s="7">
        <v>28.65213226222983</v>
      </c>
      <c r="J1069" s="7">
        <v>9.126231073934743</v>
      </c>
      <c r="K1069" s="7">
        <v>5.1252908455855</v>
      </c>
      <c r="L1069" s="7">
        <v>0.8343928397020528</v>
      </c>
      <c r="M1069" s="7">
        <v>0.7201308297920921</v>
      </c>
      <c r="N1069" s="7">
        <v>0.3851376867591163</v>
      </c>
      <c r="O1069" s="7">
        <v>0.0537899112880402</v>
      </c>
      <c r="P1069" s="7">
        <v>8.824516466390943</v>
      </c>
      <c r="Q1069" s="7">
        <v>0.0360179292450905</v>
      </c>
      <c r="R1069" s="7">
        <v>0.0841852869040805</v>
      </c>
      <c r="S1069" s="7">
        <v>0.1314723357366429</v>
      </c>
      <c r="T1069" s="7">
        <v>1.966640394282797</v>
      </c>
    </row>
    <row x14ac:dyDescent="0.25" r="1070" customHeight="1" ht="19.5">
      <c r="A1070" s="2" t="s">
        <v>2128</v>
      </c>
      <c r="B1070" s="2" t="s">
        <v>1060</v>
      </c>
      <c r="C1070" s="2" t="s">
        <v>31</v>
      </c>
      <c r="D1070" s="2" t="s">
        <v>840</v>
      </c>
      <c r="E1070" s="6">
        <v>1</v>
      </c>
      <c r="F1070" s="6">
        <v>2</v>
      </c>
      <c r="G1070" s="7">
        <v>0.8036426305770874</v>
      </c>
      <c r="H1070" s="7">
        <v>46.96555703125</v>
      </c>
      <c r="I1070" s="7">
        <v>28.42264835185973</v>
      </c>
      <c r="J1070" s="7">
        <v>9.068192106730164</v>
      </c>
      <c r="K1070" s="7">
        <v>5.125601574651421</v>
      </c>
      <c r="L1070" s="7">
        <v>0.8349278703970312</v>
      </c>
      <c r="M1070" s="7">
        <v>0.7305673476357435</v>
      </c>
      <c r="N1070" s="7">
        <v>0.389187961350157</v>
      </c>
      <c r="O1070" s="7">
        <v>0.0538441307665235</v>
      </c>
      <c r="P1070" s="7">
        <v>8.80893550958534</v>
      </c>
      <c r="Q1070" s="7">
        <v>0.0357078841734892</v>
      </c>
      <c r="R1070" s="7">
        <v>0.0836442943889579</v>
      </c>
      <c r="S1070" s="7">
        <v>0.1302689473448755</v>
      </c>
      <c r="T1070" s="7">
        <v>1.946410214538357</v>
      </c>
    </row>
    <row x14ac:dyDescent="0.25" r="1071" customHeight="1" ht="19.5">
      <c r="A1071" s="2" t="s">
        <v>2129</v>
      </c>
      <c r="B1071" s="2" t="s">
        <v>1060</v>
      </c>
      <c r="C1071" s="2" t="s">
        <v>31</v>
      </c>
      <c r="D1071" s="2" t="s">
        <v>840</v>
      </c>
      <c r="E1071" s="6">
        <v>1</v>
      </c>
      <c r="F1071" s="6">
        <v>2</v>
      </c>
      <c r="G1071" s="7">
        <v>0.7992108464241028</v>
      </c>
      <c r="H1071" s="7">
        <v>47.02789609375</v>
      </c>
      <c r="I1071" s="7">
        <v>28.45712167841448</v>
      </c>
      <c r="J1071" s="7">
        <v>9.128483706383223</v>
      </c>
      <c r="K1071" s="7">
        <v>5.12947078436604</v>
      </c>
      <c r="L1071" s="7">
        <v>0.8351796459055888</v>
      </c>
      <c r="M1071" s="7">
        <v>0.7297657423661934</v>
      </c>
      <c r="N1071" s="7">
        <v>0.3870012399020783</v>
      </c>
      <c r="O1071" s="7">
        <v>0.0536238847386573</v>
      </c>
      <c r="P1071" s="7">
        <v>8.829984288889953</v>
      </c>
      <c r="Q1071" s="7">
        <v>0.0354027235302607</v>
      </c>
      <c r="R1071" s="7">
        <v>0.0839091122915477</v>
      </c>
      <c r="S1071" s="7">
        <v>0.1341427644504418</v>
      </c>
      <c r="T1071" s="7">
        <v>1.932337595626241</v>
      </c>
    </row>
    <row x14ac:dyDescent="0.25" r="1072" customHeight="1" ht="19.5">
      <c r="A1072" s="2" t="s">
        <v>2130</v>
      </c>
      <c r="B1072" s="2" t="s">
        <v>1060</v>
      </c>
      <c r="C1072" s="2" t="s">
        <v>31</v>
      </c>
      <c r="D1072" s="2" t="s">
        <v>840</v>
      </c>
      <c r="E1072" s="6">
        <v>1</v>
      </c>
      <c r="F1072" s="6">
        <v>2</v>
      </c>
      <c r="G1072" s="7">
        <v>0.8047857880592346</v>
      </c>
      <c r="H1072" s="7">
        <v>47.0936984375</v>
      </c>
      <c r="I1072" s="7">
        <v>28.47140099781357</v>
      </c>
      <c r="J1072" s="7">
        <v>9.128633428471865</v>
      </c>
      <c r="K1072" s="7">
        <v>5.129748696965093</v>
      </c>
      <c r="L1072" s="7">
        <v>0.8340799875861444</v>
      </c>
      <c r="M1072" s="7">
        <v>0.7300540025436015</v>
      </c>
      <c r="N1072" s="7">
        <v>0.3863437379217759</v>
      </c>
      <c r="O1072" s="7">
        <v>0.0537705810117183</v>
      </c>
      <c r="P1072" s="7">
        <v>8.822876890722908</v>
      </c>
      <c r="Q1072" s="7">
        <v>0.0354596590763473</v>
      </c>
      <c r="R1072" s="7">
        <v>0.0847386926976417</v>
      </c>
      <c r="S1072" s="7">
        <v>0.1322236191241609</v>
      </c>
      <c r="T1072" s="7">
        <v>1.938153341791917</v>
      </c>
    </row>
    <row x14ac:dyDescent="0.25" r="1073" customHeight="1" ht="19.5">
      <c r="A1073" s="2" t="s">
        <v>2131</v>
      </c>
      <c r="B1073" s="2" t="s">
        <v>1060</v>
      </c>
      <c r="C1073" s="2" t="s">
        <v>31</v>
      </c>
      <c r="D1073" s="2" t="s">
        <v>840</v>
      </c>
      <c r="E1073" s="6">
        <v>1</v>
      </c>
      <c r="F1073" s="6">
        <v>2</v>
      </c>
      <c r="G1073" s="7">
        <v>0.8073312044143677</v>
      </c>
      <c r="H1073" s="7">
        <v>46.7750765625</v>
      </c>
      <c r="I1073" s="7">
        <v>28.33942237935113</v>
      </c>
      <c r="J1073" s="7">
        <v>9.071757835842847</v>
      </c>
      <c r="K1073" s="7">
        <v>5.132764731953326</v>
      </c>
      <c r="L1073" s="7">
        <v>0.8368410251689249</v>
      </c>
      <c r="M1073" s="7">
        <v>0.7318842188321676</v>
      </c>
      <c r="N1073" s="7">
        <v>0.3876931653605979</v>
      </c>
      <c r="O1073" s="7">
        <v>0.0535039625532891</v>
      </c>
      <c r="P1073" s="7">
        <v>8.833536056249095</v>
      </c>
      <c r="Q1073" s="7">
        <v>0.0339552317543701</v>
      </c>
      <c r="R1073" s="7">
        <v>0.0812011399095151</v>
      </c>
      <c r="S1073" s="7">
        <v>0.126345247752843</v>
      </c>
      <c r="T1073" s="7">
        <v>1.843367753940993</v>
      </c>
    </row>
    <row x14ac:dyDescent="0.25" r="1074" customHeight="1" ht="19.5">
      <c r="A1074" s="2" t="s">
        <v>2132</v>
      </c>
      <c r="B1074" s="2" t="s">
        <v>1060</v>
      </c>
      <c r="C1074" s="2" t="s">
        <v>31</v>
      </c>
      <c r="D1074" s="2" t="s">
        <v>840</v>
      </c>
      <c r="E1074" s="6">
        <v>1</v>
      </c>
      <c r="F1074" s="6">
        <v>2</v>
      </c>
      <c r="G1074" s="7">
        <v>0.8025026321411133</v>
      </c>
      <c r="H1074" s="7">
        <v>47.04521250000001</v>
      </c>
      <c r="I1074" s="7">
        <v>28.45712167841448</v>
      </c>
      <c r="J1074" s="7">
        <v>9.133335058448775</v>
      </c>
      <c r="K1074" s="7">
        <v>5.138481623104298</v>
      </c>
      <c r="L1074" s="7">
        <v>0.834602726513719</v>
      </c>
      <c r="M1074" s="7">
        <v>0.7300344535166339</v>
      </c>
      <c r="N1074" s="7">
        <v>0.3910820080234923</v>
      </c>
      <c r="O1074" s="7">
        <v>0.0540304673267432</v>
      </c>
      <c r="P1074" s="7">
        <v>8.817978922248805</v>
      </c>
      <c r="Q1074" s="7">
        <v>0.0343937198502061</v>
      </c>
      <c r="R1074" s="7">
        <v>0.0815322978570407</v>
      </c>
      <c r="S1074" s="7">
        <v>0.1291252896005552</v>
      </c>
      <c r="T1074" s="7">
        <v>1.877955789928738</v>
      </c>
    </row>
    <row x14ac:dyDescent="0.25" r="1075" customHeight="1" ht="19.5">
      <c r="A1075" s="2" t="s">
        <v>2133</v>
      </c>
      <c r="B1075" s="2" t="s">
        <v>1060</v>
      </c>
      <c r="C1075" s="2" t="s">
        <v>31</v>
      </c>
      <c r="D1075" s="2" t="s">
        <v>840</v>
      </c>
      <c r="E1075" s="6">
        <v>1</v>
      </c>
      <c r="F1075" s="6">
        <v>2</v>
      </c>
      <c r="G1075" s="7">
        <v>0.8060446381568909</v>
      </c>
      <c r="H1075" s="7">
        <v>47.09023515625</v>
      </c>
      <c r="I1075" s="7">
        <v>28.50587432436832</v>
      </c>
      <c r="J1075" s="7">
        <v>9.134392015545806</v>
      </c>
      <c r="K1075" s="7">
        <v>5.140446395605419</v>
      </c>
      <c r="L1075" s="7">
        <v>0.8346768848418489</v>
      </c>
      <c r="M1075" s="7">
        <v>0.7282357430122282</v>
      </c>
      <c r="N1075" s="7">
        <v>0.3889904416460368</v>
      </c>
      <c r="O1075" s="7">
        <v>0.0538157777145691</v>
      </c>
      <c r="P1075" s="7">
        <v>8.819384559779238</v>
      </c>
      <c r="Q1075" s="7">
        <v>0.0348654249577295</v>
      </c>
      <c r="R1075" s="7">
        <v>0.082708247146218</v>
      </c>
      <c r="S1075" s="7">
        <v>0.1284476724605862</v>
      </c>
      <c r="T1075" s="7">
        <v>1.905533561458296</v>
      </c>
    </row>
    <row x14ac:dyDescent="0.25" r="1076" customHeight="1" ht="19.5">
      <c r="A1076" s="2" t="s">
        <v>2134</v>
      </c>
      <c r="B1076" s="2" t="s">
        <v>1060</v>
      </c>
      <c r="C1076" s="2" t="s">
        <v>31</v>
      </c>
      <c r="D1076" s="2" t="s">
        <v>840</v>
      </c>
      <c r="E1076" s="6">
        <v>1</v>
      </c>
      <c r="F1076" s="6">
        <v>2</v>
      </c>
      <c r="G1076" s="7">
        <v>0.8066847324371338</v>
      </c>
      <c r="H1076" s="7">
        <v>47.03482265625</v>
      </c>
      <c r="I1076" s="7">
        <v>28.54034765092306</v>
      </c>
      <c r="J1076" s="7">
        <v>9.12566405333385</v>
      </c>
      <c r="K1076" s="7">
        <v>5.12500020101049</v>
      </c>
      <c r="L1076" s="7">
        <v>0.8347129887491226</v>
      </c>
      <c r="M1076" s="7">
        <v>0.7256226940692766</v>
      </c>
      <c r="N1076" s="7">
        <v>0.3858834051124979</v>
      </c>
      <c r="O1076" s="7">
        <v>0.0536799251833643</v>
      </c>
      <c r="P1076" s="7">
        <v>8.827676382580146</v>
      </c>
      <c r="Q1076" s="7">
        <v>0.0348556318937708</v>
      </c>
      <c r="R1076" s="7">
        <v>0.0821506138096204</v>
      </c>
      <c r="S1076" s="7">
        <v>0.1322426192867375</v>
      </c>
      <c r="T1076" s="7">
        <v>1.902756662732956</v>
      </c>
    </row>
    <row x14ac:dyDescent="0.25" r="1077" customHeight="1" ht="19.5">
      <c r="A1077" s="2" t="s">
        <v>2135</v>
      </c>
      <c r="B1077" s="2" t="s">
        <v>1060</v>
      </c>
      <c r="C1077" s="2" t="s">
        <v>31</v>
      </c>
      <c r="D1077" s="2" t="s">
        <v>840</v>
      </c>
      <c r="E1077" s="6">
        <v>1</v>
      </c>
      <c r="F1077" s="6">
        <v>2</v>
      </c>
      <c r="G1077" s="7">
        <v>0.795283317565918</v>
      </c>
      <c r="H1077" s="7">
        <v>46.92399765625</v>
      </c>
      <c r="I1077" s="7">
        <v>28.603379616276</v>
      </c>
      <c r="J1077" s="7">
        <v>9.138536866457846</v>
      </c>
      <c r="K1077" s="7">
        <v>5.14815676453656</v>
      </c>
      <c r="L1077" s="7">
        <v>0.8364765183687153</v>
      </c>
      <c r="M1077" s="7">
        <v>0.7207259652889689</v>
      </c>
      <c r="N1077" s="7">
        <v>0.3852464463820872</v>
      </c>
      <c r="O1077" s="7">
        <v>0.0534860424228303</v>
      </c>
      <c r="P1077" s="7">
        <v>8.852157310425461</v>
      </c>
      <c r="Q1077" s="7">
        <v>0.0353791301098304</v>
      </c>
      <c r="R1077" s="7">
        <v>0.0819241792603005</v>
      </c>
      <c r="S1077" s="7">
        <v>0.1324816051357615</v>
      </c>
      <c r="T1077" s="7">
        <v>1.926783572447416</v>
      </c>
    </row>
    <row x14ac:dyDescent="0.25" r="1078" customHeight="1" ht="19.5">
      <c r="A1078" s="2" t="s">
        <v>2136</v>
      </c>
      <c r="B1078" s="2" t="s">
        <v>1060</v>
      </c>
      <c r="C1078" s="2" t="s">
        <v>31</v>
      </c>
      <c r="D1078" s="2" t="s">
        <v>840</v>
      </c>
      <c r="E1078" s="6">
        <v>1</v>
      </c>
      <c r="F1078" s="6">
        <v>2</v>
      </c>
      <c r="G1078" s="7">
        <v>0.8016198873519897</v>
      </c>
      <c r="H1078" s="7">
        <v>47.40193046875</v>
      </c>
      <c r="I1078" s="7">
        <v>28.63785294283074</v>
      </c>
      <c r="J1078" s="7">
        <v>9.194360592805822</v>
      </c>
      <c r="K1078" s="7">
        <v>5.143633855129576</v>
      </c>
      <c r="L1078" s="7">
        <v>0.836391488955677</v>
      </c>
      <c r="M1078" s="7">
        <v>0.7263149503095413</v>
      </c>
      <c r="N1078" s="7">
        <v>0.4570342620842437</v>
      </c>
      <c r="O1078" s="7">
        <v>0.0611619961074847</v>
      </c>
      <c r="P1078" s="7">
        <v>8.477621797891514</v>
      </c>
      <c r="Q1078" s="7">
        <v>0.0378646986534299</v>
      </c>
      <c r="R1078" s="7">
        <v>0.0849269032110046</v>
      </c>
      <c r="S1078" s="7">
        <v>0.1276105322705663</v>
      </c>
      <c r="T1078" s="7">
        <v>2.083153697159445</v>
      </c>
    </row>
    <row x14ac:dyDescent="0.25" r="1079" customHeight="1" ht="19.5">
      <c r="A1079" s="2" t="s">
        <v>2137</v>
      </c>
      <c r="B1079" s="2" t="s">
        <v>1060</v>
      </c>
      <c r="C1079" s="2" t="s">
        <v>31</v>
      </c>
      <c r="D1079" s="2" t="s">
        <v>840</v>
      </c>
      <c r="E1079" s="6">
        <v>1</v>
      </c>
      <c r="F1079" s="6">
        <v>2</v>
      </c>
      <c r="G1079" s="7">
        <v>0.7986813187599182</v>
      </c>
      <c r="H1079" s="7">
        <v>48.4790109375</v>
      </c>
      <c r="I1079" s="7">
        <v>29.22043475039084</v>
      </c>
      <c r="J1079" s="7">
        <v>9.417171996992774</v>
      </c>
      <c r="K1079" s="7">
        <v>5.127612971245544</v>
      </c>
      <c r="L1079" s="7">
        <v>0.8475423236361108</v>
      </c>
      <c r="M1079" s="7">
        <v>0.713493906498455</v>
      </c>
      <c r="N1079" s="7">
        <v>0.6198987762839578</v>
      </c>
      <c r="O1079" s="7">
        <v>0.0848862046230709</v>
      </c>
      <c r="P1079" s="7">
        <v>7.539825388578802</v>
      </c>
      <c r="Q1079" s="7">
        <v>0.0391000639026644</v>
      </c>
      <c r="R1079" s="7">
        <v>0.07792951048906</v>
      </c>
      <c r="S1079" s="7">
        <v>0.1000667182629967</v>
      </c>
      <c r="T1079" s="7">
        <v>2.199996541414609</v>
      </c>
    </row>
    <row x14ac:dyDescent="0.25" r="1080" customHeight="1" ht="19.5">
      <c r="A1080" s="2" t="s">
        <v>2138</v>
      </c>
      <c r="B1080" s="2" t="s">
        <v>1060</v>
      </c>
      <c r="C1080" s="2" t="s">
        <v>31</v>
      </c>
      <c r="D1080" s="2" t="s">
        <v>840</v>
      </c>
      <c r="E1080" s="6">
        <v>1</v>
      </c>
      <c r="F1080" s="6">
        <v>2</v>
      </c>
      <c r="G1080" s="7">
        <v>0.729644238948822</v>
      </c>
      <c r="H1080" s="7">
        <v>47.0936984375</v>
      </c>
      <c r="I1080" s="7">
        <v>29.12292945848317</v>
      </c>
      <c r="J1080" s="7">
        <v>9.536911738875816</v>
      </c>
      <c r="K1080" s="7">
        <v>4.955108593066303</v>
      </c>
      <c r="L1080" s="7">
        <v>0.8670901459551247</v>
      </c>
      <c r="M1080" s="7">
        <v>0.6977543392241923</v>
      </c>
      <c r="N1080" s="7">
        <v>0.5316710754407616</v>
      </c>
      <c r="O1080" s="7">
        <v>0.0703459031542503</v>
      </c>
      <c r="P1080" s="7">
        <v>8.170737103507362</v>
      </c>
      <c r="Q1080" s="7">
        <v>0.058003952428701</v>
      </c>
      <c r="R1080" s="7">
        <v>0.0996846037922279</v>
      </c>
      <c r="S1080" s="7">
        <v>0.1248430011942736</v>
      </c>
      <c r="T1080" s="7">
        <v>3.170378880258727</v>
      </c>
    </row>
    <row x14ac:dyDescent="0.25" r="1081" customHeight="1" ht="19.5">
      <c r="A1081" s="2" t="s">
        <v>2139</v>
      </c>
      <c r="B1081" s="2" t="s">
        <v>1060</v>
      </c>
      <c r="C1081" s="2" t="s">
        <v>31</v>
      </c>
      <c r="D1081" s="2" t="s">
        <v>840</v>
      </c>
      <c r="E1081" s="6">
        <v>1</v>
      </c>
      <c r="F1081" s="6">
        <v>2</v>
      </c>
      <c r="G1081" s="7">
        <v>0.7308723330497742</v>
      </c>
      <c r="H1081" s="7">
        <v>45.6044875</v>
      </c>
      <c r="I1081" s="7">
        <v>28.50587432436832</v>
      </c>
      <c r="J1081" s="7">
        <v>9.360175646660425</v>
      </c>
      <c r="K1081" s="7">
        <v>4.830177107227841</v>
      </c>
      <c r="L1081" s="7">
        <v>0.8654832021961063</v>
      </c>
      <c r="M1081" s="7">
        <v>0.7052591206872855</v>
      </c>
      <c r="N1081" s="7">
        <v>0.4777646943685278</v>
      </c>
      <c r="O1081" s="7">
        <v>0.0640278923329574</v>
      </c>
      <c r="P1081" s="7">
        <v>8.37703982891718</v>
      </c>
      <c r="Q1081" s="7">
        <v>0.0586487834314848</v>
      </c>
      <c r="R1081" s="7">
        <v>0.1003998884623506</v>
      </c>
      <c r="S1081" s="7">
        <v>0.1324281997342681</v>
      </c>
      <c r="T1081" s="7">
        <v>3.104254843658974</v>
      </c>
    </row>
    <row x14ac:dyDescent="0.25" r="1082" customHeight="1" ht="19.5">
      <c r="A1082" s="2" t="s">
        <v>2140</v>
      </c>
      <c r="B1082" s="2" t="s">
        <v>1060</v>
      </c>
      <c r="C1082" s="2" t="s">
        <v>31</v>
      </c>
      <c r="D1082" s="2" t="s">
        <v>840</v>
      </c>
      <c r="E1082" s="6">
        <v>1</v>
      </c>
      <c r="F1082" s="6">
        <v>2</v>
      </c>
      <c r="G1082" s="7">
        <v>0.7409768104553223</v>
      </c>
      <c r="H1082" s="7">
        <v>45.08499531250001</v>
      </c>
      <c r="I1082" s="7">
        <v>28.25619640684256</v>
      </c>
      <c r="J1082" s="7">
        <v>9.302459652185073</v>
      </c>
      <c r="K1082" s="7">
        <v>4.771529001046739</v>
      </c>
      <c r="L1082" s="7">
        <v>0.8639358090034828</v>
      </c>
      <c r="M1082" s="7">
        <v>0.709601445588858</v>
      </c>
      <c r="N1082" s="7">
        <v>0.4591495810492775</v>
      </c>
      <c r="O1082" s="7">
        <v>0.0613598415816103</v>
      </c>
      <c r="P1082" s="7">
        <v>8.443959544419288</v>
      </c>
      <c r="Q1082" s="7">
        <v>0.0582167530940759</v>
      </c>
      <c r="R1082" s="7">
        <v>0.0996028412786508</v>
      </c>
      <c r="S1082" s="7">
        <v>0.1545584564843338</v>
      </c>
      <c r="T1082" s="7">
        <v>3.046286802092326</v>
      </c>
    </row>
    <row x14ac:dyDescent="0.25" r="1083" customHeight="1" ht="19.5">
      <c r="A1083" s="2" t="s">
        <v>2141</v>
      </c>
      <c r="B1083" s="2" t="s">
        <v>1060</v>
      </c>
      <c r="C1083" s="2" t="s">
        <v>31</v>
      </c>
      <c r="D1083" s="2" t="s">
        <v>840</v>
      </c>
      <c r="E1083" s="6">
        <v>1</v>
      </c>
      <c r="F1083" s="6">
        <v>2</v>
      </c>
      <c r="G1083" s="7">
        <v>0.7696890830993652</v>
      </c>
      <c r="H1083" s="7">
        <v>45.05382578125</v>
      </c>
      <c r="I1083" s="7">
        <v>28.17297043433397</v>
      </c>
      <c r="J1083" s="7">
        <v>9.1846958075451</v>
      </c>
      <c r="K1083" s="7">
        <v>4.828015817520173</v>
      </c>
      <c r="L1083" s="7">
        <v>0.8571221962337986</v>
      </c>
      <c r="M1083" s="7">
        <v>0.7133066294434863</v>
      </c>
      <c r="N1083" s="7">
        <v>0.4286394756384323</v>
      </c>
      <c r="O1083" s="7">
        <v>0.0576545508343423</v>
      </c>
      <c r="P1083" s="7">
        <v>8.630719305740149</v>
      </c>
      <c r="Q1083" s="7">
        <v>0.0582243451898741</v>
      </c>
      <c r="R1083" s="7">
        <v>0.1008687985094203</v>
      </c>
      <c r="S1083" s="7">
        <v>0.165006327948957</v>
      </c>
      <c r="T1083" s="7">
        <v>3.044577744553175</v>
      </c>
    </row>
    <row x14ac:dyDescent="0.25" r="1084" customHeight="1" ht="19.5">
      <c r="A1084" s="2" t="s">
        <v>2142</v>
      </c>
      <c r="B1084" s="2" t="s">
        <v>1060</v>
      </c>
      <c r="C1084" s="2" t="s">
        <v>31</v>
      </c>
      <c r="D1084" s="2" t="s">
        <v>840</v>
      </c>
      <c r="E1084" s="6">
        <v>1</v>
      </c>
      <c r="F1084" s="6">
        <v>2</v>
      </c>
      <c r="G1084" s="7">
        <v>0.7711194753646851</v>
      </c>
      <c r="H1084" s="7">
        <v>45.29279218750001</v>
      </c>
      <c r="I1084" s="7">
        <v>28.22172308028781</v>
      </c>
      <c r="J1084" s="7">
        <v>9.132718264650183</v>
      </c>
      <c r="K1084" s="7">
        <v>4.899687731907067</v>
      </c>
      <c r="L1084" s="7">
        <v>0.8518431557364038</v>
      </c>
      <c r="M1084" s="7">
        <v>0.7146146355464928</v>
      </c>
      <c r="N1084" s="7">
        <v>0.4103525324252237</v>
      </c>
      <c r="O1084" s="7">
        <v>0.0557506281556735</v>
      </c>
      <c r="P1084" s="7">
        <v>8.705858351499504</v>
      </c>
      <c r="Q1084" s="7">
        <v>0.0564604565367811</v>
      </c>
      <c r="R1084" s="7">
        <v>0.1012672372188391</v>
      </c>
      <c r="S1084" s="7">
        <v>0.1699878207796607</v>
      </c>
      <c r="T1084" s="7">
        <v>2.96800248519773</v>
      </c>
    </row>
    <row x14ac:dyDescent="0.25" r="1085" customHeight="1" ht="19.5">
      <c r="A1085" s="2" t="s">
        <v>2143</v>
      </c>
      <c r="B1085" s="2" t="s">
        <v>1060</v>
      </c>
      <c r="C1085" s="2" t="s">
        <v>31</v>
      </c>
      <c r="D1085" s="2" t="s">
        <v>840</v>
      </c>
      <c r="E1085" s="6">
        <v>1</v>
      </c>
      <c r="F1085" s="6">
        <v>2</v>
      </c>
      <c r="G1085" s="7">
        <v>0.7694063186645508</v>
      </c>
      <c r="H1085" s="7">
        <v>45.51790546875</v>
      </c>
      <c r="I1085" s="7">
        <v>28.25619640684256</v>
      </c>
      <c r="J1085" s="7">
        <v>9.190556031403323</v>
      </c>
      <c r="K1085" s="7">
        <v>4.899385681363521</v>
      </c>
      <c r="L1085" s="7">
        <v>0.8529540561329693</v>
      </c>
      <c r="M1085" s="7">
        <v>0.7164151021181718</v>
      </c>
      <c r="N1085" s="7">
        <v>0.4119131946706338</v>
      </c>
      <c r="O1085" s="7">
        <v>0.055808248479577</v>
      </c>
      <c r="P1085" s="7">
        <v>8.719368025159957</v>
      </c>
      <c r="Q1085" s="7">
        <v>0.0550395328706622</v>
      </c>
      <c r="R1085" s="7">
        <v>0.0986054380278603</v>
      </c>
      <c r="S1085" s="7">
        <v>0.1673526031911309</v>
      </c>
      <c r="T1085" s="7">
        <v>2.907687898235133</v>
      </c>
    </row>
    <row x14ac:dyDescent="0.25" r="1086" customHeight="1" ht="19.5">
      <c r="A1086" s="2" t="s">
        <v>2144</v>
      </c>
      <c r="B1086" s="2" t="s">
        <v>1060</v>
      </c>
      <c r="C1086" s="2" t="s">
        <v>31</v>
      </c>
      <c r="D1086" s="2" t="s">
        <v>840</v>
      </c>
      <c r="E1086" s="6">
        <v>1</v>
      </c>
      <c r="F1086" s="6">
        <v>2</v>
      </c>
      <c r="G1086" s="7">
        <v>0.7737565636634827</v>
      </c>
      <c r="H1086" s="7">
        <v>45.51790546875</v>
      </c>
      <c r="I1086" s="7">
        <v>28.31922837219549</v>
      </c>
      <c r="J1086" s="7">
        <v>9.186466317495222</v>
      </c>
      <c r="K1086" s="7">
        <v>4.891347531594434</v>
      </c>
      <c r="L1086" s="7">
        <v>0.8522900032880592</v>
      </c>
      <c r="M1086" s="7">
        <v>0.7132295070309731</v>
      </c>
      <c r="N1086" s="7">
        <v>0.412953455005668</v>
      </c>
      <c r="O1086" s="7">
        <v>0.0560105718143094</v>
      </c>
      <c r="P1086" s="7">
        <v>8.716488245789263</v>
      </c>
      <c r="Q1086" s="7">
        <v>0.0560547537792138</v>
      </c>
      <c r="R1086" s="7">
        <v>0.1000926611190038</v>
      </c>
      <c r="S1086" s="7">
        <v>0.1700238691929805</v>
      </c>
      <c r="T1086" s="7">
        <v>2.961321085071362</v>
      </c>
    </row>
    <row x14ac:dyDescent="0.25" r="1087" customHeight="1" ht="19.5">
      <c r="A1087" s="2" t="s">
        <v>2145</v>
      </c>
      <c r="B1087" s="2" t="s">
        <v>1060</v>
      </c>
      <c r="C1087" s="2" t="s">
        <v>31</v>
      </c>
      <c r="D1087" s="2" t="s">
        <v>840</v>
      </c>
      <c r="E1087" s="6">
        <v>1</v>
      </c>
      <c r="F1087" s="6">
        <v>2</v>
      </c>
      <c r="G1087" s="7">
        <v>0.7712624073028564</v>
      </c>
      <c r="H1087" s="7">
        <v>45.49366250000001</v>
      </c>
      <c r="I1087" s="7">
        <v>28.33350769159458</v>
      </c>
      <c r="J1087" s="7">
        <v>9.187852247567369</v>
      </c>
      <c r="K1087" s="7">
        <v>4.894162970586347</v>
      </c>
      <c r="L1087" s="7">
        <v>0.8531564883440327</v>
      </c>
      <c r="M1087" s="7">
        <v>0.7121313062108502</v>
      </c>
      <c r="N1087" s="7">
        <v>0.4141067138047051</v>
      </c>
      <c r="O1087" s="7">
        <v>0.0559017539022366</v>
      </c>
      <c r="P1087" s="7">
        <v>8.720396085928968</v>
      </c>
      <c r="Q1087" s="7">
        <v>0.0567846366046122</v>
      </c>
      <c r="R1087" s="7">
        <v>0.1009385751924589</v>
      </c>
      <c r="S1087" s="7">
        <v>0.16656842808427</v>
      </c>
      <c r="T1087" s="7">
        <v>2.99828237854514</v>
      </c>
    </row>
    <row x14ac:dyDescent="0.25" r="1088" customHeight="1" ht="19.5">
      <c r="A1088" s="2" t="s">
        <v>2146</v>
      </c>
      <c r="B1088" s="2" t="s">
        <v>1060</v>
      </c>
      <c r="C1088" s="2" t="s">
        <v>31</v>
      </c>
      <c r="D1088" s="2" t="s">
        <v>840</v>
      </c>
      <c r="E1088" s="6">
        <v>1</v>
      </c>
      <c r="F1088" s="6">
        <v>2</v>
      </c>
      <c r="G1088" s="7">
        <v>0.7709025740623474</v>
      </c>
      <c r="H1088" s="7">
        <v>45.4451765625</v>
      </c>
      <c r="I1088" s="7">
        <v>28.29903436503983</v>
      </c>
      <c r="J1088" s="7">
        <v>9.190323632828822</v>
      </c>
      <c r="K1088" s="7">
        <v>4.899101119865261</v>
      </c>
      <c r="L1088" s="7">
        <v>0.8534937966702209</v>
      </c>
      <c r="M1088" s="7">
        <v>0.7131065507738629</v>
      </c>
      <c r="N1088" s="7">
        <v>0.4124736973768739</v>
      </c>
      <c r="O1088" s="7">
        <v>0.0558059374429278</v>
      </c>
      <c r="P1088" s="7">
        <v>8.723565928792208</v>
      </c>
      <c r="Q1088" s="7">
        <v>0.0577794441016196</v>
      </c>
      <c r="R1088" s="7">
        <v>0.1010279103254602</v>
      </c>
      <c r="S1088" s="7">
        <v>0.1694831667211568</v>
      </c>
      <c r="T1088" s="7">
        <v>3.047557681417378</v>
      </c>
    </row>
    <row x14ac:dyDescent="0.25" r="1089" customHeight="1" ht="19.5">
      <c r="A1089" s="2" t="s">
        <v>2147</v>
      </c>
      <c r="B1089" s="2" t="s">
        <v>1060</v>
      </c>
      <c r="C1089" s="2" t="s">
        <v>31</v>
      </c>
      <c r="D1089" s="2" t="s">
        <v>840</v>
      </c>
      <c r="E1089" s="6">
        <v>1</v>
      </c>
      <c r="F1089" s="6">
        <v>2</v>
      </c>
      <c r="G1089" s="7">
        <v>0.7733491659164429</v>
      </c>
      <c r="H1089" s="7">
        <v>45.6252671875</v>
      </c>
      <c r="I1089" s="7">
        <v>28.2906697333973</v>
      </c>
      <c r="J1089" s="7">
        <v>9.18728702569748</v>
      </c>
      <c r="K1089" s="7">
        <v>4.892481980550617</v>
      </c>
      <c r="L1089" s="7">
        <v>0.8527000837001266</v>
      </c>
      <c r="M1089" s="7">
        <v>0.7163558754427293</v>
      </c>
      <c r="N1089" s="7">
        <v>0.4146599017765157</v>
      </c>
      <c r="O1089" s="7">
        <v>0.0560325298754752</v>
      </c>
      <c r="P1089" s="7">
        <v>8.694486606702856</v>
      </c>
      <c r="Q1089" s="7">
        <v>0.0582173076021391</v>
      </c>
      <c r="R1089" s="7">
        <v>0.1027241190219888</v>
      </c>
      <c r="S1089" s="7">
        <v>0.1678699546601673</v>
      </c>
      <c r="T1089" s="7">
        <v>3.082821061722484</v>
      </c>
    </row>
    <row x14ac:dyDescent="0.25" r="1090" customHeight="1" ht="19.5">
      <c r="A1090" s="2" t="s">
        <v>2148</v>
      </c>
      <c r="B1090" s="2" t="s">
        <v>1060</v>
      </c>
      <c r="C1090" s="2" t="s">
        <v>31</v>
      </c>
      <c r="D1090" s="2" t="s">
        <v>840</v>
      </c>
      <c r="E1090" s="6">
        <v>1</v>
      </c>
      <c r="F1090" s="6">
        <v>2</v>
      </c>
      <c r="G1090" s="7">
        <v>0.7718202471733093</v>
      </c>
      <c r="H1090" s="7">
        <v>46.14822265625001</v>
      </c>
      <c r="I1090" s="7">
        <v>28.33942237935114</v>
      </c>
      <c r="J1090" s="7">
        <v>9.187360962137674</v>
      </c>
      <c r="K1090" s="7">
        <v>4.952117309348856</v>
      </c>
      <c r="L1090" s="7">
        <v>0.8494432446624056</v>
      </c>
      <c r="M1090" s="7">
        <v>0.7220759081844093</v>
      </c>
      <c r="N1090" s="7">
        <v>0.412080366295564</v>
      </c>
      <c r="O1090" s="7">
        <v>0.0558927446276216</v>
      </c>
      <c r="P1090" s="7">
        <v>8.70497303167204</v>
      </c>
      <c r="Q1090" s="7">
        <v>0.0554569781034079</v>
      </c>
      <c r="R1090" s="7">
        <v>0.0998179510540825</v>
      </c>
      <c r="S1090" s="7">
        <v>0.162004427868244</v>
      </c>
      <c r="T1090" s="7">
        <v>2.970311250819682</v>
      </c>
    </row>
    <row x14ac:dyDescent="0.25" r="1091" customHeight="1" ht="19.5">
      <c r="A1091" s="2" t="s">
        <v>2149</v>
      </c>
      <c r="B1091" s="2" t="s">
        <v>1060</v>
      </c>
      <c r="C1091" s="2" t="s">
        <v>31</v>
      </c>
      <c r="D1091" s="2" t="s">
        <v>840</v>
      </c>
      <c r="E1091" s="6">
        <v>1</v>
      </c>
      <c r="F1091" s="6">
        <v>2</v>
      </c>
      <c r="G1091" s="7">
        <v>0.7702114582061768</v>
      </c>
      <c r="H1091" s="7">
        <v>45.49366250000001</v>
      </c>
      <c r="I1091" s="7">
        <v>28.38226033754842</v>
      </c>
      <c r="J1091" s="7">
        <v>9.190359371930857</v>
      </c>
      <c r="K1091" s="7">
        <v>4.899259433513924</v>
      </c>
      <c r="L1091" s="7">
        <v>0.8536118100945947</v>
      </c>
      <c r="M1091" s="7">
        <v>0.709686929549877</v>
      </c>
      <c r="N1091" s="7">
        <v>0.404916439363816</v>
      </c>
      <c r="O1091" s="7">
        <v>0.055027354930224</v>
      </c>
      <c r="P1091" s="7">
        <v>8.751984619200869</v>
      </c>
      <c r="Q1091" s="7">
        <v>0.0579350362776314</v>
      </c>
      <c r="R1091" s="7">
        <v>0.1021156701259072</v>
      </c>
      <c r="S1091" s="7">
        <v>0.1638606143354576</v>
      </c>
      <c r="T1091" s="7">
        <v>3.059024566470268</v>
      </c>
    </row>
    <row x14ac:dyDescent="0.25" r="1092" customHeight="1" ht="19.5">
      <c r="A1092" s="2" t="s">
        <v>2150</v>
      </c>
      <c r="B1092" s="2" t="s">
        <v>1060</v>
      </c>
      <c r="C1092" s="2" t="s">
        <v>31</v>
      </c>
      <c r="D1092" s="2" t="s">
        <v>840</v>
      </c>
      <c r="E1092" s="6">
        <v>1</v>
      </c>
      <c r="F1092" s="6">
        <v>2</v>
      </c>
      <c r="G1092" s="7">
        <v>0.7663974761962891</v>
      </c>
      <c r="H1092" s="7">
        <v>44.8910515625</v>
      </c>
      <c r="I1092" s="7">
        <v>28.06955045466973</v>
      </c>
      <c r="J1092" s="7">
        <v>9.193209360052112</v>
      </c>
      <c r="K1092" s="7">
        <v>4.845474972910418</v>
      </c>
      <c r="L1092" s="7">
        <v>0.8576910265235234</v>
      </c>
      <c r="M1092" s="7">
        <v>0.7159764344231804</v>
      </c>
      <c r="N1092" s="7">
        <v>0.409308106646976</v>
      </c>
      <c r="O1092" s="7">
        <v>0.0551478592155613</v>
      </c>
      <c r="P1092" s="7">
        <v>8.75071043976979</v>
      </c>
      <c r="Q1092" s="7">
        <v>0.0557863501937055</v>
      </c>
      <c r="R1092" s="7">
        <v>0.0992980267141598</v>
      </c>
      <c r="S1092" s="7">
        <v>0.1661286539940525</v>
      </c>
      <c r="T1092" s="7">
        <v>2.906554746788138</v>
      </c>
    </row>
    <row x14ac:dyDescent="0.25" r="1093" customHeight="1" ht="19.5">
      <c r="A1093" s="2" t="s">
        <v>2151</v>
      </c>
      <c r="B1093" s="2" t="s">
        <v>1060</v>
      </c>
      <c r="C1093" s="2" t="s">
        <v>31</v>
      </c>
      <c r="D1093" s="2" t="s">
        <v>840</v>
      </c>
      <c r="E1093" s="6">
        <v>1</v>
      </c>
      <c r="F1093" s="6">
        <v>2</v>
      </c>
      <c r="G1093" s="7">
        <v>0.7630006074905396</v>
      </c>
      <c r="H1093" s="7">
        <v>45.6252671875</v>
      </c>
      <c r="I1093" s="7">
        <v>28.3049490527964</v>
      </c>
      <c r="J1093" s="7">
        <v>9.186779536791118</v>
      </c>
      <c r="K1093" s="7">
        <v>4.891491121967194</v>
      </c>
      <c r="L1093" s="7">
        <v>0.8530553121899539</v>
      </c>
      <c r="M1093" s="7">
        <v>0.7156332813733259</v>
      </c>
      <c r="N1093" s="7">
        <v>0.4117147855474975</v>
      </c>
      <c r="O1093" s="7">
        <v>0.0555578226851337</v>
      </c>
      <c r="P1093" s="7">
        <v>8.721296842088686</v>
      </c>
      <c r="Q1093" s="7">
        <v>0.0577695952921411</v>
      </c>
      <c r="R1093" s="7">
        <v>0.1013066327095992</v>
      </c>
      <c r="S1093" s="7">
        <v>0.1697687771818231</v>
      </c>
      <c r="T1093" s="7">
        <v>3.059113044369867</v>
      </c>
    </row>
    <row x14ac:dyDescent="0.25" r="1094" customHeight="1" ht="19.5">
      <c r="A1094" s="2" t="s">
        <v>2152</v>
      </c>
      <c r="B1094" s="2" t="s">
        <v>1060</v>
      </c>
      <c r="C1094" s="2" t="s">
        <v>31</v>
      </c>
      <c r="D1094" s="2" t="s">
        <v>840</v>
      </c>
      <c r="E1094" s="6">
        <v>1</v>
      </c>
      <c r="F1094" s="6">
        <v>2</v>
      </c>
      <c r="G1094" s="7">
        <v>0.7670645117759705</v>
      </c>
      <c r="H1094" s="7">
        <v>45.6529734375</v>
      </c>
      <c r="I1094" s="7">
        <v>28.20744376088871</v>
      </c>
      <c r="J1094" s="7">
        <v>9.187768075793462</v>
      </c>
      <c r="K1094" s="7">
        <v>4.893338308601196</v>
      </c>
      <c r="L1094" s="7">
        <v>0.8531855538111488</v>
      </c>
      <c r="M1094" s="7">
        <v>0.72102690577089</v>
      </c>
      <c r="N1094" s="7">
        <v>0.4104750557597802</v>
      </c>
      <c r="O1094" s="7">
        <v>0.0554150996146537</v>
      </c>
      <c r="P1094" s="7">
        <v>8.713210426565666</v>
      </c>
      <c r="Q1094" s="7">
        <v>0.0563228736217485</v>
      </c>
      <c r="R1094" s="7">
        <v>0.1004814785684337</v>
      </c>
      <c r="S1094" s="7">
        <v>0.1682571234818838</v>
      </c>
      <c r="T1094" s="7">
        <v>2.984314943899324</v>
      </c>
    </row>
    <row x14ac:dyDescent="0.25" r="1095" customHeight="1" ht="19.5">
      <c r="A1095" s="2" t="s">
        <v>2153</v>
      </c>
      <c r="B1095" s="2" t="s">
        <v>1060</v>
      </c>
      <c r="C1095" s="2" t="s">
        <v>31</v>
      </c>
      <c r="D1095" s="2" t="s">
        <v>840</v>
      </c>
      <c r="E1095" s="6">
        <v>1</v>
      </c>
      <c r="F1095" s="6">
        <v>2</v>
      </c>
      <c r="G1095" s="7">
        <v>0.7689657211303711</v>
      </c>
      <c r="H1095" s="7">
        <v>45.63219375000001</v>
      </c>
      <c r="I1095" s="7">
        <v>28.25619640684256</v>
      </c>
      <c r="J1095" s="7">
        <v>9.188037901909452</v>
      </c>
      <c r="K1095" s="7">
        <v>4.893842596149051</v>
      </c>
      <c r="L1095" s="7">
        <v>0.852696487816567</v>
      </c>
      <c r="M1095" s="7">
        <v>0.7182139074419107</v>
      </c>
      <c r="N1095" s="7">
        <v>0.4103104659670605</v>
      </c>
      <c r="O1095" s="7">
        <v>0.0555583771828005</v>
      </c>
      <c r="P1095" s="7">
        <v>8.71256836482054</v>
      </c>
      <c r="Q1095" s="7">
        <v>0.0544990814106468</v>
      </c>
      <c r="R1095" s="7">
        <v>0.0980798950056134</v>
      </c>
      <c r="S1095" s="7">
        <v>0.1656615032430757</v>
      </c>
      <c r="T1095" s="7">
        <v>2.886365401935024</v>
      </c>
    </row>
    <row x14ac:dyDescent="0.25" r="1096" customHeight="1" ht="19.5">
      <c r="A1096" s="2" t="s">
        <v>2154</v>
      </c>
      <c r="B1096" s="2" t="s">
        <v>1060</v>
      </c>
      <c r="C1096" s="2" t="s">
        <v>31</v>
      </c>
      <c r="D1096" s="2" t="s">
        <v>840</v>
      </c>
      <c r="E1096" s="6">
        <v>1</v>
      </c>
      <c r="F1096" s="6">
        <v>2</v>
      </c>
      <c r="G1096" s="7">
        <v>0.7669631242752075</v>
      </c>
      <c r="H1096" s="7">
        <v>45.479809375</v>
      </c>
      <c r="I1096" s="7">
        <v>28.15277642717832</v>
      </c>
      <c r="J1096" s="7">
        <v>9.191800467732868</v>
      </c>
      <c r="K1096" s="7">
        <v>4.902085950613152</v>
      </c>
      <c r="L1096" s="7">
        <v>0.8543551651690958</v>
      </c>
      <c r="M1096" s="7">
        <v>0.7210842950279652</v>
      </c>
      <c r="N1096" s="7">
        <v>0.408439348607733</v>
      </c>
      <c r="O1096" s="7">
        <v>0.0551671396928926</v>
      </c>
      <c r="P1096" s="7">
        <v>8.748251809570428</v>
      </c>
      <c r="Q1096" s="7">
        <v>0.0557379199862528</v>
      </c>
      <c r="R1096" s="7">
        <v>0.1008094184587456</v>
      </c>
      <c r="S1096" s="7">
        <v>0.1645957761087118</v>
      </c>
      <c r="T1096" s="7">
        <v>2.942118586003671</v>
      </c>
    </row>
    <row x14ac:dyDescent="0.25" r="1097" customHeight="1" ht="19.5">
      <c r="A1097" s="2" t="s">
        <v>2155</v>
      </c>
      <c r="B1097" s="2" t="s">
        <v>1060</v>
      </c>
      <c r="C1097" s="2" t="s">
        <v>31</v>
      </c>
      <c r="D1097" s="2" t="s">
        <v>840</v>
      </c>
      <c r="E1097" s="6">
        <v>1</v>
      </c>
      <c r="F1097" s="6">
        <v>2</v>
      </c>
      <c r="G1097" s="7">
        <v>0.7758510112762451</v>
      </c>
      <c r="H1097" s="7">
        <v>45.3897640625</v>
      </c>
      <c r="I1097" s="7">
        <v>28.19316444148962</v>
      </c>
      <c r="J1097" s="7">
        <v>9.125800061959506</v>
      </c>
      <c r="K1097" s="7">
        <v>4.886168492127768</v>
      </c>
      <c r="L1097" s="7">
        <v>0.8511046370512129</v>
      </c>
      <c r="M1097" s="7">
        <v>0.7175962167626984</v>
      </c>
      <c r="N1097" s="7">
        <v>0.4088837108805536</v>
      </c>
      <c r="O1097" s="7">
        <v>0.0556148235232322</v>
      </c>
      <c r="P1097" s="7">
        <v>8.705159765143335</v>
      </c>
      <c r="Q1097" s="7">
        <v>0.0565794318533662</v>
      </c>
      <c r="R1097" s="7">
        <v>0.0995719293675943</v>
      </c>
      <c r="S1097" s="7">
        <v>0.1662374031226577</v>
      </c>
      <c r="T1097" s="7">
        <v>2.980624641065805</v>
      </c>
    </row>
    <row x14ac:dyDescent="0.25" r="1098" customHeight="1" ht="19.5">
      <c r="A1098" s="2" t="s">
        <v>2156</v>
      </c>
      <c r="B1098" s="2" t="s">
        <v>1060</v>
      </c>
      <c r="C1098" s="2" t="s">
        <v>31</v>
      </c>
      <c r="D1098" s="2" t="s">
        <v>840</v>
      </c>
      <c r="E1098" s="6">
        <v>1</v>
      </c>
      <c r="F1098" s="6">
        <v>2</v>
      </c>
      <c r="G1098" s="7">
        <v>0.7759464383125305</v>
      </c>
      <c r="H1098" s="7">
        <v>45.62180390625</v>
      </c>
      <c r="I1098" s="7">
        <v>28.25619640684256</v>
      </c>
      <c r="J1098" s="7">
        <v>9.189954372791732</v>
      </c>
      <c r="K1098" s="7">
        <v>4.897425465031514</v>
      </c>
      <c r="L1098" s="7">
        <v>0.852988300410908</v>
      </c>
      <c r="M1098" s="7">
        <v>0.7180503796852072</v>
      </c>
      <c r="N1098" s="7">
        <v>0.4088992182427986</v>
      </c>
      <c r="O1098" s="7">
        <v>0.0553289776859311</v>
      </c>
      <c r="P1098" s="7">
        <v>8.72416327829068</v>
      </c>
      <c r="Q1098" s="7">
        <v>0.0552560122816223</v>
      </c>
      <c r="R1098" s="7">
        <v>0.1000675219850334</v>
      </c>
      <c r="S1098" s="7">
        <v>0.1631900146956409</v>
      </c>
      <c r="T1098" s="7">
        <v>2.925787452506412</v>
      </c>
    </row>
    <row x14ac:dyDescent="0.25" r="1099" customHeight="1" ht="19.5">
      <c r="A1099" s="2" t="s">
        <v>2157</v>
      </c>
      <c r="B1099" s="2" t="s">
        <v>1060</v>
      </c>
      <c r="C1099" s="2" t="s">
        <v>31</v>
      </c>
      <c r="D1099" s="2" t="s">
        <v>840</v>
      </c>
      <c r="E1099" s="6">
        <v>1</v>
      </c>
      <c r="F1099" s="6">
        <v>2</v>
      </c>
      <c r="G1099" s="7">
        <v>0.7774181962013245</v>
      </c>
      <c r="H1099" s="7">
        <v>45.58717109375</v>
      </c>
      <c r="I1099" s="7">
        <v>28.35370169875023</v>
      </c>
      <c r="J1099" s="7">
        <v>9.184478233727988</v>
      </c>
      <c r="K1099" s="7">
        <v>4.887192899125578</v>
      </c>
      <c r="L1099" s="7">
        <v>0.8531584017974163</v>
      </c>
      <c r="M1099" s="7">
        <v>0.7125789272938776</v>
      </c>
      <c r="N1099" s="7">
        <v>0.4134969499410482</v>
      </c>
      <c r="O1099" s="7">
        <v>0.0557166424156636</v>
      </c>
      <c r="P1099" s="7">
        <v>8.718671067887971</v>
      </c>
      <c r="Q1099" s="7">
        <v>0.0558025294793921</v>
      </c>
      <c r="R1099" s="7">
        <v>0.0984905571664735</v>
      </c>
      <c r="S1099" s="7">
        <v>0.1648486545158022</v>
      </c>
      <c r="T1099" s="7">
        <v>2.952482339874308</v>
      </c>
    </row>
    <row x14ac:dyDescent="0.25" r="1100" customHeight="1" ht="19.5">
      <c r="A1100" s="2" t="s">
        <v>2158</v>
      </c>
      <c r="B1100" s="2" t="s">
        <v>1060</v>
      </c>
      <c r="C1100" s="2" t="s">
        <v>31</v>
      </c>
      <c r="D1100" s="2" t="s">
        <v>840</v>
      </c>
      <c r="E1100" s="6">
        <v>1</v>
      </c>
      <c r="F1100" s="6">
        <v>2</v>
      </c>
      <c r="G1100" s="7">
        <v>0.7696642875671387</v>
      </c>
      <c r="H1100" s="7">
        <v>46.1032</v>
      </c>
      <c r="I1100" s="7">
        <v>28.42264835185973</v>
      </c>
      <c r="J1100" s="7">
        <v>9.188901252510338</v>
      </c>
      <c r="K1100" s="7">
        <v>4.955671214285891</v>
      </c>
      <c r="L1100" s="7">
        <v>0.8496509277295458</v>
      </c>
      <c r="M1100" s="7">
        <v>0.7171530515247414</v>
      </c>
      <c r="N1100" s="7">
        <v>0.4089114736787803</v>
      </c>
      <c r="O1100" s="7">
        <v>0.0554039704486084</v>
      </c>
      <c r="P1100" s="7">
        <v>8.732172631258727</v>
      </c>
      <c r="Q1100" s="7">
        <v>0.0564408952152269</v>
      </c>
      <c r="R1100" s="7">
        <v>0.1001906134951769</v>
      </c>
      <c r="S1100" s="7">
        <v>0.1643937820939453</v>
      </c>
      <c r="T1100" s="7">
        <v>3.020061202714948</v>
      </c>
    </row>
    <row x14ac:dyDescent="0.25" r="1101" customHeight="1" ht="19.5">
      <c r="A1101" s="2" t="s">
        <v>2159</v>
      </c>
      <c r="B1101" s="2" t="s">
        <v>1060</v>
      </c>
      <c r="C1101" s="2" t="s">
        <v>31</v>
      </c>
      <c r="D1101" s="2" t="s">
        <v>840</v>
      </c>
      <c r="E1101" s="6">
        <v>1</v>
      </c>
      <c r="F1101" s="6">
        <v>2</v>
      </c>
      <c r="G1101" s="7">
        <v>0.7749642729759216</v>
      </c>
      <c r="H1101" s="7">
        <v>45.64258359375</v>
      </c>
      <c r="I1101" s="7">
        <v>28.12421778838013</v>
      </c>
      <c r="J1101" s="7">
        <v>9.1908005669552</v>
      </c>
      <c r="K1101" s="7">
        <v>4.898923024216041</v>
      </c>
      <c r="L1101" s="7">
        <v>0.8527129254198593</v>
      </c>
      <c r="M1101" s="7">
        <v>0.7251355196967987</v>
      </c>
      <c r="N1101" s="7">
        <v>0.4073841887680254</v>
      </c>
      <c r="O1101" s="7">
        <v>0.0554391927257472</v>
      </c>
      <c r="P1101" s="7">
        <v>8.716035450913637</v>
      </c>
      <c r="Q1101" s="7">
        <v>0.0557009303111691</v>
      </c>
      <c r="R1101" s="7">
        <v>0.0993524526965648</v>
      </c>
      <c r="S1101" s="7">
        <v>0.161871557410721</v>
      </c>
      <c r="T1101" s="7">
        <v>2.950689073501839</v>
      </c>
    </row>
    <row x14ac:dyDescent="0.25" r="1102" customHeight="1" ht="19.5">
      <c r="A1102" s="2" t="s">
        <v>2160</v>
      </c>
      <c r="B1102" s="2" t="s">
        <v>1060</v>
      </c>
      <c r="C1102" s="2" t="s">
        <v>31</v>
      </c>
      <c r="D1102" s="2" t="s">
        <v>840</v>
      </c>
      <c r="E1102" s="6">
        <v>1</v>
      </c>
      <c r="F1102" s="6">
        <v>2</v>
      </c>
      <c r="G1102" s="7">
        <v>0.761859118938446</v>
      </c>
      <c r="H1102" s="7">
        <v>45.56292812500001</v>
      </c>
      <c r="I1102" s="7">
        <v>28.2360023996869</v>
      </c>
      <c r="J1102" s="7">
        <v>9.183816507798351</v>
      </c>
      <c r="K1102" s="7">
        <v>4.885958228507816</v>
      </c>
      <c r="L1102" s="7">
        <v>0.8535306463139353</v>
      </c>
      <c r="M1102" s="7">
        <v>0.7181498435810442</v>
      </c>
      <c r="N1102" s="7">
        <v>0.4116730782333534</v>
      </c>
      <c r="O1102" s="7">
        <v>0.0555910748762458</v>
      </c>
      <c r="P1102" s="7">
        <v>8.727892812799876</v>
      </c>
      <c r="Q1102" s="7">
        <v>0.0568083323919778</v>
      </c>
      <c r="R1102" s="7">
        <v>0.1011162843057529</v>
      </c>
      <c r="S1102" s="7">
        <v>0.1656705658170963</v>
      </c>
      <c r="T1102" s="7">
        <v>3.004100428754552</v>
      </c>
    </row>
    <row x14ac:dyDescent="0.25" r="1103" customHeight="1" ht="19.5">
      <c r="A1103" s="2" t="s">
        <v>2161</v>
      </c>
      <c r="B1103" s="2" t="s">
        <v>1060</v>
      </c>
      <c r="C1103" s="2" t="s">
        <v>31</v>
      </c>
      <c r="D1103" s="2" t="s">
        <v>840</v>
      </c>
      <c r="E1103" s="6">
        <v>1</v>
      </c>
      <c r="F1103" s="6">
        <v>2</v>
      </c>
      <c r="G1103" s="7">
        <v>0.7562738060951233</v>
      </c>
      <c r="H1103" s="7">
        <v>45.96120546875</v>
      </c>
      <c r="I1103" s="7">
        <v>28.19316444148962</v>
      </c>
      <c r="J1103" s="7">
        <v>9.242557084745894</v>
      </c>
      <c r="K1103" s="7">
        <v>4.887155828252467</v>
      </c>
      <c r="L1103" s="7">
        <v>0.8549291302149337</v>
      </c>
      <c r="M1103" s="7">
        <v>0.7266305045519434</v>
      </c>
      <c r="N1103" s="7">
        <v>0.4465393478505716</v>
      </c>
      <c r="O1103" s="7">
        <v>0.0599401210090859</v>
      </c>
      <c r="P1103" s="7">
        <v>8.49323848435364</v>
      </c>
      <c r="Q1103" s="7">
        <v>0.0580948553610337</v>
      </c>
      <c r="R1103" s="7">
        <v>0.1004228441349099</v>
      </c>
      <c r="S1103" s="7">
        <v>0.1509812358840286</v>
      </c>
      <c r="T1103" s="7">
        <v>3.098987793887648</v>
      </c>
    </row>
    <row x14ac:dyDescent="0.25" r="1104" customHeight="1" ht="19.5">
      <c r="A1104" s="2" t="s">
        <v>2162</v>
      </c>
      <c r="B1104" s="2" t="s">
        <v>1060</v>
      </c>
      <c r="C1104" s="2" t="s">
        <v>31</v>
      </c>
      <c r="D1104" s="2" t="s">
        <v>840</v>
      </c>
      <c r="E1104" s="6">
        <v>1</v>
      </c>
      <c r="F1104" s="6">
        <v>2</v>
      </c>
      <c r="G1104" s="7">
        <v>0.3088598251342773</v>
      </c>
      <c r="H1104" s="7">
        <v>68.0396234375</v>
      </c>
      <c r="I1104" s="7">
        <v>40.79015695710294</v>
      </c>
      <c r="J1104" s="7">
        <v>11.99813491215294</v>
      </c>
      <c r="K1104" s="7">
        <v>6.047455334662062</v>
      </c>
      <c r="L1104" s="7">
        <v>0.8831338494022464</v>
      </c>
      <c r="M1104" s="7">
        <v>0.5138791682170768</v>
      </c>
      <c r="N1104" s="7">
        <v>0.5961819953217874</v>
      </c>
      <c r="O1104" s="7">
        <v>0.0782463582000361</v>
      </c>
      <c r="P1104" s="7">
        <v>7.940414072322111</v>
      </c>
      <c r="Q1104" s="7">
        <v>0.0381586373274055</v>
      </c>
      <c r="R1104" s="7">
        <v>0.0794303462139285</v>
      </c>
      <c r="S1104" s="7">
        <v>0.0995753573375872</v>
      </c>
      <c r="T1104" s="7">
        <v>3.013321975172818</v>
      </c>
    </row>
    <row x14ac:dyDescent="0.25" r="1105" customHeight="1" ht="19.5">
      <c r="A1105" s="2" t="s">
        <v>2163</v>
      </c>
      <c r="B1105" s="2" t="s">
        <v>1060</v>
      </c>
      <c r="C1105" s="2" t="s">
        <v>31</v>
      </c>
      <c r="D1105" s="2" t="s">
        <v>840</v>
      </c>
      <c r="E1105" s="6">
        <v>1</v>
      </c>
      <c r="F1105" s="6">
        <v>2</v>
      </c>
      <c r="G1105" s="7">
        <v>0.7242864966392517</v>
      </c>
      <c r="H1105" s="7">
        <v>53.00205625</v>
      </c>
      <c r="I1105" s="7">
        <v>31.82409864918327</v>
      </c>
      <c r="J1105" s="7">
        <v>10.64909630067097</v>
      </c>
      <c r="K1105" s="7">
        <v>5.104983995323094</v>
      </c>
      <c r="L1105" s="7">
        <v>0.8917066914258719</v>
      </c>
      <c r="M1105" s="7">
        <v>0.6576432374988735</v>
      </c>
      <c r="N1105" s="7">
        <v>0.5451019976040599</v>
      </c>
      <c r="O1105" s="7">
        <v>0.0734290019930162</v>
      </c>
      <c r="P1105" s="7">
        <v>8.133319041646189</v>
      </c>
      <c r="Q1105" s="7">
        <v>0.0587817918011359</v>
      </c>
      <c r="R1105" s="7">
        <v>0.1012948022978673</v>
      </c>
      <c r="S1105" s="7">
        <v>0.123801633013274</v>
      </c>
      <c r="T1105" s="7">
        <v>3.615982491345951</v>
      </c>
    </row>
    <row x14ac:dyDescent="0.25" r="1106" customHeight="1" ht="19.5">
      <c r="A1106" s="2" t="s">
        <v>2164</v>
      </c>
      <c r="B1106" s="2" t="s">
        <v>1060</v>
      </c>
      <c r="C1106" s="2" t="s">
        <v>31</v>
      </c>
      <c r="D1106" s="2" t="s">
        <v>840</v>
      </c>
      <c r="E1106" s="6">
        <v>1</v>
      </c>
      <c r="F1106" s="6">
        <v>2</v>
      </c>
      <c r="G1106" s="7">
        <v>0.7493448257446289</v>
      </c>
      <c r="H1106" s="7">
        <v>51.44357968750001</v>
      </c>
      <c r="I1106" s="7">
        <v>31.06915020884944</v>
      </c>
      <c r="J1106" s="7">
        <v>10.59317853345265</v>
      </c>
      <c r="K1106" s="7">
        <v>4.927312702064389</v>
      </c>
      <c r="L1106" s="7">
        <v>0.894407851341061</v>
      </c>
      <c r="M1106" s="7">
        <v>0.6697030791320451</v>
      </c>
      <c r="N1106" s="7">
        <v>0.4791432512976936</v>
      </c>
      <c r="O1106" s="7">
        <v>0.0641619860133353</v>
      </c>
      <c r="P1106" s="7">
        <v>8.440104666307281</v>
      </c>
      <c r="Q1106" s="7">
        <v>0.0635134158348356</v>
      </c>
      <c r="R1106" s="7">
        <v>0.106205598593294</v>
      </c>
      <c r="S1106" s="7">
        <v>0.1356875918590981</v>
      </c>
      <c r="T1106" s="7">
        <v>3.792166798996406</v>
      </c>
    </row>
    <row x14ac:dyDescent="0.25" r="1107" customHeight="1" ht="19.5">
      <c r="A1107" s="2" t="s">
        <v>2165</v>
      </c>
      <c r="B1107" s="2" t="s">
        <v>1060</v>
      </c>
      <c r="C1107" s="2" t="s">
        <v>31</v>
      </c>
      <c r="D1107" s="2" t="s">
        <v>840</v>
      </c>
      <c r="E1107" s="6">
        <v>1</v>
      </c>
      <c r="F1107" s="6">
        <v>2</v>
      </c>
      <c r="G1107" s="7">
        <v>0.7704857587814331</v>
      </c>
      <c r="H1107" s="7">
        <v>51.82107734375001</v>
      </c>
      <c r="I1107" s="7">
        <v>31.32719275801772</v>
      </c>
      <c r="J1107" s="7">
        <v>10.70373581610868</v>
      </c>
      <c r="K1107" s="7">
        <v>4.852048768793948</v>
      </c>
      <c r="L1107" s="7">
        <v>0.8965079288909211</v>
      </c>
      <c r="M1107" s="7">
        <v>0.6635495255118085</v>
      </c>
      <c r="N1107" s="7">
        <v>0.4475655832179993</v>
      </c>
      <c r="O1107" s="7">
        <v>0.0601628236575895</v>
      </c>
      <c r="P1107" s="7">
        <v>8.588317768731446</v>
      </c>
      <c r="Q1107" s="7">
        <v>0.0619426310833669</v>
      </c>
      <c r="R1107" s="7">
        <v>0.1038027902115554</v>
      </c>
      <c r="S1107" s="7">
        <v>0.1341938278979839</v>
      </c>
      <c r="T1107" s="7">
        <v>3.72551971707801</v>
      </c>
    </row>
    <row x14ac:dyDescent="0.25" r="1108" customHeight="1" ht="19.5">
      <c r="A1108" s="2" t="s">
        <v>2166</v>
      </c>
      <c r="B1108" s="2" t="s">
        <v>1060</v>
      </c>
      <c r="C1108" s="2" t="s">
        <v>31</v>
      </c>
      <c r="D1108" s="2" t="s">
        <v>840</v>
      </c>
      <c r="E1108" s="6">
        <v>1</v>
      </c>
      <c r="F1108" s="6">
        <v>2</v>
      </c>
      <c r="G1108" s="7">
        <v>0.767349898815155</v>
      </c>
      <c r="H1108" s="7">
        <v>53.4799890625</v>
      </c>
      <c r="I1108" s="7">
        <v>31.47691543974983</v>
      </c>
      <c r="J1108" s="7">
        <v>10.70405330794666</v>
      </c>
      <c r="K1108" s="7">
        <v>4.966490077148294</v>
      </c>
      <c r="L1108" s="7">
        <v>0.8921033548263807</v>
      </c>
      <c r="M1108" s="7">
        <v>0.6782922251942687</v>
      </c>
      <c r="N1108" s="7">
        <v>0.4192976720610543</v>
      </c>
      <c r="O1108" s="7">
        <v>0.0562303667727512</v>
      </c>
      <c r="P1108" s="7">
        <v>8.729574427210391</v>
      </c>
      <c r="Q1108" s="7">
        <v>0.0591990138102755</v>
      </c>
      <c r="R1108" s="7">
        <v>0.1032686627963967</v>
      </c>
      <c r="S1108" s="7">
        <v>0.1494838528520568</v>
      </c>
      <c r="T1108" s="7">
        <v>3.674485701530554</v>
      </c>
    </row>
    <row x14ac:dyDescent="0.25" r="1109" customHeight="1" ht="19.5">
      <c r="A1109" s="2" t="s">
        <v>2167</v>
      </c>
      <c r="B1109" s="2" t="s">
        <v>1060</v>
      </c>
      <c r="C1109" s="2" t="s">
        <v>31</v>
      </c>
      <c r="D1109" s="2" t="s">
        <v>840</v>
      </c>
      <c r="E1109" s="6">
        <v>1</v>
      </c>
      <c r="F1109" s="6">
        <v>2</v>
      </c>
      <c r="G1109" s="7">
        <v>0.7713680863380432</v>
      </c>
      <c r="H1109" s="7">
        <v>52.83928203125</v>
      </c>
      <c r="I1109" s="7">
        <v>31.6576467041661</v>
      </c>
      <c r="J1109" s="7">
        <v>10.76349215958804</v>
      </c>
      <c r="K1109" s="7">
        <v>4.911602243764573</v>
      </c>
      <c r="L1109" s="7">
        <v>0.8957388375379006</v>
      </c>
      <c r="M1109" s="7">
        <v>0.6625360523630364</v>
      </c>
      <c r="N1109" s="7">
        <v>0.3974505008089286</v>
      </c>
      <c r="O1109" s="7">
        <v>0.0537681343548472</v>
      </c>
      <c r="P1109" s="7">
        <v>8.85715664773982</v>
      </c>
      <c r="Q1109" s="7">
        <v>0.0557298015468515</v>
      </c>
      <c r="R1109" s="7">
        <v>0.0997885424968431</v>
      </c>
      <c r="S1109" s="7">
        <v>0.1531342038228026</v>
      </c>
      <c r="T1109" s="7">
        <v>3.417709806071781</v>
      </c>
    </row>
    <row x14ac:dyDescent="0.25" r="1110" customHeight="1" ht="19.5">
      <c r="A1110" s="2" t="s">
        <v>2168</v>
      </c>
      <c r="B1110" s="2" t="s">
        <v>1060</v>
      </c>
      <c r="C1110" s="2" t="s">
        <v>31</v>
      </c>
      <c r="D1110" s="2" t="s">
        <v>840</v>
      </c>
      <c r="E1110" s="6">
        <v>1</v>
      </c>
      <c r="F1110" s="6">
        <v>2</v>
      </c>
      <c r="G1110" s="7">
        <v>0.772357165813446</v>
      </c>
      <c r="H1110" s="7">
        <v>52.877378125</v>
      </c>
      <c r="I1110" s="7">
        <v>31.64336738476701</v>
      </c>
      <c r="J1110" s="7">
        <v>10.78080901021965</v>
      </c>
      <c r="K1110" s="7">
        <v>4.953041018460553</v>
      </c>
      <c r="L1110" s="7">
        <v>0.8955830232105679</v>
      </c>
      <c r="M1110" s="7">
        <v>0.6636122433317246</v>
      </c>
      <c r="N1110" s="7">
        <v>0.3985176488194407</v>
      </c>
      <c r="O1110" s="7">
        <v>0.0535924721009156</v>
      </c>
      <c r="P1110" s="7">
        <v>8.856374100461828</v>
      </c>
      <c r="Q1110" s="7">
        <v>0.0548438427169555</v>
      </c>
      <c r="R1110" s="7">
        <v>0.099223838797401</v>
      </c>
      <c r="S1110" s="7">
        <v>0.1491272706371014</v>
      </c>
      <c r="T1110" s="7">
        <v>3.365802042814765</v>
      </c>
    </row>
    <row x14ac:dyDescent="0.25" r="1111" customHeight="1" ht="19.5">
      <c r="A1111" s="2" t="s">
        <v>2169</v>
      </c>
      <c r="B1111" s="2" t="s">
        <v>1060</v>
      </c>
      <c r="C1111" s="2" t="s">
        <v>31</v>
      </c>
      <c r="D1111" s="2" t="s">
        <v>840</v>
      </c>
      <c r="E1111" s="6">
        <v>1</v>
      </c>
      <c r="F1111" s="6">
        <v>2</v>
      </c>
      <c r="G1111" s="7">
        <v>0.7730181813240051</v>
      </c>
      <c r="H1111" s="7">
        <v>52.628021875</v>
      </c>
      <c r="I1111" s="7">
        <v>31.40205409888378</v>
      </c>
      <c r="J1111" s="7">
        <v>10.56010252998862</v>
      </c>
      <c r="K1111" s="7">
        <v>5.028411316422889</v>
      </c>
      <c r="L1111" s="7">
        <v>0.8888087211056177</v>
      </c>
      <c r="M1111" s="7">
        <v>0.6706729580080253</v>
      </c>
      <c r="N1111" s="7">
        <v>0.3997233061396575</v>
      </c>
      <c r="O1111" s="7">
        <v>0.0537122672229651</v>
      </c>
      <c r="P1111" s="7">
        <v>8.872480258753649</v>
      </c>
      <c r="Q1111" s="7">
        <v>0.0602599053645189</v>
      </c>
      <c r="R1111" s="7">
        <v>0.1020446199209246</v>
      </c>
      <c r="S1111" s="7">
        <v>0.1500386000712191</v>
      </c>
      <c r="T1111" s="7">
        <v>3.680749585887628</v>
      </c>
    </row>
    <row x14ac:dyDescent="0.25" r="1112" customHeight="1" ht="19.5">
      <c r="A1112" s="2" t="s">
        <v>2170</v>
      </c>
      <c r="B1112" s="2" t="s">
        <v>1060</v>
      </c>
      <c r="C1112" s="2" t="s">
        <v>31</v>
      </c>
      <c r="D1112" s="2" t="s">
        <v>840</v>
      </c>
      <c r="E1112" s="6">
        <v>1</v>
      </c>
      <c r="F1112" s="6">
        <v>2</v>
      </c>
      <c r="G1112" s="7">
        <v>0.7709694504737854</v>
      </c>
      <c r="H1112" s="7">
        <v>53.40033359375001</v>
      </c>
      <c r="I1112" s="7">
        <v>31.92160394109096</v>
      </c>
      <c r="J1112" s="7">
        <v>10.79168697059833</v>
      </c>
      <c r="K1112" s="7">
        <v>5.037990191734122</v>
      </c>
      <c r="L1112" s="7">
        <v>0.8936438100502154</v>
      </c>
      <c r="M1112" s="7">
        <v>0.6585434345042631</v>
      </c>
      <c r="N1112" s="7">
        <v>0.4021228533552767</v>
      </c>
      <c r="O1112" s="7">
        <v>0.0537605043924751</v>
      </c>
      <c r="P1112" s="7">
        <v>8.871538195825067</v>
      </c>
      <c r="Q1112" s="7">
        <v>0.0565546854366747</v>
      </c>
      <c r="R1112" s="7">
        <v>0.101792925813498</v>
      </c>
      <c r="S1112" s="7">
        <v>0.1517107807606296</v>
      </c>
      <c r="T1112" s="7">
        <v>3.505123635008169</v>
      </c>
    </row>
    <row x14ac:dyDescent="0.25" r="1113" customHeight="1" ht="19.5">
      <c r="A1113" s="2" t="s">
        <v>2171</v>
      </c>
      <c r="B1113" s="2" t="s">
        <v>1060</v>
      </c>
      <c r="C1113" s="2" t="s">
        <v>31</v>
      </c>
      <c r="D1113" s="2" t="s">
        <v>840</v>
      </c>
      <c r="E1113" s="6">
        <v>1</v>
      </c>
      <c r="F1113" s="6">
        <v>2</v>
      </c>
      <c r="G1113" s="7">
        <v>0.7779860496520996</v>
      </c>
      <c r="H1113" s="7">
        <v>53.209853125</v>
      </c>
      <c r="I1113" s="7">
        <v>32.06786187895247</v>
      </c>
      <c r="J1113" s="7">
        <v>10.78079829513731</v>
      </c>
      <c r="K1113" s="7">
        <v>5.012596981568669</v>
      </c>
      <c r="L1113" s="7">
        <v>0.8949565755130141</v>
      </c>
      <c r="M1113" s="7">
        <v>0.6502223830742091</v>
      </c>
      <c r="N1113" s="7">
        <v>0.4007741494272738</v>
      </c>
      <c r="O1113" s="7">
        <v>0.0534592279364922</v>
      </c>
      <c r="P1113" s="7">
        <v>8.901227574341718</v>
      </c>
      <c r="Q1113" s="7">
        <v>0.0553538302154233</v>
      </c>
      <c r="R1113" s="7">
        <v>0.1000890173187537</v>
      </c>
      <c r="S1113" s="7">
        <v>0.152733395515115</v>
      </c>
      <c r="T1113" s="7">
        <v>3.418460118206311</v>
      </c>
    </row>
    <row x14ac:dyDescent="0.25" r="1114" customHeight="1" ht="19.5">
      <c r="A1114" s="2" t="s">
        <v>2172</v>
      </c>
      <c r="B1114" s="2" t="s">
        <v>1060</v>
      </c>
      <c r="C1114" s="2" t="s">
        <v>31</v>
      </c>
      <c r="D1114" s="2" t="s">
        <v>840</v>
      </c>
      <c r="E1114" s="6">
        <v>1</v>
      </c>
      <c r="F1114" s="6">
        <v>2</v>
      </c>
      <c r="G1114" s="7">
        <v>0.7740868926048279</v>
      </c>
      <c r="H1114" s="7">
        <v>53.36223750000001</v>
      </c>
      <c r="I1114" s="7">
        <v>31.70639935011994</v>
      </c>
      <c r="J1114" s="7">
        <v>10.79136403469784</v>
      </c>
      <c r="K1114" s="7">
        <v>5.037963485676535</v>
      </c>
      <c r="L1114" s="7">
        <v>0.8937795174763371</v>
      </c>
      <c r="M1114" s="7">
        <v>0.6670371845631681</v>
      </c>
      <c r="N1114" s="7">
        <v>0.4011837577664848</v>
      </c>
      <c r="O1114" s="7">
        <v>0.0536074860367752</v>
      </c>
      <c r="P1114" s="7">
        <v>8.870384887062686</v>
      </c>
      <c r="Q1114" s="7">
        <v>0.0554342422434054</v>
      </c>
      <c r="R1114" s="7">
        <v>0.0985720183218699</v>
      </c>
      <c r="S1114" s="7">
        <v>0.1523297232066358</v>
      </c>
      <c r="T1114" s="7">
        <v>3.433230221651504</v>
      </c>
    </row>
    <row x14ac:dyDescent="0.25" r="1115" customHeight="1" ht="19.5">
      <c r="A1115" s="2" t="s">
        <v>2173</v>
      </c>
      <c r="B1115" s="2" t="s">
        <v>1060</v>
      </c>
      <c r="C1115" s="2" t="s">
        <v>31</v>
      </c>
      <c r="D1115" s="2" t="s">
        <v>840</v>
      </c>
      <c r="E1115" s="6">
        <v>1</v>
      </c>
      <c r="F1115" s="6">
        <v>2</v>
      </c>
      <c r="G1115" s="7">
        <v>0.7756231427192688</v>
      </c>
      <c r="H1115" s="7">
        <v>53.528475</v>
      </c>
      <c r="I1115" s="7">
        <v>31.9560772676457</v>
      </c>
      <c r="J1115" s="7">
        <v>10.77321642223393</v>
      </c>
      <c r="K1115" s="7">
        <v>4.995050558223491</v>
      </c>
      <c r="L1115" s="7">
        <v>0.8932442167128962</v>
      </c>
      <c r="M1115" s="7">
        <v>0.6587002216495583</v>
      </c>
      <c r="N1115" s="7">
        <v>0.4014162174864467</v>
      </c>
      <c r="O1115" s="7">
        <v>0.0539048318601397</v>
      </c>
      <c r="P1115" s="7">
        <v>8.860351531051016</v>
      </c>
      <c r="Q1115" s="7">
        <v>0.0542249269103114</v>
      </c>
      <c r="R1115" s="7">
        <v>0.0992058023491533</v>
      </c>
      <c r="S1115" s="7">
        <v>0.155056474221171</v>
      </c>
      <c r="T1115" s="7">
        <v>3.368795327822222</v>
      </c>
    </row>
    <row x14ac:dyDescent="0.25" r="1116" customHeight="1" ht="19.5">
      <c r="A1116" s="2" t="s">
        <v>2174</v>
      </c>
      <c r="B1116" s="2" t="s">
        <v>1060</v>
      </c>
      <c r="C1116" s="2" t="s">
        <v>31</v>
      </c>
      <c r="D1116" s="2" t="s">
        <v>840</v>
      </c>
      <c r="E1116" s="6">
        <v>1</v>
      </c>
      <c r="F1116" s="6">
        <v>2</v>
      </c>
      <c r="G1116" s="7">
        <v>0.7763353586196899</v>
      </c>
      <c r="H1116" s="7">
        <v>52.7319203125</v>
      </c>
      <c r="I1116" s="7">
        <v>31.88713061453621</v>
      </c>
      <c r="J1116" s="7">
        <v>10.77956548220084</v>
      </c>
      <c r="K1116" s="7">
        <v>4.951251027891315</v>
      </c>
      <c r="L1116" s="7">
        <v>0.8965229669611454</v>
      </c>
      <c r="M1116" s="7">
        <v>0.651707275989888</v>
      </c>
      <c r="N1116" s="7">
        <v>0.3947042701594946</v>
      </c>
      <c r="O1116" s="7">
        <v>0.0531571834612196</v>
      </c>
      <c r="P1116" s="7">
        <v>8.89996350480308</v>
      </c>
      <c r="Q1116" s="7">
        <v>0.0543618326268681</v>
      </c>
      <c r="R1116" s="7">
        <v>0.0968833252418059</v>
      </c>
      <c r="S1116" s="7">
        <v>0.1538295294294446</v>
      </c>
      <c r="T1116" s="7">
        <v>3.327043324566787</v>
      </c>
    </row>
    <row x14ac:dyDescent="0.25" r="1117" customHeight="1" ht="19.5">
      <c r="A1117" s="2" t="s">
        <v>2175</v>
      </c>
      <c r="B1117" s="2" t="s">
        <v>1060</v>
      </c>
      <c r="C1117" s="2" t="s">
        <v>31</v>
      </c>
      <c r="D1117" s="2" t="s">
        <v>840</v>
      </c>
      <c r="E1117" s="6">
        <v>1</v>
      </c>
      <c r="F1117" s="6">
        <v>2</v>
      </c>
      <c r="G1117" s="7">
        <v>0.7778854966163635</v>
      </c>
      <c r="H1117" s="7">
        <v>52.72153046875</v>
      </c>
      <c r="I1117" s="7">
        <v>31.55422672450186</v>
      </c>
      <c r="J1117" s="7">
        <v>10.7812271688378</v>
      </c>
      <c r="K1117" s="7">
        <v>4.952403506353885</v>
      </c>
      <c r="L1117" s="7">
        <v>0.8967551583630582</v>
      </c>
      <c r="M1117" s="7">
        <v>0.6653999894104656</v>
      </c>
      <c r="N1117" s="7">
        <v>0.3989956214233877</v>
      </c>
      <c r="O1117" s="7">
        <v>0.0535287368501771</v>
      </c>
      <c r="P1117" s="7">
        <v>8.87854950641663</v>
      </c>
      <c r="Q1117" s="7">
        <v>0.0549036843594782</v>
      </c>
      <c r="R1117" s="7">
        <v>0.098506391091901</v>
      </c>
      <c r="S1117" s="7">
        <v>0.1504794575647497</v>
      </c>
      <c r="T1117" s="7">
        <v>3.359543573057818</v>
      </c>
    </row>
    <row x14ac:dyDescent="0.25" r="1118" customHeight="1" ht="19.5">
      <c r="A1118" s="2" t="s">
        <v>2176</v>
      </c>
      <c r="B1118" s="2" t="s">
        <v>1060</v>
      </c>
      <c r="C1118" s="2" t="s">
        <v>31</v>
      </c>
      <c r="D1118" s="2" t="s">
        <v>840</v>
      </c>
      <c r="E1118" s="6">
        <v>1</v>
      </c>
      <c r="F1118" s="6">
        <v>2</v>
      </c>
      <c r="G1118" s="7">
        <v>0.7797648310661316</v>
      </c>
      <c r="H1118" s="7">
        <v>52.6488015625</v>
      </c>
      <c r="I1118" s="7">
        <v>31.74087267667469</v>
      </c>
      <c r="J1118" s="7">
        <v>10.78023072903975</v>
      </c>
      <c r="K1118" s="7">
        <v>4.951628388305718</v>
      </c>
      <c r="L1118" s="7">
        <v>0.8975238342852745</v>
      </c>
      <c r="M1118" s="7">
        <v>0.6566903401524269</v>
      </c>
      <c r="N1118" s="7">
        <v>0.3989073122770156</v>
      </c>
      <c r="O1118" s="7">
        <v>0.0532787359735124</v>
      </c>
      <c r="P1118" s="7">
        <v>8.89076696448823</v>
      </c>
      <c r="Q1118" s="7">
        <v>0.0540363437752979</v>
      </c>
      <c r="R1118" s="7">
        <v>0.0978185676956228</v>
      </c>
      <c r="S1118" s="7">
        <v>0.1490850726310197</v>
      </c>
      <c r="T1118" s="7">
        <v>3.301909956953085</v>
      </c>
    </row>
    <row x14ac:dyDescent="0.25" r="1119" customHeight="1" ht="19.5">
      <c r="A1119" s="2" t="s">
        <v>2177</v>
      </c>
      <c r="B1119" s="2" t="s">
        <v>1060</v>
      </c>
      <c r="C1119" s="2" t="s">
        <v>31</v>
      </c>
      <c r="D1119" s="2" t="s">
        <v>840</v>
      </c>
      <c r="E1119" s="6">
        <v>1</v>
      </c>
      <c r="F1119" s="6">
        <v>2</v>
      </c>
      <c r="G1119" s="7">
        <v>0.7707095146179199</v>
      </c>
      <c r="H1119" s="7">
        <v>52.76308984375</v>
      </c>
      <c r="I1119" s="7">
        <v>31.72067866951904</v>
      </c>
      <c r="J1119" s="7">
        <v>10.77451574248419</v>
      </c>
      <c r="K1119" s="7">
        <v>4.937688099095679</v>
      </c>
      <c r="L1119" s="7">
        <v>0.8968726998909992</v>
      </c>
      <c r="M1119" s="7">
        <v>0.6589540675702348</v>
      </c>
      <c r="N1119" s="7">
        <v>0.3995541076746963</v>
      </c>
      <c r="O1119" s="7">
        <v>0.0538182626503466</v>
      </c>
      <c r="P1119" s="7">
        <v>8.86282868301461</v>
      </c>
      <c r="Q1119" s="7">
        <v>0.0541794210482399</v>
      </c>
      <c r="R1119" s="7">
        <v>0.0966128185439474</v>
      </c>
      <c r="S1119" s="7">
        <v>0.154050592710873</v>
      </c>
      <c r="T1119" s="7">
        <v>3.317839400216505</v>
      </c>
    </row>
    <row x14ac:dyDescent="0.25" r="1120" customHeight="1" ht="19.5">
      <c r="A1120" s="2" t="s">
        <v>2178</v>
      </c>
      <c r="B1120" s="2" t="s">
        <v>1060</v>
      </c>
      <c r="C1120" s="2" t="s">
        <v>31</v>
      </c>
      <c r="D1120" s="2" t="s">
        <v>840</v>
      </c>
      <c r="E1120" s="6">
        <v>1</v>
      </c>
      <c r="F1120" s="6">
        <v>2</v>
      </c>
      <c r="G1120" s="7">
        <v>0.7791427969932556</v>
      </c>
      <c r="H1120" s="7">
        <v>52.821965625</v>
      </c>
      <c r="I1120" s="7">
        <v>31.49119475914893</v>
      </c>
      <c r="J1120" s="7">
        <v>10.77276536192911</v>
      </c>
      <c r="K1120" s="7">
        <v>4.933165496665876</v>
      </c>
      <c r="L1120" s="7">
        <v>0.8960949380041144</v>
      </c>
      <c r="M1120" s="7">
        <v>0.6693390247223099</v>
      </c>
      <c r="N1120" s="7">
        <v>0.3993093028375114</v>
      </c>
      <c r="O1120" s="7">
        <v>0.0536151339864369</v>
      </c>
      <c r="P1120" s="7">
        <v>8.862630294032572</v>
      </c>
      <c r="Q1120" s="7">
        <v>0.0540321611164472</v>
      </c>
      <c r="R1120" s="7">
        <v>0.0973046900070505</v>
      </c>
      <c r="S1120" s="7">
        <v>0.1485426150066179</v>
      </c>
      <c r="T1120" s="7">
        <v>3.312513650425938</v>
      </c>
    </row>
    <row x14ac:dyDescent="0.25" r="1121" customHeight="1" ht="19.5">
      <c r="A1121" s="2" t="s">
        <v>2179</v>
      </c>
      <c r="B1121" s="2" t="s">
        <v>1060</v>
      </c>
      <c r="C1121" s="2" t="s">
        <v>31</v>
      </c>
      <c r="D1121" s="2" t="s">
        <v>840</v>
      </c>
      <c r="E1121" s="6">
        <v>1</v>
      </c>
      <c r="F1121" s="6">
        <v>2</v>
      </c>
      <c r="G1121" s="7">
        <v>0.7764347195625305</v>
      </c>
      <c r="H1121" s="7">
        <v>52.75616328125</v>
      </c>
      <c r="I1121" s="7">
        <v>31.57442073165751</v>
      </c>
      <c r="J1121" s="7">
        <v>10.78041261365276</v>
      </c>
      <c r="K1121" s="7">
        <v>4.949953336641415</v>
      </c>
      <c r="L1121" s="7">
        <v>0.8971100472069599</v>
      </c>
      <c r="M1121" s="7">
        <v>0.6649856665625715</v>
      </c>
      <c r="N1121" s="7">
        <v>0.397737849758268</v>
      </c>
      <c r="O1121" s="7">
        <v>0.053432400418464</v>
      </c>
      <c r="P1121" s="7">
        <v>8.878330366118682</v>
      </c>
      <c r="Q1121" s="7">
        <v>0.0558121772164409</v>
      </c>
      <c r="R1121" s="7">
        <v>0.0992466975193347</v>
      </c>
      <c r="S1121" s="7">
        <v>0.1513072233669907</v>
      </c>
      <c r="T1121" s="7">
        <v>3.417377442051728</v>
      </c>
    </row>
    <row x14ac:dyDescent="0.25" r="1122" customHeight="1" ht="19.5">
      <c r="A1122" s="2" t="s">
        <v>2180</v>
      </c>
      <c r="B1122" s="2" t="s">
        <v>1060</v>
      </c>
      <c r="C1122" s="2" t="s">
        <v>31</v>
      </c>
      <c r="D1122" s="2" t="s">
        <v>840</v>
      </c>
      <c r="E1122" s="6">
        <v>1</v>
      </c>
      <c r="F1122" s="6">
        <v>2</v>
      </c>
      <c r="G1122" s="7">
        <v>0.7774342894554138</v>
      </c>
      <c r="H1122" s="7">
        <v>53.05400546875001</v>
      </c>
      <c r="I1122" s="7">
        <v>31.6576467041661</v>
      </c>
      <c r="J1122" s="7">
        <v>10.75809273859824</v>
      </c>
      <c r="K1122" s="7">
        <v>4.897670771509019</v>
      </c>
      <c r="L1122" s="7">
        <v>0.8954808872231226</v>
      </c>
      <c r="M1122" s="7">
        <v>0.6652284057251986</v>
      </c>
      <c r="N1122" s="7">
        <v>0.4004769532181867</v>
      </c>
      <c r="O1122" s="7">
        <v>0.0540061421764229</v>
      </c>
      <c r="P1122" s="7">
        <v>8.84000470182712</v>
      </c>
      <c r="Q1122" s="7">
        <v>0.0547907778541602</v>
      </c>
      <c r="R1122" s="7">
        <v>0.0992538093274414</v>
      </c>
      <c r="S1122" s="7">
        <v>0.1529027153002825</v>
      </c>
      <c r="T1122" s="7">
        <v>3.373777394360342</v>
      </c>
    </row>
    <row x14ac:dyDescent="0.25" r="1123" customHeight="1" ht="19.5">
      <c r="A1123" s="2" t="s">
        <v>2181</v>
      </c>
      <c r="B1123" s="2" t="s">
        <v>1060</v>
      </c>
      <c r="C1123" s="2" t="s">
        <v>31</v>
      </c>
      <c r="D1123" s="2" t="s">
        <v>840</v>
      </c>
      <c r="E1123" s="6">
        <v>1</v>
      </c>
      <c r="F1123" s="6">
        <v>2</v>
      </c>
      <c r="G1123" s="7">
        <v>0.7786561250686646</v>
      </c>
      <c r="H1123" s="7">
        <v>52.77001640625</v>
      </c>
      <c r="I1123" s="7">
        <v>31.57442073165751</v>
      </c>
      <c r="J1123" s="7">
        <v>10.77383705504132</v>
      </c>
      <c r="K1123" s="7">
        <v>4.935760428330194</v>
      </c>
      <c r="L1123" s="7">
        <v>0.8967025135474218</v>
      </c>
      <c r="M1123" s="7">
        <v>0.6651602836876455</v>
      </c>
      <c r="N1123" s="7">
        <v>0.3965042087950254</v>
      </c>
      <c r="O1123" s="7">
        <v>0.0534001228118027</v>
      </c>
      <c r="P1123" s="7">
        <v>8.8807104551108</v>
      </c>
      <c r="Q1123" s="7">
        <v>0.0551953533457097</v>
      </c>
      <c r="R1123" s="7">
        <v>0.0984022081234544</v>
      </c>
      <c r="S1123" s="7">
        <v>0.1498320025812844</v>
      </c>
      <c r="T1123" s="7">
        <v>3.380496784608192</v>
      </c>
    </row>
    <row x14ac:dyDescent="0.25" r="1124" customHeight="1" ht="19.5">
      <c r="A1124" s="2" t="s">
        <v>2182</v>
      </c>
      <c r="B1124" s="2" t="s">
        <v>1060</v>
      </c>
      <c r="C1124" s="2" t="s">
        <v>31</v>
      </c>
      <c r="D1124" s="2" t="s">
        <v>840</v>
      </c>
      <c r="E1124" s="6">
        <v>1</v>
      </c>
      <c r="F1124" s="6">
        <v>2</v>
      </c>
      <c r="G1124" s="7">
        <v>0.7751947641372681</v>
      </c>
      <c r="H1124" s="7">
        <v>52.71114062500001</v>
      </c>
      <c r="I1124" s="7">
        <v>31.88713061453621</v>
      </c>
      <c r="J1124" s="7">
        <v>10.77119519136447</v>
      </c>
      <c r="K1124" s="7">
        <v>4.92984472300185</v>
      </c>
      <c r="L1124" s="7">
        <v>0.8977533488864389</v>
      </c>
      <c r="M1124" s="7">
        <v>0.6514504624041834</v>
      </c>
      <c r="N1124" s="7">
        <v>0.39759596738673</v>
      </c>
      <c r="O1124" s="7">
        <v>0.0532928590342229</v>
      </c>
      <c r="P1124" s="7">
        <v>8.88777999463199</v>
      </c>
      <c r="Q1124" s="7">
        <v>0.0537573408826097</v>
      </c>
      <c r="R1124" s="7">
        <v>0.0965961089298027</v>
      </c>
      <c r="S1124" s="7">
        <v>0.1522100858525955</v>
      </c>
      <c r="T1124" s="7">
        <v>3.288750841873613</v>
      </c>
    </row>
    <row x14ac:dyDescent="0.25" r="1125" customHeight="1" ht="19.5">
      <c r="A1125" s="2" t="s">
        <v>2183</v>
      </c>
      <c r="B1125" s="2" t="s">
        <v>1060</v>
      </c>
      <c r="C1125" s="2" t="s">
        <v>31</v>
      </c>
      <c r="D1125" s="2" t="s">
        <v>840</v>
      </c>
      <c r="E1125" s="6">
        <v>1</v>
      </c>
      <c r="F1125" s="6">
        <v>2</v>
      </c>
      <c r="G1125" s="7">
        <v>0.775756299495697</v>
      </c>
      <c r="H1125" s="7">
        <v>53.25487578125</v>
      </c>
      <c r="I1125" s="7">
        <v>31.74087267667469</v>
      </c>
      <c r="J1125" s="7">
        <v>10.79815502935891</v>
      </c>
      <c r="K1125" s="7">
        <v>5.054571100172748</v>
      </c>
      <c r="L1125" s="7">
        <v>0.8946423839151506</v>
      </c>
      <c r="M1125" s="7">
        <v>0.6642499250443276</v>
      </c>
      <c r="N1125" s="7">
        <v>0.3967021624128455</v>
      </c>
      <c r="O1125" s="7">
        <v>0.053339790361788</v>
      </c>
      <c r="P1125" s="7">
        <v>8.897425180503792</v>
      </c>
      <c r="Q1125" s="7">
        <v>0.0560219982975911</v>
      </c>
      <c r="R1125" s="7">
        <v>0.1001895145396438</v>
      </c>
      <c r="S1125" s="7">
        <v>0.1545276135659936</v>
      </c>
      <c r="T1125" s="7">
        <v>3.462651245455226</v>
      </c>
    </row>
    <row x14ac:dyDescent="0.25" r="1126" customHeight="1" ht="19.5">
      <c r="A1126" s="2" t="s">
        <v>2184</v>
      </c>
      <c r="B1126" s="2" t="s">
        <v>1060</v>
      </c>
      <c r="C1126" s="2" t="s">
        <v>31</v>
      </c>
      <c r="D1126" s="2" t="s">
        <v>840</v>
      </c>
      <c r="E1126" s="6">
        <v>1</v>
      </c>
      <c r="F1126" s="6">
        <v>2</v>
      </c>
      <c r="G1126" s="7">
        <v>0.7773860692977905</v>
      </c>
      <c r="H1126" s="7">
        <v>52.9674234375</v>
      </c>
      <c r="I1126" s="7">
        <v>31.59461473881317</v>
      </c>
      <c r="J1126" s="7">
        <v>10.77068962755202</v>
      </c>
      <c r="K1126" s="7">
        <v>4.927803565276601</v>
      </c>
      <c r="L1126" s="7">
        <v>0.8963503360556158</v>
      </c>
      <c r="M1126" s="7">
        <v>0.6667953822287918</v>
      </c>
      <c r="N1126" s="7">
        <v>0.4001348096741098</v>
      </c>
      <c r="O1126" s="7">
        <v>0.0538104659740672</v>
      </c>
      <c r="P1126" s="7">
        <v>8.84584241760007</v>
      </c>
      <c r="Q1126" s="7">
        <v>0.0543188336181415</v>
      </c>
      <c r="R1126" s="7">
        <v>0.09736396756373</v>
      </c>
      <c r="S1126" s="7">
        <v>0.1501677108127704</v>
      </c>
      <c r="T1126" s="7">
        <v>3.339258678818785</v>
      </c>
    </row>
    <row x14ac:dyDescent="0.25" r="1127" customHeight="1" ht="19.5">
      <c r="A1127" s="2" t="s">
        <v>2185</v>
      </c>
      <c r="B1127" s="2" t="s">
        <v>1060</v>
      </c>
      <c r="C1127" s="2" t="s">
        <v>31</v>
      </c>
      <c r="D1127" s="2" t="s">
        <v>840</v>
      </c>
      <c r="E1127" s="6">
        <v>1</v>
      </c>
      <c r="F1127" s="6">
        <v>2</v>
      </c>
      <c r="G1127" s="7">
        <v>0.7669918537139893</v>
      </c>
      <c r="H1127" s="7">
        <v>53.3553109375</v>
      </c>
      <c r="I1127" s="7">
        <v>31.86693660738055</v>
      </c>
      <c r="J1127" s="7">
        <v>10.76908932008298</v>
      </c>
      <c r="K1127" s="7">
        <v>4.983857182866617</v>
      </c>
      <c r="L1127" s="7">
        <v>0.8949082407513284</v>
      </c>
      <c r="M1127" s="7">
        <v>0.6602476838099613</v>
      </c>
      <c r="N1127" s="7">
        <v>0.3999300692741194</v>
      </c>
      <c r="O1127" s="7">
        <v>0.0533878099232219</v>
      </c>
      <c r="P1127" s="7">
        <v>8.886026347934468</v>
      </c>
      <c r="Q1127" s="7">
        <v>0.0537887193150493</v>
      </c>
      <c r="R1127" s="7">
        <v>0.0978920006566618</v>
      </c>
      <c r="S1127" s="7">
        <v>0.1519979109644308</v>
      </c>
      <c r="T1127" s="7">
        <v>3.330885003955686</v>
      </c>
    </row>
    <row x14ac:dyDescent="0.25" r="1128" customHeight="1" ht="19.5">
      <c r="A1128" s="2" t="s">
        <v>2186</v>
      </c>
      <c r="B1128" s="2" t="s">
        <v>1060</v>
      </c>
      <c r="C1128" s="2" t="s">
        <v>31</v>
      </c>
      <c r="D1128" s="2" t="s">
        <v>840</v>
      </c>
      <c r="E1128" s="6">
        <v>1</v>
      </c>
      <c r="F1128" s="6">
        <v>2</v>
      </c>
      <c r="G1128" s="7">
        <v>0.7820222973823547</v>
      </c>
      <c r="H1128" s="7">
        <v>52.78040625000001</v>
      </c>
      <c r="I1128" s="7">
        <v>31.52566808570367</v>
      </c>
      <c r="J1128" s="7">
        <v>10.7070027841464</v>
      </c>
      <c r="K1128" s="7">
        <v>4.913944380324596</v>
      </c>
      <c r="L1128" s="7">
        <v>0.8954794820715392</v>
      </c>
      <c r="M1128" s="7">
        <v>0.6673505074310265</v>
      </c>
      <c r="N1128" s="7">
        <v>0.4053279621546879</v>
      </c>
      <c r="O1128" s="7">
        <v>0.0546721630463535</v>
      </c>
      <c r="P1128" s="7">
        <v>8.784320046493601</v>
      </c>
      <c r="Q1128" s="7">
        <v>0.0560004350073821</v>
      </c>
      <c r="R1128" s="7">
        <v>0.0984887358714107</v>
      </c>
      <c r="S1128" s="7">
        <v>0.1488693681969913</v>
      </c>
      <c r="T1128" s="7">
        <v>3.430480139129122</v>
      </c>
    </row>
    <row x14ac:dyDescent="0.25" r="1129" customHeight="1" ht="19.5">
      <c r="A1129" s="2" t="s">
        <v>2187</v>
      </c>
      <c r="B1129" s="2" t="s">
        <v>1060</v>
      </c>
      <c r="C1129" s="2" t="s">
        <v>31</v>
      </c>
      <c r="D1129" s="2" t="s">
        <v>840</v>
      </c>
      <c r="E1129" s="6">
        <v>1</v>
      </c>
      <c r="F1129" s="6">
        <v>2</v>
      </c>
      <c r="G1129" s="7">
        <v>0.7553055882453918</v>
      </c>
      <c r="H1129" s="7">
        <v>52.212428125</v>
      </c>
      <c r="I1129" s="7">
        <v>31.3734954600856</v>
      </c>
      <c r="J1129" s="7">
        <v>10.6995260815105</v>
      </c>
      <c r="K1129" s="7">
        <v>4.89800873561088</v>
      </c>
      <c r="L1129" s="7">
        <v>0.8975271175713287</v>
      </c>
      <c r="M1129" s="7">
        <v>0.6665886863185646</v>
      </c>
      <c r="N1129" s="7">
        <v>0.5201531927742531</v>
      </c>
      <c r="O1129" s="7">
        <v>0.0692623484078256</v>
      </c>
      <c r="P1129" s="7">
        <v>8.216395507410054</v>
      </c>
      <c r="Q1129" s="7">
        <v>0.0573450384195638</v>
      </c>
      <c r="R1129" s="7">
        <v>0.0951682699366109</v>
      </c>
      <c r="S1129" s="7">
        <v>0.1207548342743353</v>
      </c>
      <c r="T1129" s="7">
        <v>3.475045685635077</v>
      </c>
    </row>
    <row x14ac:dyDescent="0.25" r="1130" customHeight="1" ht="19.5">
      <c r="A1130" s="2" t="s">
        <v>2188</v>
      </c>
      <c r="B1130" s="2" t="s">
        <v>1060</v>
      </c>
      <c r="C1130" s="2" t="s">
        <v>31</v>
      </c>
      <c r="D1130" s="2" t="s">
        <v>840</v>
      </c>
      <c r="E1130" s="6">
        <v>1</v>
      </c>
      <c r="F1130" s="6">
        <v>2</v>
      </c>
      <c r="G1130" s="7">
        <v>0.716748058795929</v>
      </c>
      <c r="H1130" s="7">
        <v>52.8288921875</v>
      </c>
      <c r="I1130" s="7">
        <v>31.3045488069761</v>
      </c>
      <c r="J1130" s="7">
        <v>10.60830226891158</v>
      </c>
      <c r="K1130" s="7">
        <v>5.069022774996233</v>
      </c>
      <c r="L1130" s="7">
        <v>0.8906364493467603</v>
      </c>
      <c r="M1130" s="7">
        <v>0.6774331897380317</v>
      </c>
      <c r="N1130" s="7">
        <v>0.5524998885691345</v>
      </c>
      <c r="O1130" s="7">
        <v>0.0809736088186392</v>
      </c>
      <c r="P1130" s="7">
        <v>7.777677895469328</v>
      </c>
      <c r="Q1130" s="7">
        <v>0.0401586333029794</v>
      </c>
      <c r="R1130" s="7">
        <v>0.0726771135882602</v>
      </c>
      <c r="S1130" s="7">
        <v>0.0921030877122918</v>
      </c>
      <c r="T1130" s="7">
        <v>2.462301377501391</v>
      </c>
    </row>
    <row x14ac:dyDescent="0.25" r="1131" customHeight="1" ht="19.5">
      <c r="A1131" s="2" t="s">
        <v>2189</v>
      </c>
      <c r="B1131" s="2" t="s">
        <v>1060</v>
      </c>
      <c r="C1131" s="2" t="s">
        <v>31</v>
      </c>
      <c r="D1131" s="2" t="s">
        <v>840</v>
      </c>
      <c r="E1131" s="6">
        <v>1</v>
      </c>
      <c r="F1131" s="6">
        <v>2</v>
      </c>
      <c r="G1131" s="7">
        <v>0.7558598518371582</v>
      </c>
      <c r="H1131" s="7">
        <v>52.35442265625</v>
      </c>
      <c r="I1131" s="7">
        <v>31.22132283446751</v>
      </c>
      <c r="J1131" s="7">
        <v>10.50483588290061</v>
      </c>
      <c r="K1131" s="7">
        <v>5.104377747353029</v>
      </c>
      <c r="L1131" s="7">
        <v>0.8848979281712351</v>
      </c>
      <c r="M1131" s="7">
        <v>0.6749329624226922</v>
      </c>
      <c r="N1131" s="7">
        <v>0.481436622194301</v>
      </c>
      <c r="O1131" s="7">
        <v>0.0716713927695082</v>
      </c>
      <c r="P1131" s="7">
        <v>8.091395576518957</v>
      </c>
      <c r="Q1131" s="7">
        <v>0.0465820226269016</v>
      </c>
      <c r="R1131" s="7">
        <v>0.0862173930057817</v>
      </c>
      <c r="S1131" s="7">
        <v>0.109431581932723</v>
      </c>
      <c r="T1131" s="7">
        <v>2.830495682683353</v>
      </c>
    </row>
    <row x14ac:dyDescent="0.25" r="1132" customHeight="1" ht="19.5">
      <c r="A1132" s="2" t="s">
        <v>2190</v>
      </c>
      <c r="B1132" s="2" t="s">
        <v>1060</v>
      </c>
      <c r="C1132" s="2" t="s">
        <v>31</v>
      </c>
      <c r="D1132" s="2" t="s">
        <v>840</v>
      </c>
      <c r="E1132" s="6">
        <v>1</v>
      </c>
      <c r="F1132" s="6">
        <v>2</v>
      </c>
      <c r="G1132" s="7">
        <v>0.7666115760803223</v>
      </c>
      <c r="H1132" s="7">
        <v>52.15701562500001</v>
      </c>
      <c r="I1132" s="7">
        <v>31.20704351506842</v>
      </c>
      <c r="J1132" s="7">
        <v>10.52787978494078</v>
      </c>
      <c r="K1132" s="7">
        <v>4.962016854600879</v>
      </c>
      <c r="L1132" s="7">
        <v>0.8886069725562139</v>
      </c>
      <c r="M1132" s="7">
        <v>0.6730035335687505</v>
      </c>
      <c r="N1132" s="7">
        <v>0.4296066158616199</v>
      </c>
      <c r="O1132" s="7">
        <v>0.0637540314349801</v>
      </c>
      <c r="P1132" s="7">
        <v>8.39959369336948</v>
      </c>
      <c r="Q1132" s="7">
        <v>0.0443596838450163</v>
      </c>
      <c r="R1132" s="7">
        <v>0.0817114595600852</v>
      </c>
      <c r="S1132" s="7">
        <v>0.1048963097064671</v>
      </c>
      <c r="T1132" s="7">
        <v>2.685294707062359</v>
      </c>
    </row>
    <row x14ac:dyDescent="0.25" r="1133" customHeight="1" ht="19.5">
      <c r="A1133" s="2" t="s">
        <v>2191</v>
      </c>
      <c r="B1133" s="2" t="s">
        <v>1060</v>
      </c>
      <c r="C1133" s="2" t="s">
        <v>31</v>
      </c>
      <c r="D1133" s="2" t="s">
        <v>840</v>
      </c>
      <c r="E1133" s="6">
        <v>1</v>
      </c>
      <c r="F1133" s="6">
        <v>2</v>
      </c>
      <c r="G1133" s="7">
        <v>0.772638738155365</v>
      </c>
      <c r="H1133" s="7">
        <v>52.54836640625</v>
      </c>
      <c r="I1133" s="7">
        <v>31.32474281413176</v>
      </c>
      <c r="J1133" s="7">
        <v>10.48234871874814</v>
      </c>
      <c r="K1133" s="7">
        <v>5.046428144524201</v>
      </c>
      <c r="L1133" s="7">
        <v>0.8862417755117412</v>
      </c>
      <c r="M1133" s="7">
        <v>0.6729674448638306</v>
      </c>
      <c r="N1133" s="7">
        <v>0.4107390774684898</v>
      </c>
      <c r="O1133" s="7">
        <v>0.0607222163902488</v>
      </c>
      <c r="P1133" s="7">
        <v>8.536219235244898</v>
      </c>
      <c r="Q1133" s="7">
        <v>0.0438696319773617</v>
      </c>
      <c r="R1133" s="7">
        <v>0.0829973010155238</v>
      </c>
      <c r="S1133" s="7">
        <v>0.1112323398746356</v>
      </c>
      <c r="T1133" s="7">
        <v>2.675555663453935</v>
      </c>
    </row>
    <row x14ac:dyDescent="0.25" r="1134" customHeight="1" ht="19.5">
      <c r="A1134" s="2" t="s">
        <v>2192</v>
      </c>
      <c r="B1134" s="2" t="s">
        <v>1060</v>
      </c>
      <c r="C1134" s="2" t="s">
        <v>31</v>
      </c>
      <c r="D1134" s="2" t="s">
        <v>840</v>
      </c>
      <c r="E1134" s="6">
        <v>1</v>
      </c>
      <c r="F1134" s="6">
        <v>2</v>
      </c>
      <c r="G1134" s="7">
        <v>0.7541354894638062</v>
      </c>
      <c r="H1134" s="7">
        <v>53.528475</v>
      </c>
      <c r="I1134" s="7">
        <v>31.92751862884752</v>
      </c>
      <c r="J1134" s="7">
        <v>10.70213514818069</v>
      </c>
      <c r="K1134" s="7">
        <v>5.020016058519987</v>
      </c>
      <c r="L1134" s="7">
        <v>0.8926760716386581</v>
      </c>
      <c r="M1134" s="7">
        <v>0.659879141643306</v>
      </c>
      <c r="N1134" s="7">
        <v>0.3904487790953621</v>
      </c>
      <c r="O1134" s="7">
        <v>0.0566638513071799</v>
      </c>
      <c r="P1134" s="7">
        <v>8.766331948084144</v>
      </c>
      <c r="Q1134" s="7">
        <v>0.0339714628043289</v>
      </c>
      <c r="R1134" s="7">
        <v>0.072766669948149</v>
      </c>
      <c r="S1134" s="7">
        <v>0.1177516831555238</v>
      </c>
      <c r="T1134" s="7">
        <v>2.110522073433116</v>
      </c>
    </row>
    <row x14ac:dyDescent="0.25" r="1135" customHeight="1" ht="19.5">
      <c r="A1135" s="2" t="s">
        <v>2193</v>
      </c>
      <c r="B1135" s="2" t="s">
        <v>1060</v>
      </c>
      <c r="C1135" s="2" t="s">
        <v>31</v>
      </c>
      <c r="D1135" s="2" t="s">
        <v>840</v>
      </c>
      <c r="E1135" s="6">
        <v>1</v>
      </c>
      <c r="F1135" s="6">
        <v>2</v>
      </c>
      <c r="G1135" s="7">
        <v>0.7616828083992004</v>
      </c>
      <c r="H1135" s="7">
        <v>54.32502968750001</v>
      </c>
      <c r="I1135" s="7">
        <v>32.17128185861672</v>
      </c>
      <c r="J1135" s="7">
        <v>10.77982929321692</v>
      </c>
      <c r="K1135" s="7">
        <v>5.124578386593614</v>
      </c>
      <c r="L1135" s="7">
        <v>0.8903461246082622</v>
      </c>
      <c r="M1135" s="7">
        <v>0.6595885456033355</v>
      </c>
      <c r="N1135" s="7">
        <v>0.3793678758138727</v>
      </c>
      <c r="O1135" s="7">
        <v>0.0550698172381372</v>
      </c>
      <c r="P1135" s="7">
        <v>8.853814545779878</v>
      </c>
      <c r="Q1135" s="7">
        <v>0.0326801652980523</v>
      </c>
      <c r="R1135" s="7">
        <v>0.0730325839322269</v>
      </c>
      <c r="S1135" s="7">
        <v>0.1202800662474486</v>
      </c>
      <c r="T1135" s="7">
        <v>2.060511282782606</v>
      </c>
    </row>
    <row x14ac:dyDescent="0.25" r="1136" customHeight="1" ht="19.5">
      <c r="A1136" s="2" t="s">
        <v>2194</v>
      </c>
      <c r="B1136" s="2" t="s">
        <v>1060</v>
      </c>
      <c r="C1136" s="2" t="s">
        <v>31</v>
      </c>
      <c r="D1136" s="2" t="s">
        <v>840</v>
      </c>
      <c r="E1136" s="6">
        <v>1</v>
      </c>
      <c r="F1136" s="6">
        <v>2</v>
      </c>
      <c r="G1136" s="7">
        <v>0.7693570852279663</v>
      </c>
      <c r="H1136" s="7">
        <v>54.37005234375</v>
      </c>
      <c r="I1136" s="7">
        <v>32.18938470786173</v>
      </c>
      <c r="J1136" s="7">
        <v>10.65886068416091</v>
      </c>
      <c r="K1136" s="7">
        <v>5.171631834772715</v>
      </c>
      <c r="L1136" s="7">
        <v>0.8863049920998679</v>
      </c>
      <c r="M1136" s="7">
        <v>0.6593928967985333</v>
      </c>
      <c r="N1136" s="7">
        <v>0.3833609362523532</v>
      </c>
      <c r="O1136" s="7">
        <v>0.0560397575703314</v>
      </c>
      <c r="P1136" s="7">
        <v>8.802334598951678</v>
      </c>
      <c r="Q1136" s="7">
        <v>0.0348579126692251</v>
      </c>
      <c r="R1136" s="7">
        <v>0.0753465106695676</v>
      </c>
      <c r="S1136" s="7">
        <v>0.1197174390277399</v>
      </c>
      <c r="T1136" s="7">
        <v>2.199641519724112</v>
      </c>
    </row>
    <row x14ac:dyDescent="0.25" r="1137" customHeight="1" ht="19.5">
      <c r="A1137" s="2" t="s">
        <v>2195</v>
      </c>
      <c r="B1137" s="2" t="s">
        <v>1060</v>
      </c>
      <c r="C1137" s="2" t="s">
        <v>31</v>
      </c>
      <c r="D1137" s="2" t="s">
        <v>840</v>
      </c>
      <c r="E1137" s="6">
        <v>1</v>
      </c>
      <c r="F1137" s="6">
        <v>2</v>
      </c>
      <c r="G1137" s="7">
        <v>0.7564111948013306</v>
      </c>
      <c r="H1137" s="7">
        <v>53.320678125</v>
      </c>
      <c r="I1137" s="7">
        <v>31.79554001038509</v>
      </c>
      <c r="J1137" s="7">
        <v>10.65442327659279</v>
      </c>
      <c r="K1137" s="7">
        <v>5.043322100014805</v>
      </c>
      <c r="L1137" s="7">
        <v>0.8910879014989158</v>
      </c>
      <c r="M1137" s="7">
        <v>0.6627856811847984</v>
      </c>
      <c r="N1137" s="7">
        <v>0.3838075477578443</v>
      </c>
      <c r="O1137" s="7">
        <v>0.0559469223002584</v>
      </c>
      <c r="P1137" s="7">
        <v>8.793107162944079</v>
      </c>
      <c r="Q1137" s="7">
        <v>0.0359355066624638</v>
      </c>
      <c r="R1137" s="7">
        <v>0.0758291551205946</v>
      </c>
      <c r="S1137" s="7">
        <v>0.116672058699593</v>
      </c>
      <c r="T1137" s="7">
        <v>2.223874200664973</v>
      </c>
    </row>
    <row x14ac:dyDescent="0.25" r="1138" customHeight="1" ht="19.5">
      <c r="A1138" s="2" t="s">
        <v>2196</v>
      </c>
      <c r="B1138" s="2" t="s">
        <v>1060</v>
      </c>
      <c r="C1138" s="2" t="s">
        <v>31</v>
      </c>
      <c r="D1138" s="2" t="s">
        <v>840</v>
      </c>
      <c r="E1138" s="6">
        <v>1</v>
      </c>
      <c r="F1138" s="6">
        <v>2</v>
      </c>
      <c r="G1138" s="7">
        <v>0.7556977868080139</v>
      </c>
      <c r="H1138" s="7">
        <v>54.401221875</v>
      </c>
      <c r="I1138" s="7">
        <v>32.28898115768005</v>
      </c>
      <c r="J1138" s="7">
        <v>10.79166253076056</v>
      </c>
      <c r="K1138" s="7">
        <v>5.148601125689918</v>
      </c>
      <c r="L1138" s="7">
        <v>0.8907603463446172</v>
      </c>
      <c r="M1138" s="7">
        <v>0.655707022868783</v>
      </c>
      <c r="N1138" s="7">
        <v>0.3861576826522783</v>
      </c>
      <c r="O1138" s="7">
        <v>0.0558374622525949</v>
      </c>
      <c r="P1138" s="7">
        <v>8.82287028869791</v>
      </c>
      <c r="Q1138" s="7">
        <v>0.0326015964006098</v>
      </c>
      <c r="R1138" s="7">
        <v>0.0728133321875501</v>
      </c>
      <c r="S1138" s="7">
        <v>0.1191617879375232</v>
      </c>
      <c r="T1138" s="7">
        <v>2.058440418995388</v>
      </c>
    </row>
    <row x14ac:dyDescent="0.25" r="1139" customHeight="1" ht="19.5">
      <c r="A1139" s="2" t="s">
        <v>2197</v>
      </c>
      <c r="B1139" s="2" t="s">
        <v>1060</v>
      </c>
      <c r="C1139" s="2" t="s">
        <v>31</v>
      </c>
      <c r="D1139" s="2" t="s">
        <v>840</v>
      </c>
      <c r="E1139" s="6">
        <v>1</v>
      </c>
      <c r="F1139" s="6">
        <v>2</v>
      </c>
      <c r="G1139" s="7">
        <v>0.7650915384292603</v>
      </c>
      <c r="H1139" s="7">
        <v>54.32502968750001</v>
      </c>
      <c r="I1139" s="7">
        <v>32.20575518517146</v>
      </c>
      <c r="J1139" s="7">
        <v>10.77733438498363</v>
      </c>
      <c r="K1139" s="7">
        <v>5.117590593449905</v>
      </c>
      <c r="L1139" s="7">
        <v>0.8908447671053281</v>
      </c>
      <c r="M1139" s="7">
        <v>0.6581772424618968</v>
      </c>
      <c r="N1139" s="7">
        <v>0.3815772059067457</v>
      </c>
      <c r="O1139" s="7">
        <v>0.0553739387208701</v>
      </c>
      <c r="P1139" s="7">
        <v>8.843841250695995</v>
      </c>
      <c r="Q1139" s="7">
        <v>0.0332064196803076</v>
      </c>
      <c r="R1139" s="7">
        <v>0.0737746528824984</v>
      </c>
      <c r="S1139" s="7">
        <v>0.1212655927965851</v>
      </c>
      <c r="T1139" s="7">
        <v>2.093692054126974</v>
      </c>
    </row>
    <row x14ac:dyDescent="0.25" r="1140" customHeight="1" ht="19.5">
      <c r="A1140" s="2" t="s">
        <v>2198</v>
      </c>
      <c r="B1140" s="2" t="s">
        <v>1060</v>
      </c>
      <c r="C1140" s="2" t="s">
        <v>31</v>
      </c>
      <c r="D1140" s="2" t="s">
        <v>840</v>
      </c>
      <c r="E1140" s="6">
        <v>1</v>
      </c>
      <c r="F1140" s="6">
        <v>2</v>
      </c>
      <c r="G1140" s="7">
        <v>0.7502409815788269</v>
      </c>
      <c r="H1140" s="7">
        <v>53.95445859375</v>
      </c>
      <c r="I1140" s="7">
        <v>31.9560772676457</v>
      </c>
      <c r="J1140" s="7">
        <v>10.75928741814012</v>
      </c>
      <c r="K1140" s="7">
        <v>5.018789745387581</v>
      </c>
      <c r="L1140" s="7">
        <v>0.8925169676882684</v>
      </c>
      <c r="M1140" s="7">
        <v>0.6639422071091142</v>
      </c>
      <c r="N1140" s="7">
        <v>0.3797464311872231</v>
      </c>
      <c r="O1140" s="7">
        <v>0.0552812349778277</v>
      </c>
      <c r="P1140" s="7">
        <v>8.838028310194808</v>
      </c>
      <c r="Q1140" s="7">
        <v>0.0323149483027003</v>
      </c>
      <c r="R1140" s="7">
        <v>0.0710075889003389</v>
      </c>
      <c r="S1140" s="7">
        <v>0.1182583150986718</v>
      </c>
      <c r="T1140" s="7">
        <v>2.023585619737886</v>
      </c>
    </row>
    <row x14ac:dyDescent="0.25" r="1141" customHeight="1" ht="19.5">
      <c r="A1141" s="2" t="s">
        <v>2199</v>
      </c>
      <c r="B1141" s="2" t="s">
        <v>1060</v>
      </c>
      <c r="C1141" s="2" t="s">
        <v>31</v>
      </c>
      <c r="D1141" s="2" t="s">
        <v>840</v>
      </c>
      <c r="E1141" s="6">
        <v>1</v>
      </c>
      <c r="F1141" s="6">
        <v>2</v>
      </c>
      <c r="G1141" s="7">
        <v>0.7546243071556091</v>
      </c>
      <c r="H1141" s="7">
        <v>53.957921875</v>
      </c>
      <c r="I1141" s="7">
        <v>32.35201312303298</v>
      </c>
      <c r="J1141" s="7">
        <v>10.78686585622884</v>
      </c>
      <c r="K1141" s="7">
        <v>5.137675296698305</v>
      </c>
      <c r="L1141" s="7">
        <v>0.8924255975179979</v>
      </c>
      <c r="M1141" s="7">
        <v>0.6478320931610344</v>
      </c>
      <c r="N1141" s="7">
        <v>0.3795033611246918</v>
      </c>
      <c r="O1141" s="7">
        <v>0.0552580409868928</v>
      </c>
      <c r="P1141" s="7">
        <v>8.873052800363276</v>
      </c>
      <c r="Q1141" s="7">
        <v>0.0338411796672334</v>
      </c>
      <c r="R1141" s="7">
        <v>0.0736850517421142</v>
      </c>
      <c r="S1141" s="7">
        <v>0.1187969783436639</v>
      </c>
      <c r="T1141" s="7">
        <v>2.119295367040749</v>
      </c>
    </row>
    <row x14ac:dyDescent="0.25" r="1142" customHeight="1" ht="19.5">
      <c r="A1142" s="2" t="s">
        <v>2200</v>
      </c>
      <c r="B1142" s="2" t="s">
        <v>1060</v>
      </c>
      <c r="C1142" s="2" t="s">
        <v>31</v>
      </c>
      <c r="D1142" s="2" t="s">
        <v>840</v>
      </c>
      <c r="E1142" s="6">
        <v>1</v>
      </c>
      <c r="F1142" s="6">
        <v>2</v>
      </c>
      <c r="G1142" s="7">
        <v>0.7620707154273987</v>
      </c>
      <c r="H1142" s="7">
        <v>54.2696171875</v>
      </c>
      <c r="I1142" s="7">
        <v>32.17128185861672</v>
      </c>
      <c r="J1142" s="7">
        <v>10.79111604699273</v>
      </c>
      <c r="K1142" s="7">
        <v>5.147517008080497</v>
      </c>
      <c r="L1142" s="7">
        <v>0.8911590325674945</v>
      </c>
      <c r="M1142" s="7">
        <v>0.6589157535129585</v>
      </c>
      <c r="N1142" s="7">
        <v>0.3807438430700062</v>
      </c>
      <c r="O1142" s="7">
        <v>0.0553227079138131</v>
      </c>
      <c r="P1142" s="7">
        <v>8.842891489296386</v>
      </c>
      <c r="Q1142" s="7">
        <v>0.0326411729385067</v>
      </c>
      <c r="R1142" s="7">
        <v>0.0738316135518182</v>
      </c>
      <c r="S1142" s="7">
        <v>0.1221180450595118</v>
      </c>
      <c r="T1142" s="7">
        <v>2.055953531889345</v>
      </c>
    </row>
    <row x14ac:dyDescent="0.25" r="1143" customHeight="1" ht="19.5">
      <c r="A1143" s="2" t="s">
        <v>2201</v>
      </c>
      <c r="B1143" s="2" t="s">
        <v>1060</v>
      </c>
      <c r="C1143" s="2" t="s">
        <v>31</v>
      </c>
      <c r="D1143" s="2" t="s">
        <v>840</v>
      </c>
      <c r="E1143" s="6">
        <v>1</v>
      </c>
      <c r="F1143" s="6">
        <v>2</v>
      </c>
      <c r="G1143" s="7">
        <v>0.7618649005889893</v>
      </c>
      <c r="H1143" s="7">
        <v>54.09991640625</v>
      </c>
      <c r="I1143" s="7">
        <v>32.15700253921762</v>
      </c>
      <c r="J1143" s="7">
        <v>10.77220635602915</v>
      </c>
      <c r="K1143" s="7">
        <v>5.10655404562921</v>
      </c>
      <c r="L1143" s="7">
        <v>0.8925876987059067</v>
      </c>
      <c r="M1143" s="7">
        <v>0.6574388105707112</v>
      </c>
      <c r="N1143" s="7">
        <v>0.382371873557729</v>
      </c>
      <c r="O1143" s="7">
        <v>0.0551683590196642</v>
      </c>
      <c r="P1143" s="7">
        <v>8.86853148056496</v>
      </c>
      <c r="Q1143" s="7">
        <v>0.0332602588252094</v>
      </c>
      <c r="R1143" s="7">
        <v>0.0738252343749707</v>
      </c>
      <c r="S1143" s="7">
        <v>0.12093415657835</v>
      </c>
      <c r="T1143" s="7">
        <v>2.088396701557994</v>
      </c>
    </row>
    <row x14ac:dyDescent="0.25" r="1144" customHeight="1" ht="19.5">
      <c r="A1144" s="2" t="s">
        <v>2202</v>
      </c>
      <c r="B1144" s="2" t="s">
        <v>1060</v>
      </c>
      <c r="C1144" s="2" t="s">
        <v>31</v>
      </c>
      <c r="D1144" s="2" t="s">
        <v>840</v>
      </c>
      <c r="E1144" s="6">
        <v>1</v>
      </c>
      <c r="F1144" s="6">
        <v>2</v>
      </c>
      <c r="G1144" s="7">
        <v>0.7588501572608948</v>
      </c>
      <c r="H1144" s="7">
        <v>54.57784921875</v>
      </c>
      <c r="I1144" s="7">
        <v>32.22594919232711</v>
      </c>
      <c r="J1144" s="7">
        <v>10.75561199787934</v>
      </c>
      <c r="K1144" s="7">
        <v>5.069934792230018</v>
      </c>
      <c r="L1144" s="7">
        <v>0.8901997612214518</v>
      </c>
      <c r="M1144" s="7">
        <v>0.6604118313611991</v>
      </c>
      <c r="N1144" s="7">
        <v>0.3793346722313846</v>
      </c>
      <c r="O1144" s="7">
        <v>0.055101282944638</v>
      </c>
      <c r="P1144" s="7">
        <v>8.852989841123943</v>
      </c>
      <c r="Q1144" s="7">
        <v>0.0327672001868267</v>
      </c>
      <c r="R1144" s="7">
        <v>0.0724111019885802</v>
      </c>
      <c r="S1144" s="7">
        <v>0.1189583455085052</v>
      </c>
      <c r="T1144" s="7">
        <v>2.075613714715178</v>
      </c>
    </row>
    <row x14ac:dyDescent="0.25" r="1145" customHeight="1" ht="19.5">
      <c r="A1145" s="2" t="s">
        <v>2203</v>
      </c>
      <c r="B1145" s="2" t="s">
        <v>1060</v>
      </c>
      <c r="C1145" s="2" t="s">
        <v>31</v>
      </c>
      <c r="D1145" s="2" t="s">
        <v>840</v>
      </c>
      <c r="E1145" s="6">
        <v>1</v>
      </c>
      <c r="F1145" s="6">
        <v>2</v>
      </c>
      <c r="G1145" s="7">
        <v>0.7618716359138489</v>
      </c>
      <c r="H1145" s="7">
        <v>54.1587921875</v>
      </c>
      <c r="I1145" s="7">
        <v>32.24022851172621</v>
      </c>
      <c r="J1145" s="7">
        <v>10.78124678477732</v>
      </c>
      <c r="K1145" s="7">
        <v>5.127326131178752</v>
      </c>
      <c r="L1145" s="7">
        <v>0.891947965675203</v>
      </c>
      <c r="M1145" s="7">
        <v>0.6547607112772866</v>
      </c>
      <c r="N1145" s="7">
        <v>0.3833068259896272</v>
      </c>
      <c r="O1145" s="7">
        <v>0.0552646760690498</v>
      </c>
      <c r="P1145" s="7">
        <v>8.850647039674387</v>
      </c>
      <c r="Q1145" s="7">
        <v>0.0330717069035432</v>
      </c>
      <c r="R1145" s="7">
        <v>0.0726837383137357</v>
      </c>
      <c r="S1145" s="7">
        <v>0.1209748895127622</v>
      </c>
      <c r="T1145" s="7">
        <v>2.078817484356807</v>
      </c>
    </row>
    <row x14ac:dyDescent="0.25" r="1146" customHeight="1" ht="19.5">
      <c r="A1146" s="2" t="s">
        <v>2204</v>
      </c>
      <c r="B1146" s="2" t="s">
        <v>1060</v>
      </c>
      <c r="C1146" s="2" t="s">
        <v>31</v>
      </c>
      <c r="D1146" s="2" t="s">
        <v>840</v>
      </c>
      <c r="E1146" s="6">
        <v>1</v>
      </c>
      <c r="F1146" s="6">
        <v>2</v>
      </c>
      <c r="G1146" s="7">
        <v>0.7553778290748596</v>
      </c>
      <c r="H1146" s="7">
        <v>53.7847578125</v>
      </c>
      <c r="I1146" s="7">
        <v>31.87876598289368</v>
      </c>
      <c r="J1146" s="7">
        <v>10.70515162437802</v>
      </c>
      <c r="K1146" s="7">
        <v>5.0270195408063</v>
      </c>
      <c r="L1146" s="7">
        <v>0.8911663463401103</v>
      </c>
      <c r="M1146" s="7">
        <v>0.6650680398449702</v>
      </c>
      <c r="N1146" s="7">
        <v>0.3774905144415971</v>
      </c>
      <c r="O1146" s="7">
        <v>0.0552677110499293</v>
      </c>
      <c r="P1146" s="7">
        <v>8.817143919915248</v>
      </c>
      <c r="Q1146" s="7">
        <v>0.0354297895403143</v>
      </c>
      <c r="R1146" s="7">
        <v>0.0750821652754028</v>
      </c>
      <c r="S1146" s="7">
        <v>0.116701614809877</v>
      </c>
      <c r="T1146" s="7">
        <v>2.21166105220675</v>
      </c>
    </row>
    <row x14ac:dyDescent="0.25" r="1147" customHeight="1" ht="19.5">
      <c r="A1147" s="2" t="s">
        <v>2205</v>
      </c>
      <c r="B1147" s="2" t="s">
        <v>1060</v>
      </c>
      <c r="C1147" s="2" t="s">
        <v>31</v>
      </c>
      <c r="D1147" s="2" t="s">
        <v>840</v>
      </c>
      <c r="E1147" s="6">
        <v>1</v>
      </c>
      <c r="F1147" s="6">
        <v>2</v>
      </c>
      <c r="G1147" s="7">
        <v>0.7712849974632263</v>
      </c>
      <c r="H1147" s="7">
        <v>54.41853828125</v>
      </c>
      <c r="I1147" s="7">
        <v>32.10824989326379</v>
      </c>
      <c r="J1147" s="7">
        <v>10.77840224508868</v>
      </c>
      <c r="K1147" s="7">
        <v>5.119939605127266</v>
      </c>
      <c r="L1147" s="7">
        <v>0.8906419276451657</v>
      </c>
      <c r="M1147" s="7">
        <v>0.6633205733557463</v>
      </c>
      <c r="N1147" s="7">
        <v>0.3853824548728858</v>
      </c>
      <c r="O1147" s="7">
        <v>0.055821306131733</v>
      </c>
      <c r="P1147" s="7">
        <v>8.817550870650972</v>
      </c>
      <c r="Q1147" s="7">
        <v>0.0327423022651142</v>
      </c>
      <c r="R1147" s="7">
        <v>0.0733556938479014</v>
      </c>
      <c r="S1147" s="7">
        <v>0.1201768789467245</v>
      </c>
      <c r="T1147" s="7">
        <v>2.067982530349629</v>
      </c>
    </row>
    <row x14ac:dyDescent="0.25" r="1148" customHeight="1" ht="19.5">
      <c r="A1148" s="2" t="s">
        <v>2206</v>
      </c>
      <c r="B1148" s="2" t="s">
        <v>1060</v>
      </c>
      <c r="C1148" s="2" t="s">
        <v>31</v>
      </c>
      <c r="D1148" s="2" t="s">
        <v>840</v>
      </c>
      <c r="E1148" s="6">
        <v>1</v>
      </c>
      <c r="F1148" s="6">
        <v>2</v>
      </c>
      <c r="G1148" s="7">
        <v>0.7615365982055664</v>
      </c>
      <c r="H1148" s="7">
        <v>54.09298984375</v>
      </c>
      <c r="I1148" s="7">
        <v>32.10824989326378</v>
      </c>
      <c r="J1148" s="7">
        <v>10.71062403088359</v>
      </c>
      <c r="K1148" s="7">
        <v>5.098926945704143</v>
      </c>
      <c r="L1148" s="7">
        <v>0.889770315222937</v>
      </c>
      <c r="M1148" s="7">
        <v>0.6593523856197675</v>
      </c>
      <c r="N1148" s="7">
        <v>0.3843943503570689</v>
      </c>
      <c r="O1148" s="7">
        <v>0.0556841822119155</v>
      </c>
      <c r="P1148" s="7">
        <v>8.819658101218778</v>
      </c>
      <c r="Q1148" s="7">
        <v>0.0357322419237257</v>
      </c>
      <c r="R1148" s="7">
        <v>0.0761454188987449</v>
      </c>
      <c r="S1148" s="7">
        <v>0.1193948856294291</v>
      </c>
      <c r="T1148" s="7">
        <v>2.243324153389997</v>
      </c>
    </row>
    <row x14ac:dyDescent="0.25" r="1149" customHeight="1" ht="19.5">
      <c r="A1149" s="2" t="s">
        <v>2207</v>
      </c>
      <c r="B1149" s="2" t="s">
        <v>1060</v>
      </c>
      <c r="C1149" s="2" t="s">
        <v>31</v>
      </c>
      <c r="D1149" s="2" t="s">
        <v>840</v>
      </c>
      <c r="E1149" s="6">
        <v>1</v>
      </c>
      <c r="F1149" s="6">
        <v>2</v>
      </c>
      <c r="G1149" s="7">
        <v>0.758618175983429</v>
      </c>
      <c r="H1149" s="7">
        <v>54.08952656250001</v>
      </c>
      <c r="I1149" s="7">
        <v>31.87876598289368</v>
      </c>
      <c r="J1149" s="7">
        <v>10.70952570643175</v>
      </c>
      <c r="K1149" s="7">
        <v>5.095941334108666</v>
      </c>
      <c r="L1149" s="7">
        <v>0.8898922879036525</v>
      </c>
      <c r="M1149" s="7">
        <v>0.6688366159883287</v>
      </c>
      <c r="N1149" s="7">
        <v>0.3820003475489857</v>
      </c>
      <c r="O1149" s="7">
        <v>0.055580137781928</v>
      </c>
      <c r="P1149" s="7">
        <v>8.835002044422376</v>
      </c>
      <c r="Q1149" s="7">
        <v>0.0344576444122705</v>
      </c>
      <c r="R1149" s="7">
        <v>0.0753084200496225</v>
      </c>
      <c r="S1149" s="7">
        <v>0.1156811290469347</v>
      </c>
      <c r="T1149" s="7">
        <v>2.163164490627126</v>
      </c>
    </row>
    <row x14ac:dyDescent="0.25" r="1150" customHeight="1" ht="19.5">
      <c r="A1150" s="2" t="s">
        <v>2208</v>
      </c>
      <c r="B1150" s="2" t="s">
        <v>1060</v>
      </c>
      <c r="C1150" s="2" t="s">
        <v>31</v>
      </c>
      <c r="D1150" s="2" t="s">
        <v>840</v>
      </c>
      <c r="E1150" s="6">
        <v>1</v>
      </c>
      <c r="F1150" s="6">
        <v>2</v>
      </c>
      <c r="G1150" s="7">
        <v>0.7603557705879211</v>
      </c>
      <c r="H1150" s="7">
        <v>54.18649843750001</v>
      </c>
      <c r="I1150" s="7">
        <v>32.05358255955338</v>
      </c>
      <c r="J1150" s="7">
        <v>10.77392700223408</v>
      </c>
      <c r="K1150" s="7">
        <v>5.111006057123486</v>
      </c>
      <c r="L1150" s="7">
        <v>0.8919847745047425</v>
      </c>
      <c r="M1150" s="7">
        <v>0.6627470421391468</v>
      </c>
      <c r="N1150" s="7">
        <v>0.3818638165687283</v>
      </c>
      <c r="O1150" s="7">
        <v>0.0554644998753519</v>
      </c>
      <c r="P1150" s="7">
        <v>8.848961325924456</v>
      </c>
      <c r="Q1150" s="7">
        <v>0.0331028958341041</v>
      </c>
      <c r="R1150" s="7">
        <v>0.0727028866385112</v>
      </c>
      <c r="S1150" s="7">
        <v>0.1200952018898447</v>
      </c>
      <c r="T1150" s="7">
        <v>2.081842427177481</v>
      </c>
    </row>
    <row x14ac:dyDescent="0.25" r="1151" customHeight="1" ht="19.5">
      <c r="A1151" s="2" t="s">
        <v>2209</v>
      </c>
      <c r="B1151" s="2" t="s">
        <v>1060</v>
      </c>
      <c r="C1151" s="2" t="s">
        <v>31</v>
      </c>
      <c r="D1151" s="2" t="s">
        <v>840</v>
      </c>
      <c r="E1151" s="6">
        <v>1</v>
      </c>
      <c r="F1151" s="6">
        <v>2</v>
      </c>
      <c r="G1151" s="7">
        <v>0.7524546384811401</v>
      </c>
      <c r="H1151" s="7">
        <v>54.068746875</v>
      </c>
      <c r="I1151" s="7">
        <v>32.17719654637327</v>
      </c>
      <c r="J1151" s="7">
        <v>10.71067796734744</v>
      </c>
      <c r="K1151" s="7">
        <v>5.097990181820521</v>
      </c>
      <c r="L1151" s="7">
        <v>0.8903475901876619</v>
      </c>
      <c r="M1151" s="7">
        <v>0.6562355622862533</v>
      </c>
      <c r="N1151" s="7">
        <v>0.3815486245772365</v>
      </c>
      <c r="O1151" s="7">
        <v>0.0557213874086944</v>
      </c>
      <c r="P1151" s="7">
        <v>8.818620825184393</v>
      </c>
      <c r="Q1151" s="7">
        <v>0.035218289101225</v>
      </c>
      <c r="R1151" s="7">
        <v>0.0757869971190502</v>
      </c>
      <c r="S1151" s="7">
        <v>0.1179606399584743</v>
      </c>
      <c r="T1151" s="7">
        <v>2.210066484167112</v>
      </c>
    </row>
    <row x14ac:dyDescent="0.25" r="1152" customHeight="1" ht="19.5">
      <c r="A1152" s="2" t="s">
        <v>2210</v>
      </c>
      <c r="B1152" s="2" t="s">
        <v>1060</v>
      </c>
      <c r="C1152" s="2" t="s">
        <v>31</v>
      </c>
      <c r="D1152" s="2" t="s">
        <v>840</v>
      </c>
      <c r="E1152" s="6">
        <v>1</v>
      </c>
      <c r="F1152" s="6">
        <v>2</v>
      </c>
      <c r="G1152" s="7">
        <v>0.7535794377326965</v>
      </c>
      <c r="H1152" s="7">
        <v>54.14840234375</v>
      </c>
      <c r="I1152" s="7">
        <v>31.96199195540226</v>
      </c>
      <c r="J1152" s="7">
        <v>10.71553316674764</v>
      </c>
      <c r="K1152" s="7">
        <v>5.107892388301008</v>
      </c>
      <c r="L1152" s="7">
        <v>0.8897357024056015</v>
      </c>
      <c r="M1152" s="7">
        <v>0.666082211592636</v>
      </c>
      <c r="N1152" s="7">
        <v>0.3842580318492321</v>
      </c>
      <c r="O1152" s="7">
        <v>0.0558939200754192</v>
      </c>
      <c r="P1152" s="7">
        <v>8.806057541036887</v>
      </c>
      <c r="Q1152" s="7">
        <v>0.0348385974912492</v>
      </c>
      <c r="R1152" s="7">
        <v>0.0750592237956349</v>
      </c>
      <c r="S1152" s="7">
        <v>0.1197269041626103</v>
      </c>
      <c r="T1152" s="7">
        <v>2.189460378733034</v>
      </c>
    </row>
    <row x14ac:dyDescent="0.25" r="1153" customHeight="1" ht="19.5">
      <c r="A1153" s="2" t="s">
        <v>2211</v>
      </c>
      <c r="B1153" s="2" t="s">
        <v>1060</v>
      </c>
      <c r="C1153" s="2" t="s">
        <v>31</v>
      </c>
      <c r="D1153" s="2" t="s">
        <v>840</v>
      </c>
      <c r="E1153" s="6">
        <v>1</v>
      </c>
      <c r="F1153" s="6">
        <v>2</v>
      </c>
      <c r="G1153" s="7">
        <v>0.7405860424041748</v>
      </c>
      <c r="H1153" s="7">
        <v>53.98562812500001</v>
      </c>
      <c r="I1153" s="7">
        <v>31.781260690986</v>
      </c>
      <c r="J1153" s="7">
        <v>10.77037378006283</v>
      </c>
      <c r="K1153" s="7">
        <v>5.042927452491346</v>
      </c>
      <c r="L1153" s="7">
        <v>0.8915300519755589</v>
      </c>
      <c r="M1153" s="7">
        <v>0.6716542720212191</v>
      </c>
      <c r="N1153" s="7">
        <v>0.385886732148697</v>
      </c>
      <c r="O1153" s="7">
        <v>0.0562703230592963</v>
      </c>
      <c r="P1153" s="7">
        <v>8.776946197915734</v>
      </c>
      <c r="Q1153" s="7">
        <v>0.0362108457879441</v>
      </c>
      <c r="R1153" s="7">
        <v>0.0757810774083055</v>
      </c>
      <c r="S1153" s="7">
        <v>0.1184176400766904</v>
      </c>
      <c r="T1153" s="7">
        <v>2.268859525387798</v>
      </c>
    </row>
    <row x14ac:dyDescent="0.25" r="1154" customHeight="1" ht="19.5">
      <c r="A1154" s="2" t="s">
        <v>2212</v>
      </c>
      <c r="B1154" s="2" t="s">
        <v>1060</v>
      </c>
      <c r="C1154" s="2" t="s">
        <v>31</v>
      </c>
      <c r="D1154" s="2" t="s">
        <v>840</v>
      </c>
      <c r="E1154" s="6">
        <v>1</v>
      </c>
      <c r="F1154" s="6">
        <v>2</v>
      </c>
      <c r="G1154" s="7">
        <v>0.7704969048500061</v>
      </c>
      <c r="H1154" s="7">
        <v>53.44535625</v>
      </c>
      <c r="I1154" s="7">
        <v>31.51138876630458</v>
      </c>
      <c r="J1154" s="7">
        <v>10.53131307428052</v>
      </c>
      <c r="K1154" s="7">
        <v>5.123755336700677</v>
      </c>
      <c r="L1154" s="7">
        <v>0.8820413887350432</v>
      </c>
      <c r="M1154" s="7">
        <v>0.6763706483338711</v>
      </c>
      <c r="N1154" s="7">
        <v>0.4921708597159561</v>
      </c>
      <c r="O1154" s="7">
        <v>0.0712548735412546</v>
      </c>
      <c r="P1154" s="7">
        <v>8.064221069736313</v>
      </c>
      <c r="Q1154" s="7">
        <v>0.0445135135845812</v>
      </c>
      <c r="R1154" s="7">
        <v>0.0823081247465386</v>
      </c>
      <c r="S1154" s="7">
        <v>0.102468379926986</v>
      </c>
      <c r="T1154" s="7">
        <v>2.761166732071063</v>
      </c>
    </row>
    <row x14ac:dyDescent="0.25" r="1155" customHeight="1" ht="19.5">
      <c r="A1155" s="2" t="s">
        <v>2213</v>
      </c>
      <c r="B1155" s="2" t="s">
        <v>1060</v>
      </c>
      <c r="C1155" s="2" t="s">
        <v>31</v>
      </c>
      <c r="D1155" s="2" t="s">
        <v>840</v>
      </c>
      <c r="E1155" s="6">
        <v>1</v>
      </c>
      <c r="F1155" s="6">
        <v>2</v>
      </c>
      <c r="G1155" s="7">
        <v>0.7411685585975647</v>
      </c>
      <c r="H1155" s="7">
        <v>57.05755859375</v>
      </c>
      <c r="I1155" s="7">
        <v>32.90950103566549</v>
      </c>
      <c r="J1155" s="7">
        <v>10.93640709343864</v>
      </c>
      <c r="K1155" s="7">
        <v>5.202352756268114</v>
      </c>
      <c r="L1155" s="7">
        <v>0.8837829102505597</v>
      </c>
      <c r="M1155" s="7">
        <v>0.662034243176837</v>
      </c>
      <c r="N1155" s="7">
        <v>0.56836161524066</v>
      </c>
      <c r="O1155" s="7">
        <v>0.0756886908111754</v>
      </c>
      <c r="P1155" s="7">
        <v>7.949629799843292</v>
      </c>
      <c r="Q1155" s="7">
        <v>0.0228426894857031</v>
      </c>
      <c r="R1155" s="7">
        <v>0.0415002510559156</v>
      </c>
      <c r="S1155" s="7">
        <v>0.0525124975024456</v>
      </c>
      <c r="T1155" s="7">
        <v>1.512694407036067</v>
      </c>
    </row>
    <row x14ac:dyDescent="0.25" r="1156" customHeight="1" ht="19.5">
      <c r="A1156" s="2" t="s">
        <v>2214</v>
      </c>
      <c r="B1156" s="2" t="s">
        <v>1060</v>
      </c>
      <c r="C1156" s="2" t="s">
        <v>31</v>
      </c>
      <c r="D1156" s="2" t="s">
        <v>840</v>
      </c>
      <c r="E1156" s="6">
        <v>1</v>
      </c>
      <c r="F1156" s="6">
        <v>2</v>
      </c>
      <c r="G1156" s="7">
        <v>0.7423178553581238</v>
      </c>
      <c r="H1156" s="7">
        <v>57.088728125</v>
      </c>
      <c r="I1156" s="7">
        <v>32.22941393619771</v>
      </c>
      <c r="J1156" s="7">
        <v>10.76159091219599</v>
      </c>
      <c r="K1156" s="7">
        <v>5.260717366142671</v>
      </c>
      <c r="L1156" s="7">
        <v>0.8767077834820078</v>
      </c>
      <c r="M1156" s="7">
        <v>0.6906458632847422</v>
      </c>
      <c r="N1156" s="7">
        <v>0.5021425486055396</v>
      </c>
      <c r="O1156" s="7">
        <v>0.0678944688820251</v>
      </c>
      <c r="P1156" s="7">
        <v>8.212938157323176</v>
      </c>
      <c r="Q1156" s="7">
        <v>0.0303623972343937</v>
      </c>
      <c r="R1156" s="7">
        <v>0.0516864987847642</v>
      </c>
      <c r="S1156" s="7">
        <v>0.0653238180265962</v>
      </c>
      <c r="T1156" s="7">
        <v>2.011764802137848</v>
      </c>
    </row>
    <row x14ac:dyDescent="0.25" r="1157" customHeight="1" ht="19.5">
      <c r="A1157" s="2" t="s">
        <v>2215</v>
      </c>
      <c r="B1157" s="2" t="s">
        <v>1060</v>
      </c>
      <c r="C1157" s="2" t="s">
        <v>31</v>
      </c>
      <c r="D1157" s="2" t="s">
        <v>840</v>
      </c>
      <c r="E1157" s="6">
        <v>1</v>
      </c>
      <c r="F1157" s="6">
        <v>2</v>
      </c>
      <c r="G1157" s="7">
        <v>0.744035542011261</v>
      </c>
      <c r="H1157" s="7">
        <v>55.24279921875</v>
      </c>
      <c r="I1157" s="7">
        <v>31.9452626921172</v>
      </c>
      <c r="J1157" s="7">
        <v>10.82955074686111</v>
      </c>
      <c r="K1157" s="7">
        <v>5.10334634137342</v>
      </c>
      <c r="L1157" s="7">
        <v>0.8857960505689738</v>
      </c>
      <c r="M1157" s="7">
        <v>0.680256363594366</v>
      </c>
      <c r="N1157" s="7">
        <v>0.4613133225720847</v>
      </c>
      <c r="O1157" s="7">
        <v>0.0629490239318212</v>
      </c>
      <c r="P1157" s="7">
        <v>8.411565210177178</v>
      </c>
      <c r="Q1157" s="7">
        <v>0.0302425519914561</v>
      </c>
      <c r="R1157" s="7">
        <v>0.0507516604721424</v>
      </c>
      <c r="S1157" s="7">
        <v>0.0665567541493081</v>
      </c>
      <c r="T1157" s="7">
        <v>1.93903162653931</v>
      </c>
    </row>
    <row x14ac:dyDescent="0.25" r="1158" customHeight="1" ht="19.5">
      <c r="A1158" s="2" t="s">
        <v>2216</v>
      </c>
      <c r="B1158" s="2" t="s">
        <v>1060</v>
      </c>
      <c r="C1158" s="2" t="s">
        <v>31</v>
      </c>
      <c r="D1158" s="2" t="s">
        <v>840</v>
      </c>
      <c r="E1158" s="6">
        <v>1</v>
      </c>
      <c r="F1158" s="6">
        <v>2</v>
      </c>
      <c r="G1158" s="7">
        <v>0.7534185647964478</v>
      </c>
      <c r="H1158" s="7">
        <v>55.36747734375</v>
      </c>
      <c r="I1158" s="7">
        <v>31.82756339305387</v>
      </c>
      <c r="J1158" s="7">
        <v>10.75403383330852</v>
      </c>
      <c r="K1158" s="7">
        <v>5.066513254678609</v>
      </c>
      <c r="L1158" s="7">
        <v>0.8865074008958507</v>
      </c>
      <c r="M1158" s="7">
        <v>0.6868435385242978</v>
      </c>
      <c r="N1158" s="7">
        <v>0.446283692506723</v>
      </c>
      <c r="O1158" s="7">
        <v>0.0607237545235148</v>
      </c>
      <c r="P1158" s="7">
        <v>8.477790677904757</v>
      </c>
      <c r="Q1158" s="7">
        <v>0.0267254927121289</v>
      </c>
      <c r="R1158" s="7">
        <v>0.0490609659211634</v>
      </c>
      <c r="S1158" s="7">
        <v>0.0789652345934867</v>
      </c>
      <c r="T1158" s="7">
        <v>1.717399125028068</v>
      </c>
    </row>
    <row x14ac:dyDescent="0.25" r="1159" customHeight="1" ht="19.5">
      <c r="A1159" s="2" t="s">
        <v>2217</v>
      </c>
      <c r="B1159" s="2" t="s">
        <v>1060</v>
      </c>
      <c r="C1159" s="2" t="s">
        <v>31</v>
      </c>
      <c r="D1159" s="2" t="s">
        <v>840</v>
      </c>
      <c r="E1159" s="6">
        <v>1</v>
      </c>
      <c r="F1159" s="6">
        <v>2</v>
      </c>
      <c r="G1159" s="7">
        <v>0.7367463707923889</v>
      </c>
      <c r="H1159" s="7">
        <v>55.176996875</v>
      </c>
      <c r="I1159" s="7">
        <v>31.87631603900771</v>
      </c>
      <c r="J1159" s="7">
        <v>10.75859425654407</v>
      </c>
      <c r="K1159" s="7">
        <v>5.07620604397895</v>
      </c>
      <c r="L1159" s="7">
        <v>0.8854772495635197</v>
      </c>
      <c r="M1159" s="7">
        <v>0.6823884625393739</v>
      </c>
      <c r="N1159" s="7">
        <v>0.4270580241877859</v>
      </c>
      <c r="O1159" s="7">
        <v>0.0582932769303521</v>
      </c>
      <c r="P1159" s="7">
        <v>8.60961450938655</v>
      </c>
      <c r="Q1159" s="7">
        <v>0.0262228298222412</v>
      </c>
      <c r="R1159" s="7">
        <v>0.0491190099723666</v>
      </c>
      <c r="S1159" s="7">
        <v>0.0933296259774181</v>
      </c>
      <c r="T1159" s="7">
        <v>1.679300417626635</v>
      </c>
    </row>
    <row x14ac:dyDescent="0.25" r="1160" customHeight="1" ht="19.5">
      <c r="A1160" s="2" t="s">
        <v>2218</v>
      </c>
      <c r="B1160" s="2" t="s">
        <v>1060</v>
      </c>
      <c r="C1160" s="2" t="s">
        <v>31</v>
      </c>
      <c r="D1160" s="2" t="s">
        <v>840</v>
      </c>
      <c r="E1160" s="6">
        <v>1</v>
      </c>
      <c r="F1160" s="6">
        <v>2</v>
      </c>
      <c r="G1160" s="7">
        <v>0.753915548324585</v>
      </c>
      <c r="H1160" s="7">
        <v>56.30256328125</v>
      </c>
      <c r="I1160" s="7">
        <v>31.9452626921172</v>
      </c>
      <c r="J1160" s="7">
        <v>10.69899513442308</v>
      </c>
      <c r="K1160" s="7">
        <v>5.19199769604207</v>
      </c>
      <c r="L1160" s="7">
        <v>0.8791482064973377</v>
      </c>
      <c r="M1160" s="7">
        <v>0.6933062317693943</v>
      </c>
      <c r="N1160" s="7">
        <v>0.4230566053754269</v>
      </c>
      <c r="O1160" s="7">
        <v>0.057439283279763</v>
      </c>
      <c r="P1160" s="7">
        <v>8.630077838269315</v>
      </c>
      <c r="Q1160" s="7">
        <v>0.0275972179266639</v>
      </c>
      <c r="R1160" s="7">
        <v>0.0519146597642079</v>
      </c>
      <c r="S1160" s="7">
        <v>0.1021774842307392</v>
      </c>
      <c r="T1160" s="7">
        <v>1.803367549433604</v>
      </c>
    </row>
    <row x14ac:dyDescent="0.25" r="1161" customHeight="1" ht="19.5">
      <c r="A1161" s="2" t="s">
        <v>2219</v>
      </c>
      <c r="B1161" s="2" t="s">
        <v>1060</v>
      </c>
      <c r="C1161" s="2" t="s">
        <v>31</v>
      </c>
      <c r="D1161" s="2" t="s">
        <v>840</v>
      </c>
      <c r="E1161" s="6">
        <v>1</v>
      </c>
      <c r="F1161" s="6">
        <v>2</v>
      </c>
      <c r="G1161" s="7">
        <v>0.7640013098716736</v>
      </c>
      <c r="H1161" s="7">
        <v>55.6549296875</v>
      </c>
      <c r="I1161" s="7">
        <v>31.87631603900771</v>
      </c>
      <c r="J1161" s="7">
        <v>10.69999631378378</v>
      </c>
      <c r="K1161" s="7">
        <v>5.134603008115329</v>
      </c>
      <c r="L1161" s="7">
        <v>0.882039594176889</v>
      </c>
      <c r="M1161" s="7">
        <v>0.6882991835932549</v>
      </c>
      <c r="N1161" s="7">
        <v>0.4189780690478074</v>
      </c>
      <c r="O1161" s="7">
        <v>0.0571926338479227</v>
      </c>
      <c r="P1161" s="7">
        <v>8.632732202149892</v>
      </c>
      <c r="Q1161" s="7">
        <v>0.0259495939478788</v>
      </c>
      <c r="R1161" s="7">
        <v>0.050290892375453</v>
      </c>
      <c r="S1161" s="7">
        <v>0.1012243601210734</v>
      </c>
      <c r="T1161" s="7">
        <v>1.676196714245299</v>
      </c>
    </row>
    <row x14ac:dyDescent="0.25" r="1162" customHeight="1" ht="19.5">
      <c r="A1162" s="2" t="s">
        <v>2220</v>
      </c>
      <c r="B1162" s="2" t="s">
        <v>1060</v>
      </c>
      <c r="C1162" s="2" t="s">
        <v>31</v>
      </c>
      <c r="D1162" s="2" t="s">
        <v>840</v>
      </c>
      <c r="E1162" s="6">
        <v>1</v>
      </c>
      <c r="F1162" s="6">
        <v>2</v>
      </c>
      <c r="G1162" s="7">
        <v>0.7479548454284668</v>
      </c>
      <c r="H1162" s="7">
        <v>55.66531953125001</v>
      </c>
      <c r="I1162" s="7">
        <v>31.82756339305387</v>
      </c>
      <c r="J1162" s="7">
        <v>10.69879329864906</v>
      </c>
      <c r="K1162" s="7">
        <v>5.132088640321101</v>
      </c>
      <c r="L1162" s="7">
        <v>0.8820781441890594</v>
      </c>
      <c r="M1162" s="7">
        <v>0.690538324557518</v>
      </c>
      <c r="N1162" s="7">
        <v>0.4206025957674161</v>
      </c>
      <c r="O1162" s="7">
        <v>0.0571737319017257</v>
      </c>
      <c r="P1162" s="7">
        <v>8.633705165862116</v>
      </c>
      <c r="Q1162" s="7">
        <v>0.0270231318173261</v>
      </c>
      <c r="R1162" s="7">
        <v>0.0507961353162714</v>
      </c>
      <c r="S1162" s="7">
        <v>0.099850347162719</v>
      </c>
      <c r="T1162" s="7">
        <v>1.745867040255733</v>
      </c>
    </row>
    <row x14ac:dyDescent="0.25" r="1163" customHeight="1" ht="19.5">
      <c r="A1163" s="2" t="s">
        <v>2221</v>
      </c>
      <c r="B1163" s="2" t="s">
        <v>1060</v>
      </c>
      <c r="C1163" s="2" t="s">
        <v>31</v>
      </c>
      <c r="D1163" s="2" t="s">
        <v>840</v>
      </c>
      <c r="E1163" s="6">
        <v>1</v>
      </c>
      <c r="F1163" s="6">
        <v>2</v>
      </c>
      <c r="G1163" s="7">
        <v>0.7400747537612915</v>
      </c>
      <c r="H1163" s="7">
        <v>55.77614453125</v>
      </c>
      <c r="I1163" s="7">
        <v>31.95954201151629</v>
      </c>
      <c r="J1163" s="7">
        <v>10.75934480371883</v>
      </c>
      <c r="K1163" s="7">
        <v>5.137161237386847</v>
      </c>
      <c r="L1163" s="7">
        <v>0.8823968902178245</v>
      </c>
      <c r="M1163" s="7">
        <v>0.6862103443070521</v>
      </c>
      <c r="N1163" s="7">
        <v>0.4178453243584846</v>
      </c>
      <c r="O1163" s="7">
        <v>0.0568250605556269</v>
      </c>
      <c r="P1163" s="7">
        <v>8.671938883913976</v>
      </c>
      <c r="Q1163" s="7">
        <v>0.0271219318590843</v>
      </c>
      <c r="R1163" s="7">
        <v>0.0509385603203235</v>
      </c>
      <c r="S1163" s="7">
        <v>0.0990361119564167</v>
      </c>
      <c r="T1163" s="7">
        <v>1.755738738103611</v>
      </c>
    </row>
    <row x14ac:dyDescent="0.25" r="1164" customHeight="1" ht="19.5">
      <c r="A1164" s="2" t="s">
        <v>2222</v>
      </c>
      <c r="B1164" s="2" t="s">
        <v>1060</v>
      </c>
      <c r="C1164" s="2" t="s">
        <v>31</v>
      </c>
      <c r="D1164" s="2" t="s">
        <v>840</v>
      </c>
      <c r="E1164" s="6">
        <v>1</v>
      </c>
      <c r="F1164" s="6">
        <v>2</v>
      </c>
      <c r="G1164" s="7">
        <v>0.7462760806083679</v>
      </c>
      <c r="H1164" s="7">
        <v>55.78307109375</v>
      </c>
      <c r="I1164" s="7">
        <v>31.99401533807104</v>
      </c>
      <c r="J1164" s="7">
        <v>10.76155496579944</v>
      </c>
      <c r="K1164" s="7">
        <v>5.141880734924406</v>
      </c>
      <c r="L1164" s="7">
        <v>0.882433057441316</v>
      </c>
      <c r="M1164" s="7">
        <v>0.6848174008630952</v>
      </c>
      <c r="N1164" s="7">
        <v>0.4171665882823535</v>
      </c>
      <c r="O1164" s="7">
        <v>0.0568570480759984</v>
      </c>
      <c r="P1164" s="7">
        <v>8.671990814237583</v>
      </c>
      <c r="Q1164" s="7">
        <v>0.0266867207652164</v>
      </c>
      <c r="R1164" s="7">
        <v>0.0502754326052024</v>
      </c>
      <c r="S1164" s="7">
        <v>0.1004991228398772</v>
      </c>
      <c r="T1164" s="7">
        <v>1.727779878015973</v>
      </c>
    </row>
    <row x14ac:dyDescent="0.25" r="1165" customHeight="1" ht="19.5">
      <c r="A1165" s="2" t="s">
        <v>2223</v>
      </c>
      <c r="B1165" s="2" t="s">
        <v>1060</v>
      </c>
      <c r="C1165" s="2" t="s">
        <v>31</v>
      </c>
      <c r="D1165" s="2" t="s">
        <v>840</v>
      </c>
      <c r="E1165" s="6">
        <v>1</v>
      </c>
      <c r="F1165" s="6">
        <v>2</v>
      </c>
      <c r="G1165" s="7">
        <v>0.7506648898124695</v>
      </c>
      <c r="H1165" s="7">
        <v>55.121584375</v>
      </c>
      <c r="I1165" s="7">
        <v>31.87631603900771</v>
      </c>
      <c r="J1165" s="7">
        <v>10.76324023112836</v>
      </c>
      <c r="K1165" s="7">
        <v>5.086095581702448</v>
      </c>
      <c r="L1165" s="7">
        <v>0.8852091677050665</v>
      </c>
      <c r="M1165" s="7">
        <v>0.6817031615476195</v>
      </c>
      <c r="N1165" s="7">
        <v>0.4189671099695575</v>
      </c>
      <c r="O1165" s="7">
        <v>0.0572115084691681</v>
      </c>
      <c r="P1165" s="7">
        <v>8.657525382914411</v>
      </c>
      <c r="Q1165" s="7">
        <v>0.0251159633431057</v>
      </c>
      <c r="R1165" s="7">
        <v>0.0485098310735369</v>
      </c>
      <c r="S1165" s="7">
        <v>0.0978340071347344</v>
      </c>
      <c r="T1165" s="7">
        <v>1.606801811653573</v>
      </c>
    </row>
    <row x14ac:dyDescent="0.25" r="1166" customHeight="1" ht="19.5">
      <c r="A1166" s="2" t="s">
        <v>2224</v>
      </c>
      <c r="B1166" s="2" t="s">
        <v>1060</v>
      </c>
      <c r="C1166" s="2" t="s">
        <v>31</v>
      </c>
      <c r="D1166" s="2" t="s">
        <v>840</v>
      </c>
      <c r="E1166" s="6">
        <v>1</v>
      </c>
      <c r="F1166" s="6">
        <v>2</v>
      </c>
      <c r="G1166" s="7">
        <v>0.7401367425918579</v>
      </c>
      <c r="H1166" s="7">
        <v>55.7796078125</v>
      </c>
      <c r="I1166" s="7">
        <v>31.95954201151629</v>
      </c>
      <c r="J1166" s="7">
        <v>10.76135567046968</v>
      </c>
      <c r="K1166" s="7">
        <v>5.141367881911508</v>
      </c>
      <c r="L1166" s="7">
        <v>0.8824290473980484</v>
      </c>
      <c r="M1166" s="7">
        <v>0.686252952835106</v>
      </c>
      <c r="N1166" s="7">
        <v>0.4194605479780162</v>
      </c>
      <c r="O1166" s="7">
        <v>0.0567705307358235</v>
      </c>
      <c r="P1166" s="7">
        <v>8.67111547480108</v>
      </c>
      <c r="Q1166" s="7">
        <v>0.027804512210112</v>
      </c>
      <c r="R1166" s="7">
        <v>0.0510684533510167</v>
      </c>
      <c r="S1166" s="7">
        <v>0.0995070810939374</v>
      </c>
      <c r="T1166" s="7">
        <v>1.800037351099384</v>
      </c>
    </row>
    <row x14ac:dyDescent="0.25" r="1167" customHeight="1" ht="19.5">
      <c r="A1167" s="2" t="s">
        <v>2225</v>
      </c>
      <c r="B1167" s="2" t="s">
        <v>1060</v>
      </c>
      <c r="C1167" s="2" t="s">
        <v>31</v>
      </c>
      <c r="D1167" s="2" t="s">
        <v>840</v>
      </c>
      <c r="E1167" s="6">
        <v>1</v>
      </c>
      <c r="F1167" s="6">
        <v>2</v>
      </c>
      <c r="G1167" s="7">
        <v>0.7475418448448181</v>
      </c>
      <c r="H1167" s="7">
        <v>55.14582734375001</v>
      </c>
      <c r="I1167" s="7">
        <v>31.92506868496154</v>
      </c>
      <c r="J1167" s="7">
        <v>10.76152817365706</v>
      </c>
      <c r="K1167" s="7">
        <v>5.082449496089362</v>
      </c>
      <c r="L1167" s="7">
        <v>0.8853138555136529</v>
      </c>
      <c r="M1167" s="7">
        <v>0.6799216030758948</v>
      </c>
      <c r="N1167" s="7">
        <v>0.4225200784261094</v>
      </c>
      <c r="O1167" s="7">
        <v>0.0572349023480307</v>
      </c>
      <c r="P1167" s="7">
        <v>8.657074357428026</v>
      </c>
      <c r="Q1167" s="7">
        <v>0.0272743404511676</v>
      </c>
      <c r="R1167" s="7">
        <v>0.0507230913520191</v>
      </c>
      <c r="S1167" s="7">
        <v>0.0967872933299782</v>
      </c>
      <c r="T1167" s="7">
        <v>1.745652095494077</v>
      </c>
    </row>
    <row x14ac:dyDescent="0.25" r="1168" customHeight="1" ht="19.5">
      <c r="A1168" s="2" t="s">
        <v>2226</v>
      </c>
      <c r="B1168" s="2" t="s">
        <v>1060</v>
      </c>
      <c r="C1168" s="2" t="s">
        <v>31</v>
      </c>
      <c r="D1168" s="2" t="s">
        <v>840</v>
      </c>
      <c r="E1168" s="6">
        <v>1</v>
      </c>
      <c r="F1168" s="6">
        <v>2</v>
      </c>
      <c r="G1168" s="7">
        <v>0.7543437480926514</v>
      </c>
      <c r="H1168" s="7">
        <v>55.77614453125</v>
      </c>
      <c r="I1168" s="7">
        <v>32.00829465747013</v>
      </c>
      <c r="J1168" s="7">
        <v>10.76248972308105</v>
      </c>
      <c r="K1168" s="7">
        <v>5.144080239374984</v>
      </c>
      <c r="L1168" s="7">
        <v>0.8824290654972607</v>
      </c>
      <c r="M1168" s="7">
        <v>0.6841215674714659</v>
      </c>
      <c r="N1168" s="7">
        <v>0.4203903908400824</v>
      </c>
      <c r="O1168" s="7">
        <v>0.0570158967395488</v>
      </c>
      <c r="P1168" s="7">
        <v>8.67168335813923</v>
      </c>
      <c r="Q1168" s="7">
        <v>0.0274459389649451</v>
      </c>
      <c r="R1168" s="7">
        <v>0.0505220604856309</v>
      </c>
      <c r="S1168" s="7">
        <v>0.1009110595002608</v>
      </c>
      <c r="T1168" s="7">
        <v>1.776713343826254</v>
      </c>
    </row>
    <row x14ac:dyDescent="0.25" r="1169" customHeight="1" ht="19.5">
      <c r="A1169" s="2" t="s">
        <v>2227</v>
      </c>
      <c r="B1169" s="2" t="s">
        <v>1060</v>
      </c>
      <c r="C1169" s="2" t="s">
        <v>31</v>
      </c>
      <c r="D1169" s="2" t="s">
        <v>840</v>
      </c>
      <c r="E1169" s="6">
        <v>1</v>
      </c>
      <c r="F1169" s="6">
        <v>2</v>
      </c>
      <c r="G1169" s="7">
        <v>0.7513628005981445</v>
      </c>
      <c r="H1169" s="7">
        <v>55.8211671875</v>
      </c>
      <c r="I1169" s="7">
        <v>31.99401533807104</v>
      </c>
      <c r="J1169" s="7">
        <v>10.76313827366179</v>
      </c>
      <c r="K1169" s="7">
        <v>5.145213079402276</v>
      </c>
      <c r="L1169" s="7">
        <v>0.8826505737735755</v>
      </c>
      <c r="M1169" s="7">
        <v>0.6852850851872706</v>
      </c>
      <c r="N1169" s="7">
        <v>0.4234029386129183</v>
      </c>
      <c r="O1169" s="7">
        <v>0.0570983815892829</v>
      </c>
      <c r="P1169" s="7">
        <v>8.660159892644874</v>
      </c>
      <c r="Q1169" s="7">
        <v>0.0266887976059439</v>
      </c>
      <c r="R1169" s="7">
        <v>0.0506653227191062</v>
      </c>
      <c r="S1169" s="7">
        <v>0.1013877198733149</v>
      </c>
      <c r="T1169" s="7">
        <v>1.729094388560012</v>
      </c>
    </row>
    <row x14ac:dyDescent="0.25" r="1170" customHeight="1" ht="19.5">
      <c r="A1170" s="2" t="s">
        <v>2228</v>
      </c>
      <c r="B1170" s="2" t="s">
        <v>1060</v>
      </c>
      <c r="C1170" s="2" t="s">
        <v>31</v>
      </c>
      <c r="D1170" s="2" t="s">
        <v>840</v>
      </c>
      <c r="E1170" s="6">
        <v>1</v>
      </c>
      <c r="F1170" s="6">
        <v>2</v>
      </c>
      <c r="G1170" s="7">
        <v>0.7520886063575745</v>
      </c>
      <c r="H1170" s="7">
        <v>55.814240625</v>
      </c>
      <c r="I1170" s="7">
        <v>31.95954201151629</v>
      </c>
      <c r="J1170" s="7">
        <v>10.76292567010203</v>
      </c>
      <c r="K1170" s="7">
        <v>5.144654124600089</v>
      </c>
      <c r="L1170" s="7">
        <v>0.8826100068751697</v>
      </c>
      <c r="M1170" s="7">
        <v>0.6866790381156443</v>
      </c>
      <c r="N1170" s="7">
        <v>0.4187324294674794</v>
      </c>
      <c r="O1170" s="7">
        <v>0.0568530598454242</v>
      </c>
      <c r="P1170" s="7">
        <v>8.670086539692463</v>
      </c>
      <c r="Q1170" s="7">
        <v>0.027964058334397</v>
      </c>
      <c r="R1170" s="7">
        <v>0.0522030912782819</v>
      </c>
      <c r="S1170" s="7">
        <v>0.0972318152903879</v>
      </c>
      <c r="T1170" s="7">
        <v>1.811490245749546</v>
      </c>
    </row>
    <row x14ac:dyDescent="0.25" r="1171" customHeight="1" ht="19.5">
      <c r="A1171" s="2" t="s">
        <v>2229</v>
      </c>
      <c r="B1171" s="2" t="s">
        <v>1060</v>
      </c>
      <c r="C1171" s="2" t="s">
        <v>31</v>
      </c>
      <c r="D1171" s="2" t="s">
        <v>840</v>
      </c>
      <c r="E1171" s="6">
        <v>1</v>
      </c>
      <c r="F1171" s="6">
        <v>2</v>
      </c>
      <c r="G1171" s="7">
        <v>0.7459086775779724</v>
      </c>
      <c r="H1171" s="7">
        <v>57.07833828125001</v>
      </c>
      <c r="I1171" s="7">
        <v>32.25797257499589</v>
      </c>
      <c r="J1171" s="7">
        <v>10.76226186097274</v>
      </c>
      <c r="K1171" s="7">
        <v>5.262210720098732</v>
      </c>
      <c r="L1171" s="7">
        <v>0.876685531442365</v>
      </c>
      <c r="M1171" s="7">
        <v>0.6892980475657896</v>
      </c>
      <c r="N1171" s="7">
        <v>0.4182613282102331</v>
      </c>
      <c r="O1171" s="7">
        <v>0.0567433898239039</v>
      </c>
      <c r="P1171" s="7">
        <v>8.686325920477117</v>
      </c>
      <c r="Q1171" s="7">
        <v>0.0276050853156844</v>
      </c>
      <c r="R1171" s="7">
        <v>0.0523047606236923</v>
      </c>
      <c r="S1171" s="7">
        <v>0.1032680470503502</v>
      </c>
      <c r="T1171" s="7">
        <v>1.828736759717554</v>
      </c>
    </row>
    <row x14ac:dyDescent="0.25" r="1172" customHeight="1" ht="19.5">
      <c r="A1172" s="2" t="s">
        <v>2230</v>
      </c>
      <c r="B1172" s="2" t="s">
        <v>1060</v>
      </c>
      <c r="C1172" s="2" t="s">
        <v>31</v>
      </c>
      <c r="D1172" s="2" t="s">
        <v>840</v>
      </c>
      <c r="E1172" s="6">
        <v>1</v>
      </c>
      <c r="F1172" s="6">
        <v>2</v>
      </c>
      <c r="G1172" s="7">
        <v>0.7390415668487549</v>
      </c>
      <c r="H1172" s="7">
        <v>55.814240625</v>
      </c>
      <c r="I1172" s="7">
        <v>31.92506868496154</v>
      </c>
      <c r="J1172" s="7">
        <v>10.76175249472374</v>
      </c>
      <c r="K1172" s="7">
        <v>5.142411156037766</v>
      </c>
      <c r="L1172" s="7">
        <v>0.8826172179593605</v>
      </c>
      <c r="M1172" s="7">
        <v>0.6881628182610764</v>
      </c>
      <c r="N1172" s="7">
        <v>0.417022529439803</v>
      </c>
      <c r="O1172" s="7">
        <v>0.0568261444729418</v>
      </c>
      <c r="P1172" s="7">
        <v>8.674603397610735</v>
      </c>
      <c r="Q1172" s="7">
        <v>0.0263805928621141</v>
      </c>
      <c r="R1172" s="7">
        <v>0.0506395670130243</v>
      </c>
      <c r="S1172" s="7">
        <v>0.0992689628599053</v>
      </c>
      <c r="T1172" s="7">
        <v>1.708914567240344</v>
      </c>
    </row>
    <row x14ac:dyDescent="0.25" r="1173" customHeight="1" ht="19.5">
      <c r="A1173" s="2" t="s">
        <v>2231</v>
      </c>
      <c r="B1173" s="2" t="s">
        <v>1060</v>
      </c>
      <c r="C1173" s="2" t="s">
        <v>31</v>
      </c>
      <c r="D1173" s="2" t="s">
        <v>840</v>
      </c>
      <c r="E1173" s="6">
        <v>1</v>
      </c>
      <c r="F1173" s="6">
        <v>2</v>
      </c>
      <c r="G1173" s="7">
        <v>0.7518781423568726</v>
      </c>
      <c r="H1173" s="7">
        <v>56.44802109375</v>
      </c>
      <c r="I1173" s="7">
        <v>32.07724131057963</v>
      </c>
      <c r="J1173" s="7">
        <v>10.76318940992307</v>
      </c>
      <c r="K1173" s="7">
        <v>5.204903950499606</v>
      </c>
      <c r="L1173" s="7">
        <v>0.8796842805447049</v>
      </c>
      <c r="M1173" s="7">
        <v>0.6893893388249752</v>
      </c>
      <c r="N1173" s="7">
        <v>0.4216652093153687</v>
      </c>
      <c r="O1173" s="7">
        <v>0.0572667558394194</v>
      </c>
      <c r="P1173" s="7">
        <v>8.659640534808991</v>
      </c>
      <c r="Q1173" s="7">
        <v>0.0270514320200236</v>
      </c>
      <c r="R1173" s="7">
        <v>0.0511115328790844</v>
      </c>
      <c r="S1173" s="7">
        <v>0.1031075600862647</v>
      </c>
      <c r="T1173" s="7">
        <v>1.772269492730539</v>
      </c>
    </row>
    <row x14ac:dyDescent="0.25" r="1174" customHeight="1" ht="19.5">
      <c r="A1174" s="2" t="s">
        <v>2232</v>
      </c>
      <c r="B1174" s="2" t="s">
        <v>1060</v>
      </c>
      <c r="C1174" s="2" t="s">
        <v>31</v>
      </c>
      <c r="D1174" s="2" t="s">
        <v>840</v>
      </c>
      <c r="E1174" s="6">
        <v>1</v>
      </c>
      <c r="F1174" s="6">
        <v>2</v>
      </c>
      <c r="G1174" s="7">
        <v>0.7418578267097473</v>
      </c>
      <c r="H1174" s="7">
        <v>55.14929062500001</v>
      </c>
      <c r="I1174" s="7">
        <v>31.92506868496154</v>
      </c>
      <c r="J1174" s="7">
        <v>10.76169984868872</v>
      </c>
      <c r="K1174" s="7">
        <v>5.082815011428627</v>
      </c>
      <c r="L1174" s="7">
        <v>0.8853476709206022</v>
      </c>
      <c r="M1174" s="7">
        <v>0.6799643036727092</v>
      </c>
      <c r="N1174" s="7">
        <v>0.4213930094587551</v>
      </c>
      <c r="O1174" s="7">
        <v>0.0572408654653587</v>
      </c>
      <c r="P1174" s="7">
        <v>8.65673154402829</v>
      </c>
      <c r="Q1174" s="7">
        <v>0.0261964662505347</v>
      </c>
      <c r="R1174" s="7">
        <v>0.0497699957956789</v>
      </c>
      <c r="S1174" s="7">
        <v>0.1000152926804015</v>
      </c>
      <c r="T1174" s="7">
        <v>1.67676971795689</v>
      </c>
    </row>
    <row x14ac:dyDescent="0.25" r="1175" customHeight="1" ht="19.5">
      <c r="A1175" s="2" t="s">
        <v>2233</v>
      </c>
      <c r="B1175" s="2" t="s">
        <v>1060</v>
      </c>
      <c r="C1175" s="2" t="s">
        <v>31</v>
      </c>
      <c r="D1175" s="2" t="s">
        <v>840</v>
      </c>
      <c r="E1175" s="6">
        <v>1</v>
      </c>
      <c r="F1175" s="6">
        <v>2</v>
      </c>
      <c r="G1175" s="7">
        <v>0.7583786249160767</v>
      </c>
      <c r="H1175" s="7">
        <v>55.81077734375</v>
      </c>
      <c r="I1175" s="7">
        <v>31.95954201151629</v>
      </c>
      <c r="J1175" s="7">
        <v>10.76262699069645</v>
      </c>
      <c r="K1175" s="7">
        <v>5.144028817532122</v>
      </c>
      <c r="L1175" s="7">
        <v>0.8826138436527081</v>
      </c>
      <c r="M1175" s="7">
        <v>0.6866364295875904</v>
      </c>
      <c r="N1175" s="7">
        <v>0.4197404735053158</v>
      </c>
      <c r="O1175" s="7">
        <v>0.0569723657380256</v>
      </c>
      <c r="P1175" s="7">
        <v>8.66058893306176</v>
      </c>
      <c r="Q1175" s="7">
        <v>0.0277495574691016</v>
      </c>
      <c r="R1175" s="7">
        <v>0.0516449589417328</v>
      </c>
      <c r="S1175" s="7">
        <v>0.0979514031598745</v>
      </c>
      <c r="T1175" s="7">
        <v>1.797483503236194</v>
      </c>
    </row>
    <row x14ac:dyDescent="0.25" r="1176" customHeight="1" ht="19.5">
      <c r="A1176" s="2" t="s">
        <v>2234</v>
      </c>
      <c r="B1176" s="2" t="s">
        <v>1060</v>
      </c>
      <c r="C1176" s="2" t="s">
        <v>31</v>
      </c>
      <c r="D1176" s="2" t="s">
        <v>840</v>
      </c>
      <c r="E1176" s="6">
        <v>1</v>
      </c>
      <c r="F1176" s="6">
        <v>2</v>
      </c>
      <c r="G1176" s="7">
        <v>0.7439135909080505</v>
      </c>
      <c r="H1176" s="7">
        <v>56.45148437500001</v>
      </c>
      <c r="I1176" s="7">
        <v>32.04276798402488</v>
      </c>
      <c r="J1176" s="7">
        <v>10.7632398933169</v>
      </c>
      <c r="K1176" s="7">
        <v>5.20489525481984</v>
      </c>
      <c r="L1176" s="7">
        <v>0.8797203960297831</v>
      </c>
      <c r="M1176" s="7">
        <v>0.6909158882163317</v>
      </c>
      <c r="N1176" s="7">
        <v>0.4171833329280746</v>
      </c>
      <c r="O1176" s="7">
        <v>0.0565308080507068</v>
      </c>
      <c r="P1176" s="7">
        <v>8.678689160983922</v>
      </c>
      <c r="Q1176" s="7">
        <v>0.0268299190963184</v>
      </c>
      <c r="R1176" s="7">
        <v>0.0510137295951365</v>
      </c>
      <c r="S1176" s="7">
        <v>0.0978373248750638</v>
      </c>
      <c r="T1176" s="7">
        <v>1.75786495957579</v>
      </c>
    </row>
    <row x14ac:dyDescent="0.25" r="1177" customHeight="1" ht="19.5">
      <c r="A1177" s="2" t="s">
        <v>2235</v>
      </c>
      <c r="B1177" s="2" t="s">
        <v>1060</v>
      </c>
      <c r="C1177" s="2" t="s">
        <v>31</v>
      </c>
      <c r="D1177" s="2" t="s">
        <v>840</v>
      </c>
      <c r="E1177" s="6">
        <v>1</v>
      </c>
      <c r="F1177" s="6">
        <v>2</v>
      </c>
      <c r="G1177" s="7">
        <v>0.7405590415000916</v>
      </c>
      <c r="H1177" s="7">
        <v>56.7354734375</v>
      </c>
      <c r="I1177" s="7">
        <v>32.16046728308821</v>
      </c>
      <c r="J1177" s="7">
        <v>10.81877905816751</v>
      </c>
      <c r="K1177" s="7">
        <v>5.199568771935764</v>
      </c>
      <c r="L1177" s="7">
        <v>0.8809584551455656</v>
      </c>
      <c r="M1177" s="7">
        <v>0.6893183609085172</v>
      </c>
      <c r="N1177" s="7">
        <v>0.4405089854831579</v>
      </c>
      <c r="O1177" s="7">
        <v>0.0591959355808599</v>
      </c>
      <c r="P1177" s="7">
        <v>8.568033394638913</v>
      </c>
      <c r="Q1177" s="7">
        <v>0.0264420812675107</v>
      </c>
      <c r="R1177" s="7">
        <v>0.0494777141117848</v>
      </c>
      <c r="S1177" s="7">
        <v>0.0909237094643972</v>
      </c>
      <c r="T1177" s="7">
        <v>1.741169692219269</v>
      </c>
    </row>
    <row x14ac:dyDescent="0.25" r="1178" customHeight="1" ht="19.5">
      <c r="A1178" s="2" t="s">
        <v>2236</v>
      </c>
      <c r="B1178" s="2" t="s">
        <v>1060</v>
      </c>
      <c r="C1178" s="2" t="s">
        <v>31</v>
      </c>
      <c r="D1178" s="2" t="s">
        <v>840</v>
      </c>
      <c r="E1178" s="6">
        <v>1</v>
      </c>
      <c r="F1178" s="6">
        <v>2</v>
      </c>
      <c r="G1178" s="7">
        <v>0.7482994794845581</v>
      </c>
      <c r="H1178" s="7">
        <v>56.52767656250001</v>
      </c>
      <c r="I1178" s="7">
        <v>32.1747466024873</v>
      </c>
      <c r="J1178" s="7">
        <v>10.94915039415993</v>
      </c>
      <c r="K1178" s="7">
        <v>5.170051874298634</v>
      </c>
      <c r="L1178" s="7">
        <v>0.8859643369583086</v>
      </c>
      <c r="M1178" s="7">
        <v>0.6861842235570003</v>
      </c>
      <c r="N1178" s="7">
        <v>0.5944747298549525</v>
      </c>
      <c r="O1178" s="7">
        <v>0.0793162149277233</v>
      </c>
      <c r="P1178" s="7">
        <v>7.796054393628722</v>
      </c>
      <c r="Q1178" s="7">
        <v>0.0211571414977187</v>
      </c>
      <c r="R1178" s="7">
        <v>0.0384707093109988</v>
      </c>
      <c r="S1178" s="7">
        <v>0.0503588441734401</v>
      </c>
      <c r="T1178" s="7">
        <v>1.388062130504359</v>
      </c>
    </row>
    <row x14ac:dyDescent="0.25" r="1179" customHeight="1" ht="19.5">
      <c r="A1179" s="2" t="s">
        <v>2237</v>
      </c>
      <c r="B1179" s="2" t="s">
        <v>1060</v>
      </c>
      <c r="C1179" s="2" t="s">
        <v>31</v>
      </c>
      <c r="D1179" s="2" t="s">
        <v>840</v>
      </c>
      <c r="E1179" s="6">
        <v>1</v>
      </c>
      <c r="F1179" s="6">
        <v>2</v>
      </c>
      <c r="G1179" s="7">
        <v>0.6542259454727173</v>
      </c>
      <c r="H1179" s="7">
        <v>53.6323734375</v>
      </c>
      <c r="I1179" s="7">
        <v>31.30209886309014</v>
      </c>
      <c r="J1179" s="7">
        <v>10.8283293818888</v>
      </c>
      <c r="K1179" s="7">
        <v>4.922315532410689</v>
      </c>
      <c r="L1179" s="7">
        <v>0.8960439663297346</v>
      </c>
      <c r="M1179" s="7">
        <v>0.6878440154469275</v>
      </c>
      <c r="N1179" s="7">
        <v>0.5956516969801686</v>
      </c>
      <c r="O1179" s="7">
        <v>0.0823326115134046</v>
      </c>
      <c r="P1179" s="7">
        <v>7.659404835449531</v>
      </c>
      <c r="Q1179" s="7">
        <v>0.0132258517624618</v>
      </c>
      <c r="R1179" s="7">
        <v>0.0276477928172192</v>
      </c>
      <c r="S1179" s="7">
        <v>0.0402625326406301</v>
      </c>
      <c r="T1179" s="7">
        <v>0.8232684027426342</v>
      </c>
    </row>
    <row x14ac:dyDescent="0.25" r="1180" customHeight="1" ht="19.5">
      <c r="A1180" s="2" t="s">
        <v>2238</v>
      </c>
      <c r="B1180" s="2" t="s">
        <v>1060</v>
      </c>
      <c r="C1180" s="2" t="s">
        <v>31</v>
      </c>
      <c r="D1180" s="2" t="s">
        <v>840</v>
      </c>
      <c r="E1180" s="6">
        <v>1</v>
      </c>
      <c r="F1180" s="6">
        <v>2</v>
      </c>
      <c r="G1180" s="7">
        <v>0.7347991466522217</v>
      </c>
      <c r="H1180" s="7">
        <v>52.40290859375001</v>
      </c>
      <c r="I1180" s="7">
        <v>32.99864169593064</v>
      </c>
      <c r="J1180" s="7">
        <v>10.70703136816563</v>
      </c>
      <c r="K1180" s="7">
        <v>4.852534652411579</v>
      </c>
      <c r="L1180" s="7">
        <v>0.895967683909465</v>
      </c>
      <c r="M1180" s="7">
        <v>0.6047461743528095</v>
      </c>
      <c r="N1180" s="7">
        <v>0.5358009097844716</v>
      </c>
      <c r="O1180" s="7">
        <v>0.0751477802776823</v>
      </c>
      <c r="P1180" s="7">
        <v>7.946255752360821</v>
      </c>
      <c r="Q1180" s="7">
        <v>0.0188631914068275</v>
      </c>
      <c r="R1180" s="7">
        <v>0.0347238634000557</v>
      </c>
      <c r="S1180" s="7">
        <v>0.0447368682698648</v>
      </c>
      <c r="T1180" s="7">
        <v>1.147258659913022</v>
      </c>
    </row>
    <row x14ac:dyDescent="0.25" r="1181" customHeight="1" ht="19.5">
      <c r="A1181" s="2" t="s">
        <v>2239</v>
      </c>
      <c r="B1181" s="2" t="s">
        <v>1060</v>
      </c>
      <c r="C1181" s="2" t="s">
        <v>31</v>
      </c>
      <c r="D1181" s="2" t="s">
        <v>840</v>
      </c>
      <c r="E1181" s="6">
        <v>1</v>
      </c>
      <c r="F1181" s="6">
        <v>2</v>
      </c>
      <c r="G1181" s="7">
        <v>0.7397670745849609</v>
      </c>
      <c r="H1181" s="7">
        <v>54.01679765625001</v>
      </c>
      <c r="I1181" s="7">
        <v>31.48874481526296</v>
      </c>
      <c r="J1181" s="7">
        <v>10.64617675097245</v>
      </c>
      <c r="K1181" s="7">
        <v>5.024690822479721</v>
      </c>
      <c r="L1181" s="7">
        <v>0.8861223317656539</v>
      </c>
      <c r="M1181" s="7">
        <v>0.6845859772738492</v>
      </c>
      <c r="N1181" s="7">
        <v>0.4906028267105353</v>
      </c>
      <c r="O1181" s="7">
        <v>0.0692309793426871</v>
      </c>
      <c r="P1181" s="7">
        <v>8.169246345682273</v>
      </c>
      <c r="Q1181" s="7">
        <v>0.0229192559166136</v>
      </c>
      <c r="R1181" s="7">
        <v>0.041020975173368</v>
      </c>
      <c r="S1181" s="7">
        <v>0.0573046888542139</v>
      </c>
      <c r="T1181" s="7">
        <v>1.436878769165151</v>
      </c>
    </row>
    <row x14ac:dyDescent="0.25" r="1182" customHeight="1" ht="19.5">
      <c r="A1182" s="2" t="s">
        <v>2240</v>
      </c>
      <c r="B1182" s="2" t="s">
        <v>1060</v>
      </c>
      <c r="C1182" s="2" t="s">
        <v>31</v>
      </c>
      <c r="D1182" s="2" t="s">
        <v>840</v>
      </c>
      <c r="E1182" s="6">
        <v>1</v>
      </c>
      <c r="F1182" s="6">
        <v>2</v>
      </c>
      <c r="G1182" s="7">
        <v>0.7376489043235779</v>
      </c>
      <c r="H1182" s="7">
        <v>53.91636250000001</v>
      </c>
      <c r="I1182" s="7">
        <v>31.45427148870821</v>
      </c>
      <c r="J1182" s="7">
        <v>10.64505282041515</v>
      </c>
      <c r="K1182" s="7">
        <v>5.022213212390827</v>
      </c>
      <c r="L1182" s="7">
        <v>0.8855534492932554</v>
      </c>
      <c r="M1182" s="7">
        <v>0.6848117237046125</v>
      </c>
      <c r="N1182" s="7">
        <v>0.4629787931112472</v>
      </c>
      <c r="O1182" s="7">
        <v>0.0658281791279625</v>
      </c>
      <c r="P1182" s="7">
        <v>8.323220040150135</v>
      </c>
      <c r="Q1182" s="7">
        <v>0.0247846150164564</v>
      </c>
      <c r="R1182" s="7">
        <v>0.0447491024450391</v>
      </c>
      <c r="S1182" s="7">
        <v>0.0739397323538109</v>
      </c>
      <c r="T1182" s="7">
        <v>1.550934804090225</v>
      </c>
    </row>
    <row x14ac:dyDescent="0.25" r="1183" customHeight="1" ht="19.5">
      <c r="A1183" s="2" t="s">
        <v>2241</v>
      </c>
      <c r="B1183" s="2" t="s">
        <v>1060</v>
      </c>
      <c r="C1183" s="2" t="s">
        <v>31</v>
      </c>
      <c r="D1183" s="2" t="s">
        <v>840</v>
      </c>
      <c r="E1183" s="6">
        <v>1</v>
      </c>
      <c r="F1183" s="6">
        <v>2</v>
      </c>
      <c r="G1183" s="7">
        <v>0.7388880252838135</v>
      </c>
      <c r="H1183" s="7">
        <v>54.04796718750001</v>
      </c>
      <c r="I1183" s="7">
        <v>31.48874481526296</v>
      </c>
      <c r="J1183" s="7">
        <v>10.63914634992237</v>
      </c>
      <c r="K1183" s="7">
        <v>5.009802609264801</v>
      </c>
      <c r="L1183" s="7">
        <v>0.8862294395668301</v>
      </c>
      <c r="M1183" s="7">
        <v>0.6849810066894718</v>
      </c>
      <c r="N1183" s="7">
        <v>0.4496684330632508</v>
      </c>
      <c r="O1183" s="7">
        <v>0.0642482972725306</v>
      </c>
      <c r="P1183" s="7">
        <v>8.379063165049809</v>
      </c>
      <c r="Q1183" s="7">
        <v>0.0276181095430556</v>
      </c>
      <c r="R1183" s="7">
        <v>0.0476831575748588</v>
      </c>
      <c r="S1183" s="7">
        <v>0.0838379957868474</v>
      </c>
      <c r="T1183" s="7">
        <v>1.732463494382766</v>
      </c>
    </row>
    <row x14ac:dyDescent="0.25" r="1184" customHeight="1" ht="19.5">
      <c r="A1184" s="2" t="s">
        <v>2242</v>
      </c>
      <c r="B1184" s="2" t="s">
        <v>1060</v>
      </c>
      <c r="C1184" s="2" t="s">
        <v>31</v>
      </c>
      <c r="D1184" s="2" t="s">
        <v>840</v>
      </c>
      <c r="E1184" s="6">
        <v>1</v>
      </c>
      <c r="F1184" s="6">
        <v>2</v>
      </c>
      <c r="G1184" s="7">
        <v>0.7471730709075928</v>
      </c>
      <c r="H1184" s="7">
        <v>54.7544765625</v>
      </c>
      <c r="I1184" s="7">
        <v>31.73250804503215</v>
      </c>
      <c r="J1184" s="7">
        <v>10.71615383501498</v>
      </c>
      <c r="K1184" s="7">
        <v>5.10818928838171</v>
      </c>
      <c r="L1184" s="7">
        <v>0.8844767062564829</v>
      </c>
      <c r="M1184" s="7">
        <v>0.6833145965399042</v>
      </c>
      <c r="N1184" s="7">
        <v>0.4320149130667322</v>
      </c>
      <c r="O1184" s="7">
        <v>0.0621316210783055</v>
      </c>
      <c r="P1184" s="7">
        <v>8.500395955633207</v>
      </c>
      <c r="Q1184" s="7">
        <v>0.0277478915546587</v>
      </c>
      <c r="R1184" s="7">
        <v>0.0496620375102214</v>
      </c>
      <c r="S1184" s="7">
        <v>0.0832418060184789</v>
      </c>
      <c r="T1184" s="7">
        <v>1.763357625171826</v>
      </c>
    </row>
    <row x14ac:dyDescent="0.25" r="1185" customHeight="1" ht="19.5">
      <c r="A1185" s="2" t="s">
        <v>2243</v>
      </c>
      <c r="B1185" s="2" t="s">
        <v>1060</v>
      </c>
      <c r="C1185" s="2" t="s">
        <v>31</v>
      </c>
      <c r="D1185" s="2" t="s">
        <v>840</v>
      </c>
      <c r="E1185" s="6">
        <v>1</v>
      </c>
      <c r="F1185" s="6">
        <v>2</v>
      </c>
      <c r="G1185" s="7">
        <v>0.7393997311592102</v>
      </c>
      <c r="H1185" s="7">
        <v>54.8237421875</v>
      </c>
      <c r="I1185" s="7">
        <v>31.7669813715869</v>
      </c>
      <c r="J1185" s="7">
        <v>10.70593920248551</v>
      </c>
      <c r="K1185" s="7">
        <v>5.087619583985579</v>
      </c>
      <c r="L1185" s="7">
        <v>0.8848228188607506</v>
      </c>
      <c r="M1185" s="7">
        <v>0.68269487692535</v>
      </c>
      <c r="N1185" s="7">
        <v>0.4320962254309691</v>
      </c>
      <c r="O1185" s="7">
        <v>0.0619887306320629</v>
      </c>
      <c r="P1185" s="7">
        <v>8.498568361115021</v>
      </c>
      <c r="Q1185" s="7">
        <v>0.0276506665267104</v>
      </c>
      <c r="R1185" s="7">
        <v>0.0487716123580212</v>
      </c>
      <c r="S1185" s="7">
        <v>0.0882938308157638</v>
      </c>
      <c r="T1185" s="7">
        <v>1.759401918213207</v>
      </c>
    </row>
    <row x14ac:dyDescent="0.25" r="1186" customHeight="1" ht="19.5">
      <c r="A1186" s="2" t="s">
        <v>2244</v>
      </c>
      <c r="B1186" s="2" t="s">
        <v>1060</v>
      </c>
      <c r="C1186" s="2" t="s">
        <v>31</v>
      </c>
      <c r="D1186" s="2" t="s">
        <v>840</v>
      </c>
      <c r="E1186" s="6">
        <v>1</v>
      </c>
      <c r="F1186" s="6">
        <v>2</v>
      </c>
      <c r="G1186" s="7">
        <v>0.7317730188369751</v>
      </c>
      <c r="H1186" s="7">
        <v>53.5838875</v>
      </c>
      <c r="I1186" s="7">
        <v>31.4765566537745</v>
      </c>
      <c r="J1186" s="7">
        <v>10.70823339398249</v>
      </c>
      <c r="K1186" s="7">
        <v>4.973632830980835</v>
      </c>
      <c r="L1186" s="7">
        <v>0.8899496012164454</v>
      </c>
      <c r="M1186" s="7">
        <v>0.6796254729848809</v>
      </c>
      <c r="N1186" s="7">
        <v>0.4410769854408672</v>
      </c>
      <c r="O1186" s="7">
        <v>0.0633746814896163</v>
      </c>
      <c r="P1186" s="7">
        <v>8.442124187436725</v>
      </c>
      <c r="Q1186" s="7">
        <v>0.0273775616875189</v>
      </c>
      <c r="R1186" s="7">
        <v>0.0479661449215219</v>
      </c>
      <c r="S1186" s="7">
        <v>0.0813068094475576</v>
      </c>
      <c r="T1186" s="7">
        <v>1.702627974475833</v>
      </c>
    </row>
    <row x14ac:dyDescent="0.25" r="1187" customHeight="1" ht="19.5">
      <c r="A1187" s="2" t="s">
        <v>2245</v>
      </c>
      <c r="B1187" s="2" t="s">
        <v>1060</v>
      </c>
      <c r="C1187" s="2" t="s">
        <v>31</v>
      </c>
      <c r="D1187" s="2" t="s">
        <v>840</v>
      </c>
      <c r="E1187" s="6">
        <v>1</v>
      </c>
      <c r="F1187" s="6">
        <v>2</v>
      </c>
      <c r="G1187" s="7">
        <v>0.7373664379119873</v>
      </c>
      <c r="H1187" s="7">
        <v>54.318103125</v>
      </c>
      <c r="I1187" s="7">
        <v>31.53749746121679</v>
      </c>
      <c r="J1187" s="7">
        <v>10.70342649173282</v>
      </c>
      <c r="K1187" s="7">
        <v>5.023051164872389</v>
      </c>
      <c r="L1187" s="7">
        <v>0.8875748086308152</v>
      </c>
      <c r="M1187" s="7">
        <v>0.6862778818441421</v>
      </c>
      <c r="N1187" s="7">
        <v>0.4399011564117283</v>
      </c>
      <c r="O1187" s="7">
        <v>0.0629469694805215</v>
      </c>
      <c r="P1187" s="7">
        <v>8.44600864387465</v>
      </c>
      <c r="Q1187" s="7">
        <v>0.0277224867953595</v>
      </c>
      <c r="R1187" s="7">
        <v>0.0489081015570675</v>
      </c>
      <c r="S1187" s="7">
        <v>0.0842014132706642</v>
      </c>
      <c r="T1187" s="7">
        <v>1.747702713922064</v>
      </c>
    </row>
    <row x14ac:dyDescent="0.25" r="1188" customHeight="1" ht="19.5">
      <c r="A1188" s="2" t="s">
        <v>2246</v>
      </c>
      <c r="B1188" s="2" t="s">
        <v>1060</v>
      </c>
      <c r="C1188" s="2" t="s">
        <v>31</v>
      </c>
      <c r="D1188" s="2" t="s">
        <v>840</v>
      </c>
      <c r="E1188" s="6">
        <v>1</v>
      </c>
      <c r="F1188" s="6">
        <v>2</v>
      </c>
      <c r="G1188" s="7">
        <v>0.7387693524360657</v>
      </c>
      <c r="H1188" s="7">
        <v>54.19688828125</v>
      </c>
      <c r="I1188" s="7">
        <v>31.43999216930912</v>
      </c>
      <c r="J1188" s="7">
        <v>10.71170419586911</v>
      </c>
      <c r="K1188" s="7">
        <v>5.04083468266341</v>
      </c>
      <c r="L1188" s="7">
        <v>0.8870964419249272</v>
      </c>
      <c r="M1188" s="7">
        <v>0.6890002156320902</v>
      </c>
      <c r="N1188" s="7">
        <v>0.4390349518485979</v>
      </c>
      <c r="O1188" s="7">
        <v>0.0630408580479888</v>
      </c>
      <c r="P1188" s="7">
        <v>8.452909042053555</v>
      </c>
      <c r="Q1188" s="7">
        <v>0.0262940645840096</v>
      </c>
      <c r="R1188" s="7">
        <v>0.0460086769632521</v>
      </c>
      <c r="S1188" s="7">
        <v>0.0826674700118851</v>
      </c>
      <c r="T1188" s="7">
        <v>1.653951832515163</v>
      </c>
    </row>
    <row x14ac:dyDescent="0.25" r="1189" customHeight="1" ht="19.5">
      <c r="A1189" s="2" t="s">
        <v>2247</v>
      </c>
      <c r="B1189" s="2" t="s">
        <v>1060</v>
      </c>
      <c r="C1189" s="2" t="s">
        <v>31</v>
      </c>
      <c r="D1189" s="2" t="s">
        <v>840</v>
      </c>
      <c r="E1189" s="6">
        <v>1</v>
      </c>
      <c r="F1189" s="6">
        <v>2</v>
      </c>
      <c r="G1189" s="7">
        <v>0.7460012435913086</v>
      </c>
      <c r="H1189" s="7">
        <v>54.5743859375</v>
      </c>
      <c r="I1189" s="7">
        <v>31.48874481526296</v>
      </c>
      <c r="J1189" s="7">
        <v>10.65543510656277</v>
      </c>
      <c r="K1189" s="7">
        <v>5.103716963216835</v>
      </c>
      <c r="L1189" s="7">
        <v>0.8831003915973145</v>
      </c>
      <c r="M1189" s="7">
        <v>0.6916526145977635</v>
      </c>
      <c r="N1189" s="7">
        <v>0.4374468579783804</v>
      </c>
      <c r="O1189" s="7">
        <v>0.0624819095518179</v>
      </c>
      <c r="P1189" s="7">
        <v>8.453997638781612</v>
      </c>
      <c r="Q1189" s="7">
        <v>0.027300896542486</v>
      </c>
      <c r="R1189" s="7">
        <v>0.0479653175637581</v>
      </c>
      <c r="S1189" s="7">
        <v>0.0856337090425949</v>
      </c>
      <c r="T1189" s="7">
        <v>1.729245073447979</v>
      </c>
    </row>
    <row x14ac:dyDescent="0.25" r="1190" customHeight="1" ht="19.5">
      <c r="A1190" s="2" t="s">
        <v>2248</v>
      </c>
      <c r="B1190" s="2" t="s">
        <v>1060</v>
      </c>
      <c r="C1190" s="2" t="s">
        <v>31</v>
      </c>
      <c r="D1190" s="2" t="s">
        <v>840</v>
      </c>
      <c r="E1190" s="6">
        <v>1</v>
      </c>
      <c r="F1190" s="6">
        <v>2</v>
      </c>
      <c r="G1190" s="7">
        <v>0.746327817440033</v>
      </c>
      <c r="H1190" s="7">
        <v>54.86876484375</v>
      </c>
      <c r="I1190" s="7">
        <v>31.64091744088104</v>
      </c>
      <c r="J1190" s="7">
        <v>10.71562087110985</v>
      </c>
      <c r="K1190" s="7">
        <v>5.107800025620252</v>
      </c>
      <c r="L1190" s="7">
        <v>0.8844509717368091</v>
      </c>
      <c r="M1190" s="7">
        <v>0.6887108307167437</v>
      </c>
      <c r="N1190" s="7">
        <v>0.4395927853968506</v>
      </c>
      <c r="O1190" s="7">
        <v>0.062617314264328</v>
      </c>
      <c r="P1190" s="7">
        <v>8.461920262261183</v>
      </c>
      <c r="Q1190" s="7">
        <v>0.0282917269324691</v>
      </c>
      <c r="R1190" s="7">
        <v>0.0483753056120129</v>
      </c>
      <c r="S1190" s="7">
        <v>0.0854790234296559</v>
      </c>
      <c r="T1190" s="7">
        <v>1.801670724063173</v>
      </c>
    </row>
    <row x14ac:dyDescent="0.25" r="1191" customHeight="1" ht="19.5">
      <c r="A1191" s="2" t="s">
        <v>2249</v>
      </c>
      <c r="B1191" s="2" t="s">
        <v>1060</v>
      </c>
      <c r="C1191" s="2" t="s">
        <v>31</v>
      </c>
      <c r="D1191" s="2" t="s">
        <v>840</v>
      </c>
      <c r="E1191" s="6">
        <v>1</v>
      </c>
      <c r="F1191" s="6">
        <v>2</v>
      </c>
      <c r="G1191" s="7">
        <v>0.7450345158576965</v>
      </c>
      <c r="H1191" s="7">
        <v>54.899934375</v>
      </c>
      <c r="I1191" s="7">
        <v>31.68967008683488</v>
      </c>
      <c r="J1191" s="7">
        <v>10.71469369872701</v>
      </c>
      <c r="K1191" s="7">
        <v>5.105850627750201</v>
      </c>
      <c r="L1191" s="7">
        <v>0.8846482653049514</v>
      </c>
      <c r="M1191" s="7">
        <v>0.6869834166180793</v>
      </c>
      <c r="N1191" s="7">
        <v>0.4392283199734054</v>
      </c>
      <c r="O1191" s="7">
        <v>0.0625659864205386</v>
      </c>
      <c r="P1191" s="7">
        <v>8.467145815830762</v>
      </c>
      <c r="Q1191" s="7">
        <v>0.027888550627078</v>
      </c>
      <c r="R1191" s="7">
        <v>0.0489416925222328</v>
      </c>
      <c r="S1191" s="7">
        <v>0.0880771633944407</v>
      </c>
      <c r="T1191" s="7">
        <v>1.777004591152552</v>
      </c>
    </row>
    <row x14ac:dyDescent="0.25" r="1192" customHeight="1" ht="19.5">
      <c r="A1192" s="2" t="s">
        <v>2250</v>
      </c>
      <c r="B1192" s="2" t="s">
        <v>1060</v>
      </c>
      <c r="C1192" s="2" t="s">
        <v>31</v>
      </c>
      <c r="D1192" s="2" t="s">
        <v>840</v>
      </c>
      <c r="E1192" s="6">
        <v>1</v>
      </c>
      <c r="F1192" s="6">
        <v>2</v>
      </c>
      <c r="G1192" s="7">
        <v>0.7454304099082947</v>
      </c>
      <c r="H1192" s="7">
        <v>55.4679125</v>
      </c>
      <c r="I1192" s="7">
        <v>31.68967008683488</v>
      </c>
      <c r="J1192" s="7">
        <v>10.71799426965886</v>
      </c>
      <c r="K1192" s="7">
        <v>5.171286129006485</v>
      </c>
      <c r="L1192" s="7">
        <v>0.881721833921957</v>
      </c>
      <c r="M1192" s="7">
        <v>0.6940907393739063</v>
      </c>
      <c r="N1192" s="7">
        <v>0.4404367607970557</v>
      </c>
      <c r="O1192" s="7">
        <v>0.0623820092265388</v>
      </c>
      <c r="P1192" s="7">
        <v>8.476926398615987</v>
      </c>
      <c r="Q1192" s="7">
        <v>0.0271784975121208</v>
      </c>
      <c r="R1192" s="7">
        <v>0.0477745225080658</v>
      </c>
      <c r="S1192" s="7">
        <v>0.0839455775822855</v>
      </c>
      <c r="T1192" s="7">
        <v>1.749677657541401</v>
      </c>
    </row>
    <row x14ac:dyDescent="0.25" r="1193" customHeight="1" ht="19.5">
      <c r="A1193" s="2" t="s">
        <v>2251</v>
      </c>
      <c r="B1193" s="2" t="s">
        <v>1060</v>
      </c>
      <c r="C1193" s="2" t="s">
        <v>31</v>
      </c>
      <c r="D1193" s="2" t="s">
        <v>840</v>
      </c>
      <c r="E1193" s="6">
        <v>1</v>
      </c>
      <c r="F1193" s="6">
        <v>2</v>
      </c>
      <c r="G1193" s="7">
        <v>0.7378417253494263</v>
      </c>
      <c r="H1193" s="7">
        <v>53.61505703125</v>
      </c>
      <c r="I1193" s="7">
        <v>31.37104551619963</v>
      </c>
      <c r="J1193" s="7">
        <v>10.71423985511672</v>
      </c>
      <c r="K1193" s="7">
        <v>4.986482447049065</v>
      </c>
      <c r="L1193" s="7">
        <v>0.8902519823091555</v>
      </c>
      <c r="M1193" s="7">
        <v>0.6846027677592177</v>
      </c>
      <c r="N1193" s="7">
        <v>0.4411964781059001</v>
      </c>
      <c r="O1193" s="7">
        <v>0.063264359337128</v>
      </c>
      <c r="P1193" s="7">
        <v>8.436384641611063</v>
      </c>
      <c r="Q1193" s="7">
        <v>0.0263234161978213</v>
      </c>
      <c r="R1193" s="7">
        <v>0.0462441710864202</v>
      </c>
      <c r="S1193" s="7">
        <v>0.0844614027182339</v>
      </c>
      <c r="T1193" s="7">
        <v>1.638022273010728</v>
      </c>
    </row>
    <row x14ac:dyDescent="0.25" r="1194" customHeight="1" ht="19.5">
      <c r="A1194" s="2" t="s">
        <v>2252</v>
      </c>
      <c r="B1194" s="2" t="s">
        <v>1060</v>
      </c>
      <c r="C1194" s="2" t="s">
        <v>31</v>
      </c>
      <c r="D1194" s="2" t="s">
        <v>840</v>
      </c>
      <c r="E1194" s="6">
        <v>1</v>
      </c>
      <c r="F1194" s="6">
        <v>2</v>
      </c>
      <c r="G1194" s="7">
        <v>0.7344330549240112</v>
      </c>
      <c r="H1194" s="7">
        <v>53.625446875</v>
      </c>
      <c r="I1194" s="7">
        <v>31.45427148870822</v>
      </c>
      <c r="J1194" s="7">
        <v>10.70895827108638</v>
      </c>
      <c r="K1194" s="7">
        <v>4.975346696908408</v>
      </c>
      <c r="L1194" s="7">
        <v>0.8901276245264648</v>
      </c>
      <c r="M1194" s="7">
        <v>0.6811166964184362</v>
      </c>
      <c r="N1194" s="7">
        <v>0.4352318797996645</v>
      </c>
      <c r="O1194" s="7">
        <v>0.0630177407671101</v>
      </c>
      <c r="P1194" s="7">
        <v>8.440610977978059</v>
      </c>
      <c r="Q1194" s="7">
        <v>0.0266999067569661</v>
      </c>
      <c r="R1194" s="7">
        <v>0.0476643340897562</v>
      </c>
      <c r="S1194" s="7">
        <v>0.0827730713919555</v>
      </c>
      <c r="T1194" s="7">
        <v>1.661772045934881</v>
      </c>
    </row>
    <row x14ac:dyDescent="0.25" r="1195" customHeight="1" ht="19.5">
      <c r="A1195" s="2" t="s">
        <v>2253</v>
      </c>
      <c r="B1195" s="2" t="s">
        <v>1060</v>
      </c>
      <c r="C1195" s="2" t="s">
        <v>31</v>
      </c>
      <c r="D1195" s="2" t="s">
        <v>840</v>
      </c>
      <c r="E1195" s="6">
        <v>1</v>
      </c>
      <c r="F1195" s="6">
        <v>2</v>
      </c>
      <c r="G1195" s="7">
        <v>0.7394078969955444</v>
      </c>
      <c r="H1195" s="7">
        <v>53.7570515625</v>
      </c>
      <c r="I1195" s="7">
        <v>31.56605610001498</v>
      </c>
      <c r="J1195" s="7">
        <v>10.64545907585</v>
      </c>
      <c r="K1195" s="7">
        <v>5.022969669532676</v>
      </c>
      <c r="L1195" s="7">
        <v>0.8861498703881194</v>
      </c>
      <c r="M1195" s="7">
        <v>0.6779609143356711</v>
      </c>
      <c r="N1195" s="7">
        <v>0.442126930305836</v>
      </c>
      <c r="O1195" s="7">
        <v>0.0629876947170718</v>
      </c>
      <c r="P1195" s="7">
        <v>8.46260510980208</v>
      </c>
      <c r="Q1195" s="7">
        <v>0.0278334916544379</v>
      </c>
      <c r="R1195" s="7">
        <v>0.0483763923519114</v>
      </c>
      <c r="S1195" s="7">
        <v>0.0851754845019678</v>
      </c>
      <c r="T1195" s="7">
        <v>1.736576468926653</v>
      </c>
    </row>
    <row x14ac:dyDescent="0.25" r="1196" customHeight="1" ht="19.5">
      <c r="A1196" s="2" t="s">
        <v>2254</v>
      </c>
      <c r="B1196" s="2" t="s">
        <v>1060</v>
      </c>
      <c r="C1196" s="2" t="s">
        <v>31</v>
      </c>
      <c r="D1196" s="2" t="s">
        <v>840</v>
      </c>
      <c r="E1196" s="6">
        <v>1</v>
      </c>
      <c r="F1196" s="6">
        <v>2</v>
      </c>
      <c r="G1196" s="7">
        <v>0.7614071369171143</v>
      </c>
      <c r="H1196" s="7">
        <v>54.36312578125001</v>
      </c>
      <c r="I1196" s="7">
        <v>31.39960415499781</v>
      </c>
      <c r="J1196" s="7">
        <v>10.65561047396122</v>
      </c>
      <c r="K1196" s="7">
        <v>5.103214055425737</v>
      </c>
      <c r="L1196" s="7">
        <v>0.883140730948688</v>
      </c>
      <c r="M1196" s="7">
        <v>0.6928926233084395</v>
      </c>
      <c r="N1196" s="7">
        <v>0.4385456893804355</v>
      </c>
      <c r="O1196" s="7">
        <v>0.0624310447214823</v>
      </c>
      <c r="P1196" s="7">
        <v>8.476110306584696</v>
      </c>
      <c r="Q1196" s="7">
        <v>0.0266860859881819</v>
      </c>
      <c r="R1196" s="7">
        <v>0.0471876703667274</v>
      </c>
      <c r="S1196" s="7">
        <v>0.0842677480350096</v>
      </c>
      <c r="T1196" s="7">
        <v>1.683759585226372</v>
      </c>
    </row>
    <row x14ac:dyDescent="0.25" r="1197" customHeight="1" ht="19.5">
      <c r="A1197" s="2" t="s">
        <v>2255</v>
      </c>
      <c r="B1197" s="2" t="s">
        <v>1060</v>
      </c>
      <c r="C1197" s="2" t="s">
        <v>31</v>
      </c>
      <c r="D1197" s="2" t="s">
        <v>840</v>
      </c>
      <c r="E1197" s="6">
        <v>1</v>
      </c>
      <c r="F1197" s="6">
        <v>2</v>
      </c>
      <c r="G1197" s="7">
        <v>0.7393893599510193</v>
      </c>
      <c r="H1197" s="7">
        <v>54.179571875</v>
      </c>
      <c r="I1197" s="7">
        <v>31.50302413466205</v>
      </c>
      <c r="J1197" s="7">
        <v>10.71078856417405</v>
      </c>
      <c r="K1197" s="7">
        <v>5.038678852158302</v>
      </c>
      <c r="L1197" s="7">
        <v>0.8872490269447864</v>
      </c>
      <c r="M1197" s="7">
        <v>0.6860265774947829</v>
      </c>
      <c r="N1197" s="7">
        <v>0.4391653456808762</v>
      </c>
      <c r="O1197" s="7">
        <v>0.0629704951817994</v>
      </c>
      <c r="P1197" s="7">
        <v>8.456716154202969</v>
      </c>
      <c r="Q1197" s="7">
        <v>0.0266075323468587</v>
      </c>
      <c r="R1197" s="7">
        <v>0.0465271274028835</v>
      </c>
      <c r="S1197" s="7">
        <v>0.0831502924025666</v>
      </c>
      <c r="T1197" s="7">
        <v>1.673134859620576</v>
      </c>
    </row>
    <row x14ac:dyDescent="0.25" r="1198" customHeight="1" ht="19.5">
      <c r="A1198" s="2" t="s">
        <v>2256</v>
      </c>
      <c r="B1198" s="2" t="s">
        <v>1060</v>
      </c>
      <c r="C1198" s="2" t="s">
        <v>31</v>
      </c>
      <c r="D1198" s="2" t="s">
        <v>840</v>
      </c>
      <c r="E1198" s="6">
        <v>1</v>
      </c>
      <c r="F1198" s="6">
        <v>2</v>
      </c>
      <c r="G1198" s="7">
        <v>0.7382103800773621</v>
      </c>
      <c r="H1198" s="7">
        <v>54.29039687500001</v>
      </c>
      <c r="I1198" s="7">
        <v>31.55177678061589</v>
      </c>
      <c r="J1198" s="7">
        <v>10.71035448770462</v>
      </c>
      <c r="K1198" s="7">
        <v>5.037750464762521</v>
      </c>
      <c r="L1198" s="7">
        <v>0.8876358497879089</v>
      </c>
      <c r="M1198" s="7">
        <v>0.6853071121075508</v>
      </c>
      <c r="N1198" s="7">
        <v>0.4414805580391323</v>
      </c>
      <c r="O1198" s="7">
        <v>0.0629026529875382</v>
      </c>
      <c r="P1198" s="7">
        <v>8.439727156935923</v>
      </c>
      <c r="Q1198" s="7">
        <v>0.0262085437281051</v>
      </c>
      <c r="R1198" s="7">
        <v>0.0462052059859175</v>
      </c>
      <c r="S1198" s="7">
        <v>0.0836339035386737</v>
      </c>
      <c r="T1198" s="7">
        <v>1.65141675538772</v>
      </c>
    </row>
    <row x14ac:dyDescent="0.25" r="1199" customHeight="1" ht="19.5">
      <c r="A1199" s="2" t="s">
        <v>2257</v>
      </c>
      <c r="B1199" s="2" t="s">
        <v>1060</v>
      </c>
      <c r="C1199" s="2" t="s">
        <v>31</v>
      </c>
      <c r="D1199" s="2" t="s">
        <v>840</v>
      </c>
      <c r="E1199" s="6">
        <v>1</v>
      </c>
      <c r="F1199" s="6">
        <v>2</v>
      </c>
      <c r="G1199" s="7">
        <v>0.745116114616394</v>
      </c>
      <c r="H1199" s="7">
        <v>53.86441328125</v>
      </c>
      <c r="I1199" s="7">
        <v>31.50302413466205</v>
      </c>
      <c r="J1199" s="7">
        <v>10.65219598372796</v>
      </c>
      <c r="K1199" s="7">
        <v>5.037286901391417</v>
      </c>
      <c r="L1199" s="7">
        <v>0.8860696111383246</v>
      </c>
      <c r="M1199" s="7">
        <v>0.6820360112360239</v>
      </c>
      <c r="N1199" s="7">
        <v>0.4415581353504034</v>
      </c>
      <c r="O1199" s="7">
        <v>0.0630182198231676</v>
      </c>
      <c r="P1199" s="7">
        <v>8.45023771818084</v>
      </c>
      <c r="Q1199" s="7">
        <v>0.0264508277162087</v>
      </c>
      <c r="R1199" s="7">
        <v>0.0468796401802441</v>
      </c>
      <c r="S1199" s="7">
        <v>0.0850392278791824</v>
      </c>
      <c r="T1199" s="7">
        <v>1.653605775691508</v>
      </c>
    </row>
    <row x14ac:dyDescent="0.25" r="1200" customHeight="1" ht="19.5">
      <c r="A1200" s="2" t="s">
        <v>2258</v>
      </c>
      <c r="B1200" s="2" t="s">
        <v>1060</v>
      </c>
      <c r="C1200" s="2" t="s">
        <v>31</v>
      </c>
      <c r="D1200" s="2" t="s">
        <v>840</v>
      </c>
      <c r="E1200" s="6">
        <v>1</v>
      </c>
      <c r="F1200" s="6">
        <v>2</v>
      </c>
      <c r="G1200" s="7">
        <v>0.7423192858695984</v>
      </c>
      <c r="H1200" s="7">
        <v>55.52678828125001</v>
      </c>
      <c r="I1200" s="7">
        <v>31.80736938589822</v>
      </c>
      <c r="J1200" s="7">
        <v>10.71059582730684</v>
      </c>
      <c r="K1200" s="7">
        <v>5.156443007567251</v>
      </c>
      <c r="L1200" s="7">
        <v>0.8817353029216966</v>
      </c>
      <c r="M1200" s="7">
        <v>0.6896947391857898</v>
      </c>
      <c r="N1200" s="7">
        <v>0.4414783766264534</v>
      </c>
      <c r="O1200" s="7">
        <v>0.0625144805672101</v>
      </c>
      <c r="P1200" s="7">
        <v>8.470337721609386</v>
      </c>
      <c r="Q1200" s="7">
        <v>0.0270035514071926</v>
      </c>
      <c r="R1200" s="7">
        <v>0.0475383492075203</v>
      </c>
      <c r="S1200" s="7">
        <v>0.0833718091834953</v>
      </c>
      <c r="T1200" s="7">
        <v>1.740260324544968</v>
      </c>
    </row>
    <row x14ac:dyDescent="0.25" r="1201" customHeight="1" ht="19.5">
      <c r="A1201" s="2" t="s">
        <v>2259</v>
      </c>
      <c r="B1201" s="2" t="s">
        <v>1060</v>
      </c>
      <c r="C1201" s="2" t="s">
        <v>31</v>
      </c>
      <c r="D1201" s="2" t="s">
        <v>840</v>
      </c>
      <c r="E1201" s="6">
        <v>1</v>
      </c>
      <c r="F1201" s="6">
        <v>2</v>
      </c>
      <c r="G1201" s="7">
        <v>0.7375833988189697</v>
      </c>
      <c r="H1201" s="7">
        <v>54.3111765625</v>
      </c>
      <c r="I1201" s="7">
        <v>31.45427148870821</v>
      </c>
      <c r="J1201" s="7">
        <v>10.70371729559673</v>
      </c>
      <c r="K1201" s="7">
        <v>5.0235724028203</v>
      </c>
      <c r="L1201" s="7">
        <v>0.8875027580020104</v>
      </c>
      <c r="M1201" s="7">
        <v>0.6898264035929941</v>
      </c>
      <c r="N1201" s="7">
        <v>0.4396603032551863</v>
      </c>
      <c r="O1201" s="7">
        <v>0.06297067199818</v>
      </c>
      <c r="P1201" s="7">
        <v>8.437468082399914</v>
      </c>
      <c r="Q1201" s="7">
        <v>0.026804897749943</v>
      </c>
      <c r="R1201" s="7">
        <v>0.0478268924889746</v>
      </c>
      <c r="S1201" s="7">
        <v>0.0830761165354869</v>
      </c>
      <c r="T1201" s="7">
        <v>1.689639859222901</v>
      </c>
    </row>
    <row x14ac:dyDescent="0.25" r="1202" customHeight="1" ht="19.5">
      <c r="A1202" s="2" t="s">
        <v>2260</v>
      </c>
      <c r="B1202" s="2" t="s">
        <v>1060</v>
      </c>
      <c r="C1202" s="2" t="s">
        <v>31</v>
      </c>
      <c r="D1202" s="2" t="s">
        <v>840</v>
      </c>
      <c r="E1202" s="6">
        <v>1</v>
      </c>
      <c r="F1202" s="6">
        <v>2</v>
      </c>
      <c r="G1202" s="7">
        <v>0.7328632473945618</v>
      </c>
      <c r="H1202" s="7">
        <v>53.26872890625</v>
      </c>
      <c r="I1202" s="7">
        <v>31.43407748155256</v>
      </c>
      <c r="J1202" s="7">
        <v>10.65501673861988</v>
      </c>
      <c r="K1202" s="7">
        <v>4.984130397247478</v>
      </c>
      <c r="L1202" s="7">
        <v>0.8887484487259389</v>
      </c>
      <c r="M1202" s="7">
        <v>0.6774554784689193</v>
      </c>
      <c r="N1202" s="7">
        <v>0.4384965780115465</v>
      </c>
      <c r="O1202" s="7">
        <v>0.0631638969966603</v>
      </c>
      <c r="P1202" s="7">
        <v>8.436752643463175</v>
      </c>
      <c r="Q1202" s="7">
        <v>0.026567007515819</v>
      </c>
      <c r="R1202" s="7">
        <v>0.0471618586757343</v>
      </c>
      <c r="S1202" s="7">
        <v>0.0835057995413662</v>
      </c>
      <c r="T1202" s="7">
        <v>1.642501415468573</v>
      </c>
    </row>
    <row x14ac:dyDescent="0.25" r="1203" customHeight="1" ht="19.5">
      <c r="A1203" s="2" t="s">
        <v>2261</v>
      </c>
      <c r="B1203" s="2" t="s">
        <v>1060</v>
      </c>
      <c r="C1203" s="2" t="s">
        <v>31</v>
      </c>
      <c r="D1203" s="2" t="s">
        <v>840</v>
      </c>
      <c r="E1203" s="6">
        <v>1</v>
      </c>
      <c r="F1203" s="6">
        <v>2</v>
      </c>
      <c r="G1203" s="7">
        <v>0.7424641251564026</v>
      </c>
      <c r="H1203" s="7">
        <v>54.34234609375</v>
      </c>
      <c r="I1203" s="7">
        <v>31.57197078777155</v>
      </c>
      <c r="J1203" s="7">
        <v>10.70487775494306</v>
      </c>
      <c r="K1203" s="7">
        <v>5.025912404125689</v>
      </c>
      <c r="L1203" s="7">
        <v>0.887746790742884</v>
      </c>
      <c r="M1203" s="7">
        <v>0.6850856385186803</v>
      </c>
      <c r="N1203" s="7">
        <v>0.4420188320812604</v>
      </c>
      <c r="O1203" s="7">
        <v>0.0631928737090802</v>
      </c>
      <c r="P1203" s="7">
        <v>8.423326850964104</v>
      </c>
      <c r="Q1203" s="7">
        <v>0.0267127594969746</v>
      </c>
      <c r="R1203" s="7">
        <v>0.0465354852667485</v>
      </c>
      <c r="S1203" s="7">
        <v>0.0849868280666971</v>
      </c>
      <c r="T1203" s="7">
        <v>1.6847983099771</v>
      </c>
    </row>
    <row x14ac:dyDescent="0.25" r="1204" customHeight="1" ht="19.5">
      <c r="A1204" s="2" t="s">
        <v>2262</v>
      </c>
      <c r="B1204" s="2" t="s">
        <v>1060</v>
      </c>
      <c r="C1204" s="2" t="s">
        <v>31</v>
      </c>
      <c r="D1204" s="2" t="s">
        <v>840</v>
      </c>
      <c r="E1204" s="6">
        <v>1</v>
      </c>
      <c r="F1204" s="6">
        <v>2</v>
      </c>
      <c r="G1204" s="7">
        <v>0.7367185354232788</v>
      </c>
      <c r="H1204" s="7">
        <v>53.23063281250001</v>
      </c>
      <c r="I1204" s="7">
        <v>31.55177678061589</v>
      </c>
      <c r="J1204" s="7">
        <v>10.651991861901</v>
      </c>
      <c r="K1204" s="7">
        <v>4.977480399481442</v>
      </c>
      <c r="L1204" s="7">
        <v>0.8886275418391077</v>
      </c>
      <c r="M1204" s="7">
        <v>0.6719297214272172</v>
      </c>
      <c r="N1204" s="7">
        <v>0.4910159194596544</v>
      </c>
      <c r="O1204" s="7">
        <v>0.0692334125571929</v>
      </c>
      <c r="P1204" s="7">
        <v>8.185079435004035</v>
      </c>
      <c r="Q1204" s="7">
        <v>0.0234551737967738</v>
      </c>
      <c r="R1204" s="7">
        <v>0.0415747900262649</v>
      </c>
      <c r="S1204" s="7">
        <v>0.0662947262523439</v>
      </c>
      <c r="T1204" s="7">
        <v>1.449075669398342</v>
      </c>
    </row>
    <row x14ac:dyDescent="0.25" r="1205" customHeight="1" ht="19.5">
      <c r="A1205" s="2" t="s">
        <v>2263</v>
      </c>
      <c r="B1205" s="2" t="s">
        <v>1060</v>
      </c>
      <c r="C1205" s="2" t="s">
        <v>31</v>
      </c>
      <c r="D1205" s="2" t="s">
        <v>840</v>
      </c>
      <c r="E1205" s="6">
        <v>1</v>
      </c>
      <c r="F1205" s="6">
        <v>2</v>
      </c>
      <c r="G1205" s="7">
        <v>0.7076051235198975</v>
      </c>
      <c r="H1205" s="7">
        <v>54.29039687500001</v>
      </c>
      <c r="I1205" s="7">
        <v>31.49955939079146</v>
      </c>
      <c r="J1205" s="7">
        <v>10.73547241342424</v>
      </c>
      <c r="K1205" s="7">
        <v>5.280125623836637</v>
      </c>
      <c r="L1205" s="7">
        <v>0.8851353824331626</v>
      </c>
      <c r="M1205" s="7">
        <v>0.6875810873626719</v>
      </c>
      <c r="N1205" s="7">
        <v>0.5704481923739247</v>
      </c>
      <c r="O1205" s="7">
        <v>0.0964344069855258</v>
      </c>
      <c r="P1205" s="7">
        <v>7.435722611955963</v>
      </c>
      <c r="Q1205" s="7">
        <v>0.0399776097357056</v>
      </c>
      <c r="R1205" s="7">
        <v>0.0707968300023022</v>
      </c>
      <c r="S1205" s="7">
        <v>0.0838092574714759</v>
      </c>
      <c r="T1205" s="7">
        <v>2.519014228444079</v>
      </c>
    </row>
    <row x14ac:dyDescent="0.25" r="1206" customHeight="1" ht="19.5">
      <c r="A1206" s="2" t="s">
        <v>2264</v>
      </c>
      <c r="B1206" s="2" t="s">
        <v>1060</v>
      </c>
      <c r="C1206" s="2" t="s">
        <v>31</v>
      </c>
      <c r="D1206" s="2" t="s">
        <v>840</v>
      </c>
      <c r="E1206" s="6">
        <v>1</v>
      </c>
      <c r="F1206" s="6">
        <v>2</v>
      </c>
      <c r="G1206" s="7">
        <v>0.7340638041496277</v>
      </c>
      <c r="H1206" s="7">
        <v>51.021059375</v>
      </c>
      <c r="I1206" s="7">
        <v>30.91942752711732</v>
      </c>
      <c r="J1206" s="7">
        <v>10.35383636187971</v>
      </c>
      <c r="K1206" s="7">
        <v>5.111213144808719</v>
      </c>
      <c r="L1206" s="7">
        <v>0.8849191078611962</v>
      </c>
      <c r="M1206" s="7">
        <v>0.6706508002306042</v>
      </c>
      <c r="N1206" s="7">
        <v>0.5102407826427174</v>
      </c>
      <c r="O1206" s="7">
        <v>0.0857643791335437</v>
      </c>
      <c r="P1206" s="7">
        <v>7.705861744666907</v>
      </c>
      <c r="Q1206" s="7">
        <v>0.0437861170748128</v>
      </c>
      <c r="R1206" s="7">
        <v>0.0724649745254174</v>
      </c>
      <c r="S1206" s="7">
        <v>0.0905258888164928</v>
      </c>
      <c r="T1206" s="7">
        <v>2.592845778354453</v>
      </c>
    </row>
    <row x14ac:dyDescent="0.25" r="1207" customHeight="1" ht="19.5">
      <c r="A1207" s="2" t="s">
        <v>2265</v>
      </c>
      <c r="B1207" s="2" t="s">
        <v>1060</v>
      </c>
      <c r="C1207" s="2" t="s">
        <v>31</v>
      </c>
      <c r="D1207" s="2" t="s">
        <v>840</v>
      </c>
      <c r="E1207" s="6">
        <v>1</v>
      </c>
      <c r="F1207" s="6">
        <v>2</v>
      </c>
      <c r="G1207" s="7">
        <v>0.7358859181404114</v>
      </c>
      <c r="H1207" s="7">
        <v>51.381240625</v>
      </c>
      <c r="I1207" s="7">
        <v>30.81947229132368</v>
      </c>
      <c r="J1207" s="7">
        <v>10.48194015625217</v>
      </c>
      <c r="K1207" s="7">
        <v>5.059655117575211</v>
      </c>
      <c r="L1207" s="7">
        <v>0.889160628188878</v>
      </c>
      <c r="M1207" s="7">
        <v>0.6797732240332139</v>
      </c>
      <c r="N1207" s="7">
        <v>0.46608050745343</v>
      </c>
      <c r="O1207" s="7">
        <v>0.0784311701231468</v>
      </c>
      <c r="P1207" s="7">
        <v>7.925694936740976</v>
      </c>
      <c r="Q1207" s="7">
        <v>0.0410120702152495</v>
      </c>
      <c r="R1207" s="7">
        <v>0.069103930540652</v>
      </c>
      <c r="S1207" s="7">
        <v>0.0948489801040844</v>
      </c>
      <c r="T1207" s="7">
        <v>2.44572182225219</v>
      </c>
    </row>
    <row x14ac:dyDescent="0.25" r="1208" customHeight="1" ht="19.5">
      <c r="A1208" s="2" t="s">
        <v>2266</v>
      </c>
      <c r="B1208" s="2" t="s">
        <v>1060</v>
      </c>
      <c r="C1208" s="2" t="s">
        <v>31</v>
      </c>
      <c r="D1208" s="2" t="s">
        <v>840</v>
      </c>
      <c r="E1208" s="6">
        <v>1</v>
      </c>
      <c r="F1208" s="6">
        <v>2</v>
      </c>
      <c r="G1208" s="7">
        <v>0.7513466477394104</v>
      </c>
      <c r="H1208" s="7">
        <v>51.17344375</v>
      </c>
      <c r="I1208" s="7">
        <v>30.71013762390288</v>
      </c>
      <c r="J1208" s="7">
        <v>10.58499239435041</v>
      </c>
      <c r="K1208" s="7">
        <v>5.011665082931891</v>
      </c>
      <c r="L1208" s="7">
        <v>0.8920295163571981</v>
      </c>
      <c r="M1208" s="7">
        <v>0.6818533565399686</v>
      </c>
      <c r="N1208" s="7">
        <v>0.4456078642861346</v>
      </c>
      <c r="O1208" s="7">
        <v>0.0748696426515731</v>
      </c>
      <c r="P1208" s="7">
        <v>8.0882879301941</v>
      </c>
      <c r="Q1208" s="7">
        <v>0.0374809798282266</v>
      </c>
      <c r="R1208" s="7">
        <v>0.0651184826171552</v>
      </c>
      <c r="S1208" s="7">
        <v>0.0986692683667946</v>
      </c>
      <c r="T1208" s="7">
        <v>2.226108663617329</v>
      </c>
    </row>
    <row x14ac:dyDescent="0.25" r="1209" customHeight="1" ht="19.5">
      <c r="A1209" s="2" t="s">
        <v>2267</v>
      </c>
      <c r="B1209" s="2" t="s">
        <v>1060</v>
      </c>
      <c r="C1209" s="2" t="s">
        <v>31</v>
      </c>
      <c r="D1209" s="2" t="s">
        <v>840</v>
      </c>
      <c r="E1209" s="6">
        <v>1</v>
      </c>
      <c r="F1209" s="6">
        <v>2</v>
      </c>
      <c r="G1209" s="7">
        <v>0.7511565089225769</v>
      </c>
      <c r="H1209" s="7">
        <v>52.48602734375</v>
      </c>
      <c r="I1209" s="7">
        <v>31.03467688229469</v>
      </c>
      <c r="J1209" s="7">
        <v>10.54157625134609</v>
      </c>
      <c r="K1209" s="7">
        <v>5.027082805258033</v>
      </c>
      <c r="L1209" s="7">
        <v>0.8865761879483641</v>
      </c>
      <c r="M1209" s="7">
        <v>0.6847926813323653</v>
      </c>
      <c r="N1209" s="7">
        <v>0.4257464622888327</v>
      </c>
      <c r="O1209" s="7">
        <v>0.0726969822644822</v>
      </c>
      <c r="P1209" s="7">
        <v>8.162812731350613</v>
      </c>
      <c r="Q1209" s="7">
        <v>0.0362915983251317</v>
      </c>
      <c r="R1209" s="7">
        <v>0.0655019035693157</v>
      </c>
      <c r="S1209" s="7">
        <v>0.0990060460331761</v>
      </c>
      <c r="T1209" s="7">
        <v>2.210754806400812</v>
      </c>
    </row>
    <row x14ac:dyDescent="0.25" r="1210" customHeight="1" ht="19.5">
      <c r="A1210" s="2" t="s">
        <v>2268</v>
      </c>
      <c r="B1210" s="2" t="s">
        <v>1060</v>
      </c>
      <c r="C1210" s="2" t="s">
        <v>31</v>
      </c>
      <c r="D1210" s="2" t="s">
        <v>840</v>
      </c>
      <c r="E1210" s="6">
        <v>1</v>
      </c>
      <c r="F1210" s="6">
        <v>2</v>
      </c>
      <c r="G1210" s="7">
        <v>0.7482430934906006</v>
      </c>
      <c r="H1210" s="7">
        <v>52.8427453125</v>
      </c>
      <c r="I1210" s="7">
        <v>31.13809686195893</v>
      </c>
      <c r="J1210" s="7">
        <v>10.5435177031236</v>
      </c>
      <c r="K1210" s="7">
        <v>5.051870705279303</v>
      </c>
      <c r="L1210" s="7">
        <v>0.8872309368057177</v>
      </c>
      <c r="M1210" s="7">
        <v>0.6848746723585442</v>
      </c>
      <c r="N1210" s="7">
        <v>0.415833839995619</v>
      </c>
      <c r="O1210" s="7">
        <v>0.0715246892020689</v>
      </c>
      <c r="P1210" s="7">
        <v>8.17651839005379</v>
      </c>
      <c r="Q1210" s="7">
        <v>0.0347376210947579</v>
      </c>
      <c r="R1210" s="7">
        <v>0.0649617825715044</v>
      </c>
      <c r="S1210" s="7">
        <v>0.1014371909243268</v>
      </c>
      <c r="T1210" s="7">
        <v>2.130473938711913</v>
      </c>
    </row>
    <row x14ac:dyDescent="0.25" r="1211" customHeight="1" ht="19.5">
      <c r="A1211" s="2" t="s">
        <v>2269</v>
      </c>
      <c r="B1211" s="2" t="s">
        <v>1060</v>
      </c>
      <c r="C1211" s="2" t="s">
        <v>31</v>
      </c>
      <c r="D1211" s="2" t="s">
        <v>840</v>
      </c>
      <c r="E1211" s="6">
        <v>1</v>
      </c>
      <c r="F1211" s="6">
        <v>2</v>
      </c>
      <c r="G1211" s="7">
        <v>0.7475227117538452</v>
      </c>
      <c r="H1211" s="7">
        <v>53.265265625</v>
      </c>
      <c r="I1211" s="7">
        <v>31.18684950791277</v>
      </c>
      <c r="J1211" s="7">
        <v>10.59420913060339</v>
      </c>
      <c r="K1211" s="7">
        <v>5.174669064571217</v>
      </c>
      <c r="L1211" s="7">
        <v>0.8851519157593726</v>
      </c>
      <c r="M1211" s="7">
        <v>0.6881941109821317</v>
      </c>
      <c r="N1211" s="7">
        <v>0.4217011272022253</v>
      </c>
      <c r="O1211" s="7">
        <v>0.0713566848562849</v>
      </c>
      <c r="P1211" s="7">
        <v>8.21293972800415</v>
      </c>
      <c r="Q1211" s="7">
        <v>0.0345061696728242</v>
      </c>
      <c r="R1211" s="7">
        <v>0.0641629423536796</v>
      </c>
      <c r="S1211" s="7">
        <v>0.1062624409174726</v>
      </c>
      <c r="T1211" s="7">
        <v>2.133200273392365</v>
      </c>
    </row>
    <row x14ac:dyDescent="0.25" r="1212" customHeight="1" ht="19.5">
      <c r="A1212" s="2" t="s">
        <v>2270</v>
      </c>
      <c r="B1212" s="2" t="s">
        <v>1060</v>
      </c>
      <c r="C1212" s="2" t="s">
        <v>31</v>
      </c>
      <c r="D1212" s="2" t="s">
        <v>840</v>
      </c>
      <c r="E1212" s="6">
        <v>1</v>
      </c>
      <c r="F1212" s="6">
        <v>2</v>
      </c>
      <c r="G1212" s="7">
        <v>0.7457031011581421</v>
      </c>
      <c r="H1212" s="7">
        <v>52.14662578125</v>
      </c>
      <c r="I1212" s="7">
        <v>30.81947229132368</v>
      </c>
      <c r="J1212" s="7">
        <v>10.57370690033743</v>
      </c>
      <c r="K1212" s="7">
        <v>4.992519334481951</v>
      </c>
      <c r="L1212" s="7">
        <v>0.8901597775196098</v>
      </c>
      <c r="M1212" s="7">
        <v>0.6898992608700527</v>
      </c>
      <c r="N1212" s="7">
        <v>0.4166158810952806</v>
      </c>
      <c r="O1212" s="7">
        <v>0.071603529356902</v>
      </c>
      <c r="P1212" s="7">
        <v>8.186124705114732</v>
      </c>
      <c r="Q1212" s="7">
        <v>0.0354975818885724</v>
      </c>
      <c r="R1212" s="7">
        <v>0.064967786455771</v>
      </c>
      <c r="S1212" s="7">
        <v>0.1041942090381439</v>
      </c>
      <c r="T1212" s="7">
        <v>2.148403057863832</v>
      </c>
    </row>
    <row x14ac:dyDescent="0.25" r="1213" customHeight="1" ht="19.5">
      <c r="A1213" s="2" t="s">
        <v>2271</v>
      </c>
      <c r="B1213" s="2" t="s">
        <v>1060</v>
      </c>
      <c r="C1213" s="2" t="s">
        <v>31</v>
      </c>
      <c r="D1213" s="2" t="s">
        <v>840</v>
      </c>
      <c r="E1213" s="6">
        <v>1</v>
      </c>
      <c r="F1213" s="6">
        <v>2</v>
      </c>
      <c r="G1213" s="7">
        <v>0.7577037811279297</v>
      </c>
      <c r="H1213" s="7">
        <v>52.95357031250001</v>
      </c>
      <c r="I1213" s="7">
        <v>31.28435479982044</v>
      </c>
      <c r="J1213" s="7">
        <v>10.5746646874833</v>
      </c>
      <c r="K1213" s="7">
        <v>5.102101917442849</v>
      </c>
      <c r="L1213" s="7">
        <v>0.8864404629613194</v>
      </c>
      <c r="M1213" s="7">
        <v>0.6799088682188074</v>
      </c>
      <c r="N1213" s="7">
        <v>0.4169665452093547</v>
      </c>
      <c r="O1213" s="7">
        <v>0.0715219856589292</v>
      </c>
      <c r="P1213" s="7">
        <v>8.210447375473935</v>
      </c>
      <c r="Q1213" s="7">
        <v>0.0342255424758349</v>
      </c>
      <c r="R1213" s="7">
        <v>0.064536606194042</v>
      </c>
      <c r="S1213" s="7">
        <v>0.1060179938830291</v>
      </c>
      <c r="T1213" s="7">
        <v>2.103470218655211</v>
      </c>
    </row>
    <row x14ac:dyDescent="0.25" r="1214" customHeight="1" ht="19.5">
      <c r="A1214" s="2" t="s">
        <v>2272</v>
      </c>
      <c r="B1214" s="2" t="s">
        <v>1060</v>
      </c>
      <c r="C1214" s="2" t="s">
        <v>31</v>
      </c>
      <c r="D1214" s="2" t="s">
        <v>840</v>
      </c>
      <c r="E1214" s="6">
        <v>1</v>
      </c>
      <c r="F1214" s="6">
        <v>2</v>
      </c>
      <c r="G1214" s="7">
        <v>0.7388442158699036</v>
      </c>
      <c r="H1214" s="7">
        <v>52.50680703125001</v>
      </c>
      <c r="I1214" s="7">
        <v>30.93717159038701</v>
      </c>
      <c r="J1214" s="7">
        <v>10.53371358918339</v>
      </c>
      <c r="K1214" s="7">
        <v>5.117454635908576</v>
      </c>
      <c r="L1214" s="7">
        <v>0.8860545004728364</v>
      </c>
      <c r="M1214" s="7">
        <v>0.6893888599201551</v>
      </c>
      <c r="N1214" s="7">
        <v>0.42205166528736</v>
      </c>
      <c r="O1214" s="7">
        <v>0.0719308186057283</v>
      </c>
      <c r="P1214" s="7">
        <v>8.179170038164344</v>
      </c>
      <c r="Q1214" s="7">
        <v>0.0356468040604186</v>
      </c>
      <c r="R1214" s="7">
        <v>0.0650551329582379</v>
      </c>
      <c r="S1214" s="7">
        <v>0.1056486447135919</v>
      </c>
      <c r="T1214" s="7">
        <v>2.172335945059849</v>
      </c>
    </row>
    <row x14ac:dyDescent="0.25" r="1215" customHeight="1" ht="19.5">
      <c r="A1215" s="2" t="s">
        <v>2273</v>
      </c>
      <c r="B1215" s="2" t="s">
        <v>1060</v>
      </c>
      <c r="C1215" s="2" t="s">
        <v>31</v>
      </c>
      <c r="D1215" s="2" t="s">
        <v>840</v>
      </c>
      <c r="E1215" s="6">
        <v>1</v>
      </c>
      <c r="F1215" s="6">
        <v>2</v>
      </c>
      <c r="G1215" s="7">
        <v>0.7660908102989197</v>
      </c>
      <c r="H1215" s="7">
        <v>52.84967187500001</v>
      </c>
      <c r="I1215" s="7">
        <v>31.00020355573994</v>
      </c>
      <c r="J1215" s="7">
        <v>10.56111893198705</v>
      </c>
      <c r="K1215" s="7">
        <v>5.186611240270953</v>
      </c>
      <c r="L1215" s="7">
        <v>0.88425273426064</v>
      </c>
      <c r="M1215" s="7">
        <v>0.6910716357552585</v>
      </c>
      <c r="N1215" s="7">
        <v>0.4223305452502334</v>
      </c>
      <c r="O1215" s="7">
        <v>0.0719042968248525</v>
      </c>
      <c r="P1215" s="7">
        <v>8.195492940964797</v>
      </c>
      <c r="Q1215" s="7">
        <v>0.0347077925969185</v>
      </c>
      <c r="R1215" s="7">
        <v>0.0647856697538995</v>
      </c>
      <c r="S1215" s="7">
        <v>0.1057080854346365</v>
      </c>
      <c r="T1215" s="7">
        <v>2.128923563638565</v>
      </c>
    </row>
    <row x14ac:dyDescent="0.25" r="1216" customHeight="1" ht="19.5">
      <c r="A1216" s="2" t="s">
        <v>2274</v>
      </c>
      <c r="B1216" s="2" t="s">
        <v>1060</v>
      </c>
      <c r="C1216" s="2" t="s">
        <v>31</v>
      </c>
      <c r="D1216" s="2" t="s">
        <v>840</v>
      </c>
      <c r="E1216" s="6">
        <v>1</v>
      </c>
      <c r="F1216" s="6">
        <v>2</v>
      </c>
      <c r="G1216" s="7">
        <v>0.7558373808860779</v>
      </c>
      <c r="H1216" s="7">
        <v>53.0089828125</v>
      </c>
      <c r="I1216" s="7">
        <v>31.19521413955529</v>
      </c>
      <c r="J1216" s="7">
        <v>10.53575166618602</v>
      </c>
      <c r="K1216" s="7">
        <v>5.176187855356701</v>
      </c>
      <c r="L1216" s="7">
        <v>0.8831083916745966</v>
      </c>
      <c r="M1216" s="7">
        <v>0.6845156665148576</v>
      </c>
      <c r="N1216" s="7">
        <v>0.422678532333696</v>
      </c>
      <c r="O1216" s="7">
        <v>0.0718946321040413</v>
      </c>
      <c r="P1216" s="7">
        <v>8.201429809223566</v>
      </c>
      <c r="Q1216" s="7">
        <v>0.0352782823981926</v>
      </c>
      <c r="R1216" s="7">
        <v>0.0653106130841021</v>
      </c>
      <c r="S1216" s="7">
        <v>0.109058851905915</v>
      </c>
      <c r="T1216" s="7">
        <v>2.170439492528596</v>
      </c>
    </row>
    <row x14ac:dyDescent="0.25" r="1217" customHeight="1" ht="19.5">
      <c r="A1217" s="2" t="s">
        <v>2275</v>
      </c>
      <c r="B1217" s="2" t="s">
        <v>1060</v>
      </c>
      <c r="C1217" s="2" t="s">
        <v>31</v>
      </c>
      <c r="D1217" s="2" t="s">
        <v>840</v>
      </c>
      <c r="E1217" s="6">
        <v>1</v>
      </c>
      <c r="F1217" s="6">
        <v>2</v>
      </c>
      <c r="G1217" s="7">
        <v>0.7493902444839478</v>
      </c>
      <c r="H1217" s="7">
        <v>52.2747671875</v>
      </c>
      <c r="I1217" s="7">
        <v>31.15237618135803</v>
      </c>
      <c r="J1217" s="7">
        <v>10.55845656395544</v>
      </c>
      <c r="K1217" s="7">
        <v>5.045852868722646</v>
      </c>
      <c r="L1217" s="7">
        <v>0.8876926476865175</v>
      </c>
      <c r="M1217" s="7">
        <v>0.6768923630349423</v>
      </c>
      <c r="N1217" s="7">
        <v>0.4168512793706851</v>
      </c>
      <c r="O1217" s="7">
        <v>0.0714188507986411</v>
      </c>
      <c r="P1217" s="7">
        <v>8.217950284743422</v>
      </c>
      <c r="Q1217" s="7">
        <v>0.0353567402093589</v>
      </c>
      <c r="R1217" s="7">
        <v>0.0651676510989555</v>
      </c>
      <c r="S1217" s="7">
        <v>0.1055241876436713</v>
      </c>
      <c r="T1217" s="7">
        <v>2.145137350968129</v>
      </c>
    </row>
    <row x14ac:dyDescent="0.25" r="1218" customHeight="1" ht="19.5">
      <c r="A1218" s="2" t="s">
        <v>2276</v>
      </c>
      <c r="B1218" s="2" t="s">
        <v>1060</v>
      </c>
      <c r="C1218" s="2" t="s">
        <v>31</v>
      </c>
      <c r="D1218" s="2" t="s">
        <v>840</v>
      </c>
      <c r="E1218" s="6">
        <v>1</v>
      </c>
      <c r="F1218" s="6">
        <v>2</v>
      </c>
      <c r="G1218" s="7">
        <v>0.7611989974975586</v>
      </c>
      <c r="H1218" s="7">
        <v>52.932790625</v>
      </c>
      <c r="I1218" s="7">
        <v>31.13809686195893</v>
      </c>
      <c r="J1218" s="7">
        <v>10.54437044816229</v>
      </c>
      <c r="K1218" s="7">
        <v>5.179365226353337</v>
      </c>
      <c r="L1218" s="7">
        <v>0.8840710286625006</v>
      </c>
      <c r="M1218" s="7">
        <v>0.6860417153183895</v>
      </c>
      <c r="N1218" s="7">
        <v>0.425099698902355</v>
      </c>
      <c r="O1218" s="7">
        <v>0.0722803414179406</v>
      </c>
      <c r="P1218" s="7">
        <v>8.182211866352837</v>
      </c>
      <c r="Q1218" s="7">
        <v>0.034938887568276</v>
      </c>
      <c r="R1218" s="7">
        <v>0.0650214655704235</v>
      </c>
      <c r="S1218" s="7">
        <v>0.1042583316453111</v>
      </c>
      <c r="T1218" s="7">
        <v>2.146469115177864</v>
      </c>
    </row>
    <row x14ac:dyDescent="0.25" r="1219" customHeight="1" ht="19.5">
      <c r="A1219" s="2" t="s">
        <v>2277</v>
      </c>
      <c r="B1219" s="2" t="s">
        <v>1060</v>
      </c>
      <c r="C1219" s="2" t="s">
        <v>31</v>
      </c>
      <c r="D1219" s="2" t="s">
        <v>840</v>
      </c>
      <c r="E1219" s="6">
        <v>1</v>
      </c>
      <c r="F1219" s="6">
        <v>2</v>
      </c>
      <c r="G1219" s="7">
        <v>0.746968150138855</v>
      </c>
      <c r="H1219" s="7">
        <v>53.23409609375</v>
      </c>
      <c r="I1219" s="7">
        <v>31.4936447030349</v>
      </c>
      <c r="J1219" s="7">
        <v>10.62049425703958</v>
      </c>
      <c r="K1219" s="7">
        <v>5.165364467052587</v>
      </c>
      <c r="L1219" s="7">
        <v>0.885390375191988</v>
      </c>
      <c r="M1219" s="7">
        <v>0.6744564323115206</v>
      </c>
      <c r="N1219" s="7">
        <v>0.4174400014061617</v>
      </c>
      <c r="O1219" s="7">
        <v>0.0713037409134041</v>
      </c>
      <c r="P1219" s="7">
        <v>8.255936392885483</v>
      </c>
      <c r="Q1219" s="7">
        <v>0.0347448102894931</v>
      </c>
      <c r="R1219" s="7">
        <v>0.0643890634460927</v>
      </c>
      <c r="S1219" s="7">
        <v>0.1021135810122582</v>
      </c>
      <c r="T1219" s="7">
        <v>2.14669630621444</v>
      </c>
    </row>
    <row x14ac:dyDescent="0.25" r="1220" customHeight="1" ht="19.5">
      <c r="A1220" s="2" t="s">
        <v>2278</v>
      </c>
      <c r="B1220" s="2" t="s">
        <v>1060</v>
      </c>
      <c r="C1220" s="2" t="s">
        <v>31</v>
      </c>
      <c r="D1220" s="2" t="s">
        <v>840</v>
      </c>
      <c r="E1220" s="6">
        <v>1</v>
      </c>
      <c r="F1220" s="6">
        <v>2</v>
      </c>
      <c r="G1220" s="7">
        <v>0.7475781440734863</v>
      </c>
      <c r="H1220" s="7">
        <v>53.29643515625001</v>
      </c>
      <c r="I1220" s="7">
        <v>31.19276419566933</v>
      </c>
      <c r="J1220" s="7">
        <v>10.58124087769619</v>
      </c>
      <c r="K1220" s="7">
        <v>5.167786104972182</v>
      </c>
      <c r="L1220" s="7">
        <v>0.8851558821816747</v>
      </c>
      <c r="M1220" s="7">
        <v>0.6883357103667151</v>
      </c>
      <c r="N1220" s="7">
        <v>0.4240853276351727</v>
      </c>
      <c r="O1220" s="7">
        <v>0.0716730530289372</v>
      </c>
      <c r="P1220" s="7">
        <v>8.201849560448398</v>
      </c>
      <c r="Q1220" s="7">
        <v>0.0333842188925403</v>
      </c>
      <c r="R1220" s="7">
        <v>0.0629363293417929</v>
      </c>
      <c r="S1220" s="7">
        <v>0.1034821956069699</v>
      </c>
      <c r="T1220" s="7">
        <v>2.065048046559844</v>
      </c>
    </row>
    <row x14ac:dyDescent="0.25" r="1221" customHeight="1" ht="19.5">
      <c r="A1221" s="2" t="s">
        <v>2279</v>
      </c>
      <c r="B1221" s="2" t="s">
        <v>1060</v>
      </c>
      <c r="C1221" s="2" t="s">
        <v>31</v>
      </c>
      <c r="D1221" s="2" t="s">
        <v>840</v>
      </c>
      <c r="E1221" s="6">
        <v>1</v>
      </c>
      <c r="F1221" s="6">
        <v>2</v>
      </c>
      <c r="G1221" s="7">
        <v>0.74845290184021</v>
      </c>
      <c r="H1221" s="7">
        <v>52.77694296875001</v>
      </c>
      <c r="I1221" s="7">
        <v>31.15237618135803</v>
      </c>
      <c r="J1221" s="7">
        <v>10.54904609859529</v>
      </c>
      <c r="K1221" s="7">
        <v>5.094043920048837</v>
      </c>
      <c r="L1221" s="7">
        <v>0.8851431548182138</v>
      </c>
      <c r="M1221" s="7">
        <v>0.683394906604577</v>
      </c>
      <c r="N1221" s="7">
        <v>0.4173440990841098</v>
      </c>
      <c r="O1221" s="7">
        <v>0.07125273378544</v>
      </c>
      <c r="P1221" s="7">
        <v>8.226507840683883</v>
      </c>
      <c r="Q1221" s="7">
        <v>0.0350270351084014</v>
      </c>
      <c r="R1221" s="7">
        <v>0.0643879830369491</v>
      </c>
      <c r="S1221" s="7">
        <v>0.1035690358474852</v>
      </c>
      <c r="T1221" s="7">
        <v>2.145548758171543</v>
      </c>
    </row>
    <row x14ac:dyDescent="0.25" r="1222" customHeight="1" ht="19.5">
      <c r="A1222" s="2" t="s">
        <v>2280</v>
      </c>
      <c r="B1222" s="2" t="s">
        <v>1060</v>
      </c>
      <c r="C1222" s="2" t="s">
        <v>31</v>
      </c>
      <c r="D1222" s="2" t="s">
        <v>840</v>
      </c>
      <c r="E1222" s="6">
        <v>1</v>
      </c>
      <c r="F1222" s="6">
        <v>2</v>
      </c>
      <c r="G1222" s="7">
        <v>0.7574578523635864</v>
      </c>
      <c r="H1222" s="7">
        <v>53.19600000000001</v>
      </c>
      <c r="I1222" s="7">
        <v>31.20112882731186</v>
      </c>
      <c r="J1222" s="7">
        <v>10.48182301743962</v>
      </c>
      <c r="K1222" s="7">
        <v>5.137851837130857</v>
      </c>
      <c r="L1222" s="7">
        <v>0.8827775630252899</v>
      </c>
      <c r="M1222" s="7">
        <v>0.6866702437559951</v>
      </c>
      <c r="N1222" s="7">
        <v>0.4162131348283324</v>
      </c>
      <c r="O1222" s="7">
        <v>0.0713450630165562</v>
      </c>
      <c r="P1222" s="7">
        <v>8.21461267526312</v>
      </c>
      <c r="Q1222" s="7">
        <v>0.0351440625083959</v>
      </c>
      <c r="R1222" s="7">
        <v>0.0655312668981381</v>
      </c>
      <c r="S1222" s="7">
        <v>0.1088373185341741</v>
      </c>
      <c r="T1222" s="7">
        <v>2.169810068554442</v>
      </c>
    </row>
    <row x14ac:dyDescent="0.25" r="1223" customHeight="1" ht="19.5">
      <c r="A1223" s="2" t="s">
        <v>2281</v>
      </c>
      <c r="B1223" s="2" t="s">
        <v>1060</v>
      </c>
      <c r="C1223" s="2" t="s">
        <v>31</v>
      </c>
      <c r="D1223" s="2" t="s">
        <v>840</v>
      </c>
      <c r="E1223" s="6">
        <v>1</v>
      </c>
      <c r="F1223" s="6">
        <v>2</v>
      </c>
      <c r="G1223" s="7">
        <v>0.7585136890411377</v>
      </c>
      <c r="H1223" s="7">
        <v>52.7042140625</v>
      </c>
      <c r="I1223" s="7">
        <v>30.9657302291852</v>
      </c>
      <c r="J1223" s="7">
        <v>10.50449814943754</v>
      </c>
      <c r="K1223" s="7">
        <v>5.094334887914392</v>
      </c>
      <c r="L1223" s="7">
        <v>0.8848289307036543</v>
      </c>
      <c r="M1223" s="7">
        <v>0.6907049263713366</v>
      </c>
      <c r="N1223" s="7">
        <v>0.4182623847304494</v>
      </c>
      <c r="O1223" s="7">
        <v>0.0714150022795305</v>
      </c>
      <c r="P1223" s="7">
        <v>8.207512215292613</v>
      </c>
      <c r="Q1223" s="7">
        <v>0.0349918485879882</v>
      </c>
      <c r="R1223" s="7">
        <v>0.0643023881999422</v>
      </c>
      <c r="S1223" s="7">
        <v>0.1092436801931317</v>
      </c>
      <c r="T1223" s="7">
        <v>2.140439751578361</v>
      </c>
    </row>
    <row x14ac:dyDescent="0.25" r="1224" customHeight="1" ht="19.5">
      <c r="A1224" s="2" t="s">
        <v>2282</v>
      </c>
      <c r="B1224" s="2" t="s">
        <v>1060</v>
      </c>
      <c r="C1224" s="2" t="s">
        <v>31</v>
      </c>
      <c r="D1224" s="2" t="s">
        <v>840</v>
      </c>
      <c r="E1224" s="6">
        <v>1</v>
      </c>
      <c r="F1224" s="6">
        <v>2</v>
      </c>
      <c r="G1224" s="7">
        <v>0.7419348955154419</v>
      </c>
      <c r="H1224" s="7">
        <v>52.7734796875</v>
      </c>
      <c r="I1224" s="7">
        <v>31.11790285480327</v>
      </c>
      <c r="J1224" s="7">
        <v>10.56228276895616</v>
      </c>
      <c r="K1224" s="7">
        <v>5.105659613060338</v>
      </c>
      <c r="L1224" s="7">
        <v>0.8854954032333624</v>
      </c>
      <c r="M1224" s="7">
        <v>0.6848649706715431</v>
      </c>
      <c r="N1224" s="7">
        <v>0.4164694949028903</v>
      </c>
      <c r="O1224" s="7">
        <v>0.0715170253584907</v>
      </c>
      <c r="P1224" s="7">
        <v>8.21140789124754</v>
      </c>
      <c r="Q1224" s="7">
        <v>0.0351917975706352</v>
      </c>
      <c r="R1224" s="7">
        <v>0.0648173398643304</v>
      </c>
      <c r="S1224" s="7">
        <v>0.1069370236446253</v>
      </c>
      <c r="T1224" s="7">
        <v>2.155499675416856</v>
      </c>
    </row>
    <row x14ac:dyDescent="0.25" r="1225" customHeight="1" ht="19.5">
      <c r="A1225" s="2" t="s">
        <v>2283</v>
      </c>
      <c r="B1225" s="2" t="s">
        <v>1060</v>
      </c>
      <c r="C1225" s="2" t="s">
        <v>31</v>
      </c>
      <c r="D1225" s="2" t="s">
        <v>840</v>
      </c>
      <c r="E1225" s="6">
        <v>1</v>
      </c>
      <c r="F1225" s="6">
        <v>2</v>
      </c>
      <c r="G1225" s="7">
        <v>0.7445968389511108</v>
      </c>
      <c r="H1225" s="7">
        <v>53.3414578125</v>
      </c>
      <c r="I1225" s="7">
        <v>31.28435479982044</v>
      </c>
      <c r="J1225" s="7">
        <v>10.54755770168883</v>
      </c>
      <c r="K1225" s="7">
        <v>5.151135561329635</v>
      </c>
      <c r="L1225" s="7">
        <v>0.8826294509747267</v>
      </c>
      <c r="M1225" s="7">
        <v>0.684889234029174</v>
      </c>
      <c r="N1225" s="7">
        <v>0.4179394289340872</v>
      </c>
      <c r="O1225" s="7">
        <v>0.0711410514439344</v>
      </c>
      <c r="P1225" s="7">
        <v>8.232653088794892</v>
      </c>
      <c r="Q1225" s="7">
        <v>0.03395969868652</v>
      </c>
      <c r="R1225" s="7">
        <v>0.0635808215664478</v>
      </c>
      <c r="S1225" s="7">
        <v>0.1043558169860883</v>
      </c>
      <c r="T1225" s="7">
        <v>2.102420047100526</v>
      </c>
    </row>
    <row x14ac:dyDescent="0.25" r="1226" customHeight="1" ht="19.5">
      <c r="A1226" s="2" t="s">
        <v>2284</v>
      </c>
      <c r="B1226" s="2" t="s">
        <v>1060</v>
      </c>
      <c r="C1226" s="2" t="s">
        <v>31</v>
      </c>
      <c r="D1226" s="2" t="s">
        <v>840</v>
      </c>
      <c r="E1226" s="6">
        <v>1</v>
      </c>
      <c r="F1226" s="6">
        <v>2</v>
      </c>
      <c r="G1226" s="7">
        <v>0.756801426410675</v>
      </c>
      <c r="H1226" s="7">
        <v>52.78040625000001</v>
      </c>
      <c r="I1226" s="7">
        <v>31.33310744577429</v>
      </c>
      <c r="J1226" s="7">
        <v>10.54631454972598</v>
      </c>
      <c r="K1226" s="7">
        <v>5.090754915739834</v>
      </c>
      <c r="L1226" s="7">
        <v>0.8856500618376796</v>
      </c>
      <c r="M1226" s="7">
        <v>0.6755782462401366</v>
      </c>
      <c r="N1226" s="7">
        <v>0.4160853362477525</v>
      </c>
      <c r="O1226" s="7">
        <v>0.0711550886215668</v>
      </c>
      <c r="P1226" s="7">
        <v>8.235179375750267</v>
      </c>
      <c r="Q1226" s="7">
        <v>0.0346327540954601</v>
      </c>
      <c r="R1226" s="7">
        <v>0.0643525226051003</v>
      </c>
      <c r="S1226" s="7">
        <v>0.1031713077597631</v>
      </c>
      <c r="T1226" s="7">
        <v>2.121536646494929</v>
      </c>
    </row>
    <row x14ac:dyDescent="0.25" r="1227" customHeight="1" ht="19.5">
      <c r="A1227" s="2" t="s">
        <v>2285</v>
      </c>
      <c r="B1227" s="2" t="s">
        <v>1060</v>
      </c>
      <c r="C1227" s="2" t="s">
        <v>31</v>
      </c>
      <c r="D1227" s="2" t="s">
        <v>840</v>
      </c>
      <c r="E1227" s="6">
        <v>1</v>
      </c>
      <c r="F1227" s="6">
        <v>2</v>
      </c>
      <c r="G1227" s="7">
        <v>0.7441649436950684</v>
      </c>
      <c r="H1227" s="7">
        <v>52.7873328125</v>
      </c>
      <c r="I1227" s="7">
        <v>31.13218217420237</v>
      </c>
      <c r="J1227" s="7">
        <v>10.54822538430998</v>
      </c>
      <c r="K1227" s="7">
        <v>5.09120584850692</v>
      </c>
      <c r="L1227" s="7">
        <v>0.8854716698723514</v>
      </c>
      <c r="M1227" s="7">
        <v>0.6844164774759565</v>
      </c>
      <c r="N1227" s="7">
        <v>0.4161580258043924</v>
      </c>
      <c r="O1227" s="7">
        <v>0.0710715284046832</v>
      </c>
      <c r="P1227" s="7">
        <v>8.233355191759554</v>
      </c>
      <c r="Q1227" s="7">
        <v>0.0352636348002472</v>
      </c>
      <c r="R1227" s="7">
        <v>0.0649929417807775</v>
      </c>
      <c r="S1227" s="7">
        <v>0.1070996198413454</v>
      </c>
      <c r="T1227" s="7">
        <v>2.160466687182174</v>
      </c>
    </row>
    <row x14ac:dyDescent="0.25" r="1228" customHeight="1" ht="19.5">
      <c r="A1228" s="2" t="s">
        <v>2286</v>
      </c>
      <c r="B1228" s="2" t="s">
        <v>1060</v>
      </c>
      <c r="C1228" s="2" t="s">
        <v>31</v>
      </c>
      <c r="D1228" s="2" t="s">
        <v>840</v>
      </c>
      <c r="E1228" s="6">
        <v>1</v>
      </c>
      <c r="F1228" s="6">
        <v>2</v>
      </c>
      <c r="G1228" s="7">
        <v>0.7513841390609741</v>
      </c>
      <c r="H1228" s="7">
        <v>52.64533828125001</v>
      </c>
      <c r="I1228" s="7">
        <v>31.08342952824853</v>
      </c>
      <c r="J1228" s="7">
        <v>10.57335736892265</v>
      </c>
      <c r="K1228" s="7">
        <v>5.116708817383142</v>
      </c>
      <c r="L1228" s="7">
        <v>0.8861522234716319</v>
      </c>
      <c r="M1228" s="7">
        <v>0.6847182842199095</v>
      </c>
      <c r="N1228" s="7">
        <v>0.4204025853568921</v>
      </c>
      <c r="O1228" s="7">
        <v>0.0715394654933423</v>
      </c>
      <c r="P1228" s="7">
        <v>8.206995035235153</v>
      </c>
      <c r="Q1228" s="7">
        <v>0.0349843868382465</v>
      </c>
      <c r="R1228" s="7">
        <v>0.0635509741281722</v>
      </c>
      <c r="S1228" s="7">
        <v>0.1048999338209117</v>
      </c>
      <c r="T1228" s="7">
        <v>2.137592747369761</v>
      </c>
    </row>
    <row x14ac:dyDescent="0.25" r="1229" customHeight="1" ht="19.5">
      <c r="A1229" s="2" t="s">
        <v>2287</v>
      </c>
      <c r="B1229" s="2" t="s">
        <v>1060</v>
      </c>
      <c r="C1229" s="2" t="s">
        <v>31</v>
      </c>
      <c r="D1229" s="2" t="s">
        <v>840</v>
      </c>
      <c r="E1229" s="6">
        <v>1</v>
      </c>
      <c r="F1229" s="6">
        <v>2</v>
      </c>
      <c r="G1229" s="7">
        <v>0.7533103823661804</v>
      </c>
      <c r="H1229" s="7">
        <v>52.85313515625</v>
      </c>
      <c r="I1229" s="7">
        <v>31.20112882731186</v>
      </c>
      <c r="J1229" s="7">
        <v>10.57566624018662</v>
      </c>
      <c r="K1229" s="7">
        <v>5.115704617998251</v>
      </c>
      <c r="L1229" s="7">
        <v>0.8856367146105634</v>
      </c>
      <c r="M1229" s="7">
        <v>0.6822444394505363</v>
      </c>
      <c r="N1229" s="7">
        <v>0.4206729152558736</v>
      </c>
      <c r="O1229" s="7">
        <v>0.071924400302078</v>
      </c>
      <c r="P1229" s="7">
        <v>8.20009346370194</v>
      </c>
      <c r="Q1229" s="7">
        <v>0.0352850114890639</v>
      </c>
      <c r="R1229" s="7">
        <v>0.0648433149447762</v>
      </c>
      <c r="S1229" s="7">
        <v>0.1081702729063722</v>
      </c>
      <c r="T1229" s="7">
        <v>2.164471128687581</v>
      </c>
    </row>
    <row x14ac:dyDescent="0.25" r="1230" customHeight="1" ht="19.5">
      <c r="A1230" s="2" t="s">
        <v>2288</v>
      </c>
      <c r="B1230" s="2" t="s">
        <v>1060</v>
      </c>
      <c r="C1230" s="2" t="s">
        <v>31</v>
      </c>
      <c r="D1230" s="2" t="s">
        <v>840</v>
      </c>
      <c r="E1230" s="6">
        <v>1</v>
      </c>
      <c r="F1230" s="6">
        <v>2</v>
      </c>
      <c r="G1230" s="7">
        <v>0.3608652055263519</v>
      </c>
      <c r="H1230" s="7">
        <v>57.26881875</v>
      </c>
      <c r="I1230" s="7">
        <v>36.16296102319222</v>
      </c>
      <c r="J1230" s="7">
        <v>11.82610632719295</v>
      </c>
      <c r="K1230" s="7">
        <v>5.06912142647117</v>
      </c>
      <c r="L1230" s="7">
        <v>0.9170267845808197</v>
      </c>
      <c r="M1230" s="7">
        <v>0.5503007728127176</v>
      </c>
      <c r="N1230" s="7">
        <v>0.5853293204819288</v>
      </c>
      <c r="O1230" s="7">
        <v>0.0810735539095</v>
      </c>
      <c r="P1230" s="7">
        <v>7.858829298215824</v>
      </c>
      <c r="Q1230" s="7">
        <v>0.039182976917051</v>
      </c>
      <c r="R1230" s="7">
        <v>0.0780884017028576</v>
      </c>
      <c r="S1230" s="7">
        <v>0.0955551634014412</v>
      </c>
      <c r="T1230" s="7">
        <v>2.604392485895418</v>
      </c>
    </row>
    <row x14ac:dyDescent="0.25" r="1231" customHeight="1" ht="19.5">
      <c r="A1231" s="2" t="s">
        <v>2289</v>
      </c>
      <c r="B1231" s="2" t="s">
        <v>1060</v>
      </c>
      <c r="C1231" s="2" t="s">
        <v>31</v>
      </c>
      <c r="D1231" s="2" t="s">
        <v>840</v>
      </c>
      <c r="E1231" s="6">
        <v>1</v>
      </c>
      <c r="F1231" s="6">
        <v>2</v>
      </c>
      <c r="G1231" s="7">
        <v>0.6122933626174927</v>
      </c>
      <c r="H1231" s="7">
        <v>54.84452187500001</v>
      </c>
      <c r="I1231" s="7">
        <v>31.88713061453621</v>
      </c>
      <c r="J1231" s="7">
        <v>10.87963052445893</v>
      </c>
      <c r="K1231" s="7">
        <v>5.146093574404912</v>
      </c>
      <c r="L1231" s="7">
        <v>0.8910923951483892</v>
      </c>
      <c r="M1231" s="7">
        <v>0.6778166572031963</v>
      </c>
      <c r="N1231" s="7">
        <v>0.5389063361184199</v>
      </c>
      <c r="O1231" s="7">
        <v>0.0738609615647027</v>
      </c>
      <c r="P1231" s="7">
        <v>8.071916572807625</v>
      </c>
      <c r="Q1231" s="7">
        <v>0.0506066409123312</v>
      </c>
      <c r="R1231" s="7">
        <v>0.0895309351322537</v>
      </c>
      <c r="S1231" s="7">
        <v>0.1056447328780788</v>
      </c>
      <c r="T1231" s="7">
        <v>3.221302770789035</v>
      </c>
    </row>
    <row x14ac:dyDescent="0.25" r="1232" customHeight="1" ht="19.5">
      <c r="A1232" s="2" t="s">
        <v>2290</v>
      </c>
      <c r="B1232" s="2" t="s">
        <v>1060</v>
      </c>
      <c r="C1232" s="2" t="s">
        <v>31</v>
      </c>
      <c r="D1232" s="2" t="s">
        <v>840</v>
      </c>
      <c r="E1232" s="6">
        <v>1</v>
      </c>
      <c r="F1232" s="6">
        <v>2</v>
      </c>
      <c r="G1232" s="7">
        <v>0.7136887311935425</v>
      </c>
      <c r="H1232" s="7">
        <v>50.02709765625</v>
      </c>
      <c r="I1232" s="7">
        <v>30.54960036664226</v>
      </c>
      <c r="J1232" s="7">
        <v>10.47699285655068</v>
      </c>
      <c r="K1232" s="7">
        <v>4.815039292176631</v>
      </c>
      <c r="L1232" s="7">
        <v>0.8959282250876676</v>
      </c>
      <c r="M1232" s="7">
        <v>0.6736031432171956</v>
      </c>
      <c r="N1232" s="7">
        <v>0.4885335504590763</v>
      </c>
      <c r="O1232" s="7">
        <v>0.0689459177183738</v>
      </c>
      <c r="P1232" s="7">
        <v>8.216653927692835</v>
      </c>
      <c r="Q1232" s="7">
        <v>0.0574262101952039</v>
      </c>
      <c r="R1232" s="7">
        <v>0.0948692335846701</v>
      </c>
      <c r="S1232" s="7">
        <v>0.1185849551669035</v>
      </c>
      <c r="T1232" s="7">
        <v>3.33431206695635</v>
      </c>
    </row>
    <row x14ac:dyDescent="0.25" r="1233" customHeight="1" ht="19.5">
      <c r="A1233" s="2" t="s">
        <v>2291</v>
      </c>
      <c r="B1233" s="2" t="s">
        <v>1060</v>
      </c>
      <c r="C1233" s="2" t="s">
        <v>31</v>
      </c>
      <c r="D1233" s="2" t="s">
        <v>840</v>
      </c>
      <c r="E1233" s="6">
        <v>1</v>
      </c>
      <c r="F1233" s="6">
        <v>2</v>
      </c>
      <c r="G1233" s="7">
        <v>0.752966046333313</v>
      </c>
      <c r="H1233" s="7">
        <v>50.44961796875</v>
      </c>
      <c r="I1233" s="7">
        <v>30.49493303293186</v>
      </c>
      <c r="J1233" s="7">
        <v>10.5272861800568</v>
      </c>
      <c r="K1233" s="7">
        <v>4.804500522669411</v>
      </c>
      <c r="L1233" s="7">
        <v>0.8956750259872909</v>
      </c>
      <c r="M1233" s="7">
        <v>0.6817299561868152</v>
      </c>
      <c r="N1233" s="7">
        <v>0.4571512599094321</v>
      </c>
      <c r="O1233" s="7">
        <v>0.0655861450890403</v>
      </c>
      <c r="P1233" s="7">
        <v>8.353079899812883</v>
      </c>
      <c r="Q1233" s="7">
        <v>0.054782488077546</v>
      </c>
      <c r="R1233" s="7">
        <v>0.0911563229462683</v>
      </c>
      <c r="S1233" s="7">
        <v>0.1263032610033909</v>
      </c>
      <c r="T1233" s="7">
        <v>3.207675409808291</v>
      </c>
    </row>
    <row x14ac:dyDescent="0.25" r="1234" customHeight="1" ht="19.5">
      <c r="A1234" s="2" t="s">
        <v>2292</v>
      </c>
      <c r="B1234" s="2" t="s">
        <v>1060</v>
      </c>
      <c r="C1234" s="2" t="s">
        <v>31</v>
      </c>
      <c r="D1234" s="2" t="s">
        <v>840</v>
      </c>
      <c r="E1234" s="6">
        <v>1</v>
      </c>
      <c r="F1234" s="6">
        <v>2</v>
      </c>
      <c r="G1234" s="7">
        <v>0.7659367322921753</v>
      </c>
      <c r="H1234" s="7">
        <v>50.9448671875</v>
      </c>
      <c r="I1234" s="7">
        <v>30.5983530125961</v>
      </c>
      <c r="J1234" s="7">
        <v>10.57853216936098</v>
      </c>
      <c r="K1234" s="7">
        <v>4.950801471926177</v>
      </c>
      <c r="L1234" s="7">
        <v>0.8933932868363732</v>
      </c>
      <c r="M1234" s="7">
        <v>0.6837765408702362</v>
      </c>
      <c r="N1234" s="7">
        <v>0.4364830948962505</v>
      </c>
      <c r="O1234" s="7">
        <v>0.0622870848993675</v>
      </c>
      <c r="P1234" s="7">
        <v>8.546351375046143</v>
      </c>
      <c r="Q1234" s="7">
        <v>0.0541277805867298</v>
      </c>
      <c r="R1234" s="7">
        <v>0.0924245565047696</v>
      </c>
      <c r="S1234" s="7">
        <v>0.134059440540554</v>
      </c>
      <c r="T1234" s="7">
        <v>3.200452857384117</v>
      </c>
    </row>
    <row x14ac:dyDescent="0.25" r="1235" customHeight="1" ht="19.5">
      <c r="A1235" s="2" t="s">
        <v>2293</v>
      </c>
      <c r="B1235" s="2" t="s">
        <v>1060</v>
      </c>
      <c r="C1235" s="2" t="s">
        <v>31</v>
      </c>
      <c r="D1235" s="2" t="s">
        <v>840</v>
      </c>
      <c r="E1235" s="6">
        <v>1</v>
      </c>
      <c r="F1235" s="6">
        <v>2</v>
      </c>
      <c r="G1235" s="7">
        <v>0.7648608088493347</v>
      </c>
      <c r="H1235" s="7">
        <v>50.71282734375</v>
      </c>
      <c r="I1235" s="7">
        <v>30.63282633915085</v>
      </c>
      <c r="J1235" s="7">
        <v>10.60923935258588</v>
      </c>
      <c r="K1235" s="7">
        <v>4.8431187394644</v>
      </c>
      <c r="L1235" s="7">
        <v>0.8967195895399354</v>
      </c>
      <c r="M1235" s="7">
        <v>0.6791309927532819</v>
      </c>
      <c r="N1235" s="7">
        <v>0.4304367770534816</v>
      </c>
      <c r="O1235" s="7">
        <v>0.0621320923284955</v>
      </c>
      <c r="P1235" s="7">
        <v>8.526858871594591</v>
      </c>
      <c r="Q1235" s="7">
        <v>0.0532494828686174</v>
      </c>
      <c r="R1235" s="7">
        <v>0.0928505297257981</v>
      </c>
      <c r="S1235" s="7">
        <v>0.1419371319193435</v>
      </c>
      <c r="T1235" s="7">
        <v>3.134180459274342</v>
      </c>
    </row>
    <row x14ac:dyDescent="0.25" r="1236" customHeight="1" ht="19.5">
      <c r="A1236" s="2" t="s">
        <v>2294</v>
      </c>
      <c r="B1236" s="2" t="s">
        <v>1060</v>
      </c>
      <c r="C1236" s="2" t="s">
        <v>31</v>
      </c>
      <c r="D1236" s="2" t="s">
        <v>840</v>
      </c>
      <c r="E1236" s="6">
        <v>1</v>
      </c>
      <c r="F1236" s="6">
        <v>2</v>
      </c>
      <c r="G1236" s="7">
        <v>0.7632551789283752</v>
      </c>
      <c r="H1236" s="7">
        <v>50.50503046875</v>
      </c>
      <c r="I1236" s="7">
        <v>30.53532104724317</v>
      </c>
      <c r="J1236" s="7">
        <v>10.61698960513832</v>
      </c>
      <c r="K1236" s="7">
        <v>4.856056911885749</v>
      </c>
      <c r="L1236" s="7">
        <v>0.8971655544030164</v>
      </c>
      <c r="M1236" s="7">
        <v>0.6806745618131186</v>
      </c>
      <c r="N1236" s="7">
        <v>0.4248572936150354</v>
      </c>
      <c r="O1236" s="7">
        <v>0.0616435923052717</v>
      </c>
      <c r="P1236" s="7">
        <v>8.559493998242058</v>
      </c>
      <c r="Q1236" s="7">
        <v>0.0538437040187656</v>
      </c>
      <c r="R1236" s="7">
        <v>0.09311751224205</v>
      </c>
      <c r="S1236" s="7">
        <v>0.1463378782906089</v>
      </c>
      <c r="T1236" s="7">
        <v>3.156169696946065</v>
      </c>
    </row>
    <row x14ac:dyDescent="0.25" r="1237" customHeight="1" ht="19.5">
      <c r="A1237" s="2" t="s">
        <v>2295</v>
      </c>
      <c r="B1237" s="2" t="s">
        <v>1060</v>
      </c>
      <c r="C1237" s="2" t="s">
        <v>31</v>
      </c>
      <c r="D1237" s="2" t="s">
        <v>840</v>
      </c>
      <c r="E1237" s="6">
        <v>1</v>
      </c>
      <c r="F1237" s="6">
        <v>2</v>
      </c>
      <c r="G1237" s="7">
        <v>0.7692813277244568</v>
      </c>
      <c r="H1237" s="7">
        <v>50.99335312500001</v>
      </c>
      <c r="I1237" s="7">
        <v>30.74461095045762</v>
      </c>
      <c r="J1237" s="7">
        <v>10.62005702657818</v>
      </c>
      <c r="K1237" s="7">
        <v>4.917590460106346</v>
      </c>
      <c r="L1237" s="7">
        <v>0.8952743918076432</v>
      </c>
      <c r="M1237" s="7">
        <v>0.6779309023435686</v>
      </c>
      <c r="N1237" s="7">
        <v>0.4265041435471554</v>
      </c>
      <c r="O1237" s="7">
        <v>0.0614436403230485</v>
      </c>
      <c r="P1237" s="7">
        <v>8.581353511309135</v>
      </c>
      <c r="Q1237" s="7">
        <v>0.0532471361750846</v>
      </c>
      <c r="R1237" s="7">
        <v>0.0916706028972539</v>
      </c>
      <c r="S1237" s="7">
        <v>0.1417655936096903</v>
      </c>
      <c r="T1237" s="7">
        <v>3.151378772388804</v>
      </c>
    </row>
    <row x14ac:dyDescent="0.25" r="1238" customHeight="1" ht="19.5">
      <c r="A1238" s="2" t="s">
        <v>2296</v>
      </c>
      <c r="B1238" s="2" t="s">
        <v>1060</v>
      </c>
      <c r="C1238" s="2" t="s">
        <v>31</v>
      </c>
      <c r="D1238" s="2" t="s">
        <v>840</v>
      </c>
      <c r="E1238" s="6">
        <v>1</v>
      </c>
      <c r="F1238" s="6">
        <v>2</v>
      </c>
      <c r="G1238" s="7">
        <v>0.7700778245925903</v>
      </c>
      <c r="H1238" s="7">
        <v>51.104178125</v>
      </c>
      <c r="I1238" s="7">
        <v>30.64710565854994</v>
      </c>
      <c r="J1238" s="7">
        <v>10.62600016921194</v>
      </c>
      <c r="K1238" s="7">
        <v>4.924172951200346</v>
      </c>
      <c r="L1238" s="7">
        <v>0.8955984527669849</v>
      </c>
      <c r="M1238" s="7">
        <v>0.6837342588729722</v>
      </c>
      <c r="N1238" s="7">
        <v>0.4295122971760485</v>
      </c>
      <c r="O1238" s="7">
        <v>0.0619700205184319</v>
      </c>
      <c r="P1238" s="7">
        <v>8.559047195720224</v>
      </c>
      <c r="Q1238" s="7">
        <v>0.0536528998029582</v>
      </c>
      <c r="R1238" s="7">
        <v>0.0918164405423624</v>
      </c>
      <c r="S1238" s="7">
        <v>0.1432199284665552</v>
      </c>
      <c r="T1238" s="7">
        <v>3.18229464297053</v>
      </c>
    </row>
    <row x14ac:dyDescent="0.25" r="1239" customHeight="1" ht="19.5">
      <c r="A1239" s="2" t="s">
        <v>2297</v>
      </c>
      <c r="B1239" s="2" t="s">
        <v>1060</v>
      </c>
      <c r="C1239" s="2" t="s">
        <v>31</v>
      </c>
      <c r="D1239" s="2" t="s">
        <v>840</v>
      </c>
      <c r="E1239" s="6">
        <v>1</v>
      </c>
      <c r="F1239" s="6">
        <v>2</v>
      </c>
      <c r="G1239" s="7">
        <v>0.7635811567306519</v>
      </c>
      <c r="H1239" s="7">
        <v>51.45396953125</v>
      </c>
      <c r="I1239" s="7">
        <v>30.66138497794903</v>
      </c>
      <c r="J1239" s="7">
        <v>10.63876954022092</v>
      </c>
      <c r="K1239" s="7">
        <v>4.98053734584799</v>
      </c>
      <c r="L1239" s="7">
        <v>0.8939899649685379</v>
      </c>
      <c r="M1239" s="7">
        <v>0.687773142831319</v>
      </c>
      <c r="N1239" s="7">
        <v>0.4261816723651538</v>
      </c>
      <c r="O1239" s="7">
        <v>0.0611039014538508</v>
      </c>
      <c r="P1239" s="7">
        <v>8.603892793183622</v>
      </c>
      <c r="Q1239" s="7">
        <v>0.0538808744657828</v>
      </c>
      <c r="R1239" s="7">
        <v>0.0933033720499444</v>
      </c>
      <c r="S1239" s="7">
        <v>0.1428416806009699</v>
      </c>
      <c r="T1239" s="7">
        <v>3.21769073949398</v>
      </c>
    </row>
    <row x14ac:dyDescent="0.25" r="1240" customHeight="1" ht="19.5">
      <c r="A1240" s="2" t="s">
        <v>2298</v>
      </c>
      <c r="B1240" s="2" t="s">
        <v>1060</v>
      </c>
      <c r="C1240" s="2" t="s">
        <v>31</v>
      </c>
      <c r="D1240" s="2" t="s">
        <v>840</v>
      </c>
      <c r="E1240" s="6">
        <v>1</v>
      </c>
      <c r="F1240" s="6">
        <v>2</v>
      </c>
      <c r="G1240" s="7">
        <v>0.7739389538764954</v>
      </c>
      <c r="H1240" s="7">
        <v>51.24617265625</v>
      </c>
      <c r="I1240" s="7">
        <v>30.71013762390288</v>
      </c>
      <c r="J1240" s="7">
        <v>10.57660500852031</v>
      </c>
      <c r="K1240" s="7">
        <v>4.974692594538952</v>
      </c>
      <c r="L1240" s="7">
        <v>0.8923862778432787</v>
      </c>
      <c r="M1240" s="7">
        <v>0.6828224226260095</v>
      </c>
      <c r="N1240" s="7">
        <v>0.4299211966595363</v>
      </c>
      <c r="O1240" s="7">
        <v>0.0614820788439671</v>
      </c>
      <c r="P1240" s="7">
        <v>8.571400840651929</v>
      </c>
      <c r="Q1240" s="7">
        <v>0.0533128752771677</v>
      </c>
      <c r="R1240" s="7">
        <v>0.0917243181317004</v>
      </c>
      <c r="S1240" s="7">
        <v>0.144588183684104</v>
      </c>
      <c r="T1240" s="7">
        <v>3.170912960637804</v>
      </c>
    </row>
    <row x14ac:dyDescent="0.25" r="1241" customHeight="1" ht="19.5">
      <c r="A1241" s="2" t="s">
        <v>2299</v>
      </c>
      <c r="B1241" s="2" t="s">
        <v>1060</v>
      </c>
      <c r="C1241" s="2" t="s">
        <v>31</v>
      </c>
      <c r="D1241" s="2" t="s">
        <v>840</v>
      </c>
      <c r="E1241" s="6">
        <v>1</v>
      </c>
      <c r="F1241" s="6">
        <v>2</v>
      </c>
      <c r="G1241" s="7">
        <v>0.7662360072135925</v>
      </c>
      <c r="H1241" s="7">
        <v>50.74053359375</v>
      </c>
      <c r="I1241" s="7">
        <v>30.45209507473458</v>
      </c>
      <c r="J1241" s="7">
        <v>10.62415638428186</v>
      </c>
      <c r="K1241" s="7">
        <v>4.853613136609863</v>
      </c>
      <c r="L1241" s="7">
        <v>0.8975295112757585</v>
      </c>
      <c r="M1241" s="7">
        <v>0.6875915643544301</v>
      </c>
      <c r="N1241" s="7">
        <v>0.4301860756613879</v>
      </c>
      <c r="O1241" s="7">
        <v>0.0616709072229627</v>
      </c>
      <c r="P1241" s="7">
        <v>8.530635954006149</v>
      </c>
      <c r="Q1241" s="7">
        <v>0.0517055843096874</v>
      </c>
      <c r="R1241" s="7">
        <v>0.0892719969361534</v>
      </c>
      <c r="S1241" s="7">
        <v>0.1415346729150921</v>
      </c>
      <c r="T1241" s="7">
        <v>3.044971698220252</v>
      </c>
    </row>
    <row x14ac:dyDescent="0.25" r="1242" customHeight="1" ht="19.5">
      <c r="A1242" s="2" t="s">
        <v>2300</v>
      </c>
      <c r="B1242" s="2" t="s">
        <v>1060</v>
      </c>
      <c r="C1242" s="2" t="s">
        <v>31</v>
      </c>
      <c r="D1242" s="2" t="s">
        <v>840</v>
      </c>
      <c r="E1242" s="6">
        <v>1</v>
      </c>
      <c r="F1242" s="6">
        <v>2</v>
      </c>
      <c r="G1242" s="7">
        <v>0.76485675573349</v>
      </c>
      <c r="H1242" s="7">
        <v>50.64356171875</v>
      </c>
      <c r="I1242" s="7">
        <v>30.50084772068842</v>
      </c>
      <c r="J1242" s="7">
        <v>10.57609844340147</v>
      </c>
      <c r="K1242" s="7">
        <v>4.88936368499605</v>
      </c>
      <c r="L1242" s="7">
        <v>0.895757831248419</v>
      </c>
      <c r="M1242" s="7">
        <v>0.6840853432799718</v>
      </c>
      <c r="N1242" s="7">
        <v>0.4270390451046584</v>
      </c>
      <c r="O1242" s="7">
        <v>0.0616990372603059</v>
      </c>
      <c r="P1242" s="7">
        <v>8.560478966240863</v>
      </c>
      <c r="Q1242" s="7">
        <v>0.0538828785218562</v>
      </c>
      <c r="R1242" s="7">
        <v>0.0924575544325763</v>
      </c>
      <c r="S1242" s="7">
        <v>0.144333656907524</v>
      </c>
      <c r="T1242" s="7">
        <v>3.167129417514539</v>
      </c>
    </row>
    <row x14ac:dyDescent="0.25" r="1243" customHeight="1" ht="19.5">
      <c r="A1243" s="2" t="s">
        <v>2301</v>
      </c>
      <c r="B1243" s="2" t="s">
        <v>1060</v>
      </c>
      <c r="C1243" s="2" t="s">
        <v>31</v>
      </c>
      <c r="D1243" s="2" t="s">
        <v>840</v>
      </c>
      <c r="E1243" s="6">
        <v>1</v>
      </c>
      <c r="F1243" s="6">
        <v>2</v>
      </c>
      <c r="G1243" s="7">
        <v>0.762475848197937</v>
      </c>
      <c r="H1243" s="7">
        <v>50.84096875</v>
      </c>
      <c r="I1243" s="7">
        <v>30.61263233199519</v>
      </c>
      <c r="J1243" s="7">
        <v>10.5772815595354</v>
      </c>
      <c r="K1243" s="7">
        <v>4.924817790069345</v>
      </c>
      <c r="L1243" s="7">
        <v>0.8946128313223047</v>
      </c>
      <c r="M1243" s="7">
        <v>0.6817455789251012</v>
      </c>
      <c r="N1243" s="7">
        <v>0.426637182663851</v>
      </c>
      <c r="O1243" s="7">
        <v>0.061489763897028</v>
      </c>
      <c r="P1243" s="7">
        <v>8.560127147772958</v>
      </c>
      <c r="Q1243" s="7">
        <v>0.0535021181066299</v>
      </c>
      <c r="R1243" s="7">
        <v>0.0924644201430933</v>
      </c>
      <c r="S1243" s="7">
        <v>0.1442945054608611</v>
      </c>
      <c r="T1243" s="7">
        <v>3.157007204879218</v>
      </c>
    </row>
    <row x14ac:dyDescent="0.25" r="1244" customHeight="1" ht="19.5">
      <c r="A1244" s="2" t="s">
        <v>2302</v>
      </c>
      <c r="B1244" s="2" t="s">
        <v>1060</v>
      </c>
      <c r="C1244" s="2" t="s">
        <v>31</v>
      </c>
      <c r="D1244" s="2" t="s">
        <v>840</v>
      </c>
      <c r="E1244" s="6">
        <v>1</v>
      </c>
      <c r="F1244" s="6">
        <v>2</v>
      </c>
      <c r="G1244" s="7">
        <v>0.7651488184928894</v>
      </c>
      <c r="H1244" s="7">
        <v>50.74746015625</v>
      </c>
      <c r="I1244" s="7">
        <v>30.57815900544044</v>
      </c>
      <c r="J1244" s="7">
        <v>10.58611347339486</v>
      </c>
      <c r="K1244" s="7">
        <v>4.936241987461736</v>
      </c>
      <c r="L1244" s="7">
        <v>0.8947553403426833</v>
      </c>
      <c r="M1244" s="7">
        <v>0.6820269029453159</v>
      </c>
      <c r="N1244" s="7">
        <v>0.4311593591890925</v>
      </c>
      <c r="O1244" s="7">
        <v>0.0618718008151134</v>
      </c>
      <c r="P1244" s="7">
        <v>8.552878011626131</v>
      </c>
      <c r="Q1244" s="7">
        <v>0.0535231861074144</v>
      </c>
      <c r="R1244" s="7">
        <v>0.0914504860362794</v>
      </c>
      <c r="S1244" s="7">
        <v>0.1403041831879019</v>
      </c>
      <c r="T1244" s="7">
        <v>3.152441596330392</v>
      </c>
    </row>
    <row x14ac:dyDescent="0.25" r="1245" customHeight="1" ht="19.5">
      <c r="A1245" s="2" t="s">
        <v>2303</v>
      </c>
      <c r="B1245" s="2" t="s">
        <v>1060</v>
      </c>
      <c r="C1245" s="2" t="s">
        <v>31</v>
      </c>
      <c r="D1245" s="2" t="s">
        <v>840</v>
      </c>
      <c r="E1245" s="6">
        <v>1</v>
      </c>
      <c r="F1245" s="6">
        <v>2</v>
      </c>
      <c r="G1245" s="7">
        <v>0.7636657357215881</v>
      </c>
      <c r="H1245" s="7">
        <v>51.33621796875001</v>
      </c>
      <c r="I1245" s="7">
        <v>30.89086888831914</v>
      </c>
      <c r="J1245" s="7">
        <v>10.58780188667728</v>
      </c>
      <c r="K1245" s="7">
        <v>4.976563676840033</v>
      </c>
      <c r="L1245" s="7">
        <v>0.8925707532580079</v>
      </c>
      <c r="M1245" s="7">
        <v>0.6760417012043698</v>
      </c>
      <c r="N1245" s="7">
        <v>0.4238641042024218</v>
      </c>
      <c r="O1245" s="7">
        <v>0.060994127558966</v>
      </c>
      <c r="P1245" s="7">
        <v>8.589133467024638</v>
      </c>
      <c r="Q1245" s="7">
        <v>0.0534796475460307</v>
      </c>
      <c r="R1245" s="7">
        <v>0.092767762285758</v>
      </c>
      <c r="S1245" s="7">
        <v>0.1436481348527358</v>
      </c>
      <c r="T1245" s="7">
        <v>3.186421228352758</v>
      </c>
    </row>
    <row x14ac:dyDescent="0.25" r="1246" customHeight="1" ht="19.5">
      <c r="A1246" s="2" t="s">
        <v>2304</v>
      </c>
      <c r="B1246" s="2" t="s">
        <v>1060</v>
      </c>
      <c r="C1246" s="2" t="s">
        <v>31</v>
      </c>
      <c r="D1246" s="2" t="s">
        <v>840</v>
      </c>
      <c r="E1246" s="6">
        <v>1</v>
      </c>
      <c r="F1246" s="6">
        <v>2</v>
      </c>
      <c r="G1246" s="7">
        <v>0.7649044990539551</v>
      </c>
      <c r="H1246" s="7">
        <v>50.73014375</v>
      </c>
      <c r="I1246" s="7">
        <v>30.41762174817984</v>
      </c>
      <c r="J1246" s="7">
        <v>10.61598456571258</v>
      </c>
      <c r="K1246" s="7">
        <v>4.842813972489926</v>
      </c>
      <c r="L1246" s="7">
        <v>0.8974097682349981</v>
      </c>
      <c r="M1246" s="7">
        <v>0.6890098759611446</v>
      </c>
      <c r="N1246" s="7">
        <v>0.4275843186008152</v>
      </c>
      <c r="O1246" s="7">
        <v>0.0616987164826642</v>
      </c>
      <c r="P1246" s="7">
        <v>8.546361776293569</v>
      </c>
      <c r="Q1246" s="7">
        <v>0.0529877450854869</v>
      </c>
      <c r="R1246" s="7">
        <v>0.0912068665231975</v>
      </c>
      <c r="S1246" s="7">
        <v>0.1426947961517183</v>
      </c>
      <c r="T1246" s="7">
        <v>3.119839923915444</v>
      </c>
    </row>
    <row x14ac:dyDescent="0.25" r="1247" customHeight="1" ht="19.5">
      <c r="A1247" s="2" t="s">
        <v>2305</v>
      </c>
      <c r="B1247" s="2" t="s">
        <v>1060</v>
      </c>
      <c r="C1247" s="2" t="s">
        <v>31</v>
      </c>
      <c r="D1247" s="2" t="s">
        <v>840</v>
      </c>
      <c r="E1247" s="6">
        <v>1</v>
      </c>
      <c r="F1247" s="6">
        <v>2</v>
      </c>
      <c r="G1247" s="7">
        <v>0.7632521390914917</v>
      </c>
      <c r="H1247" s="7">
        <v>50.7924828125</v>
      </c>
      <c r="I1247" s="7">
        <v>30.51512704008752</v>
      </c>
      <c r="J1247" s="7">
        <v>10.5789244455511</v>
      </c>
      <c r="K1247" s="7">
        <v>4.912361071151018</v>
      </c>
      <c r="L1247" s="7">
        <v>0.8949077536236121</v>
      </c>
      <c r="M1247" s="7">
        <v>0.6854549888564673</v>
      </c>
      <c r="N1247" s="7">
        <v>0.4302388054086857</v>
      </c>
      <c r="O1247" s="7">
        <v>0.0615257871638105</v>
      </c>
      <c r="P1247" s="7">
        <v>8.555831298687469</v>
      </c>
      <c r="Q1247" s="7">
        <v>0.0540685351372631</v>
      </c>
      <c r="R1247" s="7">
        <v>0.0914418337660873</v>
      </c>
      <c r="S1247" s="7">
        <v>0.1414177001772021</v>
      </c>
      <c r="T1247" s="7">
        <v>3.18738721207747</v>
      </c>
    </row>
    <row x14ac:dyDescent="0.25" r="1248" customHeight="1" ht="19.5">
      <c r="A1248" s="2" t="s">
        <v>2306</v>
      </c>
      <c r="B1248" s="2" t="s">
        <v>1060</v>
      </c>
      <c r="C1248" s="2" t="s">
        <v>31</v>
      </c>
      <c r="D1248" s="2" t="s">
        <v>840</v>
      </c>
      <c r="E1248" s="6">
        <v>1</v>
      </c>
      <c r="F1248" s="6">
        <v>2</v>
      </c>
      <c r="G1248" s="7">
        <v>0.7652903199195862</v>
      </c>
      <c r="H1248" s="7">
        <v>50.89984453125</v>
      </c>
      <c r="I1248" s="7">
        <v>30.64710565854994</v>
      </c>
      <c r="J1248" s="7">
        <v>10.61549908793653</v>
      </c>
      <c r="K1248" s="7">
        <v>4.836425568304131</v>
      </c>
      <c r="L1248" s="7">
        <v>0.8973260043812018</v>
      </c>
      <c r="M1248" s="7">
        <v>0.6810004339018753</v>
      </c>
      <c r="N1248" s="7">
        <v>0.4284596300144768</v>
      </c>
      <c r="O1248" s="7">
        <v>0.0616838590895425</v>
      </c>
      <c r="P1248" s="7">
        <v>8.535849316284256</v>
      </c>
      <c r="Q1248" s="7">
        <v>0.0526004073476809</v>
      </c>
      <c r="R1248" s="7">
        <v>0.0913249949128712</v>
      </c>
      <c r="S1248" s="7">
        <v>0.1400455470045548</v>
      </c>
      <c r="T1248" s="7">
        <v>3.107394146587251</v>
      </c>
    </row>
    <row x14ac:dyDescent="0.25" r="1249" customHeight="1" ht="19.5">
      <c r="A1249" s="2" t="s">
        <v>2307</v>
      </c>
      <c r="B1249" s="2" t="s">
        <v>1060</v>
      </c>
      <c r="C1249" s="2" t="s">
        <v>31</v>
      </c>
      <c r="D1249" s="2" t="s">
        <v>840</v>
      </c>
      <c r="E1249" s="6">
        <v>1</v>
      </c>
      <c r="F1249" s="6">
        <v>2</v>
      </c>
      <c r="G1249" s="7">
        <v>0.7598316073417664</v>
      </c>
      <c r="H1249" s="7">
        <v>50.86521171875</v>
      </c>
      <c r="I1249" s="7">
        <v>30.56979437379791</v>
      </c>
      <c r="J1249" s="7">
        <v>10.61383112166171</v>
      </c>
      <c r="K1249" s="7">
        <v>4.833134395697781</v>
      </c>
      <c r="L1249" s="7">
        <v>0.897018002856554</v>
      </c>
      <c r="M1249" s="7">
        <v>0.6839835951283019</v>
      </c>
      <c r="N1249" s="7">
        <v>0.4299803589002193</v>
      </c>
      <c r="O1249" s="7">
        <v>0.062245703539669</v>
      </c>
      <c r="P1249" s="7">
        <v>8.52663640019028</v>
      </c>
      <c r="Q1249" s="7">
        <v>0.0534209645862381</v>
      </c>
      <c r="R1249" s="7">
        <v>0.0924406188721582</v>
      </c>
      <c r="S1249" s="7">
        <v>0.1463844463554539</v>
      </c>
      <c r="T1249" s="7">
        <v>3.153721668885584</v>
      </c>
    </row>
    <row x14ac:dyDescent="0.25" r="1250" customHeight="1" ht="19.5">
      <c r="A1250" s="2" t="s">
        <v>2308</v>
      </c>
      <c r="B1250" s="2" t="s">
        <v>1060</v>
      </c>
      <c r="C1250" s="2" t="s">
        <v>31</v>
      </c>
      <c r="D1250" s="2" t="s">
        <v>840</v>
      </c>
      <c r="E1250" s="6">
        <v>1</v>
      </c>
      <c r="F1250" s="6">
        <v>2</v>
      </c>
      <c r="G1250" s="7">
        <v>0.7679036855697632</v>
      </c>
      <c r="H1250" s="7">
        <v>50.8478953125</v>
      </c>
      <c r="I1250" s="7">
        <v>30.48656840128933</v>
      </c>
      <c r="J1250" s="7">
        <v>10.61726869592421</v>
      </c>
      <c r="K1250" s="7">
        <v>4.841981222302369</v>
      </c>
      <c r="L1250" s="7">
        <v>0.8973043074359023</v>
      </c>
      <c r="M1250" s="7">
        <v>0.6874890105838208</v>
      </c>
      <c r="N1250" s="7">
        <v>0.4286351987607401</v>
      </c>
      <c r="O1250" s="7">
        <v>0.0617102685891461</v>
      </c>
      <c r="P1250" s="7">
        <v>8.532685411661074</v>
      </c>
      <c r="Q1250" s="7">
        <v>0.0527971271930531</v>
      </c>
      <c r="R1250" s="7">
        <v>0.0906825886821917</v>
      </c>
      <c r="S1250" s="7">
        <v>0.1430020325856383</v>
      </c>
      <c r="T1250" s="7">
        <v>3.115832146759605</v>
      </c>
    </row>
    <row x14ac:dyDescent="0.25" r="1251" customHeight="1" ht="19.5">
      <c r="A1251" s="2" t="s">
        <v>2309</v>
      </c>
      <c r="B1251" s="2" t="s">
        <v>1060</v>
      </c>
      <c r="C1251" s="2" t="s">
        <v>31</v>
      </c>
      <c r="D1251" s="2" t="s">
        <v>840</v>
      </c>
      <c r="E1251" s="6">
        <v>1</v>
      </c>
      <c r="F1251" s="6">
        <v>2</v>
      </c>
      <c r="G1251" s="7">
        <v>0.7654479146003723</v>
      </c>
      <c r="H1251" s="7">
        <v>50.8063359375</v>
      </c>
      <c r="I1251" s="7">
        <v>30.69585830450378</v>
      </c>
      <c r="J1251" s="7">
        <v>10.61518912370329</v>
      </c>
      <c r="K1251" s="7">
        <v>4.843572673996741</v>
      </c>
      <c r="L1251" s="7">
        <v>0.8973277346010421</v>
      </c>
      <c r="M1251" s="7">
        <v>0.6775918545595351</v>
      </c>
      <c r="N1251" s="7">
        <v>0.4293502909732033</v>
      </c>
      <c r="O1251" s="7">
        <v>0.0621308355542249</v>
      </c>
      <c r="P1251" s="7">
        <v>8.526858054600654</v>
      </c>
      <c r="Q1251" s="7">
        <v>0.0524709706427582</v>
      </c>
      <c r="R1251" s="7">
        <v>0.0912560492508983</v>
      </c>
      <c r="S1251" s="7">
        <v>0.1391314778971571</v>
      </c>
      <c r="T1251" s="7">
        <v>3.094053035383258</v>
      </c>
    </row>
    <row x14ac:dyDescent="0.25" r="1252" customHeight="1" ht="19.5">
      <c r="A1252" s="2" t="s">
        <v>2310</v>
      </c>
      <c r="B1252" s="2" t="s">
        <v>1060</v>
      </c>
      <c r="C1252" s="2" t="s">
        <v>31</v>
      </c>
      <c r="D1252" s="2" t="s">
        <v>840</v>
      </c>
      <c r="E1252" s="6">
        <v>1</v>
      </c>
      <c r="F1252" s="6">
        <v>2</v>
      </c>
      <c r="G1252" s="7">
        <v>0.7677065134048462</v>
      </c>
      <c r="H1252" s="7">
        <v>50.6262453125</v>
      </c>
      <c r="I1252" s="7">
        <v>30.45209507473458</v>
      </c>
      <c r="J1252" s="7">
        <v>10.61707334392262</v>
      </c>
      <c r="K1252" s="7">
        <v>4.843759836176968</v>
      </c>
      <c r="L1252" s="7">
        <v>0.8978452177917947</v>
      </c>
      <c r="M1252" s="7">
        <v>0.6860428290036898</v>
      </c>
      <c r="N1252" s="7">
        <v>0.4276509017851813</v>
      </c>
      <c r="O1252" s="7">
        <v>0.0617286508144205</v>
      </c>
      <c r="P1252" s="7">
        <v>8.549608163124663</v>
      </c>
      <c r="Q1252" s="7">
        <v>0.0526064634923002</v>
      </c>
      <c r="R1252" s="7">
        <v>0.0907024205736938</v>
      </c>
      <c r="S1252" s="7">
        <v>0.1420494001214544</v>
      </c>
      <c r="T1252" s="7">
        <v>3.091046983145008</v>
      </c>
    </row>
    <row x14ac:dyDescent="0.25" r="1253" customHeight="1" ht="19.5">
      <c r="A1253" s="2" t="s">
        <v>2311</v>
      </c>
      <c r="B1253" s="2" t="s">
        <v>1060</v>
      </c>
      <c r="C1253" s="2" t="s">
        <v>31</v>
      </c>
      <c r="D1253" s="2" t="s">
        <v>840</v>
      </c>
      <c r="E1253" s="6">
        <v>1</v>
      </c>
      <c r="F1253" s="6">
        <v>2</v>
      </c>
      <c r="G1253" s="7">
        <v>0.754683256149292</v>
      </c>
      <c r="H1253" s="7">
        <v>50.58122265625001</v>
      </c>
      <c r="I1253" s="7">
        <v>30.40334242878074</v>
      </c>
      <c r="J1253" s="7">
        <v>10.55902654153365</v>
      </c>
      <c r="K1253" s="7">
        <v>4.835315957164216</v>
      </c>
      <c r="L1253" s="7">
        <v>0.8962841436033687</v>
      </c>
      <c r="M1253" s="7">
        <v>0.6876327062978033</v>
      </c>
      <c r="N1253" s="7">
        <v>0.4331366532854588</v>
      </c>
      <c r="O1253" s="7">
        <v>0.0620468109757181</v>
      </c>
      <c r="P1253" s="7">
        <v>8.500688759672855</v>
      </c>
      <c r="Q1253" s="7">
        <v>0.0528757938208984</v>
      </c>
      <c r="R1253" s="7">
        <v>0.0908508856877765</v>
      </c>
      <c r="S1253" s="7">
        <v>0.1443466220609776</v>
      </c>
      <c r="T1253" s="7">
        <v>3.104109289467606</v>
      </c>
    </row>
    <row x14ac:dyDescent="0.25" r="1254" customHeight="1" ht="19.5">
      <c r="A1254" s="2" t="s">
        <v>2312</v>
      </c>
      <c r="B1254" s="2" t="s">
        <v>1060</v>
      </c>
      <c r="C1254" s="2" t="s">
        <v>31</v>
      </c>
      <c r="D1254" s="2" t="s">
        <v>840</v>
      </c>
      <c r="E1254" s="6">
        <v>1</v>
      </c>
      <c r="F1254" s="6">
        <v>2</v>
      </c>
      <c r="G1254" s="7">
        <v>0.7612046599388123</v>
      </c>
      <c r="H1254" s="7">
        <v>50.95525703125001</v>
      </c>
      <c r="I1254" s="7">
        <v>30.71605231165944</v>
      </c>
      <c r="J1254" s="7">
        <v>10.55532158191482</v>
      </c>
      <c r="K1254" s="7">
        <v>4.90280787281365</v>
      </c>
      <c r="L1254" s="7">
        <v>0.8953508916135694</v>
      </c>
      <c r="M1254" s="7">
        <v>0.6786847075034805</v>
      </c>
      <c r="N1254" s="7">
        <v>0.4918879916388534</v>
      </c>
      <c r="O1254" s="7">
        <v>0.0691096964491918</v>
      </c>
      <c r="P1254" s="7">
        <v>8.220168639328502</v>
      </c>
      <c r="Q1254" s="7">
        <v>0.053064054983039</v>
      </c>
      <c r="R1254" s="7">
        <v>0.0876124418056285</v>
      </c>
      <c r="S1254" s="7">
        <v>0.1187286433361448</v>
      </c>
      <c r="T1254" s="7">
        <v>3.138197058386071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1023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" width="15.005" customWidth="1" bestFit="1"/>
    <col min="2" max="2" style="3" width="13.005" customWidth="1" bestFit="1"/>
    <col min="3" max="3" style="3" width="10.005" customWidth="1" bestFit="1"/>
    <col min="4" max="4" style="3" width="10.005" customWidth="1" bestFit="1"/>
    <col min="5" max="5" style="8" width="10.005" customWidth="1" bestFit="1"/>
    <col min="6" max="6" style="8" width="12.005" customWidth="1" bestFit="1"/>
    <col min="7" max="7" style="9" width="10.005" customWidth="1" bestFit="1"/>
    <col min="8" max="8" style="9" width="10.005" customWidth="1" bestFit="1"/>
    <col min="9" max="9" style="9" width="14.005" customWidth="1" bestFit="1"/>
    <col min="10" max="10" style="9" width="22.005" customWidth="1" bestFit="1"/>
    <col min="11" max="11" style="9" width="22.005" customWidth="1" bestFit="1"/>
    <col min="12" max="12" style="9" width="14.005" customWidth="1" bestFit="1"/>
    <col min="13" max="13" style="9" width="14.005" customWidth="1" bestFit="1"/>
    <col min="14" max="14" style="9" width="18.005" customWidth="1" bestFit="1"/>
    <col min="15" max="15" style="9" width="13.005" customWidth="1" bestFit="1"/>
    <col min="16" max="16" style="9" width="14.005" customWidth="1" bestFit="1"/>
    <col min="17" max="17" style="9" width="15.005" customWidth="1" bestFit="1"/>
    <col min="18" max="18" style="9" width="14.005" customWidth="1" bestFit="1"/>
    <col min="19" max="19" style="9" width="14.005" customWidth="1" bestFit="1"/>
    <col min="20" max="20" style="9" width="18.005" customWidth="1" bestFit="1"/>
  </cols>
  <sheetData>
    <row x14ac:dyDescent="0.25" r="1" customHeight="1" ht="19.5">
      <c r="A1" s="1" t="s">
        <v>9</v>
      </c>
      <c r="B1" s="1" t="s">
        <v>10</v>
      </c>
      <c r="C1" s="1" t="s">
        <v>11</v>
      </c>
      <c r="D1" s="1" t="s">
        <v>12</v>
      </c>
      <c r="E1" s="4" t="s">
        <v>13</v>
      </c>
      <c r="F1" s="4" t="s">
        <v>14</v>
      </c>
      <c r="G1" s="5" t="s">
        <v>15</v>
      </c>
      <c r="H1" s="5" t="s">
        <v>16</v>
      </c>
      <c r="I1" s="5" t="s">
        <v>17</v>
      </c>
      <c r="J1" s="5" t="s">
        <v>18</v>
      </c>
      <c r="K1" s="5" t="s">
        <v>19</v>
      </c>
      <c r="L1" s="5" t="s">
        <v>20</v>
      </c>
      <c r="M1" s="5" t="s">
        <v>21</v>
      </c>
      <c r="N1" s="5" t="s">
        <v>22</v>
      </c>
      <c r="O1" s="5" t="s">
        <v>23</v>
      </c>
      <c r="P1" s="5" t="s">
        <v>24</v>
      </c>
      <c r="Q1" s="5" t="s">
        <v>25</v>
      </c>
      <c r="R1" s="5" t="s">
        <v>26</v>
      </c>
      <c r="S1" s="5" t="s">
        <v>27</v>
      </c>
      <c r="T1" s="5" t="s">
        <v>28</v>
      </c>
    </row>
    <row x14ac:dyDescent="0.25" r="2" customHeight="1" ht="19.5">
      <c r="A2" s="2" t="s">
        <v>29</v>
      </c>
      <c r="B2" s="2" t="s">
        <v>30</v>
      </c>
      <c r="C2" s="2" t="s">
        <v>31</v>
      </c>
      <c r="D2" s="2" t="s">
        <v>32</v>
      </c>
      <c r="E2" s="6">
        <v>1</v>
      </c>
      <c r="F2" s="6">
        <v>0</v>
      </c>
      <c r="G2" s="7">
        <v>0.3129384219646454</v>
      </c>
      <c r="H2" s="7">
        <v>61.5632875</v>
      </c>
      <c r="I2" s="7">
        <v>34.30241618922051</v>
      </c>
      <c r="J2" s="7">
        <v>9.476231204508991</v>
      </c>
      <c r="K2" s="7">
        <v>8.333787374227931</v>
      </c>
      <c r="L2" s="7">
        <v>0.5578084833510458</v>
      </c>
      <c r="M2" s="7">
        <v>0.6552603258971905</v>
      </c>
      <c r="N2" s="7">
        <v>0.5011025225164144</v>
      </c>
      <c r="O2" s="7">
        <v>0.0675850321720592</v>
      </c>
      <c r="P2" s="7">
        <v>8.50545286177433</v>
      </c>
      <c r="Q2" s="7">
        <v>0.0010132657333199</v>
      </c>
      <c r="R2" s="7">
        <v>0.0083330122458539</v>
      </c>
      <c r="S2" s="7">
        <v>0.0327613492024262</v>
      </c>
      <c r="T2" s="7">
        <v>0.0723995620649613</v>
      </c>
    </row>
    <row x14ac:dyDescent="0.25" r="3" customHeight="1" ht="19.5">
      <c r="A3" s="2" t="s">
        <v>33</v>
      </c>
      <c r="B3" s="2" t="s">
        <v>30</v>
      </c>
      <c r="C3" s="2" t="s">
        <v>31</v>
      </c>
      <c r="D3" s="2" t="s">
        <v>32</v>
      </c>
      <c r="E3" s="6">
        <v>1</v>
      </c>
      <c r="F3" s="6">
        <v>0</v>
      </c>
      <c r="G3" s="7">
        <v>0.5153352618217468</v>
      </c>
      <c r="H3" s="7">
        <v>48.52403359375</v>
      </c>
      <c r="I3" s="7">
        <v>31.98881822226515</v>
      </c>
      <c r="J3" s="7">
        <v>7.858705435273713</v>
      </c>
      <c r="K3" s="7">
        <v>6.211800207281772</v>
      </c>
      <c r="L3" s="7">
        <v>0.6280264878394531</v>
      </c>
      <c r="M3" s="7">
        <v>0.5958958579481284</v>
      </c>
      <c r="N3" s="7">
        <v>0.4184837036711169</v>
      </c>
      <c r="O3" s="7">
        <v>0.0537225233290269</v>
      </c>
      <c r="P3" s="7">
        <v>8.92286585086868</v>
      </c>
      <c r="Q3" s="7">
        <v>0.0030300620889613</v>
      </c>
      <c r="R3" s="7">
        <v>0.0173150915652881</v>
      </c>
      <c r="S3" s="7">
        <v>0.0349391069640963</v>
      </c>
      <c r="T3" s="7">
        <v>0.1706472140622451</v>
      </c>
    </row>
    <row x14ac:dyDescent="0.25" r="4" customHeight="1" ht="19.5">
      <c r="A4" s="2" t="s">
        <v>34</v>
      </c>
      <c r="B4" s="2" t="s">
        <v>30</v>
      </c>
      <c r="C4" s="2" t="s">
        <v>31</v>
      </c>
      <c r="D4" s="2" t="s">
        <v>32</v>
      </c>
      <c r="E4" s="6">
        <v>1</v>
      </c>
      <c r="F4" s="6">
        <v>0</v>
      </c>
      <c r="G4" s="7">
        <v>0.6196026802062988</v>
      </c>
      <c r="H4" s="7">
        <v>40.6797015625</v>
      </c>
      <c r="I4" s="7">
        <v>28.63128224106489</v>
      </c>
      <c r="J4" s="7">
        <v>8.177986801746957</v>
      </c>
      <c r="K4" s="7">
        <v>6.471809069123054</v>
      </c>
      <c r="L4" s="7">
        <v>0.6456159825852151</v>
      </c>
      <c r="M4" s="7">
        <v>0.6235998841575043</v>
      </c>
      <c r="N4" s="7">
        <v>0.3988922810906166</v>
      </c>
      <c r="O4" s="7">
        <v>0.0918763892747462</v>
      </c>
      <c r="P4" s="7">
        <v>8.916812300536426</v>
      </c>
      <c r="Q4" s="7">
        <v>0.007820826805532</v>
      </c>
      <c r="R4" s="7">
        <v>0.0319584434964402</v>
      </c>
      <c r="S4" s="7">
        <v>0.0515329672867031</v>
      </c>
      <c r="T4" s="7">
        <v>0.3692505974207972</v>
      </c>
    </row>
    <row x14ac:dyDescent="0.25" r="5" customHeight="1" ht="19.5">
      <c r="A5" s="2" t="s">
        <v>35</v>
      </c>
      <c r="B5" s="2" t="s">
        <v>30</v>
      </c>
      <c r="C5" s="2" t="s">
        <v>31</v>
      </c>
      <c r="D5" s="2" t="s">
        <v>32</v>
      </c>
      <c r="E5" s="6">
        <v>1</v>
      </c>
      <c r="F5" s="6">
        <v>0</v>
      </c>
      <c r="G5" s="7">
        <v>0.6171536445617676</v>
      </c>
      <c r="H5" s="7">
        <v>40.44073515625</v>
      </c>
      <c r="I5" s="7">
        <v>29.02094462272028</v>
      </c>
      <c r="J5" s="7">
        <v>8.077468667125043</v>
      </c>
      <c r="K5" s="7">
        <v>6.087664992703207</v>
      </c>
      <c r="L5" s="7">
        <v>0.6743577522309652</v>
      </c>
      <c r="M5" s="7">
        <v>0.6024705728230244</v>
      </c>
      <c r="N5" s="7">
        <v>0.3722501830777864</v>
      </c>
      <c r="O5" s="7">
        <v>0.0886840553354793</v>
      </c>
      <c r="P5" s="7">
        <v>9.07532299597213</v>
      </c>
      <c r="Q5" s="7">
        <v>0.0105249560573453</v>
      </c>
      <c r="R5" s="7">
        <v>0.0386164460921313</v>
      </c>
      <c r="S5" s="7">
        <v>0.0634111821073612</v>
      </c>
      <c r="T5" s="7">
        <v>0.4940035993245957</v>
      </c>
    </row>
    <row x14ac:dyDescent="0.25" r="6" customHeight="1" ht="19.5">
      <c r="A6" s="2" t="s">
        <v>36</v>
      </c>
      <c r="B6" s="2" t="s">
        <v>30</v>
      </c>
      <c r="C6" s="2" t="s">
        <v>31</v>
      </c>
      <c r="D6" s="2" t="s">
        <v>32</v>
      </c>
      <c r="E6" s="6">
        <v>1</v>
      </c>
      <c r="F6" s="6">
        <v>0</v>
      </c>
      <c r="G6" s="7">
        <v>0.6039692759513855</v>
      </c>
      <c r="H6" s="7">
        <v>40.47883125000001</v>
      </c>
      <c r="I6" s="7">
        <v>27.40135428865646</v>
      </c>
      <c r="J6" s="7">
        <v>8.158206811950109</v>
      </c>
      <c r="K6" s="7">
        <v>6.0853213165011</v>
      </c>
      <c r="L6" s="7">
        <v>0.6807202200386476</v>
      </c>
      <c r="M6" s="7">
        <v>0.6754470607360817</v>
      </c>
      <c r="N6" s="7">
        <v>0.3764902864154187</v>
      </c>
      <c r="O6" s="7">
        <v>0.0988294221042713</v>
      </c>
      <c r="P6" s="7">
        <v>9.031097092877287</v>
      </c>
      <c r="Q6" s="7">
        <v>0.010482564931681</v>
      </c>
      <c r="R6" s="7">
        <v>0.036153992644761</v>
      </c>
      <c r="S6" s="7">
        <v>0.0596639857727434</v>
      </c>
      <c r="T6" s="7">
        <v>0.4924774005985577</v>
      </c>
    </row>
    <row x14ac:dyDescent="0.25" r="7" customHeight="1" ht="19.5">
      <c r="A7" s="2" t="s">
        <v>37</v>
      </c>
      <c r="B7" s="2" t="s">
        <v>30</v>
      </c>
      <c r="C7" s="2" t="s">
        <v>31</v>
      </c>
      <c r="D7" s="2" t="s">
        <v>32</v>
      </c>
      <c r="E7" s="6">
        <v>1</v>
      </c>
      <c r="F7" s="6">
        <v>0</v>
      </c>
      <c r="G7" s="7">
        <v>0.6217403411865234</v>
      </c>
      <c r="H7" s="7">
        <v>40.13942968750001</v>
      </c>
      <c r="I7" s="7">
        <v>27.99994778755095</v>
      </c>
      <c r="J7" s="7">
        <v>7.619919016501926</v>
      </c>
      <c r="K7" s="7">
        <v>6.00115575740197</v>
      </c>
      <c r="L7" s="7">
        <v>0.6349049098574306</v>
      </c>
      <c r="M7" s="7">
        <v>0.6389932000869608</v>
      </c>
      <c r="N7" s="7">
        <v>0.3628219966701702</v>
      </c>
      <c r="O7" s="7">
        <v>0.0841617287510479</v>
      </c>
      <c r="P7" s="7">
        <v>9.144073572861489</v>
      </c>
      <c r="Q7" s="7">
        <v>0.0111819746665212</v>
      </c>
      <c r="R7" s="7">
        <v>0.0381100827642969</v>
      </c>
      <c r="S7" s="7">
        <v>0.0619739509478314</v>
      </c>
      <c r="T7" s="7">
        <v>0.5209313348005234</v>
      </c>
    </row>
    <row x14ac:dyDescent="0.25" r="8" customHeight="1" ht="19.5">
      <c r="A8" s="2" t="s">
        <v>38</v>
      </c>
      <c r="B8" s="2" t="s">
        <v>30</v>
      </c>
      <c r="C8" s="2" t="s">
        <v>31</v>
      </c>
      <c r="D8" s="2" t="s">
        <v>32</v>
      </c>
      <c r="E8" s="6">
        <v>1</v>
      </c>
      <c r="F8" s="6">
        <v>0</v>
      </c>
      <c r="G8" s="7">
        <v>0.6334760189056396</v>
      </c>
      <c r="H8" s="7">
        <v>40.86671875</v>
      </c>
      <c r="I8" s="7">
        <v>28.7872783965289</v>
      </c>
      <c r="J8" s="7">
        <v>8.09172515042134</v>
      </c>
      <c r="K8" s="7">
        <v>6.293661086932768</v>
      </c>
      <c r="L8" s="7">
        <v>0.6543101601423152</v>
      </c>
      <c r="M8" s="7">
        <v>0.6191704411095595</v>
      </c>
      <c r="N8" s="7">
        <v>0.3690532455267616</v>
      </c>
      <c r="O8" s="7">
        <v>0.0845464398584835</v>
      </c>
      <c r="P8" s="7">
        <v>9.113138346358731</v>
      </c>
      <c r="Q8" s="7">
        <v>0.0095584936433445</v>
      </c>
      <c r="R8" s="7">
        <v>0.0360559479658025</v>
      </c>
      <c r="S8" s="7">
        <v>0.0625472272465567</v>
      </c>
      <c r="T8" s="7">
        <v>0.4533671038599615</v>
      </c>
    </row>
    <row x14ac:dyDescent="0.25" r="9" customHeight="1" ht="19.5">
      <c r="A9" s="2" t="s">
        <v>39</v>
      </c>
      <c r="B9" s="2" t="s">
        <v>30</v>
      </c>
      <c r="C9" s="2" t="s">
        <v>31</v>
      </c>
      <c r="D9" s="2" t="s">
        <v>32</v>
      </c>
      <c r="E9" s="6">
        <v>1</v>
      </c>
      <c r="F9" s="6">
        <v>0</v>
      </c>
      <c r="G9" s="7">
        <v>0.6242560744285583</v>
      </c>
      <c r="H9" s="7">
        <v>39.92124296875</v>
      </c>
      <c r="I9" s="7">
        <v>28.70441120999565</v>
      </c>
      <c r="J9" s="7">
        <v>8.038162853228927</v>
      </c>
      <c r="K9" s="7">
        <v>6.095812437081332</v>
      </c>
      <c r="L9" s="7">
        <v>0.6673415964851378</v>
      </c>
      <c r="M9" s="7">
        <v>0.6088588637914597</v>
      </c>
      <c r="N9" s="7">
        <v>0.3741597274436809</v>
      </c>
      <c r="O9" s="7">
        <v>0.0951014476419844</v>
      </c>
      <c r="P9" s="7">
        <v>9.027586360758788</v>
      </c>
      <c r="Q9" s="7">
        <v>0.0107463742935282</v>
      </c>
      <c r="R9" s="7">
        <v>0.0386286810286656</v>
      </c>
      <c r="S9" s="7">
        <v>0.0625905134203433</v>
      </c>
      <c r="T9" s="7">
        <v>0.4979168204903373</v>
      </c>
    </row>
    <row x14ac:dyDescent="0.25" r="10" customHeight="1" ht="19.5">
      <c r="A10" s="2" t="s">
        <v>40</v>
      </c>
      <c r="B10" s="2" t="s">
        <v>30</v>
      </c>
      <c r="C10" s="2" t="s">
        <v>31</v>
      </c>
      <c r="D10" s="2" t="s">
        <v>32</v>
      </c>
      <c r="E10" s="6">
        <v>1</v>
      </c>
      <c r="F10" s="6">
        <v>0</v>
      </c>
      <c r="G10" s="7">
        <v>0.6256785988807678</v>
      </c>
      <c r="H10" s="7">
        <v>42.0788671875</v>
      </c>
      <c r="I10" s="7">
        <v>29.13864392178361</v>
      </c>
      <c r="J10" s="7">
        <v>7.98245872580913</v>
      </c>
      <c r="K10" s="7">
        <v>6.119043633787321</v>
      </c>
      <c r="L10" s="7">
        <v>0.6484023933108894</v>
      </c>
      <c r="M10" s="7">
        <v>0.6218581845060005</v>
      </c>
      <c r="N10" s="7">
        <v>0.3694201037832719</v>
      </c>
      <c r="O10" s="7">
        <v>0.0814903957410837</v>
      </c>
      <c r="P10" s="7">
        <v>9.140477840526705</v>
      </c>
      <c r="Q10" s="7">
        <v>0.0101474174366205</v>
      </c>
      <c r="R10" s="7">
        <v>0.0368843879691574</v>
      </c>
      <c r="S10" s="7">
        <v>0.0618514224952406</v>
      </c>
      <c r="T10" s="7">
        <v>0.4955760913789213</v>
      </c>
    </row>
    <row x14ac:dyDescent="0.25" r="11" customHeight="1" ht="19.5">
      <c r="A11" s="2" t="s">
        <v>41</v>
      </c>
      <c r="B11" s="2" t="s">
        <v>30</v>
      </c>
      <c r="C11" s="2" t="s">
        <v>31</v>
      </c>
      <c r="D11" s="2" t="s">
        <v>32</v>
      </c>
      <c r="E11" s="6">
        <v>1</v>
      </c>
      <c r="F11" s="6">
        <v>0</v>
      </c>
      <c r="G11" s="7">
        <v>0.6056768298149109</v>
      </c>
      <c r="H11" s="7">
        <v>40.31259375</v>
      </c>
      <c r="I11" s="7">
        <v>27.88643080430888</v>
      </c>
      <c r="J11" s="7">
        <v>8.551238515298056</v>
      </c>
      <c r="K11" s="7">
        <v>6.624221959615076</v>
      </c>
      <c r="L11" s="7">
        <v>0.6961669558985614</v>
      </c>
      <c r="M11" s="7">
        <v>0.6499144411371108</v>
      </c>
      <c r="N11" s="7">
        <v>0.3845091084395527</v>
      </c>
      <c r="O11" s="7">
        <v>0.104060603917932</v>
      </c>
      <c r="P11" s="7">
        <v>8.985598960299518</v>
      </c>
      <c r="Q11" s="7">
        <v>0.010159523545488</v>
      </c>
      <c r="R11" s="7">
        <v>0.0361254204483681</v>
      </c>
      <c r="S11" s="7">
        <v>0.06003987337071</v>
      </c>
      <c r="T11" s="7">
        <v>0.475340548749922</v>
      </c>
    </row>
    <row x14ac:dyDescent="0.25" r="12" customHeight="1" ht="19.5">
      <c r="A12" s="2" t="s">
        <v>42</v>
      </c>
      <c r="B12" s="2" t="s">
        <v>30</v>
      </c>
      <c r="C12" s="2" t="s">
        <v>31</v>
      </c>
      <c r="D12" s="2" t="s">
        <v>32</v>
      </c>
      <c r="E12" s="6">
        <v>1</v>
      </c>
      <c r="F12" s="6">
        <v>0</v>
      </c>
      <c r="G12" s="7">
        <v>0.6053973436355591</v>
      </c>
      <c r="H12" s="7">
        <v>40.95330078125</v>
      </c>
      <c r="I12" s="7">
        <v>27.2530051928843</v>
      </c>
      <c r="J12" s="7">
        <v>8.124930114771072</v>
      </c>
      <c r="K12" s="7">
        <v>6.127740973095007</v>
      </c>
      <c r="L12" s="7">
        <v>0.6688904851618579</v>
      </c>
      <c r="M12" s="7">
        <v>0.6923131067927624</v>
      </c>
      <c r="N12" s="7">
        <v>0.3824856475556291</v>
      </c>
      <c r="O12" s="7">
        <v>0.0953943057801566</v>
      </c>
      <c r="P12" s="7">
        <v>9.010388282311387</v>
      </c>
      <c r="Q12" s="7">
        <v>0.0093682993803099</v>
      </c>
      <c r="R12" s="7">
        <v>0.0357138288357991</v>
      </c>
      <c r="S12" s="7">
        <v>0.0606523936223761</v>
      </c>
      <c r="T12" s="7">
        <v>0.4452874468408502</v>
      </c>
    </row>
    <row x14ac:dyDescent="0.25" r="13" customHeight="1" ht="19.5">
      <c r="A13" s="2" t="s">
        <v>43</v>
      </c>
      <c r="B13" s="2" t="s">
        <v>30</v>
      </c>
      <c r="C13" s="2" t="s">
        <v>31</v>
      </c>
      <c r="D13" s="2" t="s">
        <v>32</v>
      </c>
      <c r="E13" s="6">
        <v>1</v>
      </c>
      <c r="F13" s="6">
        <v>0</v>
      </c>
      <c r="G13" s="7">
        <v>0.6227734088897705</v>
      </c>
      <c r="H13" s="7">
        <v>39.550671875</v>
      </c>
      <c r="I13" s="7">
        <v>26.91591898702869</v>
      </c>
      <c r="J13" s="7">
        <v>7.882752099085421</v>
      </c>
      <c r="K13" s="7">
        <v>5.913362983168366</v>
      </c>
      <c r="L13" s="7">
        <v>0.6622363118402744</v>
      </c>
      <c r="M13" s="7">
        <v>0.6860334702971936</v>
      </c>
      <c r="N13" s="7">
        <v>0.3897205303346459</v>
      </c>
      <c r="O13" s="7">
        <v>0.1047851341510418</v>
      </c>
      <c r="P13" s="7">
        <v>8.902966215502921</v>
      </c>
      <c r="Q13" s="7">
        <v>0.0109309212132025</v>
      </c>
      <c r="R13" s="7">
        <v>0.0381243699218967</v>
      </c>
      <c r="S13" s="7">
        <v>0.0630196537254233</v>
      </c>
      <c r="T13" s="7">
        <v>0.5017662077168756</v>
      </c>
    </row>
    <row x14ac:dyDescent="0.25" r="14" customHeight="1" ht="19.5">
      <c r="A14" s="2" t="s">
        <v>44</v>
      </c>
      <c r="B14" s="2" t="s">
        <v>30</v>
      </c>
      <c r="C14" s="2" t="s">
        <v>31</v>
      </c>
      <c r="D14" s="2" t="s">
        <v>32</v>
      </c>
      <c r="E14" s="6">
        <v>1</v>
      </c>
      <c r="F14" s="6">
        <v>0</v>
      </c>
      <c r="G14" s="7">
        <v>0.5773240923881531</v>
      </c>
      <c r="H14" s="7">
        <v>41.75678203125</v>
      </c>
      <c r="I14" s="7">
        <v>30.56113251412144</v>
      </c>
      <c r="J14" s="7">
        <v>8.10988108812919</v>
      </c>
      <c r="K14" s="7">
        <v>5.931745705384875</v>
      </c>
      <c r="L14" s="7">
        <v>0.6953755962820611</v>
      </c>
      <c r="M14" s="7">
        <v>0.5595843790010364</v>
      </c>
      <c r="N14" s="7">
        <v>0.3671812447745463</v>
      </c>
      <c r="O14" s="7">
        <v>0.0795698814975444</v>
      </c>
      <c r="P14" s="7">
        <v>9.158946657772873</v>
      </c>
      <c r="Q14" s="7">
        <v>0.0094547077847264</v>
      </c>
      <c r="R14" s="7">
        <v>0.0339052508650954</v>
      </c>
      <c r="S14" s="7">
        <v>0.0594355906326929</v>
      </c>
      <c r="T14" s="7">
        <v>0.4582114246785842</v>
      </c>
    </row>
    <row x14ac:dyDescent="0.25" r="15" customHeight="1" ht="19.5">
      <c r="A15" s="2" t="s">
        <v>45</v>
      </c>
      <c r="B15" s="2" t="s">
        <v>30</v>
      </c>
      <c r="C15" s="2" t="s">
        <v>31</v>
      </c>
      <c r="D15" s="2" t="s">
        <v>32</v>
      </c>
      <c r="E15" s="6">
        <v>1</v>
      </c>
      <c r="F15" s="6">
        <v>0</v>
      </c>
      <c r="G15" s="7">
        <v>0.6053019165992737</v>
      </c>
      <c r="H15" s="7">
        <v>42.29012734375</v>
      </c>
      <c r="I15" s="7">
        <v>29.93224800449346</v>
      </c>
      <c r="J15" s="7">
        <v>8.323633008732632</v>
      </c>
      <c r="K15" s="7">
        <v>6.274735564295874</v>
      </c>
      <c r="L15" s="7">
        <v>0.6909948405120315</v>
      </c>
      <c r="M15" s="7">
        <v>0.5931577198765764</v>
      </c>
      <c r="N15" s="7">
        <v>0.377818113722723</v>
      </c>
      <c r="O15" s="7">
        <v>0.0929113265821469</v>
      </c>
      <c r="P15" s="7">
        <v>9.062847359837622</v>
      </c>
      <c r="Q15" s="7">
        <v>0.0093595104503323</v>
      </c>
      <c r="R15" s="7">
        <v>0.0351904956477961</v>
      </c>
      <c r="S15" s="7">
        <v>0.0584377354346656</v>
      </c>
      <c r="T15" s="7">
        <v>0.4593914483793653</v>
      </c>
    </row>
    <row x14ac:dyDescent="0.25" r="16" customHeight="1" ht="19.5">
      <c r="A16" s="2" t="s">
        <v>46</v>
      </c>
      <c r="B16" s="2" t="s">
        <v>30</v>
      </c>
      <c r="C16" s="2" t="s">
        <v>31</v>
      </c>
      <c r="D16" s="2" t="s">
        <v>32</v>
      </c>
      <c r="E16" s="6">
        <v>1</v>
      </c>
      <c r="F16" s="6">
        <v>0</v>
      </c>
      <c r="G16" s="7">
        <v>0.609001100063324</v>
      </c>
      <c r="H16" s="7">
        <v>41.30655546875001</v>
      </c>
      <c r="I16" s="7">
        <v>28.02605648246317</v>
      </c>
      <c r="J16" s="7">
        <v>7.738969757388169</v>
      </c>
      <c r="K16" s="7">
        <v>5.759567169665603</v>
      </c>
      <c r="L16" s="7">
        <v>0.6569241852904016</v>
      </c>
      <c r="M16" s="7">
        <v>0.6573068681513698</v>
      </c>
      <c r="N16" s="7">
        <v>0.3663070770884232</v>
      </c>
      <c r="O16" s="7">
        <v>0.0761842992621663</v>
      </c>
      <c r="P16" s="7">
        <v>9.133493778518332</v>
      </c>
      <c r="Q16" s="7">
        <v>0.0104993722282894</v>
      </c>
      <c r="R16" s="7">
        <v>0.038151252430432</v>
      </c>
      <c r="S16" s="7">
        <v>0.0588458665672247</v>
      </c>
      <c r="T16" s="7">
        <v>0.5033535011534975</v>
      </c>
    </row>
    <row x14ac:dyDescent="0.25" r="17" customHeight="1" ht="19.5">
      <c r="A17" s="2" t="s">
        <v>47</v>
      </c>
      <c r="B17" s="2" t="s">
        <v>30</v>
      </c>
      <c r="C17" s="2" t="s">
        <v>31</v>
      </c>
      <c r="D17" s="2" t="s">
        <v>32</v>
      </c>
      <c r="E17" s="6">
        <v>1</v>
      </c>
      <c r="F17" s="6">
        <v>0</v>
      </c>
      <c r="G17" s="7">
        <v>0.6145209670066833</v>
      </c>
      <c r="H17" s="7">
        <v>40.2779609375</v>
      </c>
      <c r="I17" s="7">
        <v>28.45055097664863</v>
      </c>
      <c r="J17" s="7">
        <v>7.636727800881019</v>
      </c>
      <c r="K17" s="7">
        <v>5.760350528355603</v>
      </c>
      <c r="L17" s="7">
        <v>0.6634930544784197</v>
      </c>
      <c r="M17" s="7">
        <v>0.6241279938060713</v>
      </c>
      <c r="N17" s="7">
        <v>0.3679772447217936</v>
      </c>
      <c r="O17" s="7">
        <v>0.0748372021532286</v>
      </c>
      <c r="P17" s="7">
        <v>9.129363726904325</v>
      </c>
      <c r="Q17" s="7">
        <v>0.0113721929002124</v>
      </c>
      <c r="R17" s="7">
        <v>0.0414426621038062</v>
      </c>
      <c r="S17" s="7">
        <v>0.0653344325614327</v>
      </c>
      <c r="T17" s="7">
        <v>0.5316214237707125</v>
      </c>
    </row>
    <row x14ac:dyDescent="0.25" r="18" customHeight="1" ht="19.5">
      <c r="A18" s="2" t="s">
        <v>48</v>
      </c>
      <c r="B18" s="2" t="s">
        <v>30</v>
      </c>
      <c r="C18" s="2" t="s">
        <v>31</v>
      </c>
      <c r="D18" s="2" t="s">
        <v>32</v>
      </c>
      <c r="E18" s="6">
        <v>1</v>
      </c>
      <c r="F18" s="6">
        <v>0</v>
      </c>
      <c r="G18" s="7">
        <v>0.6120358109474182</v>
      </c>
      <c r="H18" s="7">
        <v>41.47279296875</v>
      </c>
      <c r="I18" s="7">
        <v>29.81036638960886</v>
      </c>
      <c r="J18" s="7">
        <v>8.183883036420438</v>
      </c>
      <c r="K18" s="7">
        <v>6.216868707954058</v>
      </c>
      <c r="L18" s="7">
        <v>0.6778692342815839</v>
      </c>
      <c r="M18" s="7">
        <v>0.586264272667364</v>
      </c>
      <c r="N18" s="7">
        <v>0.3730706571656552</v>
      </c>
      <c r="O18" s="7">
        <v>0.0877756023809609</v>
      </c>
      <c r="P18" s="7">
        <v>9.095775923003435</v>
      </c>
      <c r="Q18" s="7">
        <v>0.0112812960021294</v>
      </c>
      <c r="R18" s="7">
        <v>0.0382557366485234</v>
      </c>
      <c r="S18" s="7">
        <v>0.0626862848155617</v>
      </c>
      <c r="T18" s="7">
        <v>0.5430165401965997</v>
      </c>
    </row>
    <row x14ac:dyDescent="0.25" r="19" customHeight="1" ht="19.5">
      <c r="A19" s="2" t="s">
        <v>49</v>
      </c>
      <c r="B19" s="2" t="s">
        <v>30</v>
      </c>
      <c r="C19" s="2" t="s">
        <v>31</v>
      </c>
      <c r="D19" s="2" t="s">
        <v>32</v>
      </c>
      <c r="E19" s="6">
        <v>1</v>
      </c>
      <c r="F19" s="6">
        <v>0</v>
      </c>
      <c r="G19" s="7">
        <v>0.6255921125411987</v>
      </c>
      <c r="H19" s="7">
        <v>40.69009140625</v>
      </c>
      <c r="I19" s="7">
        <v>27.14958521322006</v>
      </c>
      <c r="J19" s="7">
        <v>7.774983435199537</v>
      </c>
      <c r="K19" s="7">
        <v>5.864720651547813</v>
      </c>
      <c r="L19" s="7">
        <v>0.6453413144317213</v>
      </c>
      <c r="M19" s="7">
        <v>0.6934054813993872</v>
      </c>
      <c r="N19" s="7">
        <v>0.3831024903390359</v>
      </c>
      <c r="O19" s="7">
        <v>0.0971307837686971</v>
      </c>
      <c r="P19" s="7">
        <v>8.978715357956988</v>
      </c>
      <c r="Q19" s="7">
        <v>0.010793351755318</v>
      </c>
      <c r="R19" s="7">
        <v>0.0397609923043391</v>
      </c>
      <c r="S19" s="7">
        <v>0.0628761731236778</v>
      </c>
      <c r="T19" s="7">
        <v>0.5097248144700973</v>
      </c>
    </row>
    <row x14ac:dyDescent="0.25" r="20" customHeight="1" ht="19.5">
      <c r="A20" s="2" t="s">
        <v>50</v>
      </c>
      <c r="B20" s="2" t="s">
        <v>30</v>
      </c>
      <c r="C20" s="2" t="s">
        <v>31</v>
      </c>
      <c r="D20" s="2" t="s">
        <v>32</v>
      </c>
      <c r="E20" s="6">
        <v>1</v>
      </c>
      <c r="F20" s="6">
        <v>0</v>
      </c>
      <c r="G20" s="7">
        <v>0.6024181842803955</v>
      </c>
      <c r="H20" s="7">
        <v>41.116075</v>
      </c>
      <c r="I20" s="7">
        <v>28.59645012853481</v>
      </c>
      <c r="J20" s="7">
        <v>7.872002400921686</v>
      </c>
      <c r="K20" s="7">
        <v>6.083756746828298</v>
      </c>
      <c r="L20" s="7">
        <v>0.6628045213567496</v>
      </c>
      <c r="M20" s="7">
        <v>0.6318256669891158</v>
      </c>
      <c r="N20" s="7">
        <v>0.3741396098573</v>
      </c>
      <c r="O20" s="7">
        <v>0.0874431898093385</v>
      </c>
      <c r="P20" s="7">
        <v>9.049576873991857</v>
      </c>
      <c r="Q20" s="7">
        <v>0.0099120984467495</v>
      </c>
      <c r="R20" s="7">
        <v>0.0373045976231331</v>
      </c>
      <c r="S20" s="7">
        <v>0.0607896558202471</v>
      </c>
      <c r="T20" s="7">
        <v>0.4730075103310012</v>
      </c>
    </row>
    <row x14ac:dyDescent="0.25" r="21" customHeight="1" ht="19.5">
      <c r="A21" s="2" t="s">
        <v>51</v>
      </c>
      <c r="B21" s="2" t="s">
        <v>30</v>
      </c>
      <c r="C21" s="2" t="s">
        <v>31</v>
      </c>
      <c r="D21" s="2" t="s">
        <v>32</v>
      </c>
      <c r="E21" s="6">
        <v>1</v>
      </c>
      <c r="F21" s="6">
        <v>0</v>
      </c>
      <c r="G21" s="7">
        <v>0.6045129299163818</v>
      </c>
      <c r="H21" s="7">
        <v>41.61478750000001</v>
      </c>
      <c r="I21" s="7">
        <v>28.10755008303646</v>
      </c>
      <c r="J21" s="7">
        <v>7.995602397344994</v>
      </c>
      <c r="K21" s="7">
        <v>5.8734096221534</v>
      </c>
      <c r="L21" s="7">
        <v>0.6844398635675726</v>
      </c>
      <c r="M21" s="7">
        <v>0.6585138155035003</v>
      </c>
      <c r="N21" s="7">
        <v>0.3695153092018433</v>
      </c>
      <c r="O21" s="7">
        <v>0.0833996887474929</v>
      </c>
      <c r="P21" s="7">
        <v>9.129333907371922</v>
      </c>
      <c r="Q21" s="7">
        <v>0.0098570877287417</v>
      </c>
      <c r="R21" s="7">
        <v>0.0370367223024445</v>
      </c>
      <c r="S21" s="7">
        <v>0.0598215559476254</v>
      </c>
      <c r="T21" s="7">
        <v>0.4760878335511647</v>
      </c>
    </row>
    <row x14ac:dyDescent="0.25" r="22" customHeight="1" ht="19.5">
      <c r="A22" s="2" t="s">
        <v>52</v>
      </c>
      <c r="B22" s="2" t="s">
        <v>30</v>
      </c>
      <c r="C22" s="2" t="s">
        <v>31</v>
      </c>
      <c r="D22" s="2" t="s">
        <v>32</v>
      </c>
      <c r="E22" s="6">
        <v>1</v>
      </c>
      <c r="F22" s="6">
        <v>0</v>
      </c>
      <c r="G22" s="7">
        <v>0.6096501350402832</v>
      </c>
      <c r="H22" s="7">
        <v>39.92124296875</v>
      </c>
      <c r="I22" s="7">
        <v>29.07806190031665</v>
      </c>
      <c r="J22" s="7">
        <v>8.326261272067184</v>
      </c>
      <c r="K22" s="7">
        <v>6.447283307605721</v>
      </c>
      <c r="L22" s="7">
        <v>0.6833373363804857</v>
      </c>
      <c r="M22" s="7">
        <v>0.5921794540086142</v>
      </c>
      <c r="N22" s="7">
        <v>0.3812827269572722</v>
      </c>
      <c r="O22" s="7">
        <v>0.1012082029665129</v>
      </c>
      <c r="P22" s="7">
        <v>9.032763361457327</v>
      </c>
      <c r="Q22" s="7">
        <v>0.0102745175062583</v>
      </c>
      <c r="R22" s="7">
        <v>0.0355613387529101</v>
      </c>
      <c r="S22" s="7">
        <v>0.0600351071210386</v>
      </c>
      <c r="T22" s="7">
        <v>0.4760540577736412</v>
      </c>
    </row>
    <row x14ac:dyDescent="0.25" r="23" customHeight="1" ht="19.5">
      <c r="A23" s="2" t="s">
        <v>53</v>
      </c>
      <c r="B23" s="2" t="s">
        <v>30</v>
      </c>
      <c r="C23" s="2" t="s">
        <v>31</v>
      </c>
      <c r="D23" s="2" t="s">
        <v>32</v>
      </c>
      <c r="E23" s="6">
        <v>1</v>
      </c>
      <c r="F23" s="6">
        <v>0</v>
      </c>
      <c r="G23" s="7">
        <v>0.6243047118186951</v>
      </c>
      <c r="H23" s="7">
        <v>39.95587578125</v>
      </c>
      <c r="I23" s="7">
        <v>27.52323590354105</v>
      </c>
      <c r="J23" s="7">
        <v>8.030137620530017</v>
      </c>
      <c r="K23" s="7">
        <v>6.074252282531861</v>
      </c>
      <c r="L23" s="7">
        <v>0.6754848129327541</v>
      </c>
      <c r="M23" s="7">
        <v>0.6593092672312466</v>
      </c>
      <c r="N23" s="7">
        <v>0.3746824126553945</v>
      </c>
      <c r="O23" s="7">
        <v>0.089052583174541</v>
      </c>
      <c r="P23" s="7">
        <v>9.068317744986416</v>
      </c>
      <c r="Q23" s="7">
        <v>0.0109587213347415</v>
      </c>
      <c r="R23" s="7">
        <v>0.0388663876943414</v>
      </c>
      <c r="S23" s="7">
        <v>0.0608017350083762</v>
      </c>
      <c r="T23" s="7">
        <v>0.5081960883483447</v>
      </c>
    </row>
    <row x14ac:dyDescent="0.25" r="24" customHeight="1" ht="19.5">
      <c r="A24" s="2" t="s">
        <v>54</v>
      </c>
      <c r="B24" s="2" t="s">
        <v>30</v>
      </c>
      <c r="C24" s="2" t="s">
        <v>31</v>
      </c>
      <c r="D24" s="2" t="s">
        <v>32</v>
      </c>
      <c r="E24" s="6">
        <v>1</v>
      </c>
      <c r="F24" s="6">
        <v>0</v>
      </c>
      <c r="G24" s="7">
        <v>0.6040142774581909</v>
      </c>
      <c r="H24" s="7">
        <v>40.1117234375</v>
      </c>
      <c r="I24" s="7">
        <v>27.63083819902656</v>
      </c>
      <c r="J24" s="7">
        <v>8.147781558721476</v>
      </c>
      <c r="K24" s="7">
        <v>6.181462984023198</v>
      </c>
      <c r="L24" s="7">
        <v>0.6763271902593584</v>
      </c>
      <c r="M24" s="7">
        <v>0.6566353881469624</v>
      </c>
      <c r="N24" s="7">
        <v>0.3837095629704096</v>
      </c>
      <c r="O24" s="7">
        <v>0.0988408503844531</v>
      </c>
      <c r="P24" s="7">
        <v>9.01151669350725</v>
      </c>
      <c r="Q24" s="7">
        <v>0.0100239535763794</v>
      </c>
      <c r="R24" s="7">
        <v>0.0352096753921211</v>
      </c>
      <c r="S24" s="7">
        <v>0.057903325615205</v>
      </c>
      <c r="T24" s="7">
        <v>0.4666606149112841</v>
      </c>
    </row>
    <row x14ac:dyDescent="0.25" r="25" customHeight="1" ht="19.5">
      <c r="A25" s="2" t="s">
        <v>55</v>
      </c>
      <c r="B25" s="2" t="s">
        <v>30</v>
      </c>
      <c r="C25" s="2" t="s">
        <v>31</v>
      </c>
      <c r="D25" s="2" t="s">
        <v>32</v>
      </c>
      <c r="E25" s="6">
        <v>1</v>
      </c>
      <c r="F25" s="6">
        <v>0</v>
      </c>
      <c r="G25" s="7">
        <v>0.4673956036567688</v>
      </c>
      <c r="H25" s="7">
        <v>51.49552890625</v>
      </c>
      <c r="I25" s="7">
        <v>30.34485156522441</v>
      </c>
      <c r="J25" s="7">
        <v>8.751306639566163</v>
      </c>
      <c r="K25" s="7">
        <v>6.454644797224086</v>
      </c>
      <c r="L25" s="7">
        <v>0.7083444834580154</v>
      </c>
      <c r="M25" s="7">
        <v>0.7027637510581846</v>
      </c>
      <c r="N25" s="7">
        <v>0.4718550363989188</v>
      </c>
      <c r="O25" s="7">
        <v>0.0607454895603697</v>
      </c>
      <c r="P25" s="7">
        <v>8.592411622151186</v>
      </c>
      <c r="Q25" s="7">
        <v>0.004104208140319</v>
      </c>
      <c r="R25" s="7">
        <v>0.0177447979996008</v>
      </c>
      <c r="S25" s="7">
        <v>0.0334914917199222</v>
      </c>
      <c r="T25" s="7">
        <v>0.2452955562221037</v>
      </c>
    </row>
    <row x14ac:dyDescent="0.25" r="26" customHeight="1" ht="19.5">
      <c r="A26" s="2" t="s">
        <v>56</v>
      </c>
      <c r="B26" s="2" t="s">
        <v>30</v>
      </c>
      <c r="C26" s="2" t="s">
        <v>31</v>
      </c>
      <c r="D26" s="2" t="s">
        <v>32</v>
      </c>
      <c r="E26" s="6">
        <v>1</v>
      </c>
      <c r="F26" s="6">
        <v>0</v>
      </c>
      <c r="G26" s="7">
        <v>0.7045866250991821</v>
      </c>
      <c r="H26" s="7">
        <v>29.80153515625</v>
      </c>
      <c r="I26" s="7">
        <v>22.88528695204322</v>
      </c>
      <c r="J26" s="7">
        <v>7.048384870682209</v>
      </c>
      <c r="K26" s="7">
        <v>5.96518800245806</v>
      </c>
      <c r="L26" s="7">
        <v>0.589923691941734</v>
      </c>
      <c r="M26" s="7">
        <v>0.7150489541207995</v>
      </c>
      <c r="N26" s="7">
        <v>0.5792432847002955</v>
      </c>
      <c r="O26" s="7">
        <v>0.2565585782332965</v>
      </c>
      <c r="P26" s="7">
        <v>6.882222328710423</v>
      </c>
      <c r="Q26" s="7">
        <v>0.0002179685647066</v>
      </c>
      <c r="R26" s="7">
        <v>0.0002275637615876</v>
      </c>
      <c r="S26" s="7">
        <v>0.0181701077639218</v>
      </c>
      <c r="T26" s="7">
        <v>0.0075391655651521</v>
      </c>
    </row>
    <row x14ac:dyDescent="0.25" r="27" customHeight="1" ht="19.5">
      <c r="A27" s="2" t="s">
        <v>57</v>
      </c>
      <c r="B27" s="2" t="s">
        <v>30</v>
      </c>
      <c r="C27" s="2" t="s">
        <v>31</v>
      </c>
      <c r="D27" s="2" t="s">
        <v>32</v>
      </c>
      <c r="E27" s="6">
        <v>1</v>
      </c>
      <c r="F27" s="6">
        <v>0</v>
      </c>
      <c r="G27" s="7">
        <v>0.6217055320739746</v>
      </c>
      <c r="H27" s="7">
        <v>43.2148234375</v>
      </c>
      <c r="I27" s="7">
        <v>27.79382540017314</v>
      </c>
      <c r="J27" s="7">
        <v>8.862256053199594</v>
      </c>
      <c r="K27" s="7">
        <v>7.078832613246261</v>
      </c>
      <c r="L27" s="7">
        <v>0.6239946116112891</v>
      </c>
      <c r="M27" s="7">
        <v>0.7029848360469864</v>
      </c>
      <c r="N27" s="7">
        <v>0.5300326772726291</v>
      </c>
      <c r="O27" s="7">
        <v>0.1887121483732255</v>
      </c>
      <c r="P27" s="7">
        <v>7.543439248005007</v>
      </c>
      <c r="Q27" s="7">
        <v>0.0054287120209096</v>
      </c>
      <c r="R27" s="7">
        <v>0.0236871621684897</v>
      </c>
      <c r="S27" s="7">
        <v>0.0400797577118637</v>
      </c>
      <c r="T27" s="7">
        <v>0.2722828746650485</v>
      </c>
    </row>
    <row x14ac:dyDescent="0.25" r="28" customHeight="1" ht="19.5">
      <c r="A28" s="2" t="s">
        <v>58</v>
      </c>
      <c r="B28" s="2" t="s">
        <v>30</v>
      </c>
      <c r="C28" s="2" t="s">
        <v>31</v>
      </c>
      <c r="D28" s="2" t="s">
        <v>32</v>
      </c>
      <c r="E28" s="6">
        <v>1</v>
      </c>
      <c r="F28" s="6">
        <v>0</v>
      </c>
      <c r="G28" s="7">
        <v>0.6550124287605286</v>
      </c>
      <c r="H28" s="7">
        <v>48.17077890625</v>
      </c>
      <c r="I28" s="7">
        <v>28.51220935604161</v>
      </c>
      <c r="J28" s="7">
        <v>9.456859615862038</v>
      </c>
      <c r="K28" s="7">
        <v>7.713121191462891</v>
      </c>
      <c r="L28" s="7">
        <v>0.6024965450528451</v>
      </c>
      <c r="M28" s="7">
        <v>0.7446150164829581</v>
      </c>
      <c r="N28" s="7">
        <v>0.4800114684544782</v>
      </c>
      <c r="O28" s="7">
        <v>0.1838676702106534</v>
      </c>
      <c r="P28" s="7">
        <v>7.851002807186695</v>
      </c>
      <c r="Q28" s="7">
        <v>0.0073863532574925</v>
      </c>
      <c r="R28" s="7">
        <v>0.0327781592422913</v>
      </c>
      <c r="S28" s="7">
        <v>0.0545368211059239</v>
      </c>
      <c r="T28" s="7">
        <v>0.4129567060748762</v>
      </c>
    </row>
    <row x14ac:dyDescent="0.25" r="29" customHeight="1" ht="19.5">
      <c r="A29" s="2" t="s">
        <v>59</v>
      </c>
      <c r="B29" s="2" t="s">
        <v>30</v>
      </c>
      <c r="C29" s="2" t="s">
        <v>31</v>
      </c>
      <c r="D29" s="2" t="s">
        <v>32</v>
      </c>
      <c r="E29" s="6">
        <v>1</v>
      </c>
      <c r="F29" s="6">
        <v>0</v>
      </c>
      <c r="G29" s="7">
        <v>0.6734863519668579</v>
      </c>
      <c r="H29" s="7">
        <v>48.4928640625</v>
      </c>
      <c r="I29" s="7">
        <v>28.79636060012211</v>
      </c>
      <c r="J29" s="7">
        <v>9.402584084761834</v>
      </c>
      <c r="K29" s="7">
        <v>7.588696747757616</v>
      </c>
      <c r="L29" s="7">
        <v>0.6088564236851065</v>
      </c>
      <c r="M29" s="7">
        <v>0.7348733402164814</v>
      </c>
      <c r="N29" s="7">
        <v>0.4449983921572574</v>
      </c>
      <c r="O29" s="7">
        <v>0.1823983117767351</v>
      </c>
      <c r="P29" s="7">
        <v>8.083808438625384</v>
      </c>
      <c r="Q29" s="7">
        <v>0.010159399740735</v>
      </c>
      <c r="R29" s="7">
        <v>0.045414018868398</v>
      </c>
      <c r="S29" s="7">
        <v>0.0737339798261753</v>
      </c>
      <c r="T29" s="7">
        <v>0.5717901423100468</v>
      </c>
    </row>
    <row x14ac:dyDescent="0.25" r="30" customHeight="1" ht="19.5">
      <c r="A30" s="2" t="s">
        <v>60</v>
      </c>
      <c r="B30" s="2" t="s">
        <v>30</v>
      </c>
      <c r="C30" s="2" t="s">
        <v>31</v>
      </c>
      <c r="D30" s="2" t="s">
        <v>32</v>
      </c>
      <c r="E30" s="6">
        <v>1</v>
      </c>
      <c r="F30" s="6">
        <v>0</v>
      </c>
      <c r="G30" s="7">
        <v>0.6899336576461792</v>
      </c>
      <c r="H30" s="7">
        <v>50.80287265625</v>
      </c>
      <c r="I30" s="7">
        <v>30.3027927369192</v>
      </c>
      <c r="J30" s="7">
        <v>9.45020390617632</v>
      </c>
      <c r="K30" s="7">
        <v>7.699486643318946</v>
      </c>
      <c r="L30" s="7">
        <v>0.6240792496205234</v>
      </c>
      <c r="M30" s="7">
        <v>0.695236914522442</v>
      </c>
      <c r="N30" s="7">
        <v>0.4268913457357105</v>
      </c>
      <c r="O30" s="7">
        <v>0.1901984125929</v>
      </c>
      <c r="P30" s="7">
        <v>8.216918954836267</v>
      </c>
      <c r="Q30" s="7">
        <v>0.0110189629727553</v>
      </c>
      <c r="R30" s="7">
        <v>0.0495033783379923</v>
      </c>
      <c r="S30" s="7">
        <v>0.0810858101898319</v>
      </c>
      <c r="T30" s="7">
        <v>0.6497103332192453</v>
      </c>
    </row>
    <row x14ac:dyDescent="0.25" r="31" customHeight="1" ht="19.5">
      <c r="A31" s="2" t="s">
        <v>61</v>
      </c>
      <c r="B31" s="2" t="s">
        <v>30</v>
      </c>
      <c r="C31" s="2" t="s">
        <v>31</v>
      </c>
      <c r="D31" s="2" t="s">
        <v>32</v>
      </c>
      <c r="E31" s="6">
        <v>1</v>
      </c>
      <c r="F31" s="6">
        <v>0</v>
      </c>
      <c r="G31" s="7">
        <v>0.6982626914978027</v>
      </c>
      <c r="H31" s="7">
        <v>51.3881671875</v>
      </c>
      <c r="I31" s="7">
        <v>30.81397794748384</v>
      </c>
      <c r="J31" s="7">
        <v>9.542243907139156</v>
      </c>
      <c r="K31" s="7">
        <v>7.765499807433138</v>
      </c>
      <c r="L31" s="7">
        <v>0.6344014838221693</v>
      </c>
      <c r="M31" s="7">
        <v>0.6801073331367636</v>
      </c>
      <c r="N31" s="7">
        <v>0.4282202789644944</v>
      </c>
      <c r="O31" s="7">
        <v>0.1921897197056586</v>
      </c>
      <c r="P31" s="7">
        <v>8.232688643143696</v>
      </c>
      <c r="Q31" s="7">
        <v>0.0107844561095598</v>
      </c>
      <c r="R31" s="7">
        <v>0.0486255087809889</v>
      </c>
      <c r="S31" s="7">
        <v>0.0804996146025308</v>
      </c>
      <c r="T31" s="7">
        <v>0.6432090639536163</v>
      </c>
    </row>
    <row x14ac:dyDescent="0.25" r="32" customHeight="1" ht="19.5">
      <c r="A32" s="2" t="s">
        <v>62</v>
      </c>
      <c r="B32" s="2" t="s">
        <v>30</v>
      </c>
      <c r="C32" s="2" t="s">
        <v>31</v>
      </c>
      <c r="D32" s="2" t="s">
        <v>32</v>
      </c>
      <c r="E32" s="6">
        <v>1</v>
      </c>
      <c r="F32" s="6">
        <v>0</v>
      </c>
      <c r="G32" s="7">
        <v>0.692625880241394</v>
      </c>
      <c r="H32" s="7">
        <v>51.01759609375</v>
      </c>
      <c r="I32" s="7">
        <v>31.00689737338857</v>
      </c>
      <c r="J32" s="7">
        <v>9.389005086185133</v>
      </c>
      <c r="K32" s="7">
        <v>7.772364411569047</v>
      </c>
      <c r="L32" s="7">
        <v>0.5988307422404602</v>
      </c>
      <c r="M32" s="7">
        <v>0.6668270849220335</v>
      </c>
      <c r="N32" s="7">
        <v>0.4323511549378725</v>
      </c>
      <c r="O32" s="7">
        <v>0.1982482165543085</v>
      </c>
      <c r="P32" s="7">
        <v>8.201671777487553</v>
      </c>
      <c r="Q32" s="7">
        <v>0.0113360721567832</v>
      </c>
      <c r="R32" s="7">
        <v>0.0496402754613678</v>
      </c>
      <c r="S32" s="7">
        <v>0.0793946683650065</v>
      </c>
      <c r="T32" s="7">
        <v>0.6712331131193506</v>
      </c>
    </row>
    <row x14ac:dyDescent="0.25" r="33" customHeight="1" ht="19.5">
      <c r="A33" s="2" t="s">
        <v>63</v>
      </c>
      <c r="B33" s="2" t="s">
        <v>30</v>
      </c>
      <c r="C33" s="2" t="s">
        <v>31</v>
      </c>
      <c r="D33" s="2" t="s">
        <v>32</v>
      </c>
      <c r="E33" s="6">
        <v>1</v>
      </c>
      <c r="F33" s="6">
        <v>0</v>
      </c>
      <c r="G33" s="7">
        <v>0.6789496541023254</v>
      </c>
      <c r="H33" s="7">
        <v>51.09725156250001</v>
      </c>
      <c r="I33" s="7">
        <v>30.37173939002869</v>
      </c>
      <c r="J33" s="7">
        <v>9.546600528861312</v>
      </c>
      <c r="K33" s="7">
        <v>7.872564557738031</v>
      </c>
      <c r="L33" s="7">
        <v>0.6056864766146788</v>
      </c>
      <c r="M33" s="7">
        <v>0.6960942966262887</v>
      </c>
      <c r="N33" s="7">
        <v>0.4293478041081495</v>
      </c>
      <c r="O33" s="7">
        <v>0.194975625011767</v>
      </c>
      <c r="P33" s="7">
        <v>8.181998216437794</v>
      </c>
      <c r="Q33" s="7">
        <v>0.0119502509776345</v>
      </c>
      <c r="R33" s="7">
        <v>0.0507524276499565</v>
      </c>
      <c r="S33" s="7">
        <v>0.0826559173810071</v>
      </c>
      <c r="T33" s="7">
        <v>0.7087047559455402</v>
      </c>
    </row>
    <row x14ac:dyDescent="0.25" r="34" customHeight="1" ht="19.5">
      <c r="A34" s="2" t="s">
        <v>64</v>
      </c>
      <c r="B34" s="2" t="s">
        <v>30</v>
      </c>
      <c r="C34" s="2" t="s">
        <v>31</v>
      </c>
      <c r="D34" s="2" t="s">
        <v>32</v>
      </c>
      <c r="E34" s="6">
        <v>1</v>
      </c>
      <c r="F34" s="6">
        <v>0</v>
      </c>
      <c r="G34" s="7">
        <v>0.6669334173202515</v>
      </c>
      <c r="H34" s="7">
        <v>49.7673515625</v>
      </c>
      <c r="I34" s="7">
        <v>29.48236238734646</v>
      </c>
      <c r="J34" s="7">
        <v>9.528430426808445</v>
      </c>
      <c r="K34" s="7">
        <v>7.660681574023234</v>
      </c>
      <c r="L34" s="7">
        <v>0.618935247514813</v>
      </c>
      <c r="M34" s="7">
        <v>0.7189476375977233</v>
      </c>
      <c r="N34" s="7">
        <v>0.422709729431502</v>
      </c>
      <c r="O34" s="7">
        <v>0.177139950813223</v>
      </c>
      <c r="P34" s="7">
        <v>8.260966158953098</v>
      </c>
      <c r="Q34" s="7">
        <v>0.0115650304892594</v>
      </c>
      <c r="R34" s="7">
        <v>0.0505482595832713</v>
      </c>
      <c r="S34" s="7">
        <v>0.0806955974363886</v>
      </c>
      <c r="T34" s="7">
        <v>0.6680086588307321</v>
      </c>
    </row>
    <row x14ac:dyDescent="0.25" r="35" customHeight="1" ht="19.5">
      <c r="A35" s="2" t="s">
        <v>65</v>
      </c>
      <c r="B35" s="2" t="s">
        <v>30</v>
      </c>
      <c r="C35" s="2" t="s">
        <v>31</v>
      </c>
      <c r="D35" s="2" t="s">
        <v>32</v>
      </c>
      <c r="E35" s="6">
        <v>1</v>
      </c>
      <c r="F35" s="6">
        <v>0</v>
      </c>
      <c r="G35" s="7">
        <v>0.6889036297798157</v>
      </c>
      <c r="H35" s="7">
        <v>50.356109375</v>
      </c>
      <c r="I35" s="7">
        <v>29.90685688153192</v>
      </c>
      <c r="J35" s="7">
        <v>9.63361833732595</v>
      </c>
      <c r="K35" s="7">
        <v>7.781016995551859</v>
      </c>
      <c r="L35" s="7">
        <v>0.610830653800037</v>
      </c>
      <c r="M35" s="7">
        <v>0.7074902959097732</v>
      </c>
      <c r="N35" s="7">
        <v>0.4284832005941575</v>
      </c>
      <c r="O35" s="7">
        <v>0.1832296107240557</v>
      </c>
      <c r="P35" s="7">
        <v>8.238799999107286</v>
      </c>
      <c r="Q35" s="7">
        <v>0.0116027984689364</v>
      </c>
      <c r="R35" s="7">
        <v>0.0502039172723083</v>
      </c>
      <c r="S35" s="7">
        <v>0.0828638492516669</v>
      </c>
      <c r="T35" s="7">
        <v>0.6781186632090662</v>
      </c>
    </row>
    <row x14ac:dyDescent="0.25" r="36" customHeight="1" ht="19.5">
      <c r="A36" s="2" t="s">
        <v>66</v>
      </c>
      <c r="B36" s="2" t="s">
        <v>30</v>
      </c>
      <c r="C36" s="2" t="s">
        <v>31</v>
      </c>
      <c r="D36" s="2" t="s">
        <v>32</v>
      </c>
      <c r="E36" s="6">
        <v>1</v>
      </c>
      <c r="F36" s="6">
        <v>0</v>
      </c>
      <c r="G36" s="7">
        <v>0.6943243741989136</v>
      </c>
      <c r="H36" s="7">
        <v>51.03144921875001</v>
      </c>
      <c r="I36" s="7">
        <v>30.28433110169884</v>
      </c>
      <c r="J36" s="7">
        <v>9.448419368697245</v>
      </c>
      <c r="K36" s="7">
        <v>7.59875304295088</v>
      </c>
      <c r="L36" s="7">
        <v>0.6275741354298804</v>
      </c>
      <c r="M36" s="7">
        <v>0.6992167032654708</v>
      </c>
      <c r="N36" s="7">
        <v>0.438563285784097</v>
      </c>
      <c r="O36" s="7">
        <v>0.2003675481435594</v>
      </c>
      <c r="P36" s="7">
        <v>8.124933470494877</v>
      </c>
      <c r="Q36" s="7">
        <v>0.0116890416989507</v>
      </c>
      <c r="R36" s="7">
        <v>0.0498564649831025</v>
      </c>
      <c r="S36" s="7">
        <v>0.080258948132944</v>
      </c>
      <c r="T36" s="7">
        <v>0.6923211349650663</v>
      </c>
    </row>
    <row x14ac:dyDescent="0.25" r="37" customHeight="1" ht="19.5">
      <c r="A37" s="2" t="s">
        <v>67</v>
      </c>
      <c r="B37" s="2" t="s">
        <v>30</v>
      </c>
      <c r="C37" s="2" t="s">
        <v>31</v>
      </c>
      <c r="D37" s="2" t="s">
        <v>32</v>
      </c>
      <c r="E37" s="6">
        <v>1</v>
      </c>
      <c r="F37" s="6">
        <v>0</v>
      </c>
      <c r="G37" s="7">
        <v>0.6622971892356873</v>
      </c>
      <c r="H37" s="7">
        <v>51.89726953125</v>
      </c>
      <c r="I37" s="7">
        <v>30.89720391999242</v>
      </c>
      <c r="J37" s="7">
        <v>9.469052263419911</v>
      </c>
      <c r="K37" s="7">
        <v>7.815337392441895</v>
      </c>
      <c r="L37" s="7">
        <v>0.6187371621748639</v>
      </c>
      <c r="M37" s="7">
        <v>0.6831043196786508</v>
      </c>
      <c r="N37" s="7">
        <v>0.430262818931949</v>
      </c>
      <c r="O37" s="7">
        <v>0.1857643481815191</v>
      </c>
      <c r="P37" s="7">
        <v>8.228689733200229</v>
      </c>
      <c r="Q37" s="7">
        <v>0.0106909260845742</v>
      </c>
      <c r="R37" s="7">
        <v>0.0482335371662159</v>
      </c>
      <c r="S37" s="7">
        <v>0.0774929208987462</v>
      </c>
      <c r="T37" s="7">
        <v>0.643947728987265</v>
      </c>
    </row>
    <row x14ac:dyDescent="0.25" r="38" customHeight="1" ht="19.5">
      <c r="A38" s="2" t="s">
        <v>68</v>
      </c>
      <c r="B38" s="2" t="s">
        <v>30</v>
      </c>
      <c r="C38" s="2" t="s">
        <v>31</v>
      </c>
      <c r="D38" s="2" t="s">
        <v>32</v>
      </c>
      <c r="E38" s="6">
        <v>1</v>
      </c>
      <c r="F38" s="6">
        <v>0</v>
      </c>
      <c r="G38" s="7">
        <v>0.6992213726043701</v>
      </c>
      <c r="H38" s="7">
        <v>50.68512109375001</v>
      </c>
      <c r="I38" s="7">
        <v>30.08167345819162</v>
      </c>
      <c r="J38" s="7">
        <v>9.360660641712329</v>
      </c>
      <c r="K38" s="7">
        <v>7.797626625090043</v>
      </c>
      <c r="L38" s="7">
        <v>0.6033171394966684</v>
      </c>
      <c r="M38" s="7">
        <v>0.7035234728662193</v>
      </c>
      <c r="N38" s="7">
        <v>0.4375700034844318</v>
      </c>
      <c r="O38" s="7">
        <v>0.2015146789209796</v>
      </c>
      <c r="P38" s="7">
        <v>8.147275693768787</v>
      </c>
      <c r="Q38" s="7">
        <v>0.0113217700247992</v>
      </c>
      <c r="R38" s="7">
        <v>0.0497138348363759</v>
      </c>
      <c r="S38" s="7">
        <v>0.0797940561986318</v>
      </c>
      <c r="T38" s="7">
        <v>0.66601743373338</v>
      </c>
    </row>
    <row x14ac:dyDescent="0.25" r="39" customHeight="1" ht="19.5">
      <c r="A39" s="2" t="s">
        <v>69</v>
      </c>
      <c r="B39" s="2" t="s">
        <v>30</v>
      </c>
      <c r="C39" s="2" t="s">
        <v>31</v>
      </c>
      <c r="D39" s="2" t="s">
        <v>32</v>
      </c>
      <c r="E39" s="6">
        <v>1</v>
      </c>
      <c r="F39" s="6">
        <v>0</v>
      </c>
      <c r="G39" s="7">
        <v>0.6759760975837708</v>
      </c>
      <c r="H39" s="7">
        <v>50.771703125</v>
      </c>
      <c r="I39" s="7">
        <v>29.95560952748576</v>
      </c>
      <c r="J39" s="7">
        <v>9.36179467477249</v>
      </c>
      <c r="K39" s="7">
        <v>7.689626246232939</v>
      </c>
      <c r="L39" s="7">
        <v>0.6239195818605873</v>
      </c>
      <c r="M39" s="7">
        <v>0.7108152884533613</v>
      </c>
      <c r="N39" s="7">
        <v>0.4263365619700956</v>
      </c>
      <c r="O39" s="7">
        <v>0.1847901392090754</v>
      </c>
      <c r="P39" s="7">
        <v>8.236762941044496</v>
      </c>
      <c r="Q39" s="7">
        <v>0.0116412028297753</v>
      </c>
      <c r="R39" s="7">
        <v>0.0504939596404222</v>
      </c>
      <c r="S39" s="7">
        <v>0.0819993682459732</v>
      </c>
      <c r="T39" s="7">
        <v>0.6859782851871177</v>
      </c>
    </row>
    <row x14ac:dyDescent="0.25" r="40" customHeight="1" ht="19.5">
      <c r="A40" s="2" t="s">
        <v>70</v>
      </c>
      <c r="B40" s="2" t="s">
        <v>30</v>
      </c>
      <c r="C40" s="2" t="s">
        <v>31</v>
      </c>
      <c r="D40" s="2" t="s">
        <v>32</v>
      </c>
      <c r="E40" s="6">
        <v>1</v>
      </c>
      <c r="F40" s="6">
        <v>0</v>
      </c>
      <c r="G40" s="7">
        <v>0.6835917234420776</v>
      </c>
      <c r="H40" s="7">
        <v>50.45308125</v>
      </c>
      <c r="I40" s="7">
        <v>30.47515936969293</v>
      </c>
      <c r="J40" s="7">
        <v>9.5841827579361</v>
      </c>
      <c r="K40" s="7">
        <v>7.75695361786338</v>
      </c>
      <c r="L40" s="7">
        <v>0.604843009059001</v>
      </c>
      <c r="M40" s="7">
        <v>0.6826617780841807</v>
      </c>
      <c r="N40" s="7">
        <v>0.4235986194143951</v>
      </c>
      <c r="O40" s="7">
        <v>0.1806984425516047</v>
      </c>
      <c r="P40" s="7">
        <v>8.28151558595063</v>
      </c>
      <c r="Q40" s="7">
        <v>0.0110023909907609</v>
      </c>
      <c r="R40" s="7">
        <v>0.04855945552353</v>
      </c>
      <c r="S40" s="7">
        <v>0.0766439200893706</v>
      </c>
      <c r="T40" s="7">
        <v>0.6442664985080606</v>
      </c>
    </row>
    <row x14ac:dyDescent="0.25" r="41" customHeight="1" ht="19.5">
      <c r="A41" s="2" t="s">
        <v>71</v>
      </c>
      <c r="B41" s="2" t="s">
        <v>30</v>
      </c>
      <c r="C41" s="2" t="s">
        <v>31</v>
      </c>
      <c r="D41" s="2" t="s">
        <v>32</v>
      </c>
      <c r="E41" s="6">
        <v>1</v>
      </c>
      <c r="F41" s="6">
        <v>0</v>
      </c>
      <c r="G41" s="7">
        <v>0.6927981376647949</v>
      </c>
      <c r="H41" s="7">
        <v>51.34314453125</v>
      </c>
      <c r="I41" s="7">
        <v>30.27423409812101</v>
      </c>
      <c r="J41" s="7">
        <v>9.521445397102283</v>
      </c>
      <c r="K41" s="7">
        <v>7.700072017651401</v>
      </c>
      <c r="L41" s="7">
        <v>0.6265343984924683</v>
      </c>
      <c r="M41" s="7">
        <v>0.7039567831860374</v>
      </c>
      <c r="N41" s="7">
        <v>0.4327011218625418</v>
      </c>
      <c r="O41" s="7">
        <v>0.1937797013004307</v>
      </c>
      <c r="P41" s="7">
        <v>8.195092261586156</v>
      </c>
      <c r="Q41" s="7">
        <v>0.0110870716637771</v>
      </c>
      <c r="R41" s="7">
        <v>0.0492644444862221</v>
      </c>
      <c r="S41" s="7">
        <v>0.0781734275977235</v>
      </c>
      <c r="T41" s="7">
        <v>0.6606783849240383</v>
      </c>
    </row>
    <row x14ac:dyDescent="0.25" r="42" customHeight="1" ht="19.5">
      <c r="A42" s="2" t="s">
        <v>72</v>
      </c>
      <c r="B42" s="2" t="s">
        <v>30</v>
      </c>
      <c r="C42" s="2" t="s">
        <v>31</v>
      </c>
      <c r="D42" s="2" t="s">
        <v>32</v>
      </c>
      <c r="E42" s="6">
        <v>1</v>
      </c>
      <c r="F42" s="6">
        <v>0</v>
      </c>
      <c r="G42" s="7">
        <v>0.684342086315155</v>
      </c>
      <c r="H42" s="7">
        <v>51.30504843750001</v>
      </c>
      <c r="I42" s="7">
        <v>30.98879452414354</v>
      </c>
      <c r="J42" s="7">
        <v>9.743282602157148</v>
      </c>
      <c r="K42" s="7">
        <v>7.874268525108188</v>
      </c>
      <c r="L42" s="7">
        <v>0.6140457027628992</v>
      </c>
      <c r="M42" s="7">
        <v>0.6713679444189519</v>
      </c>
      <c r="N42" s="7">
        <v>0.4365210770378398</v>
      </c>
      <c r="O42" s="7">
        <v>0.2004075831532458</v>
      </c>
      <c r="P42" s="7">
        <v>8.164663919447513</v>
      </c>
      <c r="Q42" s="7">
        <v>0.0116567564912071</v>
      </c>
      <c r="R42" s="7">
        <v>0.0495977514710349</v>
      </c>
      <c r="S42" s="7">
        <v>0.0812645574330597</v>
      </c>
      <c r="T42" s="7">
        <v>0.6941104873324085</v>
      </c>
    </row>
    <row x14ac:dyDescent="0.25" r="43" customHeight="1" ht="19.5">
      <c r="A43" s="2" t="s">
        <v>73</v>
      </c>
      <c r="B43" s="2" t="s">
        <v>30</v>
      </c>
      <c r="C43" s="2" t="s">
        <v>31</v>
      </c>
      <c r="D43" s="2" t="s">
        <v>32</v>
      </c>
      <c r="E43" s="6">
        <v>1</v>
      </c>
      <c r="F43" s="6">
        <v>0</v>
      </c>
      <c r="G43" s="7">
        <v>0.6871106624603271</v>
      </c>
      <c r="H43" s="7">
        <v>49.86778671875</v>
      </c>
      <c r="I43" s="7">
        <v>30.14607900950451</v>
      </c>
      <c r="J43" s="7">
        <v>9.721198223651514</v>
      </c>
      <c r="K43" s="7">
        <v>7.725205838149765</v>
      </c>
      <c r="L43" s="7">
        <v>0.6192675924344245</v>
      </c>
      <c r="M43" s="7">
        <v>0.6895540145914694</v>
      </c>
      <c r="N43" s="7">
        <v>0.4282679292657438</v>
      </c>
      <c r="O43" s="7">
        <v>0.1801332077332004</v>
      </c>
      <c r="P43" s="7">
        <v>8.247497897517398</v>
      </c>
      <c r="Q43" s="7">
        <v>0.0118063163880708</v>
      </c>
      <c r="R43" s="7">
        <v>0.051098563637099</v>
      </c>
      <c r="S43" s="7">
        <v>0.0846604614421648</v>
      </c>
      <c r="T43" s="7">
        <v>0.6833218228902905</v>
      </c>
    </row>
    <row x14ac:dyDescent="0.25" r="44" customHeight="1" ht="19.5">
      <c r="A44" s="2" t="s">
        <v>74</v>
      </c>
      <c r="B44" s="2" t="s">
        <v>30</v>
      </c>
      <c r="C44" s="2" t="s">
        <v>31</v>
      </c>
      <c r="D44" s="2" t="s">
        <v>32</v>
      </c>
      <c r="E44" s="6">
        <v>1</v>
      </c>
      <c r="F44" s="6">
        <v>0</v>
      </c>
      <c r="G44" s="7">
        <v>0.676023006439209</v>
      </c>
      <c r="H44" s="7">
        <v>50.0374875</v>
      </c>
      <c r="I44" s="7">
        <v>30.44068604313818</v>
      </c>
      <c r="J44" s="7">
        <v>9.490518178641445</v>
      </c>
      <c r="K44" s="7">
        <v>7.61039988612939</v>
      </c>
      <c r="L44" s="7">
        <v>0.6332527428877798</v>
      </c>
      <c r="M44" s="7">
        <v>0.6785728616461805</v>
      </c>
      <c r="N44" s="7">
        <v>0.4275411058328237</v>
      </c>
      <c r="O44" s="7">
        <v>0.1848526964848442</v>
      </c>
      <c r="P44" s="7">
        <v>8.239414496440608</v>
      </c>
      <c r="Q44" s="7">
        <v>0.0112655394976744</v>
      </c>
      <c r="R44" s="7">
        <v>0.0498618160617163</v>
      </c>
      <c r="S44" s="7">
        <v>0.0822111486950167</v>
      </c>
      <c r="T44" s="7">
        <v>0.6542417716539559</v>
      </c>
    </row>
    <row x14ac:dyDescent="0.25" r="45" customHeight="1" ht="19.5">
      <c r="A45" s="2" t="s">
        <v>75</v>
      </c>
      <c r="B45" s="2" t="s">
        <v>30</v>
      </c>
      <c r="C45" s="2" t="s">
        <v>31</v>
      </c>
      <c r="D45" s="2" t="s">
        <v>32</v>
      </c>
      <c r="E45" s="6">
        <v>1</v>
      </c>
      <c r="F45" s="6">
        <v>0</v>
      </c>
      <c r="G45" s="7">
        <v>0.68736332654953</v>
      </c>
      <c r="H45" s="7">
        <v>51.39855703125</v>
      </c>
      <c r="I45" s="7">
        <v>30.47515936969293</v>
      </c>
      <c r="J45" s="7">
        <v>9.672902650686034</v>
      </c>
      <c r="K45" s="7">
        <v>7.818010187485682</v>
      </c>
      <c r="L45" s="7">
        <v>0.6184493080952651</v>
      </c>
      <c r="M45" s="7">
        <v>0.6951266348229501</v>
      </c>
      <c r="N45" s="7">
        <v>0.4242628385434018</v>
      </c>
      <c r="O45" s="7">
        <v>0.1821328110412989</v>
      </c>
      <c r="P45" s="7">
        <v>8.268361690915407</v>
      </c>
      <c r="Q45" s="7">
        <v>0.0113332091834359</v>
      </c>
      <c r="R45" s="7">
        <v>0.0489309252965142</v>
      </c>
      <c r="S45" s="7">
        <v>0.0784922053673468</v>
      </c>
      <c r="T45" s="7">
        <v>0.6760745872083074</v>
      </c>
    </row>
    <row x14ac:dyDescent="0.25" r="46" customHeight="1" ht="19.5">
      <c r="A46" s="2" t="s">
        <v>76</v>
      </c>
      <c r="B46" s="2" t="s">
        <v>30</v>
      </c>
      <c r="C46" s="2" t="s">
        <v>31</v>
      </c>
      <c r="D46" s="2" t="s">
        <v>32</v>
      </c>
      <c r="E46" s="6">
        <v>1</v>
      </c>
      <c r="F46" s="6">
        <v>0</v>
      </c>
      <c r="G46" s="7">
        <v>0.6732682585716248</v>
      </c>
      <c r="H46" s="7">
        <v>50.80979921875</v>
      </c>
      <c r="I46" s="7">
        <v>30.8808334426827</v>
      </c>
      <c r="J46" s="7">
        <v>9.659655634726713</v>
      </c>
      <c r="K46" s="7">
        <v>7.895157301257447</v>
      </c>
      <c r="L46" s="7">
        <v>0.608248840037972</v>
      </c>
      <c r="M46" s="7">
        <v>0.6689966522851474</v>
      </c>
      <c r="N46" s="7">
        <v>0.4232066633287489</v>
      </c>
      <c r="O46" s="7">
        <v>0.1798622498793397</v>
      </c>
      <c r="P46" s="7">
        <v>8.285738847327423</v>
      </c>
      <c r="Q46" s="7">
        <v>0.0110316568606178</v>
      </c>
      <c r="R46" s="7">
        <v>0.0491803332734291</v>
      </c>
      <c r="S46" s="7">
        <v>0.0802249972095558</v>
      </c>
      <c r="T46" s="7">
        <v>0.6505474868486933</v>
      </c>
    </row>
    <row x14ac:dyDescent="0.25" r="47" customHeight="1" ht="19.5">
      <c r="A47" s="2" t="s">
        <v>77</v>
      </c>
      <c r="B47" s="2" t="s">
        <v>30</v>
      </c>
      <c r="C47" s="2" t="s">
        <v>31</v>
      </c>
      <c r="D47" s="2" t="s">
        <v>32</v>
      </c>
      <c r="E47" s="6">
        <v>1</v>
      </c>
      <c r="F47" s="6">
        <v>0</v>
      </c>
      <c r="G47" s="7">
        <v>0.68658846616745</v>
      </c>
      <c r="H47" s="7">
        <v>50.439228125</v>
      </c>
      <c r="I47" s="7">
        <v>30.95641235549943</v>
      </c>
      <c r="J47" s="7">
        <v>9.463650409332123</v>
      </c>
      <c r="K47" s="7">
        <v>7.778923399082723</v>
      </c>
      <c r="L47" s="7">
        <v>0.6072176059586729</v>
      </c>
      <c r="M47" s="7">
        <v>0.6614195840232403</v>
      </c>
      <c r="N47" s="7">
        <v>0.4286814789856729</v>
      </c>
      <c r="O47" s="7">
        <v>0.1899533235873293</v>
      </c>
      <c r="P47" s="7">
        <v>8.217196057448277</v>
      </c>
      <c r="Q47" s="7">
        <v>0.0113944748527658</v>
      </c>
      <c r="R47" s="7">
        <v>0.0491980191701256</v>
      </c>
      <c r="S47" s="7">
        <v>0.0790739456846353</v>
      </c>
      <c r="T47" s="7">
        <v>0.6670425319023977</v>
      </c>
    </row>
    <row x14ac:dyDescent="0.25" r="48" customHeight="1" ht="19.5">
      <c r="A48" s="2" t="s">
        <v>78</v>
      </c>
      <c r="B48" s="2" t="s">
        <v>30</v>
      </c>
      <c r="C48" s="2" t="s">
        <v>31</v>
      </c>
      <c r="D48" s="2" t="s">
        <v>32</v>
      </c>
      <c r="E48" s="6">
        <v>1</v>
      </c>
      <c r="F48" s="6">
        <v>0</v>
      </c>
      <c r="G48" s="7">
        <v>0.6747645139694214</v>
      </c>
      <c r="H48" s="7">
        <v>52.101603125</v>
      </c>
      <c r="I48" s="7">
        <v>31.15279652527475</v>
      </c>
      <c r="J48" s="7">
        <v>9.73875636733903</v>
      </c>
      <c r="K48" s="7">
        <v>7.561502010514175</v>
      </c>
      <c r="L48" s="7">
        <v>0.6430901031938447</v>
      </c>
      <c r="M48" s="7">
        <v>0.6744076810904498</v>
      </c>
      <c r="N48" s="7">
        <v>0.4295901060870974</v>
      </c>
      <c r="O48" s="7">
        <v>0.182032110880911</v>
      </c>
      <c r="P48" s="7">
        <v>8.221460676249288</v>
      </c>
      <c r="Q48" s="7">
        <v>0.0104012539841582</v>
      </c>
      <c r="R48" s="7">
        <v>0.0466196792294942</v>
      </c>
      <c r="S48" s="7">
        <v>0.0759873209779357</v>
      </c>
      <c r="T48" s="7">
        <v>0.6289665769919951</v>
      </c>
    </row>
    <row x14ac:dyDescent="0.25" r="49" customHeight="1" ht="19.5">
      <c r="A49" s="2" t="s">
        <v>79</v>
      </c>
      <c r="B49" s="2" t="s">
        <v>30</v>
      </c>
      <c r="C49" s="2" t="s">
        <v>31</v>
      </c>
      <c r="D49" s="2" t="s">
        <v>32</v>
      </c>
      <c r="E49" s="6">
        <v>1</v>
      </c>
      <c r="F49" s="6">
        <v>0</v>
      </c>
      <c r="G49" s="7">
        <v>0.5889589786529541</v>
      </c>
      <c r="H49" s="7">
        <v>41.0952953125</v>
      </c>
      <c r="I49" s="7">
        <v>26.71224654353685</v>
      </c>
      <c r="J49" s="7">
        <v>8.772611097040967</v>
      </c>
      <c r="K49" s="7">
        <v>6.873744236212408</v>
      </c>
      <c r="L49" s="7">
        <v>0.6147042796140033</v>
      </c>
      <c r="M49" s="7">
        <v>0.7237376081673179</v>
      </c>
      <c r="N49" s="7">
        <v>0.5865726812634446</v>
      </c>
      <c r="O49" s="7">
        <v>0.2214213245270649</v>
      </c>
      <c r="P49" s="7">
        <v>7.049235207931293</v>
      </c>
      <c r="Q49" s="7">
        <v>0.0053911966584742</v>
      </c>
      <c r="R49" s="7">
        <v>0.0226381490200691</v>
      </c>
      <c r="S49" s="7">
        <v>0.0394263383283166</v>
      </c>
      <c r="T49" s="7">
        <v>0.2571390647020681</v>
      </c>
    </row>
    <row x14ac:dyDescent="0.25" r="50" customHeight="1" ht="19.5">
      <c r="A50" s="2" t="s">
        <v>80</v>
      </c>
      <c r="B50" s="2" t="s">
        <v>30</v>
      </c>
      <c r="C50" s="2" t="s">
        <v>31</v>
      </c>
      <c r="D50" s="2" t="s">
        <v>32</v>
      </c>
      <c r="E50" s="6">
        <v>1</v>
      </c>
      <c r="F50" s="6">
        <v>0</v>
      </c>
      <c r="G50" s="7">
        <v>0.6469231247901917</v>
      </c>
      <c r="H50" s="7">
        <v>32.7695671875</v>
      </c>
      <c r="I50" s="7">
        <v>23.49152751062957</v>
      </c>
      <c r="J50" s="7">
        <v>7.098752306129954</v>
      </c>
      <c r="K50" s="7">
        <v>6.214894562043057</v>
      </c>
      <c r="L50" s="7">
        <v>0.6270501796723278</v>
      </c>
      <c r="M50" s="7">
        <v>0.7462048285592805</v>
      </c>
      <c r="N50" s="7">
        <v>0.5550504545049122</v>
      </c>
      <c r="O50" s="7">
        <v>0.1948448402413272</v>
      </c>
      <c r="P50" s="7">
        <v>6.903188832078239</v>
      </c>
      <c r="Q50" s="7">
        <v>0.0125725065817006</v>
      </c>
      <c r="R50" s="7">
        <v>0.0354932633439928</v>
      </c>
      <c r="S50" s="7">
        <v>0.0495764304274862</v>
      </c>
      <c r="T50" s="7">
        <v>0.4781711359600813</v>
      </c>
    </row>
    <row x14ac:dyDescent="0.25" r="51" customHeight="1" ht="19.5">
      <c r="A51" s="2" t="s">
        <v>81</v>
      </c>
      <c r="B51" s="2" t="s">
        <v>30</v>
      </c>
      <c r="C51" s="2" t="s">
        <v>31</v>
      </c>
      <c r="D51" s="2" t="s">
        <v>32</v>
      </c>
      <c r="E51" s="6">
        <v>1</v>
      </c>
      <c r="F51" s="6">
        <v>0</v>
      </c>
      <c r="G51" s="7">
        <v>0.7021873593330383</v>
      </c>
      <c r="H51" s="7">
        <v>45.91271953125</v>
      </c>
      <c r="I51" s="7">
        <v>29.79160752635456</v>
      </c>
      <c r="J51" s="7">
        <v>9.472469796226592</v>
      </c>
      <c r="K51" s="7">
        <v>7.388421766129569</v>
      </c>
      <c r="L51" s="7">
        <v>0.7238228791819002</v>
      </c>
      <c r="M51" s="7">
        <v>0.6500623388213858</v>
      </c>
      <c r="N51" s="7">
        <v>0.5737536280926286</v>
      </c>
      <c r="O51" s="7">
        <v>0.2508257866747264</v>
      </c>
      <c r="P51" s="7">
        <v>7.091991128456151</v>
      </c>
      <c r="Q51" s="7">
        <v>0.0093220133215581</v>
      </c>
      <c r="R51" s="7">
        <v>0.0401519214802505</v>
      </c>
      <c r="S51" s="7">
        <v>0.0708994572336934</v>
      </c>
      <c r="T51" s="7">
        <v>0.4967450146637311</v>
      </c>
    </row>
    <row x14ac:dyDescent="0.25" r="52" customHeight="1" ht="19.5">
      <c r="A52" s="2" t="s">
        <v>82</v>
      </c>
      <c r="B52" s="2" t="s">
        <v>30</v>
      </c>
      <c r="C52" s="2" t="s">
        <v>31</v>
      </c>
      <c r="D52" s="2" t="s">
        <v>32</v>
      </c>
      <c r="E52" s="6">
        <v>1</v>
      </c>
      <c r="F52" s="6">
        <v>0</v>
      </c>
      <c r="G52" s="7">
        <v>0.6856310367584229</v>
      </c>
      <c r="H52" s="7">
        <v>50.1483125</v>
      </c>
      <c r="I52" s="7">
        <v>31.7294636450783</v>
      </c>
      <c r="J52" s="7">
        <v>9.61702609294585</v>
      </c>
      <c r="K52" s="7">
        <v>7.55640560539607</v>
      </c>
      <c r="L52" s="7">
        <v>0.6917881018615041</v>
      </c>
      <c r="M52" s="7">
        <v>0.6259515595958459</v>
      </c>
      <c r="N52" s="7">
        <v>0.5155869364902499</v>
      </c>
      <c r="O52" s="7">
        <v>0.2140187887009484</v>
      </c>
      <c r="P52" s="7">
        <v>7.682018500340423</v>
      </c>
      <c r="Q52" s="7">
        <v>0.0108207603136619</v>
      </c>
      <c r="R52" s="7">
        <v>0.0532741146561467</v>
      </c>
      <c r="S52" s="7">
        <v>0.0902895902575872</v>
      </c>
      <c r="T52" s="7">
        <v>0.6298032259631295</v>
      </c>
    </row>
    <row x14ac:dyDescent="0.25" r="53" customHeight="1" ht="19.5">
      <c r="A53" s="2" t="s">
        <v>83</v>
      </c>
      <c r="B53" s="2" t="s">
        <v>30</v>
      </c>
      <c r="C53" s="2" t="s">
        <v>31</v>
      </c>
      <c r="D53" s="2" t="s">
        <v>32</v>
      </c>
      <c r="E53" s="6">
        <v>1</v>
      </c>
      <c r="F53" s="6">
        <v>0</v>
      </c>
      <c r="G53" s="7">
        <v>0.7149391174316406</v>
      </c>
      <c r="H53" s="7">
        <v>62.67153750000001</v>
      </c>
      <c r="I53" s="7">
        <v>34.93554457261114</v>
      </c>
      <c r="J53" s="7">
        <v>10.64383131269178</v>
      </c>
      <c r="K53" s="7">
        <v>8.255503290970772</v>
      </c>
      <c r="L53" s="7">
        <v>0.6870874386222888</v>
      </c>
      <c r="M53" s="7">
        <v>0.6451328698181122</v>
      </c>
      <c r="N53" s="7">
        <v>0.4508890755365788</v>
      </c>
      <c r="O53" s="7">
        <v>0.1472484931006776</v>
      </c>
      <c r="P53" s="7">
        <v>8.49217898011103</v>
      </c>
      <c r="Q53" s="7">
        <v>0.0109694822376063</v>
      </c>
      <c r="R53" s="7">
        <v>0.0516758514265209</v>
      </c>
      <c r="S53" s="7">
        <v>0.1090279029884385</v>
      </c>
      <c r="T53" s="7">
        <v>0.7978977833305321</v>
      </c>
    </row>
    <row x14ac:dyDescent="0.25" r="54" customHeight="1" ht="19.5">
      <c r="A54" s="2" t="s">
        <v>84</v>
      </c>
      <c r="B54" s="2" t="s">
        <v>30</v>
      </c>
      <c r="C54" s="2" t="s">
        <v>31</v>
      </c>
      <c r="D54" s="2" t="s">
        <v>32</v>
      </c>
      <c r="E54" s="6">
        <v>1</v>
      </c>
      <c r="F54" s="6">
        <v>0</v>
      </c>
      <c r="G54" s="7">
        <v>0.6977272033691406</v>
      </c>
      <c r="H54" s="7">
        <v>61.4524625</v>
      </c>
      <c r="I54" s="7">
        <v>34.55006450677703</v>
      </c>
      <c r="J54" s="7">
        <v>10.8565063170888</v>
      </c>
      <c r="K54" s="7">
        <v>8.517224745757126</v>
      </c>
      <c r="L54" s="7">
        <v>0.6581556341100661</v>
      </c>
      <c r="M54" s="7">
        <v>0.6468848097624021</v>
      </c>
      <c r="N54" s="7">
        <v>0.4376208501256448</v>
      </c>
      <c r="O54" s="7">
        <v>0.1610282698847321</v>
      </c>
      <c r="P54" s="7">
        <v>8.48898792515093</v>
      </c>
      <c r="Q54" s="7">
        <v>0.0107480577675763</v>
      </c>
      <c r="R54" s="7">
        <v>0.0550153278092627</v>
      </c>
      <c r="S54" s="7">
        <v>0.1162087238592067</v>
      </c>
      <c r="T54" s="7">
        <v>0.766584550706933</v>
      </c>
    </row>
    <row x14ac:dyDescent="0.25" r="55" customHeight="1" ht="19.5">
      <c r="A55" s="2" t="s">
        <v>85</v>
      </c>
      <c r="B55" s="2" t="s">
        <v>30</v>
      </c>
      <c r="C55" s="2" t="s">
        <v>31</v>
      </c>
      <c r="D55" s="2" t="s">
        <v>32</v>
      </c>
      <c r="E55" s="6">
        <v>1</v>
      </c>
      <c r="F55" s="6">
        <v>0</v>
      </c>
      <c r="G55" s="7">
        <v>0.6926616430282593</v>
      </c>
      <c r="H55" s="7">
        <v>63.54082109375</v>
      </c>
      <c r="I55" s="7">
        <v>34.60682299839806</v>
      </c>
      <c r="J55" s="7">
        <v>11.12037301498564</v>
      </c>
      <c r="K55" s="7">
        <v>8.620399854754826</v>
      </c>
      <c r="L55" s="7">
        <v>0.615741427958171</v>
      </c>
      <c r="M55" s="7">
        <v>0.6667134603677793</v>
      </c>
      <c r="N55" s="7">
        <v>0.4363897125397977</v>
      </c>
      <c r="O55" s="7">
        <v>0.1546718246085984</v>
      </c>
      <c r="P55" s="7">
        <v>8.547570371354288</v>
      </c>
      <c r="Q55" s="7">
        <v>0.0104429732842127</v>
      </c>
      <c r="R55" s="7">
        <v>0.05287295090596</v>
      </c>
      <c r="S55" s="7">
        <v>0.1143349153689061</v>
      </c>
      <c r="T55" s="7">
        <v>0.7701366112405883</v>
      </c>
    </row>
    <row x14ac:dyDescent="0.25" r="56" customHeight="1" ht="19.5">
      <c r="A56" s="2" t="s">
        <v>86</v>
      </c>
      <c r="B56" s="2" t="s">
        <v>30</v>
      </c>
      <c r="C56" s="2" t="s">
        <v>31</v>
      </c>
      <c r="D56" s="2" t="s">
        <v>32</v>
      </c>
      <c r="E56" s="6">
        <v>1</v>
      </c>
      <c r="F56" s="6">
        <v>0</v>
      </c>
      <c r="G56" s="7">
        <v>0.6977455615997314</v>
      </c>
      <c r="H56" s="7">
        <v>61.8749828125</v>
      </c>
      <c r="I56" s="7">
        <v>34.50722654857975</v>
      </c>
      <c r="J56" s="7">
        <v>10.7480336330187</v>
      </c>
      <c r="K56" s="7">
        <v>8.512760037233472</v>
      </c>
      <c r="L56" s="7">
        <v>0.6389521664612366</v>
      </c>
      <c r="M56" s="7">
        <v>0.6528412692556829</v>
      </c>
      <c r="N56" s="7">
        <v>0.4350563118698353</v>
      </c>
      <c r="O56" s="7">
        <v>0.1561901631981811</v>
      </c>
      <c r="P56" s="7">
        <v>8.536366461240114</v>
      </c>
      <c r="Q56" s="7">
        <v>0.0115903722178607</v>
      </c>
      <c r="R56" s="7">
        <v>0.0556424901900151</v>
      </c>
      <c r="S56" s="7">
        <v>0.1135625400607094</v>
      </c>
      <c r="T56" s="7">
        <v>0.8323447693394737</v>
      </c>
    </row>
    <row x14ac:dyDescent="0.25" r="57" customHeight="1" ht="19.5">
      <c r="A57" s="2" t="s">
        <v>87</v>
      </c>
      <c r="B57" s="2" t="s">
        <v>30</v>
      </c>
      <c r="C57" s="2" t="s">
        <v>31</v>
      </c>
      <c r="D57" s="2" t="s">
        <v>32</v>
      </c>
      <c r="E57" s="6">
        <v>1</v>
      </c>
      <c r="F57" s="6">
        <v>0</v>
      </c>
      <c r="G57" s="7">
        <v>0.7106174826622009</v>
      </c>
      <c r="H57" s="7">
        <v>60.67322421875</v>
      </c>
      <c r="I57" s="7">
        <v>33.55589393847059</v>
      </c>
      <c r="J57" s="7">
        <v>10.1902163151355</v>
      </c>
      <c r="K57" s="7">
        <v>8.332231594225304</v>
      </c>
      <c r="L57" s="7">
        <v>0.6446204349001807</v>
      </c>
      <c r="M57" s="7">
        <v>0.676739213529363</v>
      </c>
      <c r="N57" s="7">
        <v>0.453189274629324</v>
      </c>
      <c r="O57" s="7">
        <v>0.1880364472858651</v>
      </c>
      <c r="P57" s="7">
        <v>8.298128102050105</v>
      </c>
      <c r="Q57" s="7">
        <v>0.010711251929878</v>
      </c>
      <c r="R57" s="7">
        <v>0.0541009812882855</v>
      </c>
      <c r="S57" s="7">
        <v>0.1093220564858457</v>
      </c>
      <c r="T57" s="7">
        <v>0.7542721775787838</v>
      </c>
    </row>
    <row x14ac:dyDescent="0.25" r="58" customHeight="1" ht="19.5">
      <c r="A58" s="2" t="s">
        <v>88</v>
      </c>
      <c r="B58" s="2" t="s">
        <v>30</v>
      </c>
      <c r="C58" s="2" t="s">
        <v>31</v>
      </c>
      <c r="D58" s="2" t="s">
        <v>32</v>
      </c>
      <c r="E58" s="6">
        <v>1</v>
      </c>
      <c r="F58" s="6">
        <v>0</v>
      </c>
      <c r="G58" s="7">
        <v>0.690822422504425</v>
      </c>
      <c r="H58" s="7">
        <v>63.19795625</v>
      </c>
      <c r="I58" s="7">
        <v>34.28574848387684</v>
      </c>
      <c r="J58" s="7">
        <v>10.80792950006637</v>
      </c>
      <c r="K58" s="7">
        <v>8.611192301106017</v>
      </c>
      <c r="L58" s="7">
        <v>0.6312840524251223</v>
      </c>
      <c r="M58" s="7">
        <v>0.6755197119454773</v>
      </c>
      <c r="N58" s="7">
        <v>0.4368745938154269</v>
      </c>
      <c r="O58" s="7">
        <v>0.1483903957262668</v>
      </c>
      <c r="P58" s="7">
        <v>8.565795221149349</v>
      </c>
      <c r="Q58" s="7">
        <v>0.0108978871034184</v>
      </c>
      <c r="R58" s="7">
        <v>0.0539477658124987</v>
      </c>
      <c r="S58" s="7">
        <v>0.1156849238043968</v>
      </c>
      <c r="T58" s="7">
        <v>0.7993484156558278</v>
      </c>
    </row>
    <row x14ac:dyDescent="0.25" r="59" customHeight="1" ht="19.5">
      <c r="A59" s="2" t="s">
        <v>89</v>
      </c>
      <c r="B59" s="2" t="s">
        <v>30</v>
      </c>
      <c r="C59" s="2" t="s">
        <v>31</v>
      </c>
      <c r="D59" s="2" t="s">
        <v>32</v>
      </c>
      <c r="E59" s="6">
        <v>1</v>
      </c>
      <c r="F59" s="6">
        <v>0</v>
      </c>
      <c r="G59" s="7">
        <v>0.6912727952003479</v>
      </c>
      <c r="H59" s="7">
        <v>60.99530937500001</v>
      </c>
      <c r="I59" s="7">
        <v>34.94390920425367</v>
      </c>
      <c r="J59" s="7">
        <v>10.27558978208517</v>
      </c>
      <c r="K59" s="7">
        <v>8.361901196202538</v>
      </c>
      <c r="L59" s="7">
        <v>0.6599510152815574</v>
      </c>
      <c r="M59" s="7">
        <v>0.6275379770890098</v>
      </c>
      <c r="N59" s="7">
        <v>0.4457068386730811</v>
      </c>
      <c r="O59" s="7">
        <v>0.1702535078494284</v>
      </c>
      <c r="P59" s="7">
        <v>8.421922411829172</v>
      </c>
      <c r="Q59" s="7">
        <v>0.0107943074355482</v>
      </c>
      <c r="R59" s="7">
        <v>0.0545678233031564</v>
      </c>
      <c r="S59" s="7">
        <v>0.1120103953166245</v>
      </c>
      <c r="T59" s="7">
        <v>0.764155954625915</v>
      </c>
    </row>
    <row x14ac:dyDescent="0.25" r="60" customHeight="1" ht="19.5">
      <c r="A60" s="2" t="s">
        <v>90</v>
      </c>
      <c r="B60" s="2" t="s">
        <v>30</v>
      </c>
      <c r="C60" s="2" t="s">
        <v>31</v>
      </c>
      <c r="D60" s="2" t="s">
        <v>32</v>
      </c>
      <c r="E60" s="6">
        <v>1</v>
      </c>
      <c r="F60" s="6">
        <v>0</v>
      </c>
      <c r="G60" s="7">
        <v>0.7087926268577576</v>
      </c>
      <c r="H60" s="7">
        <v>63.0247921875</v>
      </c>
      <c r="I60" s="7">
        <v>35.2444309256439</v>
      </c>
      <c r="J60" s="7">
        <v>10.35635437898691</v>
      </c>
      <c r="K60" s="7">
        <v>8.423107835900788</v>
      </c>
      <c r="L60" s="7">
        <v>0.6529443094757658</v>
      </c>
      <c r="M60" s="7">
        <v>0.6373779980354415</v>
      </c>
      <c r="N60" s="7">
        <v>0.4450488336463145</v>
      </c>
      <c r="O60" s="7">
        <v>0.1707047665122627</v>
      </c>
      <c r="P60" s="7">
        <v>8.422562663182287</v>
      </c>
      <c r="Q60" s="7">
        <v>0.01058633950511</v>
      </c>
      <c r="R60" s="7">
        <v>0.0524794853847122</v>
      </c>
      <c r="S60" s="7">
        <v>0.1109606179911389</v>
      </c>
      <c r="T60" s="7">
        <v>0.7743691095678514</v>
      </c>
    </row>
    <row x14ac:dyDescent="0.25" r="61" customHeight="1" ht="19.5">
      <c r="A61" s="2" t="s">
        <v>91</v>
      </c>
      <c r="B61" s="2" t="s">
        <v>30</v>
      </c>
      <c r="C61" s="2" t="s">
        <v>31</v>
      </c>
      <c r="D61" s="2" t="s">
        <v>32</v>
      </c>
      <c r="E61" s="6">
        <v>1</v>
      </c>
      <c r="F61" s="6">
        <v>0</v>
      </c>
      <c r="G61" s="7">
        <v>0.7002987861633301</v>
      </c>
      <c r="H61" s="7">
        <v>64.04646015625</v>
      </c>
      <c r="I61" s="7">
        <v>36.15537552144176</v>
      </c>
      <c r="J61" s="7">
        <v>10.66407264631952</v>
      </c>
      <c r="K61" s="7">
        <v>8.338436465721168</v>
      </c>
      <c r="L61" s="7">
        <v>0.689378730787343</v>
      </c>
      <c r="M61" s="7">
        <v>0.615619362791862</v>
      </c>
      <c r="N61" s="7">
        <v>0.4395134793892666</v>
      </c>
      <c r="O61" s="7">
        <v>0.1589353526038365</v>
      </c>
      <c r="P61" s="7">
        <v>8.489822130606107</v>
      </c>
      <c r="Q61" s="7">
        <v>0.0108750146550285</v>
      </c>
      <c r="R61" s="7">
        <v>0.0538012340628273</v>
      </c>
      <c r="S61" s="7">
        <v>0.1119875120616169</v>
      </c>
      <c r="T61" s="7">
        <v>0.8083803761667259</v>
      </c>
    </row>
    <row x14ac:dyDescent="0.25" r="62" customHeight="1" ht="19.5">
      <c r="A62" s="2" t="s">
        <v>92</v>
      </c>
      <c r="B62" s="2" t="s">
        <v>30</v>
      </c>
      <c r="C62" s="2" t="s">
        <v>31</v>
      </c>
      <c r="D62" s="2" t="s">
        <v>32</v>
      </c>
      <c r="E62" s="6">
        <v>1</v>
      </c>
      <c r="F62" s="6">
        <v>0</v>
      </c>
      <c r="G62" s="7">
        <v>0.7114090919494629</v>
      </c>
      <c r="H62" s="7">
        <v>63.01093906250001</v>
      </c>
      <c r="I62" s="7">
        <v>35.09954657374235</v>
      </c>
      <c r="J62" s="7">
        <v>10.71639095370581</v>
      </c>
      <c r="K62" s="7">
        <v>8.355125363464612</v>
      </c>
      <c r="L62" s="7">
        <v>0.6531680980925365</v>
      </c>
      <c r="M62" s="7">
        <v>0.6427214641492908</v>
      </c>
      <c r="N62" s="7">
        <v>0.4450345388790532</v>
      </c>
      <c r="O62" s="7">
        <v>0.1604918354924662</v>
      </c>
      <c r="P62" s="7">
        <v>8.479308695641572</v>
      </c>
      <c r="Q62" s="7">
        <v>0.0112216187058584</v>
      </c>
      <c r="R62" s="7">
        <v>0.0546689689242606</v>
      </c>
      <c r="S62" s="7">
        <v>0.1146735083133756</v>
      </c>
      <c r="T62" s="7">
        <v>0.8206580614973309</v>
      </c>
    </row>
    <row x14ac:dyDescent="0.25" r="63" customHeight="1" ht="19.5">
      <c r="A63" s="2" t="s">
        <v>93</v>
      </c>
      <c r="B63" s="2" t="s">
        <v>30</v>
      </c>
      <c r="C63" s="2" t="s">
        <v>31</v>
      </c>
      <c r="D63" s="2" t="s">
        <v>32</v>
      </c>
      <c r="E63" s="6">
        <v>1</v>
      </c>
      <c r="F63" s="6">
        <v>0</v>
      </c>
      <c r="G63" s="7">
        <v>0.7026528120040894</v>
      </c>
      <c r="H63" s="7">
        <v>61.5632875</v>
      </c>
      <c r="I63" s="7">
        <v>34.94181804634303</v>
      </c>
      <c r="J63" s="7">
        <v>10.17659188070715</v>
      </c>
      <c r="K63" s="7">
        <v>8.338102165630247</v>
      </c>
      <c r="L63" s="7">
        <v>0.6458513325885065</v>
      </c>
      <c r="M63" s="7">
        <v>0.6332094599132416</v>
      </c>
      <c r="N63" s="7">
        <v>0.4477029602125111</v>
      </c>
      <c r="O63" s="7">
        <v>0.1735116726837702</v>
      </c>
      <c r="P63" s="7">
        <v>8.402873880472765</v>
      </c>
      <c r="Q63" s="7">
        <v>0.0118604440984901</v>
      </c>
      <c r="R63" s="7">
        <v>0.0560023480938328</v>
      </c>
      <c r="S63" s="7">
        <v>0.1149043674276875</v>
      </c>
      <c r="T63" s="7">
        <v>0.8474489271566831</v>
      </c>
    </row>
    <row x14ac:dyDescent="0.25" r="64" customHeight="1" ht="19.5">
      <c r="A64" s="2" t="s">
        <v>94</v>
      </c>
      <c r="B64" s="2" t="s">
        <v>30</v>
      </c>
      <c r="C64" s="2" t="s">
        <v>31</v>
      </c>
      <c r="D64" s="2" t="s">
        <v>32</v>
      </c>
      <c r="E64" s="6">
        <v>1</v>
      </c>
      <c r="F64" s="6">
        <v>0</v>
      </c>
      <c r="G64" s="7">
        <v>0.6984833478927612</v>
      </c>
      <c r="H64" s="7">
        <v>62.76504609375</v>
      </c>
      <c r="I64" s="7">
        <v>35.97882657284676</v>
      </c>
      <c r="J64" s="7">
        <v>10.33018897730014</v>
      </c>
      <c r="K64" s="7">
        <v>8.284050782956289</v>
      </c>
      <c r="L64" s="7">
        <v>0.6771812760350031</v>
      </c>
      <c r="M64" s="7">
        <v>0.6090346111071</v>
      </c>
      <c r="N64" s="7">
        <v>0.4418566896755318</v>
      </c>
      <c r="O64" s="7">
        <v>0.1636219142928419</v>
      </c>
      <c r="P64" s="7">
        <v>8.490039298699308</v>
      </c>
      <c r="Q64" s="7">
        <v>0.0115382330325927</v>
      </c>
      <c r="R64" s="7">
        <v>0.055207711537316</v>
      </c>
      <c r="S64" s="7">
        <v>0.1149963942895703</v>
      </c>
      <c r="T64" s="7">
        <v>0.8405197799184686</v>
      </c>
    </row>
    <row x14ac:dyDescent="0.25" r="65" customHeight="1" ht="19.5">
      <c r="A65" s="2" t="s">
        <v>95</v>
      </c>
      <c r="B65" s="2" t="s">
        <v>30</v>
      </c>
      <c r="C65" s="2" t="s">
        <v>31</v>
      </c>
      <c r="D65" s="2" t="s">
        <v>32</v>
      </c>
      <c r="E65" s="6">
        <v>1</v>
      </c>
      <c r="F65" s="6">
        <v>0</v>
      </c>
      <c r="G65" s="7">
        <v>0.6915885806083679</v>
      </c>
      <c r="H65" s="7">
        <v>64.28888984375</v>
      </c>
      <c r="I65" s="7">
        <v>35.09154072807515</v>
      </c>
      <c r="J65" s="7">
        <v>11.31938845846529</v>
      </c>
      <c r="K65" s="7">
        <v>8.71516696746529</v>
      </c>
      <c r="L65" s="7">
        <v>0.6407970468220816</v>
      </c>
      <c r="M65" s="7">
        <v>0.6558439549463952</v>
      </c>
      <c r="N65" s="7">
        <v>0.4370619861214</v>
      </c>
      <c r="O65" s="7">
        <v>0.1450529556654352</v>
      </c>
      <c r="P65" s="7">
        <v>8.589154709046136</v>
      </c>
      <c r="Q65" s="7">
        <v>0.0107484776751815</v>
      </c>
      <c r="R65" s="7">
        <v>0.0534550917480738</v>
      </c>
      <c r="S65" s="7">
        <v>0.1142312276237201</v>
      </c>
      <c r="T65" s="7">
        <v>0.8019987015307166</v>
      </c>
    </row>
    <row x14ac:dyDescent="0.25" r="66" customHeight="1" ht="19.5">
      <c r="A66" s="2" t="s">
        <v>96</v>
      </c>
      <c r="B66" s="2" t="s">
        <v>30</v>
      </c>
      <c r="C66" s="2" t="s">
        <v>31</v>
      </c>
      <c r="D66" s="2" t="s">
        <v>32</v>
      </c>
      <c r="E66" s="6">
        <v>1</v>
      </c>
      <c r="F66" s="6">
        <v>0</v>
      </c>
      <c r="G66" s="7">
        <v>0.6976054310798645</v>
      </c>
      <c r="H66" s="7">
        <v>63.4403859375</v>
      </c>
      <c r="I66" s="7">
        <v>34.04025288217235</v>
      </c>
      <c r="J66" s="7">
        <v>11.1707005499792</v>
      </c>
      <c r="K66" s="7">
        <v>8.597627411186474</v>
      </c>
      <c r="L66" s="7">
        <v>0.6657212640793184</v>
      </c>
      <c r="M66" s="7">
        <v>0.6880026718759901</v>
      </c>
      <c r="N66" s="7">
        <v>0.4473278625448175</v>
      </c>
      <c r="O66" s="7">
        <v>0.1602740101972779</v>
      </c>
      <c r="P66" s="7">
        <v>8.480923914444034</v>
      </c>
      <c r="Q66" s="7">
        <v>0.0098867239643261</v>
      </c>
      <c r="R66" s="7">
        <v>0.0516073557333135</v>
      </c>
      <c r="S66" s="7">
        <v>0.1123952287120433</v>
      </c>
      <c r="T66" s="7">
        <v>0.7279624958045745</v>
      </c>
    </row>
    <row x14ac:dyDescent="0.25" r="67" customHeight="1" ht="19.5">
      <c r="A67" s="2" t="s">
        <v>97</v>
      </c>
      <c r="B67" s="2" t="s">
        <v>30</v>
      </c>
      <c r="C67" s="2" t="s">
        <v>31</v>
      </c>
      <c r="D67" s="2" t="s">
        <v>32</v>
      </c>
      <c r="E67" s="6">
        <v>1</v>
      </c>
      <c r="F67" s="6">
        <v>0</v>
      </c>
      <c r="G67" s="7">
        <v>0.6881132125854492</v>
      </c>
      <c r="H67" s="7">
        <v>59.609996875</v>
      </c>
      <c r="I67" s="7">
        <v>32.82078071931707</v>
      </c>
      <c r="J67" s="7">
        <v>10.45079454426212</v>
      </c>
      <c r="K67" s="7">
        <v>8.097547977873795</v>
      </c>
      <c r="L67" s="7">
        <v>0.6415936354097582</v>
      </c>
      <c r="M67" s="7">
        <v>0.6951923257419792</v>
      </c>
      <c r="N67" s="7">
        <v>0.4475613786341381</v>
      </c>
      <c r="O67" s="7">
        <v>0.1678116517151502</v>
      </c>
      <c r="P67" s="7">
        <v>8.41188541463914</v>
      </c>
      <c r="Q67" s="7">
        <v>0.0109908620853497</v>
      </c>
      <c r="R67" s="7">
        <v>0.0544337949016899</v>
      </c>
      <c r="S67" s="7">
        <v>0.1151231223719194</v>
      </c>
      <c r="T67" s="7">
        <v>0.7603991757819386</v>
      </c>
    </row>
    <row x14ac:dyDescent="0.25" r="68" customHeight="1" ht="19.5">
      <c r="A68" s="2" t="s">
        <v>98</v>
      </c>
      <c r="B68" s="2" t="s">
        <v>30</v>
      </c>
      <c r="C68" s="2" t="s">
        <v>31</v>
      </c>
      <c r="D68" s="2" t="s">
        <v>32</v>
      </c>
      <c r="E68" s="6">
        <v>1</v>
      </c>
      <c r="F68" s="6">
        <v>0</v>
      </c>
      <c r="G68" s="7">
        <v>0.7025126218795776</v>
      </c>
      <c r="H68" s="7">
        <v>61.15808359375001</v>
      </c>
      <c r="I68" s="7">
        <v>34.9926618502075</v>
      </c>
      <c r="J68" s="7">
        <v>10.26797359368612</v>
      </c>
      <c r="K68" s="7">
        <v>8.306883331299284</v>
      </c>
      <c r="L68" s="7">
        <v>0.6418578825459326</v>
      </c>
      <c r="M68" s="7">
        <v>0.6268923987578273</v>
      </c>
      <c r="N68" s="7">
        <v>0.4516768945045389</v>
      </c>
      <c r="O68" s="7">
        <v>0.1804777476632489</v>
      </c>
      <c r="P68" s="7">
        <v>8.336864848409025</v>
      </c>
      <c r="Q68" s="7">
        <v>0.0109690362856055</v>
      </c>
      <c r="R68" s="7">
        <v>0.0551701022503488</v>
      </c>
      <c r="S68" s="7">
        <v>0.1109560335426701</v>
      </c>
      <c r="T68" s="7">
        <v>0.7785977088612868</v>
      </c>
    </row>
    <row x14ac:dyDescent="0.25" r="69" customHeight="1" ht="19.5">
      <c r="A69" s="2" t="s">
        <v>99</v>
      </c>
      <c r="B69" s="2" t="s">
        <v>30</v>
      </c>
      <c r="C69" s="2" t="s">
        <v>31</v>
      </c>
      <c r="D69" s="2" t="s">
        <v>32</v>
      </c>
      <c r="E69" s="6">
        <v>1</v>
      </c>
      <c r="F69" s="6">
        <v>0</v>
      </c>
      <c r="G69" s="7">
        <v>0.7083289623260498</v>
      </c>
      <c r="H69" s="7">
        <v>61.23081250000001</v>
      </c>
      <c r="I69" s="7">
        <v>34.49539717306663</v>
      </c>
      <c r="J69" s="7">
        <v>10.40425217322776</v>
      </c>
      <c r="K69" s="7">
        <v>8.406828243736479</v>
      </c>
      <c r="L69" s="7">
        <v>0.6610649989833566</v>
      </c>
      <c r="M69" s="7">
        <v>0.6466325868581866</v>
      </c>
      <c r="N69" s="7">
        <v>0.4495792923750257</v>
      </c>
      <c r="O69" s="7">
        <v>0.1733481473340035</v>
      </c>
      <c r="P69" s="7">
        <v>8.385436415576478</v>
      </c>
      <c r="Q69" s="7">
        <v>0.0110947867672725</v>
      </c>
      <c r="R69" s="7">
        <v>0.0542963950501065</v>
      </c>
      <c r="S69" s="7">
        <v>0.1103588355406337</v>
      </c>
      <c r="T69" s="7">
        <v>0.7884601753356612</v>
      </c>
    </row>
    <row x14ac:dyDescent="0.25" r="70" customHeight="1" ht="19.5">
      <c r="A70" s="2" t="s">
        <v>100</v>
      </c>
      <c r="B70" s="2" t="s">
        <v>30</v>
      </c>
      <c r="C70" s="2" t="s">
        <v>31</v>
      </c>
      <c r="D70" s="2" t="s">
        <v>32</v>
      </c>
      <c r="E70" s="6">
        <v>1</v>
      </c>
      <c r="F70" s="6">
        <v>0</v>
      </c>
      <c r="G70" s="7">
        <v>0.7061532139778137</v>
      </c>
      <c r="H70" s="7">
        <v>61.92693203125</v>
      </c>
      <c r="I70" s="7">
        <v>36.05404669968815</v>
      </c>
      <c r="J70" s="7">
        <v>10.22718037281514</v>
      </c>
      <c r="K70" s="7">
        <v>8.369877579720281</v>
      </c>
      <c r="L70" s="7">
        <v>0.6541606846780418</v>
      </c>
      <c r="M70" s="7">
        <v>0.5986615902837292</v>
      </c>
      <c r="N70" s="7">
        <v>0.4446492360881083</v>
      </c>
      <c r="O70" s="7">
        <v>0.1692851284492924</v>
      </c>
      <c r="P70" s="7">
        <v>8.421144693059325</v>
      </c>
      <c r="Q70" s="7">
        <v>0.0109933310550788</v>
      </c>
      <c r="R70" s="7">
        <v>0.0542440806764108</v>
      </c>
      <c r="S70" s="7">
        <v>0.1123203285581432</v>
      </c>
      <c r="T70" s="7">
        <v>0.7901320010826026</v>
      </c>
    </row>
    <row x14ac:dyDescent="0.25" r="71" customHeight="1" ht="19.5">
      <c r="A71" s="2" t="s">
        <v>101</v>
      </c>
      <c r="B71" s="2" t="s">
        <v>30</v>
      </c>
      <c r="C71" s="2" t="s">
        <v>31</v>
      </c>
      <c r="D71" s="2" t="s">
        <v>32</v>
      </c>
      <c r="E71" s="6">
        <v>1</v>
      </c>
      <c r="F71" s="6">
        <v>0</v>
      </c>
      <c r="G71" s="7">
        <v>0.692808210849762</v>
      </c>
      <c r="H71" s="7">
        <v>64.17113828125001</v>
      </c>
      <c r="I71" s="7">
        <v>34.91672415141544</v>
      </c>
      <c r="J71" s="7">
        <v>11.00653950443593</v>
      </c>
      <c r="K71" s="7">
        <v>8.680160111735404</v>
      </c>
      <c r="L71" s="7">
        <v>0.643128755519874</v>
      </c>
      <c r="M71" s="7">
        <v>0.6612852844772128</v>
      </c>
      <c r="N71" s="7">
        <v>0.4409078187633747</v>
      </c>
      <c r="O71" s="7">
        <v>0.1527207210508928</v>
      </c>
      <c r="P71" s="7">
        <v>8.51410391930065</v>
      </c>
      <c r="Q71" s="7">
        <v>0.0104536651062777</v>
      </c>
      <c r="R71" s="7">
        <v>0.0530372729350367</v>
      </c>
      <c r="S71" s="7">
        <v>0.1126308083188122</v>
      </c>
      <c r="T71" s="7">
        <v>0.7785725825368106</v>
      </c>
    </row>
    <row x14ac:dyDescent="0.25" r="72" customHeight="1" ht="19.5">
      <c r="A72" s="2" t="s">
        <v>102</v>
      </c>
      <c r="B72" s="2" t="s">
        <v>30</v>
      </c>
      <c r="C72" s="2" t="s">
        <v>31</v>
      </c>
      <c r="D72" s="2" t="s">
        <v>32</v>
      </c>
      <c r="E72" s="6">
        <v>1</v>
      </c>
      <c r="F72" s="6">
        <v>0</v>
      </c>
      <c r="G72" s="7">
        <v>0.6901645064353943</v>
      </c>
      <c r="H72" s="7">
        <v>61.1407671875</v>
      </c>
      <c r="I72" s="7">
        <v>34.36096861071823</v>
      </c>
      <c r="J72" s="7">
        <v>10.68510076369752</v>
      </c>
      <c r="K72" s="7">
        <v>8.412448446163985</v>
      </c>
      <c r="L72" s="7">
        <v>0.6429785092506409</v>
      </c>
      <c r="M72" s="7">
        <v>0.6507436701424578</v>
      </c>
      <c r="N72" s="7">
        <v>0.4516017773900558</v>
      </c>
      <c r="O72" s="7">
        <v>0.1618692729452531</v>
      </c>
      <c r="P72" s="7">
        <v>8.38581344244045</v>
      </c>
      <c r="Q72" s="7">
        <v>0.0113606994943324</v>
      </c>
      <c r="R72" s="7">
        <v>0.0560630320348895</v>
      </c>
      <c r="S72" s="7">
        <v>0.1108784365279936</v>
      </c>
      <c r="T72" s="7">
        <v>0.8061701922589501</v>
      </c>
    </row>
    <row x14ac:dyDescent="0.25" r="73" customHeight="1" ht="19.5">
      <c r="A73" s="2" t="s">
        <v>103</v>
      </c>
      <c r="B73" s="2" t="s">
        <v>30</v>
      </c>
      <c r="C73" s="2" t="s">
        <v>31</v>
      </c>
      <c r="D73" s="2" t="s">
        <v>32</v>
      </c>
      <c r="E73" s="6">
        <v>1</v>
      </c>
      <c r="F73" s="6">
        <v>0</v>
      </c>
      <c r="G73" s="7">
        <v>0.6042412519454956</v>
      </c>
      <c r="H73" s="7">
        <v>36.6207359375</v>
      </c>
      <c r="I73" s="7">
        <v>24.80049911972533</v>
      </c>
      <c r="J73" s="7">
        <v>8.238093086088453</v>
      </c>
      <c r="K73" s="7">
        <v>6.406826340017911</v>
      </c>
      <c r="L73" s="7">
        <v>0.7036971007950027</v>
      </c>
      <c r="M73" s="7">
        <v>0.7481972183131287</v>
      </c>
      <c r="N73" s="7">
        <v>0.6562367829496781</v>
      </c>
      <c r="O73" s="7">
        <v>0.1950370476162758</v>
      </c>
      <c r="P73" s="7">
        <v>6.71244646651701</v>
      </c>
      <c r="Q73" s="7">
        <v>0.0101760688856129</v>
      </c>
      <c r="R73" s="7">
        <v>0.0336068236220382</v>
      </c>
      <c r="S73" s="7">
        <v>0.0491202891040672</v>
      </c>
      <c r="T73" s="7">
        <v>0.4325117257097037</v>
      </c>
    </row>
    <row x14ac:dyDescent="0.25" r="74" customHeight="1" ht="19.5">
      <c r="A74" s="2" t="s">
        <v>104</v>
      </c>
      <c r="B74" s="2" t="s">
        <v>30</v>
      </c>
      <c r="C74" s="2" t="s">
        <v>31</v>
      </c>
      <c r="D74" s="2" t="s">
        <v>32</v>
      </c>
      <c r="E74" s="6">
        <v>1</v>
      </c>
      <c r="F74" s="6">
        <v>0</v>
      </c>
      <c r="G74" s="7">
        <v>0.6924997568130493</v>
      </c>
      <c r="H74" s="7">
        <v>38.6987046875</v>
      </c>
      <c r="I74" s="7">
        <v>27.19349952934335</v>
      </c>
      <c r="J74" s="7">
        <v>8.45987728427242</v>
      </c>
      <c r="K74" s="7">
        <v>6.673102356648213</v>
      </c>
      <c r="L74" s="7">
        <v>0.69612671950343</v>
      </c>
      <c r="M74" s="7">
        <v>0.6576216336741112</v>
      </c>
      <c r="N74" s="7">
        <v>0.5981531891761451</v>
      </c>
      <c r="O74" s="7">
        <v>0.2200022203719295</v>
      </c>
      <c r="P74" s="7">
        <v>6.715130557699473</v>
      </c>
      <c r="Q74" s="7">
        <v>0.0134028840107459</v>
      </c>
      <c r="R74" s="7">
        <v>0.0469315140483809</v>
      </c>
      <c r="S74" s="7">
        <v>0.0718201495542497</v>
      </c>
      <c r="T74" s="7">
        <v>0.6019847201542767</v>
      </c>
    </row>
    <row x14ac:dyDescent="0.25" r="75" customHeight="1" ht="19.5">
      <c r="A75" s="2" t="s">
        <v>105</v>
      </c>
      <c r="B75" s="2" t="s">
        <v>30</v>
      </c>
      <c r="C75" s="2" t="s">
        <v>31</v>
      </c>
      <c r="D75" s="2" t="s">
        <v>32</v>
      </c>
      <c r="E75" s="6">
        <v>1</v>
      </c>
      <c r="F75" s="6">
        <v>0</v>
      </c>
      <c r="G75" s="7">
        <v>0.6983603835105896</v>
      </c>
      <c r="H75" s="7">
        <v>49.12664453125</v>
      </c>
      <c r="I75" s="7">
        <v>31.69152557465296</v>
      </c>
      <c r="J75" s="7">
        <v>9.453042364898382</v>
      </c>
      <c r="K75" s="7">
        <v>7.377727545008248</v>
      </c>
      <c r="L75" s="7">
        <v>0.711620627226442</v>
      </c>
      <c r="M75" s="7">
        <v>0.614668099067644</v>
      </c>
      <c r="N75" s="7">
        <v>0.5451554409218131</v>
      </c>
      <c r="O75" s="7">
        <v>0.2344732249223829</v>
      </c>
      <c r="P75" s="7">
        <v>7.201741916799302</v>
      </c>
      <c r="Q75" s="7">
        <v>0.0083462457831041</v>
      </c>
      <c r="R75" s="7">
        <v>0.0471577030613302</v>
      </c>
      <c r="S75" s="7">
        <v>0.090800957647176</v>
      </c>
      <c r="T75" s="7">
        <v>0.4758817518423094</v>
      </c>
    </row>
    <row x14ac:dyDescent="0.25" r="76" customHeight="1" ht="19.5">
      <c r="A76" s="2" t="s">
        <v>106</v>
      </c>
      <c r="B76" s="2" t="s">
        <v>30</v>
      </c>
      <c r="C76" s="2" t="s">
        <v>31</v>
      </c>
      <c r="D76" s="2" t="s">
        <v>32</v>
      </c>
      <c r="E76" s="6">
        <v>1</v>
      </c>
      <c r="F76" s="6">
        <v>0</v>
      </c>
      <c r="G76" s="7">
        <v>0.6642541885375977</v>
      </c>
      <c r="H76" s="7">
        <v>55.14929062500001</v>
      </c>
      <c r="I76" s="7">
        <v>34.21160471496146</v>
      </c>
      <c r="J76" s="7">
        <v>9.730458350847828</v>
      </c>
      <c r="K76" s="7">
        <v>8.317655116844099</v>
      </c>
      <c r="L76" s="7">
        <v>0.6002811752213835</v>
      </c>
      <c r="M76" s="7">
        <v>0.5911811037692307</v>
      </c>
      <c r="N76" s="7">
        <v>0.5005644463137803</v>
      </c>
      <c r="O76" s="7">
        <v>0.2025990658810633</v>
      </c>
      <c r="P76" s="7">
        <v>7.734854755145556</v>
      </c>
      <c r="Q76" s="7">
        <v>0.009817810421323</v>
      </c>
      <c r="R76" s="7">
        <v>0.0518816541446799</v>
      </c>
      <c r="S76" s="7">
        <v>0.1134857414373866</v>
      </c>
      <c r="T76" s="7">
        <v>0.6284132773358342</v>
      </c>
    </row>
    <row x14ac:dyDescent="0.25" r="77" customHeight="1" ht="19.5">
      <c r="A77" s="2" t="s">
        <v>107</v>
      </c>
      <c r="B77" s="2" t="s">
        <v>30</v>
      </c>
      <c r="C77" s="2" t="s">
        <v>31</v>
      </c>
      <c r="D77" s="2" t="s">
        <v>32</v>
      </c>
      <c r="E77" s="6">
        <v>1</v>
      </c>
      <c r="F77" s="6">
        <v>0</v>
      </c>
      <c r="G77" s="7">
        <v>0.6981595754623413</v>
      </c>
      <c r="H77" s="7">
        <v>62.19706796875001</v>
      </c>
      <c r="I77" s="7">
        <v>35.71313696398661</v>
      </c>
      <c r="J77" s="7">
        <v>10.35080918560148</v>
      </c>
      <c r="K77" s="7">
        <v>8.413948902225027</v>
      </c>
      <c r="L77" s="7">
        <v>0.6268835395353755</v>
      </c>
      <c r="M77" s="7">
        <v>0.6127729619562587</v>
      </c>
      <c r="N77" s="7">
        <v>0.4541958173492382</v>
      </c>
      <c r="O77" s="7">
        <v>0.1768870029307473</v>
      </c>
      <c r="P77" s="7">
        <v>8.135467431574693</v>
      </c>
      <c r="Q77" s="7">
        <v>0.0101356466372981</v>
      </c>
      <c r="R77" s="7">
        <v>0.0537932783837315</v>
      </c>
      <c r="S77" s="7">
        <v>0.1256074405546999</v>
      </c>
      <c r="T77" s="7">
        <v>0.7316647856461931</v>
      </c>
    </row>
    <row x14ac:dyDescent="0.25" r="78" customHeight="1" ht="19.5">
      <c r="A78" s="2" t="s">
        <v>108</v>
      </c>
      <c r="B78" s="2" t="s">
        <v>30</v>
      </c>
      <c r="C78" s="2" t="s">
        <v>31</v>
      </c>
      <c r="D78" s="2" t="s">
        <v>32</v>
      </c>
      <c r="E78" s="6">
        <v>1</v>
      </c>
      <c r="F78" s="6">
        <v>0</v>
      </c>
      <c r="G78" s="7">
        <v>0.7006718516349792</v>
      </c>
      <c r="H78" s="7">
        <v>59.91822890625</v>
      </c>
      <c r="I78" s="7">
        <v>35.44571498319117</v>
      </c>
      <c r="J78" s="7">
        <v>9.938417469869323</v>
      </c>
      <c r="K78" s="7">
        <v>8.605252279700288</v>
      </c>
      <c r="L78" s="7">
        <v>0.5830373105797749</v>
      </c>
      <c r="M78" s="7">
        <v>0.5971829572895488</v>
      </c>
      <c r="N78" s="7">
        <v>0.4464062845481064</v>
      </c>
      <c r="O78" s="7">
        <v>0.1681538200299198</v>
      </c>
      <c r="P78" s="7">
        <v>8.249540488152153</v>
      </c>
      <c r="Q78" s="7">
        <v>0.010429245792873</v>
      </c>
      <c r="R78" s="7">
        <v>0.0565947861543489</v>
      </c>
      <c r="S78" s="7">
        <v>0.1221095818547514</v>
      </c>
      <c r="T78" s="7">
        <v>0.7252749048138941</v>
      </c>
    </row>
    <row x14ac:dyDescent="0.25" r="79" customHeight="1" ht="19.5">
      <c r="A79" s="2" t="s">
        <v>109</v>
      </c>
      <c r="B79" s="2" t="s">
        <v>30</v>
      </c>
      <c r="C79" s="2" t="s">
        <v>31</v>
      </c>
      <c r="D79" s="2" t="s">
        <v>32</v>
      </c>
      <c r="E79" s="6">
        <v>1</v>
      </c>
      <c r="F79" s="6">
        <v>0</v>
      </c>
      <c r="G79" s="7">
        <v>0.7002852559089661</v>
      </c>
      <c r="H79" s="7">
        <v>58.43248125</v>
      </c>
      <c r="I79" s="7">
        <v>34.7227899255261</v>
      </c>
      <c r="J79" s="7">
        <v>9.974448808411552</v>
      </c>
      <c r="K79" s="7">
        <v>8.57230582174115</v>
      </c>
      <c r="L79" s="7">
        <v>0.6087550211896965</v>
      </c>
      <c r="M79" s="7">
        <v>0.6086638166969937</v>
      </c>
      <c r="N79" s="7">
        <v>0.4584067512267359</v>
      </c>
      <c r="O79" s="7">
        <v>0.1818694970584201</v>
      </c>
      <c r="P79" s="7">
        <v>8.106752689798263</v>
      </c>
      <c r="Q79" s="7">
        <v>0.0102860400503692</v>
      </c>
      <c r="R79" s="7">
        <v>0.0563115399079163</v>
      </c>
      <c r="S79" s="7">
        <v>0.1203886730623318</v>
      </c>
      <c r="T79" s="7">
        <v>0.697578873691503</v>
      </c>
    </row>
    <row x14ac:dyDescent="0.25" r="80" customHeight="1" ht="19.5">
      <c r="A80" s="2" t="s">
        <v>110</v>
      </c>
      <c r="B80" s="2" t="s">
        <v>30</v>
      </c>
      <c r="C80" s="2" t="s">
        <v>31</v>
      </c>
      <c r="D80" s="2" t="s">
        <v>32</v>
      </c>
      <c r="E80" s="6">
        <v>1</v>
      </c>
      <c r="F80" s="6">
        <v>0</v>
      </c>
      <c r="G80" s="7">
        <v>0.6951457858085632</v>
      </c>
      <c r="H80" s="7">
        <v>61.6533328125</v>
      </c>
      <c r="I80" s="7">
        <v>39.56100813458657</v>
      </c>
      <c r="J80" s="7">
        <v>10.3400361710477</v>
      </c>
      <c r="K80" s="7">
        <v>8.712421119052163</v>
      </c>
      <c r="L80" s="7">
        <v>0.6070875435127984</v>
      </c>
      <c r="M80" s="7">
        <v>0.494974616200532</v>
      </c>
      <c r="N80" s="7">
        <v>0.4480284875073826</v>
      </c>
      <c r="O80" s="7">
        <v>0.1668726648467612</v>
      </c>
      <c r="P80" s="7">
        <v>8.284307358899616</v>
      </c>
      <c r="Q80" s="7">
        <v>0.0098028250456616</v>
      </c>
      <c r="R80" s="7">
        <v>0.0547431248380412</v>
      </c>
      <c r="S80" s="7">
        <v>0.1244237742116698</v>
      </c>
      <c r="T80" s="7">
        <v>0.7014530212473892</v>
      </c>
    </row>
    <row x14ac:dyDescent="0.25" r="81" customHeight="1" ht="19.5">
      <c r="A81" s="2" t="s">
        <v>111</v>
      </c>
      <c r="B81" s="2" t="s">
        <v>30</v>
      </c>
      <c r="C81" s="2" t="s">
        <v>31</v>
      </c>
      <c r="D81" s="2" t="s">
        <v>32</v>
      </c>
      <c r="E81" s="6">
        <v>1</v>
      </c>
      <c r="F81" s="6">
        <v>0</v>
      </c>
      <c r="G81" s="7">
        <v>0.7018551826477051</v>
      </c>
      <c r="H81" s="7">
        <v>59.19093984375</v>
      </c>
      <c r="I81" s="7">
        <v>35.49201768525903</v>
      </c>
      <c r="J81" s="7">
        <v>9.801657125232603</v>
      </c>
      <c r="K81" s="7">
        <v>8.534121184529694</v>
      </c>
      <c r="L81" s="7">
        <v>0.576206499139098</v>
      </c>
      <c r="M81" s="7">
        <v>0.5898215678692141</v>
      </c>
      <c r="N81" s="7">
        <v>0.450862265906396</v>
      </c>
      <c r="O81" s="7">
        <v>0.1648604961919742</v>
      </c>
      <c r="P81" s="7">
        <v>8.225047401177305</v>
      </c>
      <c r="Q81" s="7">
        <v>0.0106127873701929</v>
      </c>
      <c r="R81" s="7">
        <v>0.0574226194259448</v>
      </c>
      <c r="S81" s="7">
        <v>0.1240561835496112</v>
      </c>
      <c r="T81" s="7">
        <v>0.729080493739137</v>
      </c>
    </row>
    <row x14ac:dyDescent="0.25" r="82" customHeight="1" ht="19.5">
      <c r="A82" s="2" t="s">
        <v>112</v>
      </c>
      <c r="B82" s="2" t="s">
        <v>30</v>
      </c>
      <c r="C82" s="2" t="s">
        <v>31</v>
      </c>
      <c r="D82" s="2" t="s">
        <v>32</v>
      </c>
      <c r="E82" s="6">
        <v>1</v>
      </c>
      <c r="F82" s="6">
        <v>0</v>
      </c>
      <c r="G82" s="7">
        <v>0.6929178237915039</v>
      </c>
      <c r="H82" s="7">
        <v>58.62296171875001</v>
      </c>
      <c r="I82" s="7">
        <v>33.70770777811334</v>
      </c>
      <c r="J82" s="7">
        <v>10.05714302331928</v>
      </c>
      <c r="K82" s="7">
        <v>8.548243736106686</v>
      </c>
      <c r="L82" s="7">
        <v>0.592032440221737</v>
      </c>
      <c r="M82" s="7">
        <v>0.6478664813531194</v>
      </c>
      <c r="N82" s="7">
        <v>0.4558706994024111</v>
      </c>
      <c r="O82" s="7">
        <v>0.1756157709718605</v>
      </c>
      <c r="P82" s="7">
        <v>8.144163407939374</v>
      </c>
      <c r="Q82" s="7">
        <v>0.0106122020359561</v>
      </c>
      <c r="R82" s="7">
        <v>0.0570162158382981</v>
      </c>
      <c r="S82" s="7">
        <v>0.1257835638836919</v>
      </c>
      <c r="T82" s="7">
        <v>0.7220446350699317</v>
      </c>
    </row>
    <row x14ac:dyDescent="0.25" r="83" customHeight="1" ht="19.5">
      <c r="A83" s="2" t="s">
        <v>113</v>
      </c>
      <c r="B83" s="2" t="s">
        <v>30</v>
      </c>
      <c r="C83" s="2" t="s">
        <v>31</v>
      </c>
      <c r="D83" s="2" t="s">
        <v>32</v>
      </c>
      <c r="E83" s="6">
        <v>1</v>
      </c>
      <c r="F83" s="6">
        <v>0</v>
      </c>
      <c r="G83" s="7">
        <v>0.6905240416526794</v>
      </c>
      <c r="H83" s="7">
        <v>61.75376796875</v>
      </c>
      <c r="I83" s="7">
        <v>36.84173609464143</v>
      </c>
      <c r="J83" s="7">
        <v>10.44225015888315</v>
      </c>
      <c r="K83" s="7">
        <v>8.70975374849262</v>
      </c>
      <c r="L83" s="7">
        <v>0.5946816085310602</v>
      </c>
      <c r="M83" s="7">
        <v>0.5717328565361993</v>
      </c>
      <c r="N83" s="7">
        <v>0.4484627540510322</v>
      </c>
      <c r="O83" s="7">
        <v>0.1597337482701627</v>
      </c>
      <c r="P83" s="7">
        <v>8.280296229208812</v>
      </c>
      <c r="Q83" s="7">
        <v>0.0098963692093098</v>
      </c>
      <c r="R83" s="7">
        <v>0.0550074957890019</v>
      </c>
      <c r="S83" s="7">
        <v>0.1235773112153356</v>
      </c>
      <c r="T83" s="7">
        <v>0.7093002797099751</v>
      </c>
    </row>
    <row x14ac:dyDescent="0.25" r="84" customHeight="1" ht="19.5">
      <c r="A84" s="2" t="s">
        <v>114</v>
      </c>
      <c r="B84" s="2" t="s">
        <v>30</v>
      </c>
      <c r="C84" s="2" t="s">
        <v>31</v>
      </c>
      <c r="D84" s="2" t="s">
        <v>32</v>
      </c>
      <c r="E84" s="6">
        <v>1</v>
      </c>
      <c r="F84" s="6">
        <v>0</v>
      </c>
      <c r="G84" s="7">
        <v>0.6874649524688721</v>
      </c>
      <c r="H84" s="7">
        <v>62.60919843750001</v>
      </c>
      <c r="I84" s="7">
        <v>37.34664783147418</v>
      </c>
      <c r="J84" s="7">
        <v>10.70505153971934</v>
      </c>
      <c r="K84" s="7">
        <v>8.758377141008932</v>
      </c>
      <c r="L84" s="7">
        <v>0.6116848248507553</v>
      </c>
      <c r="M84" s="7">
        <v>0.562837150250849</v>
      </c>
      <c r="N84" s="7">
        <v>0.4385797997201081</v>
      </c>
      <c r="O84" s="7">
        <v>0.148657724824441</v>
      </c>
      <c r="P84" s="7">
        <v>8.385554795623534</v>
      </c>
      <c r="Q84" s="7">
        <v>0.0099101487182449</v>
      </c>
      <c r="R84" s="7">
        <v>0.0542611413420455</v>
      </c>
      <c r="S84" s="7">
        <v>0.1223120681543894</v>
      </c>
      <c r="T84" s="7">
        <v>0.7201270020250105</v>
      </c>
    </row>
    <row x14ac:dyDescent="0.25" r="85" customHeight="1" ht="19.5">
      <c r="A85" s="2" t="s">
        <v>115</v>
      </c>
      <c r="B85" s="2" t="s">
        <v>30</v>
      </c>
      <c r="C85" s="2" t="s">
        <v>31</v>
      </c>
      <c r="D85" s="2" t="s">
        <v>32</v>
      </c>
      <c r="E85" s="6">
        <v>1</v>
      </c>
      <c r="F85" s="6">
        <v>0</v>
      </c>
      <c r="G85" s="7">
        <v>0.7012120485305786</v>
      </c>
      <c r="H85" s="7">
        <v>59.7693078125</v>
      </c>
      <c r="I85" s="7">
        <v>36.76860712571068</v>
      </c>
      <c r="J85" s="7">
        <v>10.06571315225121</v>
      </c>
      <c r="K85" s="7">
        <v>8.681348796360556</v>
      </c>
      <c r="L85" s="7">
        <v>0.5786709180153541</v>
      </c>
      <c r="M85" s="7">
        <v>0.5550162786609083</v>
      </c>
      <c r="N85" s="7">
        <v>0.4552212188742294</v>
      </c>
      <c r="O85" s="7">
        <v>0.1796364727555035</v>
      </c>
      <c r="P85" s="7">
        <v>8.156056946993653</v>
      </c>
      <c r="Q85" s="7">
        <v>0.0106316360947232</v>
      </c>
      <c r="R85" s="7">
        <v>0.0576919069817731</v>
      </c>
      <c r="S85" s="7">
        <v>0.1256399266758501</v>
      </c>
      <c r="T85" s="7">
        <v>0.7375120309378644</v>
      </c>
    </row>
    <row x14ac:dyDescent="0.25" r="86" customHeight="1" ht="19.5">
      <c r="A86" s="2" t="s">
        <v>116</v>
      </c>
      <c r="B86" s="2" t="s">
        <v>30</v>
      </c>
      <c r="C86" s="2" t="s">
        <v>31</v>
      </c>
      <c r="D86" s="2" t="s">
        <v>32</v>
      </c>
      <c r="E86" s="6">
        <v>1</v>
      </c>
      <c r="F86" s="6">
        <v>0</v>
      </c>
      <c r="G86" s="7">
        <v>0.6927155256271362</v>
      </c>
      <c r="H86" s="7">
        <v>64.00836406250001</v>
      </c>
      <c r="I86" s="7">
        <v>36.75606017824688</v>
      </c>
      <c r="J86" s="7">
        <v>10.99347591987104</v>
      </c>
      <c r="K86" s="7">
        <v>9.0108059126336</v>
      </c>
      <c r="L86" s="7">
        <v>0.6139053436229371</v>
      </c>
      <c r="M86" s="7">
        <v>0.594985816976564</v>
      </c>
      <c r="N86" s="7">
        <v>0.4485814819097099</v>
      </c>
      <c r="O86" s="7">
        <v>0.1545722212431822</v>
      </c>
      <c r="P86" s="7">
        <v>8.359784489843829</v>
      </c>
      <c r="Q86" s="7">
        <v>0.00999260575348</v>
      </c>
      <c r="R86" s="7">
        <v>0.0545618260178868</v>
      </c>
      <c r="S86" s="7">
        <v>0.1236860772705322</v>
      </c>
      <c r="T86" s="7">
        <v>0.7423458086272584</v>
      </c>
    </row>
    <row x14ac:dyDescent="0.25" r="87" customHeight="1" ht="19.5">
      <c r="A87" s="2" t="s">
        <v>117</v>
      </c>
      <c r="B87" s="2" t="s">
        <v>30</v>
      </c>
      <c r="C87" s="2" t="s">
        <v>31</v>
      </c>
      <c r="D87" s="2" t="s">
        <v>32</v>
      </c>
      <c r="E87" s="6">
        <v>1</v>
      </c>
      <c r="F87" s="6">
        <v>0</v>
      </c>
      <c r="G87" s="7">
        <v>0.6782886385917664</v>
      </c>
      <c r="H87" s="7">
        <v>60.77019609375</v>
      </c>
      <c r="I87" s="7">
        <v>34.47693553784627</v>
      </c>
      <c r="J87" s="7">
        <v>10.2593728012253</v>
      </c>
      <c r="K87" s="7">
        <v>8.651157577815631</v>
      </c>
      <c r="L87" s="7">
        <v>0.6173464528372237</v>
      </c>
      <c r="M87" s="7">
        <v>0.6419431142035184</v>
      </c>
      <c r="N87" s="7">
        <v>0.4552468634485773</v>
      </c>
      <c r="O87" s="7">
        <v>0.1724321379859231</v>
      </c>
      <c r="P87" s="7">
        <v>8.177140973011129</v>
      </c>
      <c r="Q87" s="7">
        <v>0.0096914462464385</v>
      </c>
      <c r="R87" s="7">
        <v>0.0541974329578126</v>
      </c>
      <c r="S87" s="7">
        <v>0.1207425099353234</v>
      </c>
      <c r="T87" s="7">
        <v>0.6835495615845396</v>
      </c>
    </row>
    <row x14ac:dyDescent="0.25" r="88" customHeight="1" ht="19.5">
      <c r="A88" s="2" t="s">
        <v>118</v>
      </c>
      <c r="B88" s="2" t="s">
        <v>30</v>
      </c>
      <c r="C88" s="2" t="s">
        <v>31</v>
      </c>
      <c r="D88" s="2" t="s">
        <v>32</v>
      </c>
      <c r="E88" s="6">
        <v>1</v>
      </c>
      <c r="F88" s="6">
        <v>0</v>
      </c>
      <c r="G88" s="7">
        <v>0.6951267719268799</v>
      </c>
      <c r="H88" s="7">
        <v>59.66887265625</v>
      </c>
      <c r="I88" s="7">
        <v>34.17850497436667</v>
      </c>
      <c r="J88" s="7">
        <v>10.56547664764768</v>
      </c>
      <c r="K88" s="7">
        <v>8.62180195995931</v>
      </c>
      <c r="L88" s="7">
        <v>0.6121661957029285</v>
      </c>
      <c r="M88" s="7">
        <v>0.6411315311427005</v>
      </c>
      <c r="N88" s="7">
        <v>0.4526589858142405</v>
      </c>
      <c r="O88" s="7">
        <v>0.1672133162185977</v>
      </c>
      <c r="P88" s="7">
        <v>8.210049963132839</v>
      </c>
      <c r="Q88" s="7">
        <v>0.0104867875869322</v>
      </c>
      <c r="R88" s="7">
        <v>0.056678400287976</v>
      </c>
      <c r="S88" s="7">
        <v>0.1233608819451372</v>
      </c>
      <c r="T88" s="7">
        <v>0.7262415361881256</v>
      </c>
    </row>
    <row x14ac:dyDescent="0.25" r="89" customHeight="1" ht="19.5">
      <c r="A89" s="2" t="s">
        <v>119</v>
      </c>
      <c r="B89" s="2" t="s">
        <v>30</v>
      </c>
      <c r="C89" s="2" t="s">
        <v>31</v>
      </c>
      <c r="D89" s="2" t="s">
        <v>32</v>
      </c>
      <c r="E89" s="6">
        <v>1</v>
      </c>
      <c r="F89" s="6">
        <v>0</v>
      </c>
      <c r="G89" s="7">
        <v>0.6994439363479614</v>
      </c>
      <c r="H89" s="7">
        <v>59.1874765625</v>
      </c>
      <c r="I89" s="7">
        <v>34.93207982874056</v>
      </c>
      <c r="J89" s="7">
        <v>10.06337011842983</v>
      </c>
      <c r="K89" s="7">
        <v>8.494005296963259</v>
      </c>
      <c r="L89" s="7">
        <v>0.62029895181537</v>
      </c>
      <c r="M89" s="7">
        <v>0.6090959993260845</v>
      </c>
      <c r="N89" s="7">
        <v>0.4597585366505859</v>
      </c>
      <c r="O89" s="7">
        <v>0.1885462363014256</v>
      </c>
      <c r="P89" s="7">
        <v>8.0704208175021</v>
      </c>
      <c r="Q89" s="7">
        <v>0.0108498196942928</v>
      </c>
      <c r="R89" s="7">
        <v>0.0579325721508232</v>
      </c>
      <c r="S89" s="7">
        <v>0.1217919361047493</v>
      </c>
      <c r="T89" s="7">
        <v>0.7453206009096273</v>
      </c>
    </row>
    <row x14ac:dyDescent="0.25" r="90" customHeight="1" ht="19.5">
      <c r="A90" s="2" t="s">
        <v>120</v>
      </c>
      <c r="B90" s="2" t="s">
        <v>30</v>
      </c>
      <c r="C90" s="2" t="s">
        <v>31</v>
      </c>
      <c r="D90" s="2" t="s">
        <v>32</v>
      </c>
      <c r="E90" s="6">
        <v>1</v>
      </c>
      <c r="F90" s="6">
        <v>0</v>
      </c>
      <c r="G90" s="7">
        <v>0.6874616742134094</v>
      </c>
      <c r="H90" s="7">
        <v>61.94078515625</v>
      </c>
      <c r="I90" s="7">
        <v>35.46555020437147</v>
      </c>
      <c r="J90" s="7">
        <v>10.6185917877638</v>
      </c>
      <c r="K90" s="7">
        <v>8.756092383655822</v>
      </c>
      <c r="L90" s="7">
        <v>0.6160906140307717</v>
      </c>
      <c r="M90" s="7">
        <v>0.6181405619831947</v>
      </c>
      <c r="N90" s="7">
        <v>0.4538456128928124</v>
      </c>
      <c r="O90" s="7">
        <v>0.1677434432640149</v>
      </c>
      <c r="P90" s="7">
        <v>8.23244126944618</v>
      </c>
      <c r="Q90" s="7">
        <v>0.0091772904602386</v>
      </c>
      <c r="R90" s="7">
        <v>0.052702859100167</v>
      </c>
      <c r="S90" s="7">
        <v>0.1232652828361768</v>
      </c>
      <c r="T90" s="7">
        <v>0.6597538959805161</v>
      </c>
    </row>
    <row x14ac:dyDescent="0.25" r="91" customHeight="1" ht="19.5">
      <c r="A91" s="2" t="s">
        <v>121</v>
      </c>
      <c r="B91" s="2" t="s">
        <v>30</v>
      </c>
      <c r="C91" s="2" t="s">
        <v>31</v>
      </c>
      <c r="D91" s="2" t="s">
        <v>32</v>
      </c>
      <c r="E91" s="6">
        <v>1</v>
      </c>
      <c r="F91" s="6">
        <v>0</v>
      </c>
      <c r="G91" s="7">
        <v>0.7075849771499634</v>
      </c>
      <c r="H91" s="7">
        <v>62.65422109375</v>
      </c>
      <c r="I91" s="7">
        <v>36.68155762335616</v>
      </c>
      <c r="J91" s="7">
        <v>10.30885034950499</v>
      </c>
      <c r="K91" s="7">
        <v>8.46931701549505</v>
      </c>
      <c r="L91" s="7">
        <v>0.6218476820125927</v>
      </c>
      <c r="M91" s="7">
        <v>0.585146566840044</v>
      </c>
      <c r="N91" s="7">
        <v>0.4494273706732274</v>
      </c>
      <c r="O91" s="7">
        <v>0.170491832792648</v>
      </c>
      <c r="P91" s="7">
        <v>8.209588040430624</v>
      </c>
      <c r="Q91" s="7">
        <v>0.0093682315707342</v>
      </c>
      <c r="R91" s="7">
        <v>0.0520037060834106</v>
      </c>
      <c r="S91" s="7">
        <v>0.1202101602242449</v>
      </c>
      <c r="T91" s="7">
        <v>0.681237792144345</v>
      </c>
    </row>
    <row x14ac:dyDescent="0.25" r="92" customHeight="1" ht="19.5">
      <c r="A92" s="2" t="s">
        <v>122</v>
      </c>
      <c r="B92" s="2" t="s">
        <v>30</v>
      </c>
      <c r="C92" s="2" t="s">
        <v>31</v>
      </c>
      <c r="D92" s="2" t="s">
        <v>32</v>
      </c>
      <c r="E92" s="6">
        <v>1</v>
      </c>
      <c r="F92" s="6">
        <v>0</v>
      </c>
      <c r="G92" s="7">
        <v>0.6952803730964661</v>
      </c>
      <c r="H92" s="7">
        <v>58.56754921875</v>
      </c>
      <c r="I92" s="7">
        <v>34.10364363350062</v>
      </c>
      <c r="J92" s="7">
        <v>9.98986697686673</v>
      </c>
      <c r="K92" s="7">
        <v>8.524091106984066</v>
      </c>
      <c r="L92" s="7">
        <v>0.609619811469161</v>
      </c>
      <c r="M92" s="7">
        <v>0.6325738545901842</v>
      </c>
      <c r="N92" s="7">
        <v>0.4579546767845834</v>
      </c>
      <c r="O92" s="7">
        <v>0.1744091732562839</v>
      </c>
      <c r="P92" s="7">
        <v>8.117032912126266</v>
      </c>
      <c r="Q92" s="7">
        <v>0.0103991631565541</v>
      </c>
      <c r="R92" s="7">
        <v>0.0573152455514447</v>
      </c>
      <c r="S92" s="7">
        <v>0.1240738989467097</v>
      </c>
      <c r="T92" s="7">
        <v>0.706880861258849</v>
      </c>
    </row>
    <row x14ac:dyDescent="0.25" r="93" customHeight="1" ht="19.5">
      <c r="A93" s="2" t="s">
        <v>123</v>
      </c>
      <c r="B93" s="2" t="s">
        <v>30</v>
      </c>
      <c r="C93" s="2" t="s">
        <v>31</v>
      </c>
      <c r="D93" s="2" t="s">
        <v>32</v>
      </c>
      <c r="E93" s="6">
        <v>1</v>
      </c>
      <c r="F93" s="6">
        <v>0</v>
      </c>
      <c r="G93" s="7">
        <v>0.7068146467208862</v>
      </c>
      <c r="H93" s="7">
        <v>58.806515625</v>
      </c>
      <c r="I93" s="7">
        <v>34.24398688360557</v>
      </c>
      <c r="J93" s="7">
        <v>10.15740489579758</v>
      </c>
      <c r="K93" s="7">
        <v>8.578196372047056</v>
      </c>
      <c r="L93" s="7">
        <v>0.6013273604482543</v>
      </c>
      <c r="M93" s="7">
        <v>0.6297747312942612</v>
      </c>
      <c r="N93" s="7">
        <v>0.4585566484191453</v>
      </c>
      <c r="O93" s="7">
        <v>0.1770451847511018</v>
      </c>
      <c r="P93" s="7">
        <v>8.129611034110345</v>
      </c>
      <c r="Q93" s="7">
        <v>0.0105751809104391</v>
      </c>
      <c r="R93" s="7">
        <v>0.0572822624879754</v>
      </c>
      <c r="S93" s="7">
        <v>0.1247000613993114</v>
      </c>
      <c r="T93" s="7">
        <v>0.721778652716157</v>
      </c>
    </row>
    <row x14ac:dyDescent="0.25" r="94" customHeight="1" ht="19.5">
      <c r="A94" s="2" t="s">
        <v>124</v>
      </c>
      <c r="B94" s="2" t="s">
        <v>30</v>
      </c>
      <c r="C94" s="2" t="s">
        <v>31</v>
      </c>
      <c r="D94" s="2" t="s">
        <v>32</v>
      </c>
      <c r="E94" s="6">
        <v>1</v>
      </c>
      <c r="F94" s="6">
        <v>0</v>
      </c>
      <c r="G94" s="7">
        <v>0.7050555348396301</v>
      </c>
      <c r="H94" s="7">
        <v>58.76149296875001</v>
      </c>
      <c r="I94" s="7">
        <v>35.20786644117853</v>
      </c>
      <c r="J94" s="7">
        <v>10.00666706248914</v>
      </c>
      <c r="K94" s="7">
        <v>8.59471536490854</v>
      </c>
      <c r="L94" s="7">
        <v>0.6094716283028744</v>
      </c>
      <c r="M94" s="7">
        <v>0.5955887328002369</v>
      </c>
      <c r="N94" s="7">
        <v>0.4556134741073078</v>
      </c>
      <c r="O94" s="7">
        <v>0.1765719582466086</v>
      </c>
      <c r="P94" s="7">
        <v>8.159334509795238</v>
      </c>
      <c r="Q94" s="7">
        <v>0.0111646394348289</v>
      </c>
      <c r="R94" s="7">
        <v>0.0585931898727709</v>
      </c>
      <c r="S94" s="7">
        <v>0.1240265073276804</v>
      </c>
      <c r="T94" s="7">
        <v>0.7614270540193346</v>
      </c>
    </row>
    <row x14ac:dyDescent="0.25" r="95" customHeight="1" ht="19.5">
      <c r="A95" s="2" t="s">
        <v>125</v>
      </c>
      <c r="B95" s="2" t="s">
        <v>30</v>
      </c>
      <c r="C95" s="2" t="s">
        <v>31</v>
      </c>
      <c r="D95" s="2" t="s">
        <v>32</v>
      </c>
      <c r="E95" s="6">
        <v>1</v>
      </c>
      <c r="F95" s="6">
        <v>0</v>
      </c>
      <c r="G95" s="7">
        <v>0.6894388794898987</v>
      </c>
      <c r="H95" s="7">
        <v>57.6636328125</v>
      </c>
      <c r="I95" s="7">
        <v>35.52649101181377</v>
      </c>
      <c r="J95" s="7">
        <v>9.94235694285501</v>
      </c>
      <c r="K95" s="7">
        <v>8.50644506364115</v>
      </c>
      <c r="L95" s="7">
        <v>0.6113026266930388</v>
      </c>
      <c r="M95" s="7">
        <v>0.5741260275736831</v>
      </c>
      <c r="N95" s="7">
        <v>0.4623905747913406</v>
      </c>
      <c r="O95" s="7">
        <v>0.1802218618380505</v>
      </c>
      <c r="P95" s="7">
        <v>8.074852708316532</v>
      </c>
      <c r="Q95" s="7">
        <v>0.0109127285145734</v>
      </c>
      <c r="R95" s="7">
        <v>0.0580934559093322</v>
      </c>
      <c r="S95" s="7">
        <v>0.1234613503400932</v>
      </c>
      <c r="T95" s="7">
        <v>0.730341754662147</v>
      </c>
    </row>
    <row x14ac:dyDescent="0.25" r="96" customHeight="1" ht="19.5">
      <c r="A96" s="2" t="s">
        <v>126</v>
      </c>
      <c r="B96" s="2" t="s">
        <v>30</v>
      </c>
      <c r="C96" s="2" t="s">
        <v>31</v>
      </c>
      <c r="D96" s="2" t="s">
        <v>32</v>
      </c>
      <c r="E96" s="6">
        <v>1</v>
      </c>
      <c r="F96" s="6">
        <v>0</v>
      </c>
      <c r="G96" s="7">
        <v>0.6478768587112427</v>
      </c>
      <c r="H96" s="7">
        <v>56.35104921875001</v>
      </c>
      <c r="I96" s="7">
        <v>33.14986107950548</v>
      </c>
      <c r="J96" s="7">
        <v>10.10805372882878</v>
      </c>
      <c r="K96" s="7">
        <v>8.384112083928002</v>
      </c>
      <c r="L96" s="7">
        <v>0.6463697906062967</v>
      </c>
      <c r="M96" s="7">
        <v>0.6437954318656888</v>
      </c>
      <c r="N96" s="7">
        <v>0.5413451698561168</v>
      </c>
      <c r="O96" s="7">
        <v>0.1890855499394629</v>
      </c>
      <c r="P96" s="7">
        <v>7.608337479592856</v>
      </c>
      <c r="Q96" s="7">
        <v>0.0106626601617237</v>
      </c>
      <c r="R96" s="7">
        <v>0.0504421544535765</v>
      </c>
      <c r="S96" s="7">
        <v>0.0939489925140084</v>
      </c>
      <c r="T96" s="7">
        <v>0.6973621219667514</v>
      </c>
    </row>
    <row x14ac:dyDescent="0.25" r="97" customHeight="1" ht="19.5">
      <c r="A97" s="2" t="s">
        <v>127</v>
      </c>
      <c r="B97" s="2" t="s">
        <v>30</v>
      </c>
      <c r="C97" s="2" t="s">
        <v>31</v>
      </c>
      <c r="D97" s="2" t="s">
        <v>32</v>
      </c>
      <c r="E97" s="6">
        <v>1</v>
      </c>
      <c r="F97" s="6">
        <v>0</v>
      </c>
      <c r="G97" s="7">
        <v>0.6902029514312744</v>
      </c>
      <c r="H97" s="7">
        <v>28.56860703125</v>
      </c>
      <c r="I97" s="7">
        <v>22.31698446388221</v>
      </c>
      <c r="J97" s="7">
        <v>6.334742283361301</v>
      </c>
      <c r="K97" s="7">
        <v>6.087937286038747</v>
      </c>
      <c r="L97" s="7">
        <v>0.4471394152216747</v>
      </c>
      <c r="M97" s="7">
        <v>0.7208217907804986</v>
      </c>
      <c r="N97" s="7">
        <v>0.6141923168079969</v>
      </c>
      <c r="O97" s="7">
        <v>0.2487529428429013</v>
      </c>
      <c r="P97" s="7">
        <v>6.574513311877893</v>
      </c>
      <c r="Q97" s="7">
        <v>0.0006368366724692</v>
      </c>
      <c r="R97" s="7">
        <v>0.0052778378172971</v>
      </c>
      <c r="S97" s="7">
        <v>0.0199435611434363</v>
      </c>
      <c r="T97" s="7">
        <v>0.0211158179839901</v>
      </c>
    </row>
    <row x14ac:dyDescent="0.25" r="98" customHeight="1" ht="19.5">
      <c r="A98" s="2" t="s">
        <v>128</v>
      </c>
      <c r="B98" s="2" t="s">
        <v>30</v>
      </c>
      <c r="C98" s="2" t="s">
        <v>31</v>
      </c>
      <c r="D98" s="2" t="s">
        <v>32</v>
      </c>
      <c r="E98" s="6">
        <v>1</v>
      </c>
      <c r="F98" s="6">
        <v>0</v>
      </c>
      <c r="G98" s="7">
        <v>0.6908384561538696</v>
      </c>
      <c r="H98" s="7">
        <v>48.38203906250001</v>
      </c>
      <c r="I98" s="7">
        <v>31.55046475259732</v>
      </c>
      <c r="J98" s="7">
        <v>9.26472958878188</v>
      </c>
      <c r="K98" s="7">
        <v>8.435434607994763</v>
      </c>
      <c r="L98" s="7">
        <v>0.618585309139701</v>
      </c>
      <c r="M98" s="7">
        <v>0.6102084006396787</v>
      </c>
      <c r="N98" s="7">
        <v>0.5899698786011732</v>
      </c>
      <c r="O98" s="7">
        <v>0.2403365240115366</v>
      </c>
      <c r="P98" s="7">
        <v>6.917716596585951</v>
      </c>
      <c r="Q98" s="7">
        <v>0.0041385227816985</v>
      </c>
      <c r="R98" s="7">
        <v>0.0209505770405439</v>
      </c>
      <c r="S98" s="7">
        <v>0.0372903654864192</v>
      </c>
      <c r="T98" s="7">
        <v>0.2323915315224288</v>
      </c>
    </row>
    <row x14ac:dyDescent="0.25" r="99" customHeight="1" ht="19.5">
      <c r="A99" s="2" t="s">
        <v>129</v>
      </c>
      <c r="B99" s="2" t="s">
        <v>30</v>
      </c>
      <c r="C99" s="2" t="s">
        <v>31</v>
      </c>
      <c r="D99" s="2" t="s">
        <v>32</v>
      </c>
      <c r="E99" s="6">
        <v>1</v>
      </c>
      <c r="F99" s="6">
        <v>0</v>
      </c>
      <c r="G99" s="7">
        <v>0.7040635943412781</v>
      </c>
      <c r="H99" s="7">
        <v>47.69630937500001</v>
      </c>
      <c r="I99" s="7">
        <v>30.69036396066395</v>
      </c>
      <c r="J99" s="7">
        <v>9.092367831080727</v>
      </c>
      <c r="K99" s="7">
        <v>7.558649677818904</v>
      </c>
      <c r="L99" s="7">
        <v>0.6177863828134967</v>
      </c>
      <c r="M99" s="7">
        <v>0.6363419611558014</v>
      </c>
      <c r="N99" s="7">
        <v>0.5230120228401359</v>
      </c>
      <c r="O99" s="7">
        <v>0.2231290225528007</v>
      </c>
      <c r="P99" s="7">
        <v>7.279487889720334</v>
      </c>
      <c r="Q99" s="7">
        <v>0.0070406180801085</v>
      </c>
      <c r="R99" s="7">
        <v>0.0314391829537111</v>
      </c>
      <c r="S99" s="7">
        <v>0.0521106235016594</v>
      </c>
      <c r="T99" s="7">
        <v>0.3897501960399494</v>
      </c>
    </row>
    <row x14ac:dyDescent="0.25" r="100" customHeight="1" ht="19.5">
      <c r="A100" s="2" t="s">
        <v>130</v>
      </c>
      <c r="B100" s="2" t="s">
        <v>30</v>
      </c>
      <c r="C100" s="2" t="s">
        <v>31</v>
      </c>
      <c r="D100" s="2" t="s">
        <v>32</v>
      </c>
      <c r="E100" s="6">
        <v>1</v>
      </c>
      <c r="F100" s="6">
        <v>0</v>
      </c>
      <c r="G100" s="7">
        <v>0.7178564667701721</v>
      </c>
      <c r="H100" s="7">
        <v>45.29279218750001</v>
      </c>
      <c r="I100" s="7">
        <v>29.67737297116181</v>
      </c>
      <c r="J100" s="7">
        <v>8.473469337088776</v>
      </c>
      <c r="K100" s="7">
        <v>7.537160385368538</v>
      </c>
      <c r="L100" s="7">
        <v>0.5475079546529998</v>
      </c>
      <c r="M100" s="7">
        <v>0.6460831485831793</v>
      </c>
      <c r="N100" s="7">
        <v>0.4811092026575765</v>
      </c>
      <c r="O100" s="7">
        <v>0.2066729040944923</v>
      </c>
      <c r="P100" s="7">
        <v>7.588564086284137</v>
      </c>
      <c r="Q100" s="7">
        <v>0.0095820441440188</v>
      </c>
      <c r="R100" s="7">
        <v>0.043949957898261</v>
      </c>
      <c r="S100" s="7">
        <v>0.0709803777974862</v>
      </c>
      <c r="T100" s="7">
        <v>0.5037070646815488</v>
      </c>
    </row>
    <row x14ac:dyDescent="0.25" r="101" customHeight="1" ht="19.5">
      <c r="A101" s="2" t="s">
        <v>131</v>
      </c>
      <c r="B101" s="2" t="s">
        <v>30</v>
      </c>
      <c r="C101" s="2" t="s">
        <v>31</v>
      </c>
      <c r="D101" s="2" t="s">
        <v>32</v>
      </c>
      <c r="E101" s="6">
        <v>1</v>
      </c>
      <c r="F101" s="6">
        <v>0</v>
      </c>
      <c r="G101" s="7">
        <v>0.7397063970565796</v>
      </c>
      <c r="H101" s="7">
        <v>48.23311796875</v>
      </c>
      <c r="I101" s="7">
        <v>28.75806374372144</v>
      </c>
      <c r="J101" s="7">
        <v>8.738174680950042</v>
      </c>
      <c r="K101" s="7">
        <v>7.612818423355205</v>
      </c>
      <c r="L101" s="7">
        <v>0.5771581367445485</v>
      </c>
      <c r="M101" s="7">
        <v>0.7326220254124445</v>
      </c>
      <c r="N101" s="7">
        <v>0.4471493415889712</v>
      </c>
      <c r="O101" s="7">
        <v>0.1943407154793288</v>
      </c>
      <c r="P101" s="7">
        <v>7.812665094095377</v>
      </c>
      <c r="Q101" s="7">
        <v>0.0112207488472659</v>
      </c>
      <c r="R101" s="7">
        <v>0.0512196498835631</v>
      </c>
      <c r="S101" s="7">
        <v>0.0865860807407851</v>
      </c>
      <c r="T101" s="7">
        <v>0.6281421823028039</v>
      </c>
    </row>
    <row x14ac:dyDescent="0.25" r="102" customHeight="1" ht="19.5">
      <c r="A102" s="2" t="s">
        <v>132</v>
      </c>
      <c r="B102" s="2" t="s">
        <v>30</v>
      </c>
      <c r="C102" s="2" t="s">
        <v>31</v>
      </c>
      <c r="D102" s="2" t="s">
        <v>32</v>
      </c>
      <c r="E102" s="6">
        <v>1</v>
      </c>
      <c r="F102" s="6">
        <v>0</v>
      </c>
      <c r="G102" s="7">
        <v>0.7164419293403625</v>
      </c>
      <c r="H102" s="7">
        <v>46.1378328125</v>
      </c>
      <c r="I102" s="7">
        <v>28.78871354043025</v>
      </c>
      <c r="J102" s="7">
        <v>8.446557165843736</v>
      </c>
      <c r="K102" s="7">
        <v>7.498922923348453</v>
      </c>
      <c r="L102" s="7">
        <v>0.5262161515692072</v>
      </c>
      <c r="M102" s="7">
        <v>0.6991359938753056</v>
      </c>
      <c r="N102" s="7">
        <v>0.4535737691771118</v>
      </c>
      <c r="O102" s="7">
        <v>0.2099725595564642</v>
      </c>
      <c r="P102" s="7">
        <v>7.753719683425951</v>
      </c>
      <c r="Q102" s="7">
        <v>0.0108597601640184</v>
      </c>
      <c r="R102" s="7">
        <v>0.0500738514621586</v>
      </c>
      <c r="S102" s="7">
        <v>0.0823034679854788</v>
      </c>
      <c r="T102" s="7">
        <v>0.581524752431337</v>
      </c>
    </row>
    <row x14ac:dyDescent="0.25" r="103" customHeight="1" ht="19.5">
      <c r="A103" s="2" t="s">
        <v>133</v>
      </c>
      <c r="B103" s="2" t="s">
        <v>30</v>
      </c>
      <c r="C103" s="2" t="s">
        <v>31</v>
      </c>
      <c r="D103" s="2" t="s">
        <v>32</v>
      </c>
      <c r="E103" s="6">
        <v>1</v>
      </c>
      <c r="F103" s="6">
        <v>0</v>
      </c>
      <c r="G103" s="7">
        <v>0.7449300289154053</v>
      </c>
      <c r="H103" s="7">
        <v>46.49455078125001</v>
      </c>
      <c r="I103" s="7">
        <v>29.14599375344152</v>
      </c>
      <c r="J103" s="7">
        <v>8.470096679244897</v>
      </c>
      <c r="K103" s="7">
        <v>7.65255537476836</v>
      </c>
      <c r="L103" s="7">
        <v>0.5100610668444016</v>
      </c>
      <c r="M103" s="7">
        <v>0.6877361200515292</v>
      </c>
      <c r="N103" s="7">
        <v>0.4593311755001717</v>
      </c>
      <c r="O103" s="7">
        <v>0.2157945647769909</v>
      </c>
      <c r="P103" s="7">
        <v>7.742310531167845</v>
      </c>
      <c r="Q103" s="7">
        <v>0.0110233283644917</v>
      </c>
      <c r="R103" s="7">
        <v>0.0501052773820122</v>
      </c>
      <c r="S103" s="7">
        <v>0.0877915647181425</v>
      </c>
      <c r="T103" s="7">
        <v>0.5948474175865661</v>
      </c>
    </row>
    <row x14ac:dyDescent="0.25" r="104" customHeight="1" ht="19.5">
      <c r="A104" s="2" t="s">
        <v>134</v>
      </c>
      <c r="B104" s="2" t="s">
        <v>30</v>
      </c>
      <c r="C104" s="2" t="s">
        <v>31</v>
      </c>
      <c r="D104" s="2" t="s">
        <v>32</v>
      </c>
      <c r="E104" s="6">
        <v>1</v>
      </c>
      <c r="F104" s="6">
        <v>0</v>
      </c>
      <c r="G104" s="7">
        <v>0.7330959439277649</v>
      </c>
      <c r="H104" s="7">
        <v>46.88243828125</v>
      </c>
      <c r="I104" s="7">
        <v>30.29233694736604</v>
      </c>
      <c r="J104" s="7">
        <v>8.734412919893014</v>
      </c>
      <c r="K104" s="7">
        <v>7.630525720616015</v>
      </c>
      <c r="L104" s="7">
        <v>0.5409914230121844</v>
      </c>
      <c r="M104" s="7">
        <v>0.6413173649031821</v>
      </c>
      <c r="N104" s="7">
        <v>0.453193274753769</v>
      </c>
      <c r="O104" s="7">
        <v>0.2077558095781328</v>
      </c>
      <c r="P104" s="7">
        <v>7.803483960697659</v>
      </c>
      <c r="Q104" s="7">
        <v>0.0103751182205074</v>
      </c>
      <c r="R104" s="7">
        <v>0.0485941982475373</v>
      </c>
      <c r="S104" s="7">
        <v>0.081204742451386</v>
      </c>
      <c r="T104" s="7">
        <v>0.5645390975388193</v>
      </c>
    </row>
    <row x14ac:dyDescent="0.25" r="105" customHeight="1" ht="19.5">
      <c r="A105" s="2" t="s">
        <v>135</v>
      </c>
      <c r="B105" s="2" t="s">
        <v>30</v>
      </c>
      <c r="C105" s="2" t="s">
        <v>31</v>
      </c>
      <c r="D105" s="2" t="s">
        <v>32</v>
      </c>
      <c r="E105" s="6">
        <v>1</v>
      </c>
      <c r="F105" s="6">
        <v>0</v>
      </c>
      <c r="G105" s="7">
        <v>0.7258894443511963</v>
      </c>
      <c r="H105" s="7">
        <v>46.4841609375</v>
      </c>
      <c r="I105" s="7">
        <v>28.45407727846061</v>
      </c>
      <c r="J105" s="7">
        <v>8.641382316755275</v>
      </c>
      <c r="K105" s="7">
        <v>7.593101631770985</v>
      </c>
      <c r="L105" s="7">
        <v>0.5503042229762373</v>
      </c>
      <c r="M105" s="7">
        <v>0.7205687618666402</v>
      </c>
      <c r="N105" s="7">
        <v>0.4522780245423693</v>
      </c>
      <c r="O105" s="7">
        <v>0.2095445511684817</v>
      </c>
      <c r="P105" s="7">
        <v>7.772806643494873</v>
      </c>
      <c r="Q105" s="7">
        <v>0.0107674009680052</v>
      </c>
      <c r="R105" s="7">
        <v>0.0495583711563427</v>
      </c>
      <c r="S105" s="7">
        <v>0.0818400380635666</v>
      </c>
      <c r="T105" s="7">
        <v>0.5809070701766369</v>
      </c>
    </row>
    <row x14ac:dyDescent="0.25" r="106" customHeight="1" ht="19.5">
      <c r="A106" s="2" t="s">
        <v>136</v>
      </c>
      <c r="B106" s="2" t="s">
        <v>30</v>
      </c>
      <c r="C106" s="2" t="s">
        <v>31</v>
      </c>
      <c r="D106" s="2" t="s">
        <v>32</v>
      </c>
      <c r="E106" s="6">
        <v>1</v>
      </c>
      <c r="F106" s="6">
        <v>0</v>
      </c>
      <c r="G106" s="7">
        <v>0.7396397590637207</v>
      </c>
      <c r="H106" s="7">
        <v>46.504940625</v>
      </c>
      <c r="I106" s="7">
        <v>30.25404009096536</v>
      </c>
      <c r="J106" s="7">
        <v>8.469361439814854</v>
      </c>
      <c r="K106" s="7">
        <v>7.619261679126139</v>
      </c>
      <c r="L106" s="7">
        <v>0.5198234855980995</v>
      </c>
      <c r="M106" s="7">
        <v>0.6380921258192298</v>
      </c>
      <c r="N106" s="7">
        <v>0.450424635803957</v>
      </c>
      <c r="O106" s="7">
        <v>0.2078262914100748</v>
      </c>
      <c r="P106" s="7">
        <v>7.807355010926043</v>
      </c>
      <c r="Q106" s="7">
        <v>0.0105645032086263</v>
      </c>
      <c r="R106" s="7">
        <v>0.0492760278019277</v>
      </c>
      <c r="S106" s="7">
        <v>0.0818553274344236</v>
      </c>
      <c r="T106" s="7">
        <v>0.5702154149339809</v>
      </c>
    </row>
    <row x14ac:dyDescent="0.25" r="107" customHeight="1" ht="19.5">
      <c r="A107" s="2" t="s">
        <v>137</v>
      </c>
      <c r="B107" s="2" t="s">
        <v>30</v>
      </c>
      <c r="C107" s="2" t="s">
        <v>31</v>
      </c>
      <c r="D107" s="2" t="s">
        <v>32</v>
      </c>
      <c r="E107" s="6">
        <v>1</v>
      </c>
      <c r="F107" s="6">
        <v>0</v>
      </c>
      <c r="G107" s="7">
        <v>0.7248525023460388</v>
      </c>
      <c r="H107" s="7">
        <v>45.756871875</v>
      </c>
      <c r="I107" s="7">
        <v>29.34691902501343</v>
      </c>
      <c r="J107" s="7">
        <v>8.256479291467004</v>
      </c>
      <c r="K107" s="7">
        <v>7.457766165332662</v>
      </c>
      <c r="L107" s="7">
        <v>0.534804000558399</v>
      </c>
      <c r="M107" s="7">
        <v>0.6676381779203531</v>
      </c>
      <c r="N107" s="7">
        <v>0.457558970113766</v>
      </c>
      <c r="O107" s="7">
        <v>0.2110290001628919</v>
      </c>
      <c r="P107" s="7">
        <v>7.729768164850739</v>
      </c>
      <c r="Q107" s="7">
        <v>0.0113919553261432</v>
      </c>
      <c r="R107" s="7">
        <v>0.0508250473027262</v>
      </c>
      <c r="S107" s="7">
        <v>0.0816512232754146</v>
      </c>
      <c r="T107" s="7">
        <v>0.6049860768793685</v>
      </c>
    </row>
    <row x14ac:dyDescent="0.25" r="108" customHeight="1" ht="19.5">
      <c r="A108" s="2" t="s">
        <v>138</v>
      </c>
      <c r="B108" s="2" t="s">
        <v>30</v>
      </c>
      <c r="C108" s="2" t="s">
        <v>31</v>
      </c>
      <c r="D108" s="2" t="s">
        <v>32</v>
      </c>
      <c r="E108" s="6">
        <v>1</v>
      </c>
      <c r="F108" s="6">
        <v>0</v>
      </c>
      <c r="G108" s="7">
        <v>0.7284336090087891</v>
      </c>
      <c r="H108" s="7">
        <v>46.214025</v>
      </c>
      <c r="I108" s="7">
        <v>30.23766961365563</v>
      </c>
      <c r="J108" s="7">
        <v>8.414913927161836</v>
      </c>
      <c r="K108" s="7">
        <v>7.544481207694538</v>
      </c>
      <c r="L108" s="7">
        <v>0.5487611542671559</v>
      </c>
      <c r="M108" s="7">
        <v>0.6351656803493404</v>
      </c>
      <c r="N108" s="7">
        <v>0.4471238826721107</v>
      </c>
      <c r="O108" s="7">
        <v>0.1969242312388878</v>
      </c>
      <c r="P108" s="7">
        <v>7.832930041663074</v>
      </c>
      <c r="Q108" s="7">
        <v>0.01146257757369</v>
      </c>
      <c r="R108" s="7">
        <v>0.0514194382359618</v>
      </c>
      <c r="S108" s="7">
        <v>0.0850705105023005</v>
      </c>
      <c r="T108" s="7">
        <v>0.6148184090982919</v>
      </c>
    </row>
    <row x14ac:dyDescent="0.25" r="109" customHeight="1" ht="19.5">
      <c r="A109" s="2" t="s">
        <v>139</v>
      </c>
      <c r="B109" s="2" t="s">
        <v>30</v>
      </c>
      <c r="C109" s="2" t="s">
        <v>31</v>
      </c>
      <c r="D109" s="2" t="s">
        <v>32</v>
      </c>
      <c r="E109" s="6">
        <v>1</v>
      </c>
      <c r="F109" s="6">
        <v>0</v>
      </c>
      <c r="G109" s="7">
        <v>0.735179603099823</v>
      </c>
      <c r="H109" s="7">
        <v>45.81574765625</v>
      </c>
      <c r="I109" s="7">
        <v>29.11743511464333</v>
      </c>
      <c r="J109" s="7">
        <v>8.35877188610117</v>
      </c>
      <c r="K109" s="7">
        <v>7.517248130285701</v>
      </c>
      <c r="L109" s="7">
        <v>0.529963123381935</v>
      </c>
      <c r="M109" s="7">
        <v>0.6790247107220501</v>
      </c>
      <c r="N109" s="7">
        <v>0.4556935688621584</v>
      </c>
      <c r="O109" s="7">
        <v>0.2098679016575301</v>
      </c>
      <c r="P109" s="7">
        <v>7.745310070730228</v>
      </c>
      <c r="Q109" s="7">
        <v>0.011382748034585</v>
      </c>
      <c r="R109" s="7">
        <v>0.0509839114138082</v>
      </c>
      <c r="S109" s="7">
        <v>0.0840047862443256</v>
      </c>
      <c r="T109" s="7">
        <v>0.6052749223999344</v>
      </c>
    </row>
    <row x14ac:dyDescent="0.25" r="110" customHeight="1" ht="19.5">
      <c r="A110" s="2" t="s">
        <v>140</v>
      </c>
      <c r="B110" s="2" t="s">
        <v>30</v>
      </c>
      <c r="C110" s="2" t="s">
        <v>31</v>
      </c>
      <c r="D110" s="2" t="s">
        <v>32</v>
      </c>
      <c r="E110" s="6">
        <v>1</v>
      </c>
      <c r="F110" s="6">
        <v>0</v>
      </c>
      <c r="G110" s="7">
        <v>0.7352228760719299</v>
      </c>
      <c r="H110" s="7">
        <v>47.502365625</v>
      </c>
      <c r="I110" s="7">
        <v>29.59832931447449</v>
      </c>
      <c r="J110" s="7">
        <v>8.599209930885483</v>
      </c>
      <c r="K110" s="7">
        <v>7.607209513524673</v>
      </c>
      <c r="L110" s="7">
        <v>0.5570533255951912</v>
      </c>
      <c r="M110" s="7">
        <v>0.6811833663431172</v>
      </c>
      <c r="N110" s="7">
        <v>0.4464982171051597</v>
      </c>
      <c r="O110" s="7">
        <v>0.1999791097883455</v>
      </c>
      <c r="P110" s="7">
        <v>7.825381793867326</v>
      </c>
      <c r="Q110" s="7">
        <v>0.0110731746534491</v>
      </c>
      <c r="R110" s="7">
        <v>0.0495764600803578</v>
      </c>
      <c r="S110" s="7">
        <v>0.085296271488972</v>
      </c>
      <c r="T110" s="7">
        <v>0.6104894568887184</v>
      </c>
    </row>
    <row x14ac:dyDescent="0.25" r="111" customHeight="1" ht="19.5">
      <c r="A111" s="2" t="s">
        <v>141</v>
      </c>
      <c r="B111" s="2" t="s">
        <v>30</v>
      </c>
      <c r="C111" s="2" t="s">
        <v>31</v>
      </c>
      <c r="D111" s="2" t="s">
        <v>32</v>
      </c>
      <c r="E111" s="6">
        <v>1</v>
      </c>
      <c r="F111" s="6">
        <v>0</v>
      </c>
      <c r="G111" s="7">
        <v>0.7293716073036194</v>
      </c>
      <c r="H111" s="7">
        <v>47.363834375</v>
      </c>
      <c r="I111" s="7">
        <v>30.62141730755445</v>
      </c>
      <c r="J111" s="7">
        <v>8.51785933309747</v>
      </c>
      <c r="K111" s="7">
        <v>7.680415496049639</v>
      </c>
      <c r="L111" s="7">
        <v>0.5129225313734748</v>
      </c>
      <c r="M111" s="7">
        <v>0.6340123955799218</v>
      </c>
      <c r="N111" s="7">
        <v>0.4465705098155026</v>
      </c>
      <c r="O111" s="7">
        <v>0.2003564817878454</v>
      </c>
      <c r="P111" s="7">
        <v>7.867764812236032</v>
      </c>
      <c r="Q111" s="7">
        <v>0.0108158334992449</v>
      </c>
      <c r="R111" s="7">
        <v>0.050737966181881</v>
      </c>
      <c r="S111" s="7">
        <v>0.0850518701605587</v>
      </c>
      <c r="T111" s="7">
        <v>0.5945626544234031</v>
      </c>
    </row>
    <row x14ac:dyDescent="0.25" r="112" customHeight="1" ht="19.5">
      <c r="A112" s="2" t="s">
        <v>142</v>
      </c>
      <c r="B112" s="2" t="s">
        <v>30</v>
      </c>
      <c r="C112" s="2" t="s">
        <v>31</v>
      </c>
      <c r="D112" s="2" t="s">
        <v>32</v>
      </c>
      <c r="E112" s="6">
        <v>1</v>
      </c>
      <c r="F112" s="6">
        <v>0</v>
      </c>
      <c r="G112" s="7">
        <v>0.7281961441040039</v>
      </c>
      <c r="H112" s="7">
        <v>47.76211171875001</v>
      </c>
      <c r="I112" s="7">
        <v>29.75468425591384</v>
      </c>
      <c r="J112" s="7">
        <v>8.74036362551832</v>
      </c>
      <c r="K112" s="7">
        <v>7.728360069846724</v>
      </c>
      <c r="L112" s="7">
        <v>0.5422102117514198</v>
      </c>
      <c r="M112" s="7">
        <v>0.6776316838029788</v>
      </c>
      <c r="N112" s="7">
        <v>0.4524425178361095</v>
      </c>
      <c r="O112" s="7">
        <v>0.2078173152218811</v>
      </c>
      <c r="P112" s="7">
        <v>7.765363788130767</v>
      </c>
      <c r="Q112" s="7">
        <v>0.011017358125732</v>
      </c>
      <c r="R112" s="7">
        <v>0.0495458989811358</v>
      </c>
      <c r="S112" s="7">
        <v>0.0838686335230234</v>
      </c>
      <c r="T112" s="7">
        <v>0.6107335340938199</v>
      </c>
    </row>
    <row x14ac:dyDescent="0.25" r="113" customHeight="1" ht="19.5">
      <c r="A113" s="2" t="s">
        <v>143</v>
      </c>
      <c r="B113" s="2" t="s">
        <v>30</v>
      </c>
      <c r="C113" s="2" t="s">
        <v>31</v>
      </c>
      <c r="D113" s="2" t="s">
        <v>32</v>
      </c>
      <c r="E113" s="6">
        <v>1</v>
      </c>
      <c r="F113" s="6">
        <v>0</v>
      </c>
      <c r="G113" s="7">
        <v>0.7205268144607544</v>
      </c>
      <c r="H113" s="7">
        <v>45.56639140625001</v>
      </c>
      <c r="I113" s="7">
        <v>28.24861090509209</v>
      </c>
      <c r="J113" s="7">
        <v>8.41908062273456</v>
      </c>
      <c r="K113" s="7">
        <v>7.331937011098279</v>
      </c>
      <c r="L113" s="7">
        <v>0.5560914840307626</v>
      </c>
      <c r="M113" s="7">
        <v>0.7175634461411045</v>
      </c>
      <c r="N113" s="7">
        <v>0.4539717338420924</v>
      </c>
      <c r="O113" s="7">
        <v>0.1995880767847578</v>
      </c>
      <c r="P113" s="7">
        <v>7.755282824542512</v>
      </c>
      <c r="Q113" s="7">
        <v>0.0113385213250239</v>
      </c>
      <c r="R113" s="7">
        <v>0.0507365910299672</v>
      </c>
      <c r="S113" s="7">
        <v>0.0841291116579757</v>
      </c>
      <c r="T113" s="7">
        <v>0.5996417150224441</v>
      </c>
    </row>
    <row x14ac:dyDescent="0.25" r="114" customHeight="1" ht="19.5">
      <c r="A114" s="2" t="s">
        <v>144</v>
      </c>
      <c r="B114" s="2" t="s">
        <v>30</v>
      </c>
      <c r="C114" s="2" t="s">
        <v>31</v>
      </c>
      <c r="D114" s="2" t="s">
        <v>32</v>
      </c>
      <c r="E114" s="6">
        <v>1</v>
      </c>
      <c r="F114" s="6">
        <v>0</v>
      </c>
      <c r="G114" s="7">
        <v>0.7337600588798523</v>
      </c>
      <c r="H114" s="7">
        <v>46.02354453125</v>
      </c>
      <c r="I114" s="7">
        <v>28.18976125556042</v>
      </c>
      <c r="J114" s="7">
        <v>8.234471844414376</v>
      </c>
      <c r="K114" s="7">
        <v>7.578694943702023</v>
      </c>
      <c r="L114" s="7">
        <v>0.5202518834164342</v>
      </c>
      <c r="M114" s="7">
        <v>0.7277917555356024</v>
      </c>
      <c r="N114" s="7">
        <v>0.450432198847261</v>
      </c>
      <c r="O114" s="7">
        <v>0.1982731718026484</v>
      </c>
      <c r="P114" s="7">
        <v>7.76914558409799</v>
      </c>
      <c r="Q114" s="7">
        <v>0.0117417017145597</v>
      </c>
      <c r="R114" s="7">
        <v>0.0513927384482637</v>
      </c>
      <c r="S114" s="7">
        <v>0.0850674464293757</v>
      </c>
      <c r="T114" s="7">
        <v>0.6271939876934148</v>
      </c>
    </row>
    <row x14ac:dyDescent="0.25" r="115" customHeight="1" ht="19.5">
      <c r="A115" s="2" t="s">
        <v>145</v>
      </c>
      <c r="B115" s="2" t="s">
        <v>30</v>
      </c>
      <c r="C115" s="2" t="s">
        <v>31</v>
      </c>
      <c r="D115" s="2" t="s">
        <v>32</v>
      </c>
      <c r="E115" s="6">
        <v>1</v>
      </c>
      <c r="F115" s="6">
        <v>0</v>
      </c>
      <c r="G115" s="7">
        <v>0.7308912873268127</v>
      </c>
      <c r="H115" s="7">
        <v>47.01750625</v>
      </c>
      <c r="I115" s="7">
        <v>31.03336485427612</v>
      </c>
      <c r="J115" s="7">
        <v>8.501465839101803</v>
      </c>
      <c r="K115" s="7">
        <v>7.679531629705803</v>
      </c>
      <c r="L115" s="7">
        <v>0.5076945146434452</v>
      </c>
      <c r="M115" s="7">
        <v>0.6134055989754771</v>
      </c>
      <c r="N115" s="7">
        <v>0.4494788446215682</v>
      </c>
      <c r="O115" s="7">
        <v>0.2011936814193834</v>
      </c>
      <c r="P115" s="7">
        <v>7.838518173561967</v>
      </c>
      <c r="Q115" s="7">
        <v>0.0107651431248113</v>
      </c>
      <c r="R115" s="7">
        <v>0.0494361964291269</v>
      </c>
      <c r="S115" s="7">
        <v>0.0824968847726885</v>
      </c>
      <c r="T115" s="7">
        <v>0.5874490140804696</v>
      </c>
    </row>
    <row x14ac:dyDescent="0.25" r="116" customHeight="1" ht="19.5">
      <c r="A116" s="2" t="s">
        <v>146</v>
      </c>
      <c r="B116" s="2" t="s">
        <v>30</v>
      </c>
      <c r="C116" s="2" t="s">
        <v>31</v>
      </c>
      <c r="D116" s="2" t="s">
        <v>32</v>
      </c>
      <c r="E116" s="6">
        <v>1</v>
      </c>
      <c r="F116" s="6">
        <v>0</v>
      </c>
      <c r="G116" s="7">
        <v>0.7352271676063538</v>
      </c>
      <c r="H116" s="7">
        <v>46.51879375</v>
      </c>
      <c r="I116" s="7">
        <v>29.80343690186768</v>
      </c>
      <c r="J116" s="7">
        <v>8.456587446246234</v>
      </c>
      <c r="K116" s="7">
        <v>7.65043622118179</v>
      </c>
      <c r="L116" s="7">
        <v>0.5093151270167118</v>
      </c>
      <c r="M116" s="7">
        <v>0.6572388528540751</v>
      </c>
      <c r="N116" s="7">
        <v>0.4548438631128871</v>
      </c>
      <c r="O116" s="7">
        <v>0.2137743671833769</v>
      </c>
      <c r="P116" s="7">
        <v>7.771290395283197</v>
      </c>
      <c r="Q116" s="7">
        <v>0.011343676150615</v>
      </c>
      <c r="R116" s="7">
        <v>0.0509912561893152</v>
      </c>
      <c r="S116" s="7">
        <v>0.0836625735086757</v>
      </c>
      <c r="T116" s="7">
        <v>0.6124533919480794</v>
      </c>
    </row>
    <row x14ac:dyDescent="0.25" r="117" customHeight="1" ht="19.5">
      <c r="A117" s="2" t="s">
        <v>147</v>
      </c>
      <c r="B117" s="2" t="s">
        <v>30</v>
      </c>
      <c r="C117" s="2" t="s">
        <v>31</v>
      </c>
      <c r="D117" s="2" t="s">
        <v>32</v>
      </c>
      <c r="E117" s="6">
        <v>1</v>
      </c>
      <c r="F117" s="6">
        <v>0</v>
      </c>
      <c r="G117" s="7">
        <v>0.724869966506958</v>
      </c>
      <c r="H117" s="7">
        <v>45.53868515625</v>
      </c>
      <c r="I117" s="7">
        <v>28.82701039683093</v>
      </c>
      <c r="J117" s="7">
        <v>8.4240283195183</v>
      </c>
      <c r="K117" s="7">
        <v>7.513362524484522</v>
      </c>
      <c r="L117" s="7">
        <v>0.5436508599542133</v>
      </c>
      <c r="M117" s="7">
        <v>0.6879574150174075</v>
      </c>
      <c r="N117" s="7">
        <v>0.4513355810296893</v>
      </c>
      <c r="O117" s="7">
        <v>0.2028600140356926</v>
      </c>
      <c r="P117" s="7">
        <v>7.783669547146832</v>
      </c>
      <c r="Q117" s="7">
        <v>0.0117950650070422</v>
      </c>
      <c r="R117" s="7">
        <v>0.0514554448129428</v>
      </c>
      <c r="S117" s="7">
        <v>0.0842927106261655</v>
      </c>
      <c r="T117" s="7">
        <v>0.6234069015045041</v>
      </c>
    </row>
    <row x14ac:dyDescent="0.25" r="118" customHeight="1" ht="19.5">
      <c r="A118" s="2" t="s">
        <v>148</v>
      </c>
      <c r="B118" s="2" t="s">
        <v>30</v>
      </c>
      <c r="C118" s="2" t="s">
        <v>31</v>
      </c>
      <c r="D118" s="2" t="s">
        <v>32</v>
      </c>
      <c r="E118" s="6">
        <v>1</v>
      </c>
      <c r="F118" s="6">
        <v>0</v>
      </c>
      <c r="G118" s="7">
        <v>0.7317454218864441</v>
      </c>
      <c r="H118" s="7">
        <v>46.214025</v>
      </c>
      <c r="I118" s="7">
        <v>29.8278132248446</v>
      </c>
      <c r="J118" s="7">
        <v>8.380589713648362</v>
      </c>
      <c r="K118" s="7">
        <v>7.603283829440656</v>
      </c>
      <c r="L118" s="7">
        <v>0.5330675588077123</v>
      </c>
      <c r="M118" s="7">
        <v>0.6521539074117563</v>
      </c>
      <c r="N118" s="7">
        <v>0.4507333819417317</v>
      </c>
      <c r="O118" s="7">
        <v>0.2022370085988073</v>
      </c>
      <c r="P118" s="7">
        <v>7.812853526739399</v>
      </c>
      <c r="Q118" s="7">
        <v>0.011095490477453</v>
      </c>
      <c r="R118" s="7">
        <v>0.0500194602919207</v>
      </c>
      <c r="S118" s="7">
        <v>0.0829872202196992</v>
      </c>
      <c r="T118" s="7">
        <v>0.5951289541691527</v>
      </c>
    </row>
    <row x14ac:dyDescent="0.25" r="119" customHeight="1" ht="19.5">
      <c r="A119" s="2" t="s">
        <v>149</v>
      </c>
      <c r="B119" s="2" t="s">
        <v>30</v>
      </c>
      <c r="C119" s="2" t="s">
        <v>31</v>
      </c>
      <c r="D119" s="2" t="s">
        <v>32</v>
      </c>
      <c r="E119" s="6">
        <v>1</v>
      </c>
      <c r="F119" s="6">
        <v>0</v>
      </c>
      <c r="G119" s="7">
        <v>0.7379692196846008</v>
      </c>
      <c r="H119" s="7">
        <v>46.46338125</v>
      </c>
      <c r="I119" s="7">
        <v>28.97326833469245</v>
      </c>
      <c r="J119" s="7">
        <v>8.502349409136745</v>
      </c>
      <c r="K119" s="7">
        <v>7.610597596344511</v>
      </c>
      <c r="L119" s="7">
        <v>0.5221676933739872</v>
      </c>
      <c r="M119" s="7">
        <v>0.6944570103502371</v>
      </c>
      <c r="N119" s="7">
        <v>0.45416173298636</v>
      </c>
      <c r="O119" s="7">
        <v>0.2104502102507942</v>
      </c>
      <c r="P119" s="7">
        <v>7.754722926561158</v>
      </c>
      <c r="Q119" s="7">
        <v>0.010770433679469</v>
      </c>
      <c r="R119" s="7">
        <v>0.0488213100128707</v>
      </c>
      <c r="S119" s="7">
        <v>0.0811308468030378</v>
      </c>
      <c r="T119" s="7">
        <v>0.5808109321483927</v>
      </c>
    </row>
    <row x14ac:dyDescent="0.25" r="120" customHeight="1" ht="19.5">
      <c r="A120" s="2" t="s">
        <v>150</v>
      </c>
      <c r="B120" s="2" t="s">
        <v>30</v>
      </c>
      <c r="C120" s="2" t="s">
        <v>31</v>
      </c>
      <c r="D120" s="2" t="s">
        <v>32</v>
      </c>
      <c r="E120" s="6">
        <v>1</v>
      </c>
      <c r="F120" s="6">
        <v>0</v>
      </c>
      <c r="G120" s="7">
        <v>0.7191835045814514</v>
      </c>
      <c r="H120" s="7">
        <v>45.91271953125</v>
      </c>
      <c r="I120" s="7">
        <v>30.21120213276808</v>
      </c>
      <c r="J120" s="7">
        <v>8.579955106465746</v>
      </c>
      <c r="K120" s="7">
        <v>8.34866856193096</v>
      </c>
      <c r="L120" s="7">
        <v>0.5631656955459542</v>
      </c>
      <c r="M120" s="7">
        <v>0.631749217324038</v>
      </c>
      <c r="N120" s="7">
        <v>0.5412928693504345</v>
      </c>
      <c r="O120" s="7">
        <v>0.2427119176438288</v>
      </c>
      <c r="P120" s="7">
        <v>7.126434248549604</v>
      </c>
      <c r="Q120" s="7">
        <v>0.0068555622678771</v>
      </c>
      <c r="R120" s="7">
        <v>0.0296606609293883</v>
      </c>
      <c r="S120" s="7">
        <v>0.0536435257714554</v>
      </c>
      <c r="T120" s="7">
        <v>0.3653144725087699</v>
      </c>
    </row>
    <row x14ac:dyDescent="0.25" r="121" customHeight="1" ht="19.5">
      <c r="A121" s="2" t="s">
        <v>151</v>
      </c>
      <c r="B121" s="2" t="s">
        <v>30</v>
      </c>
      <c r="C121" s="2" t="s">
        <v>31</v>
      </c>
      <c r="D121" s="2" t="s">
        <v>32</v>
      </c>
      <c r="E121" s="6">
        <v>1</v>
      </c>
      <c r="F121" s="6">
        <v>0</v>
      </c>
      <c r="G121" s="7">
        <v>0.5027787685394287</v>
      </c>
      <c r="H121" s="7">
        <v>46.12744296875</v>
      </c>
      <c r="I121" s="7">
        <v>30.2059434590208</v>
      </c>
      <c r="J121" s="7">
        <v>8.538610535172163</v>
      </c>
      <c r="K121" s="7">
        <v>7.734871265260836</v>
      </c>
      <c r="L121" s="7">
        <v>0.5696045633412461</v>
      </c>
      <c r="M121" s="7">
        <v>0.6352604618139145</v>
      </c>
      <c r="N121" s="7">
        <v>0.5886861317210547</v>
      </c>
      <c r="O121" s="7">
        <v>0.0957236210372439</v>
      </c>
      <c r="P121" s="7">
        <v>7.776818788739769</v>
      </c>
      <c r="Q121" s="7">
        <v>0.0006867289221596</v>
      </c>
      <c r="R121" s="7">
        <v>0.0055375976474445</v>
      </c>
      <c r="S121" s="7">
        <v>0.0274789632816487</v>
      </c>
      <c r="T121" s="7">
        <v>0.0367650786256413</v>
      </c>
    </row>
    <row x14ac:dyDescent="0.25" r="122" customHeight="1" ht="19.5">
      <c r="A122" s="2" t="s">
        <v>152</v>
      </c>
      <c r="B122" s="2" t="s">
        <v>30</v>
      </c>
      <c r="C122" s="2" t="s">
        <v>31</v>
      </c>
      <c r="D122" s="2" t="s">
        <v>32</v>
      </c>
      <c r="E122" s="6">
        <v>1</v>
      </c>
      <c r="F122" s="6">
        <v>0</v>
      </c>
      <c r="G122" s="7">
        <v>0.5214724540710449</v>
      </c>
      <c r="H122" s="7">
        <v>42.52909375</v>
      </c>
      <c r="I122" s="7">
        <v>28.50730946826967</v>
      </c>
      <c r="J122" s="7">
        <v>8.177736643682444</v>
      </c>
      <c r="K122" s="7">
        <v>6.564107589552782</v>
      </c>
      <c r="L122" s="7">
        <v>0.6307589645035399</v>
      </c>
      <c r="M122" s="7">
        <v>0.6570973681080602</v>
      </c>
      <c r="N122" s="7">
        <v>0.4906479648090283</v>
      </c>
      <c r="O122" s="7">
        <v>0.0994859401683493</v>
      </c>
      <c r="P122" s="7">
        <v>8.314617387036268</v>
      </c>
      <c r="Q122" s="7">
        <v>0.0013667236273891</v>
      </c>
      <c r="R122" s="7">
        <v>0.0102739642914435</v>
      </c>
      <c r="S122" s="7">
        <v>0.0226406629983272</v>
      </c>
      <c r="T122" s="7">
        <v>0.0674617512506618</v>
      </c>
    </row>
    <row x14ac:dyDescent="0.25" r="123" customHeight="1" ht="19.5">
      <c r="A123" s="2" t="s">
        <v>153</v>
      </c>
      <c r="B123" s="2" t="s">
        <v>30</v>
      </c>
      <c r="C123" s="2" t="s">
        <v>31</v>
      </c>
      <c r="D123" s="2" t="s">
        <v>32</v>
      </c>
      <c r="E123" s="6">
        <v>1</v>
      </c>
      <c r="F123" s="6">
        <v>0</v>
      </c>
      <c r="G123" s="7">
        <v>0.5931612849235535</v>
      </c>
      <c r="H123" s="7">
        <v>40.7766734375</v>
      </c>
      <c r="I123" s="7">
        <v>28.69013189059656</v>
      </c>
      <c r="J123" s="7">
        <v>8.52467610019882</v>
      </c>
      <c r="K123" s="7">
        <v>6.797853235672247</v>
      </c>
      <c r="L123" s="7">
        <v>0.5935024974749223</v>
      </c>
      <c r="M123" s="7">
        <v>0.6224189256907772</v>
      </c>
      <c r="N123" s="7">
        <v>0.4461219799881059</v>
      </c>
      <c r="O123" s="7">
        <v>0.107491817682818</v>
      </c>
      <c r="P123" s="7">
        <v>8.560071241196162</v>
      </c>
      <c r="Q123" s="7">
        <v>0.0039944318141476</v>
      </c>
      <c r="R123" s="7">
        <v>0.021822536180317</v>
      </c>
      <c r="S123" s="7">
        <v>0.0349803830566192</v>
      </c>
      <c r="T123" s="7">
        <v>0.189041687426165</v>
      </c>
    </row>
    <row x14ac:dyDescent="0.25" r="124" customHeight="1" ht="19.5">
      <c r="A124" s="2" t="s">
        <v>154</v>
      </c>
      <c r="B124" s="2" t="s">
        <v>30</v>
      </c>
      <c r="C124" s="2" t="s">
        <v>31</v>
      </c>
      <c r="D124" s="2" t="s">
        <v>32</v>
      </c>
      <c r="E124" s="6">
        <v>1</v>
      </c>
      <c r="F124" s="6">
        <v>0</v>
      </c>
      <c r="G124" s="7">
        <v>0.6171292066574097</v>
      </c>
      <c r="H124" s="7">
        <v>39.21473359375</v>
      </c>
      <c r="I124" s="7">
        <v>27.9654744609962</v>
      </c>
      <c r="J124" s="7">
        <v>8.347768009629387</v>
      </c>
      <c r="K124" s="7">
        <v>6.195818538501564</v>
      </c>
      <c r="L124" s="7">
        <v>0.7016329964124812</v>
      </c>
      <c r="M124" s="7">
        <v>0.6299963483713155</v>
      </c>
      <c r="N124" s="7">
        <v>0.4077419760486652</v>
      </c>
      <c r="O124" s="7">
        <v>0.1108926075908242</v>
      </c>
      <c r="P124" s="7">
        <v>8.678259011702146</v>
      </c>
      <c r="Q124" s="7">
        <v>0.0065740859802168</v>
      </c>
      <c r="R124" s="7">
        <v>0.0285927213259818</v>
      </c>
      <c r="S124" s="7">
        <v>0.0514541491226503</v>
      </c>
      <c r="T124" s="7">
        <v>0.2992095347226122</v>
      </c>
    </row>
    <row x14ac:dyDescent="0.25" r="125" customHeight="1" ht="19.5">
      <c r="A125" s="2" t="s">
        <v>155</v>
      </c>
      <c r="B125" s="2" t="s">
        <v>30</v>
      </c>
      <c r="C125" s="2" t="s">
        <v>31</v>
      </c>
      <c r="D125" s="2" t="s">
        <v>32</v>
      </c>
      <c r="E125" s="6">
        <v>1</v>
      </c>
      <c r="F125" s="6">
        <v>0</v>
      </c>
      <c r="G125" s="7">
        <v>0.5978184938430786</v>
      </c>
      <c r="H125" s="7">
        <v>40.4441984375</v>
      </c>
      <c r="I125" s="7">
        <v>28.80155771592799</v>
      </c>
      <c r="J125" s="7">
        <v>8.596593391986085</v>
      </c>
      <c r="K125" s="7">
        <v>6.497637558009783</v>
      </c>
      <c r="L125" s="7">
        <v>0.703049389516127</v>
      </c>
      <c r="M125" s="7">
        <v>0.612680619280179</v>
      </c>
      <c r="N125" s="7">
        <v>0.3880662329194297</v>
      </c>
      <c r="O125" s="7">
        <v>0.1109332964564855</v>
      </c>
      <c r="P125" s="7">
        <v>8.8691192551269</v>
      </c>
      <c r="Q125" s="7">
        <v>0.0086982998506995</v>
      </c>
      <c r="R125" s="7">
        <v>0.03228993748638</v>
      </c>
      <c r="S125" s="7">
        <v>0.0566595149376779</v>
      </c>
      <c r="T125" s="7">
        <v>0.4083018872910788</v>
      </c>
    </row>
    <row x14ac:dyDescent="0.25" r="126" customHeight="1" ht="19.5">
      <c r="A126" s="2" t="s">
        <v>156</v>
      </c>
      <c r="B126" s="2" t="s">
        <v>30</v>
      </c>
      <c r="C126" s="2" t="s">
        <v>31</v>
      </c>
      <c r="D126" s="2" t="s">
        <v>32</v>
      </c>
      <c r="E126" s="6">
        <v>1</v>
      </c>
      <c r="F126" s="6">
        <v>0</v>
      </c>
      <c r="G126" s="7">
        <v>0.6219146847724915</v>
      </c>
      <c r="H126" s="7">
        <v>38.1168734375</v>
      </c>
      <c r="I126" s="7">
        <v>26.48622737703734</v>
      </c>
      <c r="J126" s="7">
        <v>8.492266684124125</v>
      </c>
      <c r="K126" s="7">
        <v>6.466852007271813</v>
      </c>
      <c r="L126" s="7">
        <v>0.682048617845299</v>
      </c>
      <c r="M126" s="7">
        <v>0.6802460922821849</v>
      </c>
      <c r="N126" s="7">
        <v>0.4041894299980329</v>
      </c>
      <c r="O126" s="7">
        <v>0.1332975348191223</v>
      </c>
      <c r="P126" s="7">
        <v>8.69448693609824</v>
      </c>
      <c r="Q126" s="7">
        <v>0.0099427605584171</v>
      </c>
      <c r="R126" s="7">
        <v>0.035922374564944</v>
      </c>
      <c r="S126" s="7">
        <v>0.0569377146164384</v>
      </c>
      <c r="T126" s="7">
        <v>0.4398605683539969</v>
      </c>
    </row>
    <row x14ac:dyDescent="0.25" r="127" customHeight="1" ht="19.5">
      <c r="A127" s="2" t="s">
        <v>157</v>
      </c>
      <c r="B127" s="2" t="s">
        <v>30</v>
      </c>
      <c r="C127" s="2" t="s">
        <v>31</v>
      </c>
      <c r="D127" s="2" t="s">
        <v>32</v>
      </c>
      <c r="E127" s="6">
        <v>1</v>
      </c>
      <c r="F127" s="6">
        <v>0</v>
      </c>
      <c r="G127" s="7">
        <v>0.6283987760543823</v>
      </c>
      <c r="H127" s="7">
        <v>38.04068125000001</v>
      </c>
      <c r="I127" s="7">
        <v>27.95710982935367</v>
      </c>
      <c r="J127" s="7">
        <v>8.105495098632563</v>
      </c>
      <c r="K127" s="7">
        <v>5.81779793932014</v>
      </c>
      <c r="L127" s="7">
        <v>0.6930984452084591</v>
      </c>
      <c r="M127" s="7">
        <v>0.6114972663347886</v>
      </c>
      <c r="N127" s="7">
        <v>0.3960846130593927</v>
      </c>
      <c r="O127" s="7">
        <v>0.1209545111422866</v>
      </c>
      <c r="P127" s="7">
        <v>8.722029388926956</v>
      </c>
      <c r="Q127" s="7">
        <v>0.0077607042600884</v>
      </c>
      <c r="R127" s="7">
        <v>0.0313491604739322</v>
      </c>
      <c r="S127" s="7">
        <v>0.053496292524175</v>
      </c>
      <c r="T127" s="7">
        <v>0.3426416871861454</v>
      </c>
    </row>
    <row x14ac:dyDescent="0.25" r="128" customHeight="1" ht="19.5">
      <c r="A128" s="2" t="s">
        <v>158</v>
      </c>
      <c r="B128" s="2" t="s">
        <v>30</v>
      </c>
      <c r="C128" s="2" t="s">
        <v>31</v>
      </c>
      <c r="D128" s="2" t="s">
        <v>32</v>
      </c>
      <c r="E128" s="6">
        <v>1</v>
      </c>
      <c r="F128" s="6">
        <v>0</v>
      </c>
      <c r="G128" s="7">
        <v>0.6135179996490479</v>
      </c>
      <c r="H128" s="7">
        <v>41.0606625</v>
      </c>
      <c r="I128" s="7">
        <v>29.28245191575916</v>
      </c>
      <c r="J128" s="7">
        <v>8.498101253751404</v>
      </c>
      <c r="K128" s="7">
        <v>6.312292027209005</v>
      </c>
      <c r="L128" s="7">
        <v>0.7042798322486123</v>
      </c>
      <c r="M128" s="7">
        <v>0.601604439514998</v>
      </c>
      <c r="N128" s="7">
        <v>0.384397687097937</v>
      </c>
      <c r="O128" s="7">
        <v>0.1045165394586854</v>
      </c>
      <c r="P128" s="7">
        <v>8.895206430302382</v>
      </c>
      <c r="Q128" s="7">
        <v>0.007728820712481</v>
      </c>
      <c r="R128" s="7">
        <v>0.0309876844309449</v>
      </c>
      <c r="S128" s="7">
        <v>0.0564108230956326</v>
      </c>
      <c r="T128" s="7">
        <v>0.3683239549718406</v>
      </c>
    </row>
    <row x14ac:dyDescent="0.25" r="129" customHeight="1" ht="19.5">
      <c r="A129" s="2" t="s">
        <v>159</v>
      </c>
      <c r="B129" s="2" t="s">
        <v>30</v>
      </c>
      <c r="C129" s="2" t="s">
        <v>31</v>
      </c>
      <c r="D129" s="2" t="s">
        <v>32</v>
      </c>
      <c r="E129" s="6">
        <v>1</v>
      </c>
      <c r="F129" s="6">
        <v>0</v>
      </c>
      <c r="G129" s="7">
        <v>0.611356258392334</v>
      </c>
      <c r="H129" s="7">
        <v>38.74372734375</v>
      </c>
      <c r="I129" s="7">
        <v>28.06680328274981</v>
      </c>
      <c r="J129" s="7">
        <v>8.457803662557442</v>
      </c>
      <c r="K129" s="7">
        <v>6.15491736587089</v>
      </c>
      <c r="L129" s="7">
        <v>0.7147043741249017</v>
      </c>
      <c r="M129" s="7">
        <v>0.6152901234054209</v>
      </c>
      <c r="N129" s="7">
        <v>0.3954680859010513</v>
      </c>
      <c r="O129" s="7">
        <v>0.1184111097646817</v>
      </c>
      <c r="P129" s="7">
        <v>8.774100775605502</v>
      </c>
      <c r="Q129" s="7">
        <v>0.0084925246432721</v>
      </c>
      <c r="R129" s="7">
        <v>0.0334610030248633</v>
      </c>
      <c r="S129" s="7">
        <v>0.0576607702117854</v>
      </c>
      <c r="T129" s="7">
        <v>0.381881830437923</v>
      </c>
    </row>
    <row x14ac:dyDescent="0.25" r="130" customHeight="1" ht="19.5">
      <c r="A130" s="2" t="s">
        <v>160</v>
      </c>
      <c r="B130" s="2" t="s">
        <v>30</v>
      </c>
      <c r="C130" s="2" t="s">
        <v>31</v>
      </c>
      <c r="D130" s="2" t="s">
        <v>32</v>
      </c>
      <c r="E130" s="6">
        <v>1</v>
      </c>
      <c r="F130" s="6">
        <v>0</v>
      </c>
      <c r="G130" s="7">
        <v>0.5898391008377075</v>
      </c>
      <c r="H130" s="7">
        <v>40.08748046875</v>
      </c>
      <c r="I130" s="7">
        <v>28.77509023504044</v>
      </c>
      <c r="J130" s="7">
        <v>8.491317378919875</v>
      </c>
      <c r="K130" s="7">
        <v>6.301330300951803</v>
      </c>
      <c r="L130" s="7">
        <v>0.6969732671200822</v>
      </c>
      <c r="M130" s="7">
        <v>0.6077637078104985</v>
      </c>
      <c r="N130" s="7">
        <v>0.3949976742615536</v>
      </c>
      <c r="O130" s="7">
        <v>0.1177104995469353</v>
      </c>
      <c r="P130" s="7">
        <v>8.799624086682297</v>
      </c>
      <c r="Q130" s="7">
        <v>0.0092945883586022</v>
      </c>
      <c r="R130" s="7">
        <v>0.0341581710716733</v>
      </c>
      <c r="S130" s="7">
        <v>0.0565131510434318</v>
      </c>
      <c r="T130" s="7">
        <v>0.4324438267126768</v>
      </c>
    </row>
    <row x14ac:dyDescent="0.25" r="131" customHeight="1" ht="19.5">
      <c r="A131" s="2" t="s">
        <v>161</v>
      </c>
      <c r="B131" s="2" t="s">
        <v>30</v>
      </c>
      <c r="C131" s="2" t="s">
        <v>31</v>
      </c>
      <c r="D131" s="2" t="s">
        <v>32</v>
      </c>
      <c r="E131" s="6">
        <v>1</v>
      </c>
      <c r="F131" s="6">
        <v>0</v>
      </c>
      <c r="G131" s="7">
        <v>0.6215401291847229</v>
      </c>
      <c r="H131" s="7">
        <v>38.012975</v>
      </c>
      <c r="I131" s="7">
        <v>26.99741258760199</v>
      </c>
      <c r="J131" s="7">
        <v>8.298892105279574</v>
      </c>
      <c r="K131" s="7">
        <v>6.033876452728254</v>
      </c>
      <c r="L131" s="7">
        <v>0.7161667933380438</v>
      </c>
      <c r="M131" s="7">
        <v>0.654132489441072</v>
      </c>
      <c r="N131" s="7">
        <v>0.397201219492915</v>
      </c>
      <c r="O131" s="7">
        <v>0.1153722594164583</v>
      </c>
      <c r="P131" s="7">
        <v>8.762412722354748</v>
      </c>
      <c r="Q131" s="7">
        <v>0.0089063632704179</v>
      </c>
      <c r="R131" s="7">
        <v>0.0340646965966763</v>
      </c>
      <c r="S131" s="7">
        <v>0.0576651802555537</v>
      </c>
      <c r="T131" s="7">
        <v>0.3929371086244807</v>
      </c>
    </row>
    <row x14ac:dyDescent="0.25" r="132" customHeight="1" ht="19.5">
      <c r="A132" s="2" t="s">
        <v>162</v>
      </c>
      <c r="B132" s="2" t="s">
        <v>30</v>
      </c>
      <c r="C132" s="2" t="s">
        <v>31</v>
      </c>
      <c r="D132" s="2" t="s">
        <v>32</v>
      </c>
      <c r="E132" s="6">
        <v>1</v>
      </c>
      <c r="F132" s="6">
        <v>0</v>
      </c>
      <c r="G132" s="7">
        <v>0.6123716831207275</v>
      </c>
      <c r="H132" s="7">
        <v>39.29092578125</v>
      </c>
      <c r="I132" s="7">
        <v>27.6061030900743</v>
      </c>
      <c r="J132" s="7">
        <v>8.44889833345918</v>
      </c>
      <c r="K132" s="7">
        <v>6.347938223784126</v>
      </c>
      <c r="L132" s="7">
        <v>0.6921891195524814</v>
      </c>
      <c r="M132" s="7">
        <v>0.6478189272919738</v>
      </c>
      <c r="N132" s="7">
        <v>0.3968035293274895</v>
      </c>
      <c r="O132" s="7">
        <v>0.1162892670974295</v>
      </c>
      <c r="P132" s="7">
        <v>8.775069987728926</v>
      </c>
      <c r="Q132" s="7">
        <v>0.0087995292836952</v>
      </c>
      <c r="R132" s="7">
        <v>0.0344116183631481</v>
      </c>
      <c r="S132" s="7">
        <v>0.056327298853718</v>
      </c>
      <c r="T132" s="7">
        <v>0.4012753505785368</v>
      </c>
    </row>
    <row x14ac:dyDescent="0.25" r="133" customHeight="1" ht="19.5">
      <c r="A133" s="2" t="s">
        <v>163</v>
      </c>
      <c r="B133" s="2" t="s">
        <v>30</v>
      </c>
      <c r="C133" s="2" t="s">
        <v>31</v>
      </c>
      <c r="D133" s="2" t="s">
        <v>32</v>
      </c>
      <c r="E133" s="6">
        <v>1</v>
      </c>
      <c r="F133" s="6">
        <v>0</v>
      </c>
      <c r="G133" s="7">
        <v>0.5940796732902527</v>
      </c>
      <c r="H133" s="7">
        <v>39.0658125</v>
      </c>
      <c r="I133" s="7">
        <v>27.15585868695196</v>
      </c>
      <c r="J133" s="7">
        <v>8.419196412260488</v>
      </c>
      <c r="K133" s="7">
        <v>6.324247975201131</v>
      </c>
      <c r="L133" s="7">
        <v>0.6780019541332379</v>
      </c>
      <c r="M133" s="7">
        <v>0.6633410239632068</v>
      </c>
      <c r="N133" s="7">
        <v>0.4066065747623371</v>
      </c>
      <c r="O133" s="7">
        <v>0.1316082040622512</v>
      </c>
      <c r="P133" s="7">
        <v>8.705388362067783</v>
      </c>
      <c r="Q133" s="7">
        <v>0.0084578831159938</v>
      </c>
      <c r="R133" s="7">
        <v>0.0326708685490461</v>
      </c>
      <c r="S133" s="7">
        <v>0.0552774931004645</v>
      </c>
      <c r="T133" s="7">
        <v>0.3834858293762822</v>
      </c>
    </row>
    <row x14ac:dyDescent="0.25" r="134" customHeight="1" ht="19.5">
      <c r="A134" s="2" t="s">
        <v>164</v>
      </c>
      <c r="B134" s="2" t="s">
        <v>30</v>
      </c>
      <c r="C134" s="2" t="s">
        <v>31</v>
      </c>
      <c r="D134" s="2" t="s">
        <v>32</v>
      </c>
      <c r="E134" s="6">
        <v>1</v>
      </c>
      <c r="F134" s="6">
        <v>0</v>
      </c>
      <c r="G134" s="7">
        <v>0.6209890246391296</v>
      </c>
      <c r="H134" s="7">
        <v>36.09085390625</v>
      </c>
      <c r="I134" s="7">
        <v>24.31643740405753</v>
      </c>
      <c r="J134" s="7">
        <v>7.966182328886305</v>
      </c>
      <c r="K134" s="7">
        <v>5.60414954648212</v>
      </c>
      <c r="L134" s="7">
        <v>0.7188269097195191</v>
      </c>
      <c r="M134" s="7">
        <v>0.7645918648720819</v>
      </c>
      <c r="N134" s="7">
        <v>0.3961155491247337</v>
      </c>
      <c r="O134" s="7">
        <v>0.1126237524332017</v>
      </c>
      <c r="P134" s="7">
        <v>8.717086831516221</v>
      </c>
      <c r="Q134" s="7">
        <v>0.0081086654563367</v>
      </c>
      <c r="R134" s="7">
        <v>0.0337342107987163</v>
      </c>
      <c r="S134" s="7">
        <v>0.0561825643049462</v>
      </c>
      <c r="T134" s="7">
        <v>0.3396544590569381</v>
      </c>
    </row>
    <row x14ac:dyDescent="0.25" r="135" customHeight="1" ht="19.5">
      <c r="A135" s="2" t="s">
        <v>165</v>
      </c>
      <c r="B135" s="2" t="s">
        <v>30</v>
      </c>
      <c r="C135" s="2" t="s">
        <v>31</v>
      </c>
      <c r="D135" s="2" t="s">
        <v>32</v>
      </c>
      <c r="E135" s="6">
        <v>1</v>
      </c>
      <c r="F135" s="6">
        <v>0</v>
      </c>
      <c r="G135" s="7">
        <v>0.6226510405540466</v>
      </c>
      <c r="H135" s="7">
        <v>36.54108046875</v>
      </c>
      <c r="I135" s="7">
        <v>25.21973494016352</v>
      </c>
      <c r="J135" s="7">
        <v>8.411194830499237</v>
      </c>
      <c r="K135" s="7">
        <v>6.068785188724798</v>
      </c>
      <c r="L135" s="7">
        <v>0.7118709704701074</v>
      </c>
      <c r="M135" s="7">
        <v>0.7209971866380662</v>
      </c>
      <c r="N135" s="7">
        <v>0.4201077095975923</v>
      </c>
      <c r="O135" s="7">
        <v>0.1459033153398148</v>
      </c>
      <c r="P135" s="7">
        <v>8.538671156723908</v>
      </c>
      <c r="Q135" s="7">
        <v>0.0094692001598102</v>
      </c>
      <c r="R135" s="7">
        <v>0.0354594743567601</v>
      </c>
      <c r="S135" s="7">
        <v>0.0566211296957557</v>
      </c>
      <c r="T135" s="7">
        <v>0.4015923779679663</v>
      </c>
    </row>
    <row x14ac:dyDescent="0.25" r="136" customHeight="1" ht="19.5">
      <c r="A136" s="2" t="s">
        <v>166</v>
      </c>
      <c r="B136" s="2" t="s">
        <v>30</v>
      </c>
      <c r="C136" s="2" t="s">
        <v>31</v>
      </c>
      <c r="D136" s="2" t="s">
        <v>32</v>
      </c>
      <c r="E136" s="6">
        <v>1</v>
      </c>
      <c r="F136" s="6">
        <v>0</v>
      </c>
      <c r="G136" s="7">
        <v>0.624029815196991</v>
      </c>
      <c r="H136" s="7">
        <v>38.12033671875</v>
      </c>
      <c r="I136" s="7">
        <v>27.9125394992211</v>
      </c>
      <c r="J136" s="7">
        <v>8.250210030182865</v>
      </c>
      <c r="K136" s="7">
        <v>6.2645540930569</v>
      </c>
      <c r="L136" s="7">
        <v>0.6918545246602222</v>
      </c>
      <c r="M136" s="7">
        <v>0.6145130201554012</v>
      </c>
      <c r="N136" s="7">
        <v>0.4007591754403669</v>
      </c>
      <c r="O136" s="7">
        <v>0.1212100663599085</v>
      </c>
      <c r="P136" s="7">
        <v>8.728843733674639</v>
      </c>
      <c r="Q136" s="7">
        <v>0.0095582010802948</v>
      </c>
      <c r="R136" s="7">
        <v>0.03606640843143</v>
      </c>
      <c r="S136" s="7">
        <v>0.0576293997355435</v>
      </c>
      <c r="T136" s="7">
        <v>0.4228863536882826</v>
      </c>
    </row>
    <row x14ac:dyDescent="0.25" r="137" customHeight="1" ht="19.5">
      <c r="A137" s="2" t="s">
        <v>167</v>
      </c>
      <c r="B137" s="2" t="s">
        <v>30</v>
      </c>
      <c r="C137" s="2" t="s">
        <v>31</v>
      </c>
      <c r="D137" s="2" t="s">
        <v>32</v>
      </c>
      <c r="E137" s="6">
        <v>1</v>
      </c>
      <c r="F137" s="6">
        <v>0</v>
      </c>
      <c r="G137" s="7">
        <v>0.6068001389503479</v>
      </c>
      <c r="H137" s="7">
        <v>39.85197734375</v>
      </c>
      <c r="I137" s="7">
        <v>28.00795363321814</v>
      </c>
      <c r="J137" s="7">
        <v>8.470484736127466</v>
      </c>
      <c r="K137" s="7">
        <v>6.304614745405824</v>
      </c>
      <c r="L137" s="7">
        <v>0.7002219375860514</v>
      </c>
      <c r="M137" s="7">
        <v>0.6363532785797683</v>
      </c>
      <c r="N137" s="7">
        <v>0.3944127510805537</v>
      </c>
      <c r="O137" s="7">
        <v>0.1146428957167045</v>
      </c>
      <c r="P137" s="7">
        <v>8.807361692976524</v>
      </c>
      <c r="Q137" s="7">
        <v>0.0077955498926469</v>
      </c>
      <c r="R137" s="7">
        <v>0.0324571869098353</v>
      </c>
      <c r="S137" s="7">
        <v>0.053147006841206</v>
      </c>
      <c r="T137" s="7">
        <v>0.36056819036589</v>
      </c>
    </row>
    <row x14ac:dyDescent="0.25" r="138" customHeight="1" ht="19.5">
      <c r="A138" s="2" t="s">
        <v>168</v>
      </c>
      <c r="B138" s="2" t="s">
        <v>30</v>
      </c>
      <c r="C138" s="2" t="s">
        <v>31</v>
      </c>
      <c r="D138" s="2" t="s">
        <v>32</v>
      </c>
      <c r="E138" s="6">
        <v>1</v>
      </c>
      <c r="F138" s="6">
        <v>0</v>
      </c>
      <c r="G138" s="7">
        <v>0.6323800683021545</v>
      </c>
      <c r="H138" s="7">
        <v>39.00001015625</v>
      </c>
      <c r="I138" s="7">
        <v>27.8498663198435</v>
      </c>
      <c r="J138" s="7">
        <v>8.473725601535085</v>
      </c>
      <c r="K138" s="7">
        <v>6.31214785845965</v>
      </c>
      <c r="L138" s="7">
        <v>0.6935008300394411</v>
      </c>
      <c r="M138" s="7">
        <v>0.6318708991512957</v>
      </c>
      <c r="N138" s="7">
        <v>0.4044430765980934</v>
      </c>
      <c r="O138" s="7">
        <v>0.1271144783414511</v>
      </c>
      <c r="P138" s="7">
        <v>8.7033246534798</v>
      </c>
      <c r="Q138" s="7">
        <v>0.0085145921814406</v>
      </c>
      <c r="R138" s="7">
        <v>0.0347278450891942</v>
      </c>
      <c r="S138" s="7">
        <v>0.0581625068219693</v>
      </c>
      <c r="T138" s="7">
        <v>0.3854067812619389</v>
      </c>
    </row>
    <row x14ac:dyDescent="0.25" r="139" customHeight="1" ht="19.5">
      <c r="A139" s="2" t="s">
        <v>169</v>
      </c>
      <c r="B139" s="2" t="s">
        <v>30</v>
      </c>
      <c r="C139" s="2" t="s">
        <v>31</v>
      </c>
      <c r="D139" s="2" t="s">
        <v>32</v>
      </c>
      <c r="E139" s="6">
        <v>1</v>
      </c>
      <c r="F139" s="6">
        <v>0</v>
      </c>
      <c r="G139" s="7">
        <v>0.6162814497947693</v>
      </c>
      <c r="H139" s="7">
        <v>38.39739921875</v>
      </c>
      <c r="I139" s="7">
        <v>27.93309229235209</v>
      </c>
      <c r="J139" s="7">
        <v>8.256942004257436</v>
      </c>
      <c r="K139" s="7">
        <v>6.3565810243494</v>
      </c>
      <c r="L139" s="7">
        <v>0.6719357375791393</v>
      </c>
      <c r="M139" s="7">
        <v>0.61751348196093</v>
      </c>
      <c r="N139" s="7">
        <v>0.4053267387611224</v>
      </c>
      <c r="O139" s="7">
        <v>0.1280992748068815</v>
      </c>
      <c r="P139" s="7">
        <v>8.699960742706997</v>
      </c>
      <c r="Q139" s="7">
        <v>0.0087286561319764</v>
      </c>
      <c r="R139" s="7">
        <v>0.0335669923659007</v>
      </c>
      <c r="S139" s="7">
        <v>0.0568963637185571</v>
      </c>
      <c r="T139" s="7">
        <v>0.3889913767691226</v>
      </c>
    </row>
    <row x14ac:dyDescent="0.25" r="140" customHeight="1" ht="19.5">
      <c r="A140" s="2" t="s">
        <v>170</v>
      </c>
      <c r="B140" s="2" t="s">
        <v>30</v>
      </c>
      <c r="C140" s="2" t="s">
        <v>31</v>
      </c>
      <c r="D140" s="2" t="s">
        <v>32</v>
      </c>
      <c r="E140" s="6">
        <v>1</v>
      </c>
      <c r="F140" s="6">
        <v>0</v>
      </c>
      <c r="G140" s="7">
        <v>0.6036651134490967</v>
      </c>
      <c r="H140" s="7">
        <v>38.64675546875</v>
      </c>
      <c r="I140" s="7">
        <v>26.44338941884006</v>
      </c>
      <c r="J140" s="7">
        <v>8.346662414671517</v>
      </c>
      <c r="K140" s="7">
        <v>6.193249139704325</v>
      </c>
      <c r="L140" s="7">
        <v>0.6849014043456619</v>
      </c>
      <c r="M140" s="7">
        <v>0.6919744417772857</v>
      </c>
      <c r="N140" s="7">
        <v>0.4064623212378335</v>
      </c>
      <c r="O140" s="7">
        <v>0.1279378907679963</v>
      </c>
      <c r="P140" s="7">
        <v>8.698214090522367</v>
      </c>
      <c r="Q140" s="7">
        <v>0.0092245873148546</v>
      </c>
      <c r="R140" s="7">
        <v>0.034345206723715</v>
      </c>
      <c r="S140" s="7">
        <v>0.0566707500774175</v>
      </c>
      <c r="T140" s="7">
        <v>0.4137621551545165</v>
      </c>
    </row>
    <row x14ac:dyDescent="0.25" r="141" customHeight="1" ht="19.5">
      <c r="A141" s="2" t="s">
        <v>171</v>
      </c>
      <c r="B141" s="2" t="s">
        <v>30</v>
      </c>
      <c r="C141" s="2" t="s">
        <v>31</v>
      </c>
      <c r="D141" s="2" t="s">
        <v>32</v>
      </c>
      <c r="E141" s="6">
        <v>1</v>
      </c>
      <c r="F141" s="6">
        <v>0</v>
      </c>
      <c r="G141" s="7">
        <v>0.6045343279838562</v>
      </c>
      <c r="H141" s="7">
        <v>37.4796296875</v>
      </c>
      <c r="I141" s="7">
        <v>27.15167637113069</v>
      </c>
      <c r="J141" s="7">
        <v>8.20790220598481</v>
      </c>
      <c r="K141" s="7">
        <v>5.900373333161636</v>
      </c>
      <c r="L141" s="7">
        <v>0.7166282731031124</v>
      </c>
      <c r="M141" s="7">
        <v>0.6379245146000346</v>
      </c>
      <c r="N141" s="7">
        <v>0.3999924579257872</v>
      </c>
      <c r="O141" s="7">
        <v>0.1173445264563843</v>
      </c>
      <c r="P141" s="7">
        <v>8.745062537189991</v>
      </c>
      <c r="Q141" s="7">
        <v>0.0081373305067192</v>
      </c>
      <c r="R141" s="7">
        <v>0.0330771604304153</v>
      </c>
      <c r="S141" s="7">
        <v>0.0575899511485126</v>
      </c>
      <c r="T141" s="7">
        <v>0.3539712805791712</v>
      </c>
    </row>
    <row x14ac:dyDescent="0.25" r="142" customHeight="1" ht="19.5">
      <c r="A142" s="2" t="s">
        <v>172</v>
      </c>
      <c r="B142" s="2" t="s">
        <v>30</v>
      </c>
      <c r="C142" s="2" t="s">
        <v>31</v>
      </c>
      <c r="D142" s="2" t="s">
        <v>32</v>
      </c>
      <c r="E142" s="6">
        <v>1</v>
      </c>
      <c r="F142" s="6">
        <v>0</v>
      </c>
      <c r="G142" s="7">
        <v>0.605111837387085</v>
      </c>
      <c r="H142" s="7">
        <v>38.5324671875</v>
      </c>
      <c r="I142" s="7">
        <v>26.29922263888918</v>
      </c>
      <c r="J142" s="7">
        <v>8.616611178190038</v>
      </c>
      <c r="K142" s="7">
        <v>6.358981740573023</v>
      </c>
      <c r="L142" s="7">
        <v>0.6851113857306436</v>
      </c>
      <c r="M142" s="7">
        <v>0.6977569738765889</v>
      </c>
      <c r="N142" s="7">
        <v>0.4094274925056662</v>
      </c>
      <c r="O142" s="7">
        <v>0.1300553741830308</v>
      </c>
      <c r="P142" s="7">
        <v>8.695424658882676</v>
      </c>
      <c r="Q142" s="7">
        <v>0.0088294846247526</v>
      </c>
      <c r="R142" s="7">
        <v>0.0339043447987352</v>
      </c>
      <c r="S142" s="7">
        <v>0.0549090289603059</v>
      </c>
      <c r="T142" s="7">
        <v>0.3948689200438861</v>
      </c>
    </row>
    <row x14ac:dyDescent="0.25" r="143" customHeight="1" ht="19.5">
      <c r="A143" s="2" t="s">
        <v>173</v>
      </c>
      <c r="B143" s="2" t="s">
        <v>30</v>
      </c>
      <c r="C143" s="2" t="s">
        <v>31</v>
      </c>
      <c r="D143" s="2" t="s">
        <v>32</v>
      </c>
      <c r="E143" s="6">
        <v>1</v>
      </c>
      <c r="F143" s="6">
        <v>0</v>
      </c>
      <c r="G143" s="7">
        <v>0.6130907535552979</v>
      </c>
      <c r="H143" s="7">
        <v>36.70039140625</v>
      </c>
      <c r="I143" s="7">
        <v>25.41438673800354</v>
      </c>
      <c r="J143" s="7">
        <v>8.255789734589241</v>
      </c>
      <c r="K143" s="7">
        <v>6.021425262758704</v>
      </c>
      <c r="L143" s="7">
        <v>0.7160910785759828</v>
      </c>
      <c r="M143" s="7">
        <v>0.7132967520425099</v>
      </c>
      <c r="N143" s="7">
        <v>0.410186946512393</v>
      </c>
      <c r="O143" s="7">
        <v>0.1218335976335058</v>
      </c>
      <c r="P143" s="7">
        <v>8.64615706423627</v>
      </c>
      <c r="Q143" s="7">
        <v>0.0080311677877637</v>
      </c>
      <c r="R143" s="7">
        <v>0.0334876184605408</v>
      </c>
      <c r="S143" s="7">
        <v>0.0564696649466945</v>
      </c>
      <c r="T143" s="7">
        <v>0.3420898395665728</v>
      </c>
    </row>
    <row x14ac:dyDescent="0.25" r="144" customHeight="1" ht="19.5">
      <c r="A144" s="2" t="s">
        <v>174</v>
      </c>
      <c r="B144" s="2" t="s">
        <v>30</v>
      </c>
      <c r="C144" s="2" t="s">
        <v>31</v>
      </c>
      <c r="D144" s="2" t="s">
        <v>32</v>
      </c>
      <c r="E144" s="6">
        <v>1</v>
      </c>
      <c r="F144" s="6">
        <v>0</v>
      </c>
      <c r="G144" s="7">
        <v>0.5456341505050659</v>
      </c>
      <c r="H144" s="7">
        <v>38.94459765625</v>
      </c>
      <c r="I144" s="7">
        <v>28.45891560829116</v>
      </c>
      <c r="J144" s="7">
        <v>7.869898735272526</v>
      </c>
      <c r="K144" s="7">
        <v>6.722520088539738</v>
      </c>
      <c r="L144" s="7">
        <v>0.5696655991371656</v>
      </c>
      <c r="M144" s="7">
        <v>0.6042014552903011</v>
      </c>
      <c r="N144" s="7">
        <v>0.5465704747415008</v>
      </c>
      <c r="O144" s="7">
        <v>0.1170839443291852</v>
      </c>
      <c r="P144" s="7">
        <v>7.962277957678005</v>
      </c>
      <c r="Q144" s="7">
        <v>0.0017858103639729</v>
      </c>
      <c r="R144" s="7">
        <v>0.0117168432489782</v>
      </c>
      <c r="S144" s="7">
        <v>0.0213675442976675</v>
      </c>
      <c r="T144" s="7">
        <v>0.0807185479135909</v>
      </c>
    </row>
    <row x14ac:dyDescent="0.25" r="145" customHeight="1" ht="19.5">
      <c r="A145" s="2" t="s">
        <v>175</v>
      </c>
      <c r="B145" s="2" t="s">
        <v>30</v>
      </c>
      <c r="C145" s="2" t="s">
        <v>31</v>
      </c>
      <c r="D145" s="2" t="s">
        <v>32</v>
      </c>
      <c r="E145" s="6">
        <v>1</v>
      </c>
      <c r="F145" s="6">
        <v>0</v>
      </c>
      <c r="G145" s="7">
        <v>0.3543386161327362</v>
      </c>
      <c r="H145" s="7">
        <v>62.41871796875</v>
      </c>
      <c r="I145" s="7">
        <v>36.95901504978805</v>
      </c>
      <c r="J145" s="7">
        <v>9.608105332607416</v>
      </c>
      <c r="K145" s="7">
        <v>7.359374149616693</v>
      </c>
      <c r="L145" s="7">
        <v>0.6716602527636545</v>
      </c>
      <c r="M145" s="7">
        <v>0.5730485752088152</v>
      </c>
      <c r="N145" s="7">
        <v>0.5654239560950548</v>
      </c>
      <c r="O145" s="7">
        <v>0.0678590137070672</v>
      </c>
      <c r="P145" s="7">
        <v>8.292627673319913</v>
      </c>
      <c r="Q145" s="7">
        <v>0.0026885152538051</v>
      </c>
      <c r="R145" s="7">
        <v>0.0159416841308414</v>
      </c>
      <c r="S145" s="7">
        <v>0.0281255992299949</v>
      </c>
      <c r="T145" s="7">
        <v>0.1947682352764937</v>
      </c>
    </row>
    <row x14ac:dyDescent="0.25" r="146" customHeight="1" ht="19.5">
      <c r="A146" s="2" t="s">
        <v>176</v>
      </c>
      <c r="B146" s="2" t="s">
        <v>30</v>
      </c>
      <c r="C146" s="2" t="s">
        <v>31</v>
      </c>
      <c r="D146" s="2" t="s">
        <v>32</v>
      </c>
      <c r="E146" s="6">
        <v>1</v>
      </c>
      <c r="F146" s="6">
        <v>0</v>
      </c>
      <c r="G146" s="7">
        <v>0.5322777032852173</v>
      </c>
      <c r="H146" s="7">
        <v>45.4174703125</v>
      </c>
      <c r="I146" s="7">
        <v>29.27408728411663</v>
      </c>
      <c r="J146" s="7">
        <v>8.39464257790216</v>
      </c>
      <c r="K146" s="7">
        <v>6.239137740148538</v>
      </c>
      <c r="L146" s="7">
        <v>0.6602091612146684</v>
      </c>
      <c r="M146" s="7">
        <v>0.6659367159740942</v>
      </c>
      <c r="N146" s="7">
        <v>0.519222860224313</v>
      </c>
      <c r="O146" s="7">
        <v>0.1008456196580199</v>
      </c>
      <c r="P146" s="7">
        <v>8.318782809670283</v>
      </c>
      <c r="Q146" s="7">
        <v>0.0022072051184149</v>
      </c>
      <c r="R146" s="7">
        <v>0.0125563916702701</v>
      </c>
      <c r="S146" s="7">
        <v>0.0246724597428431</v>
      </c>
      <c r="T146" s="7">
        <v>0.1163473284762727</v>
      </c>
    </row>
    <row x14ac:dyDescent="0.25" r="147" customHeight="1" ht="19.5">
      <c r="A147" s="2" t="s">
        <v>177</v>
      </c>
      <c r="B147" s="2" t="s">
        <v>30</v>
      </c>
      <c r="C147" s="2" t="s">
        <v>31</v>
      </c>
      <c r="D147" s="2" t="s">
        <v>32</v>
      </c>
      <c r="E147" s="6">
        <v>1</v>
      </c>
      <c r="F147" s="6">
        <v>0</v>
      </c>
      <c r="G147" s="7">
        <v>0.5858475565910339</v>
      </c>
      <c r="H147" s="7">
        <v>42.56026328125</v>
      </c>
      <c r="I147" s="7">
        <v>28.29801956505521</v>
      </c>
      <c r="J147" s="7">
        <v>8.302324841834395</v>
      </c>
      <c r="K147" s="7">
        <v>6.053691671133949</v>
      </c>
      <c r="L147" s="7">
        <v>0.6756069612745084</v>
      </c>
      <c r="M147" s="7">
        <v>0.6678856075910007</v>
      </c>
      <c r="N147" s="7">
        <v>0.4811527690856544</v>
      </c>
      <c r="O147" s="7">
        <v>0.1004841753931212</v>
      </c>
      <c r="P147" s="7">
        <v>8.512455795986224</v>
      </c>
      <c r="Q147" s="7">
        <v>0.0037167552314458</v>
      </c>
      <c r="R147" s="7">
        <v>0.0176998313513838</v>
      </c>
      <c r="S147" s="7">
        <v>0.0290613275131704</v>
      </c>
      <c r="T147" s="7">
        <v>0.1835942381391298</v>
      </c>
    </row>
    <row x14ac:dyDescent="0.25" r="148" customHeight="1" ht="19.5">
      <c r="A148" s="2" t="s">
        <v>178</v>
      </c>
      <c r="B148" s="2" t="s">
        <v>30</v>
      </c>
      <c r="C148" s="2" t="s">
        <v>31</v>
      </c>
      <c r="D148" s="2" t="s">
        <v>32</v>
      </c>
      <c r="E148" s="6">
        <v>1</v>
      </c>
      <c r="F148" s="6">
        <v>0</v>
      </c>
      <c r="G148" s="7">
        <v>0.5975359678268433</v>
      </c>
      <c r="H148" s="7">
        <v>37.6597203125</v>
      </c>
      <c r="I148" s="7">
        <v>25.74519947012726</v>
      </c>
      <c r="J148" s="7">
        <v>7.543593056700492</v>
      </c>
      <c r="K148" s="7">
        <v>6.163192523713475</v>
      </c>
      <c r="L148" s="7">
        <v>0.5781159848464479</v>
      </c>
      <c r="M148" s="7">
        <v>0.710316790595021</v>
      </c>
      <c r="N148" s="7">
        <v>0.4105192934590393</v>
      </c>
      <c r="O148" s="7">
        <v>0.1145097937566563</v>
      </c>
      <c r="P148" s="7">
        <v>8.689561233233821</v>
      </c>
      <c r="Q148" s="7">
        <v>0.0072467747543143</v>
      </c>
      <c r="R148" s="7">
        <v>0.0261264586676778</v>
      </c>
      <c r="S148" s="7">
        <v>0.0408877532250499</v>
      </c>
      <c r="T148" s="7">
        <v>0.3167470895874459</v>
      </c>
    </row>
    <row x14ac:dyDescent="0.25" r="149" customHeight="1" ht="19.5">
      <c r="A149" s="2" t="s">
        <v>179</v>
      </c>
      <c r="B149" s="2" t="s">
        <v>30</v>
      </c>
      <c r="C149" s="2" t="s">
        <v>31</v>
      </c>
      <c r="D149" s="2" t="s">
        <v>32</v>
      </c>
      <c r="E149" s="6">
        <v>1</v>
      </c>
      <c r="F149" s="6">
        <v>0</v>
      </c>
      <c r="G149" s="7">
        <v>0.6204407215118408</v>
      </c>
      <c r="H149" s="7">
        <v>37.89176015625</v>
      </c>
      <c r="I149" s="7">
        <v>26.25256115084597</v>
      </c>
      <c r="J149" s="7">
        <v>7.383755973440969</v>
      </c>
      <c r="K149" s="7">
        <v>5.665788662189472</v>
      </c>
      <c r="L149" s="7">
        <v>0.5910604173790507</v>
      </c>
      <c r="M149" s="7">
        <v>0.689820282510034</v>
      </c>
      <c r="N149" s="7">
        <v>0.4021760704427773</v>
      </c>
      <c r="O149" s="7">
        <v>0.1094941080493586</v>
      </c>
      <c r="P149" s="7">
        <v>8.753635790650382</v>
      </c>
      <c r="Q149" s="7">
        <v>0.0075817128674938</v>
      </c>
      <c r="R149" s="7">
        <v>0.0255461729966615</v>
      </c>
      <c r="S149" s="7">
        <v>0.0418802020110213</v>
      </c>
      <c r="T149" s="7">
        <v>0.3334286335993824</v>
      </c>
    </row>
    <row x14ac:dyDescent="0.25" r="150" customHeight="1" ht="19.5">
      <c r="A150" s="2" t="s">
        <v>180</v>
      </c>
      <c r="B150" s="2" t="s">
        <v>30</v>
      </c>
      <c r="C150" s="2" t="s">
        <v>31</v>
      </c>
      <c r="D150" s="2" t="s">
        <v>32</v>
      </c>
      <c r="E150" s="6">
        <v>1</v>
      </c>
      <c r="F150" s="6">
        <v>0</v>
      </c>
      <c r="G150" s="7">
        <v>0.595667839050293</v>
      </c>
      <c r="H150" s="7">
        <v>39.550671875</v>
      </c>
      <c r="I150" s="7">
        <v>28.28374024565612</v>
      </c>
      <c r="J150" s="7">
        <v>7.890891140200704</v>
      </c>
      <c r="K150" s="7">
        <v>6.300127929155321</v>
      </c>
      <c r="L150" s="7">
        <v>0.6378965086525387</v>
      </c>
      <c r="M150" s="7">
        <v>0.6200869594478223</v>
      </c>
      <c r="N150" s="7">
        <v>0.4396421950364751</v>
      </c>
      <c r="O150" s="7">
        <v>0.0825323504601139</v>
      </c>
      <c r="P150" s="7">
        <v>8.774745814362813</v>
      </c>
      <c r="Q150" s="7">
        <v>0.005632578300067</v>
      </c>
      <c r="R150" s="7">
        <v>0.0212687189933028</v>
      </c>
      <c r="S150" s="7">
        <v>0.0396407361806609</v>
      </c>
      <c r="T150" s="7">
        <v>0.2585543705025907</v>
      </c>
    </row>
    <row x14ac:dyDescent="0.25" r="151" customHeight="1" ht="19.5">
      <c r="A151" s="2" t="s">
        <v>181</v>
      </c>
      <c r="B151" s="2" t="s">
        <v>30</v>
      </c>
      <c r="C151" s="2" t="s">
        <v>31</v>
      </c>
      <c r="D151" s="2" t="s">
        <v>32</v>
      </c>
      <c r="E151" s="6">
        <v>1</v>
      </c>
      <c r="F151" s="6">
        <v>0</v>
      </c>
      <c r="G151" s="7">
        <v>0.6063780784606934</v>
      </c>
      <c r="H151" s="7">
        <v>37.9575625</v>
      </c>
      <c r="I151" s="7">
        <v>27.01760659475764</v>
      </c>
      <c r="J151" s="7">
        <v>7.52664512513234</v>
      </c>
      <c r="K151" s="7">
        <v>5.665542899160162</v>
      </c>
      <c r="L151" s="7">
        <v>0.633781424366861</v>
      </c>
      <c r="M151" s="7">
        <v>0.6515452227564628</v>
      </c>
      <c r="N151" s="7">
        <v>0.4446202913390328</v>
      </c>
      <c r="O151" s="7">
        <v>0.0897221068455011</v>
      </c>
      <c r="P151" s="7">
        <v>8.659904262914694</v>
      </c>
      <c r="Q151" s="7">
        <v>0.0074352340498857</v>
      </c>
      <c r="R151" s="7">
        <v>0.025355502746988</v>
      </c>
      <c r="S151" s="7">
        <v>0.0401819546061659</v>
      </c>
      <c r="T151" s="7">
        <v>0.3275546279527423</v>
      </c>
    </row>
    <row x14ac:dyDescent="0.25" r="152" customHeight="1" ht="19.5">
      <c r="A152" s="2" t="s">
        <v>182</v>
      </c>
      <c r="B152" s="2" t="s">
        <v>30</v>
      </c>
      <c r="C152" s="2" t="s">
        <v>31</v>
      </c>
      <c r="D152" s="2" t="s">
        <v>32</v>
      </c>
      <c r="E152" s="6">
        <v>1</v>
      </c>
      <c r="F152" s="6">
        <v>0</v>
      </c>
      <c r="G152" s="7">
        <v>0.6174747943878174</v>
      </c>
      <c r="H152" s="7">
        <v>36.35752656250001</v>
      </c>
      <c r="I152" s="7">
        <v>28.58252959511105</v>
      </c>
      <c r="J152" s="7">
        <v>7.424213118579269</v>
      </c>
      <c r="K152" s="7">
        <v>5.790746694128732</v>
      </c>
      <c r="L152" s="7">
        <v>0.6076823490383528</v>
      </c>
      <c r="M152" s="7">
        <v>0.5580740025839306</v>
      </c>
      <c r="N152" s="7">
        <v>0.4021072265161051</v>
      </c>
      <c r="O152" s="7">
        <v>0.1097538774140625</v>
      </c>
      <c r="P152" s="7">
        <v>8.746784261687525</v>
      </c>
      <c r="Q152" s="7">
        <v>0.0072050829638384</v>
      </c>
      <c r="R152" s="7">
        <v>0.0242360804185448</v>
      </c>
      <c r="S152" s="7">
        <v>0.0414420133679178</v>
      </c>
      <c r="T152" s="7">
        <v>0.3040353600629554</v>
      </c>
    </row>
    <row x14ac:dyDescent="0.25" r="153" customHeight="1" ht="19.5">
      <c r="A153" s="2" t="s">
        <v>183</v>
      </c>
      <c r="B153" s="2" t="s">
        <v>30</v>
      </c>
      <c r="C153" s="2" t="s">
        <v>31</v>
      </c>
      <c r="D153" s="2" t="s">
        <v>32</v>
      </c>
      <c r="E153" s="6">
        <v>1</v>
      </c>
      <c r="F153" s="6">
        <v>0</v>
      </c>
      <c r="G153" s="7">
        <v>0.5836086273193359</v>
      </c>
      <c r="H153" s="7">
        <v>38.6432921875</v>
      </c>
      <c r="I153" s="7">
        <v>26.32742249171203</v>
      </c>
      <c r="J153" s="7">
        <v>7.999818270108987</v>
      </c>
      <c r="K153" s="7">
        <v>6.279735600949305</v>
      </c>
      <c r="L153" s="7">
        <v>0.6423379057634584</v>
      </c>
      <c r="M153" s="7">
        <v>0.6987117664297604</v>
      </c>
      <c r="N153" s="7">
        <v>0.4456594892633325</v>
      </c>
      <c r="O153" s="7">
        <v>0.0982150576692043</v>
      </c>
      <c r="P153" s="7">
        <v>8.689461392432401</v>
      </c>
      <c r="Q153" s="7">
        <v>0.0068278162162888</v>
      </c>
      <c r="R153" s="7">
        <v>0.02398838165917</v>
      </c>
      <c r="S153" s="7">
        <v>0.0420314738024765</v>
      </c>
      <c r="T153" s="7">
        <v>0.3062292858322534</v>
      </c>
    </row>
    <row x14ac:dyDescent="0.25" r="154" customHeight="1" ht="19.5">
      <c r="A154" s="2" t="s">
        <v>184</v>
      </c>
      <c r="B154" s="2" t="s">
        <v>30</v>
      </c>
      <c r="C154" s="2" t="s">
        <v>31</v>
      </c>
      <c r="D154" s="2" t="s">
        <v>32</v>
      </c>
      <c r="E154" s="6">
        <v>1</v>
      </c>
      <c r="F154" s="6">
        <v>0</v>
      </c>
      <c r="G154" s="7">
        <v>0.610221803188324</v>
      </c>
      <c r="H154" s="7">
        <v>38.664071875</v>
      </c>
      <c r="I154" s="7">
        <v>28.10336776721518</v>
      </c>
      <c r="J154" s="7">
        <v>7.957472898882165</v>
      </c>
      <c r="K154" s="7">
        <v>5.891521869223379</v>
      </c>
      <c r="L154" s="7">
        <v>0.6575285774767438</v>
      </c>
      <c r="M154" s="7">
        <v>0.6139105072190555</v>
      </c>
      <c r="N154" s="7">
        <v>0.4483110819961852</v>
      </c>
      <c r="O154" s="7">
        <v>0.1068566642938892</v>
      </c>
      <c r="P154" s="7">
        <v>8.65414110493048</v>
      </c>
      <c r="Q154" s="7">
        <v>0.0057884429086631</v>
      </c>
      <c r="R154" s="7">
        <v>0.021682316018846</v>
      </c>
      <c r="S154" s="7">
        <v>0.0374829123152772</v>
      </c>
      <c r="T154" s="7">
        <v>0.25975273182704</v>
      </c>
    </row>
    <row x14ac:dyDescent="0.25" r="155" customHeight="1" ht="19.5">
      <c r="A155" s="2" t="s">
        <v>185</v>
      </c>
      <c r="B155" s="2" t="s">
        <v>30</v>
      </c>
      <c r="C155" s="2" t="s">
        <v>31</v>
      </c>
      <c r="D155" s="2" t="s">
        <v>32</v>
      </c>
      <c r="E155" s="6">
        <v>1</v>
      </c>
      <c r="F155" s="6">
        <v>0</v>
      </c>
      <c r="G155" s="7">
        <v>0.6148353815078735</v>
      </c>
      <c r="H155" s="7">
        <v>39.1974171875</v>
      </c>
      <c r="I155" s="7">
        <v>29.52203282970709</v>
      </c>
      <c r="J155" s="7">
        <v>7.966154338553485</v>
      </c>
      <c r="K155" s="7">
        <v>6.484011436034224</v>
      </c>
      <c r="L155" s="7">
        <v>0.6108743587105735</v>
      </c>
      <c r="M155" s="7">
        <v>0.5642156348358608</v>
      </c>
      <c r="N155" s="7">
        <v>0.4461806648072587</v>
      </c>
      <c r="O155" s="7">
        <v>0.0951261733333744</v>
      </c>
      <c r="P155" s="7">
        <v>8.734939146976448</v>
      </c>
      <c r="Q155" s="7">
        <v>0.0056241673672583</v>
      </c>
      <c r="R155" s="7">
        <v>0.0220292749237407</v>
      </c>
      <c r="S155" s="7">
        <v>0.0391161845436635</v>
      </c>
      <c r="T155" s="7">
        <v>0.2558623989625785</v>
      </c>
    </row>
    <row x14ac:dyDescent="0.25" r="156" customHeight="1" ht="19.5">
      <c r="A156" s="2" t="s">
        <v>186</v>
      </c>
      <c r="B156" s="2" t="s">
        <v>30</v>
      </c>
      <c r="C156" s="2" t="s">
        <v>31</v>
      </c>
      <c r="D156" s="2" t="s">
        <v>32</v>
      </c>
      <c r="E156" s="6">
        <v>1</v>
      </c>
      <c r="F156" s="6">
        <v>0</v>
      </c>
      <c r="G156" s="7">
        <v>0.5968606472015381</v>
      </c>
      <c r="H156" s="7">
        <v>38.36276640625</v>
      </c>
      <c r="I156" s="7">
        <v>26.70872024172488</v>
      </c>
      <c r="J156" s="7">
        <v>7.978337772319669</v>
      </c>
      <c r="K156" s="7">
        <v>6.453765203092544</v>
      </c>
      <c r="L156" s="7">
        <v>0.6394628030795425</v>
      </c>
      <c r="M156" s="7">
        <v>0.6746337330534605</v>
      </c>
      <c r="N156" s="7">
        <v>0.3955491798628599</v>
      </c>
      <c r="O156" s="7">
        <v>0.092855435673063</v>
      </c>
      <c r="P156" s="7">
        <v>8.906294093526633</v>
      </c>
      <c r="Q156" s="7">
        <v>0.0061299239121799</v>
      </c>
      <c r="R156" s="7">
        <v>0.0218456892802618</v>
      </c>
      <c r="S156" s="7">
        <v>0.0400426805224465</v>
      </c>
      <c r="T156" s="7">
        <v>0.2729328318413098</v>
      </c>
    </row>
    <row x14ac:dyDescent="0.25" r="157" customHeight="1" ht="19.5">
      <c r="A157" s="2" t="s">
        <v>187</v>
      </c>
      <c r="B157" s="2" t="s">
        <v>30</v>
      </c>
      <c r="C157" s="2" t="s">
        <v>31</v>
      </c>
      <c r="D157" s="2" t="s">
        <v>32</v>
      </c>
      <c r="E157" s="6">
        <v>1</v>
      </c>
      <c r="F157" s="6">
        <v>0</v>
      </c>
      <c r="G157" s="7">
        <v>0.61188805103302</v>
      </c>
      <c r="H157" s="7">
        <v>38.34198671875</v>
      </c>
      <c r="I157" s="7">
        <v>28.14620572541247</v>
      </c>
      <c r="J157" s="7">
        <v>7.521877563654758</v>
      </c>
      <c r="K157" s="7">
        <v>5.604247243427211</v>
      </c>
      <c r="L157" s="7">
        <v>0.6469366013562142</v>
      </c>
      <c r="M157" s="7">
        <v>0.6081976826857813</v>
      </c>
      <c r="N157" s="7">
        <v>0.4409003801842802</v>
      </c>
      <c r="O157" s="7">
        <v>0.0884976814203189</v>
      </c>
      <c r="P157" s="7">
        <v>8.690667905983068</v>
      </c>
      <c r="Q157" s="7">
        <v>0.0057399225184798</v>
      </c>
      <c r="R157" s="7">
        <v>0.0226710312796746</v>
      </c>
      <c r="S157" s="7">
        <v>0.0380031479238526</v>
      </c>
      <c r="T157" s="7">
        <v>0.2554297171767399</v>
      </c>
    </row>
    <row x14ac:dyDescent="0.25" r="158" customHeight="1" ht="19.5">
      <c r="A158" s="2" t="s">
        <v>188</v>
      </c>
      <c r="B158" s="2" t="s">
        <v>30</v>
      </c>
      <c r="C158" s="2" t="s">
        <v>31</v>
      </c>
      <c r="D158" s="2" t="s">
        <v>32</v>
      </c>
      <c r="E158" s="6">
        <v>1</v>
      </c>
      <c r="F158" s="6">
        <v>0</v>
      </c>
      <c r="G158" s="7">
        <v>0.6103886365890503</v>
      </c>
      <c r="H158" s="7">
        <v>38.1307265625</v>
      </c>
      <c r="I158" s="7">
        <v>26.35598113051021</v>
      </c>
      <c r="J158" s="7">
        <v>7.691953483498043</v>
      </c>
      <c r="K158" s="7">
        <v>5.725983998825575</v>
      </c>
      <c r="L158" s="7">
        <v>0.6262993225050272</v>
      </c>
      <c r="M158" s="7">
        <v>0.685169072513942</v>
      </c>
      <c r="N158" s="7">
        <v>0.4527171873614375</v>
      </c>
      <c r="O158" s="7">
        <v>0.112833165663453</v>
      </c>
      <c r="P158" s="7">
        <v>8.601805075028615</v>
      </c>
      <c r="Q158" s="7">
        <v>0.0059458495284325</v>
      </c>
      <c r="R158" s="7">
        <v>0.0215382563567682</v>
      </c>
      <c r="S158" s="7">
        <v>0.0402105874476217</v>
      </c>
      <c r="T158" s="7">
        <v>0.2631357009498915</v>
      </c>
    </row>
    <row x14ac:dyDescent="0.25" r="159" customHeight="1" ht="19.5">
      <c r="A159" s="2" t="s">
        <v>189</v>
      </c>
      <c r="B159" s="2" t="s">
        <v>30</v>
      </c>
      <c r="C159" s="2" t="s">
        <v>31</v>
      </c>
      <c r="D159" s="2" t="s">
        <v>32</v>
      </c>
      <c r="E159" s="6">
        <v>1</v>
      </c>
      <c r="F159" s="6">
        <v>0</v>
      </c>
      <c r="G159" s="7">
        <v>0.6094492077827454</v>
      </c>
      <c r="H159" s="7">
        <v>39.25975625</v>
      </c>
      <c r="I159" s="7">
        <v>26.72718187694523</v>
      </c>
      <c r="J159" s="7">
        <v>8.29485408806792</v>
      </c>
      <c r="K159" s="7">
        <v>6.255850572718974</v>
      </c>
      <c r="L159" s="7">
        <v>0.6911008645389041</v>
      </c>
      <c r="M159" s="7">
        <v>0.6898470237972142</v>
      </c>
      <c r="N159" s="7">
        <v>0.4446820372360587</v>
      </c>
      <c r="O159" s="7">
        <v>0.0954537817575973</v>
      </c>
      <c r="P159" s="7">
        <v>8.698263947470899</v>
      </c>
      <c r="Q159" s="7">
        <v>0.0057000989285684</v>
      </c>
      <c r="R159" s="7">
        <v>0.0216651838122281</v>
      </c>
      <c r="S159" s="7">
        <v>0.0386198443923316</v>
      </c>
      <c r="T159" s="7">
        <v>0.2597291965860983</v>
      </c>
    </row>
    <row x14ac:dyDescent="0.25" r="160" customHeight="1" ht="19.5">
      <c r="A160" s="2" t="s">
        <v>190</v>
      </c>
      <c r="B160" s="2" t="s">
        <v>30</v>
      </c>
      <c r="C160" s="2" t="s">
        <v>31</v>
      </c>
      <c r="D160" s="2" t="s">
        <v>32</v>
      </c>
      <c r="E160" s="6">
        <v>1</v>
      </c>
      <c r="F160" s="6">
        <v>0</v>
      </c>
      <c r="G160" s="7">
        <v>0.615774393081665</v>
      </c>
      <c r="H160" s="7">
        <v>38.35583984375</v>
      </c>
      <c r="I160" s="7">
        <v>28.54560632467033</v>
      </c>
      <c r="J160" s="7">
        <v>7.965134252428381</v>
      </c>
      <c r="K160" s="7">
        <v>5.837253123354741</v>
      </c>
      <c r="L160" s="7">
        <v>0.6625146411578937</v>
      </c>
      <c r="M160" s="7">
        <v>0.5905496154818952</v>
      </c>
      <c r="N160" s="7">
        <v>0.4475195035496476</v>
      </c>
      <c r="O160" s="7">
        <v>0.1047565208084619</v>
      </c>
      <c r="P160" s="7">
        <v>8.657417483496175</v>
      </c>
      <c r="Q160" s="7">
        <v>0.0052555179361004</v>
      </c>
      <c r="R160" s="7">
        <v>0.0208128423602162</v>
      </c>
      <c r="S160" s="7">
        <v>0.0387106919389896</v>
      </c>
      <c r="T160" s="7">
        <v>0.2339579456345425</v>
      </c>
    </row>
    <row x14ac:dyDescent="0.25" r="161" customHeight="1" ht="19.5">
      <c r="A161" s="2" t="s">
        <v>191</v>
      </c>
      <c r="B161" s="2" t="s">
        <v>30</v>
      </c>
      <c r="C161" s="2" t="s">
        <v>31</v>
      </c>
      <c r="D161" s="2" t="s">
        <v>32</v>
      </c>
      <c r="E161" s="6">
        <v>1</v>
      </c>
      <c r="F161" s="6">
        <v>0</v>
      </c>
      <c r="G161" s="7">
        <v>0.5928917527198792</v>
      </c>
      <c r="H161" s="7">
        <v>39.2874625</v>
      </c>
      <c r="I161" s="7">
        <v>28.89278953410378</v>
      </c>
      <c r="J161" s="7">
        <v>8.113408670789411</v>
      </c>
      <c r="K161" s="7">
        <v>6.389289397730856</v>
      </c>
      <c r="L161" s="7">
        <v>0.6600343322661834</v>
      </c>
      <c r="M161" s="7">
        <v>0.5914048686355344</v>
      </c>
      <c r="N161" s="7">
        <v>0.4430731031009943</v>
      </c>
      <c r="O161" s="7">
        <v>0.0930491441075808</v>
      </c>
      <c r="P161" s="7">
        <v>8.732125062593846</v>
      </c>
      <c r="Q161" s="7">
        <v>0.0057143819493654</v>
      </c>
      <c r="R161" s="7">
        <v>0.0213967748706216</v>
      </c>
      <c r="S161" s="7">
        <v>0.0382581612152089</v>
      </c>
      <c r="T161" s="7">
        <v>0.2605637673449085</v>
      </c>
    </row>
    <row x14ac:dyDescent="0.25" r="162" customHeight="1" ht="19.5">
      <c r="A162" s="2" t="s">
        <v>192</v>
      </c>
      <c r="B162" s="2" t="s">
        <v>30</v>
      </c>
      <c r="C162" s="2" t="s">
        <v>31</v>
      </c>
      <c r="D162" s="2" t="s">
        <v>32</v>
      </c>
      <c r="E162" s="6">
        <v>1</v>
      </c>
      <c r="F162" s="6">
        <v>0</v>
      </c>
      <c r="G162" s="7">
        <v>0.6021912097930908</v>
      </c>
      <c r="H162" s="7">
        <v>38.9065015625</v>
      </c>
      <c r="I162" s="7">
        <v>28.87851021470468</v>
      </c>
      <c r="J162" s="7">
        <v>7.902211634624019</v>
      </c>
      <c r="K162" s="7">
        <v>6.236002638222004</v>
      </c>
      <c r="L162" s="7">
        <v>0.6213709321384755</v>
      </c>
      <c r="M162" s="7">
        <v>0.58384896304801</v>
      </c>
      <c r="N162" s="7">
        <v>0.4438574849172015</v>
      </c>
      <c r="O162" s="7">
        <v>0.098251057627499</v>
      </c>
      <c r="P162" s="7">
        <v>8.712834765292563</v>
      </c>
      <c r="Q162" s="7">
        <v>0.0057721635732958</v>
      </c>
      <c r="R162" s="7">
        <v>0.0218955024264601</v>
      </c>
      <c r="S162" s="7">
        <v>0.0365135038041423</v>
      </c>
      <c r="T162" s="7">
        <v>0.2606463160438667</v>
      </c>
    </row>
    <row x14ac:dyDescent="0.25" r="163" customHeight="1" ht="19.5">
      <c r="A163" s="2" t="s">
        <v>193</v>
      </c>
      <c r="B163" s="2" t="s">
        <v>30</v>
      </c>
      <c r="C163" s="2" t="s">
        <v>31</v>
      </c>
      <c r="D163" s="2" t="s">
        <v>32</v>
      </c>
      <c r="E163" s="6">
        <v>1</v>
      </c>
      <c r="F163" s="6">
        <v>0</v>
      </c>
      <c r="G163" s="7">
        <v>0.6328805088996887</v>
      </c>
      <c r="H163" s="7">
        <v>37.1610078125</v>
      </c>
      <c r="I163" s="7">
        <v>28.65356740613118</v>
      </c>
      <c r="J163" s="7">
        <v>7.753378898587432</v>
      </c>
      <c r="K163" s="7">
        <v>6.482227583109085</v>
      </c>
      <c r="L163" s="7">
        <v>0.5342634736038073</v>
      </c>
      <c r="M163" s="7">
        <v>0.5662829088831268</v>
      </c>
      <c r="N163" s="7">
        <v>0.3923444774149683</v>
      </c>
      <c r="O163" s="7">
        <v>0.0999097416586014</v>
      </c>
      <c r="P163" s="7">
        <v>8.882411673258776</v>
      </c>
      <c r="Q163" s="7">
        <v>0.0055014537298298</v>
      </c>
      <c r="R163" s="7">
        <v>0.0220038366431538</v>
      </c>
      <c r="S163" s="7">
        <v>0.0389887354733436</v>
      </c>
      <c r="T163" s="7">
        <v>0.2372770467710704</v>
      </c>
    </row>
    <row x14ac:dyDescent="0.25" r="164" customHeight="1" ht="19.5">
      <c r="A164" s="2" t="s">
        <v>194</v>
      </c>
      <c r="B164" s="2" t="s">
        <v>30</v>
      </c>
      <c r="C164" s="2" t="s">
        <v>31</v>
      </c>
      <c r="D164" s="2" t="s">
        <v>32</v>
      </c>
      <c r="E164" s="6">
        <v>1</v>
      </c>
      <c r="F164" s="6">
        <v>0</v>
      </c>
      <c r="G164" s="7">
        <v>0.6003538966178894</v>
      </c>
      <c r="H164" s="7">
        <v>40.8043796875</v>
      </c>
      <c r="I164" s="7">
        <v>28.72842874699724</v>
      </c>
      <c r="J164" s="7">
        <v>8.229267693729081</v>
      </c>
      <c r="K164" s="7">
        <v>6.19621407946946</v>
      </c>
      <c r="L164" s="7">
        <v>0.6768465075478317</v>
      </c>
      <c r="M164" s="7">
        <v>0.6209715101002005</v>
      </c>
      <c r="N164" s="7">
        <v>0.4450802655523467</v>
      </c>
      <c r="O164" s="7">
        <v>0.0996250666799047</v>
      </c>
      <c r="P164" s="7">
        <v>8.699305124824143</v>
      </c>
      <c r="Q164" s="7">
        <v>0.0056439043974832</v>
      </c>
      <c r="R164" s="7">
        <v>0.0208007308397006</v>
      </c>
      <c r="S164" s="7">
        <v>0.0382040165140946</v>
      </c>
      <c r="T164" s="7">
        <v>0.2672866135979803</v>
      </c>
    </row>
    <row x14ac:dyDescent="0.25" r="165" customHeight="1" ht="19.5">
      <c r="A165" s="2" t="s">
        <v>195</v>
      </c>
      <c r="B165" s="2" t="s">
        <v>30</v>
      </c>
      <c r="C165" s="2" t="s">
        <v>31</v>
      </c>
      <c r="D165" s="2" t="s">
        <v>32</v>
      </c>
      <c r="E165" s="6">
        <v>1</v>
      </c>
      <c r="F165" s="6">
        <v>0</v>
      </c>
      <c r="G165" s="7">
        <v>0.5899113416671753</v>
      </c>
      <c r="H165" s="7">
        <v>38.026828125</v>
      </c>
      <c r="I165" s="7">
        <v>27.23245239975332</v>
      </c>
      <c r="J165" s="7">
        <v>7.286291545995213</v>
      </c>
      <c r="K165" s="7">
        <v>5.667389291901503</v>
      </c>
      <c r="L165" s="7">
        <v>0.5937499121250102</v>
      </c>
      <c r="M165" s="7">
        <v>0.6407771039559603</v>
      </c>
      <c r="N165" s="7">
        <v>0.383396605097015</v>
      </c>
      <c r="O165" s="7">
        <v>0.0859679911775313</v>
      </c>
      <c r="P165" s="7">
        <v>8.928238872588906</v>
      </c>
      <c r="Q165" s="7">
        <v>0.0067120232405473</v>
      </c>
      <c r="R165" s="7">
        <v>0.0248466780900262</v>
      </c>
      <c r="S165" s="7">
        <v>0.0417834205494314</v>
      </c>
      <c r="T165" s="7">
        <v>0.2962336116047354</v>
      </c>
    </row>
    <row x14ac:dyDescent="0.25" r="166" customHeight="1" ht="19.5">
      <c r="A166" s="2" t="s">
        <v>196</v>
      </c>
      <c r="B166" s="2" t="s">
        <v>30</v>
      </c>
      <c r="C166" s="2" t="s">
        <v>31</v>
      </c>
      <c r="D166" s="2" t="s">
        <v>32</v>
      </c>
      <c r="E166" s="6">
        <v>1</v>
      </c>
      <c r="F166" s="6">
        <v>0</v>
      </c>
      <c r="G166" s="7">
        <v>0.6212580800056458</v>
      </c>
      <c r="H166" s="7">
        <v>36.63805234375</v>
      </c>
      <c r="I166" s="7">
        <v>25.43075721531327</v>
      </c>
      <c r="J166" s="7">
        <v>7.44038444508765</v>
      </c>
      <c r="K166" s="7">
        <v>5.917030000911117</v>
      </c>
      <c r="L166" s="7">
        <v>0.6196870585621547</v>
      </c>
      <c r="M166" s="7">
        <v>0.7097542278711613</v>
      </c>
      <c r="N166" s="7">
        <v>0.3919121558009977</v>
      </c>
      <c r="O166" s="7">
        <v>0.0979606896274152</v>
      </c>
      <c r="P166" s="7">
        <v>8.801977797825455</v>
      </c>
      <c r="Q166" s="7">
        <v>0.0073978528882208</v>
      </c>
      <c r="R166" s="7">
        <v>0.0249153659621177</v>
      </c>
      <c r="S166" s="7">
        <v>0.041285979604892</v>
      </c>
      <c r="T166" s="7">
        <v>0.3145783641015686</v>
      </c>
    </row>
    <row x14ac:dyDescent="0.25" r="167" customHeight="1" ht="19.5">
      <c r="A167" s="2" t="s">
        <v>197</v>
      </c>
      <c r="B167" s="2" t="s">
        <v>30</v>
      </c>
      <c r="C167" s="2" t="s">
        <v>31</v>
      </c>
      <c r="D167" s="2" t="s">
        <v>32</v>
      </c>
      <c r="E167" s="6">
        <v>1</v>
      </c>
      <c r="F167" s="6">
        <v>0</v>
      </c>
      <c r="G167" s="7">
        <v>0.3752662539482116</v>
      </c>
      <c r="H167" s="7">
        <v>37.20949375</v>
      </c>
      <c r="I167" s="7">
        <v>32.56620291401936</v>
      </c>
      <c r="J167" s="7">
        <v>7.351809877695556</v>
      </c>
      <c r="K167" s="7">
        <v>5.923294976208608</v>
      </c>
      <c r="L167" s="7">
        <v>0.6236471688203515</v>
      </c>
      <c r="M167" s="7">
        <v>0.440889114438998</v>
      </c>
      <c r="N167" s="7">
        <v>0.5642467425882174</v>
      </c>
      <c r="O167" s="7">
        <v>0.1309196597847186</v>
      </c>
      <c r="P167" s="7">
        <v>7.525286519057893</v>
      </c>
      <c r="Q167" s="7">
        <v>0.0032067867178118</v>
      </c>
      <c r="R167" s="7">
        <v>0.0160300692248655</v>
      </c>
      <c r="S167" s="7">
        <v>0.0284782350562798</v>
      </c>
      <c r="T167" s="7">
        <v>0.1384887889554493</v>
      </c>
    </row>
    <row x14ac:dyDescent="0.25" r="168" customHeight="1" ht="19.5">
      <c r="A168" s="2" t="s">
        <v>198</v>
      </c>
      <c r="B168" s="2" t="s">
        <v>30</v>
      </c>
      <c r="C168" s="2" t="s">
        <v>31</v>
      </c>
      <c r="D168" s="2" t="s">
        <v>32</v>
      </c>
      <c r="E168" s="6">
        <v>1</v>
      </c>
      <c r="F168" s="6">
        <v>0</v>
      </c>
      <c r="G168" s="7">
        <v>0.5983407497406006</v>
      </c>
      <c r="H168" s="7">
        <v>48.38550234375001</v>
      </c>
      <c r="I168" s="7">
        <v>29.16236423075124</v>
      </c>
      <c r="J168" s="7">
        <v>9.244518465651195</v>
      </c>
      <c r="K168" s="7">
        <v>8.370655738563483</v>
      </c>
      <c r="L168" s="7">
        <v>0.678857425922339</v>
      </c>
      <c r="M168" s="7">
        <v>0.7144959963170423</v>
      </c>
      <c r="N168" s="7">
        <v>0.6075481938368175</v>
      </c>
      <c r="O168" s="7">
        <v>0.2263190410566058</v>
      </c>
      <c r="P168" s="7">
        <v>7.103835019227914</v>
      </c>
      <c r="Q168" s="7">
        <v>0.0035869174881546</v>
      </c>
      <c r="R168" s="7">
        <v>0.0184379738892872</v>
      </c>
      <c r="S168" s="7">
        <v>0.0330675434439333</v>
      </c>
      <c r="T168" s="7">
        <v>0.2014315157874844</v>
      </c>
    </row>
    <row x14ac:dyDescent="0.25" r="169" customHeight="1" ht="19.5">
      <c r="A169" s="2" t="s">
        <v>199</v>
      </c>
      <c r="B169" s="2" t="s">
        <v>30</v>
      </c>
      <c r="C169" s="2" t="s">
        <v>31</v>
      </c>
      <c r="D169" s="2" t="s">
        <v>32</v>
      </c>
      <c r="E169" s="6">
        <v>1</v>
      </c>
      <c r="F169" s="6">
        <v>0</v>
      </c>
      <c r="G169" s="7">
        <v>0.6828733682632446</v>
      </c>
      <c r="H169" s="7">
        <v>48.3543328125</v>
      </c>
      <c r="I169" s="7">
        <v>31.29104861746908</v>
      </c>
      <c r="J169" s="7">
        <v>8.800896019188741</v>
      </c>
      <c r="K169" s="7">
        <v>7.327552250286052</v>
      </c>
      <c r="L169" s="7">
        <v>0.5689472398779422</v>
      </c>
      <c r="M169" s="7">
        <v>0.6205903592730545</v>
      </c>
      <c r="N169" s="7">
        <v>0.5402274551752635</v>
      </c>
      <c r="O169" s="7">
        <v>0.1968510374105698</v>
      </c>
      <c r="P169" s="7">
        <v>7.562507875051329</v>
      </c>
      <c r="Q169" s="7">
        <v>0.0055505769361852</v>
      </c>
      <c r="R169" s="7">
        <v>0.0236143793597221</v>
      </c>
      <c r="S169" s="7">
        <v>0.0445151110199462</v>
      </c>
      <c r="T169" s="7">
        <v>0.3115044837029941</v>
      </c>
    </row>
    <row x14ac:dyDescent="0.25" r="170" customHeight="1" ht="19.5">
      <c r="A170" s="2" t="s">
        <v>200</v>
      </c>
      <c r="B170" s="2" t="s">
        <v>30</v>
      </c>
      <c r="C170" s="2" t="s">
        <v>31</v>
      </c>
      <c r="D170" s="2" t="s">
        <v>32</v>
      </c>
      <c r="E170" s="6">
        <v>1</v>
      </c>
      <c r="F170" s="6">
        <v>0</v>
      </c>
      <c r="G170" s="7">
        <v>0.7088072896003723</v>
      </c>
      <c r="H170" s="7">
        <v>50.62278203125</v>
      </c>
      <c r="I170" s="7">
        <v>29.92113620093101</v>
      </c>
      <c r="J170" s="7">
        <v>8.837339268618875</v>
      </c>
      <c r="K170" s="7">
        <v>7.382536503757653</v>
      </c>
      <c r="L170" s="7">
        <v>0.5613152833350438</v>
      </c>
      <c r="M170" s="7">
        <v>0.7105582897662582</v>
      </c>
      <c r="N170" s="7">
        <v>0.5019252484577137</v>
      </c>
      <c r="O170" s="7">
        <v>0.1949530897589963</v>
      </c>
      <c r="P170" s="7">
        <v>7.749802853855014</v>
      </c>
      <c r="Q170" s="7">
        <v>0.0060996268848331</v>
      </c>
      <c r="R170" s="7">
        <v>0.0273730101924345</v>
      </c>
      <c r="S170" s="7">
        <v>0.0613378650196186</v>
      </c>
      <c r="T170" s="7">
        <v>0.3583769414142634</v>
      </c>
    </row>
    <row x14ac:dyDescent="0.25" r="171" customHeight="1" ht="19.5">
      <c r="A171" s="2" t="s">
        <v>201</v>
      </c>
      <c r="B171" s="2" t="s">
        <v>30</v>
      </c>
      <c r="C171" s="2" t="s">
        <v>31</v>
      </c>
      <c r="D171" s="2" t="s">
        <v>32</v>
      </c>
      <c r="E171" s="6">
        <v>1</v>
      </c>
      <c r="F171" s="6">
        <v>0</v>
      </c>
      <c r="G171" s="7">
        <v>0.7248550057411194</v>
      </c>
      <c r="H171" s="7">
        <v>49.69462265625</v>
      </c>
      <c r="I171" s="7">
        <v>29.0401238298913</v>
      </c>
      <c r="J171" s="7">
        <v>8.518658087909103</v>
      </c>
      <c r="K171" s="7">
        <v>7.524803886764317</v>
      </c>
      <c r="L171" s="7">
        <v>0.5198147701576109</v>
      </c>
      <c r="M171" s="7">
        <v>0.7404953462067129</v>
      </c>
      <c r="N171" s="7">
        <v>0.4576979483223096</v>
      </c>
      <c r="O171" s="7">
        <v>0.1596943156853226</v>
      </c>
      <c r="P171" s="7">
        <v>8.126517726411054</v>
      </c>
      <c r="Q171" s="7">
        <v>0.0078483135115628</v>
      </c>
      <c r="R171" s="7">
        <v>0.0349160527808113</v>
      </c>
      <c r="S171" s="7">
        <v>0.0685415911606736</v>
      </c>
      <c r="T171" s="7">
        <v>0.4526645875742369</v>
      </c>
    </row>
    <row x14ac:dyDescent="0.25" r="172" customHeight="1" ht="19.5">
      <c r="A172" s="2" t="s">
        <v>202</v>
      </c>
      <c r="B172" s="2" t="s">
        <v>30</v>
      </c>
      <c r="C172" s="2" t="s">
        <v>31</v>
      </c>
      <c r="D172" s="2" t="s">
        <v>32</v>
      </c>
      <c r="E172" s="6">
        <v>1</v>
      </c>
      <c r="F172" s="6">
        <v>0</v>
      </c>
      <c r="G172" s="7">
        <v>0.699597179889679</v>
      </c>
      <c r="H172" s="7">
        <v>50.78209296875</v>
      </c>
      <c r="I172" s="7">
        <v>29.6369849568505</v>
      </c>
      <c r="J172" s="7">
        <v>8.78800734473758</v>
      </c>
      <c r="K172" s="7">
        <v>7.738885538031036</v>
      </c>
      <c r="L172" s="7">
        <v>0.5077575235735143</v>
      </c>
      <c r="M172" s="7">
        <v>0.7265281077148906</v>
      </c>
      <c r="N172" s="7">
        <v>0.4657261396700994</v>
      </c>
      <c r="O172" s="7">
        <v>0.1782461274088887</v>
      </c>
      <c r="P172" s="7">
        <v>8.03212102506641</v>
      </c>
      <c r="Q172" s="7">
        <v>0.0079134247744428</v>
      </c>
      <c r="R172" s="7">
        <v>0.0343222957450732</v>
      </c>
      <c r="S172" s="7">
        <v>0.0694600054002296</v>
      </c>
      <c r="T172" s="7">
        <v>0.4664078534916685</v>
      </c>
    </row>
    <row x14ac:dyDescent="0.25" r="173" customHeight="1" ht="19.5">
      <c r="A173" s="2" t="s">
        <v>203</v>
      </c>
      <c r="B173" s="2" t="s">
        <v>30</v>
      </c>
      <c r="C173" s="2" t="s">
        <v>31</v>
      </c>
      <c r="D173" s="2" t="s">
        <v>32</v>
      </c>
      <c r="E173" s="6">
        <v>1</v>
      </c>
      <c r="F173" s="6">
        <v>0</v>
      </c>
      <c r="G173" s="7">
        <v>0.716035008430481</v>
      </c>
      <c r="H173" s="7">
        <v>48.96733359375001</v>
      </c>
      <c r="I173" s="7">
        <v>30.28433110169884</v>
      </c>
      <c r="J173" s="7">
        <v>8.614961941677572</v>
      </c>
      <c r="K173" s="7">
        <v>7.557035136650903</v>
      </c>
      <c r="L173" s="7">
        <v>0.5383719516464256</v>
      </c>
      <c r="M173" s="7">
        <v>0.6709348467913465</v>
      </c>
      <c r="N173" s="7">
        <v>0.4682379588838797</v>
      </c>
      <c r="O173" s="7">
        <v>0.1820125485822288</v>
      </c>
      <c r="P173" s="7">
        <v>8.010019126439055</v>
      </c>
      <c r="Q173" s="7">
        <v>0.007691660645094</v>
      </c>
      <c r="R173" s="7">
        <v>0.0343526860990963</v>
      </c>
      <c r="S173" s="7">
        <v>0.0659606652494071</v>
      </c>
      <c r="T173" s="7">
        <v>0.4371367823129571</v>
      </c>
    </row>
    <row x14ac:dyDescent="0.25" r="174" customHeight="1" ht="19.5">
      <c r="A174" s="2" t="s">
        <v>204</v>
      </c>
      <c r="B174" s="2" t="s">
        <v>30</v>
      </c>
      <c r="C174" s="2" t="s">
        <v>31</v>
      </c>
      <c r="D174" s="2" t="s">
        <v>32</v>
      </c>
      <c r="E174" s="6">
        <v>1</v>
      </c>
      <c r="F174" s="6">
        <v>0</v>
      </c>
      <c r="G174" s="7">
        <v>0.7218234539031982</v>
      </c>
      <c r="H174" s="7">
        <v>49.4902890625</v>
      </c>
      <c r="I174" s="7">
        <v>29.70593160996</v>
      </c>
      <c r="J174" s="7">
        <v>8.716179649953817</v>
      </c>
      <c r="K174" s="7">
        <v>7.576576962048588</v>
      </c>
      <c r="L174" s="7">
        <v>0.557749624234214</v>
      </c>
      <c r="M174" s="7">
        <v>0.7047636574689792</v>
      </c>
      <c r="N174" s="7">
        <v>0.4706640535331132</v>
      </c>
      <c r="O174" s="7">
        <v>0.1788613178104172</v>
      </c>
      <c r="P174" s="7">
        <v>7.994817676568454</v>
      </c>
      <c r="Q174" s="7">
        <v>0.0080959932680223</v>
      </c>
      <c r="R174" s="7">
        <v>0.0355603263416045</v>
      </c>
      <c r="S174" s="7">
        <v>0.0719908984657169</v>
      </c>
      <c r="T174" s="7">
        <v>0.4650299334991221</v>
      </c>
    </row>
    <row x14ac:dyDescent="0.25" r="175" customHeight="1" ht="19.5">
      <c r="A175" s="2" t="s">
        <v>205</v>
      </c>
      <c r="B175" s="2" t="s">
        <v>30</v>
      </c>
      <c r="C175" s="2" t="s">
        <v>31</v>
      </c>
      <c r="D175" s="2" t="s">
        <v>32</v>
      </c>
      <c r="E175" s="6">
        <v>1</v>
      </c>
      <c r="F175" s="6">
        <v>0</v>
      </c>
      <c r="G175" s="7">
        <v>0.7019892334938049</v>
      </c>
      <c r="H175" s="7">
        <v>48.915384375</v>
      </c>
      <c r="I175" s="7">
        <v>29.31417807039398</v>
      </c>
      <c r="J175" s="7">
        <v>8.676524654552352</v>
      </c>
      <c r="K175" s="7">
        <v>7.583551791010324</v>
      </c>
      <c r="L175" s="7">
        <v>0.5249864597120815</v>
      </c>
      <c r="M175" s="7">
        <v>0.7153192149261237</v>
      </c>
      <c r="N175" s="7">
        <v>0.4736463072950399</v>
      </c>
      <c r="O175" s="7">
        <v>0.1777391263995957</v>
      </c>
      <c r="P175" s="7">
        <v>7.97933856995324</v>
      </c>
      <c r="Q175" s="7">
        <v>0.0081992235058714</v>
      </c>
      <c r="R175" s="7">
        <v>0.0360418078172924</v>
      </c>
      <c r="S175" s="7">
        <v>0.0718527289401609</v>
      </c>
      <c r="T175" s="7">
        <v>0.4654885210948618</v>
      </c>
    </row>
    <row x14ac:dyDescent="0.25" r="176" customHeight="1" ht="19.5">
      <c r="A176" s="2" t="s">
        <v>206</v>
      </c>
      <c r="B176" s="2" t="s">
        <v>30</v>
      </c>
      <c r="C176" s="2" t="s">
        <v>31</v>
      </c>
      <c r="D176" s="2" t="s">
        <v>32</v>
      </c>
      <c r="E176" s="6">
        <v>1</v>
      </c>
      <c r="F176" s="6">
        <v>0</v>
      </c>
      <c r="G176" s="7">
        <v>0.7332170605659485</v>
      </c>
      <c r="H176" s="7">
        <v>49.81237421875</v>
      </c>
      <c r="I176" s="7">
        <v>29.71184629771656</v>
      </c>
      <c r="J176" s="7">
        <v>8.543913975520285</v>
      </c>
      <c r="K176" s="7">
        <v>7.469946429435757</v>
      </c>
      <c r="L176" s="7">
        <v>0.5239672103533878</v>
      </c>
      <c r="M176" s="7">
        <v>0.7090679026360283</v>
      </c>
      <c r="N176" s="7">
        <v>0.4674399557339442</v>
      </c>
      <c r="O176" s="7">
        <v>0.1702295531055157</v>
      </c>
      <c r="P176" s="7">
        <v>8.020861401067371</v>
      </c>
      <c r="Q176" s="7">
        <v>0.008008730651489</v>
      </c>
      <c r="R176" s="7">
        <v>0.034645479848018</v>
      </c>
      <c r="S176" s="7">
        <v>0.0692276719913309</v>
      </c>
      <c r="T176" s="7">
        <v>0.4630114275581836</v>
      </c>
    </row>
    <row x14ac:dyDescent="0.25" r="177" customHeight="1" ht="19.5">
      <c r="A177" s="2" t="s">
        <v>207</v>
      </c>
      <c r="B177" s="2" t="s">
        <v>30</v>
      </c>
      <c r="C177" s="2" t="s">
        <v>31</v>
      </c>
      <c r="D177" s="2" t="s">
        <v>32</v>
      </c>
      <c r="E177" s="6">
        <v>1</v>
      </c>
      <c r="F177" s="6">
        <v>0</v>
      </c>
      <c r="G177" s="7">
        <v>0.7051643133163452</v>
      </c>
      <c r="H177" s="7">
        <v>49.3379046875</v>
      </c>
      <c r="I177" s="7">
        <v>29.64708196042833</v>
      </c>
      <c r="J177" s="7">
        <v>8.627614801050921</v>
      </c>
      <c r="K177" s="7">
        <v>7.585915464161928</v>
      </c>
      <c r="L177" s="7">
        <v>0.5238871996456491</v>
      </c>
      <c r="M177" s="7">
        <v>0.7053857106345814</v>
      </c>
      <c r="N177" s="7">
        <v>0.473218328174143</v>
      </c>
      <c r="O177" s="7">
        <v>0.1772935719144667</v>
      </c>
      <c r="P177" s="7">
        <v>7.992279014962135</v>
      </c>
      <c r="Q177" s="7">
        <v>0.007825087093373</v>
      </c>
      <c r="R177" s="7">
        <v>0.0340240870308414</v>
      </c>
      <c r="S177" s="7">
        <v>0.0707515537961645</v>
      </c>
      <c r="T177" s="7">
        <v>0.4480852639971099</v>
      </c>
    </row>
    <row x14ac:dyDescent="0.25" r="178" customHeight="1" ht="19.5">
      <c r="A178" s="2" t="s">
        <v>208</v>
      </c>
      <c r="B178" s="2" t="s">
        <v>30</v>
      </c>
      <c r="C178" s="2" t="s">
        <v>31</v>
      </c>
      <c r="D178" s="2" t="s">
        <v>32</v>
      </c>
      <c r="E178" s="6">
        <v>1</v>
      </c>
      <c r="F178" s="6">
        <v>0</v>
      </c>
      <c r="G178" s="7">
        <v>0.710873544216156</v>
      </c>
      <c r="H178" s="7">
        <v>49.663453125</v>
      </c>
      <c r="I178" s="7">
        <v>29.9496948397292</v>
      </c>
      <c r="J178" s="7">
        <v>8.680598275110956</v>
      </c>
      <c r="K178" s="7">
        <v>7.518715791206037</v>
      </c>
      <c r="L178" s="7">
        <v>0.5375272234135169</v>
      </c>
      <c r="M178" s="7">
        <v>0.6957640316869554</v>
      </c>
      <c r="N178" s="7">
        <v>0.474750381349687</v>
      </c>
      <c r="O178" s="7">
        <v>0.1814144145939837</v>
      </c>
      <c r="P178" s="7">
        <v>7.971837538659836</v>
      </c>
      <c r="Q178" s="7">
        <v>0.0078754481430789</v>
      </c>
      <c r="R178" s="7">
        <v>0.034538818736229</v>
      </c>
      <c r="S178" s="7">
        <v>0.0699960218204875</v>
      </c>
      <c r="T178" s="7">
        <v>0.4539447202146254</v>
      </c>
    </row>
    <row x14ac:dyDescent="0.25" r="179" customHeight="1" ht="19.5">
      <c r="A179" s="2" t="s">
        <v>209</v>
      </c>
      <c r="B179" s="2" t="s">
        <v>30</v>
      </c>
      <c r="C179" s="2" t="s">
        <v>31</v>
      </c>
      <c r="D179" s="2" t="s">
        <v>32</v>
      </c>
      <c r="E179" s="6">
        <v>1</v>
      </c>
      <c r="F179" s="6">
        <v>0</v>
      </c>
      <c r="G179" s="7">
        <v>0.7183869481086731</v>
      </c>
      <c r="H179" s="7">
        <v>49.06776875000001</v>
      </c>
      <c r="I179" s="7">
        <v>29.7605989436704</v>
      </c>
      <c r="J179" s="7">
        <v>8.617994073985145</v>
      </c>
      <c r="K179" s="7">
        <v>7.518818390324626</v>
      </c>
      <c r="L179" s="7">
        <v>0.5561956265010819</v>
      </c>
      <c r="M179" s="7">
        <v>0.6961820784905068</v>
      </c>
      <c r="N179" s="7">
        <v>0.4734668781441415</v>
      </c>
      <c r="O179" s="7">
        <v>0.175028099210533</v>
      </c>
      <c r="P179" s="7">
        <v>8.01261310757683</v>
      </c>
      <c r="Q179" s="7">
        <v>0.0076457480928206</v>
      </c>
      <c r="R179" s="7">
        <v>0.0335835775675801</v>
      </c>
      <c r="S179" s="7">
        <v>0.0661471990335876</v>
      </c>
      <c r="T179" s="7">
        <v>0.435418698134628</v>
      </c>
    </row>
    <row x14ac:dyDescent="0.25" r="180" customHeight="1" ht="19.5">
      <c r="A180" s="2" t="s">
        <v>210</v>
      </c>
      <c r="B180" s="2" t="s">
        <v>30</v>
      </c>
      <c r="C180" s="2" t="s">
        <v>31</v>
      </c>
      <c r="D180" s="2" t="s">
        <v>32</v>
      </c>
      <c r="E180" s="6">
        <v>1</v>
      </c>
      <c r="F180" s="6">
        <v>0</v>
      </c>
      <c r="G180" s="7">
        <v>0.7170063853263855</v>
      </c>
      <c r="H180" s="7">
        <v>49.20976328125001</v>
      </c>
      <c r="I180" s="7">
        <v>29.60424400223105</v>
      </c>
      <c r="J180" s="7">
        <v>8.479563944026435</v>
      </c>
      <c r="K180" s="7">
        <v>7.536751660853641</v>
      </c>
      <c r="L180" s="7">
        <v>0.5073280284858918</v>
      </c>
      <c r="M180" s="7">
        <v>0.7055912553657393</v>
      </c>
      <c r="N180" s="7">
        <v>0.4667588326719319</v>
      </c>
      <c r="O180" s="7">
        <v>0.1638846774731609</v>
      </c>
      <c r="P180" s="7">
        <v>8.07035448202577</v>
      </c>
      <c r="Q180" s="7">
        <v>0.0077326604904474</v>
      </c>
      <c r="R180" s="7">
        <v>0.0336176131534987</v>
      </c>
      <c r="S180" s="7">
        <v>0.0716878812850595</v>
      </c>
      <c r="T180" s="7">
        <v>0.4416426412017745</v>
      </c>
    </row>
    <row x14ac:dyDescent="0.25" r="181" customHeight="1" ht="19.5">
      <c r="A181" s="2" t="s">
        <v>211</v>
      </c>
      <c r="B181" s="2" t="s">
        <v>30</v>
      </c>
      <c r="C181" s="2" t="s">
        <v>31</v>
      </c>
      <c r="D181" s="2" t="s">
        <v>32</v>
      </c>
      <c r="E181" s="6">
        <v>1</v>
      </c>
      <c r="F181" s="6">
        <v>0</v>
      </c>
      <c r="G181" s="7">
        <v>0.6968023180961609</v>
      </c>
      <c r="H181" s="7">
        <v>51.03837578125</v>
      </c>
      <c r="I181" s="7">
        <v>29.38730703932475</v>
      </c>
      <c r="J181" s="7">
        <v>8.728140150088619</v>
      </c>
      <c r="K181" s="7">
        <v>7.449029858691498</v>
      </c>
      <c r="L181" s="7">
        <v>0.551665792740634</v>
      </c>
      <c r="M181" s="7">
        <v>0.7426550322201996</v>
      </c>
      <c r="N181" s="7">
        <v>0.4605406611150121</v>
      </c>
      <c r="O181" s="7">
        <v>0.1610423872161399</v>
      </c>
      <c r="P181" s="7">
        <v>8.089882955949438</v>
      </c>
      <c r="Q181" s="7">
        <v>0.007941943492997</v>
      </c>
      <c r="R181" s="7">
        <v>0.0347290455491914</v>
      </c>
      <c r="S181" s="7">
        <v>0.068717767199197</v>
      </c>
      <c r="T181" s="7">
        <v>0.4704510237791658</v>
      </c>
    </row>
    <row x14ac:dyDescent="0.25" r="182" customHeight="1" ht="19.5">
      <c r="A182" s="2" t="s">
        <v>212</v>
      </c>
      <c r="B182" s="2" t="s">
        <v>30</v>
      </c>
      <c r="C182" s="2" t="s">
        <v>31</v>
      </c>
      <c r="D182" s="2" t="s">
        <v>32</v>
      </c>
      <c r="E182" s="6">
        <v>1</v>
      </c>
      <c r="F182" s="6">
        <v>0</v>
      </c>
      <c r="G182" s="7">
        <v>0.7144449353218079</v>
      </c>
      <c r="H182" s="7">
        <v>50.4045953125</v>
      </c>
      <c r="I182" s="7">
        <v>29.43605968527858</v>
      </c>
      <c r="J182" s="7">
        <v>8.738069110970596</v>
      </c>
      <c r="K182" s="7">
        <v>7.51215641619938</v>
      </c>
      <c r="L182" s="7">
        <v>0.5480583842344424</v>
      </c>
      <c r="M182" s="7">
        <v>0.7310055034097207</v>
      </c>
      <c r="N182" s="7">
        <v>0.4703375375609011</v>
      </c>
      <c r="O182" s="7">
        <v>0.1762222300596966</v>
      </c>
      <c r="P182" s="7">
        <v>8.000804706838714</v>
      </c>
      <c r="Q182" s="7">
        <v>0.0080460539971627</v>
      </c>
      <c r="R182" s="7">
        <v>0.0348896954538183</v>
      </c>
      <c r="S182" s="7">
        <v>0.0711550096728005</v>
      </c>
      <c r="T182" s="7">
        <v>0.4706996280266312</v>
      </c>
    </row>
    <row x14ac:dyDescent="0.25" r="183" customHeight="1" ht="19.5">
      <c r="A183" s="2" t="s">
        <v>213</v>
      </c>
      <c r="B183" s="2" t="s">
        <v>30</v>
      </c>
      <c r="C183" s="2" t="s">
        <v>31</v>
      </c>
      <c r="D183" s="2" t="s">
        <v>32</v>
      </c>
      <c r="E183" s="6">
        <v>1</v>
      </c>
      <c r="F183" s="6">
        <v>0</v>
      </c>
      <c r="G183" s="7">
        <v>0.7142488360404968</v>
      </c>
      <c r="H183" s="7">
        <v>50.21411484375</v>
      </c>
      <c r="I183" s="7">
        <v>29.15782312895464</v>
      </c>
      <c r="J183" s="7">
        <v>8.68263635896469</v>
      </c>
      <c r="K183" s="7">
        <v>7.481887568927833</v>
      </c>
      <c r="L183" s="7">
        <v>0.5344809975536814</v>
      </c>
      <c r="M183" s="7">
        <v>0.7422077436089926</v>
      </c>
      <c r="N183" s="7">
        <v>0.4666776211875512</v>
      </c>
      <c r="O183" s="7">
        <v>0.1686627861538753</v>
      </c>
      <c r="P183" s="7">
        <v>8.032146812816388</v>
      </c>
      <c r="Q183" s="7">
        <v>0.0078631952725941</v>
      </c>
      <c r="R183" s="7">
        <v>0.0342347355579823</v>
      </c>
      <c r="S183" s="7">
        <v>0.0697722179985573</v>
      </c>
      <c r="T183" s="7">
        <v>0.4582639060543802</v>
      </c>
    </row>
    <row x14ac:dyDescent="0.25" r="184" customHeight="1" ht="19.5">
      <c r="A184" s="2" t="s">
        <v>214</v>
      </c>
      <c r="B184" s="2" t="s">
        <v>30</v>
      </c>
      <c r="C184" s="2" t="s">
        <v>31</v>
      </c>
      <c r="D184" s="2" t="s">
        <v>32</v>
      </c>
      <c r="E184" s="6">
        <v>1</v>
      </c>
      <c r="F184" s="6">
        <v>0</v>
      </c>
      <c r="G184" s="7">
        <v>0.6889753937721252</v>
      </c>
      <c r="H184" s="7">
        <v>48.8807515625</v>
      </c>
      <c r="I184" s="7">
        <v>29.76651363142696</v>
      </c>
      <c r="J184" s="7">
        <v>8.600393357103496</v>
      </c>
      <c r="K184" s="7">
        <v>7.339140396975127</v>
      </c>
      <c r="L184" s="7">
        <v>0.5497172727362702</v>
      </c>
      <c r="M184" s="7">
        <v>0.6932530612505774</v>
      </c>
      <c r="N184" s="7">
        <v>0.467421287317677</v>
      </c>
      <c r="O184" s="7">
        <v>0.1655947179806213</v>
      </c>
      <c r="P184" s="7">
        <v>8.033841592575033</v>
      </c>
      <c r="Q184" s="7">
        <v>0.0082076598492474</v>
      </c>
      <c r="R184" s="7">
        <v>0.0352424018709656</v>
      </c>
      <c r="S184" s="7">
        <v>0.0703343296437934</v>
      </c>
      <c r="T184" s="7">
        <v>0.4656375596170202</v>
      </c>
    </row>
    <row x14ac:dyDescent="0.25" r="185" customHeight="1" ht="19.5">
      <c r="A185" s="2" t="s">
        <v>215</v>
      </c>
      <c r="B185" s="2" t="s">
        <v>30</v>
      </c>
      <c r="C185" s="2" t="s">
        <v>31</v>
      </c>
      <c r="D185" s="2" t="s">
        <v>32</v>
      </c>
      <c r="E185" s="6">
        <v>1</v>
      </c>
      <c r="F185" s="6">
        <v>0</v>
      </c>
      <c r="G185" s="7">
        <v>0.7069727182388306</v>
      </c>
      <c r="H185" s="7">
        <v>49.3933171875</v>
      </c>
      <c r="I185" s="7">
        <v>29.4621683801908</v>
      </c>
      <c r="J185" s="7">
        <v>8.634024754473126</v>
      </c>
      <c r="K185" s="7">
        <v>7.4326128139529</v>
      </c>
      <c r="L185" s="7">
        <v>0.5216938724827326</v>
      </c>
      <c r="M185" s="7">
        <v>0.7150701403727721</v>
      </c>
      <c r="N185" s="7">
        <v>0.4709880933477949</v>
      </c>
      <c r="O185" s="7">
        <v>0.1766905280381483</v>
      </c>
      <c r="P185" s="7">
        <v>7.979195234990583</v>
      </c>
      <c r="Q185" s="7">
        <v>0.0078976890308445</v>
      </c>
      <c r="R185" s="7">
        <v>0.0343776520401939</v>
      </c>
      <c r="S185" s="7">
        <v>0.0671091606915051</v>
      </c>
      <c r="T185" s="7">
        <v>0.4527505674971739</v>
      </c>
    </row>
    <row x14ac:dyDescent="0.25" r="186" customHeight="1" ht="19.5">
      <c r="A186" s="2" t="s">
        <v>216</v>
      </c>
      <c r="B186" s="2" t="s">
        <v>30</v>
      </c>
      <c r="C186" s="2" t="s">
        <v>31</v>
      </c>
      <c r="D186" s="2" t="s">
        <v>32</v>
      </c>
      <c r="E186" s="6">
        <v>1</v>
      </c>
      <c r="F186" s="6">
        <v>0</v>
      </c>
      <c r="G186" s="7">
        <v>0.7193461656570435</v>
      </c>
      <c r="H186" s="7">
        <v>50.15870234375</v>
      </c>
      <c r="I186" s="7">
        <v>29.65717896400616</v>
      </c>
      <c r="J186" s="7">
        <v>8.598986024556723</v>
      </c>
      <c r="K186" s="7">
        <v>7.474700786593741</v>
      </c>
      <c r="L186" s="7">
        <v>0.5307371294110647</v>
      </c>
      <c r="M186" s="7">
        <v>0.716632467951766</v>
      </c>
      <c r="N186" s="7">
        <v>0.4696630772724275</v>
      </c>
      <c r="O186" s="7">
        <v>0.1704582897057009</v>
      </c>
      <c r="P186" s="7">
        <v>8.02091409236083</v>
      </c>
      <c r="Q186" s="7">
        <v>0.0077197275708225</v>
      </c>
      <c r="R186" s="7">
        <v>0.0341608316910802</v>
      </c>
      <c r="S186" s="7">
        <v>0.067665549832168</v>
      </c>
      <c r="T186" s="7">
        <v>0.4494061866592752</v>
      </c>
    </row>
    <row x14ac:dyDescent="0.25" r="187" customHeight="1" ht="19.5">
      <c r="A187" s="2" t="s">
        <v>217</v>
      </c>
      <c r="B187" s="2" t="s">
        <v>30</v>
      </c>
      <c r="C187" s="2" t="s">
        <v>31</v>
      </c>
      <c r="D187" s="2" t="s">
        <v>32</v>
      </c>
      <c r="E187" s="6">
        <v>1</v>
      </c>
      <c r="F187" s="6">
        <v>0</v>
      </c>
      <c r="G187" s="7">
        <v>0.7181075811386108</v>
      </c>
      <c r="H187" s="7">
        <v>49.70154921875</v>
      </c>
      <c r="I187" s="7">
        <v>29.80935158962424</v>
      </c>
      <c r="J187" s="7">
        <v>8.772368658940394</v>
      </c>
      <c r="K187" s="7">
        <v>7.473068660949407</v>
      </c>
      <c r="L187" s="7">
        <v>0.5776571131980327</v>
      </c>
      <c r="M187" s="7">
        <v>0.7028695536739874</v>
      </c>
      <c r="N187" s="7">
        <v>0.4734682053257825</v>
      </c>
      <c r="O187" s="7">
        <v>0.1805741389191356</v>
      </c>
      <c r="P187" s="7">
        <v>7.967521812729219</v>
      </c>
      <c r="Q187" s="7">
        <v>0.007554302512273</v>
      </c>
      <c r="R187" s="7">
        <v>0.0338875972583538</v>
      </c>
      <c r="S187" s="7">
        <v>0.0706358052174189</v>
      </c>
      <c r="T187" s="7">
        <v>0.4357677421731639</v>
      </c>
    </row>
    <row x14ac:dyDescent="0.25" r="188" customHeight="1" ht="19.5">
      <c r="A188" s="2" t="s">
        <v>218</v>
      </c>
      <c r="B188" s="2" t="s">
        <v>30</v>
      </c>
      <c r="C188" s="2" t="s">
        <v>31</v>
      </c>
      <c r="D188" s="2" t="s">
        <v>32</v>
      </c>
      <c r="E188" s="6">
        <v>1</v>
      </c>
      <c r="F188" s="6">
        <v>0</v>
      </c>
      <c r="G188" s="7">
        <v>0.708332896232605</v>
      </c>
      <c r="H188" s="7">
        <v>49.81930078125</v>
      </c>
      <c r="I188" s="7">
        <v>29.55549135627722</v>
      </c>
      <c r="J188" s="7">
        <v>8.490913378413286</v>
      </c>
      <c r="K188" s="7">
        <v>7.400951690156679</v>
      </c>
      <c r="L188" s="7">
        <v>0.5151783562431937</v>
      </c>
      <c r="M188" s="7">
        <v>0.7166896360283792</v>
      </c>
      <c r="N188" s="7">
        <v>0.4684007149869257</v>
      </c>
      <c r="O188" s="7">
        <v>0.170898256908433</v>
      </c>
      <c r="P188" s="7">
        <v>8.009678854028714</v>
      </c>
      <c r="Q188" s="7">
        <v>0.0083934600972635</v>
      </c>
      <c r="R188" s="7">
        <v>0.035880967048281</v>
      </c>
      <c r="S188" s="7">
        <v>0.0677808577858725</v>
      </c>
      <c r="T188" s="7">
        <v>0.4853213959030441</v>
      </c>
    </row>
    <row x14ac:dyDescent="0.25" r="189" customHeight="1" ht="19.5">
      <c r="A189" s="2" t="s">
        <v>219</v>
      </c>
      <c r="B189" s="2" t="s">
        <v>30</v>
      </c>
      <c r="C189" s="2" t="s">
        <v>31</v>
      </c>
      <c r="D189" s="2" t="s">
        <v>32</v>
      </c>
      <c r="E189" s="6">
        <v>1</v>
      </c>
      <c r="F189" s="6">
        <v>0</v>
      </c>
      <c r="G189" s="7">
        <v>0.6995161771774292</v>
      </c>
      <c r="H189" s="7">
        <v>50.27645390625</v>
      </c>
      <c r="I189" s="7">
        <v>30.0043621734396</v>
      </c>
      <c r="J189" s="7">
        <v>8.669959524780747</v>
      </c>
      <c r="K189" s="7">
        <v>7.465849049568461</v>
      </c>
      <c r="L189" s="7">
        <v>0.5275706409387222</v>
      </c>
      <c r="M189" s="7">
        <v>0.7017876227199928</v>
      </c>
      <c r="N189" s="7">
        <v>0.473903913833388</v>
      </c>
      <c r="O189" s="7">
        <v>0.1787704714013772</v>
      </c>
      <c r="P189" s="7">
        <v>7.980081658100154</v>
      </c>
      <c r="Q189" s="7">
        <v>0.0081905589564621</v>
      </c>
      <c r="R189" s="7">
        <v>0.0348756845315786</v>
      </c>
      <c r="S189" s="7">
        <v>0.0695286245457054</v>
      </c>
      <c r="T189" s="7">
        <v>0.4779351359011919</v>
      </c>
    </row>
    <row x14ac:dyDescent="0.25" r="190" customHeight="1" ht="19.5">
      <c r="A190" s="2" t="s">
        <v>220</v>
      </c>
      <c r="B190" s="2" t="s">
        <v>30</v>
      </c>
      <c r="C190" s="2" t="s">
        <v>31</v>
      </c>
      <c r="D190" s="2" t="s">
        <v>32</v>
      </c>
      <c r="E190" s="6">
        <v>1</v>
      </c>
      <c r="F190" s="6">
        <v>0</v>
      </c>
      <c r="G190" s="7">
        <v>0.6919511556625366</v>
      </c>
      <c r="H190" s="7">
        <v>49.56301796875</v>
      </c>
      <c r="I190" s="7">
        <v>30.20319628710088</v>
      </c>
      <c r="J190" s="7">
        <v>8.602944842935505</v>
      </c>
      <c r="K190" s="7">
        <v>7.404874482097107</v>
      </c>
      <c r="L190" s="7">
        <v>0.5344732634611858</v>
      </c>
      <c r="M190" s="7">
        <v>0.6827501389767812</v>
      </c>
      <c r="N190" s="7">
        <v>0.5133348987346715</v>
      </c>
      <c r="O190" s="7">
        <v>0.1954341456850971</v>
      </c>
      <c r="P190" s="7">
        <v>7.690480547708161</v>
      </c>
      <c r="Q190" s="7">
        <v>0.0074562268309284</v>
      </c>
      <c r="R190" s="7">
        <v>0.0296226374979105</v>
      </c>
      <c r="S190" s="7">
        <v>0.0652337030962774</v>
      </c>
      <c r="T190" s="7">
        <v>0.4289114449176482</v>
      </c>
    </row>
    <row x14ac:dyDescent="0.25" r="191" customHeight="1" ht="19.5">
      <c r="A191" s="2" t="s">
        <v>221</v>
      </c>
      <c r="B191" s="2" t="s">
        <v>30</v>
      </c>
      <c r="C191" s="2" t="s">
        <v>31</v>
      </c>
      <c r="D191" s="2" t="s">
        <v>32</v>
      </c>
      <c r="E191" s="6">
        <v>1</v>
      </c>
      <c r="F191" s="6">
        <v>0</v>
      </c>
      <c r="G191" s="7">
        <v>0.6944137811660767</v>
      </c>
      <c r="H191" s="7">
        <v>47.391540625</v>
      </c>
      <c r="I191" s="7">
        <v>29.02584451049221</v>
      </c>
      <c r="J191" s="7">
        <v>9.708367677664086</v>
      </c>
      <c r="K191" s="7">
        <v>7.262090063832655</v>
      </c>
      <c r="L191" s="7">
        <v>0.7320400829282192</v>
      </c>
      <c r="M191" s="7">
        <v>0.7068722981656201</v>
      </c>
      <c r="N191" s="7">
        <v>0.5618341837988936</v>
      </c>
      <c r="O191" s="7">
        <v>0.1902459956444904</v>
      </c>
      <c r="P191" s="7">
        <v>7.379912433701193</v>
      </c>
      <c r="Q191" s="7">
        <v>0.0141391240135473</v>
      </c>
      <c r="R191" s="7">
        <v>0.0599959682081267</v>
      </c>
      <c r="S191" s="7">
        <v>0.0977690820565786</v>
      </c>
      <c r="T191" s="7">
        <v>0.7777036028410788</v>
      </c>
    </row>
    <row x14ac:dyDescent="0.25" r="192" customHeight="1" ht="19.5">
      <c r="A192" s="2" t="s">
        <v>222</v>
      </c>
      <c r="B192" s="2" t="s">
        <v>30</v>
      </c>
      <c r="C192" s="2" t="s">
        <v>31</v>
      </c>
      <c r="D192" s="2" t="s">
        <v>32</v>
      </c>
      <c r="E192" s="6">
        <v>1</v>
      </c>
      <c r="F192" s="6">
        <v>0</v>
      </c>
      <c r="G192" s="7">
        <v>0.6542129516601562</v>
      </c>
      <c r="H192" s="7">
        <v>57.5666609375</v>
      </c>
      <c r="I192" s="7">
        <v>32.50562089255241</v>
      </c>
      <c r="J192" s="7">
        <v>9.869522235872108</v>
      </c>
      <c r="K192" s="7">
        <v>7.87252318467457</v>
      </c>
      <c r="L192" s="7">
        <v>0.6307440426513862</v>
      </c>
      <c r="M192" s="7">
        <v>0.6846426840693246</v>
      </c>
      <c r="N192" s="7">
        <v>0.5106228067059361</v>
      </c>
      <c r="O192" s="7">
        <v>0.1506771501118566</v>
      </c>
      <c r="P192" s="7">
        <v>7.852874950629964</v>
      </c>
      <c r="Q192" s="7">
        <v>0.0120969446863254</v>
      </c>
      <c r="R192" s="7">
        <v>0.0555203846841196</v>
      </c>
      <c r="S192" s="7">
        <v>0.1079589967766893</v>
      </c>
      <c r="T192" s="7">
        <v>0.8082347417137037</v>
      </c>
    </row>
    <row x14ac:dyDescent="0.25" r="193" customHeight="1" ht="19.5">
      <c r="A193" s="2" t="s">
        <v>223</v>
      </c>
      <c r="B193" s="2" t="s">
        <v>30</v>
      </c>
      <c r="C193" s="2" t="s">
        <v>31</v>
      </c>
      <c r="D193" s="2" t="s">
        <v>32</v>
      </c>
      <c r="E193" s="6">
        <v>1</v>
      </c>
      <c r="F193" s="6">
        <v>0</v>
      </c>
      <c r="G193" s="7">
        <v>0.7127698659896851</v>
      </c>
      <c r="H193" s="7">
        <v>51.9007328125</v>
      </c>
      <c r="I193" s="7">
        <v>29.65437023414485</v>
      </c>
      <c r="J193" s="7">
        <v>9.646401940262995</v>
      </c>
      <c r="K193" s="7">
        <v>7.71383803209712</v>
      </c>
      <c r="L193" s="7">
        <v>0.6610405236567227</v>
      </c>
      <c r="M193" s="7">
        <v>0.7409195003929753</v>
      </c>
      <c r="N193" s="7">
        <v>0.4949202556779993</v>
      </c>
      <c r="O193" s="7">
        <v>0.1748748752971672</v>
      </c>
      <c r="P193" s="7">
        <v>7.862468288378166</v>
      </c>
      <c r="Q193" s="7">
        <v>0.013084223858919</v>
      </c>
      <c r="R193" s="7">
        <v>0.0612500250874156</v>
      </c>
      <c r="S193" s="7">
        <v>0.1189820711216793</v>
      </c>
      <c r="T193" s="7">
        <v>0.7881560903956766</v>
      </c>
    </row>
    <row x14ac:dyDescent="0.25" r="194" customHeight="1" ht="19.5">
      <c r="A194" s="2" t="s">
        <v>224</v>
      </c>
      <c r="B194" s="2" t="s">
        <v>30</v>
      </c>
      <c r="C194" s="2" t="s">
        <v>31</v>
      </c>
      <c r="D194" s="2" t="s">
        <v>32</v>
      </c>
      <c r="E194" s="6">
        <v>1</v>
      </c>
      <c r="F194" s="6">
        <v>0</v>
      </c>
      <c r="G194" s="7">
        <v>0.7163910865783691</v>
      </c>
      <c r="H194" s="7">
        <v>52.544903125</v>
      </c>
      <c r="I194" s="7">
        <v>31.00026511368133</v>
      </c>
      <c r="J194" s="7">
        <v>9.554430075101616</v>
      </c>
      <c r="K194" s="7">
        <v>7.968270575099686</v>
      </c>
      <c r="L194" s="7">
        <v>0.634726197370263</v>
      </c>
      <c r="M194" s="7">
        <v>0.6861779711354022</v>
      </c>
      <c r="N194" s="7">
        <v>0.4821354321109438</v>
      </c>
      <c r="O194" s="7">
        <v>0.1640218012858602</v>
      </c>
      <c r="P194" s="7">
        <v>7.968103904953834</v>
      </c>
      <c r="Q194" s="7">
        <v>0.0118829184750285</v>
      </c>
      <c r="R194" s="7">
        <v>0.0581586604522033</v>
      </c>
      <c r="S194" s="7">
        <v>0.1095320899178413</v>
      </c>
      <c r="T194" s="7">
        <v>0.7246770259401623</v>
      </c>
    </row>
    <row x14ac:dyDescent="0.25" r="195" customHeight="1" ht="19.5">
      <c r="A195" s="2" t="s">
        <v>225</v>
      </c>
      <c r="B195" s="2" t="s">
        <v>30</v>
      </c>
      <c r="C195" s="2" t="s">
        <v>31</v>
      </c>
      <c r="D195" s="2" t="s">
        <v>32</v>
      </c>
      <c r="E195" s="6">
        <v>1</v>
      </c>
      <c r="F195" s="6">
        <v>0</v>
      </c>
      <c r="G195" s="7">
        <v>0.6973615884780884</v>
      </c>
      <c r="H195" s="7">
        <v>57.061021875</v>
      </c>
      <c r="I195" s="7">
        <v>33.84733345626762</v>
      </c>
      <c r="J195" s="7">
        <v>10.00928268877126</v>
      </c>
      <c r="K195" s="7">
        <v>7.984417384902432</v>
      </c>
      <c r="L195" s="7">
        <v>0.6350820614109149</v>
      </c>
      <c r="M195" s="7">
        <v>0.6256276512069896</v>
      </c>
      <c r="N195" s="7">
        <v>0.4691969145029289</v>
      </c>
      <c r="O195" s="7">
        <v>0.1429897531862608</v>
      </c>
      <c r="P195" s="7">
        <v>8.129003240359424</v>
      </c>
      <c r="Q195" s="7">
        <v>0.0129264495312623</v>
      </c>
      <c r="R195" s="7">
        <v>0.0606872804798604</v>
      </c>
      <c r="S195" s="7">
        <v>0.1138039739648659</v>
      </c>
      <c r="T195" s="7">
        <v>0.8560705951964312</v>
      </c>
    </row>
    <row x14ac:dyDescent="0.25" r="196" customHeight="1" ht="19.5">
      <c r="A196" s="2" t="s">
        <v>226</v>
      </c>
      <c r="B196" s="2" t="s">
        <v>30</v>
      </c>
      <c r="C196" s="2" t="s">
        <v>31</v>
      </c>
      <c r="D196" s="2" t="s">
        <v>32</v>
      </c>
      <c r="E196" s="6">
        <v>1</v>
      </c>
      <c r="F196" s="6">
        <v>0</v>
      </c>
      <c r="G196" s="7">
        <v>0.7087137699127197</v>
      </c>
      <c r="H196" s="7">
        <v>55.51293515625</v>
      </c>
      <c r="I196" s="7">
        <v>31.3307190598297</v>
      </c>
      <c r="J196" s="7">
        <v>9.606363598862636</v>
      </c>
      <c r="K196" s="7">
        <v>8.207480169471234</v>
      </c>
      <c r="L196" s="7">
        <v>0.5919357646177352</v>
      </c>
      <c r="M196" s="7">
        <v>0.7105737143168349</v>
      </c>
      <c r="N196" s="7">
        <v>0.4664739483771468</v>
      </c>
      <c r="O196" s="7">
        <v>0.1298118952115719</v>
      </c>
      <c r="P196" s="7">
        <v>8.175027153964715</v>
      </c>
      <c r="Q196" s="7">
        <v>0.0132694392591742</v>
      </c>
      <c r="R196" s="7">
        <v>0.061588779234258</v>
      </c>
      <c r="S196" s="7">
        <v>0.1129999284338162</v>
      </c>
      <c r="T196" s="7">
        <v>0.8549437493000165</v>
      </c>
    </row>
    <row x14ac:dyDescent="0.25" r="197" customHeight="1" ht="19.5">
      <c r="A197" s="2" t="s">
        <v>227</v>
      </c>
      <c r="B197" s="2" t="s">
        <v>30</v>
      </c>
      <c r="C197" s="2" t="s">
        <v>31</v>
      </c>
      <c r="D197" s="2" t="s">
        <v>32</v>
      </c>
      <c r="E197" s="6">
        <v>1</v>
      </c>
      <c r="F197" s="6">
        <v>0</v>
      </c>
      <c r="G197" s="7">
        <v>0.6986739039421082</v>
      </c>
      <c r="H197" s="7">
        <v>55.21855625000001</v>
      </c>
      <c r="I197" s="7">
        <v>32.75356643814287</v>
      </c>
      <c r="J197" s="7">
        <v>9.704058818832904</v>
      </c>
      <c r="K197" s="7">
        <v>8.077716675246133</v>
      </c>
      <c r="L197" s="7">
        <v>0.618496757954669</v>
      </c>
      <c r="M197" s="7">
        <v>0.6464869384783933</v>
      </c>
      <c r="N197" s="7">
        <v>0.4824628802082634</v>
      </c>
      <c r="O197" s="7">
        <v>0.1545291055380083</v>
      </c>
      <c r="P197" s="7">
        <v>8.018619625008668</v>
      </c>
      <c r="Q197" s="7">
        <v>0.0124726934573657</v>
      </c>
      <c r="R197" s="7">
        <v>0.0581992084160591</v>
      </c>
      <c r="S197" s="7">
        <v>0.1070872595983037</v>
      </c>
      <c r="T197" s="7">
        <v>0.7993483377610064</v>
      </c>
    </row>
    <row x14ac:dyDescent="0.25" r="198" customHeight="1" ht="19.5">
      <c r="A198" s="2" t="s">
        <v>228</v>
      </c>
      <c r="B198" s="2" t="s">
        <v>30</v>
      </c>
      <c r="C198" s="2" t="s">
        <v>31</v>
      </c>
      <c r="D198" s="2" t="s">
        <v>32</v>
      </c>
      <c r="E198" s="6">
        <v>1</v>
      </c>
      <c r="F198" s="6">
        <v>0</v>
      </c>
      <c r="G198" s="7">
        <v>0.6999053359031677</v>
      </c>
      <c r="H198" s="7">
        <v>53.528475</v>
      </c>
      <c r="I198" s="7">
        <v>31.91330086738981</v>
      </c>
      <c r="J198" s="7">
        <v>9.606286448453613</v>
      </c>
      <c r="K198" s="7">
        <v>8.18392431366178</v>
      </c>
      <c r="L198" s="7">
        <v>0.6106402110263439</v>
      </c>
      <c r="M198" s="7">
        <v>0.6599971878604037</v>
      </c>
      <c r="N198" s="7">
        <v>0.484800113852897</v>
      </c>
      <c r="O198" s="7">
        <v>0.1573312131952125</v>
      </c>
      <c r="P198" s="7">
        <v>7.987401137699766</v>
      </c>
      <c r="Q198" s="7">
        <v>0.0132763202521746</v>
      </c>
      <c r="R198" s="7">
        <v>0.0615150156412527</v>
      </c>
      <c r="S198" s="7">
        <v>0.1153990263725204</v>
      </c>
      <c r="T198" s="7">
        <v>0.8248089612029059</v>
      </c>
    </row>
    <row x14ac:dyDescent="0.25" r="199" customHeight="1" ht="19.5">
      <c r="A199" s="2" t="s">
        <v>229</v>
      </c>
      <c r="B199" s="2" t="s">
        <v>30</v>
      </c>
      <c r="C199" s="2" t="s">
        <v>31</v>
      </c>
      <c r="D199" s="2" t="s">
        <v>32</v>
      </c>
      <c r="E199" s="6">
        <v>1</v>
      </c>
      <c r="F199" s="6">
        <v>0</v>
      </c>
      <c r="G199" s="7">
        <v>0.6964018940925598</v>
      </c>
      <c r="H199" s="7">
        <v>58.945046875</v>
      </c>
      <c r="I199" s="7">
        <v>33.49841787489888</v>
      </c>
      <c r="J199" s="7">
        <v>9.702206657166249</v>
      </c>
      <c r="K199" s="7">
        <v>8.145822111195482</v>
      </c>
      <c r="L199" s="7">
        <v>0.5872439392729792</v>
      </c>
      <c r="M199" s="7">
        <v>0.6599043442314904</v>
      </c>
      <c r="N199" s="7">
        <v>0.4669938317344717</v>
      </c>
      <c r="O199" s="7">
        <v>0.1354244554207704</v>
      </c>
      <c r="P199" s="7">
        <v>8.141369051592047</v>
      </c>
      <c r="Q199" s="7">
        <v>0.0123481327439399</v>
      </c>
      <c r="R199" s="7">
        <v>0.0587384921610914</v>
      </c>
      <c r="S199" s="7">
        <v>0.1115039131449307</v>
      </c>
      <c r="T199" s="7">
        <v>0.8447717593806199</v>
      </c>
    </row>
    <row x14ac:dyDescent="0.25" r="200" customHeight="1" ht="19.5">
      <c r="A200" s="2" t="s">
        <v>230</v>
      </c>
      <c r="B200" s="2" t="s">
        <v>30</v>
      </c>
      <c r="C200" s="2" t="s">
        <v>31</v>
      </c>
      <c r="D200" s="2" t="s">
        <v>32</v>
      </c>
      <c r="E200" s="6">
        <v>1</v>
      </c>
      <c r="F200" s="6">
        <v>0</v>
      </c>
      <c r="G200" s="7">
        <v>0.6899477243423462</v>
      </c>
      <c r="H200" s="7">
        <v>58.81690546875</v>
      </c>
      <c r="I200" s="7">
        <v>35.25972504502762</v>
      </c>
      <c r="J200" s="7">
        <v>10.05883158806475</v>
      </c>
      <c r="K200" s="7">
        <v>8.367278296804207</v>
      </c>
      <c r="L200" s="7">
        <v>0.6140088429547713</v>
      </c>
      <c r="M200" s="7">
        <v>0.5939431019565469</v>
      </c>
      <c r="N200" s="7">
        <v>0.4748826926557994</v>
      </c>
      <c r="O200" s="7">
        <v>0.1472156684962321</v>
      </c>
      <c r="P200" s="7">
        <v>8.108419923914973</v>
      </c>
      <c r="Q200" s="7">
        <v>0.012314789225746</v>
      </c>
      <c r="R200" s="7">
        <v>0.0572995324829424</v>
      </c>
      <c r="S200" s="7">
        <v>0.1140420093402836</v>
      </c>
      <c r="T200" s="7">
        <v>0.8406591307208877</v>
      </c>
    </row>
    <row x14ac:dyDescent="0.25" r="201" customHeight="1" ht="19.5">
      <c r="A201" s="2" t="s">
        <v>231</v>
      </c>
      <c r="B201" s="2" t="s">
        <v>30</v>
      </c>
      <c r="C201" s="2" t="s">
        <v>31</v>
      </c>
      <c r="D201" s="2" t="s">
        <v>32</v>
      </c>
      <c r="E201" s="6">
        <v>1</v>
      </c>
      <c r="F201" s="6">
        <v>0</v>
      </c>
      <c r="G201" s="7">
        <v>0.6867898106575012</v>
      </c>
      <c r="H201" s="7">
        <v>56.53806640625</v>
      </c>
      <c r="I201" s="7">
        <v>34.98812074841091</v>
      </c>
      <c r="J201" s="7">
        <v>9.846060717395869</v>
      </c>
      <c r="K201" s="7">
        <v>8.157377317684679</v>
      </c>
      <c r="L201" s="7">
        <v>0.6139147936244551</v>
      </c>
      <c r="M201" s="7">
        <v>0.5801273238978585</v>
      </c>
      <c r="N201" s="7">
        <v>0.4751784677569465</v>
      </c>
      <c r="O201" s="7">
        <v>0.1516903566440337</v>
      </c>
      <c r="P201" s="7">
        <v>8.072747402255404</v>
      </c>
      <c r="Q201" s="7">
        <v>0.0122248168491562</v>
      </c>
      <c r="R201" s="7">
        <v>0.0584293144149525</v>
      </c>
      <c r="S201" s="7">
        <v>0.1136275231458829</v>
      </c>
      <c r="T201" s="7">
        <v>0.8021841800303302</v>
      </c>
    </row>
    <row x14ac:dyDescent="0.25" r="202" customHeight="1" ht="19.5">
      <c r="A202" s="2" t="s">
        <v>232</v>
      </c>
      <c r="B202" s="2" t="s">
        <v>30</v>
      </c>
      <c r="C202" s="2" t="s">
        <v>31</v>
      </c>
      <c r="D202" s="2" t="s">
        <v>32</v>
      </c>
      <c r="E202" s="6">
        <v>1</v>
      </c>
      <c r="F202" s="6">
        <v>0</v>
      </c>
      <c r="G202" s="7">
        <v>0.7122450470924377</v>
      </c>
      <c r="H202" s="7">
        <v>55.620296875</v>
      </c>
      <c r="I202" s="7">
        <v>32.06338233509726</v>
      </c>
      <c r="J202" s="7">
        <v>9.86893023585423</v>
      </c>
      <c r="K202" s="7">
        <v>8.251457948947653</v>
      </c>
      <c r="L202" s="7">
        <v>0.6173608221565894</v>
      </c>
      <c r="M202" s="7">
        <v>0.6783861869401137</v>
      </c>
      <c r="N202" s="7">
        <v>0.4816515614499839</v>
      </c>
      <c r="O202" s="7">
        <v>0.1563862048836862</v>
      </c>
      <c r="P202" s="7">
        <v>8.01759177754025</v>
      </c>
      <c r="Q202" s="7">
        <v>0.0130160781292107</v>
      </c>
      <c r="R202" s="7">
        <v>0.0616831936793021</v>
      </c>
      <c r="S202" s="7">
        <v>0.114959495722101</v>
      </c>
      <c r="T202" s="7">
        <v>0.8402416967140388</v>
      </c>
    </row>
    <row x14ac:dyDescent="0.25" r="203" customHeight="1" ht="19.5">
      <c r="A203" s="2" t="s">
        <v>233</v>
      </c>
      <c r="B203" s="2" t="s">
        <v>30</v>
      </c>
      <c r="C203" s="2" t="s">
        <v>31</v>
      </c>
      <c r="D203" s="2" t="s">
        <v>32</v>
      </c>
      <c r="E203" s="6">
        <v>1</v>
      </c>
      <c r="F203" s="6">
        <v>0</v>
      </c>
      <c r="G203" s="7">
        <v>0.6974064111709595</v>
      </c>
      <c r="H203" s="7">
        <v>53.957921875</v>
      </c>
      <c r="I203" s="7">
        <v>32.20163442729159</v>
      </c>
      <c r="J203" s="7">
        <v>9.758001146378504</v>
      </c>
      <c r="K203" s="7">
        <v>8.098137480011257</v>
      </c>
      <c r="L203" s="7">
        <v>0.6402470689215952</v>
      </c>
      <c r="M203" s="7">
        <v>0.6523019843129011</v>
      </c>
      <c r="N203" s="7">
        <v>0.4759211370037695</v>
      </c>
      <c r="O203" s="7">
        <v>0.1497499385107016</v>
      </c>
      <c r="P203" s="7">
        <v>8.04545577165623</v>
      </c>
      <c r="Q203" s="7">
        <v>0.013105411672217</v>
      </c>
      <c r="R203" s="7">
        <v>0.0620769695148125</v>
      </c>
      <c r="S203" s="7">
        <v>0.1131246856267276</v>
      </c>
      <c r="T203" s="7">
        <v>0.8207231105180334</v>
      </c>
    </row>
    <row x14ac:dyDescent="0.25" r="204" customHeight="1" ht="19.5">
      <c r="A204" s="2" t="s">
        <v>234</v>
      </c>
      <c r="B204" s="2" t="s">
        <v>30</v>
      </c>
      <c r="C204" s="2" t="s">
        <v>31</v>
      </c>
      <c r="D204" s="2" t="s">
        <v>32</v>
      </c>
      <c r="E204" s="6">
        <v>1</v>
      </c>
      <c r="F204" s="6">
        <v>0</v>
      </c>
      <c r="G204" s="7">
        <v>0.7187647223472595</v>
      </c>
      <c r="H204" s="7">
        <v>52.57607265625001</v>
      </c>
      <c r="I204" s="7">
        <v>30.49881812071918</v>
      </c>
      <c r="J204" s="7">
        <v>9.683485764120714</v>
      </c>
      <c r="K204" s="7">
        <v>7.883177062090027</v>
      </c>
      <c r="L204" s="7">
        <v>0.6503378345260044</v>
      </c>
      <c r="M204" s="7">
        <v>0.709909623353325</v>
      </c>
      <c r="N204" s="7">
        <v>0.4909002868200049</v>
      </c>
      <c r="O204" s="7">
        <v>0.1713181082237321</v>
      </c>
      <c r="P204" s="7">
        <v>7.889786151774469</v>
      </c>
      <c r="Q204" s="7">
        <v>0.0135554206016845</v>
      </c>
      <c r="R204" s="7">
        <v>0.0624262970052923</v>
      </c>
      <c r="S204" s="7">
        <v>0.1140622067541991</v>
      </c>
      <c r="T204" s="7">
        <v>0.827164561521544</v>
      </c>
    </row>
    <row x14ac:dyDescent="0.25" r="205" customHeight="1" ht="19.5">
      <c r="A205" s="2" t="s">
        <v>235</v>
      </c>
      <c r="B205" s="2" t="s">
        <v>30</v>
      </c>
      <c r="C205" s="2" t="s">
        <v>31</v>
      </c>
      <c r="D205" s="2" t="s">
        <v>32</v>
      </c>
      <c r="E205" s="6">
        <v>1</v>
      </c>
      <c r="F205" s="6">
        <v>0</v>
      </c>
      <c r="G205" s="7">
        <v>0.7042205333709717</v>
      </c>
      <c r="H205" s="7">
        <v>54.16918203125</v>
      </c>
      <c r="I205" s="7">
        <v>31.66362294986405</v>
      </c>
      <c r="J205" s="7">
        <v>9.837433247924212</v>
      </c>
      <c r="K205" s="7">
        <v>7.804920724143663</v>
      </c>
      <c r="L205" s="7">
        <v>0.6570621397376141</v>
      </c>
      <c r="M205" s="7">
        <v>0.6787812717616812</v>
      </c>
      <c r="N205" s="7">
        <v>0.4709529810004001</v>
      </c>
      <c r="O205" s="7">
        <v>0.1453206652684619</v>
      </c>
      <c r="P205" s="7">
        <v>8.050070748037971</v>
      </c>
      <c r="Q205" s="7">
        <v>0.0121442771822218</v>
      </c>
      <c r="R205" s="7">
        <v>0.0591079063247776</v>
      </c>
      <c r="S205" s="7">
        <v>0.1125410247656928</v>
      </c>
      <c r="T205" s="7">
        <v>0.7635099986427645</v>
      </c>
    </row>
    <row x14ac:dyDescent="0.25" r="206" customHeight="1" ht="19.5">
      <c r="A206" s="2" t="s">
        <v>236</v>
      </c>
      <c r="B206" s="2" t="s">
        <v>30</v>
      </c>
      <c r="C206" s="2" t="s">
        <v>31</v>
      </c>
      <c r="D206" s="2" t="s">
        <v>32</v>
      </c>
      <c r="E206" s="6">
        <v>1</v>
      </c>
      <c r="F206" s="6">
        <v>0</v>
      </c>
      <c r="G206" s="7">
        <v>0.7157974243164062</v>
      </c>
      <c r="H206" s="7">
        <v>52.16047890625001</v>
      </c>
      <c r="I206" s="7">
        <v>31.82206904921403</v>
      </c>
      <c r="J206" s="7">
        <v>9.551134834875636</v>
      </c>
      <c r="K206" s="7">
        <v>8.068578969338754</v>
      </c>
      <c r="L206" s="7">
        <v>0.6156041032412183</v>
      </c>
      <c r="M206" s="7">
        <v>0.6470687172764171</v>
      </c>
      <c r="N206" s="7">
        <v>0.483164347493116</v>
      </c>
      <c r="O206" s="7">
        <v>0.1532068916509472</v>
      </c>
      <c r="P206" s="7">
        <v>8.024524402523657</v>
      </c>
      <c r="Q206" s="7">
        <v>0.0134092144901013</v>
      </c>
      <c r="R206" s="7">
        <v>0.0625290766860875</v>
      </c>
      <c r="S206" s="7">
        <v>0.1159755327312554</v>
      </c>
      <c r="T206" s="7">
        <v>0.8117750291231803</v>
      </c>
    </row>
    <row x14ac:dyDescent="0.25" r="207" customHeight="1" ht="19.5">
      <c r="A207" s="2" t="s">
        <v>237</v>
      </c>
      <c r="B207" s="2" t="s">
        <v>30</v>
      </c>
      <c r="C207" s="2" t="s">
        <v>31</v>
      </c>
      <c r="D207" s="2" t="s">
        <v>32</v>
      </c>
      <c r="E207" s="6">
        <v>1</v>
      </c>
      <c r="F207" s="6">
        <v>0</v>
      </c>
      <c r="G207" s="7">
        <v>0.7053217887878418</v>
      </c>
      <c r="H207" s="7">
        <v>56.15710546875</v>
      </c>
      <c r="I207" s="7">
        <v>34.52359702588947</v>
      </c>
      <c r="J207" s="7">
        <v>9.93519345767502</v>
      </c>
      <c r="K207" s="7">
        <v>8.19220981651905</v>
      </c>
      <c r="L207" s="7">
        <v>0.6050748006334739</v>
      </c>
      <c r="M207" s="7">
        <v>0.5918272751061185</v>
      </c>
      <c r="N207" s="7">
        <v>0.4770196276354391</v>
      </c>
      <c r="O207" s="7">
        <v>0.1524392372649626</v>
      </c>
      <c r="P207" s="7">
        <v>8.04979717646254</v>
      </c>
      <c r="Q207" s="7">
        <v>0.0126733842572109</v>
      </c>
      <c r="R207" s="7">
        <v>0.0593682285498112</v>
      </c>
      <c r="S207" s="7">
        <v>0.1149840808719341</v>
      </c>
      <c r="T207" s="7">
        <v>0.8260153112727561</v>
      </c>
    </row>
    <row x14ac:dyDescent="0.25" r="208" customHeight="1" ht="19.5">
      <c r="A208" s="2" t="s">
        <v>238</v>
      </c>
      <c r="B208" s="2" t="s">
        <v>30</v>
      </c>
      <c r="C208" s="2" t="s">
        <v>31</v>
      </c>
      <c r="D208" s="2" t="s">
        <v>32</v>
      </c>
      <c r="E208" s="6">
        <v>1</v>
      </c>
      <c r="F208" s="6">
        <v>0</v>
      </c>
      <c r="G208" s="7">
        <v>0.7361519932746887</v>
      </c>
      <c r="H208" s="7">
        <v>52.43061484375</v>
      </c>
      <c r="I208" s="7">
        <v>30.85818949164108</v>
      </c>
      <c r="J208" s="7">
        <v>9.55323817057652</v>
      </c>
      <c r="K208" s="7">
        <v>7.887036722142946</v>
      </c>
      <c r="L208" s="7">
        <v>0.6187357391283648</v>
      </c>
      <c r="M208" s="7">
        <v>0.6910942122604755</v>
      </c>
      <c r="N208" s="7">
        <v>0.4799839453628178</v>
      </c>
      <c r="O208" s="7">
        <v>0.1502143821729854</v>
      </c>
      <c r="P208" s="7">
        <v>8.025439002735004</v>
      </c>
      <c r="Q208" s="7">
        <v>0.0132391001185113</v>
      </c>
      <c r="R208" s="7">
        <v>0.0612842464617049</v>
      </c>
      <c r="S208" s="7">
        <v>0.114863555710373</v>
      </c>
      <c r="T208" s="7">
        <v>0.8056273418906844</v>
      </c>
    </row>
    <row x14ac:dyDescent="0.25" r="209" customHeight="1" ht="19.5">
      <c r="A209" s="2" t="s">
        <v>239</v>
      </c>
      <c r="B209" s="2" t="s">
        <v>30</v>
      </c>
      <c r="C209" s="2" t="s">
        <v>31</v>
      </c>
      <c r="D209" s="2" t="s">
        <v>32</v>
      </c>
      <c r="E209" s="6">
        <v>1</v>
      </c>
      <c r="F209" s="6">
        <v>0</v>
      </c>
      <c r="G209" s="7">
        <v>0.6916568279266357</v>
      </c>
      <c r="H209" s="7">
        <v>56.66967109375</v>
      </c>
      <c r="I209" s="7">
        <v>33.63631118111787</v>
      </c>
      <c r="J209" s="7">
        <v>9.961682880914118</v>
      </c>
      <c r="K209" s="7">
        <v>8.319267800197357</v>
      </c>
      <c r="L209" s="7">
        <v>0.6008419703570266</v>
      </c>
      <c r="M209" s="7">
        <v>0.6294247742269863</v>
      </c>
      <c r="N209" s="7">
        <v>0.4808756697799192</v>
      </c>
      <c r="O209" s="7">
        <v>0.1538255850324305</v>
      </c>
      <c r="P209" s="7">
        <v>8.013846026396212</v>
      </c>
      <c r="Q209" s="7">
        <v>0.0122117784352651</v>
      </c>
      <c r="R209" s="7">
        <v>0.0586242799610811</v>
      </c>
      <c r="S209" s="7">
        <v>0.1107152055374973</v>
      </c>
      <c r="T209" s="7">
        <v>0.8031938753692109</v>
      </c>
    </row>
    <row x14ac:dyDescent="0.25" r="210" customHeight="1" ht="19.5">
      <c r="A210" s="2" t="s">
        <v>240</v>
      </c>
      <c r="B210" s="2" t="s">
        <v>30</v>
      </c>
      <c r="C210" s="2" t="s">
        <v>31</v>
      </c>
      <c r="D210" s="2" t="s">
        <v>32</v>
      </c>
      <c r="E210" s="6">
        <v>1</v>
      </c>
      <c r="F210" s="6">
        <v>0</v>
      </c>
      <c r="G210" s="7">
        <v>0.7122039794921875</v>
      </c>
      <c r="H210" s="7">
        <v>53.5908140625</v>
      </c>
      <c r="I210" s="7">
        <v>31.73884307670545</v>
      </c>
      <c r="J210" s="7">
        <v>9.676353567024895</v>
      </c>
      <c r="K210" s="7">
        <v>8.34083727863999</v>
      </c>
      <c r="L210" s="7">
        <v>0.6073311912409601</v>
      </c>
      <c r="M210" s="7">
        <v>0.6674455081845143</v>
      </c>
      <c r="N210" s="7">
        <v>0.4859624239728279</v>
      </c>
      <c r="O210" s="7">
        <v>0.1582297003353985</v>
      </c>
      <c r="P210" s="7">
        <v>7.975017023253173</v>
      </c>
      <c r="Q210" s="7">
        <v>0.0133152978753388</v>
      </c>
      <c r="R210" s="7">
        <v>0.0607558463093733</v>
      </c>
      <c r="S210" s="7">
        <v>0.1125799131385568</v>
      </c>
      <c r="T210" s="7">
        <v>0.8281938871668796</v>
      </c>
    </row>
    <row x14ac:dyDescent="0.25" r="211" customHeight="1" ht="19.5">
      <c r="A211" s="2" t="s">
        <v>241</v>
      </c>
      <c r="B211" s="2" t="s">
        <v>30</v>
      </c>
      <c r="C211" s="2" t="s">
        <v>31</v>
      </c>
      <c r="D211" s="2" t="s">
        <v>32</v>
      </c>
      <c r="E211" s="6">
        <v>1</v>
      </c>
      <c r="F211" s="6">
        <v>0</v>
      </c>
      <c r="G211" s="7">
        <v>0.708587646484375</v>
      </c>
      <c r="H211" s="7">
        <v>52.72153046875</v>
      </c>
      <c r="I211" s="7">
        <v>32.0028003136303</v>
      </c>
      <c r="J211" s="7">
        <v>9.661276917615666</v>
      </c>
      <c r="K211" s="7">
        <v>8.043771063352546</v>
      </c>
      <c r="L211" s="7">
        <v>0.611640761050892</v>
      </c>
      <c r="M211" s="7">
        <v>0.6468772976150532</v>
      </c>
      <c r="N211" s="7">
        <v>0.4827643507558724</v>
      </c>
      <c r="O211" s="7">
        <v>0.1581232888012645</v>
      </c>
      <c r="P211" s="7">
        <v>7.992655271745798</v>
      </c>
      <c r="Q211" s="7">
        <v>0.0129431168351043</v>
      </c>
      <c r="R211" s="7">
        <v>0.0605747710020639</v>
      </c>
      <c r="S211" s="7">
        <v>0.1112002044559432</v>
      </c>
      <c r="T211" s="7">
        <v>0.7919862844542385</v>
      </c>
    </row>
    <row x14ac:dyDescent="0.25" r="212" customHeight="1" ht="19.5">
      <c r="A212" s="2" t="s">
        <v>242</v>
      </c>
      <c r="B212" s="2" t="s">
        <v>30</v>
      </c>
      <c r="C212" s="2" t="s">
        <v>31</v>
      </c>
      <c r="D212" s="2" t="s">
        <v>32</v>
      </c>
      <c r="E212" s="6">
        <v>1</v>
      </c>
      <c r="F212" s="6">
        <v>0</v>
      </c>
      <c r="G212" s="7">
        <v>0.7096158862113953</v>
      </c>
      <c r="H212" s="7">
        <v>55.3501609375</v>
      </c>
      <c r="I212" s="7">
        <v>32.68844331487931</v>
      </c>
      <c r="J212" s="7">
        <v>9.791284608290972</v>
      </c>
      <c r="K212" s="7">
        <v>7.930807391805422</v>
      </c>
      <c r="L212" s="7">
        <v>0.6360849460442383</v>
      </c>
      <c r="M212" s="7">
        <v>0.6506945949276709</v>
      </c>
      <c r="N212" s="7">
        <v>0.477598133147416</v>
      </c>
      <c r="O212" s="7">
        <v>0.147096604362357</v>
      </c>
      <c r="P212" s="7">
        <v>8.06806146087089</v>
      </c>
      <c r="Q212" s="7">
        <v>0.0125251254555562</v>
      </c>
      <c r="R212" s="7">
        <v>0.059300549545977</v>
      </c>
      <c r="S212" s="7">
        <v>0.1115317383546665</v>
      </c>
      <c r="T212" s="7">
        <v>0.8046217216234767</v>
      </c>
    </row>
    <row x14ac:dyDescent="0.25" r="213" customHeight="1" ht="19.5">
      <c r="A213" s="2" t="s">
        <v>243</v>
      </c>
      <c r="B213" s="2" t="s">
        <v>30</v>
      </c>
      <c r="C213" s="2" t="s">
        <v>31</v>
      </c>
      <c r="D213" s="2" t="s">
        <v>32</v>
      </c>
      <c r="E213" s="6">
        <v>1</v>
      </c>
      <c r="F213" s="6">
        <v>0</v>
      </c>
      <c r="G213" s="7">
        <v>0.6786009073257446</v>
      </c>
      <c r="H213" s="7">
        <v>59.56497421875</v>
      </c>
      <c r="I213" s="7">
        <v>33.20590199917585</v>
      </c>
      <c r="J213" s="7">
        <v>9.856086678358658</v>
      </c>
      <c r="K213" s="7">
        <v>8.57952756770635</v>
      </c>
      <c r="L213" s="7">
        <v>0.5878852572440576</v>
      </c>
      <c r="M213" s="7">
        <v>0.678528669403337</v>
      </c>
      <c r="N213" s="7">
        <v>0.5046389618020963</v>
      </c>
      <c r="O213" s="7">
        <v>0.1354659940342513</v>
      </c>
      <c r="P213" s="7">
        <v>7.945127712779037</v>
      </c>
      <c r="Q213" s="7">
        <v>0.0132887215390176</v>
      </c>
      <c r="R213" s="7">
        <v>0.0582146786562536</v>
      </c>
      <c r="S213" s="7">
        <v>0.1041467574289571</v>
      </c>
      <c r="T213" s="7">
        <v>0.9186814331361748</v>
      </c>
    </row>
    <row x14ac:dyDescent="0.25" r="214" customHeight="1" ht="19.5">
      <c r="A214" s="2" t="s">
        <v>244</v>
      </c>
      <c r="B214" s="2" t="s">
        <v>30</v>
      </c>
      <c r="C214" s="2" t="s">
        <v>31</v>
      </c>
      <c r="D214" s="2" t="s">
        <v>245</v>
      </c>
      <c r="E214" s="6">
        <v>1</v>
      </c>
      <c r="F214" s="6">
        <v>0</v>
      </c>
      <c r="G214" s="7">
        <v>0.4677304923534393</v>
      </c>
      <c r="H214" s="7">
        <v>48.7837796875</v>
      </c>
      <c r="I214" s="7">
        <v>28.26456103848508</v>
      </c>
      <c r="J214" s="7">
        <v>8.931433002966003</v>
      </c>
      <c r="K214" s="7">
        <v>5.93708232698904</v>
      </c>
      <c r="L214" s="7">
        <v>0.7769397273682715</v>
      </c>
      <c r="M214" s="7">
        <v>0.7663823516618227</v>
      </c>
      <c r="N214" s="7">
        <v>0.4064807308183928</v>
      </c>
      <c r="O214" s="7">
        <v>0.055076635438479</v>
      </c>
      <c r="P214" s="7">
        <v>8.911323478374513</v>
      </c>
      <c r="Q214" s="7">
        <v>0.0033259325307274</v>
      </c>
      <c r="R214" s="7">
        <v>0.0187441747655915</v>
      </c>
      <c r="S214" s="7">
        <v>0.0440804207870496</v>
      </c>
      <c r="T214" s="7">
        <v>0.1883127218797737</v>
      </c>
    </row>
    <row x14ac:dyDescent="0.25" r="215" customHeight="1" ht="19.5">
      <c r="A215" s="2" t="s">
        <v>246</v>
      </c>
      <c r="B215" s="2" t="s">
        <v>30</v>
      </c>
      <c r="C215" s="2" t="s">
        <v>31</v>
      </c>
      <c r="D215" s="2" t="s">
        <v>245</v>
      </c>
      <c r="E215" s="6">
        <v>1</v>
      </c>
      <c r="F215" s="6">
        <v>0</v>
      </c>
      <c r="G215" s="7">
        <v>0.5061998963356018</v>
      </c>
      <c r="H215" s="7">
        <v>45.67721640625</v>
      </c>
      <c r="I215" s="7">
        <v>27.42011315191076</v>
      </c>
      <c r="J215" s="7">
        <v>8.51560419250374</v>
      </c>
      <c r="K215" s="7">
        <v>5.494453577569577</v>
      </c>
      <c r="L215" s="7">
        <v>0.7818153645827517</v>
      </c>
      <c r="M215" s="7">
        <v>0.763433140543001</v>
      </c>
      <c r="N215" s="7">
        <v>0.3573443240740519</v>
      </c>
      <c r="O215" s="7">
        <v>0.0501532985472575</v>
      </c>
      <c r="P215" s="7">
        <v>9.139613891543828</v>
      </c>
      <c r="Q215" s="7">
        <v>0.008969852357668</v>
      </c>
      <c r="R215" s="7">
        <v>0.0316607486374444</v>
      </c>
      <c r="S215" s="7">
        <v>0.0653628161278369</v>
      </c>
      <c r="T215" s="7">
        <v>0.4755275735652123</v>
      </c>
    </row>
    <row x14ac:dyDescent="0.25" r="216" customHeight="1" ht="19.5">
      <c r="A216" s="2" t="s">
        <v>247</v>
      </c>
      <c r="B216" s="2" t="s">
        <v>30</v>
      </c>
      <c r="C216" s="2" t="s">
        <v>31</v>
      </c>
      <c r="D216" s="2" t="s">
        <v>245</v>
      </c>
      <c r="E216" s="6">
        <v>1</v>
      </c>
      <c r="F216" s="6">
        <v>0</v>
      </c>
      <c r="G216" s="7">
        <v>0.6199252605438232</v>
      </c>
      <c r="H216" s="7">
        <v>44.4754578125</v>
      </c>
      <c r="I216" s="7">
        <v>27.053094721297</v>
      </c>
      <c r="J216" s="7">
        <v>8.589460108064323</v>
      </c>
      <c r="K216" s="7">
        <v>5.400305115218886</v>
      </c>
      <c r="L216" s="7">
        <v>0.7962111912640717</v>
      </c>
      <c r="M216" s="7">
        <v>0.7636535675963121</v>
      </c>
      <c r="N216" s="7">
        <v>0.3256808591780871</v>
      </c>
      <c r="O216" s="7">
        <v>0.0482340085775306</v>
      </c>
      <c r="P216" s="7">
        <v>9.308955451089552</v>
      </c>
      <c r="Q216" s="7">
        <v>0.0150670747707378</v>
      </c>
      <c r="R216" s="7">
        <v>0.045560553344346</v>
      </c>
      <c r="S216" s="7">
        <v>0.0699198817961767</v>
      </c>
      <c r="T216" s="7">
        <v>0.7777502345811617</v>
      </c>
    </row>
    <row x14ac:dyDescent="0.25" r="217" customHeight="1" ht="19.5">
      <c r="A217" s="2" t="s">
        <v>248</v>
      </c>
      <c r="B217" s="2" t="s">
        <v>30</v>
      </c>
      <c r="C217" s="2" t="s">
        <v>31</v>
      </c>
      <c r="D217" s="2" t="s">
        <v>245</v>
      </c>
      <c r="E217" s="6">
        <v>1</v>
      </c>
      <c r="F217" s="6">
        <v>0</v>
      </c>
      <c r="G217" s="7">
        <v>0.5952755808830261</v>
      </c>
      <c r="H217" s="7">
        <v>44.09103359375001</v>
      </c>
      <c r="I217" s="7">
        <v>27.19690271527256</v>
      </c>
      <c r="J217" s="7">
        <v>8.807488350246214</v>
      </c>
      <c r="K217" s="7">
        <v>5.146577297566547</v>
      </c>
      <c r="L217" s="7">
        <v>0.8263916456507725</v>
      </c>
      <c r="M217" s="7">
        <v>0.749068006469562</v>
      </c>
      <c r="N217" s="7">
        <v>0.3018802733281571</v>
      </c>
      <c r="O217" s="7">
        <v>0.045134137919215</v>
      </c>
      <c r="P217" s="7">
        <v>9.429183689790293</v>
      </c>
      <c r="Q217" s="7">
        <v>0.0139391127810987</v>
      </c>
      <c r="R217" s="7">
        <v>0.0451542872925871</v>
      </c>
      <c r="S217" s="7">
        <v>0.06941399444454</v>
      </c>
      <c r="T217" s="7">
        <v>0.7133065168965476</v>
      </c>
    </row>
    <row x14ac:dyDescent="0.25" r="218" customHeight="1" ht="19.5">
      <c r="A218" s="2" t="s">
        <v>249</v>
      </c>
      <c r="B218" s="2" t="s">
        <v>30</v>
      </c>
      <c r="C218" s="2" t="s">
        <v>31</v>
      </c>
      <c r="D218" s="2" t="s">
        <v>245</v>
      </c>
      <c r="E218" s="6">
        <v>1</v>
      </c>
      <c r="F218" s="6">
        <v>0</v>
      </c>
      <c r="G218" s="7">
        <v>0.5833659768104553</v>
      </c>
      <c r="H218" s="7">
        <v>43.02780625</v>
      </c>
      <c r="I218" s="7">
        <v>26.80933149152781</v>
      </c>
      <c r="J218" s="7">
        <v>8.68311783276047</v>
      </c>
      <c r="K218" s="7">
        <v>5.071639232523407</v>
      </c>
      <c r="L218" s="7">
        <v>0.825930283213222</v>
      </c>
      <c r="M218" s="7">
        <v>0.7522931354990262</v>
      </c>
      <c r="N218" s="7">
        <v>0.3080323812664612</v>
      </c>
      <c r="O218" s="7">
        <v>0.0457795142967206</v>
      </c>
      <c r="P218" s="7">
        <v>9.39579501947672</v>
      </c>
      <c r="Q218" s="7">
        <v>0.0130196623595142</v>
      </c>
      <c r="R218" s="7">
        <v>0.0425720335954905</v>
      </c>
      <c r="S218" s="7">
        <v>0.0676444545990772</v>
      </c>
      <c r="T218" s="7">
        <v>0.6501891324114114</v>
      </c>
    </row>
    <row x14ac:dyDescent="0.25" r="219" customHeight="1" ht="19.5">
      <c r="A219" s="2" t="s">
        <v>250</v>
      </c>
      <c r="B219" s="2" t="s">
        <v>30</v>
      </c>
      <c r="C219" s="2" t="s">
        <v>31</v>
      </c>
      <c r="D219" s="2" t="s">
        <v>245</v>
      </c>
      <c r="E219" s="6">
        <v>1</v>
      </c>
      <c r="F219" s="6">
        <v>0</v>
      </c>
      <c r="G219" s="7">
        <v>0.5943230390548706</v>
      </c>
      <c r="H219" s="7">
        <v>44.38194921875</v>
      </c>
      <c r="I219" s="7">
        <v>27.22546135407073</v>
      </c>
      <c r="J219" s="7">
        <v>8.861501428791708</v>
      </c>
      <c r="K219" s="7">
        <v>5.279204533991268</v>
      </c>
      <c r="L219" s="7">
        <v>0.8222593887676649</v>
      </c>
      <c r="M219" s="7">
        <v>0.7524293719205518</v>
      </c>
      <c r="N219" s="7">
        <v>0.3065600963575999</v>
      </c>
      <c r="O219" s="7">
        <v>0.0459833698628963</v>
      </c>
      <c r="P219" s="7">
        <v>9.411250445016671</v>
      </c>
      <c r="Q219" s="7">
        <v>0.0149818701432409</v>
      </c>
      <c r="R219" s="7">
        <v>0.0469240631571852</v>
      </c>
      <c r="S219" s="7">
        <v>0.0699699151683831</v>
      </c>
      <c r="T219" s="7">
        <v>0.7717260862056833</v>
      </c>
    </row>
    <row x14ac:dyDescent="0.25" r="220" customHeight="1" ht="19.5">
      <c r="A220" s="2" t="s">
        <v>251</v>
      </c>
      <c r="B220" s="2" t="s">
        <v>30</v>
      </c>
      <c r="C220" s="2" t="s">
        <v>31</v>
      </c>
      <c r="D220" s="2" t="s">
        <v>245</v>
      </c>
      <c r="E220" s="6">
        <v>1</v>
      </c>
      <c r="F220" s="6">
        <v>0</v>
      </c>
      <c r="G220" s="7">
        <v>0.5776304602622986</v>
      </c>
      <c r="H220" s="7">
        <v>44.30229375</v>
      </c>
      <c r="I220" s="7">
        <v>27.2456553612264</v>
      </c>
      <c r="J220" s="7">
        <v>8.882480280719319</v>
      </c>
      <c r="K220" s="7">
        <v>5.16884356985565</v>
      </c>
      <c r="L220" s="7">
        <v>0.8291363867310012</v>
      </c>
      <c r="M220" s="7">
        <v>0.7499659721910366</v>
      </c>
      <c r="N220" s="7">
        <v>0.3019434366683126</v>
      </c>
      <c r="O220" s="7">
        <v>0.0451085109493675</v>
      </c>
      <c r="P220" s="7">
        <v>9.431571773900616</v>
      </c>
      <c r="Q220" s="7">
        <v>0.0136081924462423</v>
      </c>
      <c r="R220" s="7">
        <v>0.043555183321933</v>
      </c>
      <c r="S220" s="7">
        <v>0.0702918561127502</v>
      </c>
      <c r="T220" s="7">
        <v>0.6997089594204319</v>
      </c>
    </row>
    <row x14ac:dyDescent="0.25" r="221" customHeight="1" ht="19.5">
      <c r="A221" s="2" t="s">
        <v>252</v>
      </c>
      <c r="B221" s="2" t="s">
        <v>30</v>
      </c>
      <c r="C221" s="2" t="s">
        <v>31</v>
      </c>
      <c r="D221" s="2" t="s">
        <v>245</v>
      </c>
      <c r="E221" s="6">
        <v>1</v>
      </c>
      <c r="F221" s="6">
        <v>0</v>
      </c>
      <c r="G221" s="7">
        <v>0.6041111350059509</v>
      </c>
      <c r="H221" s="7">
        <v>46.449528125</v>
      </c>
      <c r="I221" s="7">
        <v>27.96613047500549</v>
      </c>
      <c r="J221" s="7">
        <v>9.254746025755104</v>
      </c>
      <c r="K221" s="7">
        <v>5.267732048613269</v>
      </c>
      <c r="L221" s="7">
        <v>0.8389644532407643</v>
      </c>
      <c r="M221" s="7">
        <v>0.746322287880922</v>
      </c>
      <c r="N221" s="7">
        <v>0.3021725502658458</v>
      </c>
      <c r="O221" s="7">
        <v>0.0449098727872986</v>
      </c>
      <c r="P221" s="7">
        <v>9.450140509476986</v>
      </c>
      <c r="Q221" s="7">
        <v>0.0131005175586414</v>
      </c>
      <c r="R221" s="7">
        <v>0.043274194708267</v>
      </c>
      <c r="S221" s="7">
        <v>0.0680689640749426</v>
      </c>
      <c r="T221" s="7">
        <v>0.7062533811994426</v>
      </c>
    </row>
    <row x14ac:dyDescent="0.25" r="222" customHeight="1" ht="19.5">
      <c r="A222" s="2" t="s">
        <v>253</v>
      </c>
      <c r="B222" s="2" t="s">
        <v>30</v>
      </c>
      <c r="C222" s="2" t="s">
        <v>31</v>
      </c>
      <c r="D222" s="2" t="s">
        <v>245</v>
      </c>
      <c r="E222" s="6">
        <v>1</v>
      </c>
      <c r="F222" s="6">
        <v>0</v>
      </c>
      <c r="G222" s="7">
        <v>0.577850341796875</v>
      </c>
      <c r="H222" s="7">
        <v>42.653771875</v>
      </c>
      <c r="I222" s="7">
        <v>26.65715886590973</v>
      </c>
      <c r="J222" s="7">
        <v>8.646080675738617</v>
      </c>
      <c r="K222" s="7">
        <v>5.101377391127226</v>
      </c>
      <c r="L222" s="7">
        <v>0.8233759936985993</v>
      </c>
      <c r="M222" s="7">
        <v>0.7542921456534171</v>
      </c>
      <c r="N222" s="7">
        <v>0.3008047743780405</v>
      </c>
      <c r="O222" s="7">
        <v>0.0455423843571209</v>
      </c>
      <c r="P222" s="7">
        <v>9.404562347244791</v>
      </c>
      <c r="Q222" s="7">
        <v>0.0145340975039555</v>
      </c>
      <c r="R222" s="7">
        <v>0.04505688493327</v>
      </c>
      <c r="S222" s="7">
        <v>0.0688835095567999</v>
      </c>
      <c r="T222" s="7">
        <v>0.7195091004742414</v>
      </c>
    </row>
    <row x14ac:dyDescent="0.25" r="223" customHeight="1" ht="19.5">
      <c r="A223" s="2" t="s">
        <v>254</v>
      </c>
      <c r="B223" s="2" t="s">
        <v>30</v>
      </c>
      <c r="C223" s="2" t="s">
        <v>31</v>
      </c>
      <c r="D223" s="2" t="s">
        <v>245</v>
      </c>
      <c r="E223" s="6">
        <v>1</v>
      </c>
      <c r="F223" s="6">
        <v>0</v>
      </c>
      <c r="G223" s="7">
        <v>0.59613037109375</v>
      </c>
      <c r="H223" s="7">
        <v>42.56718984375</v>
      </c>
      <c r="I223" s="7">
        <v>26.5394595668464</v>
      </c>
      <c r="J223" s="7">
        <v>8.539261075818949</v>
      </c>
      <c r="K223" s="7">
        <v>5.17081734410962</v>
      </c>
      <c r="L223" s="7">
        <v>0.8131096541881173</v>
      </c>
      <c r="M223" s="7">
        <v>0.7594526371741059</v>
      </c>
      <c r="N223" s="7">
        <v>0.3027895073667571</v>
      </c>
      <c r="O223" s="7">
        <v>0.0455784247818411</v>
      </c>
      <c r="P223" s="7">
        <v>9.403782735137092</v>
      </c>
      <c r="Q223" s="7">
        <v>0.0150593900036263</v>
      </c>
      <c r="R223" s="7">
        <v>0.04611307456668</v>
      </c>
      <c r="S223" s="7">
        <v>0.0688655249414604</v>
      </c>
      <c r="T223" s="7">
        <v>0.7440003520669978</v>
      </c>
    </row>
    <row x14ac:dyDescent="0.25" r="224" customHeight="1" ht="19.5">
      <c r="A224" s="2" t="s">
        <v>255</v>
      </c>
      <c r="B224" s="2" t="s">
        <v>30</v>
      </c>
      <c r="C224" s="2" t="s">
        <v>31</v>
      </c>
      <c r="D224" s="2" t="s">
        <v>245</v>
      </c>
      <c r="E224" s="6">
        <v>1</v>
      </c>
      <c r="F224" s="6">
        <v>0</v>
      </c>
      <c r="G224" s="7">
        <v>0.6167530417442322</v>
      </c>
      <c r="H224" s="7">
        <v>44.61745234375</v>
      </c>
      <c r="I224" s="7">
        <v>27.44658063279832</v>
      </c>
      <c r="J224" s="7">
        <v>9.05498717144967</v>
      </c>
      <c r="K224" s="7">
        <v>5.110890896154359</v>
      </c>
      <c r="L224" s="7">
        <v>0.8404998026105478</v>
      </c>
      <c r="M224" s="7">
        <v>0.7442830681534687</v>
      </c>
      <c r="N224" s="7">
        <v>0.3034191774981218</v>
      </c>
      <c r="O224" s="7">
        <v>0.0452898709653094</v>
      </c>
      <c r="P224" s="7">
        <v>9.420121074899964</v>
      </c>
      <c r="Q224" s="7">
        <v>0.0131697702363954</v>
      </c>
      <c r="R224" s="7">
        <v>0.0435285116024706</v>
      </c>
      <c r="S224" s="7">
        <v>0.0675604765137843</v>
      </c>
      <c r="T224" s="7">
        <v>0.6819833104704514</v>
      </c>
    </row>
    <row x14ac:dyDescent="0.25" r="225" customHeight="1" ht="19.5">
      <c r="A225" s="2" t="s">
        <v>256</v>
      </c>
      <c r="B225" s="2" t="s">
        <v>30</v>
      </c>
      <c r="C225" s="2" t="s">
        <v>31</v>
      </c>
      <c r="D225" s="2" t="s">
        <v>245</v>
      </c>
      <c r="E225" s="6">
        <v>1</v>
      </c>
      <c r="F225" s="6">
        <v>2</v>
      </c>
      <c r="G225" s="7">
        <v>0.5638930201530457</v>
      </c>
      <c r="H225" s="7">
        <v>47.37422421875</v>
      </c>
      <c r="I225" s="7">
        <v>28.60929430403256</v>
      </c>
      <c r="J225" s="7">
        <v>9.538707147535495</v>
      </c>
      <c r="K225" s="7">
        <v>5.050665096213208</v>
      </c>
      <c r="L225" s="7">
        <v>0.8588527185784577</v>
      </c>
      <c r="M225" s="7">
        <v>0.7273403556025272</v>
      </c>
      <c r="N225" s="7">
        <v>0.3056372102574397</v>
      </c>
      <c r="O225" s="7">
        <v>0.0446383177016285</v>
      </c>
      <c r="P225" s="7">
        <v>9.44620643393984</v>
      </c>
      <c r="Q225" s="7">
        <v>0.0158751257239426</v>
      </c>
      <c r="R225" s="7">
        <v>0.0472438124208766</v>
      </c>
      <c r="S225" s="7">
        <v>0.0707552222953006</v>
      </c>
      <c r="T225" s="7">
        <v>0.8728709995979622</v>
      </c>
    </row>
    <row x14ac:dyDescent="0.25" r="226" customHeight="1" ht="19.5">
      <c r="A226" s="2" t="s">
        <v>257</v>
      </c>
      <c r="B226" s="2" t="s">
        <v>30</v>
      </c>
      <c r="C226" s="2" t="s">
        <v>31</v>
      </c>
      <c r="D226" s="2" t="s">
        <v>245</v>
      </c>
      <c r="E226" s="6">
        <v>1</v>
      </c>
      <c r="F226" s="6">
        <v>0</v>
      </c>
      <c r="G226" s="7">
        <v>0.5754139423370361</v>
      </c>
      <c r="H226" s="7">
        <v>44.24688125</v>
      </c>
      <c r="I226" s="7">
        <v>27.21118203467164</v>
      </c>
      <c r="J226" s="7">
        <v>8.894342793658268</v>
      </c>
      <c r="K226" s="7">
        <v>5.186109364376683</v>
      </c>
      <c r="L226" s="7">
        <v>0.8291457227458016</v>
      </c>
      <c r="M226" s="7">
        <v>0.7509269889681879</v>
      </c>
      <c r="N226" s="7">
        <v>0.3036447599143361</v>
      </c>
      <c r="O226" s="7">
        <v>0.0455007864568655</v>
      </c>
      <c r="P226" s="7">
        <v>9.415114435331946</v>
      </c>
      <c r="Q226" s="7">
        <v>0.013900545120331</v>
      </c>
      <c r="R226" s="7">
        <v>0.0442115455199288</v>
      </c>
      <c r="S226" s="7">
        <v>0.0704994746549133</v>
      </c>
      <c r="T226" s="7">
        <v>0.7138472266977656</v>
      </c>
    </row>
    <row x14ac:dyDescent="0.25" r="227" customHeight="1" ht="19.5">
      <c r="A227" s="2" t="s">
        <v>258</v>
      </c>
      <c r="B227" s="2" t="s">
        <v>30</v>
      </c>
      <c r="C227" s="2" t="s">
        <v>31</v>
      </c>
      <c r="D227" s="2" t="s">
        <v>245</v>
      </c>
      <c r="E227" s="6">
        <v>1</v>
      </c>
      <c r="F227" s="6">
        <v>0</v>
      </c>
      <c r="G227" s="7">
        <v>0.5829148292541504</v>
      </c>
      <c r="H227" s="7">
        <v>43.8867</v>
      </c>
      <c r="I227" s="7">
        <v>27.09348273560832</v>
      </c>
      <c r="J227" s="7">
        <v>8.852545952360071</v>
      </c>
      <c r="K227" s="7">
        <v>5.208465107857313</v>
      </c>
      <c r="L227" s="7">
        <v>0.8266671399592254</v>
      </c>
      <c r="M227" s="7">
        <v>0.751299534550872</v>
      </c>
      <c r="N227" s="7">
        <v>0.3060919225332636</v>
      </c>
      <c r="O227" s="7">
        <v>0.0459665132634942</v>
      </c>
      <c r="P227" s="7">
        <v>9.39928248340992</v>
      </c>
      <c r="Q227" s="7">
        <v>0.012739958950995</v>
      </c>
      <c r="R227" s="7">
        <v>0.042330149300488</v>
      </c>
      <c r="S227" s="7">
        <v>0.0670556954338008</v>
      </c>
      <c r="T227" s="7">
        <v>0.6489208593498292</v>
      </c>
    </row>
    <row x14ac:dyDescent="0.25" r="228" customHeight="1" ht="19.5">
      <c r="A228" s="2" t="s">
        <v>259</v>
      </c>
      <c r="B228" s="2" t="s">
        <v>30</v>
      </c>
      <c r="C228" s="2" t="s">
        <v>31</v>
      </c>
      <c r="D228" s="2" t="s">
        <v>245</v>
      </c>
      <c r="E228" s="6">
        <v>1</v>
      </c>
      <c r="F228" s="6">
        <v>2</v>
      </c>
      <c r="G228" s="7">
        <v>0.5770916938781738</v>
      </c>
      <c r="H228" s="7">
        <v>46.892828125</v>
      </c>
      <c r="I228" s="7">
        <v>28.29903436503983</v>
      </c>
      <c r="J228" s="7">
        <v>9.51005843262702</v>
      </c>
      <c r="K228" s="7">
        <v>5.096517170696686</v>
      </c>
      <c r="L228" s="7">
        <v>0.8572933994694951</v>
      </c>
      <c r="M228" s="7">
        <v>0.7358224887576666</v>
      </c>
      <c r="N228" s="7">
        <v>0.3107791229319589</v>
      </c>
      <c r="O228" s="7">
        <v>0.0451693097194742</v>
      </c>
      <c r="P228" s="7">
        <v>9.418836283975276</v>
      </c>
      <c r="Q228" s="7">
        <v>0.0139655736758245</v>
      </c>
      <c r="R228" s="7">
        <v>0.0443360350896917</v>
      </c>
      <c r="S228" s="7">
        <v>0.0670892113972659</v>
      </c>
      <c r="T228" s="7">
        <v>0.7600741917544491</v>
      </c>
    </row>
    <row x14ac:dyDescent="0.25" r="229" customHeight="1" ht="19.5">
      <c r="A229" s="2" t="s">
        <v>260</v>
      </c>
      <c r="B229" s="2" t="s">
        <v>30</v>
      </c>
      <c r="C229" s="2" t="s">
        <v>31</v>
      </c>
      <c r="D229" s="2" t="s">
        <v>245</v>
      </c>
      <c r="E229" s="6">
        <v>1</v>
      </c>
      <c r="F229" s="6">
        <v>0</v>
      </c>
      <c r="G229" s="7">
        <v>0.5683597922325134</v>
      </c>
      <c r="H229" s="7">
        <v>42.92737109375</v>
      </c>
      <c r="I229" s="7">
        <v>26.77485816497306</v>
      </c>
      <c r="J229" s="7">
        <v>8.70616768761258</v>
      </c>
      <c r="K229" s="7">
        <v>5.104442501773296</v>
      </c>
      <c r="L229" s="7">
        <v>0.8260363898219579</v>
      </c>
      <c r="M229" s="7">
        <v>0.7524710553385905</v>
      </c>
      <c r="N229" s="7">
        <v>0.3016772863245224</v>
      </c>
      <c r="O229" s="7">
        <v>0.0455933186464108</v>
      </c>
      <c r="P229" s="7">
        <v>9.401910862500252</v>
      </c>
      <c r="Q229" s="7">
        <v>0.0161845703974168</v>
      </c>
      <c r="R229" s="7">
        <v>0.0481715962041185</v>
      </c>
      <c r="S229" s="7">
        <v>0.0694708243182424</v>
      </c>
      <c r="T229" s="7">
        <v>0.8063549360832653</v>
      </c>
    </row>
    <row x14ac:dyDescent="0.25" r="230" customHeight="1" ht="19.5">
      <c r="A230" s="2" t="s">
        <v>261</v>
      </c>
      <c r="B230" s="2" t="s">
        <v>30</v>
      </c>
      <c r="C230" s="2" t="s">
        <v>31</v>
      </c>
      <c r="D230" s="2" t="s">
        <v>245</v>
      </c>
      <c r="E230" s="6">
        <v>1</v>
      </c>
      <c r="F230" s="6">
        <v>0</v>
      </c>
      <c r="G230" s="7">
        <v>0.554121196269989</v>
      </c>
      <c r="H230" s="7">
        <v>43.50920234375</v>
      </c>
      <c r="I230" s="7">
        <v>26.96150411714589</v>
      </c>
      <c r="J230" s="7">
        <v>8.693349457963185</v>
      </c>
      <c r="K230" s="7">
        <v>5.145661100418814</v>
      </c>
      <c r="L230" s="7">
        <v>0.8213132185672211</v>
      </c>
      <c r="M230" s="7">
        <v>0.7521470420216722</v>
      </c>
      <c r="N230" s="7">
        <v>0.2995114391468681</v>
      </c>
      <c r="O230" s="7">
        <v>0.0452635901362848</v>
      </c>
      <c r="P230" s="7">
        <v>9.41900928040142</v>
      </c>
      <c r="Q230" s="7">
        <v>0.015431663926524</v>
      </c>
      <c r="R230" s="7">
        <v>0.0468843062228013</v>
      </c>
      <c r="S230" s="7">
        <v>0.0702619171460413</v>
      </c>
      <c r="T230" s="7">
        <v>0.7792640801654469</v>
      </c>
    </row>
    <row x14ac:dyDescent="0.25" r="231" customHeight="1" ht="19.5">
      <c r="A231" s="2" t="s">
        <v>262</v>
      </c>
      <c r="B231" s="2" t="s">
        <v>30</v>
      </c>
      <c r="C231" s="2" t="s">
        <v>31</v>
      </c>
      <c r="D231" s="2" t="s">
        <v>245</v>
      </c>
      <c r="E231" s="6">
        <v>1</v>
      </c>
      <c r="F231" s="6">
        <v>0</v>
      </c>
      <c r="G231" s="7">
        <v>0.5865956544876099</v>
      </c>
      <c r="H231" s="7">
        <v>41.96457890625</v>
      </c>
      <c r="I231" s="7">
        <v>26.26958764216498</v>
      </c>
      <c r="J231" s="7">
        <v>8.422046325940546</v>
      </c>
      <c r="K231" s="7">
        <v>5.170038504136427</v>
      </c>
      <c r="L231" s="7">
        <v>0.8072365824492632</v>
      </c>
      <c r="M231" s="7">
        <v>0.7641633809419176</v>
      </c>
      <c r="N231" s="7">
        <v>0.3017709898646696</v>
      </c>
      <c r="O231" s="7">
        <v>0.0459919717683367</v>
      </c>
      <c r="P231" s="7">
        <v>9.392303074314349</v>
      </c>
      <c r="Q231" s="7">
        <v>0.0156780662540311</v>
      </c>
      <c r="R231" s="7">
        <v>0.0466086402648891</v>
      </c>
      <c r="S231" s="7">
        <v>0.0713375317332999</v>
      </c>
      <c r="T231" s="7">
        <v>0.763600396112547</v>
      </c>
    </row>
    <row x14ac:dyDescent="0.25" r="232" customHeight="1" ht="19.5">
      <c r="A232" s="2" t="s">
        <v>263</v>
      </c>
      <c r="B232" s="2" t="s">
        <v>30</v>
      </c>
      <c r="C232" s="2" t="s">
        <v>31</v>
      </c>
      <c r="D232" s="2" t="s">
        <v>245</v>
      </c>
      <c r="E232" s="6">
        <v>1</v>
      </c>
      <c r="F232" s="6">
        <v>2</v>
      </c>
      <c r="G232" s="7">
        <v>0.5483967065811157</v>
      </c>
      <c r="H232" s="7">
        <v>47.24261953125</v>
      </c>
      <c r="I232" s="7">
        <v>28.50587432436832</v>
      </c>
      <c r="J232" s="7">
        <v>9.559027702635571</v>
      </c>
      <c r="K232" s="7">
        <v>5.085017867935813</v>
      </c>
      <c r="L232" s="7">
        <v>0.8589681224316129</v>
      </c>
      <c r="M232" s="7">
        <v>0.7305923196609401</v>
      </c>
      <c r="N232" s="7">
        <v>0.3068378932787265</v>
      </c>
      <c r="O232" s="7">
        <v>0.0445784877225377</v>
      </c>
      <c r="P232" s="7">
        <v>9.441286683284766</v>
      </c>
      <c r="Q232" s="7">
        <v>0.0153458659534846</v>
      </c>
      <c r="R232" s="7">
        <v>0.0470946230633559</v>
      </c>
      <c r="S232" s="7">
        <v>0.0722027164048511</v>
      </c>
      <c r="T232" s="7">
        <v>0.8414264328178076</v>
      </c>
    </row>
    <row x14ac:dyDescent="0.25" r="233" customHeight="1" ht="19.5">
      <c r="A233" s="2" t="s">
        <v>264</v>
      </c>
      <c r="B233" s="2" t="s">
        <v>30</v>
      </c>
      <c r="C233" s="2" t="s">
        <v>31</v>
      </c>
      <c r="D233" s="2" t="s">
        <v>245</v>
      </c>
      <c r="E233" s="6">
        <v>1</v>
      </c>
      <c r="F233" s="6">
        <v>2</v>
      </c>
      <c r="G233" s="7">
        <v>0.5487233400344849</v>
      </c>
      <c r="H233" s="7">
        <v>46.892828125</v>
      </c>
      <c r="I233" s="7">
        <v>28.31922837219549</v>
      </c>
      <c r="J233" s="7">
        <v>9.51220351503654</v>
      </c>
      <c r="K233" s="7">
        <v>5.10039939881915</v>
      </c>
      <c r="L233" s="7">
        <v>0.8573522118807436</v>
      </c>
      <c r="M233" s="7">
        <v>0.734773455466741</v>
      </c>
      <c r="N233" s="7">
        <v>0.3087076101696583</v>
      </c>
      <c r="O233" s="7">
        <v>0.0448968253345034</v>
      </c>
      <c r="P233" s="7">
        <v>9.42560649928576</v>
      </c>
      <c r="Q233" s="7">
        <v>0.0144238746523264</v>
      </c>
      <c r="R233" s="7">
        <v>0.0448137238914064</v>
      </c>
      <c r="S233" s="7">
        <v>0.0703706221065238</v>
      </c>
      <c r="T233" s="7">
        <v>0.7850171516629251</v>
      </c>
    </row>
    <row x14ac:dyDescent="0.25" r="234" customHeight="1" ht="19.5">
      <c r="A234" s="2" t="s">
        <v>265</v>
      </c>
      <c r="B234" s="2" t="s">
        <v>30</v>
      </c>
      <c r="C234" s="2" t="s">
        <v>31</v>
      </c>
      <c r="D234" s="2" t="s">
        <v>245</v>
      </c>
      <c r="E234" s="6">
        <v>1</v>
      </c>
      <c r="F234" s="6">
        <v>2</v>
      </c>
      <c r="G234" s="7">
        <v>0.5611603260040283</v>
      </c>
      <c r="H234" s="7">
        <v>46.6088390625</v>
      </c>
      <c r="I234" s="7">
        <v>28.35370169875024</v>
      </c>
      <c r="J234" s="7">
        <v>9.570535879628268</v>
      </c>
      <c r="K234" s="7">
        <v>5.041186722061253</v>
      </c>
      <c r="L234" s="7">
        <v>0.8626749754719538</v>
      </c>
      <c r="M234" s="7">
        <v>0.7285487505523819</v>
      </c>
      <c r="N234" s="7">
        <v>0.306014943832878</v>
      </c>
      <c r="O234" s="7">
        <v>0.0449493910728861</v>
      </c>
      <c r="P234" s="7">
        <v>9.424683532388626</v>
      </c>
      <c r="Q234" s="7">
        <v>0.0141684649730637</v>
      </c>
      <c r="R234" s="7">
        <v>0.0445112721109367</v>
      </c>
      <c r="S234" s="7">
        <v>0.0683915644814193</v>
      </c>
      <c r="T234" s="7">
        <v>0.7664465374163354</v>
      </c>
    </row>
    <row x14ac:dyDescent="0.25" r="235" customHeight="1" ht="19.5">
      <c r="A235" s="2" t="s">
        <v>266</v>
      </c>
      <c r="B235" s="2" t="s">
        <v>30</v>
      </c>
      <c r="C235" s="2" t="s">
        <v>31</v>
      </c>
      <c r="D235" s="2" t="s">
        <v>245</v>
      </c>
      <c r="E235" s="6">
        <v>1</v>
      </c>
      <c r="F235" s="6">
        <v>0</v>
      </c>
      <c r="G235" s="7">
        <v>0.6127137541770935</v>
      </c>
      <c r="H235" s="7">
        <v>42.98278359375</v>
      </c>
      <c r="I235" s="7">
        <v>26.89255746403639</v>
      </c>
      <c r="J235" s="7">
        <v>8.684027444258318</v>
      </c>
      <c r="K235" s="7">
        <v>5.073687907555463</v>
      </c>
      <c r="L235" s="7">
        <v>0.8260410112543756</v>
      </c>
      <c r="M235" s="7">
        <v>0.7468617031713193</v>
      </c>
      <c r="N235" s="7">
        <v>0.3044813927205168</v>
      </c>
      <c r="O235" s="7">
        <v>0.0456757462678224</v>
      </c>
      <c r="P235" s="7">
        <v>9.396013742332668</v>
      </c>
      <c r="Q235" s="7">
        <v>0.012497868154374</v>
      </c>
      <c r="R235" s="7">
        <v>0.0416657516663287</v>
      </c>
      <c r="S235" s="7">
        <v>0.0656824147817121</v>
      </c>
      <c r="T235" s="7">
        <v>0.6234781758898115</v>
      </c>
    </row>
    <row x14ac:dyDescent="0.25" r="236" customHeight="1" ht="19.5">
      <c r="A236" s="2" t="s">
        <v>267</v>
      </c>
      <c r="B236" s="2" t="s">
        <v>30</v>
      </c>
      <c r="C236" s="2" t="s">
        <v>31</v>
      </c>
      <c r="D236" s="2" t="s">
        <v>245</v>
      </c>
      <c r="E236" s="6">
        <v>1</v>
      </c>
      <c r="F236" s="6">
        <v>0</v>
      </c>
      <c r="G236" s="7">
        <v>0.5789057612419128</v>
      </c>
      <c r="H236" s="7">
        <v>43.48842265625</v>
      </c>
      <c r="I236" s="7">
        <v>27.01025676309973</v>
      </c>
      <c r="J236" s="7">
        <v>8.820095566639333</v>
      </c>
      <c r="K236" s="7">
        <v>5.104062456511484</v>
      </c>
      <c r="L236" s="7">
        <v>0.8311651821023652</v>
      </c>
      <c r="M236" s="7">
        <v>0.7490763654212973</v>
      </c>
      <c r="N236" s="7">
        <v>0.317383727164421</v>
      </c>
      <c r="O236" s="7">
        <v>0.0471877668642519</v>
      </c>
      <c r="P236" s="7">
        <v>9.321181537205584</v>
      </c>
      <c r="Q236" s="7">
        <v>0.0141871357949309</v>
      </c>
      <c r="R236" s="7">
        <v>0.0435771692545025</v>
      </c>
      <c r="S236" s="7">
        <v>0.0647569385195463</v>
      </c>
      <c r="T236" s="7">
        <v>0.716076071723873</v>
      </c>
    </row>
    <row x14ac:dyDescent="0.25" r="237" customHeight="1" ht="19.5">
      <c r="A237" s="2" t="s">
        <v>268</v>
      </c>
      <c r="B237" s="2" t="s">
        <v>30</v>
      </c>
      <c r="C237" s="2" t="s">
        <v>31</v>
      </c>
      <c r="D237" s="2" t="s">
        <v>245</v>
      </c>
      <c r="E237" s="6">
        <v>1</v>
      </c>
      <c r="F237" s="6">
        <v>2</v>
      </c>
      <c r="G237" s="7">
        <v>0.4454401433467865</v>
      </c>
      <c r="H237" s="7">
        <v>36.9601375</v>
      </c>
      <c r="I237" s="7">
        <v>24.24605560704669</v>
      </c>
      <c r="J237" s="7">
        <v>6.684375000000001</v>
      </c>
      <c r="K237" s="7">
        <v>5.422083333333333</v>
      </c>
      <c r="L237" s="7">
        <v>0.6091095901015048</v>
      </c>
      <c r="M237" s="7">
        <v>0.7900621359013636</v>
      </c>
      <c r="N237" s="7">
        <v>0.5015050872092125</v>
      </c>
      <c r="O237" s="7">
        <v>0.0695386066643899</v>
      </c>
      <c r="P237" s="7">
        <v>8.185127331631609</v>
      </c>
      <c r="Q237" s="7">
        <v>0.0033429796083652</v>
      </c>
      <c r="R237" s="7">
        <v>0.0159114388985444</v>
      </c>
      <c r="S237" s="7">
        <v>0.0385504806316373</v>
      </c>
      <c r="T237" s="7">
        <v>0.1434029500967917</v>
      </c>
    </row>
    <row x14ac:dyDescent="0.25" r="238" customHeight="1" ht="19.5">
      <c r="A238" s="2" t="s">
        <v>269</v>
      </c>
      <c r="B238" s="2" t="s">
        <v>30</v>
      </c>
      <c r="C238" s="2" t="s">
        <v>31</v>
      </c>
      <c r="D238" s="2" t="s">
        <v>245</v>
      </c>
      <c r="E238" s="6">
        <v>1</v>
      </c>
      <c r="F238" s="6">
        <v>0</v>
      </c>
      <c r="G238" s="7">
        <v>0.6145044565200806</v>
      </c>
      <c r="H238" s="7">
        <v>59.68965234375001</v>
      </c>
      <c r="I238" s="7">
        <v>33.58755853516403</v>
      </c>
      <c r="J238" s="7">
        <v>9.603262048705034</v>
      </c>
      <c r="K238" s="7">
        <v>8.369582761543585</v>
      </c>
      <c r="L238" s="7">
        <v>0.5692917790120717</v>
      </c>
      <c r="M238" s="7">
        <v>0.6648934287794954</v>
      </c>
      <c r="N238" s="7">
        <v>0.5795893643474158</v>
      </c>
      <c r="O238" s="7">
        <v>0.0982746255681889</v>
      </c>
      <c r="P238" s="7">
        <v>7.925685814320836</v>
      </c>
      <c r="Q238" s="7">
        <v>0.0041191819816923</v>
      </c>
      <c r="R238" s="7">
        <v>0.0255456564895607</v>
      </c>
      <c r="S238" s="7">
        <v>0.0617622060136757</v>
      </c>
      <c r="T238" s="7">
        <v>0.2853650674957634</v>
      </c>
    </row>
    <row x14ac:dyDescent="0.25" r="239" customHeight="1" ht="19.5">
      <c r="A239" s="2" t="s">
        <v>270</v>
      </c>
      <c r="B239" s="2" t="s">
        <v>30</v>
      </c>
      <c r="C239" s="2" t="s">
        <v>31</v>
      </c>
      <c r="D239" s="2" t="s">
        <v>245</v>
      </c>
      <c r="E239" s="6">
        <v>1</v>
      </c>
      <c r="F239" s="6">
        <v>0</v>
      </c>
      <c r="G239" s="7">
        <v>0.718242347240448</v>
      </c>
      <c r="H239" s="7">
        <v>60.90180078125</v>
      </c>
      <c r="I239" s="7">
        <v>34.58627020526707</v>
      </c>
      <c r="J239" s="7">
        <v>9.88349990256024</v>
      </c>
      <c r="K239" s="7">
        <v>7.839136450578116</v>
      </c>
      <c r="L239" s="7">
        <v>0.6634749578834372</v>
      </c>
      <c r="M239" s="7">
        <v>0.6397827674257668</v>
      </c>
      <c r="N239" s="7">
        <v>0.466084071108254</v>
      </c>
      <c r="O239" s="7">
        <v>0.097882331981202</v>
      </c>
      <c r="P239" s="7">
        <v>8.463173003093875</v>
      </c>
      <c r="Q239" s="7">
        <v>0.0015388571449115</v>
      </c>
      <c r="R239" s="7">
        <v>0.0125063815054411</v>
      </c>
      <c r="S239" s="7">
        <v>0.0591358432141156</v>
      </c>
      <c r="T239" s="7">
        <v>0.1087725273779283</v>
      </c>
    </row>
    <row x14ac:dyDescent="0.25" r="240" customHeight="1" ht="19.5">
      <c r="A240" s="2" t="s">
        <v>271</v>
      </c>
      <c r="B240" s="2" t="s">
        <v>30</v>
      </c>
      <c r="C240" s="2" t="s">
        <v>31</v>
      </c>
      <c r="D240" s="2" t="s">
        <v>245</v>
      </c>
      <c r="E240" s="6">
        <v>1</v>
      </c>
      <c r="F240" s="6">
        <v>0</v>
      </c>
      <c r="G240" s="7">
        <v>0.660870373249054</v>
      </c>
      <c r="H240" s="7">
        <v>60.88794765625001</v>
      </c>
      <c r="I240" s="7">
        <v>35.10862877733555</v>
      </c>
      <c r="J240" s="7">
        <v>9.661899371440564</v>
      </c>
      <c r="K240" s="7">
        <v>7.683404600376298</v>
      </c>
      <c r="L240" s="7">
        <v>0.641207899800927</v>
      </c>
      <c r="M240" s="7">
        <v>0.6207453345299419</v>
      </c>
      <c r="N240" s="7">
        <v>0.4218583693941697</v>
      </c>
      <c r="O240" s="7">
        <v>0.1306958823891127</v>
      </c>
      <c r="P240" s="7">
        <v>8.516683088581098</v>
      </c>
      <c r="Q240" s="7">
        <v>0.0059913444678319</v>
      </c>
      <c r="R240" s="7">
        <v>0.0335357730862225</v>
      </c>
      <c r="S240" s="7">
        <v>0.0832534585699256</v>
      </c>
      <c r="T240" s="7">
        <v>0.423395663315839</v>
      </c>
    </row>
    <row x14ac:dyDescent="0.25" r="241" customHeight="1" ht="19.5">
      <c r="A241" s="2" t="s">
        <v>272</v>
      </c>
      <c r="B241" s="2" t="s">
        <v>30</v>
      </c>
      <c r="C241" s="2" t="s">
        <v>31</v>
      </c>
      <c r="D241" s="2" t="s">
        <v>245</v>
      </c>
      <c r="E241" s="6">
        <v>1</v>
      </c>
      <c r="F241" s="6">
        <v>0</v>
      </c>
      <c r="G241" s="7">
        <v>0.7155646681785583</v>
      </c>
      <c r="H241" s="7">
        <v>50.14484921875</v>
      </c>
      <c r="I241" s="7">
        <v>31.32898668789441</v>
      </c>
      <c r="J241" s="7">
        <v>8.711782860688388</v>
      </c>
      <c r="K241" s="7">
        <v>6.830398528673877</v>
      </c>
      <c r="L241" s="7">
        <v>0.6821174175921975</v>
      </c>
      <c r="M241" s="7">
        <v>0.6408596554836252</v>
      </c>
      <c r="N241" s="7">
        <v>0.3853071609731482</v>
      </c>
      <c r="O241" s="7">
        <v>0.1340317438621225</v>
      </c>
      <c r="P241" s="7">
        <v>8.696055604595712</v>
      </c>
      <c r="Q241" s="7">
        <v>0.0097420979409055</v>
      </c>
      <c r="R241" s="7">
        <v>0.0430692991797616</v>
      </c>
      <c r="S241" s="7">
        <v>0.0842572446148475</v>
      </c>
      <c r="T241" s="7">
        <v>0.5669824303822655</v>
      </c>
    </row>
    <row x14ac:dyDescent="0.25" r="242" customHeight="1" ht="19.5">
      <c r="A242" s="2" t="s">
        <v>273</v>
      </c>
      <c r="B242" s="2" t="s">
        <v>30</v>
      </c>
      <c r="C242" s="2" t="s">
        <v>31</v>
      </c>
      <c r="D242" s="2" t="s">
        <v>245</v>
      </c>
      <c r="E242" s="6">
        <v>1</v>
      </c>
      <c r="F242" s="6">
        <v>0</v>
      </c>
      <c r="G242" s="7">
        <v>0.7586524486541748</v>
      </c>
      <c r="H242" s="7">
        <v>46.50147734375</v>
      </c>
      <c r="I242" s="7">
        <v>29.0839765880732</v>
      </c>
      <c r="J242" s="7">
        <v>8.228360851913529</v>
      </c>
      <c r="K242" s="7">
        <v>6.470118551196535</v>
      </c>
      <c r="L242" s="7">
        <v>0.6863938885664755</v>
      </c>
      <c r="M242" s="7">
        <v>0.6899519251399514</v>
      </c>
      <c r="N242" s="7">
        <v>0.3404665268575777</v>
      </c>
      <c r="O242" s="7">
        <v>0.1139153054605304</v>
      </c>
      <c r="P242" s="7">
        <v>9.073340187965377</v>
      </c>
      <c r="Q242" s="7">
        <v>0.0126508786788112</v>
      </c>
      <c r="R242" s="7">
        <v>0.052923341736901</v>
      </c>
      <c r="S242" s="7">
        <v>0.0990621078367038</v>
      </c>
      <c r="T242" s="7">
        <v>0.6827759599716331</v>
      </c>
    </row>
    <row x14ac:dyDescent="0.25" r="243" customHeight="1" ht="19.5">
      <c r="A243" s="2" t="s">
        <v>274</v>
      </c>
      <c r="B243" s="2" t="s">
        <v>30</v>
      </c>
      <c r="C243" s="2" t="s">
        <v>31</v>
      </c>
      <c r="D243" s="2" t="s">
        <v>245</v>
      </c>
      <c r="E243" s="6">
        <v>1</v>
      </c>
      <c r="F243" s="6">
        <v>0</v>
      </c>
      <c r="G243" s="7">
        <v>0.7637404203414917</v>
      </c>
      <c r="H243" s="7">
        <v>47.10408828125</v>
      </c>
      <c r="I243" s="7">
        <v>29.12054107253858</v>
      </c>
      <c r="J243" s="7">
        <v>8.347260109974941</v>
      </c>
      <c r="K243" s="7">
        <v>6.445824223158561</v>
      </c>
      <c r="L243" s="7">
        <v>0.6936737767050483</v>
      </c>
      <c r="M243" s="7">
        <v>0.6980227639547426</v>
      </c>
      <c r="N243" s="7">
        <v>0.3321744495041832</v>
      </c>
      <c r="O243" s="7">
        <v>0.1145627128180905</v>
      </c>
      <c r="P243" s="7">
        <v>9.150248238339888</v>
      </c>
      <c r="Q243" s="7">
        <v>0.0124427248799127</v>
      </c>
      <c r="R243" s="7">
        <v>0.0523962024434749</v>
      </c>
      <c r="S243" s="7">
        <v>0.0956350287310132</v>
      </c>
      <c r="T243" s="7">
        <v>0.6802442522995934</v>
      </c>
    </row>
    <row x14ac:dyDescent="0.25" r="244" customHeight="1" ht="19.5">
      <c r="A244" s="2" t="s">
        <v>275</v>
      </c>
      <c r="B244" s="2" t="s">
        <v>30</v>
      </c>
      <c r="C244" s="2" t="s">
        <v>31</v>
      </c>
      <c r="D244" s="2" t="s">
        <v>245</v>
      </c>
      <c r="E244" s="6">
        <v>1</v>
      </c>
      <c r="F244" s="6">
        <v>0</v>
      </c>
      <c r="G244" s="7">
        <v>0.7642767429351807</v>
      </c>
      <c r="H244" s="7">
        <v>46.5672796875</v>
      </c>
      <c r="I244" s="7">
        <v>29.43534211332792</v>
      </c>
      <c r="J244" s="7">
        <v>8.477789408143588</v>
      </c>
      <c r="K244" s="7">
        <v>6.431806547509136</v>
      </c>
      <c r="L244" s="7">
        <v>0.7020762773460134</v>
      </c>
      <c r="M244" s="7">
        <v>0.6753867823557106</v>
      </c>
      <c r="N244" s="7">
        <v>0.3328863716203504</v>
      </c>
      <c r="O244" s="7">
        <v>0.1169473380514161</v>
      </c>
      <c r="P244" s="7">
        <v>9.11134622256306</v>
      </c>
      <c r="Q244" s="7">
        <v>0.0137499482391524</v>
      </c>
      <c r="R244" s="7">
        <v>0.0555991550960726</v>
      </c>
      <c r="S244" s="7">
        <v>0.1005988463048951</v>
      </c>
      <c r="T244" s="7">
        <v>0.7431435485916146</v>
      </c>
    </row>
    <row x14ac:dyDescent="0.25" r="245" customHeight="1" ht="19.5">
      <c r="A245" s="2" t="s">
        <v>276</v>
      </c>
      <c r="B245" s="2" t="s">
        <v>30</v>
      </c>
      <c r="C245" s="2" t="s">
        <v>31</v>
      </c>
      <c r="D245" s="2" t="s">
        <v>245</v>
      </c>
      <c r="E245" s="6">
        <v>1</v>
      </c>
      <c r="F245" s="6">
        <v>0</v>
      </c>
      <c r="G245" s="7">
        <v>0.7680794596672058</v>
      </c>
      <c r="H245" s="7">
        <v>46.51879375</v>
      </c>
      <c r="I245" s="7">
        <v>28.0246828965032</v>
      </c>
      <c r="J245" s="7">
        <v>8.493085369572153</v>
      </c>
      <c r="K245" s="7">
        <v>6.357737114434771</v>
      </c>
      <c r="L245" s="7">
        <v>0.7123769550347617</v>
      </c>
      <c r="M245" s="7">
        <v>0.7443152110037876</v>
      </c>
      <c r="N245" s="7">
        <v>0.333960312490729</v>
      </c>
      <c r="O245" s="7">
        <v>0.1171381771869919</v>
      </c>
      <c r="P245" s="7">
        <v>9.108871354589034</v>
      </c>
      <c r="Q245" s="7">
        <v>0.013804730884723</v>
      </c>
      <c r="R245" s="7">
        <v>0.0564111439560481</v>
      </c>
      <c r="S245" s="7">
        <v>0.1025693564235118</v>
      </c>
      <c r="T245" s="7">
        <v>0.7453275413562157</v>
      </c>
    </row>
    <row x14ac:dyDescent="0.25" r="246" customHeight="1" ht="19.5">
      <c r="A246" s="2" t="s">
        <v>277</v>
      </c>
      <c r="B246" s="2" t="s">
        <v>30</v>
      </c>
      <c r="C246" s="2" t="s">
        <v>31</v>
      </c>
      <c r="D246" s="2" t="s">
        <v>245</v>
      </c>
      <c r="E246" s="6">
        <v>1</v>
      </c>
      <c r="F246" s="6">
        <v>0</v>
      </c>
      <c r="G246" s="7">
        <v>0.7723841667175293</v>
      </c>
      <c r="H246" s="7">
        <v>46.78546640625</v>
      </c>
      <c r="I246" s="7">
        <v>28.62536755330833</v>
      </c>
      <c r="J246" s="7">
        <v>8.33153898076165</v>
      </c>
      <c r="K246" s="7">
        <v>6.396803127103444</v>
      </c>
      <c r="L246" s="7">
        <v>0.702968444975503</v>
      </c>
      <c r="M246" s="7">
        <v>0.7166448800541273</v>
      </c>
      <c r="N246" s="7">
        <v>0.3326541902018461</v>
      </c>
      <c r="O246" s="7">
        <v>0.1141608800435391</v>
      </c>
      <c r="P246" s="7">
        <v>9.127622826670985</v>
      </c>
      <c r="Q246" s="7">
        <v>0.0135412741525614</v>
      </c>
      <c r="R246" s="7">
        <v>0.055077752879951</v>
      </c>
      <c r="S246" s="7">
        <v>0.1021452038884035</v>
      </c>
      <c r="T246" s="7">
        <v>0.7352944267077054</v>
      </c>
    </row>
    <row x14ac:dyDescent="0.25" r="247" customHeight="1" ht="19.5">
      <c r="A247" s="2" t="s">
        <v>278</v>
      </c>
      <c r="B247" s="2" t="s">
        <v>30</v>
      </c>
      <c r="C247" s="2" t="s">
        <v>31</v>
      </c>
      <c r="D247" s="2" t="s">
        <v>245</v>
      </c>
      <c r="E247" s="6">
        <v>1</v>
      </c>
      <c r="F247" s="6">
        <v>0</v>
      </c>
      <c r="G247" s="7">
        <v>0.7663184404373169</v>
      </c>
      <c r="H247" s="7">
        <v>46.36294609375</v>
      </c>
      <c r="I247" s="7">
        <v>28.72496400312665</v>
      </c>
      <c r="J247" s="7">
        <v>8.293648388044087</v>
      </c>
      <c r="K247" s="7">
        <v>6.372766514809118</v>
      </c>
      <c r="L247" s="7">
        <v>0.6998247629139254</v>
      </c>
      <c r="M247" s="7">
        <v>0.7053545692683039</v>
      </c>
      <c r="N247" s="7">
        <v>0.3267037479621648</v>
      </c>
      <c r="O247" s="7">
        <v>0.106635894384396</v>
      </c>
      <c r="P247" s="7">
        <v>9.17076071440263</v>
      </c>
      <c r="Q247" s="7">
        <v>0.0140029239794436</v>
      </c>
      <c r="R247" s="7">
        <v>0.0558588794684129</v>
      </c>
      <c r="S247" s="7">
        <v>0.0998686134428263</v>
      </c>
      <c r="T247" s="7">
        <v>0.7534952800034009</v>
      </c>
    </row>
    <row x14ac:dyDescent="0.25" r="248" customHeight="1" ht="19.5">
      <c r="A248" s="2" t="s">
        <v>279</v>
      </c>
      <c r="B248" s="2" t="s">
        <v>30</v>
      </c>
      <c r="C248" s="2" t="s">
        <v>31</v>
      </c>
      <c r="D248" s="2" t="s">
        <v>245</v>
      </c>
      <c r="E248" s="6">
        <v>1</v>
      </c>
      <c r="F248" s="6">
        <v>0</v>
      </c>
      <c r="G248" s="7">
        <v>0.7654333114624023</v>
      </c>
      <c r="H248" s="7">
        <v>46.56381640625001</v>
      </c>
      <c r="I248" s="7">
        <v>28.12810287616745</v>
      </c>
      <c r="J248" s="7">
        <v>8.263399636803602</v>
      </c>
      <c r="K248" s="7">
        <v>6.378544269132082</v>
      </c>
      <c r="L248" s="7">
        <v>0.695589461185245</v>
      </c>
      <c r="M248" s="7">
        <v>0.7386869317714473</v>
      </c>
      <c r="N248" s="7">
        <v>0.3296373593504692</v>
      </c>
      <c r="O248" s="7">
        <v>0.1106912673372682</v>
      </c>
      <c r="P248" s="7">
        <v>9.15885315330331</v>
      </c>
      <c r="Q248" s="7">
        <v>0.0133123297051883</v>
      </c>
      <c r="R248" s="7">
        <v>0.054924495295993</v>
      </c>
      <c r="S248" s="7">
        <v>0.097044658200911</v>
      </c>
      <c r="T248" s="7">
        <v>0.7194380669163792</v>
      </c>
    </row>
    <row x14ac:dyDescent="0.25" r="249" customHeight="1" ht="19.5">
      <c r="A249" s="2" t="s">
        <v>280</v>
      </c>
      <c r="B249" s="2" t="s">
        <v>30</v>
      </c>
      <c r="C249" s="2" t="s">
        <v>31</v>
      </c>
      <c r="D249" s="2" t="s">
        <v>245</v>
      </c>
      <c r="E249" s="6">
        <v>1</v>
      </c>
      <c r="F249" s="6">
        <v>0</v>
      </c>
      <c r="G249" s="7">
        <v>0.7530664205551147</v>
      </c>
      <c r="H249" s="7">
        <v>47.2876421875</v>
      </c>
      <c r="I249" s="7">
        <v>29.54676793865934</v>
      </c>
      <c r="J249" s="7">
        <v>8.296780665435936</v>
      </c>
      <c r="K249" s="7">
        <v>6.425886854253825</v>
      </c>
      <c r="L249" s="7">
        <v>0.6907239000849443</v>
      </c>
      <c r="M249" s="7">
        <v>0.680671491942546</v>
      </c>
      <c r="N249" s="7">
        <v>0.3192617931927284</v>
      </c>
      <c r="O249" s="7">
        <v>0.098356190719562</v>
      </c>
      <c r="P249" s="7">
        <v>9.260845106190002</v>
      </c>
      <c r="Q249" s="7">
        <v>0.0133274022874687</v>
      </c>
      <c r="R249" s="7">
        <v>0.0547481164620287</v>
      </c>
      <c r="S249" s="7">
        <v>0.0985721678224122</v>
      </c>
      <c r="T249" s="7">
        <v>0.7314488262261446</v>
      </c>
    </row>
    <row x14ac:dyDescent="0.25" r="250" customHeight="1" ht="19.5">
      <c r="A250" s="2" t="s">
        <v>281</v>
      </c>
      <c r="B250" s="2" t="s">
        <v>30</v>
      </c>
      <c r="C250" s="2" t="s">
        <v>31</v>
      </c>
      <c r="D250" s="2" t="s">
        <v>245</v>
      </c>
      <c r="E250" s="6">
        <v>1</v>
      </c>
      <c r="F250" s="6">
        <v>0</v>
      </c>
      <c r="G250" s="7">
        <v>0.7611997127532959</v>
      </c>
      <c r="H250" s="7">
        <v>46.726590625</v>
      </c>
      <c r="I250" s="7">
        <v>28.0936295496127</v>
      </c>
      <c r="J250" s="7">
        <v>8.36889689189628</v>
      </c>
      <c r="K250" s="7">
        <v>6.393227552008515</v>
      </c>
      <c r="L250" s="7">
        <v>0.7028312225534002</v>
      </c>
      <c r="M250" s="7">
        <v>0.7435337161232997</v>
      </c>
      <c r="N250" s="7">
        <v>0.333192441298283</v>
      </c>
      <c r="O250" s="7">
        <v>0.1147994821435999</v>
      </c>
      <c r="P250" s="7">
        <v>9.11087743408233</v>
      </c>
      <c r="Q250" s="7">
        <v>0.0135300665190383</v>
      </c>
      <c r="R250" s="7">
        <v>0.0549033780360994</v>
      </c>
      <c r="S250" s="7">
        <v>0.0984342259438322</v>
      </c>
      <c r="T250" s="7">
        <v>0.7337613059293232</v>
      </c>
    </row>
    <row x14ac:dyDescent="0.25" r="251" customHeight="1" ht="19.5">
      <c r="A251" s="2" t="s">
        <v>282</v>
      </c>
      <c r="B251" s="2" t="s">
        <v>30</v>
      </c>
      <c r="C251" s="2" t="s">
        <v>31</v>
      </c>
      <c r="D251" s="2" t="s">
        <v>245</v>
      </c>
      <c r="E251" s="6">
        <v>1</v>
      </c>
      <c r="F251" s="6">
        <v>0</v>
      </c>
      <c r="G251" s="7">
        <v>0.7470762729644775</v>
      </c>
      <c r="H251" s="7">
        <v>47.14564765625001</v>
      </c>
      <c r="I251" s="7">
        <v>28.52158878766875</v>
      </c>
      <c r="J251" s="7">
        <v>8.332908197915746</v>
      </c>
      <c r="K251" s="7">
        <v>6.464328470374782</v>
      </c>
      <c r="L251" s="7">
        <v>0.6896774240689795</v>
      </c>
      <c r="M251" s="7">
        <v>0.7272194976559352</v>
      </c>
      <c r="N251" s="7">
        <v>0.3260879832339113</v>
      </c>
      <c r="O251" s="7">
        <v>0.1027848892125675</v>
      </c>
      <c r="P251" s="7">
        <v>9.183500729340055</v>
      </c>
      <c r="Q251" s="7">
        <v>0.0135745600062594</v>
      </c>
      <c r="R251" s="7">
        <v>0.0553565585090743</v>
      </c>
      <c r="S251" s="7">
        <v>0.102053294098102</v>
      </c>
      <c r="T251" s="7">
        <v>0.7427764877429811</v>
      </c>
    </row>
    <row x14ac:dyDescent="0.25" r="252" customHeight="1" ht="19.5">
      <c r="A252" s="2" t="s">
        <v>283</v>
      </c>
      <c r="B252" s="2" t="s">
        <v>30</v>
      </c>
      <c r="C252" s="2" t="s">
        <v>31</v>
      </c>
      <c r="D252" s="2" t="s">
        <v>245</v>
      </c>
      <c r="E252" s="6">
        <v>1</v>
      </c>
      <c r="F252" s="6">
        <v>0</v>
      </c>
      <c r="G252" s="7">
        <v>0.7611749768257141</v>
      </c>
      <c r="H252" s="7">
        <v>47.28071562500001</v>
      </c>
      <c r="I252" s="7">
        <v>28.69640536432846</v>
      </c>
      <c r="J252" s="7">
        <v>8.41535157217756</v>
      </c>
      <c r="K252" s="7">
        <v>6.379646479778081</v>
      </c>
      <c r="L252" s="7">
        <v>0.7104783640600048</v>
      </c>
      <c r="M252" s="7">
        <v>0.7208700776511048</v>
      </c>
      <c r="N252" s="7">
        <v>0.3230563836487599</v>
      </c>
      <c r="O252" s="7">
        <v>0.1039550374598606</v>
      </c>
      <c r="P252" s="7">
        <v>9.17501301357953</v>
      </c>
      <c r="Q252" s="7">
        <v>0.0137260500500538</v>
      </c>
      <c r="R252" s="7">
        <v>0.0550037640240317</v>
      </c>
      <c r="S252" s="7">
        <v>0.0961775151104639</v>
      </c>
      <c r="T252" s="7">
        <v>0.7532174961158397</v>
      </c>
    </row>
    <row x14ac:dyDescent="0.25" r="253" customHeight="1" ht="19.5">
      <c r="A253" s="2" t="s">
        <v>284</v>
      </c>
      <c r="B253" s="2" t="s">
        <v>30</v>
      </c>
      <c r="C253" s="2" t="s">
        <v>31</v>
      </c>
      <c r="D253" s="2" t="s">
        <v>245</v>
      </c>
      <c r="E253" s="6">
        <v>1</v>
      </c>
      <c r="F253" s="6">
        <v>0</v>
      </c>
      <c r="G253" s="7">
        <v>0.7617465853691101</v>
      </c>
      <c r="H253" s="7">
        <v>46.21748828125001</v>
      </c>
      <c r="I253" s="7">
        <v>28.46100676620179</v>
      </c>
      <c r="J253" s="7">
        <v>8.287815833102</v>
      </c>
      <c r="K253" s="7">
        <v>6.353638285480034</v>
      </c>
      <c r="L253" s="7">
        <v>0.6938669894199883</v>
      </c>
      <c r="M253" s="7">
        <v>0.716940545362145</v>
      </c>
      <c r="N253" s="7">
        <v>0.3271335249404414</v>
      </c>
      <c r="O253" s="7">
        <v>0.1048708721662702</v>
      </c>
      <c r="P253" s="7">
        <v>9.149785586474165</v>
      </c>
      <c r="Q253" s="7">
        <v>0.014310270178732</v>
      </c>
      <c r="R253" s="7">
        <v>0.0560713009955004</v>
      </c>
      <c r="S253" s="7">
        <v>0.1014858336594926</v>
      </c>
      <c r="T253" s="7">
        <v>0.7676176520798926</v>
      </c>
    </row>
    <row x14ac:dyDescent="0.25" r="254" customHeight="1" ht="19.5">
      <c r="A254" s="2" t="s">
        <v>285</v>
      </c>
      <c r="B254" s="2" t="s">
        <v>30</v>
      </c>
      <c r="C254" s="2" t="s">
        <v>31</v>
      </c>
      <c r="D254" s="2" t="s">
        <v>245</v>
      </c>
      <c r="E254" s="6">
        <v>1</v>
      </c>
      <c r="F254" s="6">
        <v>0</v>
      </c>
      <c r="G254" s="7">
        <v>0.7606695890426636</v>
      </c>
      <c r="H254" s="7">
        <v>46.73698046875001</v>
      </c>
      <c r="I254" s="7">
        <v>29.41688047810755</v>
      </c>
      <c r="J254" s="7">
        <v>8.295390928840622</v>
      </c>
      <c r="K254" s="7">
        <v>6.431497008691926</v>
      </c>
      <c r="L254" s="7">
        <v>0.6925772966938473</v>
      </c>
      <c r="M254" s="7">
        <v>0.6786991146704454</v>
      </c>
      <c r="N254" s="7">
        <v>0.3295371248051149</v>
      </c>
      <c r="O254" s="7">
        <v>0.1088942656002396</v>
      </c>
      <c r="P254" s="7">
        <v>9.155842968346024</v>
      </c>
      <c r="Q254" s="7">
        <v>0.0134800227351408</v>
      </c>
      <c r="R254" s="7">
        <v>0.0550345189393564</v>
      </c>
      <c r="S254" s="7">
        <v>0.0996418239535352</v>
      </c>
      <c r="T254" s="7">
        <v>0.7312098873972965</v>
      </c>
    </row>
    <row x14ac:dyDescent="0.25" r="255" customHeight="1" ht="19.5">
      <c r="A255" s="2" t="s">
        <v>286</v>
      </c>
      <c r="B255" s="2" t="s">
        <v>30</v>
      </c>
      <c r="C255" s="2" t="s">
        <v>31</v>
      </c>
      <c r="D255" s="2" t="s">
        <v>245</v>
      </c>
      <c r="E255" s="6">
        <v>1</v>
      </c>
      <c r="F255" s="6">
        <v>0</v>
      </c>
      <c r="G255" s="7">
        <v>0.7603960037231445</v>
      </c>
      <c r="H255" s="7">
        <v>46.07549375</v>
      </c>
      <c r="I255" s="7">
        <v>27.89234549206544</v>
      </c>
      <c r="J255" s="7">
        <v>8.192920712791246</v>
      </c>
      <c r="K255" s="7">
        <v>6.386292886233238</v>
      </c>
      <c r="L255" s="7">
        <v>0.6884046827337861</v>
      </c>
      <c r="M255" s="7">
        <v>0.7432275534633425</v>
      </c>
      <c r="N255" s="7">
        <v>0.325424482714496</v>
      </c>
      <c r="O255" s="7">
        <v>0.1018583142492097</v>
      </c>
      <c r="P255" s="7">
        <v>9.167803340575166</v>
      </c>
      <c r="Q255" s="7">
        <v>0.0134673011513749</v>
      </c>
      <c r="R255" s="7">
        <v>0.0547090609520548</v>
      </c>
      <c r="S255" s="7">
        <v>0.1011085302685897</v>
      </c>
      <c r="T255" s="7">
        <v>0.720180486251201</v>
      </c>
    </row>
    <row x14ac:dyDescent="0.25" r="256" customHeight="1" ht="19.5">
      <c r="A256" s="2" t="s">
        <v>287</v>
      </c>
      <c r="B256" s="2" t="s">
        <v>30</v>
      </c>
      <c r="C256" s="2" t="s">
        <v>31</v>
      </c>
      <c r="D256" s="2" t="s">
        <v>245</v>
      </c>
      <c r="E256" s="6">
        <v>1</v>
      </c>
      <c r="F256" s="6">
        <v>0</v>
      </c>
      <c r="G256" s="7">
        <v>0.758679986000061</v>
      </c>
      <c r="H256" s="7">
        <v>47.37422421875</v>
      </c>
      <c r="I256" s="7">
        <v>29.71531104158715</v>
      </c>
      <c r="J256" s="7">
        <v>8.320565886410488</v>
      </c>
      <c r="K256" s="7">
        <v>6.504075308672276</v>
      </c>
      <c r="L256" s="7">
        <v>0.6938756053535984</v>
      </c>
      <c r="M256" s="7">
        <v>0.6736619757968061</v>
      </c>
      <c r="N256" s="7">
        <v>0.3348984279685585</v>
      </c>
      <c r="O256" s="7">
        <v>0.116271257464</v>
      </c>
      <c r="P256" s="7">
        <v>9.119610162637688</v>
      </c>
      <c r="Q256" s="7">
        <v>0.0136155339989545</v>
      </c>
      <c r="R256" s="7">
        <v>0.0553247651333638</v>
      </c>
      <c r="S256" s="7">
        <v>0.1000735001589076</v>
      </c>
      <c r="T256" s="7">
        <v>0.7486305921850589</v>
      </c>
    </row>
    <row x14ac:dyDescent="0.25" r="257" customHeight="1" ht="19.5">
      <c r="A257" s="2" t="s">
        <v>288</v>
      </c>
      <c r="B257" s="2" t="s">
        <v>30</v>
      </c>
      <c r="C257" s="2" t="s">
        <v>31</v>
      </c>
      <c r="D257" s="2" t="s">
        <v>245</v>
      </c>
      <c r="E257" s="6">
        <v>1</v>
      </c>
      <c r="F257" s="6">
        <v>0</v>
      </c>
      <c r="G257" s="7">
        <v>0.7649835348129272</v>
      </c>
      <c r="H257" s="7">
        <v>47.60280078125</v>
      </c>
      <c r="I257" s="7">
        <v>30.36893066016738</v>
      </c>
      <c r="J257" s="7">
        <v>8.379898674367677</v>
      </c>
      <c r="K257" s="7">
        <v>6.38695097951997</v>
      </c>
      <c r="L257" s="7">
        <v>0.7028711526701001</v>
      </c>
      <c r="M257" s="7">
        <v>0.6486095964000455</v>
      </c>
      <c r="N257" s="7">
        <v>0.3230304584847133</v>
      </c>
      <c r="O257" s="7">
        <v>0.1038993232896003</v>
      </c>
      <c r="P257" s="7">
        <v>9.20592574511535</v>
      </c>
      <c r="Q257" s="7">
        <v>0.012790030900832</v>
      </c>
      <c r="R257" s="7">
        <v>0.0534917132296365</v>
      </c>
      <c r="S257" s="7">
        <v>0.1022174450139839</v>
      </c>
      <c r="T257" s="7">
        <v>0.7066345691020585</v>
      </c>
    </row>
    <row x14ac:dyDescent="0.25" r="258" customHeight="1" ht="19.5">
      <c r="A258" s="2" t="s">
        <v>289</v>
      </c>
      <c r="B258" s="2" t="s">
        <v>30</v>
      </c>
      <c r="C258" s="2" t="s">
        <v>31</v>
      </c>
      <c r="D258" s="2" t="s">
        <v>245</v>
      </c>
      <c r="E258" s="6">
        <v>1</v>
      </c>
      <c r="F258" s="6">
        <v>0</v>
      </c>
      <c r="G258" s="7">
        <v>0.7705122232437134</v>
      </c>
      <c r="H258" s="7">
        <v>46.33523984375</v>
      </c>
      <c r="I258" s="7">
        <v>29.31728402828924</v>
      </c>
      <c r="J258" s="7">
        <v>8.233734367806939</v>
      </c>
      <c r="K258" s="7">
        <v>6.358656010668274</v>
      </c>
      <c r="L258" s="7">
        <v>0.6948066067371098</v>
      </c>
      <c r="M258" s="7">
        <v>0.6774446391063411</v>
      </c>
      <c r="N258" s="7">
        <v>0.3231713436690413</v>
      </c>
      <c r="O258" s="7">
        <v>0.1013344122407061</v>
      </c>
      <c r="P258" s="7">
        <v>9.20509896257022</v>
      </c>
      <c r="Q258" s="7">
        <v>0.0138943639016795</v>
      </c>
      <c r="R258" s="7">
        <v>0.0558339477811528</v>
      </c>
      <c r="S258" s="7">
        <v>0.0990710917946069</v>
      </c>
      <c r="T258" s="7">
        <v>0.7472068843226093</v>
      </c>
    </row>
    <row x14ac:dyDescent="0.25" r="259" customHeight="1" ht="19.5">
      <c r="A259" s="2" t="s">
        <v>290</v>
      </c>
      <c r="B259" s="2" t="s">
        <v>30</v>
      </c>
      <c r="C259" s="2" t="s">
        <v>31</v>
      </c>
      <c r="D259" s="2" t="s">
        <v>245</v>
      </c>
      <c r="E259" s="6">
        <v>1</v>
      </c>
      <c r="F259" s="6">
        <v>0</v>
      </c>
      <c r="G259" s="7">
        <v>0.7530821561813354</v>
      </c>
      <c r="H259" s="7">
        <v>47.62358046875001</v>
      </c>
      <c r="I259" s="7">
        <v>30.24077557155089</v>
      </c>
      <c r="J259" s="7">
        <v>8.40237895680323</v>
      </c>
      <c r="K259" s="7">
        <v>6.420247295095354</v>
      </c>
      <c r="L259" s="7">
        <v>0.7043717773624678</v>
      </c>
      <c r="M259" s="7">
        <v>0.6544041691010878</v>
      </c>
      <c r="N259" s="7">
        <v>0.3226637387444264</v>
      </c>
      <c r="O259" s="7">
        <v>0.1035251708964618</v>
      </c>
      <c r="P259" s="7">
        <v>9.201690817799951</v>
      </c>
      <c r="Q259" s="7">
        <v>0.0136726535600928</v>
      </c>
      <c r="R259" s="7">
        <v>0.0551059378686549</v>
      </c>
      <c r="S259" s="7">
        <v>0.0970363053436525</v>
      </c>
      <c r="T259" s="7">
        <v>0.7557282091938344</v>
      </c>
    </row>
    <row x14ac:dyDescent="0.25" r="260" customHeight="1" ht="19.5">
      <c r="A260" s="2" t="s">
        <v>291</v>
      </c>
      <c r="B260" s="2" t="s">
        <v>30</v>
      </c>
      <c r="C260" s="2" t="s">
        <v>31</v>
      </c>
      <c r="D260" s="2" t="s">
        <v>245</v>
      </c>
      <c r="E260" s="6">
        <v>1</v>
      </c>
      <c r="F260" s="6">
        <v>0</v>
      </c>
      <c r="G260" s="7">
        <v>0.768518328666687</v>
      </c>
      <c r="H260" s="7">
        <v>46.76468671875001</v>
      </c>
      <c r="I260" s="7">
        <v>28.21132884867604</v>
      </c>
      <c r="J260" s="7">
        <v>8.298739095113955</v>
      </c>
      <c r="K260" s="7">
        <v>6.426610173635152</v>
      </c>
      <c r="L260" s="7">
        <v>0.6941491804860329</v>
      </c>
      <c r="M260" s="7">
        <v>0.737670623249718</v>
      </c>
      <c r="N260" s="7">
        <v>0.3309817473981223</v>
      </c>
      <c r="O260" s="7">
        <v>0.1093225835432308</v>
      </c>
      <c r="P260" s="7">
        <v>9.13170709748198</v>
      </c>
      <c r="Q260" s="7">
        <v>0.0145170627859672</v>
      </c>
      <c r="R260" s="7">
        <v>0.0569724771930222</v>
      </c>
      <c r="S260" s="7">
        <v>0.1003263979045307</v>
      </c>
      <c r="T260" s="7">
        <v>0.7879298697429375</v>
      </c>
    </row>
    <row x14ac:dyDescent="0.25" r="261" customHeight="1" ht="19.5">
      <c r="A261" s="2" t="s">
        <v>292</v>
      </c>
      <c r="B261" s="2" t="s">
        <v>30</v>
      </c>
      <c r="C261" s="2" t="s">
        <v>31</v>
      </c>
      <c r="D261" s="2" t="s">
        <v>245</v>
      </c>
      <c r="E261" s="6">
        <v>1</v>
      </c>
      <c r="F261" s="6">
        <v>0</v>
      </c>
      <c r="G261" s="7">
        <v>0.762040913105011</v>
      </c>
      <c r="H261" s="7">
        <v>45.87462343750001</v>
      </c>
      <c r="I261" s="7">
        <v>28.41225412024795</v>
      </c>
      <c r="J261" s="7">
        <v>8.4181217714589</v>
      </c>
      <c r="K261" s="7">
        <v>6.556608955436706</v>
      </c>
      <c r="L261" s="7">
        <v>0.6991833599438537</v>
      </c>
      <c r="M261" s="7">
        <v>0.7136883732634577</v>
      </c>
      <c r="N261" s="7">
        <v>0.3676428749341695</v>
      </c>
      <c r="O261" s="7">
        <v>0.1176566281639952</v>
      </c>
      <c r="P261" s="7">
        <v>8.817248707839592</v>
      </c>
      <c r="Q261" s="7">
        <v>0.0143076407792988</v>
      </c>
      <c r="R261" s="7">
        <v>0.0532861094910691</v>
      </c>
      <c r="S261" s="7">
        <v>0.0957373975315453</v>
      </c>
      <c r="T261" s="7">
        <v>0.7617830764055594</v>
      </c>
    </row>
    <row x14ac:dyDescent="0.25" r="262" customHeight="1" ht="19.5">
      <c r="A262" s="2" t="s">
        <v>293</v>
      </c>
      <c r="B262" s="2" t="s">
        <v>30</v>
      </c>
      <c r="C262" s="2" t="s">
        <v>31</v>
      </c>
      <c r="D262" s="2" t="s">
        <v>245</v>
      </c>
      <c r="E262" s="6">
        <v>1</v>
      </c>
      <c r="F262" s="6">
        <v>0</v>
      </c>
      <c r="G262" s="7">
        <v>0.2821021378040313</v>
      </c>
      <c r="H262" s="7">
        <v>94.66186640625</v>
      </c>
      <c r="I262" s="7">
        <v>51.01715180011521</v>
      </c>
      <c r="J262" s="7">
        <v>12.58732130701802</v>
      </c>
      <c r="K262" s="7">
        <v>8.893092009559446</v>
      </c>
      <c r="L262" s="7">
        <v>0.7574805344902078</v>
      </c>
      <c r="M262" s="7">
        <v>0.4567205075993323</v>
      </c>
      <c r="N262" s="7">
        <v>0.5736529384475529</v>
      </c>
      <c r="O262" s="7">
        <v>0.081965277233756</v>
      </c>
      <c r="P262" s="7">
        <v>8.127144899995624</v>
      </c>
      <c r="Q262" s="7">
        <v>0.0040369353467554</v>
      </c>
      <c r="R262" s="7">
        <v>0.0226044249637687</v>
      </c>
      <c r="S262" s="7">
        <v>0.065176157757</v>
      </c>
      <c r="T262" s="7">
        <v>0.4435245226295047</v>
      </c>
    </row>
    <row x14ac:dyDescent="0.25" r="263" customHeight="1" ht="19.5">
      <c r="A263" s="2" t="s">
        <v>294</v>
      </c>
      <c r="B263" s="2" t="s">
        <v>30</v>
      </c>
      <c r="C263" s="2" t="s">
        <v>31</v>
      </c>
      <c r="D263" s="2" t="s">
        <v>245</v>
      </c>
      <c r="E263" s="6">
        <v>1</v>
      </c>
      <c r="F263" s="6">
        <v>2</v>
      </c>
      <c r="G263" s="7">
        <v>0.4656591713428497</v>
      </c>
      <c r="H263" s="7">
        <v>60.1710484375</v>
      </c>
      <c r="I263" s="7">
        <v>32.59577635280218</v>
      </c>
      <c r="J263" s="7">
        <v>9.084075802731377</v>
      </c>
      <c r="K263" s="7">
        <v>7.708408005799843</v>
      </c>
      <c r="L263" s="7">
        <v>0.5702020994938612</v>
      </c>
      <c r="M263" s="7">
        <v>0.7116636507206544</v>
      </c>
      <c r="N263" s="7">
        <v>0.3390794132069656</v>
      </c>
      <c r="O263" s="7">
        <v>0.054334647840002</v>
      </c>
      <c r="P263" s="7">
        <v>9.43078786156137</v>
      </c>
      <c r="Q263" s="7">
        <v>0.0158468181297431</v>
      </c>
      <c r="R263" s="7">
        <v>0.064331462656443</v>
      </c>
      <c r="S263" s="7">
        <v>0.1331996492849645</v>
      </c>
      <c r="T263" s="7">
        <v>1.10667584929141</v>
      </c>
    </row>
    <row x14ac:dyDescent="0.25" r="264" customHeight="1" ht="19.5">
      <c r="A264" s="2" t="s">
        <v>295</v>
      </c>
      <c r="B264" s="2" t="s">
        <v>30</v>
      </c>
      <c r="C264" s="2" t="s">
        <v>31</v>
      </c>
      <c r="D264" s="2" t="s">
        <v>245</v>
      </c>
      <c r="E264" s="6">
        <v>1</v>
      </c>
      <c r="F264" s="6">
        <v>2</v>
      </c>
      <c r="G264" s="7">
        <v>0.484584093093872</v>
      </c>
      <c r="H264" s="7">
        <v>61.0715015625</v>
      </c>
      <c r="I264" s="7">
        <v>33.00180921176729</v>
      </c>
      <c r="J264" s="7">
        <v>9.16717342980888</v>
      </c>
      <c r="K264" s="7">
        <v>7.590769637798806</v>
      </c>
      <c r="L264" s="7">
        <v>0.597431139368106</v>
      </c>
      <c r="M264" s="7">
        <v>0.7046492007052356</v>
      </c>
      <c r="N264" s="7">
        <v>0.3431195911285594</v>
      </c>
      <c r="O264" s="7">
        <v>0.0605909288734566</v>
      </c>
      <c r="P264" s="7">
        <v>9.405981095173114</v>
      </c>
      <c r="Q264" s="7">
        <v>0.0157896904518982</v>
      </c>
      <c r="R264" s="7">
        <v>0.0647973407752273</v>
      </c>
      <c r="S264" s="7">
        <v>0.1329980137356382</v>
      </c>
      <c r="T264" s="7">
        <v>1.119187869049822</v>
      </c>
    </row>
    <row x14ac:dyDescent="0.25" r="265" customHeight="1" ht="19.5">
      <c r="A265" s="2" t="s">
        <v>296</v>
      </c>
      <c r="B265" s="2" t="s">
        <v>30</v>
      </c>
      <c r="C265" s="2" t="s">
        <v>31</v>
      </c>
      <c r="D265" s="2" t="s">
        <v>245</v>
      </c>
      <c r="E265" s="6">
        <v>1</v>
      </c>
      <c r="F265" s="6">
        <v>0</v>
      </c>
      <c r="G265" s="7">
        <v>0.4200085699558258</v>
      </c>
      <c r="H265" s="7">
        <v>46.59498593750001</v>
      </c>
      <c r="I265" s="7">
        <v>27.27911388779652</v>
      </c>
      <c r="J265" s="7">
        <v>8.843614287180477</v>
      </c>
      <c r="K265" s="7">
        <v>6.433227349997615</v>
      </c>
      <c r="L265" s="7">
        <v>0.7356524551163734</v>
      </c>
      <c r="M265" s="7">
        <v>0.786843807264446</v>
      </c>
      <c r="N265" s="7">
        <v>0.5420346200036041</v>
      </c>
      <c r="O265" s="7">
        <v>0.1019692258987644</v>
      </c>
      <c r="P265" s="7">
        <v>7.436643376043213</v>
      </c>
      <c r="Q265" s="7">
        <v>0.0158103717544881</v>
      </c>
      <c r="R265" s="7">
        <v>0.0534419111168107</v>
      </c>
      <c r="S265" s="7">
        <v>0.081103202177686</v>
      </c>
      <c r="T265" s="7">
        <v>0.8550116786605207</v>
      </c>
    </row>
    <row x14ac:dyDescent="0.25" r="266" customHeight="1" ht="19.5">
      <c r="A266" s="2" t="s">
        <v>297</v>
      </c>
      <c r="B266" s="2" t="s">
        <v>30</v>
      </c>
      <c r="C266" s="2" t="s">
        <v>31</v>
      </c>
      <c r="D266" s="2" t="s">
        <v>245</v>
      </c>
      <c r="E266" s="6">
        <v>1</v>
      </c>
      <c r="F266" s="6">
        <v>2</v>
      </c>
      <c r="G266" s="7">
        <v>0.4765143394470215</v>
      </c>
      <c r="H266" s="7">
        <v>51.84878359375001</v>
      </c>
      <c r="I266" s="7">
        <v>29.94407738000658</v>
      </c>
      <c r="J266" s="7">
        <v>8.237494077247277</v>
      </c>
      <c r="K266" s="7">
        <v>6.872072482485921</v>
      </c>
      <c r="L266" s="7">
        <v>0.5932304223560491</v>
      </c>
      <c r="M266" s="7">
        <v>0.7255843297031471</v>
      </c>
      <c r="N266" s="7">
        <v>0.3525562821617562</v>
      </c>
      <c r="O266" s="7">
        <v>0.0810237394782765</v>
      </c>
      <c r="P266" s="7">
        <v>9.168086804336058</v>
      </c>
      <c r="Q266" s="7">
        <v>0.0146859217897736</v>
      </c>
      <c r="R266" s="7">
        <v>0.0640745949992676</v>
      </c>
      <c r="S266" s="7">
        <v>0.1265566974144747</v>
      </c>
      <c r="T266" s="7">
        <v>0.8837523122827782</v>
      </c>
    </row>
    <row x14ac:dyDescent="0.25" r="267" customHeight="1" ht="19.5">
      <c r="A267" s="2" t="s">
        <v>298</v>
      </c>
      <c r="B267" s="2" t="s">
        <v>30</v>
      </c>
      <c r="C267" s="2" t="s">
        <v>31</v>
      </c>
      <c r="D267" s="2" t="s">
        <v>245</v>
      </c>
      <c r="E267" s="6">
        <v>1</v>
      </c>
      <c r="F267" s="6">
        <v>0</v>
      </c>
      <c r="G267" s="7">
        <v>0.4132589697837829</v>
      </c>
      <c r="H267" s="7">
        <v>52.94318046875</v>
      </c>
      <c r="I267" s="7">
        <v>30.01129166118078</v>
      </c>
      <c r="J267" s="7">
        <v>9.035740447536291</v>
      </c>
      <c r="K267" s="7">
        <v>6.756674088628784</v>
      </c>
      <c r="L267" s="7">
        <v>0.696306922357259</v>
      </c>
      <c r="M267" s="7">
        <v>0.7364956870838121</v>
      </c>
      <c r="N267" s="7">
        <v>0.3489246583385353</v>
      </c>
      <c r="O267" s="7">
        <v>0.0930753154366977</v>
      </c>
      <c r="P267" s="7">
        <v>9.109833403202988</v>
      </c>
      <c r="Q267" s="7">
        <v>0.0134500056418512</v>
      </c>
      <c r="R267" s="7">
        <v>0.0618786494201311</v>
      </c>
      <c r="S267" s="7">
        <v>0.1232823124547886</v>
      </c>
      <c r="T267" s="7">
        <v>0.8264627305984058</v>
      </c>
    </row>
    <row x14ac:dyDescent="0.25" r="268" customHeight="1" ht="19.5">
      <c r="A268" s="2" t="s">
        <v>299</v>
      </c>
      <c r="B268" s="2" t="s">
        <v>30</v>
      </c>
      <c r="C268" s="2" t="s">
        <v>31</v>
      </c>
      <c r="D268" s="2" t="s">
        <v>245</v>
      </c>
      <c r="E268" s="6">
        <v>1</v>
      </c>
      <c r="F268" s="6">
        <v>2</v>
      </c>
      <c r="G268" s="7">
        <v>0.3910905718803406</v>
      </c>
      <c r="H268" s="7">
        <v>52.00463125</v>
      </c>
      <c r="I268" s="7">
        <v>30.28707827361876</v>
      </c>
      <c r="J268" s="7">
        <v>8.66441548969977</v>
      </c>
      <c r="K268" s="7">
        <v>6.874457614646443</v>
      </c>
      <c r="L268" s="7">
        <v>0.6609775641373856</v>
      </c>
      <c r="M268" s="7">
        <v>0.7124216770756219</v>
      </c>
      <c r="N268" s="7">
        <v>0.3367211549147793</v>
      </c>
      <c r="O268" s="7">
        <v>0.0691723983170701</v>
      </c>
      <c r="P268" s="7">
        <v>9.206684183514309</v>
      </c>
      <c r="Q268" s="7">
        <v>0.0154854619273446</v>
      </c>
      <c r="R268" s="7">
        <v>0.0657825329517301</v>
      </c>
      <c r="S268" s="7">
        <v>0.1273325719631659</v>
      </c>
      <c r="T268" s="7">
        <v>0.9346671219194808</v>
      </c>
    </row>
    <row x14ac:dyDescent="0.25" r="269" customHeight="1" ht="19.5">
      <c r="A269" s="2" t="s">
        <v>300</v>
      </c>
      <c r="B269" s="2" t="s">
        <v>30</v>
      </c>
      <c r="C269" s="2" t="s">
        <v>31</v>
      </c>
      <c r="D269" s="2" t="s">
        <v>245</v>
      </c>
      <c r="E269" s="6">
        <v>1</v>
      </c>
      <c r="F269" s="6">
        <v>2</v>
      </c>
      <c r="G269" s="7">
        <v>0.4344855546951294</v>
      </c>
      <c r="H269" s="7">
        <v>53.99601796875</v>
      </c>
      <c r="I269" s="7">
        <v>29.98446539431789</v>
      </c>
      <c r="J269" s="7">
        <v>8.62646539336978</v>
      </c>
      <c r="K269" s="7">
        <v>7.243535848634009</v>
      </c>
      <c r="L269" s="7">
        <v>0.5965157109624547</v>
      </c>
      <c r="M269" s="7">
        <v>0.754708040972293</v>
      </c>
      <c r="N269" s="7">
        <v>0.3462182082501298</v>
      </c>
      <c r="O269" s="7">
        <v>0.0639874105100142</v>
      </c>
      <c r="P269" s="7">
        <v>9.208211274616517</v>
      </c>
      <c r="Q269" s="7">
        <v>0.0163252853211912</v>
      </c>
      <c r="R269" s="7">
        <v>0.066091245676186</v>
      </c>
      <c r="S269" s="7">
        <v>0.129017152245964</v>
      </c>
      <c r="T269" s="7">
        <v>1.023088713269196</v>
      </c>
    </row>
    <row x14ac:dyDescent="0.25" r="270" customHeight="1" ht="19.5">
      <c r="A270" s="2" t="s">
        <v>301</v>
      </c>
      <c r="B270" s="2" t="s">
        <v>30</v>
      </c>
      <c r="C270" s="2" t="s">
        <v>31</v>
      </c>
      <c r="D270" s="2" t="s">
        <v>245</v>
      </c>
      <c r="E270" s="6">
        <v>1</v>
      </c>
      <c r="F270" s="6">
        <v>2</v>
      </c>
      <c r="G270" s="7">
        <v>0.4296055734157562</v>
      </c>
      <c r="H270" s="7">
        <v>52.45139453125</v>
      </c>
      <c r="I270" s="7">
        <v>31.3951246111426</v>
      </c>
      <c r="J270" s="7">
        <v>8.34726458211706</v>
      </c>
      <c r="K270" s="7">
        <v>7.095364024983978</v>
      </c>
      <c r="L270" s="7">
        <v>0.57636784399689</v>
      </c>
      <c r="M270" s="7">
        <v>0.6687171803314921</v>
      </c>
      <c r="N270" s="7">
        <v>0.3540294745551904</v>
      </c>
      <c r="O270" s="7">
        <v>0.0799220295642042</v>
      </c>
      <c r="P270" s="7">
        <v>9.162655128948538</v>
      </c>
      <c r="Q270" s="7">
        <v>0.0148609778078418</v>
      </c>
      <c r="R270" s="7">
        <v>0.0645481640422493</v>
      </c>
      <c r="S270" s="7">
        <v>0.1271513192513185</v>
      </c>
      <c r="T270" s="7">
        <v>0.9046804492569328</v>
      </c>
    </row>
    <row x14ac:dyDescent="0.25" r="271" customHeight="1" ht="19.5">
      <c r="A271" s="2" t="s">
        <v>302</v>
      </c>
      <c r="B271" s="2" t="s">
        <v>30</v>
      </c>
      <c r="C271" s="2" t="s">
        <v>31</v>
      </c>
      <c r="D271" s="2" t="s">
        <v>245</v>
      </c>
      <c r="E271" s="6">
        <v>1</v>
      </c>
      <c r="F271" s="6">
        <v>2</v>
      </c>
      <c r="G271" s="7">
        <v>0.4497498273849487</v>
      </c>
      <c r="H271" s="7">
        <v>53.0297625</v>
      </c>
      <c r="I271" s="7">
        <v>29.18494662385148</v>
      </c>
      <c r="J271" s="7">
        <v>8.512487158245605</v>
      </c>
      <c r="K271" s="7">
        <v>7.220831207223941</v>
      </c>
      <c r="L271" s="7">
        <v>0.5795698416187192</v>
      </c>
      <c r="M271" s="7">
        <v>0.7787414330622039</v>
      </c>
      <c r="N271" s="7">
        <v>0.353961548867449</v>
      </c>
      <c r="O271" s="7">
        <v>0.0783208253391716</v>
      </c>
      <c r="P271" s="7">
        <v>9.168033819884332</v>
      </c>
      <c r="Q271" s="7">
        <v>0.0142600376300864</v>
      </c>
      <c r="R271" s="7">
        <v>0.0632240153185048</v>
      </c>
      <c r="S271" s="7">
        <v>0.1260273402252455</v>
      </c>
      <c r="T271" s="7">
        <v>0.8776697572746814</v>
      </c>
    </row>
    <row x14ac:dyDescent="0.25" r="272" customHeight="1" ht="19.5">
      <c r="A272" s="2" t="s">
        <v>303</v>
      </c>
      <c r="B272" s="2" t="s">
        <v>30</v>
      </c>
      <c r="C272" s="2" t="s">
        <v>31</v>
      </c>
      <c r="D272" s="2" t="s">
        <v>245</v>
      </c>
      <c r="E272" s="6">
        <v>1</v>
      </c>
      <c r="F272" s="6">
        <v>2</v>
      </c>
      <c r="G272" s="7">
        <v>0.4737205803394317</v>
      </c>
      <c r="H272" s="7">
        <v>53.05400546875001</v>
      </c>
      <c r="I272" s="7">
        <v>31.67336116746655</v>
      </c>
      <c r="J272" s="7">
        <v>8.34721990955887</v>
      </c>
      <c r="K272" s="7">
        <v>7.02400638715614</v>
      </c>
      <c r="L272" s="7">
        <v>0.5860972803182263</v>
      </c>
      <c r="M272" s="7">
        <v>0.6645684748732236</v>
      </c>
      <c r="N272" s="7">
        <v>0.3527103265371466</v>
      </c>
      <c r="O272" s="7">
        <v>0.0782303984764534</v>
      </c>
      <c r="P272" s="7">
        <v>9.161358468843334</v>
      </c>
      <c r="Q272" s="7">
        <v>0.0154003599092215</v>
      </c>
      <c r="R272" s="7">
        <v>0.065592105365719</v>
      </c>
      <c r="S272" s="7">
        <v>0.1289310961768787</v>
      </c>
      <c r="T272" s="7">
        <v>0.9482870687662592</v>
      </c>
    </row>
    <row x14ac:dyDescent="0.25" r="273" customHeight="1" ht="19.5">
      <c r="A273" s="2" t="s">
        <v>304</v>
      </c>
      <c r="B273" s="2" t="s">
        <v>30</v>
      </c>
      <c r="C273" s="2" t="s">
        <v>31</v>
      </c>
      <c r="D273" s="2" t="s">
        <v>245</v>
      </c>
      <c r="E273" s="6">
        <v>1</v>
      </c>
      <c r="F273" s="6">
        <v>0</v>
      </c>
      <c r="G273" s="7">
        <v>0.5764907598495483</v>
      </c>
      <c r="H273" s="7">
        <v>49.63921015625</v>
      </c>
      <c r="I273" s="7">
        <v>29.93296557644413</v>
      </c>
      <c r="J273" s="7">
        <v>9.194146607588335</v>
      </c>
      <c r="K273" s="7">
        <v>7.734788098342932</v>
      </c>
      <c r="L273" s="7">
        <v>0.5906324541245781</v>
      </c>
      <c r="M273" s="7">
        <v>0.696201947933569</v>
      </c>
      <c r="N273" s="7">
        <v>0.5437678958195198</v>
      </c>
      <c r="O273" s="7">
        <v>0.1404067989897338</v>
      </c>
      <c r="P273" s="7">
        <v>7.640741200610066</v>
      </c>
      <c r="Q273" s="7">
        <v>0.0031042210952508</v>
      </c>
      <c r="R273" s="7">
        <v>0.0210892979028096</v>
      </c>
      <c r="S273" s="7">
        <v>0.0617668918162802</v>
      </c>
      <c r="T273" s="7">
        <v>0.1788414937072496</v>
      </c>
    </row>
    <row x14ac:dyDescent="0.25" r="274" customHeight="1" ht="19.5">
      <c r="A274" s="2" t="s">
        <v>305</v>
      </c>
      <c r="B274" s="2" t="s">
        <v>30</v>
      </c>
      <c r="C274" s="2" t="s">
        <v>31</v>
      </c>
      <c r="D274" s="2" t="s">
        <v>245</v>
      </c>
      <c r="E274" s="6">
        <v>1</v>
      </c>
      <c r="F274" s="6">
        <v>0</v>
      </c>
      <c r="G274" s="7">
        <v>0.7682840824127197</v>
      </c>
      <c r="H274" s="7">
        <v>45.03997265625</v>
      </c>
      <c r="I274" s="7">
        <v>28.77371664908048</v>
      </c>
      <c r="J274" s="7">
        <v>8.204063507070458</v>
      </c>
      <c r="K274" s="7">
        <v>6.54817149166079</v>
      </c>
      <c r="L274" s="7">
        <v>0.6488280984968993</v>
      </c>
      <c r="M274" s="7">
        <v>0.6831489469932633</v>
      </c>
      <c r="N274" s="7">
        <v>0.4118690828225854</v>
      </c>
      <c r="O274" s="7">
        <v>0.1382114697966149</v>
      </c>
      <c r="P274" s="7">
        <v>8.165623230684858</v>
      </c>
      <c r="Q274" s="7">
        <v>0.009383362091312</v>
      </c>
      <c r="R274" s="7">
        <v>0.0415431899542519</v>
      </c>
      <c r="S274" s="7">
        <v>0.0833435183984748</v>
      </c>
      <c r="T274" s="7">
        <v>0.4905094443083404</v>
      </c>
    </row>
    <row x14ac:dyDescent="0.25" r="275" customHeight="1" ht="19.5">
      <c r="A275" s="2" t="s">
        <v>306</v>
      </c>
      <c r="B275" s="2" t="s">
        <v>30</v>
      </c>
      <c r="C275" s="2" t="s">
        <v>31</v>
      </c>
      <c r="D275" s="2" t="s">
        <v>245</v>
      </c>
      <c r="E275" s="6">
        <v>1</v>
      </c>
      <c r="F275" s="6">
        <v>0</v>
      </c>
      <c r="G275" s="7">
        <v>0.7435259222984314</v>
      </c>
      <c r="H275" s="7">
        <v>47.4954390625</v>
      </c>
      <c r="I275" s="7">
        <v>28.7451580102823</v>
      </c>
      <c r="J275" s="7">
        <v>8.286330504564742</v>
      </c>
      <c r="K275" s="7">
        <v>6.592438217522092</v>
      </c>
      <c r="L275" s="7">
        <v>0.6671666741769445</v>
      </c>
      <c r="M275" s="7">
        <v>0.7219558467811729</v>
      </c>
      <c r="N275" s="7">
        <v>0.3561692745417961</v>
      </c>
      <c r="O275" s="7">
        <v>0.1213934370013047</v>
      </c>
      <c r="P275" s="7">
        <v>8.619913845014104</v>
      </c>
      <c r="Q275" s="7">
        <v>0.0116627658411022</v>
      </c>
      <c r="R275" s="7">
        <v>0.0514797059235375</v>
      </c>
      <c r="S275" s="7">
        <v>0.1015785829483468</v>
      </c>
      <c r="T275" s="7">
        <v>0.6429012098191171</v>
      </c>
    </row>
    <row x14ac:dyDescent="0.25" r="276" customHeight="1" ht="19.5">
      <c r="A276" s="2" t="s">
        <v>307</v>
      </c>
      <c r="B276" s="2" t="s">
        <v>30</v>
      </c>
      <c r="C276" s="2" t="s">
        <v>31</v>
      </c>
      <c r="D276" s="2" t="s">
        <v>245</v>
      </c>
      <c r="E276" s="6">
        <v>1</v>
      </c>
      <c r="F276" s="6">
        <v>0</v>
      </c>
      <c r="G276" s="7">
        <v>0.7367798089981079</v>
      </c>
      <c r="H276" s="7">
        <v>45.01919296875</v>
      </c>
      <c r="I276" s="7">
        <v>28.47528608560089</v>
      </c>
      <c r="J276" s="7">
        <v>7.932838138501959</v>
      </c>
      <c r="K276" s="7">
        <v>6.503810953106623</v>
      </c>
      <c r="L276" s="7">
        <v>0.639010015247568</v>
      </c>
      <c r="M276" s="7">
        <v>0.6977042642781901</v>
      </c>
      <c r="N276" s="7">
        <v>0.3490589944563638</v>
      </c>
      <c r="O276" s="7">
        <v>0.1196035230296825</v>
      </c>
      <c r="P276" s="7">
        <v>8.688134891377572</v>
      </c>
      <c r="Q276" s="7">
        <v>0.0136028868937169</v>
      </c>
      <c r="R276" s="7">
        <v>0.0560733903340964</v>
      </c>
      <c r="S276" s="7">
        <v>0.1029100561102895</v>
      </c>
      <c r="T276" s="7">
        <v>0.7107544254073325</v>
      </c>
    </row>
    <row x14ac:dyDescent="0.25" r="277" customHeight="1" ht="19.5">
      <c r="A277" s="2" t="s">
        <v>308</v>
      </c>
      <c r="B277" s="2" t="s">
        <v>30</v>
      </c>
      <c r="C277" s="2" t="s">
        <v>31</v>
      </c>
      <c r="D277" s="2" t="s">
        <v>245</v>
      </c>
      <c r="E277" s="6">
        <v>1</v>
      </c>
      <c r="F277" s="6">
        <v>0</v>
      </c>
      <c r="G277" s="7">
        <v>0.7392091751098633</v>
      </c>
      <c r="H277" s="7">
        <v>44.49970078125001</v>
      </c>
      <c r="I277" s="7">
        <v>28.28864013342806</v>
      </c>
      <c r="J277" s="7">
        <v>7.939749528853236</v>
      </c>
      <c r="K277" s="7">
        <v>6.647894211894946</v>
      </c>
      <c r="L277" s="7">
        <v>0.6049002124462981</v>
      </c>
      <c r="M277" s="7">
        <v>0.6987837755362809</v>
      </c>
      <c r="N277" s="7">
        <v>0.3439694076417343</v>
      </c>
      <c r="O277" s="7">
        <v>0.1114030231495802</v>
      </c>
      <c r="P277" s="7">
        <v>8.763648346882075</v>
      </c>
      <c r="Q277" s="7">
        <v>0.0135437133377282</v>
      </c>
      <c r="R277" s="7">
        <v>0.0559327768412493</v>
      </c>
      <c r="S277" s="7">
        <v>0.109927532410291</v>
      </c>
      <c r="T277" s="7">
        <v>0.6994966257654228</v>
      </c>
    </row>
    <row x14ac:dyDescent="0.25" r="278" customHeight="1" ht="19.5">
      <c r="A278" s="2" t="s">
        <v>309</v>
      </c>
      <c r="B278" s="2" t="s">
        <v>30</v>
      </c>
      <c r="C278" s="2" t="s">
        <v>31</v>
      </c>
      <c r="D278" s="2" t="s">
        <v>245</v>
      </c>
      <c r="E278" s="6">
        <v>1</v>
      </c>
      <c r="F278" s="6">
        <v>0</v>
      </c>
      <c r="G278" s="7">
        <v>0.7404077649116516</v>
      </c>
      <c r="H278" s="7">
        <v>44.34038984375</v>
      </c>
      <c r="I278" s="7">
        <v>27.54169753876141</v>
      </c>
      <c r="J278" s="7">
        <v>7.917640620853868</v>
      </c>
      <c r="K278" s="7">
        <v>6.504301999968035</v>
      </c>
      <c r="L278" s="7">
        <v>0.635559277563987</v>
      </c>
      <c r="M278" s="7">
        <v>0.7345611612618318</v>
      </c>
      <c r="N278" s="7">
        <v>0.3504609482851368</v>
      </c>
      <c r="O278" s="7">
        <v>0.1199497598167335</v>
      </c>
      <c r="P278" s="7">
        <v>8.69028788491591</v>
      </c>
      <c r="Q278" s="7">
        <v>0.0128192420287722</v>
      </c>
      <c r="R278" s="7">
        <v>0.0538496461016877</v>
      </c>
      <c r="S278" s="7">
        <v>0.1053798035229302</v>
      </c>
      <c r="T278" s="7">
        <v>0.6597093424231635</v>
      </c>
    </row>
    <row x14ac:dyDescent="0.25" r="279" customHeight="1" ht="19.5">
      <c r="A279" s="2" t="s">
        <v>310</v>
      </c>
      <c r="B279" s="2" t="s">
        <v>30</v>
      </c>
      <c r="C279" s="2" t="s">
        <v>31</v>
      </c>
      <c r="D279" s="2" t="s">
        <v>245</v>
      </c>
      <c r="E279" s="6">
        <v>1</v>
      </c>
      <c r="F279" s="6">
        <v>0</v>
      </c>
      <c r="G279" s="7">
        <v>0.7386481165885925</v>
      </c>
      <c r="H279" s="7">
        <v>43.6027109375</v>
      </c>
      <c r="I279" s="7">
        <v>27.92126291683896</v>
      </c>
      <c r="J279" s="7">
        <v>7.631413342466439</v>
      </c>
      <c r="K279" s="7">
        <v>6.455217129004533</v>
      </c>
      <c r="L279" s="7">
        <v>0.5942717007427171</v>
      </c>
      <c r="M279" s="7">
        <v>0.7024998228058309</v>
      </c>
      <c r="N279" s="7">
        <v>0.3435058543433189</v>
      </c>
      <c r="O279" s="7">
        <v>0.108457783614184</v>
      </c>
      <c r="P279" s="7">
        <v>8.77672318717044</v>
      </c>
      <c r="Q279" s="7">
        <v>0.0128797958896965</v>
      </c>
      <c r="R279" s="7">
        <v>0.0536191348591213</v>
      </c>
      <c r="S279" s="7">
        <v>0.1037773140485733</v>
      </c>
      <c r="T279" s="7">
        <v>0.6517983436443664</v>
      </c>
    </row>
    <row x14ac:dyDescent="0.25" r="280" customHeight="1" ht="19.5">
      <c r="A280" s="2" t="s">
        <v>311</v>
      </c>
      <c r="B280" s="2" t="s">
        <v>30</v>
      </c>
      <c r="C280" s="2" t="s">
        <v>31</v>
      </c>
      <c r="D280" s="2" t="s">
        <v>245</v>
      </c>
      <c r="E280" s="6">
        <v>1</v>
      </c>
      <c r="F280" s="6">
        <v>0</v>
      </c>
      <c r="G280" s="7">
        <v>0.7443929314613342</v>
      </c>
      <c r="H280" s="7">
        <v>45.4174703125</v>
      </c>
      <c r="I280" s="7">
        <v>27.91881297295299</v>
      </c>
      <c r="J280" s="7">
        <v>7.92946421660406</v>
      </c>
      <c r="K280" s="7">
        <v>6.459999919278603</v>
      </c>
      <c r="L280" s="7">
        <v>0.6427909254147863</v>
      </c>
      <c r="M280" s="7">
        <v>0.7317688028784367</v>
      </c>
      <c r="N280" s="7">
        <v>0.3392819055052917</v>
      </c>
      <c r="O280" s="7">
        <v>0.1074686814720148</v>
      </c>
      <c r="P280" s="7">
        <v>8.762236129993498</v>
      </c>
      <c r="Q280" s="7">
        <v>0.0127633957796931</v>
      </c>
      <c r="R280" s="7">
        <v>0.053987168965615</v>
      </c>
      <c r="S280" s="7">
        <v>0.1021961067251822</v>
      </c>
      <c r="T280" s="7">
        <v>0.6727906658349283</v>
      </c>
    </row>
    <row x14ac:dyDescent="0.25" r="281" customHeight="1" ht="19.5">
      <c r="A281" s="2" t="s">
        <v>312</v>
      </c>
      <c r="B281" s="2" t="s">
        <v>30</v>
      </c>
      <c r="C281" s="2" t="s">
        <v>31</v>
      </c>
      <c r="D281" s="2" t="s">
        <v>245</v>
      </c>
      <c r="E281" s="6">
        <v>1</v>
      </c>
      <c r="F281" s="6">
        <v>0</v>
      </c>
      <c r="G281" s="7">
        <v>0.7400705814361572</v>
      </c>
      <c r="H281" s="7">
        <v>44.56203984375</v>
      </c>
      <c r="I281" s="7">
        <v>27.35887511643451</v>
      </c>
      <c r="J281" s="7">
        <v>7.89393492498216</v>
      </c>
      <c r="K281" s="7">
        <v>6.424234991299798</v>
      </c>
      <c r="L281" s="7">
        <v>0.6397229511193899</v>
      </c>
      <c r="M281" s="7">
        <v>0.7481323811767879</v>
      </c>
      <c r="N281" s="7">
        <v>0.3422161758953704</v>
      </c>
      <c r="O281" s="7">
        <v>0.1099842844402863</v>
      </c>
      <c r="P281" s="7">
        <v>8.751281765604174</v>
      </c>
      <c r="Q281" s="7">
        <v>0.0129107596033356</v>
      </c>
      <c r="R281" s="7">
        <v>0.0539370352899735</v>
      </c>
      <c r="S281" s="7">
        <v>0.1020359314260855</v>
      </c>
      <c r="T281" s="7">
        <v>0.6677403760377579</v>
      </c>
    </row>
    <row x14ac:dyDescent="0.25" r="282" customHeight="1" ht="19.5">
      <c r="A282" s="2" t="s">
        <v>313</v>
      </c>
      <c r="B282" s="2" t="s">
        <v>30</v>
      </c>
      <c r="C282" s="2" t="s">
        <v>31</v>
      </c>
      <c r="D282" s="2" t="s">
        <v>245</v>
      </c>
      <c r="E282" s="6">
        <v>1</v>
      </c>
      <c r="F282" s="6">
        <v>0</v>
      </c>
      <c r="G282" s="7">
        <v>0.7350640892982483</v>
      </c>
      <c r="H282" s="7">
        <v>44.02176796875001</v>
      </c>
      <c r="I282" s="7">
        <v>27.97593025054936</v>
      </c>
      <c r="J282" s="7">
        <v>7.745590624450044</v>
      </c>
      <c r="K282" s="7">
        <v>6.449825861748882</v>
      </c>
      <c r="L282" s="7">
        <v>0.6197522557789518</v>
      </c>
      <c r="M282" s="7">
        <v>0.7068190912873813</v>
      </c>
      <c r="N282" s="7">
        <v>0.347367943882223</v>
      </c>
      <c r="O282" s="7">
        <v>0.1146532135832963</v>
      </c>
      <c r="P282" s="7">
        <v>8.726453771039454</v>
      </c>
      <c r="Q282" s="7">
        <v>0.0132068392664313</v>
      </c>
      <c r="R282" s="7">
        <v>0.055120325298784</v>
      </c>
      <c r="S282" s="7">
        <v>0.1057277325640855</v>
      </c>
      <c r="T282" s="7">
        <v>0.6747721549262771</v>
      </c>
    </row>
    <row x14ac:dyDescent="0.25" r="283" customHeight="1" ht="19.5">
      <c r="A283" s="2" t="s">
        <v>314</v>
      </c>
      <c r="B283" s="2" t="s">
        <v>30</v>
      </c>
      <c r="C283" s="2" t="s">
        <v>31</v>
      </c>
      <c r="D283" s="2" t="s">
        <v>245</v>
      </c>
      <c r="E283" s="6">
        <v>1</v>
      </c>
      <c r="F283" s="6">
        <v>0</v>
      </c>
      <c r="G283" s="7">
        <v>0.7358883023262024</v>
      </c>
      <c r="H283" s="7">
        <v>45.33781484375</v>
      </c>
      <c r="I283" s="7">
        <v>27.62874704111593</v>
      </c>
      <c r="J283" s="7">
        <v>7.983644099107511</v>
      </c>
      <c r="K283" s="7">
        <v>6.516817276217702</v>
      </c>
      <c r="L283" s="7">
        <v>0.6408136187624228</v>
      </c>
      <c r="M283" s="7">
        <v>0.7463595052959554</v>
      </c>
      <c r="N283" s="7">
        <v>0.341739899651743</v>
      </c>
      <c r="O283" s="7">
        <v>0.1095871215121406</v>
      </c>
      <c r="P283" s="7">
        <v>8.744427634506916</v>
      </c>
      <c r="Q283" s="7">
        <v>0.0133279546783182</v>
      </c>
      <c r="R283" s="7">
        <v>0.0558956399113549</v>
      </c>
      <c r="S283" s="7">
        <v>0.1042461369824163</v>
      </c>
      <c r="T283" s="7">
        <v>0.7013178162280905</v>
      </c>
    </row>
    <row x14ac:dyDescent="0.25" r="284" customHeight="1" ht="19.5">
      <c r="A284" s="2" t="s">
        <v>315</v>
      </c>
      <c r="B284" s="2" t="s">
        <v>30</v>
      </c>
      <c r="C284" s="2" t="s">
        <v>31</v>
      </c>
      <c r="D284" s="2" t="s">
        <v>245</v>
      </c>
      <c r="E284" s="6">
        <v>1</v>
      </c>
      <c r="F284" s="6">
        <v>0</v>
      </c>
      <c r="G284" s="7">
        <v>0.7379183769226074</v>
      </c>
      <c r="H284" s="7">
        <v>46.06510390625</v>
      </c>
      <c r="I284" s="7">
        <v>28.20541416091947</v>
      </c>
      <c r="J284" s="7">
        <v>8.01276025810106</v>
      </c>
      <c r="K284" s="7">
        <v>6.548576028825837</v>
      </c>
      <c r="L284" s="7">
        <v>0.637108708705303</v>
      </c>
      <c r="M284" s="7">
        <v>0.7276406561015831</v>
      </c>
      <c r="N284" s="7">
        <v>0.3413621782787394</v>
      </c>
      <c r="O284" s="7">
        <v>0.1086247385090444</v>
      </c>
      <c r="P284" s="7">
        <v>8.765070656609279</v>
      </c>
      <c r="Q284" s="7">
        <v>0.0133703731567364</v>
      </c>
      <c r="R284" s="7">
        <v>0.0553702582658736</v>
      </c>
      <c r="S284" s="7">
        <v>0.1088723105358927</v>
      </c>
      <c r="T284" s="7">
        <v>0.7148359135101524</v>
      </c>
    </row>
    <row x14ac:dyDescent="0.25" r="285" customHeight="1" ht="19.5">
      <c r="A285" s="2" t="s">
        <v>316</v>
      </c>
      <c r="B285" s="2" t="s">
        <v>30</v>
      </c>
      <c r="C285" s="2" t="s">
        <v>31</v>
      </c>
      <c r="D285" s="2" t="s">
        <v>245</v>
      </c>
      <c r="E285" s="6">
        <v>1</v>
      </c>
      <c r="F285" s="6">
        <v>0</v>
      </c>
      <c r="G285" s="7">
        <v>0.7370642423629761</v>
      </c>
      <c r="H285" s="7">
        <v>43.84514062500001</v>
      </c>
      <c r="I285" s="7">
        <v>27.92126291683896</v>
      </c>
      <c r="J285" s="7">
        <v>7.781015052366371</v>
      </c>
      <c r="K285" s="7">
        <v>6.544648841686532</v>
      </c>
      <c r="L285" s="7">
        <v>0.6083352909936373</v>
      </c>
      <c r="M285" s="7">
        <v>0.7067425108647345</v>
      </c>
      <c r="N285" s="7">
        <v>0.3458578689805796</v>
      </c>
      <c r="O285" s="7">
        <v>0.1110535407271021</v>
      </c>
      <c r="P285" s="7">
        <v>8.745539192253009</v>
      </c>
      <c r="Q285" s="7">
        <v>0.0135638830277204</v>
      </c>
      <c r="R285" s="7">
        <v>0.0555219333996566</v>
      </c>
      <c r="S285" s="7">
        <v>0.1085880284232755</v>
      </c>
      <c r="T285" s="7">
        <v>0.6902338967008125</v>
      </c>
    </row>
    <row x14ac:dyDescent="0.25" r="286" customHeight="1" ht="19.5">
      <c r="A286" s="2" t="s">
        <v>317</v>
      </c>
      <c r="B286" s="2" t="s">
        <v>30</v>
      </c>
      <c r="C286" s="2" t="s">
        <v>31</v>
      </c>
      <c r="D286" s="2" t="s">
        <v>245</v>
      </c>
      <c r="E286" s="6">
        <v>1</v>
      </c>
      <c r="F286" s="6">
        <v>0</v>
      </c>
      <c r="G286" s="7">
        <v>0.7402306795120239</v>
      </c>
      <c r="H286" s="7">
        <v>44.7248140625</v>
      </c>
      <c r="I286" s="7">
        <v>28.79600181414677</v>
      </c>
      <c r="J286" s="7">
        <v>7.964876755097402</v>
      </c>
      <c r="K286" s="7">
        <v>6.613930311548042</v>
      </c>
      <c r="L286" s="7">
        <v>0.62512193469916</v>
      </c>
      <c r="M286" s="7">
        <v>0.677788230511946</v>
      </c>
      <c r="N286" s="7">
        <v>0.3491796923095109</v>
      </c>
      <c r="O286" s="7">
        <v>0.119415503314405</v>
      </c>
      <c r="P286" s="7">
        <v>8.704436321958337</v>
      </c>
      <c r="Q286" s="7">
        <v>0.0132061689865001</v>
      </c>
      <c r="R286" s="7">
        <v>0.0546561102047175</v>
      </c>
      <c r="S286" s="7">
        <v>0.1054020166923386</v>
      </c>
      <c r="T286" s="7">
        <v>0.6855137558936901</v>
      </c>
    </row>
    <row x14ac:dyDescent="0.25" r="287" customHeight="1" ht="19.5">
      <c r="A287" s="2" t="s">
        <v>318</v>
      </c>
      <c r="B287" s="2" t="s">
        <v>30</v>
      </c>
      <c r="C287" s="2" t="s">
        <v>31</v>
      </c>
      <c r="D287" s="2" t="s">
        <v>245</v>
      </c>
      <c r="E287" s="6">
        <v>1</v>
      </c>
      <c r="F287" s="6">
        <v>0</v>
      </c>
      <c r="G287" s="7">
        <v>0.741644024848938</v>
      </c>
      <c r="H287" s="7">
        <v>44.177615625</v>
      </c>
      <c r="I287" s="7">
        <v>27.57407970740553</v>
      </c>
      <c r="J287" s="7">
        <v>7.758556127734621</v>
      </c>
      <c r="K287" s="7">
        <v>6.463993431338272</v>
      </c>
      <c r="L287" s="7">
        <v>0.6148213414558014</v>
      </c>
      <c r="M287" s="7">
        <v>0.7301466264289289</v>
      </c>
      <c r="N287" s="7">
        <v>0.3455810740850569</v>
      </c>
      <c r="O287" s="7">
        <v>0.111819020789117</v>
      </c>
      <c r="P287" s="7">
        <v>8.735907529455966</v>
      </c>
      <c r="Q287" s="7">
        <v>0.0123511922796939</v>
      </c>
      <c r="R287" s="7">
        <v>0.0530773021151352</v>
      </c>
      <c r="S287" s="7">
        <v>0.1062261248338378</v>
      </c>
      <c r="T287" s="7">
        <v>0.6332889861030783</v>
      </c>
    </row>
    <row x14ac:dyDescent="0.25" r="288" customHeight="1" ht="19.5">
      <c r="A288" s="2" t="s">
        <v>319</v>
      </c>
      <c r="B288" s="2" t="s">
        <v>30</v>
      </c>
      <c r="C288" s="2" t="s">
        <v>31</v>
      </c>
      <c r="D288" s="2" t="s">
        <v>245</v>
      </c>
      <c r="E288" s="6">
        <v>1</v>
      </c>
      <c r="F288" s="6">
        <v>0</v>
      </c>
      <c r="G288" s="7">
        <v>0.744030773639679</v>
      </c>
      <c r="H288" s="7">
        <v>45.549075</v>
      </c>
      <c r="I288" s="7">
        <v>27.94145692399461</v>
      </c>
      <c r="J288" s="7">
        <v>8.105289844763018</v>
      </c>
      <c r="K288" s="7">
        <v>6.581180457085867</v>
      </c>
      <c r="L288" s="7">
        <v>0.6484925788527292</v>
      </c>
      <c r="M288" s="7">
        <v>0.7330359663367514</v>
      </c>
      <c r="N288" s="7">
        <v>0.3465990083768152</v>
      </c>
      <c r="O288" s="7">
        <v>0.1116184508175231</v>
      </c>
      <c r="P288" s="7">
        <v>8.740265963190435</v>
      </c>
      <c r="Q288" s="7">
        <v>0.0137012412461116</v>
      </c>
      <c r="R288" s="7">
        <v>0.0559967359890799</v>
      </c>
      <c r="S288" s="7">
        <v>0.1090303385329157</v>
      </c>
      <c r="T288" s="7">
        <v>0.7243196298192935</v>
      </c>
    </row>
    <row x14ac:dyDescent="0.25" r="289" customHeight="1" ht="19.5">
      <c r="A289" s="2" t="s">
        <v>320</v>
      </c>
      <c r="B289" s="2" t="s">
        <v>30</v>
      </c>
      <c r="C289" s="2" t="s">
        <v>31</v>
      </c>
      <c r="D289" s="2" t="s">
        <v>245</v>
      </c>
      <c r="E289" s="6">
        <v>1</v>
      </c>
      <c r="F289" s="6">
        <v>0</v>
      </c>
      <c r="G289" s="7">
        <v>0.7391943335533142</v>
      </c>
      <c r="H289" s="7">
        <v>45.6599</v>
      </c>
      <c r="I289" s="7">
        <v>27.93309229235208</v>
      </c>
      <c r="J289" s="7">
        <v>7.968679083668602</v>
      </c>
      <c r="K289" s="7">
        <v>6.440499186817778</v>
      </c>
      <c r="L289" s="7">
        <v>0.646391029272248</v>
      </c>
      <c r="M289" s="7">
        <v>0.7353714882280645</v>
      </c>
      <c r="N289" s="7">
        <v>0.3429329657712263</v>
      </c>
      <c r="O289" s="7">
        <v>0.1104991667943819</v>
      </c>
      <c r="P289" s="7">
        <v>8.745747364027626</v>
      </c>
      <c r="Q289" s="7">
        <v>0.0128850370338885</v>
      </c>
      <c r="R289" s="7">
        <v>0.0542393941757381</v>
      </c>
      <c r="S289" s="7">
        <v>0.1088201195188116</v>
      </c>
      <c r="T289" s="7">
        <v>0.6828281348056879</v>
      </c>
    </row>
    <row x14ac:dyDescent="0.25" r="290" customHeight="1" ht="19.5">
      <c r="A290" s="2" t="s">
        <v>321</v>
      </c>
      <c r="B290" s="2" t="s">
        <v>30</v>
      </c>
      <c r="C290" s="2" t="s">
        <v>31</v>
      </c>
      <c r="D290" s="2" t="s">
        <v>245</v>
      </c>
      <c r="E290" s="6">
        <v>1</v>
      </c>
      <c r="F290" s="6">
        <v>0</v>
      </c>
      <c r="G290" s="7">
        <v>0.7463262677192688</v>
      </c>
      <c r="H290" s="7">
        <v>46.2486578125</v>
      </c>
      <c r="I290" s="7">
        <v>28.50557709633437</v>
      </c>
      <c r="J290" s="7">
        <v>8.170788155049713</v>
      </c>
      <c r="K290" s="7">
        <v>6.710640605992811</v>
      </c>
      <c r="L290" s="7">
        <v>0.641781523898703</v>
      </c>
      <c r="M290" s="7">
        <v>0.7152359282000242</v>
      </c>
      <c r="N290" s="7">
        <v>0.3479248292073741</v>
      </c>
      <c r="O290" s="7">
        <v>0.1169702630009776</v>
      </c>
      <c r="P290" s="7">
        <v>8.729452995791993</v>
      </c>
      <c r="Q290" s="7">
        <v>0.0139988884502429</v>
      </c>
      <c r="R290" s="7">
        <v>0.0569669527802481</v>
      </c>
      <c r="S290" s="7">
        <v>0.1094998695811845</v>
      </c>
      <c r="T290" s="7">
        <v>0.7514212393816804</v>
      </c>
    </row>
    <row x14ac:dyDescent="0.25" r="291" customHeight="1" ht="19.5">
      <c r="A291" s="2" t="s">
        <v>322</v>
      </c>
      <c r="B291" s="2" t="s">
        <v>30</v>
      </c>
      <c r="C291" s="2" t="s">
        <v>31</v>
      </c>
      <c r="D291" s="2" t="s">
        <v>245</v>
      </c>
      <c r="E291" s="6">
        <v>1</v>
      </c>
      <c r="F291" s="6">
        <v>0</v>
      </c>
      <c r="G291" s="7">
        <v>0.7377275228500366</v>
      </c>
      <c r="H291" s="7">
        <v>46.366409375</v>
      </c>
      <c r="I291" s="7">
        <v>28.49548009275654</v>
      </c>
      <c r="J291" s="7">
        <v>8.132622107791274</v>
      </c>
      <c r="K291" s="7">
        <v>6.554473984223661</v>
      </c>
      <c r="L291" s="7">
        <v>0.6548938004243187</v>
      </c>
      <c r="M291" s="7">
        <v>0.7175116092663716</v>
      </c>
      <c r="N291" s="7">
        <v>0.3418878308109156</v>
      </c>
      <c r="O291" s="7">
        <v>0.1143542115697295</v>
      </c>
      <c r="P291" s="7">
        <v>8.73548620222148</v>
      </c>
      <c r="Q291" s="7">
        <v>0.0138297944248467</v>
      </c>
      <c r="R291" s="7">
        <v>0.0560903121600748</v>
      </c>
      <c r="S291" s="7">
        <v>0.1079233451027625</v>
      </c>
      <c r="T291" s="7">
        <v>0.7442347938235244</v>
      </c>
    </row>
    <row x14ac:dyDescent="0.25" r="292" customHeight="1" ht="19.5">
      <c r="A292" s="2" t="s">
        <v>323</v>
      </c>
      <c r="B292" s="2" t="s">
        <v>30</v>
      </c>
      <c r="C292" s="2" t="s">
        <v>31</v>
      </c>
      <c r="D292" s="2" t="s">
        <v>245</v>
      </c>
      <c r="E292" s="6">
        <v>1</v>
      </c>
      <c r="F292" s="6">
        <v>0</v>
      </c>
      <c r="G292" s="7">
        <v>0.7383917570114136</v>
      </c>
      <c r="H292" s="7">
        <v>45.98198515625</v>
      </c>
      <c r="I292" s="7">
        <v>27.97593025054936</v>
      </c>
      <c r="J292" s="7">
        <v>8.028876403749932</v>
      </c>
      <c r="K292" s="7">
        <v>6.50536919816735</v>
      </c>
      <c r="L292" s="7">
        <v>0.6434850183881139</v>
      </c>
      <c r="M292" s="7">
        <v>0.7382925871310332</v>
      </c>
      <c r="N292" s="7">
        <v>0.3401567064201315</v>
      </c>
      <c r="O292" s="7">
        <v>0.1049069375532723</v>
      </c>
      <c r="P292" s="7">
        <v>8.782653656145747</v>
      </c>
      <c r="Q292" s="7">
        <v>0.0137154059825856</v>
      </c>
      <c r="R292" s="7">
        <v>0.0560728881794028</v>
      </c>
      <c r="S292" s="7">
        <v>0.1086952302402782</v>
      </c>
      <c r="T292" s="7">
        <v>0.7319596898138598</v>
      </c>
    </row>
    <row x14ac:dyDescent="0.25" r="293" customHeight="1" ht="19.5">
      <c r="A293" s="2" t="s">
        <v>324</v>
      </c>
      <c r="B293" s="2" t="s">
        <v>30</v>
      </c>
      <c r="C293" s="2" t="s">
        <v>31</v>
      </c>
      <c r="D293" s="2" t="s">
        <v>245</v>
      </c>
      <c r="E293" s="6">
        <v>1</v>
      </c>
      <c r="F293" s="6">
        <v>0</v>
      </c>
      <c r="G293" s="7">
        <v>0.7445916533470154</v>
      </c>
      <c r="H293" s="7">
        <v>45.46595625</v>
      </c>
      <c r="I293" s="7">
        <v>28.36350147429411</v>
      </c>
      <c r="J293" s="7">
        <v>8.028869468165531</v>
      </c>
      <c r="K293" s="7">
        <v>6.38355086238165</v>
      </c>
      <c r="L293" s="7">
        <v>0.6633930116298143</v>
      </c>
      <c r="M293" s="7">
        <v>0.7101931952441933</v>
      </c>
      <c r="N293" s="7">
        <v>0.3440532384864284</v>
      </c>
      <c r="O293" s="7">
        <v>0.1111873972413635</v>
      </c>
      <c r="P293" s="7">
        <v>8.71852399582466</v>
      </c>
      <c r="Q293" s="7">
        <v>0.0146455951001708</v>
      </c>
      <c r="R293" s="7">
        <v>0.0577421186749032</v>
      </c>
      <c r="S293" s="7">
        <v>0.1112780225849033</v>
      </c>
      <c r="T293" s="7">
        <v>0.7728302858901995</v>
      </c>
    </row>
    <row x14ac:dyDescent="0.25" r="294" customHeight="1" ht="19.5">
      <c r="A294" s="2" t="s">
        <v>325</v>
      </c>
      <c r="B294" s="2" t="s">
        <v>30</v>
      </c>
      <c r="C294" s="2" t="s">
        <v>31</v>
      </c>
      <c r="D294" s="2" t="s">
        <v>245</v>
      </c>
      <c r="E294" s="6">
        <v>1</v>
      </c>
      <c r="F294" s="6">
        <v>0</v>
      </c>
      <c r="G294" s="7">
        <v>0.7375741600990295</v>
      </c>
      <c r="H294" s="7">
        <v>45.147334375</v>
      </c>
      <c r="I294" s="7">
        <v>28.1079088690118</v>
      </c>
      <c r="J294" s="7">
        <v>7.92083595489936</v>
      </c>
      <c r="K294" s="7">
        <v>6.440912433346442</v>
      </c>
      <c r="L294" s="7">
        <v>0.6423122731493806</v>
      </c>
      <c r="M294" s="7">
        <v>0.7180999621832217</v>
      </c>
      <c r="N294" s="7">
        <v>0.3457081903156218</v>
      </c>
      <c r="O294" s="7">
        <v>0.1123958934719309</v>
      </c>
      <c r="P294" s="7">
        <v>8.727281038437525</v>
      </c>
      <c r="Q294" s="7">
        <v>0.0132208530227072</v>
      </c>
      <c r="R294" s="7">
        <v>0.0545708007108113</v>
      </c>
      <c r="S294" s="7">
        <v>0.1065457670169771</v>
      </c>
      <c r="T294" s="7">
        <v>0.692759309517891</v>
      </c>
    </row>
    <row x14ac:dyDescent="0.25" r="295" customHeight="1" ht="19.5">
      <c r="A295" s="2" t="s">
        <v>326</v>
      </c>
      <c r="B295" s="2" t="s">
        <v>30</v>
      </c>
      <c r="C295" s="2" t="s">
        <v>31</v>
      </c>
      <c r="D295" s="2" t="s">
        <v>245</v>
      </c>
      <c r="E295" s="6">
        <v>1</v>
      </c>
      <c r="F295" s="6">
        <v>0</v>
      </c>
      <c r="G295" s="7">
        <v>0.7406875491142273</v>
      </c>
      <c r="H295" s="7">
        <v>45.6114140625</v>
      </c>
      <c r="I295" s="7">
        <v>28.02468289650321</v>
      </c>
      <c r="J295" s="7">
        <v>8.155950244453006</v>
      </c>
      <c r="K295" s="7">
        <v>6.813648579564925</v>
      </c>
      <c r="L295" s="7">
        <v>0.627579629624547</v>
      </c>
      <c r="M295" s="7">
        <v>0.729630612216116</v>
      </c>
      <c r="N295" s="7">
        <v>0.3537992453351893</v>
      </c>
      <c r="O295" s="7">
        <v>0.117357563766014</v>
      </c>
      <c r="P295" s="7">
        <v>8.681924902611302</v>
      </c>
      <c r="Q295" s="7">
        <v>0.0131658877047723</v>
      </c>
      <c r="R295" s="7">
        <v>0.0549192630931483</v>
      </c>
      <c r="S295" s="7">
        <v>0.1072922756979436</v>
      </c>
      <c r="T295" s="7">
        <v>0.6969706070738072</v>
      </c>
    </row>
    <row x14ac:dyDescent="0.25" r="296" customHeight="1" ht="19.5">
      <c r="A296" s="2" t="s">
        <v>327</v>
      </c>
      <c r="B296" s="2" t="s">
        <v>30</v>
      </c>
      <c r="C296" s="2" t="s">
        <v>31</v>
      </c>
      <c r="D296" s="2" t="s">
        <v>245</v>
      </c>
      <c r="E296" s="6">
        <v>1</v>
      </c>
      <c r="F296" s="6">
        <v>0</v>
      </c>
      <c r="G296" s="7">
        <v>0.5865755677223206</v>
      </c>
      <c r="H296" s="7">
        <v>51.61328046875001</v>
      </c>
      <c r="I296" s="7">
        <v>30.65099074633726</v>
      </c>
      <c r="J296" s="7">
        <v>8.69138888826873</v>
      </c>
      <c r="K296" s="7">
        <v>7.368383919812841</v>
      </c>
      <c r="L296" s="7">
        <v>0.5901272372769327</v>
      </c>
      <c r="M296" s="7">
        <v>0.690370607697467</v>
      </c>
      <c r="N296" s="7">
        <v>0.4980728416048975</v>
      </c>
      <c r="O296" s="7">
        <v>0.1276985275955142</v>
      </c>
      <c r="P296" s="7">
        <v>7.710438019898589</v>
      </c>
      <c r="Q296" s="7">
        <v>0.0106692506527298</v>
      </c>
      <c r="R296" s="7">
        <v>0.0458479716369879</v>
      </c>
      <c r="S296" s="7">
        <v>0.0846826864868819</v>
      </c>
      <c r="T296" s="7">
        <v>0.6391255232636023</v>
      </c>
    </row>
    <row x14ac:dyDescent="0.25" r="297" customHeight="1" ht="19.5">
      <c r="A297" s="2" t="s">
        <v>328</v>
      </c>
      <c r="B297" s="2" t="s">
        <v>30</v>
      </c>
      <c r="C297" s="2" t="s">
        <v>31</v>
      </c>
      <c r="D297" s="2" t="s">
        <v>245</v>
      </c>
      <c r="E297" s="6">
        <v>1</v>
      </c>
      <c r="F297" s="6">
        <v>0</v>
      </c>
      <c r="G297" s="7">
        <v>0.3678991496562958</v>
      </c>
      <c r="H297" s="7">
        <v>46.1793921875</v>
      </c>
      <c r="I297" s="7">
        <v>32.76049592588406</v>
      </c>
      <c r="J297" s="7">
        <v>9.319779385657988</v>
      </c>
      <c r="K297" s="7">
        <v>8.029695405330859</v>
      </c>
      <c r="L297" s="7">
        <v>0.6014663519623392</v>
      </c>
      <c r="M297" s="7">
        <v>0.5407009611192485</v>
      </c>
      <c r="N297" s="7">
        <v>0.545827704310587</v>
      </c>
      <c r="O297" s="7">
        <v>0.0964112390940642</v>
      </c>
      <c r="P297" s="7">
        <v>8.165174195330383</v>
      </c>
      <c r="Q297" s="7">
        <v>0.0032529361742265</v>
      </c>
      <c r="R297" s="7">
        <v>0.0189857736518615</v>
      </c>
      <c r="S297" s="7">
        <v>0.069824604759758</v>
      </c>
      <c r="T297" s="7">
        <v>0.1743470223800707</v>
      </c>
    </row>
    <row x14ac:dyDescent="0.25" r="298" customHeight="1" ht="19.5">
      <c r="A298" s="2" t="s">
        <v>329</v>
      </c>
      <c r="B298" s="2" t="s">
        <v>30</v>
      </c>
      <c r="C298" s="2" t="s">
        <v>31</v>
      </c>
      <c r="D298" s="2" t="s">
        <v>245</v>
      </c>
      <c r="E298" s="6">
        <v>1</v>
      </c>
      <c r="F298" s="6">
        <v>0</v>
      </c>
      <c r="G298" s="7">
        <v>0.5090353488922119</v>
      </c>
      <c r="H298" s="7">
        <v>42.37324609375001</v>
      </c>
      <c r="I298" s="7">
        <v>27.81640779327338</v>
      </c>
      <c r="J298" s="7">
        <v>8.40170888791534</v>
      </c>
      <c r="K298" s="7">
        <v>5.621516181399195</v>
      </c>
      <c r="L298" s="7">
        <v>0.7630300447749541</v>
      </c>
      <c r="M298" s="7">
        <v>0.6881759804137769</v>
      </c>
      <c r="N298" s="7">
        <v>0.4403381983947576</v>
      </c>
      <c r="O298" s="7">
        <v>0.0634015590666524</v>
      </c>
      <c r="P298" s="7">
        <v>8.653942140333744</v>
      </c>
      <c r="Q298" s="7">
        <v>0.0044096185777725</v>
      </c>
      <c r="R298" s="7">
        <v>0.0191991077792593</v>
      </c>
      <c r="S298" s="7">
        <v>0.0424487130739863</v>
      </c>
      <c r="T298" s="7">
        <v>0.2168620410812174</v>
      </c>
    </row>
    <row x14ac:dyDescent="0.25" r="299" customHeight="1" ht="19.5">
      <c r="A299" s="2" t="s">
        <v>330</v>
      </c>
      <c r="B299" s="2" t="s">
        <v>30</v>
      </c>
      <c r="C299" s="2" t="s">
        <v>31</v>
      </c>
      <c r="D299" s="2" t="s">
        <v>245</v>
      </c>
      <c r="E299" s="6">
        <v>1</v>
      </c>
      <c r="F299" s="6">
        <v>0</v>
      </c>
      <c r="G299" s="7">
        <v>0.6406353116035461</v>
      </c>
      <c r="H299" s="7">
        <v>37.7428390625</v>
      </c>
      <c r="I299" s="7">
        <v>24.79625524596268</v>
      </c>
      <c r="J299" s="7">
        <v>7.64196584471507</v>
      </c>
      <c r="K299" s="7">
        <v>5.068127282575883</v>
      </c>
      <c r="L299" s="7">
        <v>0.7678837054664552</v>
      </c>
      <c r="M299" s="7">
        <v>0.7713868530830462</v>
      </c>
      <c r="N299" s="7">
        <v>0.3754483267098786</v>
      </c>
      <c r="O299" s="7">
        <v>0.0547916522285707</v>
      </c>
      <c r="P299" s="7">
        <v>8.857189766735736</v>
      </c>
      <c r="Q299" s="7">
        <v>0.0058667708721346</v>
      </c>
      <c r="R299" s="7">
        <v>0.0259027386554303</v>
      </c>
      <c r="S299" s="7">
        <v>0.0484373347236266</v>
      </c>
      <c r="T299" s="7">
        <v>0.25699488072508</v>
      </c>
    </row>
    <row x14ac:dyDescent="0.25" r="300" customHeight="1" ht="19.5">
      <c r="A300" s="2" t="s">
        <v>331</v>
      </c>
      <c r="B300" s="2" t="s">
        <v>30</v>
      </c>
      <c r="C300" s="2" t="s">
        <v>31</v>
      </c>
      <c r="D300" s="2" t="s">
        <v>245</v>
      </c>
      <c r="E300" s="6">
        <v>1</v>
      </c>
      <c r="F300" s="6">
        <v>0</v>
      </c>
      <c r="G300" s="7">
        <v>0.6718713641166687</v>
      </c>
      <c r="H300" s="7">
        <v>37.84327421875</v>
      </c>
      <c r="I300" s="7">
        <v>25.32207856190175</v>
      </c>
      <c r="J300" s="7">
        <v>7.811764469432324</v>
      </c>
      <c r="K300" s="7">
        <v>5.133577006159035</v>
      </c>
      <c r="L300" s="7">
        <v>0.7779278821291538</v>
      </c>
      <c r="M300" s="7">
        <v>0.7416514754280903</v>
      </c>
      <c r="N300" s="7">
        <v>0.3414222269192917</v>
      </c>
      <c r="O300" s="7">
        <v>0.0522810264421901</v>
      </c>
      <c r="P300" s="7">
        <v>9.065614630569511</v>
      </c>
      <c r="Q300" s="7">
        <v>0.0090914047528356</v>
      </c>
      <c r="R300" s="7">
        <v>0.0347659424659254</v>
      </c>
      <c r="S300" s="7">
        <v>0.0606570908454244</v>
      </c>
      <c r="T300" s="7">
        <v>0.3993102680113635</v>
      </c>
    </row>
    <row x14ac:dyDescent="0.25" r="301" customHeight="1" ht="19.5">
      <c r="A301" s="2" t="s">
        <v>332</v>
      </c>
      <c r="B301" s="2" t="s">
        <v>30</v>
      </c>
      <c r="C301" s="2" t="s">
        <v>31</v>
      </c>
      <c r="D301" s="2" t="s">
        <v>245</v>
      </c>
      <c r="E301" s="6">
        <v>1</v>
      </c>
      <c r="F301" s="6">
        <v>0</v>
      </c>
      <c r="G301" s="7">
        <v>0.6803034543991089</v>
      </c>
      <c r="H301" s="7">
        <v>38.2554046875</v>
      </c>
      <c r="I301" s="7">
        <v>25.75248774384378</v>
      </c>
      <c r="J301" s="7">
        <v>7.845452593449471</v>
      </c>
      <c r="K301" s="7">
        <v>5.023863142331825</v>
      </c>
      <c r="L301" s="7">
        <v>0.7862217145538408</v>
      </c>
      <c r="M301" s="7">
        <v>0.7248769436505837</v>
      </c>
      <c r="N301" s="7">
        <v>0.3254226795037298</v>
      </c>
      <c r="O301" s="7">
        <v>0.0505878449521613</v>
      </c>
      <c r="P301" s="7">
        <v>9.195484859047436</v>
      </c>
      <c r="Q301" s="7">
        <v>0.0096837844423923</v>
      </c>
      <c r="R301" s="7">
        <v>0.0358185421504598</v>
      </c>
      <c r="S301" s="7">
        <v>0.0633217083414622</v>
      </c>
      <c r="T301" s="7">
        <v>0.4299606336396693</v>
      </c>
    </row>
    <row x14ac:dyDescent="0.25" r="302" customHeight="1" ht="19.5">
      <c r="A302" s="2" t="s">
        <v>333</v>
      </c>
      <c r="B302" s="2" t="s">
        <v>30</v>
      </c>
      <c r="C302" s="2" t="s">
        <v>31</v>
      </c>
      <c r="D302" s="2" t="s">
        <v>245</v>
      </c>
      <c r="E302" s="6">
        <v>1</v>
      </c>
      <c r="F302" s="6">
        <v>0</v>
      </c>
      <c r="G302" s="7">
        <v>0.6724749803543091</v>
      </c>
      <c r="H302" s="7">
        <v>38.71602109375</v>
      </c>
      <c r="I302" s="7">
        <v>26.10558564103378</v>
      </c>
      <c r="J302" s="7">
        <v>7.984932302599072</v>
      </c>
      <c r="K302" s="7">
        <v>5.057663162414218</v>
      </c>
      <c r="L302" s="7">
        <v>0.7936580341402779</v>
      </c>
      <c r="M302" s="7">
        <v>0.7138939491725083</v>
      </c>
      <c r="N302" s="7">
        <v>0.3263115679823494</v>
      </c>
      <c r="O302" s="7">
        <v>0.0521844979029309</v>
      </c>
      <c r="P302" s="7">
        <v>9.167386996438818</v>
      </c>
      <c r="Q302" s="7">
        <v>0.0146097045847147</v>
      </c>
      <c r="R302" s="7">
        <v>0.0443983402276975</v>
      </c>
      <c r="S302" s="7">
        <v>0.0678923237341447</v>
      </c>
      <c r="T302" s="7">
        <v>0.6564821655620712</v>
      </c>
    </row>
    <row x14ac:dyDescent="0.25" r="303" customHeight="1" ht="19.5">
      <c r="A303" s="2" t="s">
        <v>334</v>
      </c>
      <c r="B303" s="2" t="s">
        <v>30</v>
      </c>
      <c r="C303" s="2" t="s">
        <v>31</v>
      </c>
      <c r="D303" s="2" t="s">
        <v>245</v>
      </c>
      <c r="E303" s="6">
        <v>1</v>
      </c>
      <c r="F303" s="6">
        <v>0</v>
      </c>
      <c r="G303" s="7">
        <v>0.6840375065803528</v>
      </c>
      <c r="H303" s="7">
        <v>38.54978359375</v>
      </c>
      <c r="I303" s="7">
        <v>25.89038105006276</v>
      </c>
      <c r="J303" s="7">
        <v>7.819702149176925</v>
      </c>
      <c r="K303" s="7">
        <v>4.989685356085204</v>
      </c>
      <c r="L303" s="7">
        <v>0.784797413112984</v>
      </c>
      <c r="M303" s="7">
        <v>0.7226947897956236</v>
      </c>
      <c r="N303" s="7">
        <v>0.3220570761423575</v>
      </c>
      <c r="O303" s="7">
        <v>0.0488848095646373</v>
      </c>
      <c r="P303" s="7">
        <v>9.233667285267474</v>
      </c>
      <c r="Q303" s="7">
        <v>0.0103595164324014</v>
      </c>
      <c r="R303" s="7">
        <v>0.0368720240405696</v>
      </c>
      <c r="S303" s="7">
        <v>0.0651476005533866</v>
      </c>
      <c r="T303" s="7">
        <v>0.4635026357013264</v>
      </c>
    </row>
    <row x14ac:dyDescent="0.25" r="304" customHeight="1" ht="19.5">
      <c r="A304" s="2" t="s">
        <v>335</v>
      </c>
      <c r="B304" s="2" t="s">
        <v>30</v>
      </c>
      <c r="C304" s="2" t="s">
        <v>31</v>
      </c>
      <c r="D304" s="2" t="s">
        <v>245</v>
      </c>
      <c r="E304" s="6">
        <v>1</v>
      </c>
      <c r="F304" s="6">
        <v>0</v>
      </c>
      <c r="G304" s="7">
        <v>0.6838993430137634</v>
      </c>
      <c r="H304" s="7">
        <v>36.80428984375001</v>
      </c>
      <c r="I304" s="7">
        <v>24.61797392543238</v>
      </c>
      <c r="J304" s="7">
        <v>7.612047065960343</v>
      </c>
      <c r="K304" s="7">
        <v>5.103001184449985</v>
      </c>
      <c r="L304" s="7">
        <v>0.764697878268737</v>
      </c>
      <c r="M304" s="7">
        <v>0.7621337166967627</v>
      </c>
      <c r="N304" s="7">
        <v>0.3275589220261883</v>
      </c>
      <c r="O304" s="7">
        <v>0.0508717406078536</v>
      </c>
      <c r="P304" s="7">
        <v>9.18636914845317</v>
      </c>
      <c r="Q304" s="7">
        <v>0.0102265172870478</v>
      </c>
      <c r="R304" s="7">
        <v>0.0359666877400488</v>
      </c>
      <c r="S304" s="7">
        <v>0.0630452300788748</v>
      </c>
      <c r="T304" s="7">
        <v>0.4368345489596434</v>
      </c>
    </row>
    <row x14ac:dyDescent="0.25" r="305" customHeight="1" ht="19.5">
      <c r="A305" s="2" t="s">
        <v>336</v>
      </c>
      <c r="B305" s="2" t="s">
        <v>30</v>
      </c>
      <c r="C305" s="2" t="s">
        <v>31</v>
      </c>
      <c r="D305" s="2" t="s">
        <v>245</v>
      </c>
      <c r="E305" s="6">
        <v>1</v>
      </c>
      <c r="F305" s="6">
        <v>0</v>
      </c>
      <c r="G305" s="7">
        <v>0.6721163988113403</v>
      </c>
      <c r="H305" s="7">
        <v>37.43114375</v>
      </c>
      <c r="I305" s="7">
        <v>25.61459443762479</v>
      </c>
      <c r="J305" s="7">
        <v>7.670671172447239</v>
      </c>
      <c r="K305" s="7">
        <v>5.160328445463898</v>
      </c>
      <c r="L305" s="7">
        <v>0.7637142268331122</v>
      </c>
      <c r="M305" s="7">
        <v>0.7169155390164145</v>
      </c>
      <c r="N305" s="7">
        <v>0.3296071945513953</v>
      </c>
      <c r="O305" s="7">
        <v>0.0513297784159436</v>
      </c>
      <c r="P305" s="7">
        <v>9.201586909417912</v>
      </c>
      <c r="Q305" s="7">
        <v>0.0100598801834548</v>
      </c>
      <c r="R305" s="7">
        <v>0.0364391036344182</v>
      </c>
      <c r="S305" s="7">
        <v>0.0653815089427712</v>
      </c>
      <c r="T305" s="7">
        <v>0.4370354699474494</v>
      </c>
    </row>
    <row x14ac:dyDescent="0.25" r="306" customHeight="1" ht="19.5">
      <c r="A306" s="2" t="s">
        <v>337</v>
      </c>
      <c r="B306" s="2" t="s">
        <v>30</v>
      </c>
      <c r="C306" s="2" t="s">
        <v>31</v>
      </c>
      <c r="D306" s="2" t="s">
        <v>245</v>
      </c>
      <c r="E306" s="6">
        <v>1</v>
      </c>
      <c r="F306" s="6">
        <v>0</v>
      </c>
      <c r="G306" s="7">
        <v>0.6552842259407043</v>
      </c>
      <c r="H306" s="7">
        <v>37.7151328125</v>
      </c>
      <c r="I306" s="7">
        <v>25.90675152737249</v>
      </c>
      <c r="J306" s="7">
        <v>7.762644172504491</v>
      </c>
      <c r="K306" s="7">
        <v>5.129942200138258</v>
      </c>
      <c r="L306" s="7">
        <v>0.7729732574836344</v>
      </c>
      <c r="M306" s="7">
        <v>0.7058948868021585</v>
      </c>
      <c r="N306" s="7">
        <v>0.3286268535392355</v>
      </c>
      <c r="O306" s="7">
        <v>0.0535574908050306</v>
      </c>
      <c r="P306" s="7">
        <v>9.189400285253427</v>
      </c>
      <c r="Q306" s="7">
        <v>0.0102389536623803</v>
      </c>
      <c r="R306" s="7">
        <v>0.0368014212203036</v>
      </c>
      <c r="S306" s="7">
        <v>0.0664063885494549</v>
      </c>
      <c r="T306" s="7">
        <v>0.4481898314544541</v>
      </c>
    </row>
    <row x14ac:dyDescent="0.25" r="307" customHeight="1" ht="19.5">
      <c r="A307" s="2" t="s">
        <v>338</v>
      </c>
      <c r="B307" s="2" t="s">
        <v>30</v>
      </c>
      <c r="C307" s="2" t="s">
        <v>31</v>
      </c>
      <c r="D307" s="2" t="s">
        <v>245</v>
      </c>
      <c r="E307" s="6">
        <v>1</v>
      </c>
      <c r="F307" s="6">
        <v>0</v>
      </c>
      <c r="G307" s="7">
        <v>0.673290491104126</v>
      </c>
      <c r="H307" s="7">
        <v>36.5099109375</v>
      </c>
      <c r="I307" s="7">
        <v>25.41785148187413</v>
      </c>
      <c r="J307" s="7">
        <v>7.549076694300799</v>
      </c>
      <c r="K307" s="7">
        <v>5.152948924728337</v>
      </c>
      <c r="L307" s="7">
        <v>0.7536788751567038</v>
      </c>
      <c r="M307" s="7">
        <v>0.7101383423174864</v>
      </c>
      <c r="N307" s="7">
        <v>0.3365858174108155</v>
      </c>
      <c r="O307" s="7">
        <v>0.0548603832051112</v>
      </c>
      <c r="P307" s="7">
        <v>9.142146345298997</v>
      </c>
      <c r="Q307" s="7">
        <v>0.0085605566298738</v>
      </c>
      <c r="R307" s="7">
        <v>0.0335100877828088</v>
      </c>
      <c r="S307" s="7">
        <v>0.062391181628</v>
      </c>
      <c r="T307" s="7">
        <v>0.3627467734354288</v>
      </c>
    </row>
    <row x14ac:dyDescent="0.25" r="308" customHeight="1" ht="19.5">
      <c r="A308" s="2" t="s">
        <v>339</v>
      </c>
      <c r="B308" s="2" t="s">
        <v>30</v>
      </c>
      <c r="C308" s="2" t="s">
        <v>31</v>
      </c>
      <c r="D308" s="2" t="s">
        <v>245</v>
      </c>
      <c r="E308" s="6">
        <v>1</v>
      </c>
      <c r="F308" s="6">
        <v>0</v>
      </c>
      <c r="G308" s="7">
        <v>0.6386179327964783</v>
      </c>
      <c r="H308" s="7">
        <v>38.63290234375</v>
      </c>
      <c r="I308" s="7">
        <v>26.14005896758852</v>
      </c>
      <c r="J308" s="7">
        <v>7.811218002874908</v>
      </c>
      <c r="K308" s="7">
        <v>5.113891709567102</v>
      </c>
      <c r="L308" s="7">
        <v>0.7757256875423654</v>
      </c>
      <c r="M308" s="7">
        <v>0.7104836274752293</v>
      </c>
      <c r="N308" s="7">
        <v>0.3208180647382589</v>
      </c>
      <c r="O308" s="7">
        <v>0.0488477218116509</v>
      </c>
      <c r="P308" s="7">
        <v>9.242675464263352</v>
      </c>
      <c r="Q308" s="7">
        <v>0.0105574393408726</v>
      </c>
      <c r="R308" s="7">
        <v>0.0378290713297479</v>
      </c>
      <c r="S308" s="7">
        <v>0.0622802272215377</v>
      </c>
      <c r="T308" s="7">
        <v>0.4733765183719415</v>
      </c>
    </row>
    <row x14ac:dyDescent="0.25" r="309" customHeight="1" ht="19.5">
      <c r="A309" s="2" t="s">
        <v>340</v>
      </c>
      <c r="B309" s="2" t="s">
        <v>30</v>
      </c>
      <c r="C309" s="2" t="s">
        <v>31</v>
      </c>
      <c r="D309" s="2" t="s">
        <v>245</v>
      </c>
      <c r="E309" s="6">
        <v>1</v>
      </c>
      <c r="F309" s="6">
        <v>0</v>
      </c>
      <c r="G309" s="7">
        <v>0.6764246821403503</v>
      </c>
      <c r="H309" s="7">
        <v>37.9644890625</v>
      </c>
      <c r="I309" s="7">
        <v>25.76049358951097</v>
      </c>
      <c r="J309" s="7">
        <v>8.023563621375079</v>
      </c>
      <c r="K309" s="7">
        <v>5.192856685276387</v>
      </c>
      <c r="L309" s="7">
        <v>0.7904065879662658</v>
      </c>
      <c r="M309" s="7">
        <v>0.7186551819376715</v>
      </c>
      <c r="N309" s="7">
        <v>0.3312340444642947</v>
      </c>
      <c r="O309" s="7">
        <v>0.0568534712039191</v>
      </c>
      <c r="P309" s="7">
        <v>9.131493355102748</v>
      </c>
      <c r="Q309" s="7">
        <v>0.0127450333200452</v>
      </c>
      <c r="R309" s="7">
        <v>0.0407426141941632</v>
      </c>
      <c r="S309" s="7">
        <v>0.0700361741999874</v>
      </c>
      <c r="T309" s="7">
        <v>0.561577002818018</v>
      </c>
    </row>
    <row x14ac:dyDescent="0.25" r="310" customHeight="1" ht="19.5">
      <c r="A310" s="2" t="s">
        <v>341</v>
      </c>
      <c r="B310" s="2" t="s">
        <v>30</v>
      </c>
      <c r="C310" s="2" t="s">
        <v>31</v>
      </c>
      <c r="D310" s="2" t="s">
        <v>245</v>
      </c>
      <c r="E310" s="6">
        <v>1</v>
      </c>
      <c r="F310" s="6">
        <v>0</v>
      </c>
      <c r="G310" s="7">
        <v>0.6622030138969421</v>
      </c>
      <c r="H310" s="7">
        <v>38.14457968750001</v>
      </c>
      <c r="I310" s="7">
        <v>26.07111231447903</v>
      </c>
      <c r="J310" s="7">
        <v>7.838392478787978</v>
      </c>
      <c r="K310" s="7">
        <v>5.092278467450516</v>
      </c>
      <c r="L310" s="7">
        <v>0.7819125267140409</v>
      </c>
      <c r="M310" s="7">
        <v>0.7047701003554089</v>
      </c>
      <c r="N310" s="7">
        <v>0.3216391270550378</v>
      </c>
      <c r="O310" s="7">
        <v>0.049573808640692</v>
      </c>
      <c r="P310" s="7">
        <v>9.197909388485703</v>
      </c>
      <c r="Q310" s="7">
        <v>0.0122223916053733</v>
      </c>
      <c r="R310" s="7">
        <v>0.04025513124303</v>
      </c>
      <c r="S310" s="7">
        <v>0.065848448939394</v>
      </c>
      <c r="T310" s="7">
        <v>0.5411028336602203</v>
      </c>
    </row>
    <row x14ac:dyDescent="0.25" r="311" customHeight="1" ht="19.5">
      <c r="A311" s="2" t="s">
        <v>342</v>
      </c>
      <c r="B311" s="2" t="s">
        <v>30</v>
      </c>
      <c r="C311" s="2" t="s">
        <v>31</v>
      </c>
      <c r="D311" s="2" t="s">
        <v>245</v>
      </c>
      <c r="E311" s="6">
        <v>1</v>
      </c>
      <c r="F311" s="6">
        <v>0</v>
      </c>
      <c r="G311" s="7">
        <v>0.6706129908561707</v>
      </c>
      <c r="H311" s="7">
        <v>38.25886796875</v>
      </c>
      <c r="I311" s="7">
        <v>25.31616387414519</v>
      </c>
      <c r="J311" s="7">
        <v>7.877425774670419</v>
      </c>
      <c r="K311" s="7">
        <v>5.205361236905901</v>
      </c>
      <c r="L311" s="7">
        <v>0.7751462535392942</v>
      </c>
      <c r="M311" s="7">
        <v>0.7493997105094975</v>
      </c>
      <c r="N311" s="7">
        <v>0.3273944425203047</v>
      </c>
      <c r="O311" s="7">
        <v>0.0515108006373489</v>
      </c>
      <c r="P311" s="7">
        <v>9.20706996311448</v>
      </c>
      <c r="Q311" s="7">
        <v>0.0097236300266141</v>
      </c>
      <c r="R311" s="7">
        <v>0.0353514794271975</v>
      </c>
      <c r="S311" s="7">
        <v>0.0632619544346705</v>
      </c>
      <c r="T311" s="7">
        <v>0.4317688647826588</v>
      </c>
    </row>
    <row x14ac:dyDescent="0.25" r="312" customHeight="1" ht="19.5">
      <c r="A312" s="2" t="s">
        <v>343</v>
      </c>
      <c r="B312" s="2" t="s">
        <v>30</v>
      </c>
      <c r="C312" s="2" t="s">
        <v>31</v>
      </c>
      <c r="D312" s="2" t="s">
        <v>245</v>
      </c>
      <c r="E312" s="6">
        <v>1</v>
      </c>
      <c r="F312" s="6">
        <v>0</v>
      </c>
      <c r="G312" s="7">
        <v>0.6762773394584656</v>
      </c>
      <c r="H312" s="7">
        <v>36.76965703125001</v>
      </c>
      <c r="I312" s="7">
        <v>25.55156247227185</v>
      </c>
      <c r="J312" s="7">
        <v>7.646693519982535</v>
      </c>
      <c r="K312" s="7">
        <v>5.148592125956588</v>
      </c>
      <c r="L312" s="7">
        <v>0.7658374232921707</v>
      </c>
      <c r="M312" s="7">
        <v>0.7077249696148851</v>
      </c>
      <c r="N312" s="7">
        <v>0.3328999687837807</v>
      </c>
      <c r="O312" s="7">
        <v>0.0521387003250957</v>
      </c>
      <c r="P312" s="7">
        <v>9.144116250640735</v>
      </c>
      <c r="Q312" s="7">
        <v>0.0106491020810796</v>
      </c>
      <c r="R312" s="7">
        <v>0.0368328841862401</v>
      </c>
      <c r="S312" s="7">
        <v>0.0667429162695713</v>
      </c>
      <c r="T312" s="7">
        <v>0.4544575776062283</v>
      </c>
    </row>
    <row x14ac:dyDescent="0.25" r="313" customHeight="1" ht="19.5">
      <c r="A313" s="2" t="s">
        <v>344</v>
      </c>
      <c r="B313" s="2" t="s">
        <v>30</v>
      </c>
      <c r="C313" s="2" t="s">
        <v>31</v>
      </c>
      <c r="D313" s="2" t="s">
        <v>245</v>
      </c>
      <c r="E313" s="6">
        <v>1</v>
      </c>
      <c r="F313" s="6">
        <v>0</v>
      </c>
      <c r="G313" s="7">
        <v>0.6742860674858093</v>
      </c>
      <c r="H313" s="7">
        <v>39.3220953125</v>
      </c>
      <c r="I313" s="7">
        <v>25.69154693640148</v>
      </c>
      <c r="J313" s="7">
        <v>7.851125526923234</v>
      </c>
      <c r="K313" s="7">
        <v>5.011416339382857</v>
      </c>
      <c r="L313" s="7">
        <v>0.7824747665590763</v>
      </c>
      <c r="M313" s="7">
        <v>0.7486278959212934</v>
      </c>
      <c r="N313" s="7">
        <v>0.3207638802064612</v>
      </c>
      <c r="O313" s="7">
        <v>0.04872609295535</v>
      </c>
      <c r="P313" s="7">
        <v>9.229441742606758</v>
      </c>
      <c r="Q313" s="7">
        <v>0.0103885819249334</v>
      </c>
      <c r="R313" s="7">
        <v>0.0377151562902566</v>
      </c>
      <c r="S313" s="7">
        <v>0.065581041803084</v>
      </c>
      <c r="T313" s="7">
        <v>0.4741150053574147</v>
      </c>
    </row>
    <row x14ac:dyDescent="0.25" r="314" customHeight="1" ht="19.5">
      <c r="A314" s="2" t="s">
        <v>345</v>
      </c>
      <c r="B314" s="2" t="s">
        <v>30</v>
      </c>
      <c r="C314" s="2" t="s">
        <v>31</v>
      </c>
      <c r="D314" s="2" t="s">
        <v>245</v>
      </c>
      <c r="E314" s="6">
        <v>1</v>
      </c>
      <c r="F314" s="6">
        <v>0</v>
      </c>
      <c r="G314" s="7">
        <v>0.6763940453529358</v>
      </c>
      <c r="H314" s="7">
        <v>38.81645625</v>
      </c>
      <c r="I314" s="7">
        <v>26.53390366506517</v>
      </c>
      <c r="J314" s="7">
        <v>7.955779163770966</v>
      </c>
      <c r="K314" s="7">
        <v>5.093008886055798</v>
      </c>
      <c r="L314" s="7">
        <v>0.7881712594480905</v>
      </c>
      <c r="M314" s="7">
        <v>0.6928248427554535</v>
      </c>
      <c r="N314" s="7">
        <v>0.3208762554604817</v>
      </c>
      <c r="O314" s="7">
        <v>0.0489604682615004</v>
      </c>
      <c r="P314" s="7">
        <v>9.227376501754405</v>
      </c>
      <c r="Q314" s="7">
        <v>0.0117622019950142</v>
      </c>
      <c r="R314" s="7">
        <v>0.0393188953169472</v>
      </c>
      <c r="S314" s="7">
        <v>0.0658315844824267</v>
      </c>
      <c r="T314" s="7">
        <v>0.5299016811722786</v>
      </c>
    </row>
    <row x14ac:dyDescent="0.25" r="315" customHeight="1" ht="19.5">
      <c r="A315" s="2" t="s">
        <v>346</v>
      </c>
      <c r="B315" s="2" t="s">
        <v>30</v>
      </c>
      <c r="C315" s="2" t="s">
        <v>31</v>
      </c>
      <c r="D315" s="2" t="s">
        <v>245</v>
      </c>
      <c r="E315" s="6">
        <v>1</v>
      </c>
      <c r="F315" s="6">
        <v>0</v>
      </c>
      <c r="G315" s="7">
        <v>0.669906735420227</v>
      </c>
      <c r="H315" s="7">
        <v>37.96795234375</v>
      </c>
      <c r="I315" s="7">
        <v>25.86009003932928</v>
      </c>
      <c r="J315" s="7">
        <v>7.681523294180272</v>
      </c>
      <c r="K315" s="7">
        <v>4.957888232848283</v>
      </c>
      <c r="L315" s="7">
        <v>0.7772771366657203</v>
      </c>
      <c r="M315" s="7">
        <v>0.713455638292622</v>
      </c>
      <c r="N315" s="7">
        <v>0.3205961443190693</v>
      </c>
      <c r="O315" s="7">
        <v>0.0489832514196871</v>
      </c>
      <c r="P315" s="7">
        <v>9.214443935558135</v>
      </c>
      <c r="Q315" s="7">
        <v>0.010659972542397</v>
      </c>
      <c r="R315" s="7">
        <v>0.0375279296631896</v>
      </c>
      <c r="S315" s="7">
        <v>0.0645395390107417</v>
      </c>
      <c r="T315" s="7">
        <v>0.4697470288582188</v>
      </c>
    </row>
    <row x14ac:dyDescent="0.25" r="316" customHeight="1" ht="19.5">
      <c r="A316" s="2" t="s">
        <v>347</v>
      </c>
      <c r="B316" s="2" t="s">
        <v>30</v>
      </c>
      <c r="C316" s="2" t="s">
        <v>31</v>
      </c>
      <c r="D316" s="2" t="s">
        <v>245</v>
      </c>
      <c r="E316" s="6">
        <v>1</v>
      </c>
      <c r="F316" s="6">
        <v>0</v>
      </c>
      <c r="G316" s="7">
        <v>0.6772084832191467</v>
      </c>
      <c r="H316" s="7">
        <v>38.1030203125</v>
      </c>
      <c r="I316" s="7">
        <v>25.32207856190175</v>
      </c>
      <c r="J316" s="7">
        <v>7.863592365676126</v>
      </c>
      <c r="K316" s="7">
        <v>5.126673879746293</v>
      </c>
      <c r="L316" s="7">
        <v>0.7813858067697848</v>
      </c>
      <c r="M316" s="7">
        <v>0.7467419724224261</v>
      </c>
      <c r="N316" s="7">
        <v>0.3232074073941643</v>
      </c>
      <c r="O316" s="7">
        <v>0.0503147570703503</v>
      </c>
      <c r="P316" s="7">
        <v>9.185860535067144</v>
      </c>
      <c r="Q316" s="7">
        <v>0.0108086501560399</v>
      </c>
      <c r="R316" s="7">
        <v>0.0379670129682199</v>
      </c>
      <c r="S316" s="7">
        <v>0.0624930228834358</v>
      </c>
      <c r="T316" s="7">
        <v>0.4779931166338926</v>
      </c>
    </row>
    <row x14ac:dyDescent="0.25" r="317" customHeight="1" ht="19.5">
      <c r="A317" s="2" t="s">
        <v>348</v>
      </c>
      <c r="B317" s="2" t="s">
        <v>30</v>
      </c>
      <c r="C317" s="2" t="s">
        <v>31</v>
      </c>
      <c r="D317" s="2" t="s">
        <v>245</v>
      </c>
      <c r="E317" s="6">
        <v>1</v>
      </c>
      <c r="F317" s="6">
        <v>0</v>
      </c>
      <c r="G317" s="7">
        <v>0.6739187836647034</v>
      </c>
      <c r="H317" s="7">
        <v>38.1722859375</v>
      </c>
      <c r="I317" s="7">
        <v>25.35864304636713</v>
      </c>
      <c r="J317" s="7">
        <v>7.97363787568923</v>
      </c>
      <c r="K317" s="7">
        <v>5.198848073685223</v>
      </c>
      <c r="L317" s="7">
        <v>0.7852695955453436</v>
      </c>
      <c r="M317" s="7">
        <v>0.7448607896703309</v>
      </c>
      <c r="N317" s="7">
        <v>0.3263124337345459</v>
      </c>
      <c r="O317" s="7">
        <v>0.0512562944022273</v>
      </c>
      <c r="P317" s="7">
        <v>9.184537041555949</v>
      </c>
      <c r="Q317" s="7">
        <v>0.0108722538218565</v>
      </c>
      <c r="R317" s="7">
        <v>0.0385996368657459</v>
      </c>
      <c r="S317" s="7">
        <v>0.0659784878971158</v>
      </c>
      <c r="T317" s="7">
        <v>0.4816799079638268</v>
      </c>
    </row>
    <row x14ac:dyDescent="0.25" r="318" customHeight="1" ht="19.5">
      <c r="A318" s="2" t="s">
        <v>349</v>
      </c>
      <c r="B318" s="2" t="s">
        <v>30</v>
      </c>
      <c r="C318" s="2" t="s">
        <v>31</v>
      </c>
      <c r="D318" s="2" t="s">
        <v>245</v>
      </c>
      <c r="E318" s="6">
        <v>1</v>
      </c>
      <c r="F318" s="6">
        <v>0</v>
      </c>
      <c r="G318" s="7">
        <v>0.6694211959838867</v>
      </c>
      <c r="H318" s="7">
        <v>37.27529609375</v>
      </c>
      <c r="I318" s="7">
        <v>25.35864304636713</v>
      </c>
      <c r="J318" s="7">
        <v>7.704138176579818</v>
      </c>
      <c r="K318" s="7">
        <v>5.145314501581254</v>
      </c>
      <c r="L318" s="7">
        <v>0.7693104128222215</v>
      </c>
      <c r="M318" s="7">
        <v>0.7284151080521324</v>
      </c>
      <c r="N318" s="7">
        <v>0.3278673696331243</v>
      </c>
      <c r="O318" s="7">
        <v>0.0506076918522966</v>
      </c>
      <c r="P318" s="7">
        <v>9.16376534578414</v>
      </c>
      <c r="Q318" s="7">
        <v>0.0099978603502788</v>
      </c>
      <c r="R318" s="7">
        <v>0.0361714134583435</v>
      </c>
      <c r="S318" s="7">
        <v>0.0632660930540243</v>
      </c>
      <c r="T318" s="7">
        <v>0.4325327020001866</v>
      </c>
    </row>
    <row x14ac:dyDescent="0.25" r="319" customHeight="1" ht="19.5">
      <c r="A319" s="2" t="s">
        <v>350</v>
      </c>
      <c r="B319" s="2" t="s">
        <v>30</v>
      </c>
      <c r="C319" s="2" t="s">
        <v>31</v>
      </c>
      <c r="D319" s="2" t="s">
        <v>245</v>
      </c>
      <c r="E319" s="6">
        <v>1</v>
      </c>
      <c r="F319" s="6">
        <v>0</v>
      </c>
      <c r="G319" s="7">
        <v>0.6777746677398682</v>
      </c>
      <c r="H319" s="7">
        <v>37.85020078125</v>
      </c>
      <c r="I319" s="7">
        <v>25.71801441728903</v>
      </c>
      <c r="J319" s="7">
        <v>7.815078125494605</v>
      </c>
      <c r="K319" s="7">
        <v>5.198076778979706</v>
      </c>
      <c r="L319" s="7">
        <v>0.7724969656533881</v>
      </c>
      <c r="M319" s="7">
        <v>0.7191230025719348</v>
      </c>
      <c r="N319" s="7">
        <v>0.3538029566890572</v>
      </c>
      <c r="O319" s="7">
        <v>0.0558752402162033</v>
      </c>
      <c r="P319" s="7">
        <v>9.027752261768208</v>
      </c>
      <c r="Q319" s="7">
        <v>0.0115756855154725</v>
      </c>
      <c r="R319" s="7">
        <v>0.0388200578830694</v>
      </c>
      <c r="S319" s="7">
        <v>0.0679295923378798</v>
      </c>
      <c r="T319" s="7">
        <v>0.5085172470299333</v>
      </c>
    </row>
    <row x14ac:dyDescent="0.25" r="320" customHeight="1" ht="19.5">
      <c r="A320" s="2" t="s">
        <v>351</v>
      </c>
      <c r="B320" s="2" t="s">
        <v>30</v>
      </c>
      <c r="C320" s="2" t="s">
        <v>31</v>
      </c>
      <c r="D320" s="2" t="s">
        <v>245</v>
      </c>
      <c r="E320" s="6">
        <v>1</v>
      </c>
      <c r="F320" s="6">
        <v>0</v>
      </c>
      <c r="G320" s="7">
        <v>0.4683244526386261</v>
      </c>
      <c r="H320" s="7">
        <v>91.91894765625</v>
      </c>
      <c r="I320" s="7">
        <v>39.9868146567906</v>
      </c>
      <c r="J320" s="7">
        <v>12.81281708639886</v>
      </c>
      <c r="K320" s="7">
        <v>9.174582281125048</v>
      </c>
      <c r="L320" s="7">
        <v>0.7482462049469003</v>
      </c>
      <c r="M320" s="7">
        <v>0.7213171671567123</v>
      </c>
      <c r="N320" s="7">
        <v>0.5697846250683944</v>
      </c>
      <c r="O320" s="7">
        <v>0.0750472640559651</v>
      </c>
      <c r="P320" s="7">
        <v>8.191824796250865</v>
      </c>
      <c r="Q320" s="7">
        <v>0.0050661967316026</v>
      </c>
      <c r="R320" s="7">
        <v>0.0261106581234621</v>
      </c>
      <c r="S320" s="7">
        <v>0.0560665569860461</v>
      </c>
      <c r="T320" s="7">
        <v>0.5404778174138622</v>
      </c>
    </row>
    <row x14ac:dyDescent="0.25" r="321" customHeight="1" ht="19.5">
      <c r="A321" s="2" t="s">
        <v>352</v>
      </c>
      <c r="B321" s="2" t="s">
        <v>30</v>
      </c>
      <c r="C321" s="2" t="s">
        <v>31</v>
      </c>
      <c r="D321" s="2" t="s">
        <v>245</v>
      </c>
      <c r="E321" s="6">
        <v>1</v>
      </c>
      <c r="F321" s="6">
        <v>0</v>
      </c>
      <c r="G321" s="7">
        <v>0.3273380994796753</v>
      </c>
      <c r="H321" s="7">
        <v>35.00338359375</v>
      </c>
      <c r="I321" s="7">
        <v>23.82646100063316</v>
      </c>
      <c r="J321" s="7">
        <v>7.353358534635688</v>
      </c>
      <c r="K321" s="7">
        <v>5.507642669622481</v>
      </c>
      <c r="L321" s="7">
        <v>0.703608477014302</v>
      </c>
      <c r="M321" s="7">
        <v>0.7748199790085375</v>
      </c>
      <c r="N321" s="7">
        <v>0.4095177106073943</v>
      </c>
      <c r="O321" s="7">
        <v>0.0596332543723345</v>
      </c>
      <c r="P321" s="7">
        <v>8.79286972264916</v>
      </c>
      <c r="Q321" s="7">
        <v>0.0091648039178761</v>
      </c>
      <c r="R321" s="7">
        <v>0.0325914528781457</v>
      </c>
      <c r="S321" s="7">
        <v>0.0472273291427501</v>
      </c>
      <c r="T321" s="7">
        <v>0.3723265318899202</v>
      </c>
    </row>
    <row x14ac:dyDescent="0.25" r="322" customHeight="1" ht="19.5">
      <c r="A322" s="2" t="s">
        <v>353</v>
      </c>
      <c r="B322" s="2" t="s">
        <v>30</v>
      </c>
      <c r="C322" s="2" t="s">
        <v>31</v>
      </c>
      <c r="D322" s="2" t="s">
        <v>245</v>
      </c>
      <c r="E322" s="6">
        <v>1</v>
      </c>
      <c r="F322" s="6">
        <v>0</v>
      </c>
      <c r="G322" s="7">
        <v>0.4902063906192779</v>
      </c>
      <c r="H322" s="7">
        <v>32.3609</v>
      </c>
      <c r="I322" s="7">
        <v>24.02983621609105</v>
      </c>
      <c r="J322" s="7">
        <v>6.837994974723161</v>
      </c>
      <c r="K322" s="7">
        <v>5.008357518015835</v>
      </c>
      <c r="L322" s="7">
        <v>0.6892201964881193</v>
      </c>
      <c r="M322" s="7">
        <v>0.7042532080642768</v>
      </c>
      <c r="N322" s="7">
        <v>0.3773077873203634</v>
      </c>
      <c r="O322" s="7">
        <v>0.0706869446218325</v>
      </c>
      <c r="P322" s="7">
        <v>8.883381236717959</v>
      </c>
      <c r="Q322" s="7">
        <v>0.0113680632478449</v>
      </c>
      <c r="R322" s="7">
        <v>0.0350651277239371</v>
      </c>
      <c r="S322" s="7">
        <v>0.0488349148083578</v>
      </c>
      <c r="T322" s="7">
        <v>0.4269704829264933</v>
      </c>
    </row>
    <row x14ac:dyDescent="0.25" r="323" customHeight="1" ht="19.5">
      <c r="A323" s="2" t="s">
        <v>354</v>
      </c>
      <c r="B323" s="2" t="s">
        <v>30</v>
      </c>
      <c r="C323" s="2" t="s">
        <v>31</v>
      </c>
      <c r="D323" s="2" t="s">
        <v>245</v>
      </c>
      <c r="E323" s="6">
        <v>1</v>
      </c>
      <c r="F323" s="6">
        <v>0</v>
      </c>
      <c r="G323" s="7">
        <v>0.4920908510684967</v>
      </c>
      <c r="H323" s="7">
        <v>33.16091796875</v>
      </c>
      <c r="I323" s="7">
        <v>24.14753551515438</v>
      </c>
      <c r="J323" s="7">
        <v>7.069087501754714</v>
      </c>
      <c r="K323" s="7">
        <v>5.187066284062142</v>
      </c>
      <c r="L323" s="7">
        <v>0.7057658213828308</v>
      </c>
      <c r="M323" s="7">
        <v>0.7146456941293912</v>
      </c>
      <c r="N323" s="7">
        <v>0.3460362600795483</v>
      </c>
      <c r="O323" s="7">
        <v>0.0640847520243641</v>
      </c>
      <c r="P323" s="7">
        <v>9.06661703858569</v>
      </c>
      <c r="Q323" s="7">
        <v>0.0136819053863696</v>
      </c>
      <c r="R323" s="7">
        <v>0.0396039602515673</v>
      </c>
      <c r="S323" s="7">
        <v>0.056803551429435</v>
      </c>
      <c r="T323" s="7">
        <v>0.5265794507804973</v>
      </c>
    </row>
    <row x14ac:dyDescent="0.25" r="324" customHeight="1" ht="19.5">
      <c r="A324" s="2" t="s">
        <v>355</v>
      </c>
      <c r="B324" s="2" t="s">
        <v>30</v>
      </c>
      <c r="C324" s="2" t="s">
        <v>31</v>
      </c>
      <c r="D324" s="2" t="s">
        <v>245</v>
      </c>
      <c r="E324" s="6">
        <v>1</v>
      </c>
      <c r="F324" s="6">
        <v>0</v>
      </c>
      <c r="G324" s="7">
        <v>0.5278282761573792</v>
      </c>
      <c r="H324" s="7">
        <v>35.60599453125</v>
      </c>
      <c r="I324" s="7">
        <v>24.79488166000272</v>
      </c>
      <c r="J324" s="7">
        <v>7.228426989627463</v>
      </c>
      <c r="K324" s="7">
        <v>5.094417153654263</v>
      </c>
      <c r="L324" s="7">
        <v>0.7186184948646911</v>
      </c>
      <c r="M324" s="7">
        <v>0.7277947276747503</v>
      </c>
      <c r="N324" s="7">
        <v>0.3452491842752285</v>
      </c>
      <c r="O324" s="7">
        <v>0.0603727441741075</v>
      </c>
      <c r="P324" s="7">
        <v>9.154151966257844</v>
      </c>
      <c r="Q324" s="7">
        <v>0.0137237394066173</v>
      </c>
      <c r="R324" s="7">
        <v>0.0394557110295252</v>
      </c>
      <c r="S324" s="7">
        <v>0.0586322419306547</v>
      </c>
      <c r="T324" s="7">
        <v>0.5671348872900284</v>
      </c>
    </row>
    <row x14ac:dyDescent="0.25" r="325" customHeight="1" ht="19.5">
      <c r="A325" s="2" t="s">
        <v>356</v>
      </c>
      <c r="B325" s="2" t="s">
        <v>30</v>
      </c>
      <c r="C325" s="2" t="s">
        <v>31</v>
      </c>
      <c r="D325" s="2" t="s">
        <v>245</v>
      </c>
      <c r="E325" s="6">
        <v>1</v>
      </c>
      <c r="F325" s="6">
        <v>0</v>
      </c>
      <c r="G325" s="7">
        <v>0.5061215758323669</v>
      </c>
      <c r="H325" s="7">
        <v>33.00160703125</v>
      </c>
      <c r="I325" s="7">
        <v>23.92850739433744</v>
      </c>
      <c r="J325" s="7">
        <v>6.945203584760916</v>
      </c>
      <c r="K325" s="7">
        <v>5.146441067084608</v>
      </c>
      <c r="L325" s="7">
        <v>0.6863046484505386</v>
      </c>
      <c r="M325" s="7">
        <v>0.7239880397002355</v>
      </c>
      <c r="N325" s="7">
        <v>0.3472399397980578</v>
      </c>
      <c r="O325" s="7">
        <v>0.0684956491458332</v>
      </c>
      <c r="P325" s="7">
        <v>9.07819356903025</v>
      </c>
      <c r="Q325" s="7">
        <v>0.0129125795847241</v>
      </c>
      <c r="R325" s="7">
        <v>0.0379880968074645</v>
      </c>
      <c r="S325" s="7">
        <v>0.0532812416274032</v>
      </c>
      <c r="T325" s="7">
        <v>0.4945826530777327</v>
      </c>
    </row>
    <row x14ac:dyDescent="0.25" r="326" customHeight="1" ht="19.5">
      <c r="A326" s="2" t="s">
        <v>357</v>
      </c>
      <c r="B326" s="2" t="s">
        <v>30</v>
      </c>
      <c r="C326" s="2" t="s">
        <v>31</v>
      </c>
      <c r="D326" s="2" t="s">
        <v>245</v>
      </c>
      <c r="E326" s="6">
        <v>1</v>
      </c>
      <c r="F326" s="6">
        <v>0</v>
      </c>
      <c r="G326" s="7">
        <v>0.5237380266189575</v>
      </c>
      <c r="H326" s="7">
        <v>36.3436734375</v>
      </c>
      <c r="I326" s="7">
        <v>26.75329057185745</v>
      </c>
      <c r="J326" s="7">
        <v>7.554241439926505</v>
      </c>
      <c r="K326" s="7">
        <v>5.37585144388885</v>
      </c>
      <c r="L326" s="7">
        <v>0.7323046246826542</v>
      </c>
      <c r="M326" s="7">
        <v>0.6380934292345705</v>
      </c>
      <c r="N326" s="7">
        <v>0.340672228714529</v>
      </c>
      <c r="O326" s="7">
        <v>0.0568742656118596</v>
      </c>
      <c r="P326" s="7">
        <v>9.201234660420509</v>
      </c>
      <c r="Q326" s="7">
        <v>0.0134848063316217</v>
      </c>
      <c r="R326" s="7">
        <v>0.0394850956274607</v>
      </c>
      <c r="S326" s="7">
        <v>0.0589071871676101</v>
      </c>
      <c r="T326" s="7">
        <v>0.5688061915155891</v>
      </c>
    </row>
    <row x14ac:dyDescent="0.25" r="327" customHeight="1" ht="19.5">
      <c r="A327" s="2" t="s">
        <v>358</v>
      </c>
      <c r="B327" s="2" t="s">
        <v>30</v>
      </c>
      <c r="C327" s="2" t="s">
        <v>31</v>
      </c>
      <c r="D327" s="2" t="s">
        <v>245</v>
      </c>
      <c r="E327" s="6">
        <v>1</v>
      </c>
      <c r="F327" s="6">
        <v>0</v>
      </c>
      <c r="G327" s="7">
        <v>0.5608659386634827</v>
      </c>
      <c r="H327" s="7">
        <v>34.1895125</v>
      </c>
      <c r="I327" s="7">
        <v>24.4174074398358</v>
      </c>
      <c r="J327" s="7">
        <v>7.137947296110557</v>
      </c>
      <c r="K327" s="7">
        <v>5.166071777135073</v>
      </c>
      <c r="L327" s="7">
        <v>0.7097019024121937</v>
      </c>
      <c r="M327" s="7">
        <v>0.7206156209242287</v>
      </c>
      <c r="N327" s="7">
        <v>0.3437419493737389</v>
      </c>
      <c r="O327" s="7">
        <v>0.0627777157265456</v>
      </c>
      <c r="P327" s="7">
        <v>9.11347219083215</v>
      </c>
      <c r="Q327" s="7">
        <v>0.0133533868797443</v>
      </c>
      <c r="R327" s="7">
        <v>0.0393036257179198</v>
      </c>
      <c r="S327" s="7">
        <v>0.0592944974033069</v>
      </c>
      <c r="T327" s="7">
        <v>0.5298770626388674</v>
      </c>
    </row>
    <row x14ac:dyDescent="0.25" r="328" customHeight="1" ht="19.5">
      <c r="A328" s="2" t="s">
        <v>359</v>
      </c>
      <c r="B328" s="2" t="s">
        <v>30</v>
      </c>
      <c r="C328" s="2" t="s">
        <v>31</v>
      </c>
      <c r="D328" s="2" t="s">
        <v>245</v>
      </c>
      <c r="E328" s="6">
        <v>1</v>
      </c>
      <c r="F328" s="6">
        <v>0</v>
      </c>
      <c r="G328" s="7">
        <v>0.505812406539917</v>
      </c>
      <c r="H328" s="7">
        <v>35.0414796875</v>
      </c>
      <c r="I328" s="7">
        <v>24.81925798297964</v>
      </c>
      <c r="J328" s="7">
        <v>7.341700151270855</v>
      </c>
      <c r="K328" s="7">
        <v>5.370039694441131</v>
      </c>
      <c r="L328" s="7">
        <v>0.7111401944368094</v>
      </c>
      <c r="M328" s="7">
        <v>0.7148496585743502</v>
      </c>
      <c r="N328" s="7">
        <v>0.3431806827899886</v>
      </c>
      <c r="O328" s="7">
        <v>0.0645781742582843</v>
      </c>
      <c r="P328" s="7">
        <v>9.10578477569116</v>
      </c>
      <c r="Q328" s="7">
        <v>0.0136406993451272</v>
      </c>
      <c r="R328" s="7">
        <v>0.0391497106496965</v>
      </c>
      <c r="S328" s="7">
        <v>0.0587047468363884</v>
      </c>
      <c r="T328" s="7">
        <v>0.5547660216661155</v>
      </c>
    </row>
    <row x14ac:dyDescent="0.25" r="329" customHeight="1" ht="19.5">
      <c r="A329" s="2" t="s">
        <v>360</v>
      </c>
      <c r="B329" s="2" t="s">
        <v>30</v>
      </c>
      <c r="C329" s="2" t="s">
        <v>31</v>
      </c>
      <c r="D329" s="2" t="s">
        <v>245</v>
      </c>
      <c r="E329" s="6">
        <v>1</v>
      </c>
      <c r="F329" s="6">
        <v>0</v>
      </c>
      <c r="G329" s="7">
        <v>0.5120888948440552</v>
      </c>
      <c r="H329" s="7">
        <v>34.06137109375</v>
      </c>
      <c r="I329" s="7">
        <v>24.23076148766297</v>
      </c>
      <c r="J329" s="7">
        <v>7.067302857667842</v>
      </c>
      <c r="K329" s="7">
        <v>5.061042365296865</v>
      </c>
      <c r="L329" s="7">
        <v>0.709793761579682</v>
      </c>
      <c r="M329" s="7">
        <v>0.7290173504069243</v>
      </c>
      <c r="N329" s="7">
        <v>0.3449213899695698</v>
      </c>
      <c r="O329" s="7">
        <v>0.0646458976913335</v>
      </c>
      <c r="P329" s="7">
        <v>9.104912810077364</v>
      </c>
      <c r="Q329" s="7">
        <v>0.0148483970166553</v>
      </c>
      <c r="R329" s="7">
        <v>0.0434163727331721</v>
      </c>
      <c r="S329" s="7">
        <v>0.0588616090252882</v>
      </c>
      <c r="T329" s="7">
        <v>0.5869923984538724</v>
      </c>
    </row>
    <row x14ac:dyDescent="0.25" r="330" customHeight="1" ht="19.5">
      <c r="A330" s="2" t="s">
        <v>361</v>
      </c>
      <c r="B330" s="2" t="s">
        <v>30</v>
      </c>
      <c r="C330" s="2" t="s">
        <v>31</v>
      </c>
      <c r="D330" s="2" t="s">
        <v>245</v>
      </c>
      <c r="E330" s="6">
        <v>1</v>
      </c>
      <c r="F330" s="6">
        <v>0</v>
      </c>
      <c r="G330" s="7">
        <v>0.5000636577606201</v>
      </c>
      <c r="H330" s="7">
        <v>32.8803921875</v>
      </c>
      <c r="I330" s="7">
        <v>24.38293411328105</v>
      </c>
      <c r="J330" s="7">
        <v>6.855454978081056</v>
      </c>
      <c r="K330" s="7">
        <v>5.178911400848617</v>
      </c>
      <c r="L330" s="7">
        <v>0.6799754449104509</v>
      </c>
      <c r="M330" s="7">
        <v>0.6949841863871136</v>
      </c>
      <c r="N330" s="7">
        <v>0.3417144410770128</v>
      </c>
      <c r="O330" s="7">
        <v>0.0608342583382463</v>
      </c>
      <c r="P330" s="7">
        <v>9.11036934913536</v>
      </c>
      <c r="Q330" s="7">
        <v>0.0148944360270456</v>
      </c>
      <c r="R330" s="7">
        <v>0.04270755160933</v>
      </c>
      <c r="S330" s="7">
        <v>0.057540251537403</v>
      </c>
      <c r="T330" s="7">
        <v>0.5683970726220863</v>
      </c>
    </row>
    <row x14ac:dyDescent="0.25" r="331" customHeight="1" ht="19.5">
      <c r="A331" s="2" t="s">
        <v>362</v>
      </c>
      <c r="B331" s="2" t="s">
        <v>30</v>
      </c>
      <c r="C331" s="2" t="s">
        <v>31</v>
      </c>
      <c r="D331" s="2" t="s">
        <v>245</v>
      </c>
      <c r="E331" s="6">
        <v>1</v>
      </c>
      <c r="F331" s="6">
        <v>0</v>
      </c>
      <c r="G331" s="7">
        <v>0.4813389778137207</v>
      </c>
      <c r="H331" s="7">
        <v>33.45183359375</v>
      </c>
      <c r="I331" s="7">
        <v>24.27951413361681</v>
      </c>
      <c r="J331" s="7">
        <v>7.150256404182491</v>
      </c>
      <c r="K331" s="7">
        <v>5.136797511516033</v>
      </c>
      <c r="L331" s="7">
        <v>0.7141336815202243</v>
      </c>
      <c r="M331" s="7">
        <v>0.7128036591447753</v>
      </c>
      <c r="N331" s="7">
        <v>0.3474829052837569</v>
      </c>
      <c r="O331" s="7">
        <v>0.0683438881285124</v>
      </c>
      <c r="P331" s="7">
        <v>9.062394841849</v>
      </c>
      <c r="Q331" s="7">
        <v>0.0131887316307883</v>
      </c>
      <c r="R331" s="7">
        <v>0.0397012695576206</v>
      </c>
      <c r="S331" s="7">
        <v>0.0567818584819774</v>
      </c>
      <c r="T331" s="7">
        <v>0.5120516134819489</v>
      </c>
    </row>
    <row x14ac:dyDescent="0.25" r="332" customHeight="1" ht="19.5">
      <c r="A332" s="2" t="s">
        <v>363</v>
      </c>
      <c r="B332" s="2" t="s">
        <v>30</v>
      </c>
      <c r="C332" s="2" t="s">
        <v>31</v>
      </c>
      <c r="D332" s="2" t="s">
        <v>245</v>
      </c>
      <c r="E332" s="6">
        <v>1</v>
      </c>
      <c r="F332" s="6">
        <v>0</v>
      </c>
      <c r="G332" s="7">
        <v>0.5201602578163147</v>
      </c>
      <c r="H332" s="7">
        <v>33.05355625</v>
      </c>
      <c r="I332" s="7">
        <v>23.81463162512004</v>
      </c>
      <c r="J332" s="7">
        <v>6.856983272112425</v>
      </c>
      <c r="K332" s="7">
        <v>5.093793275184386</v>
      </c>
      <c r="L332" s="7">
        <v>0.6835459394145539</v>
      </c>
      <c r="M332" s="7">
        <v>0.7323864828670253</v>
      </c>
      <c r="N332" s="7">
        <v>0.3445094251397864</v>
      </c>
      <c r="O332" s="7">
        <v>0.0628376610837257</v>
      </c>
      <c r="P332" s="7">
        <v>9.101845613908935</v>
      </c>
      <c r="Q332" s="7">
        <v>0.0131753841323112</v>
      </c>
      <c r="R332" s="7">
        <v>0.0386736968571698</v>
      </c>
      <c r="S332" s="7">
        <v>0.0559856525959327</v>
      </c>
      <c r="T332" s="7">
        <v>0.50544308398251</v>
      </c>
    </row>
    <row x14ac:dyDescent="0.25" r="333" customHeight="1" ht="19.5">
      <c r="A333" s="2" t="s">
        <v>364</v>
      </c>
      <c r="B333" s="2" t="s">
        <v>30</v>
      </c>
      <c r="C333" s="2" t="s">
        <v>31</v>
      </c>
      <c r="D333" s="2" t="s">
        <v>245</v>
      </c>
      <c r="E333" s="6">
        <v>1</v>
      </c>
      <c r="F333" s="6">
        <v>0</v>
      </c>
      <c r="G333" s="7">
        <v>0.5364976525306702</v>
      </c>
      <c r="H333" s="7">
        <v>33.88820703125</v>
      </c>
      <c r="I333" s="7">
        <v>24.81125213731244</v>
      </c>
      <c r="J333" s="7">
        <v>7.325340523708502</v>
      </c>
      <c r="K333" s="7">
        <v>5.326851737769837</v>
      </c>
      <c r="L333" s="7">
        <v>0.7119351730628166</v>
      </c>
      <c r="M333" s="7">
        <v>0.6917689922492012</v>
      </c>
      <c r="N333" s="7">
        <v>0.3598467925281418</v>
      </c>
      <c r="O333" s="7">
        <v>0.079260679882673</v>
      </c>
      <c r="P333" s="7">
        <v>8.983570970192172</v>
      </c>
      <c r="Q333" s="7">
        <v>0.013827741328751</v>
      </c>
      <c r="R333" s="7">
        <v>0.0403536827470508</v>
      </c>
      <c r="S333" s="7">
        <v>0.0573179553285443</v>
      </c>
      <c r="T333" s="7">
        <v>0.5438643831292276</v>
      </c>
    </row>
    <row x14ac:dyDescent="0.25" r="334" customHeight="1" ht="19.5">
      <c r="A334" s="2" t="s">
        <v>365</v>
      </c>
      <c r="B334" s="2" t="s">
        <v>30</v>
      </c>
      <c r="C334" s="2" t="s">
        <v>31</v>
      </c>
      <c r="D334" s="2" t="s">
        <v>245</v>
      </c>
      <c r="E334" s="6">
        <v>1</v>
      </c>
      <c r="F334" s="6">
        <v>0</v>
      </c>
      <c r="G334" s="7">
        <v>0.445476770401001</v>
      </c>
      <c r="H334" s="7">
        <v>36.96360078125</v>
      </c>
      <c r="I334" s="7">
        <v>25.55156247227186</v>
      </c>
      <c r="J334" s="7">
        <v>7.458227305938242</v>
      </c>
      <c r="K334" s="7">
        <v>5.240237134985204</v>
      </c>
      <c r="L334" s="7">
        <v>0.7373527446844181</v>
      </c>
      <c r="M334" s="7">
        <v>0.711457907195975</v>
      </c>
      <c r="N334" s="7">
        <v>0.3343021123622566</v>
      </c>
      <c r="O334" s="7">
        <v>0.0507424094033898</v>
      </c>
      <c r="P334" s="7">
        <v>9.23569694786867</v>
      </c>
      <c r="Q334" s="7">
        <v>0.0134212314339682</v>
      </c>
      <c r="R334" s="7">
        <v>0.0404509518788229</v>
      </c>
      <c r="S334" s="7">
        <v>0.0575604662217609</v>
      </c>
      <c r="T334" s="7">
        <v>0.5757811151362425</v>
      </c>
    </row>
    <row x14ac:dyDescent="0.25" r="335" customHeight="1" ht="19.5">
      <c r="A335" s="2" t="s">
        <v>366</v>
      </c>
      <c r="B335" s="2" t="s">
        <v>30</v>
      </c>
      <c r="C335" s="2" t="s">
        <v>31</v>
      </c>
      <c r="D335" s="2" t="s">
        <v>245</v>
      </c>
      <c r="E335" s="6">
        <v>1</v>
      </c>
      <c r="F335" s="6">
        <v>0</v>
      </c>
      <c r="G335" s="7">
        <v>0.5000778436660767</v>
      </c>
      <c r="H335" s="7">
        <v>32.37128984375</v>
      </c>
      <c r="I335" s="7">
        <v>24.4236809135677</v>
      </c>
      <c r="J335" s="7">
        <v>6.921421335074053</v>
      </c>
      <c r="K335" s="7">
        <v>5.140720511884164</v>
      </c>
      <c r="L335" s="7">
        <v>0.6898564649505465</v>
      </c>
      <c r="M335" s="7">
        <v>0.6819423054930783</v>
      </c>
      <c r="N335" s="7">
        <v>0.3458608279811357</v>
      </c>
      <c r="O335" s="7">
        <v>0.0679482066097666</v>
      </c>
      <c r="P335" s="7">
        <v>9.067056540348077</v>
      </c>
      <c r="Q335" s="7">
        <v>0.0129145496111395</v>
      </c>
      <c r="R335" s="7">
        <v>0.0386645412825363</v>
      </c>
      <c r="S335" s="7">
        <v>0.0520209054704867</v>
      </c>
      <c r="T335" s="7">
        <v>0.4852103423519153</v>
      </c>
    </row>
    <row x14ac:dyDescent="0.25" r="336" customHeight="1" ht="19.5">
      <c r="A336" s="2" t="s">
        <v>367</v>
      </c>
      <c r="B336" s="2" t="s">
        <v>30</v>
      </c>
      <c r="C336" s="2" t="s">
        <v>31</v>
      </c>
      <c r="D336" s="2" t="s">
        <v>245</v>
      </c>
      <c r="E336" s="6">
        <v>1</v>
      </c>
      <c r="F336" s="6">
        <v>0</v>
      </c>
      <c r="G336" s="7">
        <v>0.5076643228530884</v>
      </c>
      <c r="H336" s="7">
        <v>32.37475312500001</v>
      </c>
      <c r="I336" s="7">
        <v>24.14753551515439</v>
      </c>
      <c r="J336" s="7">
        <v>6.832691380400878</v>
      </c>
      <c r="K336" s="7">
        <v>5.232006507694599</v>
      </c>
      <c r="L336" s="7">
        <v>0.6717496830160417</v>
      </c>
      <c r="M336" s="7">
        <v>0.697703180023138</v>
      </c>
      <c r="N336" s="7">
        <v>0.3417714105570564</v>
      </c>
      <c r="O336" s="7">
        <v>0.0646322356826038</v>
      </c>
      <c r="P336" s="7">
        <v>9.091630121738577</v>
      </c>
      <c r="Q336" s="7">
        <v>0.013175834306952</v>
      </c>
      <c r="R336" s="7">
        <v>0.038810851722651</v>
      </c>
      <c r="S336" s="7">
        <v>0.0537678183726794</v>
      </c>
      <c r="T336" s="7">
        <v>0.4950799861860036</v>
      </c>
    </row>
    <row x14ac:dyDescent="0.25" r="337" customHeight="1" ht="19.5">
      <c r="A337" s="2" t="s">
        <v>368</v>
      </c>
      <c r="B337" s="2" t="s">
        <v>30</v>
      </c>
      <c r="C337" s="2" t="s">
        <v>31</v>
      </c>
      <c r="D337" s="2" t="s">
        <v>245</v>
      </c>
      <c r="E337" s="6">
        <v>1</v>
      </c>
      <c r="F337" s="6">
        <v>0</v>
      </c>
      <c r="G337" s="7">
        <v>0.4785136282444</v>
      </c>
      <c r="H337" s="7">
        <v>32.8942453125</v>
      </c>
      <c r="I337" s="7">
        <v>25.04246841961785</v>
      </c>
      <c r="J337" s="7">
        <v>7.000730850888559</v>
      </c>
      <c r="K337" s="7">
        <v>4.929213534310204</v>
      </c>
      <c r="L337" s="7">
        <v>0.7167948808354432</v>
      </c>
      <c r="M337" s="7">
        <v>0.6591367425457071</v>
      </c>
      <c r="N337" s="7">
        <v>0.3495775302944592</v>
      </c>
      <c r="O337" s="7">
        <v>0.0667217003510535</v>
      </c>
      <c r="P337" s="7">
        <v>9.066333503662255</v>
      </c>
      <c r="Q337" s="7">
        <v>0.0130870974812521</v>
      </c>
      <c r="R337" s="7">
        <v>0.0392538498803554</v>
      </c>
      <c r="S337" s="7">
        <v>0.0554267823119406</v>
      </c>
      <c r="T337" s="7">
        <v>0.4996363698527644</v>
      </c>
    </row>
    <row x14ac:dyDescent="0.25" r="338" customHeight="1" ht="19.5">
      <c r="A338" s="2" t="s">
        <v>369</v>
      </c>
      <c r="B338" s="2" t="s">
        <v>30</v>
      </c>
      <c r="C338" s="2" t="s">
        <v>31</v>
      </c>
      <c r="D338" s="2" t="s">
        <v>245</v>
      </c>
      <c r="E338" s="6">
        <v>1</v>
      </c>
      <c r="F338" s="6">
        <v>0</v>
      </c>
      <c r="G338" s="7">
        <v>0.5273193717002869</v>
      </c>
      <c r="H338" s="7">
        <v>32.5340640625</v>
      </c>
      <c r="I338" s="7">
        <v>24.01764805460259</v>
      </c>
      <c r="J338" s="7">
        <v>6.778291879352198</v>
      </c>
      <c r="K338" s="7">
        <v>4.993137567179507</v>
      </c>
      <c r="L338" s="7">
        <v>0.6895611947220076</v>
      </c>
      <c r="M338" s="7">
        <v>0.7087404637524033</v>
      </c>
      <c r="N338" s="7">
        <v>0.3416636304510821</v>
      </c>
      <c r="O338" s="7">
        <v>0.0602018793604973</v>
      </c>
      <c r="P338" s="7">
        <v>9.117169334174914</v>
      </c>
      <c r="Q338" s="7">
        <v>0.0144233556194473</v>
      </c>
      <c r="R338" s="7">
        <v>0.0411020546140461</v>
      </c>
      <c r="S338" s="7">
        <v>0.0570785478143783</v>
      </c>
      <c r="T338" s="7">
        <v>0.5446222864356369</v>
      </c>
    </row>
    <row x14ac:dyDescent="0.25" r="339" customHeight="1" ht="19.5">
      <c r="A339" s="2" t="s">
        <v>370</v>
      </c>
      <c r="B339" s="2" t="s">
        <v>30</v>
      </c>
      <c r="C339" s="2" t="s">
        <v>31</v>
      </c>
      <c r="D339" s="2" t="s">
        <v>245</v>
      </c>
      <c r="E339" s="6">
        <v>1</v>
      </c>
      <c r="F339" s="6">
        <v>0</v>
      </c>
      <c r="G339" s="7">
        <v>0.5582786798477173</v>
      </c>
      <c r="H339" s="7">
        <v>34.91680156250001</v>
      </c>
      <c r="I339" s="7">
        <v>24.55530074605479</v>
      </c>
      <c r="J339" s="7">
        <v>7.254959158676177</v>
      </c>
      <c r="K339" s="7">
        <v>5.176073469806626</v>
      </c>
      <c r="L339" s="7">
        <v>0.721168599440582</v>
      </c>
      <c r="M339" s="7">
        <v>0.7277023938093446</v>
      </c>
      <c r="N339" s="7">
        <v>0.3385160657633485</v>
      </c>
      <c r="O339" s="7">
        <v>0.0596282778402693</v>
      </c>
      <c r="P339" s="7">
        <v>9.151098844033235</v>
      </c>
      <c r="Q339" s="7">
        <v>0.0141834839451825</v>
      </c>
      <c r="R339" s="7">
        <v>0.0409533252974081</v>
      </c>
      <c r="S339" s="7">
        <v>0.0573238639457608</v>
      </c>
      <c r="T339" s="7">
        <v>0.5747886135239964</v>
      </c>
    </row>
    <row x14ac:dyDescent="0.25" r="340" customHeight="1" ht="19.5">
      <c r="A340" s="2" t="s">
        <v>371</v>
      </c>
      <c r="B340" s="2" t="s">
        <v>30</v>
      </c>
      <c r="C340" s="2" t="s">
        <v>31</v>
      </c>
      <c r="D340" s="2" t="s">
        <v>245</v>
      </c>
      <c r="E340" s="6">
        <v>1</v>
      </c>
      <c r="F340" s="6">
        <v>0</v>
      </c>
      <c r="G340" s="7">
        <v>0.5378252863883972</v>
      </c>
      <c r="H340" s="7">
        <v>35.17654765625</v>
      </c>
      <c r="I340" s="7">
        <v>24.87810763251131</v>
      </c>
      <c r="J340" s="7">
        <v>7.409341453666165</v>
      </c>
      <c r="K340" s="7">
        <v>5.235540320701802</v>
      </c>
      <c r="L340" s="7">
        <v>0.7327029186940269</v>
      </c>
      <c r="M340" s="7">
        <v>0.7142140564487265</v>
      </c>
      <c r="N340" s="7">
        <v>0.3423902725285677</v>
      </c>
      <c r="O340" s="7">
        <v>0.0643308184402094</v>
      </c>
      <c r="P340" s="7">
        <v>9.121295574650397</v>
      </c>
      <c r="Q340" s="7">
        <v>0.0139063014670565</v>
      </c>
      <c r="R340" s="7">
        <v>0.0399549789342725</v>
      </c>
      <c r="S340" s="7">
        <v>0.05708484252586</v>
      </c>
      <c r="T340" s="7">
        <v>0.5677480276385105</v>
      </c>
    </row>
    <row x14ac:dyDescent="0.25" r="341" customHeight="1" ht="19.5">
      <c r="A341" s="2" t="s">
        <v>372</v>
      </c>
      <c r="B341" s="2" t="s">
        <v>30</v>
      </c>
      <c r="C341" s="2" t="s">
        <v>31</v>
      </c>
      <c r="D341" s="2" t="s">
        <v>245</v>
      </c>
      <c r="E341" s="6">
        <v>1</v>
      </c>
      <c r="F341" s="6">
        <v>0</v>
      </c>
      <c r="G341" s="7">
        <v>0.4840214252471924</v>
      </c>
      <c r="H341" s="7">
        <v>33.36871484375</v>
      </c>
      <c r="I341" s="7">
        <v>24.11306218859964</v>
      </c>
      <c r="J341" s="7">
        <v>7.010616221919832</v>
      </c>
      <c r="K341" s="7">
        <v>5.159018749911857</v>
      </c>
      <c r="L341" s="7">
        <v>0.6933326056223768</v>
      </c>
      <c r="M341" s="7">
        <v>0.721181557659094</v>
      </c>
      <c r="N341" s="7">
        <v>0.3535871424442984</v>
      </c>
      <c r="O341" s="7">
        <v>0.0679401581275038</v>
      </c>
      <c r="P341" s="7">
        <v>9.042961935725057</v>
      </c>
      <c r="Q341" s="7">
        <v>0.0135888639084444</v>
      </c>
      <c r="R341" s="7">
        <v>0.0397564278328691</v>
      </c>
      <c r="S341" s="7">
        <v>0.0577917234423434</v>
      </c>
      <c r="T341" s="7">
        <v>0.5262758119272481</v>
      </c>
    </row>
    <row x14ac:dyDescent="0.25" r="342" customHeight="1" ht="19.5">
      <c r="A342" s="2" t="s">
        <v>373</v>
      </c>
      <c r="B342" s="2" t="s">
        <v>30</v>
      </c>
      <c r="C342" s="2" t="s">
        <v>31</v>
      </c>
      <c r="D342" s="2" t="s">
        <v>245</v>
      </c>
      <c r="E342" s="6">
        <v>1</v>
      </c>
      <c r="F342" s="6">
        <v>0</v>
      </c>
      <c r="G342" s="7">
        <v>0.3861602544784546</v>
      </c>
      <c r="H342" s="7">
        <v>33.73582265625</v>
      </c>
      <c r="I342" s="7">
        <v>23.39850176257711</v>
      </c>
      <c r="J342" s="7">
        <v>6.977535230194548</v>
      </c>
      <c r="K342" s="7">
        <v>5.086083452833498</v>
      </c>
      <c r="L342" s="7">
        <v>0.7029803068646997</v>
      </c>
      <c r="M342" s="7">
        <v>0.7743281881549778</v>
      </c>
      <c r="N342" s="7">
        <v>0.419372902718243</v>
      </c>
      <c r="O342" s="7">
        <v>0.0677622277528131</v>
      </c>
      <c r="P342" s="7">
        <v>8.702224204361809</v>
      </c>
      <c r="Q342" s="7">
        <v>0.0118869992092196</v>
      </c>
      <c r="R342" s="7">
        <v>0.0356665619706977</v>
      </c>
      <c r="S342" s="7">
        <v>0.0478257660076385</v>
      </c>
      <c r="T342" s="7">
        <v>0.4654299420340261</v>
      </c>
    </row>
    <row x14ac:dyDescent="0.25" r="343" customHeight="1" ht="19.5">
      <c r="A343" s="2" t="s">
        <v>374</v>
      </c>
      <c r="B343" s="2" t="s">
        <v>30</v>
      </c>
      <c r="C343" s="2" t="s">
        <v>31</v>
      </c>
      <c r="D343" s="2" t="s">
        <v>245</v>
      </c>
      <c r="E343" s="6">
        <v>1</v>
      </c>
      <c r="F343" s="6">
        <v>0</v>
      </c>
      <c r="G343" s="7">
        <v>0.3779224157333374</v>
      </c>
      <c r="H343" s="7">
        <v>67.64827265625</v>
      </c>
      <c r="I343" s="7">
        <v>35.66575790399273</v>
      </c>
      <c r="J343" s="7">
        <v>11.03447347631457</v>
      </c>
      <c r="K343" s="7">
        <v>8.615927980426221</v>
      </c>
      <c r="L343" s="7">
        <v>0.6607982699000767</v>
      </c>
      <c r="M343" s="7">
        <v>0.6673300255374381</v>
      </c>
      <c r="N343" s="7">
        <v>0.5561613660617697</v>
      </c>
      <c r="O343" s="7">
        <v>0.120847035922768</v>
      </c>
      <c r="P343" s="7">
        <v>7.901798888392241</v>
      </c>
      <c r="Q343" s="7">
        <v>0.0025805483783843</v>
      </c>
      <c r="R343" s="7">
        <v>0.018133955388216</v>
      </c>
      <c r="S343" s="7">
        <v>0.0594034753264416</v>
      </c>
      <c r="T343" s="7">
        <v>0.2026093564627329</v>
      </c>
    </row>
    <row x14ac:dyDescent="0.25" r="344" customHeight="1" ht="19.5">
      <c r="A344" s="2" t="s">
        <v>375</v>
      </c>
      <c r="B344" s="2" t="s">
        <v>30</v>
      </c>
      <c r="C344" s="2" t="s">
        <v>31</v>
      </c>
      <c r="D344" s="2" t="s">
        <v>245</v>
      </c>
      <c r="E344" s="6">
        <v>1</v>
      </c>
      <c r="F344" s="6">
        <v>0</v>
      </c>
      <c r="G344" s="7">
        <v>0.6529092192649841</v>
      </c>
      <c r="H344" s="7">
        <v>43.50227578125001</v>
      </c>
      <c r="I344" s="7">
        <v>29.59277341269328</v>
      </c>
      <c r="J344" s="7">
        <v>7.737490903886492</v>
      </c>
      <c r="K344" s="7">
        <v>7.582958087867384</v>
      </c>
      <c r="L344" s="7">
        <v>0.3112869881979236</v>
      </c>
      <c r="M344" s="7">
        <v>0.6238408604415585</v>
      </c>
      <c r="N344" s="7">
        <v>0.5493815912241539</v>
      </c>
      <c r="O344" s="7">
        <v>0.2027844819453601</v>
      </c>
      <c r="P344" s="7">
        <v>7.441758853303211</v>
      </c>
      <c r="Q344" s="7">
        <v>0.0076767762350836</v>
      </c>
      <c r="R344" s="7">
        <v>0.0382571912478574</v>
      </c>
      <c r="S344" s="7">
        <v>0.0915623793472086</v>
      </c>
      <c r="T344" s="7">
        <v>0.3875980997302534</v>
      </c>
    </row>
    <row x14ac:dyDescent="0.25" r="345" customHeight="1" ht="19.5">
      <c r="A345" s="2" t="s">
        <v>376</v>
      </c>
      <c r="B345" s="2" t="s">
        <v>30</v>
      </c>
      <c r="C345" s="2" t="s">
        <v>31</v>
      </c>
      <c r="D345" s="2" t="s">
        <v>245</v>
      </c>
      <c r="E345" s="6">
        <v>1</v>
      </c>
      <c r="F345" s="6">
        <v>0</v>
      </c>
      <c r="G345" s="7">
        <v>0.6459102034568787</v>
      </c>
      <c r="H345" s="7">
        <v>40.0632375</v>
      </c>
      <c r="I345" s="7">
        <v>28.41123932026333</v>
      </c>
      <c r="J345" s="7">
        <v>7.487134912467529</v>
      </c>
      <c r="K345" s="7">
        <v>7.324572369073598</v>
      </c>
      <c r="L345" s="7">
        <v>0.3133741590268961</v>
      </c>
      <c r="M345" s="7">
        <v>0.6234840558329351</v>
      </c>
      <c r="N345" s="7">
        <v>0.4448338772186213</v>
      </c>
      <c r="O345" s="7">
        <v>0.1526391659725169</v>
      </c>
      <c r="P345" s="7">
        <v>8.101156208024067</v>
      </c>
      <c r="Q345" s="7">
        <v>0.0093479476783211</v>
      </c>
      <c r="R345" s="7">
        <v>0.0470617995315719</v>
      </c>
      <c r="S345" s="7">
        <v>0.1039322706991649</v>
      </c>
      <c r="T345" s="7">
        <v>0.4346634218158163</v>
      </c>
    </row>
    <row x14ac:dyDescent="0.25" r="346" customHeight="1" ht="19.5">
      <c r="A346" s="2" t="s">
        <v>377</v>
      </c>
      <c r="B346" s="2" t="s">
        <v>30</v>
      </c>
      <c r="C346" s="2" t="s">
        <v>31</v>
      </c>
      <c r="D346" s="2" t="s">
        <v>245</v>
      </c>
      <c r="E346" s="6">
        <v>1</v>
      </c>
      <c r="F346" s="6">
        <v>0</v>
      </c>
      <c r="G346" s="7">
        <v>0.7058274149894714</v>
      </c>
      <c r="H346" s="7">
        <v>38.32813359375</v>
      </c>
      <c r="I346" s="7">
        <v>27.51594762982453</v>
      </c>
      <c r="J346" s="7">
        <v>6.903815459541417</v>
      </c>
      <c r="K346" s="7">
        <v>6.326570161886709</v>
      </c>
      <c r="L346" s="7">
        <v>0.4645285832555811</v>
      </c>
      <c r="M346" s="7">
        <v>0.6358037273424246</v>
      </c>
      <c r="N346" s="7">
        <v>0.3909554065921616</v>
      </c>
      <c r="O346" s="7">
        <v>0.1165288310738715</v>
      </c>
      <c r="P346" s="7">
        <v>8.596728260843612</v>
      </c>
      <c r="Q346" s="7">
        <v>0.0091205910515411</v>
      </c>
      <c r="R346" s="7">
        <v>0.0462169886649367</v>
      </c>
      <c r="S346" s="7">
        <v>0.1012298938291204</v>
      </c>
      <c r="T346" s="7">
        <v>0.4057246880034068</v>
      </c>
    </row>
    <row x14ac:dyDescent="0.25" r="347" customHeight="1" ht="19.5">
      <c r="A347" s="2" t="s">
        <v>378</v>
      </c>
      <c r="B347" s="2" t="s">
        <v>30</v>
      </c>
      <c r="C347" s="2" t="s">
        <v>31</v>
      </c>
      <c r="D347" s="2" t="s">
        <v>245</v>
      </c>
      <c r="E347" s="6">
        <v>1</v>
      </c>
      <c r="F347" s="6">
        <v>0</v>
      </c>
      <c r="G347" s="7">
        <v>0.720035970211029</v>
      </c>
      <c r="H347" s="7">
        <v>37.43460703125</v>
      </c>
      <c r="I347" s="7">
        <v>26.79893725991604</v>
      </c>
      <c r="J347" s="7">
        <v>6.872863025140557</v>
      </c>
      <c r="K347" s="7">
        <v>6.573409984171351</v>
      </c>
      <c r="L347" s="7">
        <v>0.4300817415807551</v>
      </c>
      <c r="M347" s="7">
        <v>0.6547677085125296</v>
      </c>
      <c r="N347" s="7">
        <v>0.367576648676659</v>
      </c>
      <c r="O347" s="7">
        <v>0.1092499521563196</v>
      </c>
      <c r="P347" s="7">
        <v>8.741929979547377</v>
      </c>
      <c r="Q347" s="7">
        <v>0.0104070905918756</v>
      </c>
      <c r="R347" s="7">
        <v>0.0504080319037393</v>
      </c>
      <c r="S347" s="7">
        <v>0.1073300267506457</v>
      </c>
      <c r="T347" s="7">
        <v>0.4521613049891201</v>
      </c>
    </row>
    <row x14ac:dyDescent="0.25" r="348" customHeight="1" ht="19.5">
      <c r="A348" s="2" t="s">
        <v>379</v>
      </c>
      <c r="B348" s="2" t="s">
        <v>30</v>
      </c>
      <c r="C348" s="2" t="s">
        <v>31</v>
      </c>
      <c r="D348" s="2" t="s">
        <v>245</v>
      </c>
      <c r="E348" s="6">
        <v>1</v>
      </c>
      <c r="F348" s="6">
        <v>0</v>
      </c>
      <c r="G348" s="7">
        <v>0.7052599191665649</v>
      </c>
      <c r="H348" s="7">
        <v>37.7012796875</v>
      </c>
      <c r="I348" s="7">
        <v>27.1078236129488</v>
      </c>
      <c r="J348" s="7">
        <v>7.09217041504176</v>
      </c>
      <c r="K348" s="7">
        <v>6.578521367423632</v>
      </c>
      <c r="L348" s="7">
        <v>0.4719402320661</v>
      </c>
      <c r="M348" s="7">
        <v>0.6447281808563137</v>
      </c>
      <c r="N348" s="7">
        <v>0.3703720891885853</v>
      </c>
      <c r="O348" s="7">
        <v>0.115441013343791</v>
      </c>
      <c r="P348" s="7">
        <v>8.703634279445259</v>
      </c>
      <c r="Q348" s="7">
        <v>0.0105834629198636</v>
      </c>
      <c r="R348" s="7">
        <v>0.0512691204581834</v>
      </c>
      <c r="S348" s="7">
        <v>0.1104892312651502</v>
      </c>
      <c r="T348" s="7">
        <v>0.4630998755103171</v>
      </c>
    </row>
    <row x14ac:dyDescent="0.25" r="349" customHeight="1" ht="19.5">
      <c r="A349" s="2" t="s">
        <v>380</v>
      </c>
      <c r="B349" s="2" t="s">
        <v>30</v>
      </c>
      <c r="C349" s="2" t="s">
        <v>31</v>
      </c>
      <c r="D349" s="2" t="s">
        <v>245</v>
      </c>
      <c r="E349" s="6">
        <v>1</v>
      </c>
      <c r="F349" s="6">
        <v>0</v>
      </c>
      <c r="G349" s="7">
        <v>0.7095476984977722</v>
      </c>
      <c r="H349" s="7">
        <v>36.3298203125</v>
      </c>
      <c r="I349" s="7">
        <v>27.25199039289968</v>
      </c>
      <c r="J349" s="7">
        <v>6.71292223988605</v>
      </c>
      <c r="K349" s="7">
        <v>6.176252356818079</v>
      </c>
      <c r="L349" s="7">
        <v>0.4283506905136831</v>
      </c>
      <c r="M349" s="7">
        <v>0.6147190323359827</v>
      </c>
      <c r="N349" s="7">
        <v>0.3720658332587139</v>
      </c>
      <c r="O349" s="7">
        <v>0.1226728020907267</v>
      </c>
      <c r="P349" s="7">
        <v>8.646640130322462</v>
      </c>
      <c r="Q349" s="7">
        <v>0.0108732044708613</v>
      </c>
      <c r="R349" s="7">
        <v>0.0507646385555633</v>
      </c>
      <c r="S349" s="7">
        <v>0.1095602817037096</v>
      </c>
      <c r="T349" s="7">
        <v>0.4584706989310281</v>
      </c>
    </row>
    <row x14ac:dyDescent="0.25" r="350" customHeight="1" ht="19.5">
      <c r="A350" s="2" t="s">
        <v>381</v>
      </c>
      <c r="B350" s="2" t="s">
        <v>30</v>
      </c>
      <c r="C350" s="2" t="s">
        <v>31</v>
      </c>
      <c r="D350" s="2" t="s">
        <v>245</v>
      </c>
      <c r="E350" s="6">
        <v>1</v>
      </c>
      <c r="F350" s="6">
        <v>0</v>
      </c>
      <c r="G350" s="7">
        <v>0.702741265296936</v>
      </c>
      <c r="H350" s="7">
        <v>37.38958437500001</v>
      </c>
      <c r="I350" s="7">
        <v>26.11920894642358</v>
      </c>
      <c r="J350" s="7">
        <v>7.151489096556258</v>
      </c>
      <c r="K350" s="7">
        <v>6.814482618178017</v>
      </c>
      <c r="L350" s="7">
        <v>0.4555682751933589</v>
      </c>
      <c r="M350" s="7">
        <v>0.6887164595802937</v>
      </c>
      <c r="N350" s="7">
        <v>0.364906024798431</v>
      </c>
      <c r="O350" s="7">
        <v>0.1086634300646881</v>
      </c>
      <c r="P350" s="7">
        <v>8.748638534161413</v>
      </c>
      <c r="Q350" s="7">
        <v>0.0109600123246191</v>
      </c>
      <c r="R350" s="7">
        <v>0.0509011849360407</v>
      </c>
      <c r="S350" s="7">
        <v>0.1095655835402712</v>
      </c>
      <c r="T350" s="7">
        <v>0.4756116238211373</v>
      </c>
    </row>
    <row x14ac:dyDescent="0.25" r="351" customHeight="1" ht="19.5">
      <c r="A351" s="2" t="s">
        <v>382</v>
      </c>
      <c r="B351" s="2" t="s">
        <v>30</v>
      </c>
      <c r="C351" s="2" t="s">
        <v>31</v>
      </c>
      <c r="D351" s="2" t="s">
        <v>245</v>
      </c>
      <c r="E351" s="6">
        <v>1</v>
      </c>
      <c r="F351" s="6">
        <v>0</v>
      </c>
      <c r="G351" s="7">
        <v>0.7028042078018188</v>
      </c>
      <c r="H351" s="7">
        <v>37.611234375</v>
      </c>
      <c r="I351" s="7">
        <v>26.89889249570968</v>
      </c>
      <c r="J351" s="7">
        <v>6.898713523179215</v>
      </c>
      <c r="K351" s="7">
        <v>6.40991813000821</v>
      </c>
      <c r="L351" s="7">
        <v>0.461591429151008</v>
      </c>
      <c r="M351" s="7">
        <v>0.6532187653979955</v>
      </c>
      <c r="N351" s="7">
        <v>0.3781770983775711</v>
      </c>
      <c r="O351" s="7">
        <v>0.1244803162949568</v>
      </c>
      <c r="P351" s="7">
        <v>8.645408594642962</v>
      </c>
      <c r="Q351" s="7">
        <v>0.0105775126655331</v>
      </c>
      <c r="R351" s="7">
        <v>0.0508667159036002</v>
      </c>
      <c r="S351" s="7">
        <v>0.1087265539228256</v>
      </c>
      <c r="T351" s="7">
        <v>0.4617340699484686</v>
      </c>
    </row>
    <row x14ac:dyDescent="0.25" r="352" customHeight="1" ht="19.5">
      <c r="A352" s="2" t="s">
        <v>383</v>
      </c>
      <c r="B352" s="2" t="s">
        <v>30</v>
      </c>
      <c r="C352" s="2" t="s">
        <v>31</v>
      </c>
      <c r="D352" s="2" t="s">
        <v>245</v>
      </c>
      <c r="E352" s="6">
        <v>1</v>
      </c>
      <c r="F352" s="6">
        <v>0</v>
      </c>
      <c r="G352" s="7">
        <v>0.7059835195541382</v>
      </c>
      <c r="H352" s="7">
        <v>37.9921953125</v>
      </c>
      <c r="I352" s="7">
        <v>27.25999623856688</v>
      </c>
      <c r="J352" s="7">
        <v>6.922729575379307</v>
      </c>
      <c r="K352" s="7">
        <v>6.465216101835962</v>
      </c>
      <c r="L352" s="7">
        <v>0.4523034828316745</v>
      </c>
      <c r="M352" s="7">
        <v>0.6424697291528096</v>
      </c>
      <c r="N352" s="7">
        <v>0.368476444271608</v>
      </c>
      <c r="O352" s="7">
        <v>0.1102505438333693</v>
      </c>
      <c r="P352" s="7">
        <v>8.744616339692193</v>
      </c>
      <c r="Q352" s="7">
        <v>0.0105056180317964</v>
      </c>
      <c r="R352" s="7">
        <v>0.051503617913474</v>
      </c>
      <c r="S352" s="7">
        <v>0.109798383111753</v>
      </c>
      <c r="T352" s="7">
        <v>0.4632407709976048</v>
      </c>
    </row>
    <row x14ac:dyDescent="0.25" r="353" customHeight="1" ht="19.5">
      <c r="A353" s="2" t="s">
        <v>384</v>
      </c>
      <c r="B353" s="2" t="s">
        <v>30</v>
      </c>
      <c r="C353" s="2" t="s">
        <v>31</v>
      </c>
      <c r="D353" s="2" t="s">
        <v>245</v>
      </c>
      <c r="E353" s="6">
        <v>1</v>
      </c>
      <c r="F353" s="6">
        <v>0</v>
      </c>
      <c r="G353" s="7">
        <v>0.7027522921562195</v>
      </c>
      <c r="H353" s="7">
        <v>37.18178750000001</v>
      </c>
      <c r="I353" s="7">
        <v>25.67069691523654</v>
      </c>
      <c r="J353" s="7">
        <v>6.686794554788559</v>
      </c>
      <c r="K353" s="7">
        <v>6.277643790582112</v>
      </c>
      <c r="L353" s="7">
        <v>0.4487182912279045</v>
      </c>
      <c r="M353" s="7">
        <v>0.7076434362000763</v>
      </c>
      <c r="N353" s="7">
        <v>0.3655234976407458</v>
      </c>
      <c r="O353" s="7">
        <v>0.106834432443634</v>
      </c>
      <c r="P353" s="7">
        <v>8.750068874987194</v>
      </c>
      <c r="Q353" s="7">
        <v>0.0106171299927486</v>
      </c>
      <c r="R353" s="7">
        <v>0.050392999585878</v>
      </c>
      <c r="S353" s="7">
        <v>0.1121317906832965</v>
      </c>
      <c r="T353" s="7">
        <v>0.458171614317679</v>
      </c>
    </row>
    <row x14ac:dyDescent="0.25" r="354" customHeight="1" ht="19.5">
      <c r="A354" s="2" t="s">
        <v>385</v>
      </c>
      <c r="B354" s="2" t="s">
        <v>30</v>
      </c>
      <c r="C354" s="2" t="s">
        <v>31</v>
      </c>
      <c r="D354" s="2" t="s">
        <v>245</v>
      </c>
      <c r="E354" s="6">
        <v>1</v>
      </c>
      <c r="F354" s="6">
        <v>0</v>
      </c>
      <c r="G354" s="7">
        <v>0.7138910293579102</v>
      </c>
      <c r="H354" s="7">
        <v>37.66318359375001</v>
      </c>
      <c r="I354" s="7">
        <v>26.25327872279664</v>
      </c>
      <c r="J354" s="7">
        <v>7.323362645462279</v>
      </c>
      <c r="K354" s="7">
        <v>6.824889004663596</v>
      </c>
      <c r="L354" s="7">
        <v>0.5050004315693051</v>
      </c>
      <c r="M354" s="7">
        <v>0.6864359538213995</v>
      </c>
      <c r="N354" s="7">
        <v>0.381259784264416</v>
      </c>
      <c r="O354" s="7">
        <v>0.1235901283056629</v>
      </c>
      <c r="P354" s="7">
        <v>8.648233904725068</v>
      </c>
      <c r="Q354" s="7">
        <v>0.0107030278878276</v>
      </c>
      <c r="R354" s="7">
        <v>0.0511529618056083</v>
      </c>
      <c r="S354" s="7">
        <v>0.1050745611629226</v>
      </c>
      <c r="T354" s="7">
        <v>0.4678584356569303</v>
      </c>
    </row>
    <row x14ac:dyDescent="0.25" r="355" customHeight="1" ht="19.5">
      <c r="A355" s="2" t="s">
        <v>386</v>
      </c>
      <c r="B355" s="2" t="s">
        <v>30</v>
      </c>
      <c r="C355" s="2" t="s">
        <v>31</v>
      </c>
      <c r="D355" s="2" t="s">
        <v>245</v>
      </c>
      <c r="E355" s="6">
        <v>1</v>
      </c>
      <c r="F355" s="6">
        <v>0</v>
      </c>
      <c r="G355" s="7">
        <v>0.6965317130088806</v>
      </c>
      <c r="H355" s="7">
        <v>36.69346484375</v>
      </c>
      <c r="I355" s="7">
        <v>28.48365071724342</v>
      </c>
      <c r="J355" s="7">
        <v>6.75885566502332</v>
      </c>
      <c r="K355" s="7">
        <v>6.516386025273423</v>
      </c>
      <c r="L355" s="7">
        <v>0.3962271563596815</v>
      </c>
      <c r="M355" s="7">
        <v>0.5682851285517304</v>
      </c>
      <c r="N355" s="7">
        <v>0.3713827624331598</v>
      </c>
      <c r="O355" s="7">
        <v>0.1167245962530817</v>
      </c>
      <c r="P355" s="7">
        <v>8.68937344581019</v>
      </c>
      <c r="Q355" s="7">
        <v>0.0108623234442938</v>
      </c>
      <c r="R355" s="7">
        <v>0.0515249326293684</v>
      </c>
      <c r="S355" s="7">
        <v>0.1082352486950711</v>
      </c>
      <c r="T355" s="7">
        <v>0.4625963835723942</v>
      </c>
    </row>
    <row x14ac:dyDescent="0.25" r="356" customHeight="1" ht="19.5">
      <c r="A356" s="2" t="s">
        <v>387</v>
      </c>
      <c r="B356" s="2" t="s">
        <v>30</v>
      </c>
      <c r="C356" s="2" t="s">
        <v>31</v>
      </c>
      <c r="D356" s="2" t="s">
        <v>245</v>
      </c>
      <c r="E356" s="6">
        <v>1</v>
      </c>
      <c r="F356" s="6">
        <v>0</v>
      </c>
      <c r="G356" s="7">
        <v>0.7141659259796143</v>
      </c>
      <c r="H356" s="7">
        <v>37.611234375</v>
      </c>
      <c r="I356" s="7">
        <v>26.21844661026656</v>
      </c>
      <c r="J356" s="7">
        <v>6.905743399010793</v>
      </c>
      <c r="K356" s="7">
        <v>6.423356667277742</v>
      </c>
      <c r="L356" s="7">
        <v>0.46256261332628</v>
      </c>
      <c r="M356" s="7">
        <v>0.6875646448870852</v>
      </c>
      <c r="N356" s="7">
        <v>0.3709616549210852</v>
      </c>
      <c r="O356" s="7">
        <v>0.1117743475895135</v>
      </c>
      <c r="P356" s="7">
        <v>8.731347363322126</v>
      </c>
      <c r="Q356" s="7">
        <v>0.010666054900573</v>
      </c>
      <c r="R356" s="7">
        <v>0.0510817811987031</v>
      </c>
      <c r="S356" s="7">
        <v>0.105142684570962</v>
      </c>
      <c r="T356" s="7">
        <v>0.4655991531528152</v>
      </c>
    </row>
    <row x14ac:dyDescent="0.25" r="357" customHeight="1" ht="19.5">
      <c r="A357" s="2" t="s">
        <v>388</v>
      </c>
      <c r="B357" s="2" t="s">
        <v>30</v>
      </c>
      <c r="C357" s="2" t="s">
        <v>31</v>
      </c>
      <c r="D357" s="2" t="s">
        <v>245</v>
      </c>
      <c r="E357" s="6">
        <v>1</v>
      </c>
      <c r="F357" s="6">
        <v>0</v>
      </c>
      <c r="G357" s="7">
        <v>0.7071757912635803</v>
      </c>
      <c r="H357" s="7">
        <v>39.135078125</v>
      </c>
      <c r="I357" s="7">
        <v>27.19487311530332</v>
      </c>
      <c r="J357" s="7">
        <v>7.154637881566414</v>
      </c>
      <c r="K357" s="7">
        <v>6.575693717628267</v>
      </c>
      <c r="L357" s="7">
        <v>0.4966163180095325</v>
      </c>
      <c r="M357" s="7">
        <v>0.6649699124827728</v>
      </c>
      <c r="N357" s="7">
        <v>0.3718632420364588</v>
      </c>
      <c r="O357" s="7">
        <v>0.1074125764025756</v>
      </c>
      <c r="P357" s="7">
        <v>8.771159194314574</v>
      </c>
      <c r="Q357" s="7">
        <v>0.0104597657073527</v>
      </c>
      <c r="R357" s="7">
        <v>0.0505346269632112</v>
      </c>
      <c r="S357" s="7">
        <v>0.1083887754789375</v>
      </c>
      <c r="T357" s="7">
        <v>0.4750933394587362</v>
      </c>
    </row>
    <row x14ac:dyDescent="0.25" r="358" customHeight="1" ht="19.5">
      <c r="A358" s="2" t="s">
        <v>389</v>
      </c>
      <c r="B358" s="2" t="s">
        <v>30</v>
      </c>
      <c r="C358" s="2" t="s">
        <v>31</v>
      </c>
      <c r="D358" s="2" t="s">
        <v>245</v>
      </c>
      <c r="E358" s="6">
        <v>1</v>
      </c>
      <c r="F358" s="6">
        <v>0</v>
      </c>
      <c r="G358" s="7">
        <v>0.7083168029785156</v>
      </c>
      <c r="H358" s="7">
        <v>37.4380703125</v>
      </c>
      <c r="I358" s="7">
        <v>26.57990913909909</v>
      </c>
      <c r="J358" s="7">
        <v>6.735457847700427</v>
      </c>
      <c r="K358" s="7">
        <v>6.400455880501175</v>
      </c>
      <c r="L358" s="7">
        <v>0.4255830432392722</v>
      </c>
      <c r="M358" s="7">
        <v>0.6659112248685691</v>
      </c>
      <c r="N358" s="7">
        <v>0.3679596553480525</v>
      </c>
      <c r="O358" s="7">
        <v>0.1080307119089017</v>
      </c>
      <c r="P358" s="7">
        <v>8.761056684434827</v>
      </c>
      <c r="Q358" s="7">
        <v>0.0110329374797043</v>
      </c>
      <c r="R358" s="7">
        <v>0.051060269551128</v>
      </c>
      <c r="S358" s="7">
        <v>0.1069041747313346</v>
      </c>
      <c r="T358" s="7">
        <v>0.4793970892905199</v>
      </c>
    </row>
    <row x14ac:dyDescent="0.25" r="359" customHeight="1" ht="19.5">
      <c r="A359" s="2" t="s">
        <v>390</v>
      </c>
      <c r="B359" s="2" t="s">
        <v>30</v>
      </c>
      <c r="C359" s="2" t="s">
        <v>31</v>
      </c>
      <c r="D359" s="2" t="s">
        <v>245</v>
      </c>
      <c r="E359" s="6">
        <v>1</v>
      </c>
      <c r="F359" s="6">
        <v>0</v>
      </c>
      <c r="G359" s="7">
        <v>0.7071835994720459</v>
      </c>
      <c r="H359" s="7">
        <v>36.74195078125</v>
      </c>
      <c r="I359" s="7">
        <v>27.9888359839885</v>
      </c>
      <c r="J359" s="7">
        <v>7.058039686920383</v>
      </c>
      <c r="K359" s="7">
        <v>6.809594661886765</v>
      </c>
      <c r="L359" s="7">
        <v>0.3810149895788084</v>
      </c>
      <c r="M359" s="7">
        <v>0.5893895083825275</v>
      </c>
      <c r="N359" s="7">
        <v>0.3689900195410275</v>
      </c>
      <c r="O359" s="7">
        <v>0.1141185653073111</v>
      </c>
      <c r="P359" s="7">
        <v>8.710634576727479</v>
      </c>
      <c r="Q359" s="7">
        <v>0.01123075603469</v>
      </c>
      <c r="R359" s="7">
        <v>0.0527506289951623</v>
      </c>
      <c r="S359" s="7">
        <v>0.1048549695263157</v>
      </c>
      <c r="T359" s="7">
        <v>0.4789189088038527</v>
      </c>
    </row>
    <row x14ac:dyDescent="0.25" r="360" customHeight="1" ht="19.5">
      <c r="A360" s="2" t="s">
        <v>391</v>
      </c>
      <c r="B360" s="2" t="s">
        <v>30</v>
      </c>
      <c r="C360" s="2" t="s">
        <v>31</v>
      </c>
      <c r="D360" s="2" t="s">
        <v>245</v>
      </c>
      <c r="E360" s="6">
        <v>1</v>
      </c>
      <c r="F360" s="6">
        <v>0</v>
      </c>
      <c r="G360" s="7">
        <v>0.7164003252983093</v>
      </c>
      <c r="H360" s="7">
        <v>39.50564921875</v>
      </c>
      <c r="I360" s="7">
        <v>26.91454540106873</v>
      </c>
      <c r="J360" s="7">
        <v>7.141852384496358</v>
      </c>
      <c r="K360" s="7">
        <v>6.318325219958449</v>
      </c>
      <c r="L360" s="7">
        <v>0.5228937311222109</v>
      </c>
      <c r="M360" s="7">
        <v>0.6853224671315448</v>
      </c>
      <c r="N360" s="7">
        <v>0.3870981790858015</v>
      </c>
      <c r="O360" s="7">
        <v>0.1273949107023217</v>
      </c>
      <c r="P360" s="7">
        <v>8.637020167238935</v>
      </c>
      <c r="Q360" s="7">
        <v>0.0104505290439421</v>
      </c>
      <c r="R360" s="7">
        <v>0.0500738351356755</v>
      </c>
      <c r="S360" s="7">
        <v>0.1054382810616716</v>
      </c>
      <c r="T360" s="7">
        <v>0.4791684995069198</v>
      </c>
    </row>
    <row x14ac:dyDescent="0.25" r="361" customHeight="1" ht="19.5">
      <c r="A361" s="2" t="s">
        <v>392</v>
      </c>
      <c r="B361" s="2" t="s">
        <v>30</v>
      </c>
      <c r="C361" s="2" t="s">
        <v>31</v>
      </c>
      <c r="D361" s="2" t="s">
        <v>245</v>
      </c>
      <c r="E361" s="6">
        <v>1</v>
      </c>
      <c r="F361" s="6">
        <v>0</v>
      </c>
      <c r="G361" s="7">
        <v>0.7076133489608765</v>
      </c>
      <c r="H361" s="7">
        <v>37.6735734375</v>
      </c>
      <c r="I361" s="7">
        <v>27.00231247537392</v>
      </c>
      <c r="J361" s="7">
        <v>7.402257784034711</v>
      </c>
      <c r="K361" s="7">
        <v>7.18935636801362</v>
      </c>
      <c r="L361" s="7">
        <v>0.4348478722633742</v>
      </c>
      <c r="M361" s="7">
        <v>0.6491199754331837</v>
      </c>
      <c r="N361" s="7">
        <v>0.3772946906865188</v>
      </c>
      <c r="O361" s="7">
        <v>0.1232418163278862</v>
      </c>
      <c r="P361" s="7">
        <v>8.65570316772135</v>
      </c>
      <c r="Q361" s="7">
        <v>0.0113668286247892</v>
      </c>
      <c r="R361" s="7">
        <v>0.0535079201844358</v>
      </c>
      <c r="S361" s="7">
        <v>0.1065191424078798</v>
      </c>
      <c r="T361" s="7">
        <v>0.4970120387797469</v>
      </c>
    </row>
    <row x14ac:dyDescent="0.25" r="362" customHeight="1" ht="19.5">
      <c r="A362" s="2" t="s">
        <v>393</v>
      </c>
      <c r="B362" s="2" t="s">
        <v>30</v>
      </c>
      <c r="C362" s="2" t="s">
        <v>31</v>
      </c>
      <c r="D362" s="2" t="s">
        <v>245</v>
      </c>
      <c r="E362" s="6">
        <v>1</v>
      </c>
      <c r="F362" s="6">
        <v>0</v>
      </c>
      <c r="G362" s="7">
        <v>0.7100467085838318</v>
      </c>
      <c r="H362" s="7">
        <v>37.36534140625</v>
      </c>
      <c r="I362" s="7">
        <v>27.96583324697154</v>
      </c>
      <c r="J362" s="7">
        <v>7.10642847392657</v>
      </c>
      <c r="K362" s="7">
        <v>6.613447242967273</v>
      </c>
      <c r="L362" s="7">
        <v>0.4364374848814581</v>
      </c>
      <c r="M362" s="7">
        <v>0.600375956144016</v>
      </c>
      <c r="N362" s="7">
        <v>0.3574755820101064</v>
      </c>
      <c r="O362" s="7">
        <v>0.1016874256848054</v>
      </c>
      <c r="P362" s="7">
        <v>8.803339748031334</v>
      </c>
      <c r="Q362" s="7">
        <v>0.0098748162599998</v>
      </c>
      <c r="R362" s="7">
        <v>0.0484551494278715</v>
      </c>
      <c r="S362" s="7">
        <v>0.1070740683771878</v>
      </c>
      <c r="T362" s="7">
        <v>0.4282415066281366</v>
      </c>
    </row>
    <row x14ac:dyDescent="0.25" r="363" customHeight="1" ht="19.5">
      <c r="A363" s="2" t="s">
        <v>394</v>
      </c>
      <c r="B363" s="2" t="s">
        <v>30</v>
      </c>
      <c r="C363" s="2" t="s">
        <v>31</v>
      </c>
      <c r="D363" s="2" t="s">
        <v>245</v>
      </c>
      <c r="E363" s="6">
        <v>1</v>
      </c>
      <c r="F363" s="6">
        <v>0</v>
      </c>
      <c r="G363" s="7">
        <v>0.6982163190841675</v>
      </c>
      <c r="H363" s="7">
        <v>37.50387265625</v>
      </c>
      <c r="I363" s="7">
        <v>26.45420399436857</v>
      </c>
      <c r="J363" s="7">
        <v>6.784514704732296</v>
      </c>
      <c r="K363" s="7">
        <v>6.192557409421557</v>
      </c>
      <c r="L363" s="7">
        <v>0.4621567849395108</v>
      </c>
      <c r="M363" s="7">
        <v>0.6734363942003615</v>
      </c>
      <c r="N363" s="7">
        <v>0.3635491461955581</v>
      </c>
      <c r="O363" s="7">
        <v>0.1053019186004579</v>
      </c>
      <c r="P363" s="7">
        <v>8.78472182855333</v>
      </c>
      <c r="Q363" s="7">
        <v>0.0103339547634263</v>
      </c>
      <c r="R363" s="7">
        <v>0.0502170076072759</v>
      </c>
      <c r="S363" s="7">
        <v>0.1076650295012814</v>
      </c>
      <c r="T363" s="7">
        <v>0.4498145005219016</v>
      </c>
    </row>
    <row x14ac:dyDescent="0.25" r="364" customHeight="1" ht="19.5">
      <c r="A364" s="2" t="s">
        <v>395</v>
      </c>
      <c r="B364" s="2" t="s">
        <v>30</v>
      </c>
      <c r="C364" s="2" t="s">
        <v>31</v>
      </c>
      <c r="D364" s="2" t="s">
        <v>245</v>
      </c>
      <c r="E364" s="6">
        <v>1</v>
      </c>
      <c r="F364" s="6">
        <v>0</v>
      </c>
      <c r="G364" s="7">
        <v>0.7100860476493835</v>
      </c>
      <c r="H364" s="7">
        <v>37.54543203125</v>
      </c>
      <c r="I364" s="7">
        <v>27.25199039289968</v>
      </c>
      <c r="J364" s="7">
        <v>7.245011866885017</v>
      </c>
      <c r="K364" s="7">
        <v>6.986446992600417</v>
      </c>
      <c r="L364" s="7">
        <v>0.4480543276736818</v>
      </c>
      <c r="M364" s="7">
        <v>0.6352878007201513</v>
      </c>
      <c r="N364" s="7">
        <v>0.3703920377406857</v>
      </c>
      <c r="O364" s="7">
        <v>0.1125473975476802</v>
      </c>
      <c r="P364" s="7">
        <v>8.728126173259461</v>
      </c>
      <c r="Q364" s="7">
        <v>0.0106323408847389</v>
      </c>
      <c r="R364" s="7">
        <v>0.0511632720784241</v>
      </c>
      <c r="S364" s="7">
        <v>0.1099690273341523</v>
      </c>
      <c r="T364" s="7">
        <v>0.4633154452729117</v>
      </c>
    </row>
    <row x14ac:dyDescent="0.25" r="365" customHeight="1" ht="19.5">
      <c r="A365" s="2" t="s">
        <v>396</v>
      </c>
      <c r="B365" s="2" t="s">
        <v>30</v>
      </c>
      <c r="C365" s="2" t="s">
        <v>31</v>
      </c>
      <c r="D365" s="2" t="s">
        <v>245</v>
      </c>
      <c r="E365" s="6">
        <v>1</v>
      </c>
      <c r="F365" s="6">
        <v>0</v>
      </c>
      <c r="G365" s="7">
        <v>0.7001657485961914</v>
      </c>
      <c r="H365" s="7">
        <v>36.98438046875</v>
      </c>
      <c r="I365" s="7">
        <v>25.36043697624381</v>
      </c>
      <c r="J365" s="7">
        <v>7.21295123022596</v>
      </c>
      <c r="K365" s="7">
        <v>6.933291010051432</v>
      </c>
      <c r="L365" s="7">
        <v>0.4512787799129878</v>
      </c>
      <c r="M365" s="7">
        <v>0.7208685653443976</v>
      </c>
      <c r="N365" s="7">
        <v>0.3752119792068101</v>
      </c>
      <c r="O365" s="7">
        <v>0.1170143417091607</v>
      </c>
      <c r="P365" s="7">
        <v>8.683394545716029</v>
      </c>
      <c r="Q365" s="7">
        <v>0.011234811853134</v>
      </c>
      <c r="R365" s="7">
        <v>0.0520750597877185</v>
      </c>
      <c r="S365" s="7">
        <v>0.1097665780792552</v>
      </c>
      <c r="T365" s="7">
        <v>0.4822529933690127</v>
      </c>
    </row>
    <row x14ac:dyDescent="0.25" r="366" customHeight="1" ht="19.5">
      <c r="A366" s="2" t="s">
        <v>397</v>
      </c>
      <c r="B366" s="2" t="s">
        <v>30</v>
      </c>
      <c r="C366" s="2" t="s">
        <v>31</v>
      </c>
      <c r="D366" s="2" t="s">
        <v>245</v>
      </c>
      <c r="E366" s="6">
        <v>1</v>
      </c>
      <c r="F366" s="6">
        <v>0</v>
      </c>
      <c r="G366" s="7">
        <v>0.6122526526451111</v>
      </c>
      <c r="H366" s="7">
        <v>35.062259375</v>
      </c>
      <c r="I366" s="7">
        <v>27.75935207361839</v>
      </c>
      <c r="J366" s="7">
        <v>7.960754735805441</v>
      </c>
      <c r="K366" s="7">
        <v>7.687611820118869</v>
      </c>
      <c r="L366" s="7">
        <v>0.3701403288210193</v>
      </c>
      <c r="M366" s="7">
        <v>0.5712180532085699</v>
      </c>
      <c r="N366" s="7">
        <v>0.4571582715325382</v>
      </c>
      <c r="O366" s="7">
        <v>0.1555949882099957</v>
      </c>
      <c r="P366" s="7">
        <v>7.932988590663513</v>
      </c>
      <c r="Q366" s="7">
        <v>0.0114834923100392</v>
      </c>
      <c r="R366" s="7">
        <v>0.0492245226835674</v>
      </c>
      <c r="S366" s="7">
        <v>0.1005073785270075</v>
      </c>
      <c r="T366" s="7">
        <v>0.4673095561312474</v>
      </c>
    </row>
    <row x14ac:dyDescent="0.25" r="367" customHeight="1" ht="19.5">
      <c r="A367" s="2" t="s">
        <v>398</v>
      </c>
      <c r="B367" s="2" t="s">
        <v>30</v>
      </c>
      <c r="C367" s="2" t="s">
        <v>31</v>
      </c>
      <c r="D367" s="2" t="s">
        <v>245</v>
      </c>
      <c r="E367" s="6">
        <v>1</v>
      </c>
      <c r="F367" s="6">
        <v>0</v>
      </c>
      <c r="G367" s="7">
        <v>0.311340868473053</v>
      </c>
      <c r="H367" s="7">
        <v>56.2783203125</v>
      </c>
      <c r="I367" s="7">
        <v>34.56254989629944</v>
      </c>
      <c r="J367" s="7">
        <v>11.34333386620774</v>
      </c>
      <c r="K367" s="7">
        <v>7.050634852978332</v>
      </c>
      <c r="L367" s="7">
        <v>0.8360441995105862</v>
      </c>
      <c r="M367" s="7">
        <v>0.592024172920926</v>
      </c>
      <c r="N367" s="7">
        <v>0.5828243574596651</v>
      </c>
      <c r="O367" s="7">
        <v>0.1367044944147479</v>
      </c>
      <c r="P367" s="7">
        <v>7.27445907519085</v>
      </c>
      <c r="Q367" s="7">
        <v>0.0218984367672993</v>
      </c>
      <c r="R367" s="7">
        <v>0.0644619026079449</v>
      </c>
      <c r="S367" s="7">
        <v>0.1154689344641378</v>
      </c>
      <c r="T367" s="7">
        <v>1.430358893479334</v>
      </c>
    </row>
    <row x14ac:dyDescent="0.25" r="368" customHeight="1" ht="19.5">
      <c r="A368" s="2" t="s">
        <v>399</v>
      </c>
      <c r="B368" s="2" t="s">
        <v>30</v>
      </c>
      <c r="C368" s="2" t="s">
        <v>31</v>
      </c>
      <c r="D368" s="2" t="s">
        <v>245</v>
      </c>
      <c r="E368" s="6">
        <v>1</v>
      </c>
      <c r="F368" s="6">
        <v>0</v>
      </c>
      <c r="G368" s="7">
        <v>0.3669338226318359</v>
      </c>
      <c r="H368" s="7">
        <v>42.01999140625</v>
      </c>
      <c r="I368" s="7">
        <v>26.26857284218036</v>
      </c>
      <c r="J368" s="7">
        <v>8.371750291429645</v>
      </c>
      <c r="K368" s="7">
        <v>6.300152621156992</v>
      </c>
      <c r="L368" s="7">
        <v>0.6917927630407708</v>
      </c>
      <c r="M368" s="7">
        <v>0.7652315482345416</v>
      </c>
      <c r="N368" s="7">
        <v>0.517474090490643</v>
      </c>
      <c r="O368" s="7">
        <v>0.0875153761383987</v>
      </c>
      <c r="P368" s="7">
        <v>7.944864660004106</v>
      </c>
      <c r="Q368" s="7">
        <v>0.017809371367389</v>
      </c>
      <c r="R368" s="7">
        <v>0.0624310992742517</v>
      </c>
      <c r="S368" s="7">
        <v>0.1080136735044529</v>
      </c>
      <c r="T368" s="7">
        <v>0.8685510094776019</v>
      </c>
    </row>
    <row x14ac:dyDescent="0.25" r="369" customHeight="1" ht="19.5">
      <c r="A369" s="2" t="s">
        <v>400</v>
      </c>
      <c r="B369" s="2" t="s">
        <v>30</v>
      </c>
      <c r="C369" s="2" t="s">
        <v>31</v>
      </c>
      <c r="D369" s="2" t="s">
        <v>245</v>
      </c>
      <c r="E369" s="6">
        <v>1</v>
      </c>
      <c r="F369" s="6">
        <v>0</v>
      </c>
      <c r="G369" s="7">
        <v>0.3219448924064636</v>
      </c>
      <c r="H369" s="7">
        <v>42.96200390625</v>
      </c>
      <c r="I369" s="7">
        <v>26.55517403014684</v>
      </c>
      <c r="J369" s="7">
        <v>8.044910776431466</v>
      </c>
      <c r="K369" s="7">
        <v>7.718401390688129</v>
      </c>
      <c r="L369" s="7">
        <v>0.3978622953852966</v>
      </c>
      <c r="M369" s="7">
        <v>0.7653428500669366</v>
      </c>
      <c r="N369" s="7">
        <v>0.4617925403031503</v>
      </c>
      <c r="O369" s="7">
        <v>0.0934132546739946</v>
      </c>
      <c r="P369" s="7">
        <v>8.315650219655167</v>
      </c>
      <c r="Q369" s="7">
        <v>0.018028174397319</v>
      </c>
      <c r="R369" s="7">
        <v>0.0637394026811089</v>
      </c>
      <c r="S369" s="7">
        <v>0.1121190862736641</v>
      </c>
      <c r="T369" s="7">
        <v>0.8989324560017441</v>
      </c>
    </row>
    <row x14ac:dyDescent="0.25" r="370" customHeight="1" ht="19.5">
      <c r="A370" s="2" t="s">
        <v>401</v>
      </c>
      <c r="B370" s="2" t="s">
        <v>30</v>
      </c>
      <c r="C370" s="2" t="s">
        <v>31</v>
      </c>
      <c r="D370" s="2" t="s">
        <v>402</v>
      </c>
      <c r="E370" s="6">
        <v>1</v>
      </c>
      <c r="F370" s="6">
        <v>0</v>
      </c>
      <c r="G370" s="7">
        <v>0.3577903509140014</v>
      </c>
      <c r="H370" s="7">
        <v>72.6804203125</v>
      </c>
      <c r="I370" s="7">
        <v>41.60431383294379</v>
      </c>
      <c r="J370" s="7">
        <v>10.94791367970335</v>
      </c>
      <c r="K370" s="7">
        <v>6.983149824102378</v>
      </c>
      <c r="L370" s="7">
        <v>0.7737591077247471</v>
      </c>
      <c r="M370" s="7">
        <v>0.5275550454635202</v>
      </c>
      <c r="N370" s="7">
        <v>0.5328927966914846</v>
      </c>
      <c r="O370" s="7">
        <v>0.0738060773687038</v>
      </c>
      <c r="P370" s="7">
        <v>8.053956121441807</v>
      </c>
      <c r="Q370" s="7">
        <v>0.0198096192319893</v>
      </c>
      <c r="R370" s="7">
        <v>0.0417293496551225</v>
      </c>
      <c r="S370" s="7">
        <v>0.0589685032122262</v>
      </c>
      <c r="T370" s="7">
        <v>1.671030351200662</v>
      </c>
    </row>
    <row x14ac:dyDescent="0.25" r="371" customHeight="1" ht="19.5">
      <c r="A371" s="2" t="s">
        <v>403</v>
      </c>
      <c r="B371" s="2" t="s">
        <v>30</v>
      </c>
      <c r="C371" s="2" t="s">
        <v>31</v>
      </c>
      <c r="D371" s="2" t="s">
        <v>402</v>
      </c>
      <c r="E371" s="6">
        <v>1</v>
      </c>
      <c r="F371" s="6">
        <v>0</v>
      </c>
      <c r="G371" s="7">
        <v>0.3944479525089264</v>
      </c>
      <c r="H371" s="7">
        <v>76.48656640625</v>
      </c>
      <c r="I371" s="7">
        <v>37.627928787752</v>
      </c>
      <c r="J371" s="7">
        <v>11.41309742398716</v>
      </c>
      <c r="K371" s="7">
        <v>6.877994045963238</v>
      </c>
      <c r="L371" s="7">
        <v>0.8124970816016728</v>
      </c>
      <c r="M371" s="7">
        <v>0.6788509066971414</v>
      </c>
      <c r="N371" s="7">
        <v>0.4539579510119959</v>
      </c>
      <c r="O371" s="7">
        <v>0.0598096958127027</v>
      </c>
      <c r="P371" s="7">
        <v>8.52615994276881</v>
      </c>
      <c r="Q371" s="7">
        <v>0.0112365475260192</v>
      </c>
      <c r="R371" s="7">
        <v>0.0307232484145114</v>
      </c>
      <c r="S371" s="7">
        <v>0.048618836854858</v>
      </c>
      <c r="T371" s="7">
        <v>0.9974906610739976</v>
      </c>
    </row>
    <row x14ac:dyDescent="0.25" r="372" customHeight="1" ht="19.5">
      <c r="A372" s="2" t="s">
        <v>404</v>
      </c>
      <c r="B372" s="2" t="s">
        <v>30</v>
      </c>
      <c r="C372" s="2" t="s">
        <v>31</v>
      </c>
      <c r="D372" s="2" t="s">
        <v>402</v>
      </c>
      <c r="E372" s="6">
        <v>1</v>
      </c>
      <c r="F372" s="6">
        <v>0</v>
      </c>
      <c r="G372" s="7">
        <v>0.3712766468524933</v>
      </c>
      <c r="H372" s="7">
        <v>82.06591250000001</v>
      </c>
      <c r="I372" s="7">
        <v>37.1916049180534</v>
      </c>
      <c r="J372" s="7">
        <v>11.36997297314781</v>
      </c>
      <c r="K372" s="7">
        <v>7.95579234502325</v>
      </c>
      <c r="L372" s="7">
        <v>0.7466738775730837</v>
      </c>
      <c r="M372" s="7">
        <v>0.7455603909081988</v>
      </c>
      <c r="N372" s="7">
        <v>0.4323807480908706</v>
      </c>
      <c r="O372" s="7">
        <v>0.0567747046582908</v>
      </c>
      <c r="P372" s="7">
        <v>8.656659968277637</v>
      </c>
      <c r="Q372" s="7">
        <v>0.0073319835286541</v>
      </c>
      <c r="R372" s="7">
        <v>0.0255791539285421</v>
      </c>
      <c r="S372" s="7">
        <v>0.0460863372046176</v>
      </c>
      <c r="T372" s="7">
        <v>0.6983530971275578</v>
      </c>
    </row>
    <row x14ac:dyDescent="0.25" r="373" customHeight="1" ht="19.5">
      <c r="A373" s="2" t="s">
        <v>405</v>
      </c>
      <c r="B373" s="2" t="s">
        <v>30</v>
      </c>
      <c r="C373" s="2" t="s">
        <v>31</v>
      </c>
      <c r="D373" s="2" t="s">
        <v>402</v>
      </c>
      <c r="E373" s="6">
        <v>1</v>
      </c>
      <c r="F373" s="6">
        <v>0</v>
      </c>
      <c r="G373" s="7">
        <v>0.3306484818458557</v>
      </c>
      <c r="H373" s="7">
        <v>79.82170625</v>
      </c>
      <c r="I373" s="7">
        <v>36.73299588328854</v>
      </c>
      <c r="J373" s="7">
        <v>11.07640610060036</v>
      </c>
      <c r="K373" s="7">
        <v>7.344746419483141</v>
      </c>
      <c r="L373" s="7">
        <v>0.7663597756564003</v>
      </c>
      <c r="M373" s="7">
        <v>0.7433924921778319</v>
      </c>
      <c r="N373" s="7">
        <v>0.376461715229629</v>
      </c>
      <c r="O373" s="7">
        <v>0.0505677030767202</v>
      </c>
      <c r="P373" s="7">
        <v>8.939604616578146</v>
      </c>
      <c r="Q373" s="7">
        <v>0.0044144928361679</v>
      </c>
      <c r="R373" s="7">
        <v>0.0194459897060351</v>
      </c>
      <c r="S373" s="7">
        <v>0.0450068999836597</v>
      </c>
      <c r="T373" s="7">
        <v>0.408971084708316</v>
      </c>
    </row>
    <row x14ac:dyDescent="0.25" r="374" customHeight="1" ht="19.5">
      <c r="A374" s="2" t="s">
        <v>406</v>
      </c>
      <c r="B374" s="2" t="s">
        <v>30</v>
      </c>
      <c r="C374" s="2" t="s">
        <v>31</v>
      </c>
      <c r="D374" s="2" t="s">
        <v>402</v>
      </c>
      <c r="E374" s="6">
        <v>1</v>
      </c>
      <c r="F374" s="6">
        <v>0</v>
      </c>
      <c r="G374" s="7">
        <v>0.3334777653217315</v>
      </c>
      <c r="H374" s="7">
        <v>76.84674765625</v>
      </c>
      <c r="I374" s="7">
        <v>38.57788781190119</v>
      </c>
      <c r="J374" s="7">
        <v>10.60058083251711</v>
      </c>
      <c r="K374" s="7">
        <v>7.241477985898123</v>
      </c>
      <c r="L374" s="7">
        <v>0.7458533205434835</v>
      </c>
      <c r="M374" s="7">
        <v>0.6488711488045326</v>
      </c>
      <c r="N374" s="7">
        <v>0.4928877966608966</v>
      </c>
      <c r="O374" s="7">
        <v>0.0643799764009822</v>
      </c>
      <c r="P374" s="7">
        <v>8.271198110305681</v>
      </c>
      <c r="Q374" s="7">
        <v>0.0103665205248431</v>
      </c>
      <c r="R374" s="7">
        <v>0.0268734183410044</v>
      </c>
      <c r="S374" s="7">
        <v>0.0439141719764195</v>
      </c>
      <c r="T374" s="7">
        <v>0.9245901954365696</v>
      </c>
    </row>
    <row x14ac:dyDescent="0.25" r="375" customHeight="1" ht="19.5">
      <c r="A375" s="2" t="s">
        <v>407</v>
      </c>
      <c r="B375" s="2" t="s">
        <v>30</v>
      </c>
      <c r="C375" s="2" t="s">
        <v>31</v>
      </c>
      <c r="D375" s="2" t="s">
        <v>402</v>
      </c>
      <c r="E375" s="6">
        <v>1</v>
      </c>
      <c r="F375" s="6">
        <v>0</v>
      </c>
      <c r="G375" s="7">
        <v>0.2537685334682464</v>
      </c>
      <c r="H375" s="7">
        <v>43.1455578125</v>
      </c>
      <c r="I375" s="7">
        <v>27.2313760418273</v>
      </c>
      <c r="J375" s="7">
        <v>8.517546829230781</v>
      </c>
      <c r="K375" s="7">
        <v>5.05889831072961</v>
      </c>
      <c r="L375" s="7">
        <v>0.8162963691014745</v>
      </c>
      <c r="M375" s="7">
        <v>0.7311504932816026</v>
      </c>
      <c r="N375" s="7">
        <v>0.5049638744189303</v>
      </c>
      <c r="O375" s="7">
        <v>0.0733887594420934</v>
      </c>
      <c r="P375" s="7">
        <v>7.933366373347047</v>
      </c>
      <c r="Q375" s="7">
        <v>0.0022106007212349</v>
      </c>
      <c r="R375" s="7">
        <v>0.0106976114684544</v>
      </c>
      <c r="S375" s="7">
        <v>0.0234705766740446</v>
      </c>
      <c r="T375" s="7">
        <v>0.1106973375794993</v>
      </c>
    </row>
    <row x14ac:dyDescent="0.25" r="376" customHeight="1" ht="19.5">
      <c r="A376" s="2" t="s">
        <v>408</v>
      </c>
      <c r="B376" s="2" t="s">
        <v>30</v>
      </c>
      <c r="C376" s="2" t="s">
        <v>31</v>
      </c>
      <c r="D376" s="2" t="s">
        <v>402</v>
      </c>
      <c r="E376" s="6">
        <v>1</v>
      </c>
      <c r="F376" s="6">
        <v>0</v>
      </c>
      <c r="G376" s="7">
        <v>0.2577263116836548</v>
      </c>
      <c r="H376" s="7">
        <v>74.65102734375</v>
      </c>
      <c r="I376" s="7">
        <v>35.79731617853842</v>
      </c>
      <c r="J376" s="7">
        <v>10.06624006344467</v>
      </c>
      <c r="K376" s="7">
        <v>7.61886236834097</v>
      </c>
      <c r="L376" s="7">
        <v>0.6808976010504036</v>
      </c>
      <c r="M376" s="7">
        <v>0.7320566963184177</v>
      </c>
      <c r="N376" s="7">
        <v>0.5267720349897349</v>
      </c>
      <c r="O376" s="7">
        <v>0.0673444638572096</v>
      </c>
      <c r="P376" s="7">
        <v>8.15147622324611</v>
      </c>
      <c r="Q376" s="7">
        <v>0.0152170483400353</v>
      </c>
      <c r="R376" s="7">
        <v>0.0358253950140182</v>
      </c>
      <c r="S376" s="7">
        <v>0.049508219541363</v>
      </c>
      <c r="T376" s="7">
        <v>1.318429734676865</v>
      </c>
    </row>
    <row x14ac:dyDescent="0.25" r="377" customHeight="1" ht="19.5">
      <c r="A377" s="2" t="s">
        <v>409</v>
      </c>
      <c r="B377" s="2" t="s">
        <v>30</v>
      </c>
      <c r="C377" s="2" t="s">
        <v>31</v>
      </c>
      <c r="D377" s="2" t="s">
        <v>402</v>
      </c>
      <c r="E377" s="6">
        <v>1</v>
      </c>
      <c r="F377" s="6">
        <v>0</v>
      </c>
      <c r="G377" s="7">
        <v>0.4341448843479156</v>
      </c>
      <c r="H377" s="7">
        <v>76.93679296875</v>
      </c>
      <c r="I377" s="7">
        <v>35.46441228850408</v>
      </c>
      <c r="J377" s="7">
        <v>10.55342744686536</v>
      </c>
      <c r="K377" s="7">
        <v>7.79766687836382</v>
      </c>
      <c r="L377" s="7">
        <v>0.7076100224832121</v>
      </c>
      <c r="M377" s="7">
        <v>0.7682874698532077</v>
      </c>
      <c r="N377" s="7">
        <v>0.4746462360854356</v>
      </c>
      <c r="O377" s="7">
        <v>0.0596433744383586</v>
      </c>
      <c r="P377" s="7">
        <v>8.497885791964544</v>
      </c>
      <c r="Q377" s="7">
        <v>0.00516258686985</v>
      </c>
      <c r="R377" s="7">
        <v>0.0196275751362053</v>
      </c>
      <c r="S377" s="7">
        <v>0.0373770210821188</v>
      </c>
      <c r="T377" s="7">
        <v>0.4609907719283854</v>
      </c>
    </row>
    <row x14ac:dyDescent="0.25" r="378" customHeight="1" ht="19.5">
      <c r="A378" s="2" t="s">
        <v>410</v>
      </c>
      <c r="B378" s="2" t="s">
        <v>30</v>
      </c>
      <c r="C378" s="2" t="s">
        <v>31</v>
      </c>
      <c r="D378" s="2" t="s">
        <v>402</v>
      </c>
      <c r="E378" s="6">
        <v>1</v>
      </c>
      <c r="F378" s="6">
        <v>0</v>
      </c>
      <c r="G378" s="7">
        <v>0.3723069131374359</v>
      </c>
      <c r="H378" s="7">
        <v>77.89265859375</v>
      </c>
      <c r="I378" s="7">
        <v>36.58082325767045</v>
      </c>
      <c r="J378" s="7">
        <v>11.21634440500766</v>
      </c>
      <c r="K378" s="7">
        <v>9.022347750049626</v>
      </c>
      <c r="L378" s="7">
        <v>0.6863643698602018</v>
      </c>
      <c r="M378" s="7">
        <v>0.7312797834582746</v>
      </c>
      <c r="N378" s="7">
        <v>0.4442957865183576</v>
      </c>
      <c r="O378" s="7">
        <v>0.0593544498707845</v>
      </c>
      <c r="P378" s="7">
        <v>8.763231943990974</v>
      </c>
      <c r="Q378" s="7">
        <v>0.0026508864683768</v>
      </c>
      <c r="R378" s="7">
        <v>0.0142982361916573</v>
      </c>
      <c r="S378" s="7">
        <v>0.0299275768590119</v>
      </c>
      <c r="T378" s="7">
        <v>0.2396505530352778</v>
      </c>
    </row>
    <row x14ac:dyDescent="0.25" r="379" customHeight="1" ht="19.5">
      <c r="A379" s="2" t="s">
        <v>411</v>
      </c>
      <c r="B379" s="2" t="s">
        <v>30</v>
      </c>
      <c r="C379" s="2" t="s">
        <v>31</v>
      </c>
      <c r="D379" s="2" t="s">
        <v>402</v>
      </c>
      <c r="E379" s="6">
        <v>1</v>
      </c>
      <c r="F379" s="6">
        <v>0</v>
      </c>
      <c r="G379" s="7">
        <v>0.3936698734760284</v>
      </c>
      <c r="H379" s="7">
        <v>75.30905078125001</v>
      </c>
      <c r="I379" s="7">
        <v>35.28613096797378</v>
      </c>
      <c r="J379" s="7">
        <v>11.22836552700926</v>
      </c>
      <c r="K379" s="7">
        <v>7.880397803275516</v>
      </c>
      <c r="L379" s="7">
        <v>0.752569521899791</v>
      </c>
      <c r="M379" s="7">
        <v>0.7600618847048575</v>
      </c>
      <c r="N379" s="7">
        <v>0.4200178286668111</v>
      </c>
      <c r="O379" s="7">
        <v>0.0554875879531783</v>
      </c>
      <c r="P379" s="7">
        <v>8.908482792421294</v>
      </c>
      <c r="Q379" s="7">
        <v>0.0021234517934658</v>
      </c>
      <c r="R379" s="7">
        <v>0.0126350708958338</v>
      </c>
      <c r="S379" s="7">
        <v>0.0314384863746241</v>
      </c>
      <c r="T379" s="7">
        <v>0.185601020510108</v>
      </c>
    </row>
    <row x14ac:dyDescent="0.25" r="380" customHeight="1" ht="19.5">
      <c r="A380" s="2" t="s">
        <v>412</v>
      </c>
      <c r="B380" s="2" t="s">
        <v>30</v>
      </c>
      <c r="C380" s="2" t="s">
        <v>31</v>
      </c>
      <c r="D380" s="2" t="s">
        <v>402</v>
      </c>
      <c r="E380" s="6">
        <v>1</v>
      </c>
      <c r="F380" s="6">
        <v>0</v>
      </c>
      <c r="G380" s="7">
        <v>0.3886333107948303</v>
      </c>
      <c r="H380" s="7">
        <v>73.1514265625</v>
      </c>
      <c r="I380" s="7">
        <v>34.31006324891237</v>
      </c>
      <c r="J380" s="7">
        <v>11.09051518596321</v>
      </c>
      <c r="K380" s="7">
        <v>8.451945615013543</v>
      </c>
      <c r="L380" s="7">
        <v>0.7030255029107761</v>
      </c>
      <c r="M380" s="7">
        <v>0.7808895780163645</v>
      </c>
      <c r="N380" s="7">
        <v>0.4226979711827975</v>
      </c>
      <c r="O380" s="7">
        <v>0.0609880817035081</v>
      </c>
      <c r="P380" s="7">
        <v>8.858275578988124</v>
      </c>
      <c r="Q380" s="7">
        <v>0.0018220766990499</v>
      </c>
      <c r="R380" s="7">
        <v>0.0119933239123185</v>
      </c>
      <c r="S380" s="7">
        <v>0.0338965095854926</v>
      </c>
      <c r="T380" s="7">
        <v>0.1546964096769725</v>
      </c>
    </row>
    <row x14ac:dyDescent="0.25" r="381" customHeight="1" ht="19.5">
      <c r="A381" s="2" t="s">
        <v>413</v>
      </c>
      <c r="B381" s="2" t="s">
        <v>30</v>
      </c>
      <c r="C381" s="2" t="s">
        <v>31</v>
      </c>
      <c r="D381" s="2" t="s">
        <v>402</v>
      </c>
      <c r="E381" s="6">
        <v>1</v>
      </c>
      <c r="F381" s="6">
        <v>0</v>
      </c>
      <c r="G381" s="7">
        <v>0.3042799532413482</v>
      </c>
      <c r="H381" s="7">
        <v>78.42946718750001</v>
      </c>
      <c r="I381" s="7">
        <v>35.95785343579904</v>
      </c>
      <c r="J381" s="7">
        <v>11.57094608065825</v>
      </c>
      <c r="K381" s="7">
        <v>8.601598844343693</v>
      </c>
      <c r="L381" s="7">
        <v>0.7435224592688947</v>
      </c>
      <c r="M381" s="7">
        <v>0.7615841424227883</v>
      </c>
      <c r="N381" s="7">
        <v>0.4272853765997837</v>
      </c>
      <c r="O381" s="7">
        <v>0.0585367459161431</v>
      </c>
      <c r="P381" s="7">
        <v>8.901080987923077</v>
      </c>
      <c r="Q381" s="7">
        <v>0.0014779286920955</v>
      </c>
      <c r="R381" s="7">
        <v>0.0102349544080028</v>
      </c>
      <c r="S381" s="7">
        <v>0.0316899718590735</v>
      </c>
      <c r="T381" s="7">
        <v>0.1345313577114204</v>
      </c>
    </row>
    <row x14ac:dyDescent="0.25" r="382" customHeight="1" ht="19.5">
      <c r="A382" s="2" t="s">
        <v>414</v>
      </c>
      <c r="B382" s="2" t="s">
        <v>30</v>
      </c>
      <c r="C382" s="2" t="s">
        <v>31</v>
      </c>
      <c r="D382" s="2" t="s">
        <v>402</v>
      </c>
      <c r="E382" s="6">
        <v>1</v>
      </c>
      <c r="F382" s="6">
        <v>0</v>
      </c>
      <c r="G382" s="7">
        <v>0.3440599143505096</v>
      </c>
      <c r="H382" s="7">
        <v>79.49269453125001</v>
      </c>
      <c r="I382" s="7">
        <v>36.9683944814152</v>
      </c>
      <c r="J382" s="7">
        <v>11.31040721568993</v>
      </c>
      <c r="K382" s="7">
        <v>8.05401826284221</v>
      </c>
      <c r="L382" s="7">
        <v>0.7452518060849236</v>
      </c>
      <c r="M382" s="7">
        <v>0.7287010690797688</v>
      </c>
      <c r="N382" s="7">
        <v>0.4168236712245071</v>
      </c>
      <c r="O382" s="7">
        <v>0.0520294417262222</v>
      </c>
      <c r="P382" s="7">
        <v>8.974236045315878</v>
      </c>
      <c r="Q382" s="7">
        <v>0.0014808154312375</v>
      </c>
      <c r="R382" s="7">
        <v>0.0100935998509402</v>
      </c>
      <c r="S382" s="7">
        <v>0.0318706799977701</v>
      </c>
      <c r="T382" s="7">
        <v>0.1366214624402532</v>
      </c>
    </row>
    <row x14ac:dyDescent="0.25" r="383" customHeight="1" ht="19.5">
      <c r="A383" s="2" t="s">
        <v>415</v>
      </c>
      <c r="B383" s="2" t="s">
        <v>30</v>
      </c>
      <c r="C383" s="2" t="s">
        <v>31</v>
      </c>
      <c r="D383" s="2" t="s">
        <v>402</v>
      </c>
      <c r="E383" s="6">
        <v>1</v>
      </c>
      <c r="F383" s="6">
        <v>0</v>
      </c>
      <c r="G383" s="7">
        <v>0.2655907273292541</v>
      </c>
      <c r="H383" s="7">
        <v>75.70386484375001</v>
      </c>
      <c r="I383" s="7">
        <v>34.91283906362813</v>
      </c>
      <c r="J383" s="7">
        <v>10.8912283296778</v>
      </c>
      <c r="K383" s="7">
        <v>8.3086941508965</v>
      </c>
      <c r="L383" s="7">
        <v>0.709246917357919</v>
      </c>
      <c r="M383" s="7">
        <v>0.7790085604903751</v>
      </c>
      <c r="N383" s="7">
        <v>0.4120704321739719</v>
      </c>
      <c r="O383" s="7">
        <v>0.0530057629287632</v>
      </c>
      <c r="P383" s="7">
        <v>8.93678323157246</v>
      </c>
      <c r="Q383" s="7">
        <v>0.0020169846291091</v>
      </c>
      <c r="R383" s="7">
        <v>0.0123088965168961</v>
      </c>
      <c r="S383" s="7">
        <v>0.0318480732000255</v>
      </c>
      <c r="T383" s="7">
        <v>0.1772194646841103</v>
      </c>
    </row>
    <row x14ac:dyDescent="0.25" r="384" customHeight="1" ht="19.5">
      <c r="A384" s="2" t="s">
        <v>416</v>
      </c>
      <c r="B384" s="2" t="s">
        <v>30</v>
      </c>
      <c r="C384" s="2" t="s">
        <v>31</v>
      </c>
      <c r="D384" s="2" t="s">
        <v>402</v>
      </c>
      <c r="E384" s="6">
        <v>1</v>
      </c>
      <c r="F384" s="6">
        <v>0</v>
      </c>
      <c r="G384" s="7">
        <v>0.3395951986312866</v>
      </c>
      <c r="H384" s="7">
        <v>70.33577890625</v>
      </c>
      <c r="I384" s="7">
        <v>34.59630565090351</v>
      </c>
      <c r="J384" s="7">
        <v>10.66546332879794</v>
      </c>
      <c r="K384" s="7">
        <v>8.016091989968777</v>
      </c>
      <c r="L384" s="7">
        <v>0.7077860174136911</v>
      </c>
      <c r="M384" s="7">
        <v>0.7384595555501556</v>
      </c>
      <c r="N384" s="7">
        <v>0.4174714224561598</v>
      </c>
      <c r="O384" s="7">
        <v>0.0559422057783786</v>
      </c>
      <c r="P384" s="7">
        <v>8.889967225741895</v>
      </c>
      <c r="Q384" s="7">
        <v>0.0025534742838877</v>
      </c>
      <c r="R384" s="7">
        <v>0.0140497676400009</v>
      </c>
      <c r="S384" s="7">
        <v>0.0353854055550654</v>
      </c>
      <c r="T384" s="7">
        <v>0.2084484018233737</v>
      </c>
    </row>
    <row x14ac:dyDescent="0.25" r="385" customHeight="1" ht="19.5">
      <c r="A385" s="2" t="s">
        <v>417</v>
      </c>
      <c r="B385" s="2" t="s">
        <v>30</v>
      </c>
      <c r="C385" s="2" t="s">
        <v>31</v>
      </c>
      <c r="D385" s="2" t="s">
        <v>402</v>
      </c>
      <c r="E385" s="6">
        <v>1</v>
      </c>
      <c r="F385" s="6">
        <v>0</v>
      </c>
      <c r="G385" s="7">
        <v>0.3001663982868194</v>
      </c>
      <c r="H385" s="7">
        <v>78.65804375</v>
      </c>
      <c r="I385" s="7">
        <v>36.64176406511275</v>
      </c>
      <c r="J385" s="7">
        <v>11.50602350555584</v>
      </c>
      <c r="K385" s="7">
        <v>8.49246247539435</v>
      </c>
      <c r="L385" s="7">
        <v>0.7446440498223282</v>
      </c>
      <c r="M385" s="7">
        <v>0.7344571281648772</v>
      </c>
      <c r="N385" s="7">
        <v>0.4283515796235588</v>
      </c>
      <c r="O385" s="7">
        <v>0.0563921116111246</v>
      </c>
      <c r="P385" s="7">
        <v>8.93287035382359</v>
      </c>
      <c r="Q385" s="7">
        <v>0.002123870953689</v>
      </c>
      <c r="R385" s="7">
        <v>0.0129658087552344</v>
      </c>
      <c r="S385" s="7">
        <v>0.0319259799112533</v>
      </c>
      <c r="T385" s="7">
        <v>0.1938929626926832</v>
      </c>
    </row>
    <row x14ac:dyDescent="0.25" r="386" customHeight="1" ht="19.5">
      <c r="A386" s="2" t="s">
        <v>418</v>
      </c>
      <c r="B386" s="2" t="s">
        <v>30</v>
      </c>
      <c r="C386" s="2" t="s">
        <v>31</v>
      </c>
      <c r="D386" s="2" t="s">
        <v>402</v>
      </c>
      <c r="E386" s="6">
        <v>1</v>
      </c>
      <c r="F386" s="6">
        <v>0</v>
      </c>
      <c r="G386" s="7">
        <v>0.3362745344638824</v>
      </c>
      <c r="H386" s="7">
        <v>74.27699296875001</v>
      </c>
      <c r="I386" s="7">
        <v>34.79896329441073</v>
      </c>
      <c r="J386" s="7">
        <v>10.96103352297712</v>
      </c>
      <c r="K386" s="7">
        <v>8.315502435171773</v>
      </c>
      <c r="L386" s="7">
        <v>0.7042790960036671</v>
      </c>
      <c r="M386" s="7">
        <v>0.7707820026491052</v>
      </c>
      <c r="N386" s="7">
        <v>0.4162918449175058</v>
      </c>
      <c r="O386" s="7">
        <v>0.056931237458302</v>
      </c>
      <c r="P386" s="7">
        <v>8.873363390202073</v>
      </c>
      <c r="Q386" s="7">
        <v>0.0022288957996389</v>
      </c>
      <c r="R386" s="7">
        <v>0.0129244886330358</v>
      </c>
      <c r="S386" s="7">
        <v>0.0328045990059414</v>
      </c>
      <c r="T386" s="7">
        <v>0.192147553530065</v>
      </c>
    </row>
    <row x14ac:dyDescent="0.25" r="387" customHeight="1" ht="19.5">
      <c r="A387" s="2" t="s">
        <v>419</v>
      </c>
      <c r="B387" s="2" t="s">
        <v>30</v>
      </c>
      <c r="C387" s="2" t="s">
        <v>31</v>
      </c>
      <c r="D387" s="2" t="s">
        <v>402</v>
      </c>
      <c r="E387" s="6">
        <v>1</v>
      </c>
      <c r="F387" s="6">
        <v>0</v>
      </c>
      <c r="G387" s="7">
        <v>0.3374953866004944</v>
      </c>
      <c r="H387" s="7">
        <v>73.9826140625</v>
      </c>
      <c r="I387" s="7">
        <v>36.19534319183634</v>
      </c>
      <c r="J387" s="7">
        <v>10.83253866272432</v>
      </c>
      <c r="K387" s="7">
        <v>8.196526072277397</v>
      </c>
      <c r="L387" s="7">
        <v>0.7191358815824433</v>
      </c>
      <c r="M387" s="7">
        <v>0.7090023789950787</v>
      </c>
      <c r="N387" s="7">
        <v>0.4214494188624283</v>
      </c>
      <c r="O387" s="7">
        <v>0.0539166408903931</v>
      </c>
      <c r="P387" s="7">
        <v>8.923434972065195</v>
      </c>
      <c r="Q387" s="7">
        <v>0.0021612691197639</v>
      </c>
      <c r="R387" s="7">
        <v>0.0128142368839984</v>
      </c>
      <c r="S387" s="7">
        <v>0.035402547686733</v>
      </c>
      <c r="T387" s="7">
        <v>0.1855792010809376</v>
      </c>
    </row>
    <row x14ac:dyDescent="0.25" r="388" customHeight="1" ht="19.5">
      <c r="A388" s="2" t="s">
        <v>420</v>
      </c>
      <c r="B388" s="2" t="s">
        <v>30</v>
      </c>
      <c r="C388" s="2" t="s">
        <v>31</v>
      </c>
      <c r="D388" s="2" t="s">
        <v>402</v>
      </c>
      <c r="E388" s="6">
        <v>1</v>
      </c>
      <c r="F388" s="6">
        <v>0</v>
      </c>
      <c r="G388" s="7">
        <v>0.3876573741436004</v>
      </c>
      <c r="H388" s="7">
        <v>71.55485390625</v>
      </c>
      <c r="I388" s="7">
        <v>35.34324824557015</v>
      </c>
      <c r="J388" s="7">
        <v>10.59687956650865</v>
      </c>
      <c r="K388" s="7">
        <v>8.461025114601348</v>
      </c>
      <c r="L388" s="7">
        <v>0.6496092955871644</v>
      </c>
      <c r="M388" s="7">
        <v>0.719840108201315</v>
      </c>
      <c r="N388" s="7">
        <v>0.4149523465244319</v>
      </c>
      <c r="O388" s="7">
        <v>0.0557724317811978</v>
      </c>
      <c r="P388" s="7">
        <v>8.889371295755772</v>
      </c>
      <c r="Q388" s="7">
        <v>0.0021929017894935</v>
      </c>
      <c r="R388" s="7">
        <v>0.0131219086509032</v>
      </c>
      <c r="S388" s="7">
        <v>0.0335738693600641</v>
      </c>
      <c r="T388" s="7">
        <v>0.1821164019323463</v>
      </c>
    </row>
    <row x14ac:dyDescent="0.25" r="389" customHeight="1" ht="19.5">
      <c r="A389" s="2" t="s">
        <v>421</v>
      </c>
      <c r="B389" s="2" t="s">
        <v>30</v>
      </c>
      <c r="C389" s="2" t="s">
        <v>31</v>
      </c>
      <c r="D389" s="2" t="s">
        <v>402</v>
      </c>
      <c r="E389" s="6">
        <v>1</v>
      </c>
      <c r="F389" s="6">
        <v>0</v>
      </c>
      <c r="G389" s="7">
        <v>0.3637979626655578</v>
      </c>
      <c r="H389" s="7">
        <v>65.52181796875</v>
      </c>
      <c r="I389" s="7">
        <v>33.7967868804371</v>
      </c>
      <c r="J389" s="7">
        <v>10.28470773552862</v>
      </c>
      <c r="K389" s="7">
        <v>8.306133381304742</v>
      </c>
      <c r="L389" s="7">
        <v>0.6489318406681819</v>
      </c>
      <c r="M389" s="7">
        <v>0.7208501226213938</v>
      </c>
      <c r="N389" s="7">
        <v>0.4092451667673035</v>
      </c>
      <c r="O389" s="7">
        <v>0.0583220856003287</v>
      </c>
      <c r="P389" s="7">
        <v>8.841651917370964</v>
      </c>
      <c r="Q389" s="7">
        <v>0.0029231908272356</v>
      </c>
      <c r="R389" s="7">
        <v>0.01504025188164</v>
      </c>
      <c r="S389" s="7">
        <v>0.033476213437847</v>
      </c>
      <c r="T389" s="7">
        <v>0.2222971455787978</v>
      </c>
    </row>
    <row x14ac:dyDescent="0.25" r="390" customHeight="1" ht="19.5">
      <c r="A390" s="2" t="s">
        <v>422</v>
      </c>
      <c r="B390" s="2" t="s">
        <v>30</v>
      </c>
      <c r="C390" s="2" t="s">
        <v>31</v>
      </c>
      <c r="D390" s="2" t="s">
        <v>402</v>
      </c>
      <c r="E390" s="6">
        <v>1</v>
      </c>
      <c r="F390" s="6">
        <v>0</v>
      </c>
      <c r="G390" s="7">
        <v>0.325683057308197</v>
      </c>
      <c r="H390" s="7">
        <v>77.20692890625</v>
      </c>
      <c r="I390" s="7">
        <v>35.3777215721249</v>
      </c>
      <c r="J390" s="7">
        <v>11.45567099068796</v>
      </c>
      <c r="K390" s="7">
        <v>8.925328747180608</v>
      </c>
      <c r="L390" s="7">
        <v>0.7170990844375223</v>
      </c>
      <c r="M390" s="7">
        <v>0.774700078309086</v>
      </c>
      <c r="N390" s="7">
        <v>0.4200622851628765</v>
      </c>
      <c r="O390" s="7">
        <v>0.0604393366048874</v>
      </c>
      <c r="P390" s="7">
        <v>8.891555776165937</v>
      </c>
      <c r="Q390" s="7">
        <v>0.0021514547792473</v>
      </c>
      <c r="R390" s="7">
        <v>0.0129624178648858</v>
      </c>
      <c r="S390" s="7">
        <v>0.0343055351558246</v>
      </c>
      <c r="T390" s="7">
        <v>0.1927876812761152</v>
      </c>
    </row>
    <row x14ac:dyDescent="0.25" r="391" customHeight="1" ht="19.5">
      <c r="A391" s="2" t="s">
        <v>423</v>
      </c>
      <c r="B391" s="2" t="s">
        <v>30</v>
      </c>
      <c r="C391" s="2" t="s">
        <v>31</v>
      </c>
      <c r="D391" s="2" t="s">
        <v>402</v>
      </c>
      <c r="E391" s="6">
        <v>1</v>
      </c>
      <c r="F391" s="6">
        <v>0</v>
      </c>
      <c r="G391" s="7">
        <v>0.2994498014450073</v>
      </c>
      <c r="H391" s="7">
        <v>73.186059375</v>
      </c>
      <c r="I391" s="7">
        <v>34.39328922142096</v>
      </c>
      <c r="J391" s="7">
        <v>10.75522527418927</v>
      </c>
      <c r="K391" s="7">
        <v>8.149291872527941</v>
      </c>
      <c r="L391" s="7">
        <v>0.6987111173829614</v>
      </c>
      <c r="M391" s="7">
        <v>0.7774828251210444</v>
      </c>
      <c r="N391" s="7">
        <v>0.4126670221079744</v>
      </c>
      <c r="O391" s="7">
        <v>0.0546898673438977</v>
      </c>
      <c r="P391" s="7">
        <v>8.894033749323322</v>
      </c>
      <c r="Q391" s="7">
        <v>0.0025564070697245</v>
      </c>
      <c r="R391" s="7">
        <v>0.0139422237174634</v>
      </c>
      <c r="S391" s="7">
        <v>0.0355270866807298</v>
      </c>
      <c r="T391" s="7">
        <v>0.2171446599727693</v>
      </c>
    </row>
    <row x14ac:dyDescent="0.25" r="392" customHeight="1" ht="19.5">
      <c r="A392" s="2" t="s">
        <v>424</v>
      </c>
      <c r="B392" s="2" t="s">
        <v>30</v>
      </c>
      <c r="C392" s="2" t="s">
        <v>31</v>
      </c>
      <c r="D392" s="2" t="s">
        <v>402</v>
      </c>
      <c r="E392" s="6">
        <v>1</v>
      </c>
      <c r="F392" s="6">
        <v>0</v>
      </c>
      <c r="G392" s="7">
        <v>0.2900125086307525</v>
      </c>
      <c r="H392" s="7">
        <v>68.96085625</v>
      </c>
      <c r="I392" s="7">
        <v>33.67317289361721</v>
      </c>
      <c r="J392" s="7">
        <v>10.64556574640929</v>
      </c>
      <c r="K392" s="7">
        <v>8.69407226735602</v>
      </c>
      <c r="L392" s="7">
        <v>0.6770728928106615</v>
      </c>
      <c r="M392" s="7">
        <v>0.7642274230954913</v>
      </c>
      <c r="N392" s="7">
        <v>0.4171853028571145</v>
      </c>
      <c r="O392" s="7">
        <v>0.0595699658607466</v>
      </c>
      <c r="P392" s="7">
        <v>8.840538788379051</v>
      </c>
      <c r="Q392" s="7">
        <v>0.0024306493052066</v>
      </c>
      <c r="R392" s="7">
        <v>0.0138750215869618</v>
      </c>
      <c r="S392" s="7">
        <v>0.0361590038575793</v>
      </c>
      <c r="T392" s="7">
        <v>0.1945430536671735</v>
      </c>
    </row>
    <row x14ac:dyDescent="0.25" r="393" customHeight="1" ht="19.5">
      <c r="A393" s="2" t="s">
        <v>425</v>
      </c>
      <c r="B393" s="2" t="s">
        <v>30</v>
      </c>
      <c r="C393" s="2" t="s">
        <v>31</v>
      </c>
      <c r="D393" s="2" t="s">
        <v>402</v>
      </c>
      <c r="E393" s="6">
        <v>1</v>
      </c>
      <c r="F393" s="6">
        <v>0</v>
      </c>
      <c r="G393" s="7">
        <v>0.3981560468673706</v>
      </c>
      <c r="H393" s="7">
        <v>73.82330312500001</v>
      </c>
      <c r="I393" s="7">
        <v>34.37900990202186</v>
      </c>
      <c r="J393" s="7">
        <v>10.92651337568715</v>
      </c>
      <c r="K393" s="7">
        <v>8.307001662092667</v>
      </c>
      <c r="L393" s="7">
        <v>0.6992429907079019</v>
      </c>
      <c r="M393" s="7">
        <v>0.7849041170682055</v>
      </c>
      <c r="N393" s="7">
        <v>0.4241133919017534</v>
      </c>
      <c r="O393" s="7">
        <v>0.0565596888033451</v>
      </c>
      <c r="P393" s="7">
        <v>8.893249948730544</v>
      </c>
      <c r="Q393" s="7">
        <v>0.00206274120965</v>
      </c>
      <c r="R393" s="7">
        <v>0.0127162329186563</v>
      </c>
      <c r="S393" s="7">
        <v>0.0313052110696841</v>
      </c>
      <c r="T393" s="7">
        <v>0.176737618361639</v>
      </c>
    </row>
    <row x14ac:dyDescent="0.25" r="394" customHeight="1" ht="19.5">
      <c r="A394" s="2" t="s">
        <v>426</v>
      </c>
      <c r="B394" s="2" t="s">
        <v>30</v>
      </c>
      <c r="C394" s="2" t="s">
        <v>31</v>
      </c>
      <c r="D394" s="2" t="s">
        <v>402</v>
      </c>
      <c r="E394" s="6">
        <v>1</v>
      </c>
      <c r="F394" s="6">
        <v>0</v>
      </c>
      <c r="G394" s="7">
        <v>0.3620732724666595</v>
      </c>
      <c r="H394" s="7">
        <v>68.21625078125001</v>
      </c>
      <c r="I394" s="7">
        <v>32.72530502737863</v>
      </c>
      <c r="J394" s="7">
        <v>10.60732437239332</v>
      </c>
      <c r="K394" s="7">
        <v>8.151298225791516</v>
      </c>
      <c r="L394" s="7">
        <v>0.6941922595554328</v>
      </c>
      <c r="M394" s="7">
        <v>0.8004428030108053</v>
      </c>
      <c r="N394" s="7">
        <v>0.4219028617467673</v>
      </c>
      <c r="O394" s="7">
        <v>0.0596010126570793</v>
      </c>
      <c r="P394" s="7">
        <v>8.850052363839753</v>
      </c>
      <c r="Q394" s="7">
        <v>0.003048904983372</v>
      </c>
      <c r="R394" s="7">
        <v>0.0156038507331693</v>
      </c>
      <c r="S394" s="7">
        <v>0.034046143801887</v>
      </c>
      <c r="T394" s="7">
        <v>0.2413918020008265</v>
      </c>
    </row>
    <row x14ac:dyDescent="0.25" r="395" customHeight="1" ht="19.5">
      <c r="A395" s="2" t="s">
        <v>427</v>
      </c>
      <c r="B395" s="2" t="s">
        <v>30</v>
      </c>
      <c r="C395" s="2" t="s">
        <v>31</v>
      </c>
      <c r="D395" s="2" t="s">
        <v>402</v>
      </c>
      <c r="E395" s="6">
        <v>1</v>
      </c>
      <c r="F395" s="6">
        <v>0</v>
      </c>
      <c r="G395" s="7">
        <v>0.3174885809421539</v>
      </c>
      <c r="H395" s="7">
        <v>59.61692343750001</v>
      </c>
      <c r="I395" s="7">
        <v>31.78371063487197</v>
      </c>
      <c r="J395" s="7">
        <v>9.359452753757946</v>
      </c>
      <c r="K395" s="7">
        <v>7.57323530427822</v>
      </c>
      <c r="L395" s="7">
        <v>0.6343417429990368</v>
      </c>
      <c r="M395" s="7">
        <v>0.7416008654794257</v>
      </c>
      <c r="N395" s="7">
        <v>0.4039035288445384</v>
      </c>
      <c r="O395" s="7">
        <v>0.0562523098668271</v>
      </c>
      <c r="P395" s="7">
        <v>8.780419281340317</v>
      </c>
      <c r="Q395" s="7">
        <v>0.0036694171906616</v>
      </c>
      <c r="R395" s="7">
        <v>0.0174689052774585</v>
      </c>
      <c r="S395" s="7">
        <v>0.0359653589678705</v>
      </c>
      <c r="T395" s="7">
        <v>0.2538969194505961</v>
      </c>
    </row>
    <row x14ac:dyDescent="0.25" r="396" customHeight="1" ht="19.5">
      <c r="A396" s="2" t="s">
        <v>428</v>
      </c>
      <c r="B396" s="2" t="s">
        <v>30</v>
      </c>
      <c r="C396" s="2" t="s">
        <v>31</v>
      </c>
      <c r="D396" s="2" t="s">
        <v>402</v>
      </c>
      <c r="E396" s="6">
        <v>1</v>
      </c>
      <c r="F396" s="6">
        <v>0</v>
      </c>
      <c r="G396" s="7">
        <v>0.3373630940914154</v>
      </c>
      <c r="H396" s="7">
        <v>69.4664953125</v>
      </c>
      <c r="I396" s="7">
        <v>37.37096259650971</v>
      </c>
      <c r="J396" s="7">
        <v>10.33182493687191</v>
      </c>
      <c r="K396" s="7">
        <v>8.070099572061471</v>
      </c>
      <c r="L396" s="7">
        <v>0.669969305072702</v>
      </c>
      <c r="M396" s="7">
        <v>0.6250527692951169</v>
      </c>
      <c r="N396" s="7">
        <v>0.4028691985103289</v>
      </c>
      <c r="O396" s="7">
        <v>0.0557039213358267</v>
      </c>
      <c r="P396" s="7">
        <v>8.875763135842126</v>
      </c>
      <c r="Q396" s="7">
        <v>0.0026365480798399</v>
      </c>
      <c r="R396" s="7">
        <v>0.0141107515912115</v>
      </c>
      <c r="S396" s="7">
        <v>0.0329388901426867</v>
      </c>
      <c r="T396" s="7">
        <v>0.2125699469648206</v>
      </c>
    </row>
    <row x14ac:dyDescent="0.25" r="397" customHeight="1" ht="19.5">
      <c r="A397" s="2" t="s">
        <v>429</v>
      </c>
      <c r="B397" s="2" t="s">
        <v>30</v>
      </c>
      <c r="C397" s="2" t="s">
        <v>31</v>
      </c>
      <c r="D397" s="2" t="s">
        <v>402</v>
      </c>
      <c r="E397" s="6">
        <v>1</v>
      </c>
      <c r="F397" s="6">
        <v>0</v>
      </c>
      <c r="G397" s="7">
        <v>0.2918612360954284</v>
      </c>
      <c r="H397" s="7">
        <v>70.39811796875</v>
      </c>
      <c r="I397" s="7">
        <v>34.3076133050264</v>
      </c>
      <c r="J397" s="7">
        <v>9.941898530525702</v>
      </c>
      <c r="K397" s="7">
        <v>7.513767889087908</v>
      </c>
      <c r="L397" s="7">
        <v>0.6862673555339392</v>
      </c>
      <c r="M397" s="7">
        <v>0.751087754681648</v>
      </c>
      <c r="N397" s="7">
        <v>0.4729573229641124</v>
      </c>
      <c r="O397" s="7">
        <v>0.059561833224471</v>
      </c>
      <c r="P397" s="7">
        <v>8.494129528701018</v>
      </c>
      <c r="Q397" s="7">
        <v>0.0067605029933828</v>
      </c>
      <c r="R397" s="7">
        <v>0.0222939128969408</v>
      </c>
      <c r="S397" s="7">
        <v>0.0407162815206995</v>
      </c>
      <c r="T397" s="7">
        <v>0.552370960155133</v>
      </c>
    </row>
    <row x14ac:dyDescent="0.25" r="398" customHeight="1" ht="19.5">
      <c r="A398" s="2" t="s">
        <v>430</v>
      </c>
      <c r="B398" s="2" t="s">
        <v>30</v>
      </c>
      <c r="C398" s="2" t="s">
        <v>31</v>
      </c>
      <c r="D398" s="2" t="s">
        <v>431</v>
      </c>
      <c r="E398" s="6">
        <v>1</v>
      </c>
      <c r="F398" s="6">
        <v>0</v>
      </c>
      <c r="G398" s="7">
        <v>0.3712060451507568</v>
      </c>
      <c r="H398" s="7">
        <v>105.7616828125</v>
      </c>
      <c r="I398" s="7">
        <v>45.57472263243763</v>
      </c>
      <c r="J398" s="7">
        <v>12.75904518232179</v>
      </c>
      <c r="K398" s="7">
        <v>8.56399394799496</v>
      </c>
      <c r="L398" s="7">
        <v>0.7627701197400343</v>
      </c>
      <c r="M398" s="7">
        <v>0.6398676412181956</v>
      </c>
      <c r="N398" s="7">
        <v>0.6127678683059298</v>
      </c>
      <c r="O398" s="7">
        <v>0.0740690685802117</v>
      </c>
      <c r="P398" s="7">
        <v>7.894953551875846</v>
      </c>
      <c r="Q398" s="7">
        <v>0.018045227600021</v>
      </c>
      <c r="R398" s="7">
        <v>0.0495069616083392</v>
      </c>
      <c r="S398" s="7">
        <v>0.0679960913879652</v>
      </c>
      <c r="T398" s="7">
        <v>2.21503960870716</v>
      </c>
    </row>
    <row x14ac:dyDescent="0.25" r="399" customHeight="1" ht="19.5">
      <c r="A399" s="2" t="s">
        <v>432</v>
      </c>
      <c r="B399" s="2" t="s">
        <v>30</v>
      </c>
      <c r="C399" s="2" t="s">
        <v>31</v>
      </c>
      <c r="D399" s="2" t="s">
        <v>431</v>
      </c>
      <c r="E399" s="6">
        <v>1</v>
      </c>
      <c r="F399" s="6">
        <v>0</v>
      </c>
      <c r="G399" s="7">
        <v>0.5718212723731995</v>
      </c>
      <c r="H399" s="7">
        <v>76.2545265625</v>
      </c>
      <c r="I399" s="7">
        <v>43.90542641037674</v>
      </c>
      <c r="J399" s="7">
        <v>11.69935555941886</v>
      </c>
      <c r="K399" s="7">
        <v>11.63553654465428</v>
      </c>
      <c r="L399" s="7">
        <v>0.3026214458355955</v>
      </c>
      <c r="M399" s="7">
        <v>0.4962593166200618</v>
      </c>
      <c r="N399" s="7">
        <v>0.5355820492237612</v>
      </c>
      <c r="O399" s="7">
        <v>0.1354308680639581</v>
      </c>
      <c r="P399" s="7">
        <v>8.186530126037928</v>
      </c>
      <c r="Q399" s="7">
        <v>0.0128839927064127</v>
      </c>
      <c r="R399" s="7">
        <v>0.0504304015015298</v>
      </c>
      <c r="S399" s="7">
        <v>0.0713667408644221</v>
      </c>
      <c r="T399" s="7">
        <v>1.140267849719282</v>
      </c>
    </row>
    <row x14ac:dyDescent="0.25" r="400" customHeight="1" ht="19.5">
      <c r="A400" s="2" t="s">
        <v>433</v>
      </c>
      <c r="B400" s="2" t="s">
        <v>30</v>
      </c>
      <c r="C400" s="2" t="s">
        <v>31</v>
      </c>
      <c r="D400" s="2" t="s">
        <v>431</v>
      </c>
      <c r="E400" s="6">
        <v>1</v>
      </c>
      <c r="F400" s="6">
        <v>0</v>
      </c>
      <c r="G400" s="7">
        <v>0.784923255443573</v>
      </c>
      <c r="H400" s="7">
        <v>42.70572109375</v>
      </c>
      <c r="I400" s="7">
        <v>29.13517917791302</v>
      </c>
      <c r="J400" s="7">
        <v>9.180025110857732</v>
      </c>
      <c r="K400" s="7">
        <v>7.79343631721955</v>
      </c>
      <c r="L400" s="7">
        <v>0.7198481634241801</v>
      </c>
      <c r="M400" s="7">
        <v>0.6313372123848388</v>
      </c>
      <c r="N400" s="7">
        <v>0.5424226329348705</v>
      </c>
      <c r="O400" s="7">
        <v>0.2311670837251979</v>
      </c>
      <c r="P400" s="7">
        <v>7.580598720258113</v>
      </c>
      <c r="Q400" s="7">
        <v>0.021448059957016</v>
      </c>
      <c r="R400" s="7">
        <v>0.0628220511389307</v>
      </c>
      <c r="S400" s="7">
        <v>0.0772326362739724</v>
      </c>
      <c r="T400" s="7">
        <v>1.063077323944045</v>
      </c>
    </row>
    <row x14ac:dyDescent="0.25" r="401" customHeight="1" ht="19.5">
      <c r="A401" s="2" t="s">
        <v>434</v>
      </c>
      <c r="B401" s="2" t="s">
        <v>30</v>
      </c>
      <c r="C401" s="2" t="s">
        <v>31</v>
      </c>
      <c r="D401" s="2" t="s">
        <v>431</v>
      </c>
      <c r="E401" s="6">
        <v>1</v>
      </c>
      <c r="F401" s="6">
        <v>0</v>
      </c>
      <c r="G401" s="7">
        <v>0.8731064796447754</v>
      </c>
      <c r="H401" s="7">
        <v>43.44686328125</v>
      </c>
      <c r="I401" s="7">
        <v>28.15074682720907</v>
      </c>
      <c r="J401" s="7">
        <v>8.69825212489576</v>
      </c>
      <c r="K401" s="7">
        <v>7.196424320700263</v>
      </c>
      <c r="L401" s="7">
        <v>0.6840098561557066</v>
      </c>
      <c r="M401" s="7">
        <v>0.6889511816508658</v>
      </c>
      <c r="N401" s="7">
        <v>0.459467330579283</v>
      </c>
      <c r="O401" s="7">
        <v>0.1863737621780762</v>
      </c>
      <c r="P401" s="7">
        <v>8.203726935143353</v>
      </c>
      <c r="Q401" s="7">
        <v>0.0351013872880006</v>
      </c>
      <c r="R401" s="7">
        <v>0.09407215068479</v>
      </c>
      <c r="S401" s="7">
        <v>0.113938750303542</v>
      </c>
      <c r="T401" s="7">
        <v>1.770000905320315</v>
      </c>
    </row>
    <row x14ac:dyDescent="0.25" r="402" customHeight="1" ht="19.5">
      <c r="A402" s="2" t="s">
        <v>435</v>
      </c>
      <c r="B402" s="2" t="s">
        <v>30</v>
      </c>
      <c r="C402" s="2" t="s">
        <v>31</v>
      </c>
      <c r="D402" s="2" t="s">
        <v>431</v>
      </c>
      <c r="E402" s="6">
        <v>1</v>
      </c>
      <c r="F402" s="6">
        <v>0</v>
      </c>
      <c r="G402" s="7">
        <v>0.8804876804351807</v>
      </c>
      <c r="H402" s="7">
        <v>43.57154140625001</v>
      </c>
      <c r="I402" s="7">
        <v>26.59209730058755</v>
      </c>
      <c r="J402" s="7">
        <v>8.651698690568914</v>
      </c>
      <c r="K402" s="7">
        <v>6.81273695743425</v>
      </c>
      <c r="L402" s="7">
        <v>0.6923931201789773</v>
      </c>
      <c r="M402" s="7">
        <v>0.774297051774649</v>
      </c>
      <c r="N402" s="7">
        <v>0.3933552791108236</v>
      </c>
      <c r="O402" s="7">
        <v>0.1440015369670917</v>
      </c>
      <c r="P402" s="7">
        <v>8.744788009738171</v>
      </c>
      <c r="Q402" s="7">
        <v>0.0410597860460524</v>
      </c>
      <c r="R402" s="7">
        <v>0.1112700338089257</v>
      </c>
      <c r="S402" s="7">
        <v>0.1451862171103073</v>
      </c>
      <c r="T402" s="7">
        <v>2.076396968238116</v>
      </c>
    </row>
    <row x14ac:dyDescent="0.25" r="403" customHeight="1" ht="19.5">
      <c r="A403" s="2" t="s">
        <v>436</v>
      </c>
      <c r="B403" s="2" t="s">
        <v>30</v>
      </c>
      <c r="C403" s="2" t="s">
        <v>31</v>
      </c>
      <c r="D403" s="2" t="s">
        <v>431</v>
      </c>
      <c r="E403" s="6">
        <v>1</v>
      </c>
      <c r="F403" s="6">
        <v>0</v>
      </c>
      <c r="G403" s="7">
        <v>0.8961345553398132</v>
      </c>
      <c r="H403" s="7">
        <v>43.66851328125</v>
      </c>
      <c r="I403" s="7">
        <v>26.35078401470432</v>
      </c>
      <c r="J403" s="7">
        <v>8.690627276513643</v>
      </c>
      <c r="K403" s="7">
        <v>6.979900053623938</v>
      </c>
      <c r="L403" s="7">
        <v>0.688189313424897</v>
      </c>
      <c r="M403" s="7">
        <v>0.7902985548714394</v>
      </c>
      <c r="N403" s="7">
        <v>0.3842536561101383</v>
      </c>
      <c r="O403" s="7">
        <v>0.1493756537143966</v>
      </c>
      <c r="P403" s="7">
        <v>8.811906847800621</v>
      </c>
      <c r="Q403" s="7">
        <v>0.0431745315047785</v>
      </c>
      <c r="R403" s="7">
        <v>0.1146294079178546</v>
      </c>
      <c r="S403" s="7">
        <v>0.1524634788491808</v>
      </c>
      <c r="T403" s="7">
        <v>2.188199024523076</v>
      </c>
    </row>
    <row x14ac:dyDescent="0.25" r="404" customHeight="1" ht="19.5">
      <c r="A404" s="2" t="s">
        <v>437</v>
      </c>
      <c r="B404" s="2" t="s">
        <v>30</v>
      </c>
      <c r="C404" s="2" t="s">
        <v>31</v>
      </c>
      <c r="D404" s="2" t="s">
        <v>431</v>
      </c>
      <c r="E404" s="6">
        <v>1</v>
      </c>
      <c r="F404" s="6">
        <v>0</v>
      </c>
      <c r="G404" s="7">
        <v>0.897468090057373</v>
      </c>
      <c r="H404" s="7">
        <v>43.4503265625</v>
      </c>
      <c r="I404" s="7">
        <v>26.23308471564099</v>
      </c>
      <c r="J404" s="7">
        <v>8.516939554256505</v>
      </c>
      <c r="K404" s="7">
        <v>6.959507365669138</v>
      </c>
      <c r="L404" s="7">
        <v>0.6769177808942359</v>
      </c>
      <c r="M404" s="7">
        <v>0.7934219031338715</v>
      </c>
      <c r="N404" s="7">
        <v>0.3807850799431781</v>
      </c>
      <c r="O404" s="7">
        <v>0.1465976760295431</v>
      </c>
      <c r="P404" s="7">
        <v>8.844792713445727</v>
      </c>
      <c r="Q404" s="7">
        <v>0.0443013771886647</v>
      </c>
      <c r="R404" s="7">
        <v>0.1169251943148722</v>
      </c>
      <c r="S404" s="7">
        <v>0.1546447513176543</v>
      </c>
      <c r="T404" s="7">
        <v>2.234091993675287</v>
      </c>
    </row>
    <row x14ac:dyDescent="0.25" r="405" customHeight="1" ht="19.5">
      <c r="A405" s="2" t="s">
        <v>438</v>
      </c>
      <c r="B405" s="2" t="s">
        <v>30</v>
      </c>
      <c r="C405" s="2" t="s">
        <v>31</v>
      </c>
      <c r="D405" s="2" t="s">
        <v>431</v>
      </c>
      <c r="E405" s="6">
        <v>1</v>
      </c>
      <c r="F405" s="6">
        <v>0</v>
      </c>
      <c r="G405" s="7">
        <v>0.9013364911079408</v>
      </c>
      <c r="H405" s="7">
        <v>43.4918859375</v>
      </c>
      <c r="I405" s="7">
        <v>26.41973066781382</v>
      </c>
      <c r="J405" s="7">
        <v>8.574129316789296</v>
      </c>
      <c r="K405" s="7">
        <v>6.983251993224107</v>
      </c>
      <c r="L405" s="7">
        <v>0.6793984118318687</v>
      </c>
      <c r="M405" s="7">
        <v>0.7829992255406877</v>
      </c>
      <c r="N405" s="7">
        <v>0.3754076834975498</v>
      </c>
      <c r="O405" s="7">
        <v>0.1378755758294954</v>
      </c>
      <c r="P405" s="7">
        <v>8.898060134087459</v>
      </c>
      <c r="Q405" s="7">
        <v>0.0442042593788156</v>
      </c>
      <c r="R405" s="7">
        <v>0.1171716239684268</v>
      </c>
      <c r="S405" s="7">
        <v>0.1529549920134725</v>
      </c>
      <c r="T405" s="7">
        <v>2.231326580727273</v>
      </c>
    </row>
    <row x14ac:dyDescent="0.25" r="406" customHeight="1" ht="19.5">
      <c r="A406" s="2" t="s">
        <v>439</v>
      </c>
      <c r="B406" s="2" t="s">
        <v>30</v>
      </c>
      <c r="C406" s="2" t="s">
        <v>31</v>
      </c>
      <c r="D406" s="2" t="s">
        <v>431</v>
      </c>
      <c r="E406" s="6">
        <v>1</v>
      </c>
      <c r="F406" s="6">
        <v>0</v>
      </c>
      <c r="G406" s="7">
        <v>0.8987002968788147</v>
      </c>
      <c r="H406" s="7">
        <v>43.50573906250001</v>
      </c>
      <c r="I406" s="7">
        <v>26.3281400636627</v>
      </c>
      <c r="J406" s="7">
        <v>8.6648155951681</v>
      </c>
      <c r="K406" s="7">
        <v>7.060689451050114</v>
      </c>
      <c r="L406" s="7">
        <v>0.681028519368365</v>
      </c>
      <c r="M406" s="7">
        <v>0.7887076537837147</v>
      </c>
      <c r="N406" s="7">
        <v>0.3741449650429559</v>
      </c>
      <c r="O406" s="7">
        <v>0.1380267932098186</v>
      </c>
      <c r="P406" s="7">
        <v>8.890572894106075</v>
      </c>
      <c r="Q406" s="7">
        <v>0.0432540820296441</v>
      </c>
      <c r="R406" s="7">
        <v>0.1145735244399238</v>
      </c>
      <c r="S406" s="7">
        <v>0.1524652120723169</v>
      </c>
      <c r="T406" s="7">
        <v>2.184059322491776</v>
      </c>
    </row>
    <row x14ac:dyDescent="0.25" r="407" customHeight="1" ht="19.5">
      <c r="A407" s="2" t="s">
        <v>440</v>
      </c>
      <c r="B407" s="2" t="s">
        <v>30</v>
      </c>
      <c r="C407" s="2" t="s">
        <v>31</v>
      </c>
      <c r="D407" s="2" t="s">
        <v>431</v>
      </c>
      <c r="E407" s="6">
        <v>1</v>
      </c>
      <c r="F407" s="6">
        <v>0</v>
      </c>
      <c r="G407" s="7">
        <v>0.8966425061225891</v>
      </c>
      <c r="H407" s="7">
        <v>43.84167734375</v>
      </c>
      <c r="I407" s="7">
        <v>26.75854924560472</v>
      </c>
      <c r="J407" s="7">
        <v>8.611007463063139</v>
      </c>
      <c r="K407" s="7">
        <v>6.95841857164743</v>
      </c>
      <c r="L407" s="7">
        <v>0.6886698116619067</v>
      </c>
      <c r="M407" s="7">
        <v>0.7694349297242418</v>
      </c>
      <c r="N407" s="7">
        <v>0.3828865656265057</v>
      </c>
      <c r="O407" s="7">
        <v>0.1449316422696501</v>
      </c>
      <c r="P407" s="7">
        <v>8.84073144233292</v>
      </c>
      <c r="Q407" s="7">
        <v>0.0436577163012762</v>
      </c>
      <c r="R407" s="7">
        <v>0.1147889278219385</v>
      </c>
      <c r="S407" s="7">
        <v>0.1504712926148799</v>
      </c>
      <c r="T407" s="7">
        <v>2.221462344265906</v>
      </c>
    </row>
    <row x14ac:dyDescent="0.25" r="408" customHeight="1" ht="19.5">
      <c r="A408" s="2" t="s">
        <v>441</v>
      </c>
      <c r="B408" s="2" t="s">
        <v>30</v>
      </c>
      <c r="C408" s="2" t="s">
        <v>31</v>
      </c>
      <c r="D408" s="2" t="s">
        <v>431</v>
      </c>
      <c r="E408" s="6">
        <v>1</v>
      </c>
      <c r="F408" s="6">
        <v>0</v>
      </c>
      <c r="G408" s="7">
        <v>0.8989963531494141</v>
      </c>
      <c r="H408" s="7">
        <v>43.67890312500001</v>
      </c>
      <c r="I408" s="7">
        <v>26.68960259249523</v>
      </c>
      <c r="J408" s="7">
        <v>8.721467302785332</v>
      </c>
      <c r="K408" s="7">
        <v>7.068156057481803</v>
      </c>
      <c r="L408" s="7">
        <v>0.685281590956078</v>
      </c>
      <c r="M408" s="7">
        <v>0.7705438762930977</v>
      </c>
      <c r="N408" s="7">
        <v>0.3868797932259807</v>
      </c>
      <c r="O408" s="7">
        <v>0.148223033511492</v>
      </c>
      <c r="P408" s="7">
        <v>8.82250162998976</v>
      </c>
      <c r="Q408" s="7">
        <v>0.0437644246188396</v>
      </c>
      <c r="R408" s="7">
        <v>0.11508302682647</v>
      </c>
      <c r="S408" s="7">
        <v>0.1504677458416474</v>
      </c>
      <c r="T408" s="7">
        <v>2.218624103176034</v>
      </c>
    </row>
    <row x14ac:dyDescent="0.25" r="409" customHeight="1" ht="19.5">
      <c r="A409" s="2" t="s">
        <v>442</v>
      </c>
      <c r="B409" s="2" t="s">
        <v>30</v>
      </c>
      <c r="C409" s="2" t="s">
        <v>31</v>
      </c>
      <c r="D409" s="2" t="s">
        <v>431</v>
      </c>
      <c r="E409" s="6">
        <v>1</v>
      </c>
      <c r="F409" s="6">
        <v>0</v>
      </c>
      <c r="G409" s="7">
        <v>0.892682671546936</v>
      </c>
      <c r="H409" s="7">
        <v>44.03562109375</v>
      </c>
      <c r="I409" s="7">
        <v>26.6265706271423</v>
      </c>
      <c r="J409" s="7">
        <v>8.69159145715016</v>
      </c>
      <c r="K409" s="7">
        <v>6.976497809941108</v>
      </c>
      <c r="L409" s="7">
        <v>0.6859183093853375</v>
      </c>
      <c r="M409" s="7">
        <v>0.7805190731089394</v>
      </c>
      <c r="N409" s="7">
        <v>0.3796283581647641</v>
      </c>
      <c r="O409" s="7">
        <v>0.1415615408299226</v>
      </c>
      <c r="P409" s="7">
        <v>8.865857568760868</v>
      </c>
      <c r="Q409" s="7">
        <v>0.0430726950316424</v>
      </c>
      <c r="R409" s="7">
        <v>0.1153051366016943</v>
      </c>
      <c r="S409" s="7">
        <v>0.1520219421720026</v>
      </c>
      <c r="T409" s="7">
        <v>2.201389812711535</v>
      </c>
    </row>
    <row x14ac:dyDescent="0.25" r="410" customHeight="1" ht="19.5">
      <c r="A410" s="2" t="s">
        <v>443</v>
      </c>
      <c r="B410" s="2" t="s">
        <v>30</v>
      </c>
      <c r="C410" s="2" t="s">
        <v>31</v>
      </c>
      <c r="D410" s="2" t="s">
        <v>431</v>
      </c>
      <c r="E410" s="6">
        <v>1</v>
      </c>
      <c r="F410" s="6">
        <v>0</v>
      </c>
      <c r="G410" s="7">
        <v>0.8999906778335571</v>
      </c>
      <c r="H410" s="7">
        <v>44.04947421875</v>
      </c>
      <c r="I410" s="7">
        <v>26.59209730058756</v>
      </c>
      <c r="J410" s="7">
        <v>8.70778481913031</v>
      </c>
      <c r="K410" s="7">
        <v>7.015457307485025</v>
      </c>
      <c r="L410" s="7">
        <v>0.6860086609912102</v>
      </c>
      <c r="M410" s="7">
        <v>0.7827902552676067</v>
      </c>
      <c r="N410" s="7">
        <v>0.3752117294649773</v>
      </c>
      <c r="O410" s="7">
        <v>0.1345232546156445</v>
      </c>
      <c r="P410" s="7">
        <v>8.910211372647602</v>
      </c>
      <c r="Q410" s="7">
        <v>0.0450577621931605</v>
      </c>
      <c r="R410" s="7">
        <v>0.1177277687272729</v>
      </c>
      <c r="S410" s="7">
        <v>0.1512141643463255</v>
      </c>
      <c r="T410" s="7">
        <v>2.303568481089392</v>
      </c>
    </row>
    <row x14ac:dyDescent="0.25" r="411" customHeight="1" ht="19.5">
      <c r="A411" s="2" t="s">
        <v>444</v>
      </c>
      <c r="B411" s="2" t="s">
        <v>30</v>
      </c>
      <c r="C411" s="2" t="s">
        <v>31</v>
      </c>
      <c r="D411" s="2" t="s">
        <v>431</v>
      </c>
      <c r="E411" s="6">
        <v>1</v>
      </c>
      <c r="F411" s="6">
        <v>0</v>
      </c>
      <c r="G411" s="7">
        <v>0.8983471989631653</v>
      </c>
      <c r="H411" s="7">
        <v>43.706609375</v>
      </c>
      <c r="I411" s="7">
        <v>26.42564535557037</v>
      </c>
      <c r="J411" s="7">
        <v>8.600901335422094</v>
      </c>
      <c r="K411" s="7">
        <v>6.971230696662786</v>
      </c>
      <c r="L411" s="7">
        <v>0.67752162445122</v>
      </c>
      <c r="M411" s="7">
        <v>0.7865127659124839</v>
      </c>
      <c r="N411" s="7">
        <v>0.3747634792069722</v>
      </c>
      <c r="O411" s="7">
        <v>0.1343981033680359</v>
      </c>
      <c r="P411" s="7">
        <v>8.910027626386634</v>
      </c>
      <c r="Q411" s="7">
        <v>0.0448562458651467</v>
      </c>
      <c r="R411" s="7">
        <v>0.1167673135289282</v>
      </c>
      <c r="S411" s="7">
        <v>0.152711800501503</v>
      </c>
      <c r="T411" s="7">
        <v>2.275416065946029</v>
      </c>
    </row>
    <row x14ac:dyDescent="0.25" r="412" customHeight="1" ht="19.5">
      <c r="A412" s="2" t="s">
        <v>445</v>
      </c>
      <c r="B412" s="2" t="s">
        <v>30</v>
      </c>
      <c r="C412" s="2" t="s">
        <v>31</v>
      </c>
      <c r="D412" s="2" t="s">
        <v>431</v>
      </c>
      <c r="E412" s="6">
        <v>1</v>
      </c>
      <c r="F412" s="6">
        <v>0</v>
      </c>
      <c r="G412" s="7">
        <v>0.8994176983833313</v>
      </c>
      <c r="H412" s="7">
        <v>43.484959375</v>
      </c>
      <c r="I412" s="7">
        <v>26.49459200867987</v>
      </c>
      <c r="J412" s="7">
        <v>8.622631204845536</v>
      </c>
      <c r="K412" s="7">
        <v>7.064396115686977</v>
      </c>
      <c r="L412" s="7">
        <v>0.6728719814448583</v>
      </c>
      <c r="M412" s="7">
        <v>0.7784566990450138</v>
      </c>
      <c r="N412" s="7">
        <v>0.3802364876737215</v>
      </c>
      <c r="O412" s="7">
        <v>0.1403903563792182</v>
      </c>
      <c r="P412" s="7">
        <v>8.87980697097488</v>
      </c>
      <c r="Q412" s="7">
        <v>0.0437880305722182</v>
      </c>
      <c r="R412" s="7">
        <v>0.1142002010446025</v>
      </c>
      <c r="S412" s="7">
        <v>0.1530116574684971</v>
      </c>
      <c r="T412" s="7">
        <v>2.209964316658859</v>
      </c>
    </row>
    <row x14ac:dyDescent="0.25" r="413" customHeight="1" ht="19.5">
      <c r="A413" s="2" t="s">
        <v>446</v>
      </c>
      <c r="B413" s="2" t="s">
        <v>30</v>
      </c>
      <c r="C413" s="2" t="s">
        <v>31</v>
      </c>
      <c r="D413" s="2" t="s">
        <v>431</v>
      </c>
      <c r="E413" s="6">
        <v>1</v>
      </c>
      <c r="F413" s="6">
        <v>0</v>
      </c>
      <c r="G413" s="7">
        <v>0.9007238745689392</v>
      </c>
      <c r="H413" s="7">
        <v>43.80358125</v>
      </c>
      <c r="I413" s="7">
        <v>26.74426992620563</v>
      </c>
      <c r="J413" s="7">
        <v>8.659573812720614</v>
      </c>
      <c r="K413" s="7">
        <v>7.01308364461346</v>
      </c>
      <c r="L413" s="7">
        <v>0.6832601578725465</v>
      </c>
      <c r="M413" s="7">
        <v>0.7695874712283384</v>
      </c>
      <c r="N413" s="7">
        <v>0.3756112269534891</v>
      </c>
      <c r="O413" s="7">
        <v>0.1345432134640891</v>
      </c>
      <c r="P413" s="7">
        <v>8.892860163249882</v>
      </c>
      <c r="Q413" s="7">
        <v>0.0431190035473598</v>
      </c>
      <c r="R413" s="7">
        <v>0.1133026283545584</v>
      </c>
      <c r="S413" s="7">
        <v>0.1491562814311088</v>
      </c>
      <c r="T413" s="7">
        <v>2.19214417917911</v>
      </c>
    </row>
    <row x14ac:dyDescent="0.25" r="414" customHeight="1" ht="19.5">
      <c r="A414" s="2" t="s">
        <v>447</v>
      </c>
      <c r="B414" s="2" t="s">
        <v>30</v>
      </c>
      <c r="C414" s="2" t="s">
        <v>31</v>
      </c>
      <c r="D414" s="2" t="s">
        <v>431</v>
      </c>
      <c r="E414" s="6">
        <v>1</v>
      </c>
      <c r="F414" s="6">
        <v>0</v>
      </c>
      <c r="G414" s="7">
        <v>0.8905722498893738</v>
      </c>
      <c r="H414" s="7">
        <v>45.285865625</v>
      </c>
      <c r="I414" s="7">
        <v>27.35505158658859</v>
      </c>
      <c r="J414" s="7">
        <v>8.917592130271244</v>
      </c>
      <c r="K414" s="7">
        <v>6.870029642033221</v>
      </c>
      <c r="L414" s="7">
        <v>0.7058636075997572</v>
      </c>
      <c r="M414" s="7">
        <v>0.7604969232351703</v>
      </c>
      <c r="N414" s="7">
        <v>0.385671074087899</v>
      </c>
      <c r="O414" s="7">
        <v>0.1429176769982695</v>
      </c>
      <c r="P414" s="7">
        <v>8.851233321188928</v>
      </c>
      <c r="Q414" s="7">
        <v>0.042448540826931</v>
      </c>
      <c r="R414" s="7">
        <v>0.1151174539349588</v>
      </c>
      <c r="S414" s="7">
        <v>0.1519686377041094</v>
      </c>
      <c r="T414" s="7">
        <v>2.231085530006025</v>
      </c>
    </row>
    <row x14ac:dyDescent="0.25" r="415" customHeight="1" ht="19.5">
      <c r="A415" s="2" t="s">
        <v>448</v>
      </c>
      <c r="B415" s="2" t="s">
        <v>30</v>
      </c>
      <c r="C415" s="2" t="s">
        <v>31</v>
      </c>
      <c r="D415" s="2" t="s">
        <v>431</v>
      </c>
      <c r="E415" s="6">
        <v>1</v>
      </c>
      <c r="F415" s="6">
        <v>0</v>
      </c>
      <c r="G415" s="7">
        <v>0.8988698124885559</v>
      </c>
      <c r="H415" s="7">
        <v>43.84167734375</v>
      </c>
      <c r="I415" s="7">
        <v>26.86196922526896</v>
      </c>
      <c r="J415" s="7">
        <v>8.725362437192342</v>
      </c>
      <c r="K415" s="7">
        <v>7.010242705925744</v>
      </c>
      <c r="L415" s="7">
        <v>0.6869883605337932</v>
      </c>
      <c r="M415" s="7">
        <v>0.7635216059258731</v>
      </c>
      <c r="N415" s="7">
        <v>0.3782070286583794</v>
      </c>
      <c r="O415" s="7">
        <v>0.1378982813012042</v>
      </c>
      <c r="P415" s="7">
        <v>8.8856202490356</v>
      </c>
      <c r="Q415" s="7">
        <v>0.0439893635453073</v>
      </c>
      <c r="R415" s="7">
        <v>0.116158714888178</v>
      </c>
      <c r="S415" s="7">
        <v>0.1503556673763852</v>
      </c>
      <c r="T415" s="7">
        <v>2.238337754310503</v>
      </c>
    </row>
    <row x14ac:dyDescent="0.25" r="416" customHeight="1" ht="19.5">
      <c r="A416" s="2" t="s">
        <v>449</v>
      </c>
      <c r="B416" s="2" t="s">
        <v>30</v>
      </c>
      <c r="C416" s="2" t="s">
        <v>31</v>
      </c>
      <c r="D416" s="2" t="s">
        <v>431</v>
      </c>
      <c r="E416" s="6">
        <v>1</v>
      </c>
      <c r="F416" s="6">
        <v>0</v>
      </c>
      <c r="G416" s="7">
        <v>0.8969025015830994</v>
      </c>
      <c r="H416" s="7">
        <v>43.80704453125</v>
      </c>
      <c r="I416" s="7">
        <v>26.5576239740328</v>
      </c>
      <c r="J416" s="7">
        <v>8.570033034347064</v>
      </c>
      <c r="K416" s="7">
        <v>6.969321566383846</v>
      </c>
      <c r="L416" s="7">
        <v>0.6795458613049498</v>
      </c>
      <c r="M416" s="7">
        <v>0.7805044495632896</v>
      </c>
      <c r="N416" s="7">
        <v>0.3736697413309724</v>
      </c>
      <c r="O416" s="7">
        <v>0.1324303898223142</v>
      </c>
      <c r="P416" s="7">
        <v>8.92044188102873</v>
      </c>
      <c r="Q416" s="7">
        <v>0.0436817374858127</v>
      </c>
      <c r="R416" s="7">
        <v>0.1138464384248954</v>
      </c>
      <c r="S416" s="7">
        <v>0.1489798929254474</v>
      </c>
      <c r="T416" s="7">
        <v>2.220928815173393</v>
      </c>
    </row>
    <row x14ac:dyDescent="0.25" r="417" customHeight="1" ht="19.5">
      <c r="A417" s="2" t="s">
        <v>450</v>
      </c>
      <c r="B417" s="2" t="s">
        <v>30</v>
      </c>
      <c r="C417" s="2" t="s">
        <v>31</v>
      </c>
      <c r="D417" s="2" t="s">
        <v>431</v>
      </c>
      <c r="E417" s="6">
        <v>1</v>
      </c>
      <c r="F417" s="6">
        <v>0</v>
      </c>
      <c r="G417" s="7">
        <v>0.8964158296585083</v>
      </c>
      <c r="H417" s="7">
        <v>43.87977343750001</v>
      </c>
      <c r="I417" s="7">
        <v>26.66104395369705</v>
      </c>
      <c r="J417" s="7">
        <v>8.71588805317905</v>
      </c>
      <c r="K417" s="7">
        <v>6.972621983487143</v>
      </c>
      <c r="L417" s="7">
        <v>0.6831040158385103</v>
      </c>
      <c r="M417" s="7">
        <v>0.7757467036228147</v>
      </c>
      <c r="N417" s="7">
        <v>0.3850393393953881</v>
      </c>
      <c r="O417" s="7">
        <v>0.14412716442541</v>
      </c>
      <c r="P417" s="7">
        <v>8.842787199836014</v>
      </c>
      <c r="Q417" s="7">
        <v>0.0435609092349887</v>
      </c>
      <c r="R417" s="7">
        <v>0.1155954016910612</v>
      </c>
      <c r="S417" s="7">
        <v>0.1543122219571444</v>
      </c>
      <c r="T417" s="7">
        <v>2.218462503648116</v>
      </c>
    </row>
    <row x14ac:dyDescent="0.25" r="418" customHeight="1" ht="19.5">
      <c r="A418" s="2" t="s">
        <v>451</v>
      </c>
      <c r="B418" s="2" t="s">
        <v>30</v>
      </c>
      <c r="C418" s="2" t="s">
        <v>31</v>
      </c>
      <c r="D418" s="2" t="s">
        <v>431</v>
      </c>
      <c r="E418" s="6">
        <v>1</v>
      </c>
      <c r="F418" s="6">
        <v>0</v>
      </c>
      <c r="G418" s="7">
        <v>0.8979025483131409</v>
      </c>
      <c r="H418" s="7">
        <v>43.95942890625</v>
      </c>
      <c r="I418" s="7">
        <v>26.62065593938573</v>
      </c>
      <c r="J418" s="7">
        <v>8.68501239200769</v>
      </c>
      <c r="K418" s="7">
        <v>6.947892244916863</v>
      </c>
      <c r="L418" s="7">
        <v>0.6846912750174665</v>
      </c>
      <c r="M418" s="7">
        <v>0.7795148641679253</v>
      </c>
      <c r="N418" s="7">
        <v>0.383307494507589</v>
      </c>
      <c r="O418" s="7">
        <v>0.1464891985877439</v>
      </c>
      <c r="P418" s="7">
        <v>8.849717902207537</v>
      </c>
      <c r="Q418" s="7">
        <v>0.0426063496658946</v>
      </c>
      <c r="R418" s="7">
        <v>0.1138609953066677</v>
      </c>
      <c r="S418" s="7">
        <v>0.1493120926925061</v>
      </c>
      <c r="T418" s="7">
        <v>2.173787810014393</v>
      </c>
    </row>
    <row x14ac:dyDescent="0.25" r="419" customHeight="1" ht="19.5">
      <c r="A419" s="2" t="s">
        <v>452</v>
      </c>
      <c r="B419" s="2" t="s">
        <v>30</v>
      </c>
      <c r="C419" s="2" t="s">
        <v>31</v>
      </c>
      <c r="D419" s="2" t="s">
        <v>431</v>
      </c>
      <c r="E419" s="6">
        <v>1</v>
      </c>
      <c r="F419" s="6">
        <v>0</v>
      </c>
      <c r="G419" s="7">
        <v>0.9016927480697632</v>
      </c>
      <c r="H419" s="7">
        <v>43.69275625</v>
      </c>
      <c r="I419" s="7">
        <v>26.46011868212512</v>
      </c>
      <c r="J419" s="7">
        <v>8.604568324426676</v>
      </c>
      <c r="K419" s="7">
        <v>6.947666743713596</v>
      </c>
      <c r="L419" s="7">
        <v>0.6806875392144921</v>
      </c>
      <c r="M419" s="7">
        <v>0.7842160570904256</v>
      </c>
      <c r="N419" s="7">
        <v>0.3746121580739023</v>
      </c>
      <c r="O419" s="7">
        <v>0.135634650626387</v>
      </c>
      <c r="P419" s="7">
        <v>8.891563191186972</v>
      </c>
      <c r="Q419" s="7">
        <v>0.0439844799151005</v>
      </c>
      <c r="R419" s="7">
        <v>0.1149786785441014</v>
      </c>
      <c r="S419" s="7">
        <v>0.1512775376490959</v>
      </c>
      <c r="T419" s="7">
        <v>2.230486932094552</v>
      </c>
    </row>
    <row x14ac:dyDescent="0.25" r="420" customHeight="1" ht="19.5">
      <c r="A420" s="2" t="s">
        <v>453</v>
      </c>
      <c r="B420" s="2" t="s">
        <v>30</v>
      </c>
      <c r="C420" s="2" t="s">
        <v>31</v>
      </c>
      <c r="D420" s="2" t="s">
        <v>431</v>
      </c>
      <c r="E420" s="6">
        <v>1</v>
      </c>
      <c r="F420" s="6">
        <v>0</v>
      </c>
      <c r="G420" s="7">
        <v>0.8996129035949707</v>
      </c>
      <c r="H420" s="7">
        <v>43.928259375</v>
      </c>
      <c r="I420" s="7">
        <v>26.62065593938573</v>
      </c>
      <c r="J420" s="7">
        <v>8.731518609595206</v>
      </c>
      <c r="K420" s="7">
        <v>7.03228457905656</v>
      </c>
      <c r="L420" s="7">
        <v>0.6866668552118997</v>
      </c>
      <c r="M420" s="7">
        <v>0.7789621474124292</v>
      </c>
      <c r="N420" s="7">
        <v>0.3835844277624038</v>
      </c>
      <c r="O420" s="7">
        <v>0.1439293018654004</v>
      </c>
      <c r="P420" s="7">
        <v>8.841239257122798</v>
      </c>
      <c r="Q420" s="7">
        <v>0.0441060387833575</v>
      </c>
      <c r="R420" s="7">
        <v>0.1156041113131583</v>
      </c>
      <c r="S420" s="7">
        <v>0.1517766080417606</v>
      </c>
      <c r="T420" s="7">
        <v>2.248706783975732</v>
      </c>
    </row>
    <row x14ac:dyDescent="0.25" r="421" customHeight="1" ht="19.5">
      <c r="A421" s="2" t="s">
        <v>454</v>
      </c>
      <c r="B421" s="2" t="s">
        <v>30</v>
      </c>
      <c r="C421" s="2" t="s">
        <v>31</v>
      </c>
      <c r="D421" s="2" t="s">
        <v>431</v>
      </c>
      <c r="E421" s="6">
        <v>1</v>
      </c>
      <c r="F421" s="6">
        <v>0</v>
      </c>
      <c r="G421" s="7">
        <v>0.8972627520561218</v>
      </c>
      <c r="H421" s="7">
        <v>44.2676609375</v>
      </c>
      <c r="I421" s="7">
        <v>26.73835523844907</v>
      </c>
      <c r="J421" s="7">
        <v>8.703183702635593</v>
      </c>
      <c r="K421" s="7">
        <v>6.958653856516321</v>
      </c>
      <c r="L421" s="7">
        <v>0.6927343063599365</v>
      </c>
      <c r="M421" s="7">
        <v>0.7780850323311351</v>
      </c>
      <c r="N421" s="7">
        <v>0.3846368950381227</v>
      </c>
      <c r="O421" s="7">
        <v>0.1476291399540316</v>
      </c>
      <c r="P421" s="7">
        <v>8.82494363391353</v>
      </c>
      <c r="Q421" s="7">
        <v>0.0428015196317568</v>
      </c>
      <c r="R421" s="7">
        <v>0.1144288464803637</v>
      </c>
      <c r="S421" s="7">
        <v>0.1505527627290132</v>
      </c>
      <c r="T421" s="7">
        <v>2.199057288456483</v>
      </c>
    </row>
    <row x14ac:dyDescent="0.25" r="422" customHeight="1" ht="19.5">
      <c r="A422" s="2" t="s">
        <v>455</v>
      </c>
      <c r="B422" s="2" t="s">
        <v>30</v>
      </c>
      <c r="C422" s="2" t="s">
        <v>31</v>
      </c>
      <c r="D422" s="2" t="s">
        <v>431</v>
      </c>
      <c r="E422" s="6">
        <v>1</v>
      </c>
      <c r="F422" s="6">
        <v>0</v>
      </c>
      <c r="G422" s="7">
        <v>0.8949432373046875</v>
      </c>
      <c r="H422" s="7">
        <v>44.36463281250001</v>
      </c>
      <c r="I422" s="7">
        <v>26.82749589871421</v>
      </c>
      <c r="J422" s="7">
        <v>8.664105358163706</v>
      </c>
      <c r="K422" s="7">
        <v>6.97385014644832</v>
      </c>
      <c r="L422" s="7">
        <v>0.683926322974041</v>
      </c>
      <c r="M422" s="7">
        <v>0.7746160318490158</v>
      </c>
      <c r="N422" s="7">
        <v>0.3999013544535449</v>
      </c>
      <c r="O422" s="7">
        <v>0.1413062765517561</v>
      </c>
      <c r="P422" s="7">
        <v>8.758664501670872</v>
      </c>
      <c r="Q422" s="7">
        <v>0.0413892252783782</v>
      </c>
      <c r="R422" s="7">
        <v>0.1089430655525684</v>
      </c>
      <c r="S422" s="7">
        <v>0.141813519618219</v>
      </c>
      <c r="T422" s="7">
        <v>2.131154663909085</v>
      </c>
    </row>
    <row x14ac:dyDescent="0.25" r="423" customHeight="1" ht="19.5">
      <c r="A423" s="2" t="s">
        <v>456</v>
      </c>
      <c r="B423" s="2" t="s">
        <v>30</v>
      </c>
      <c r="C423" s="2" t="s">
        <v>31</v>
      </c>
      <c r="D423" s="2" t="s">
        <v>431</v>
      </c>
      <c r="E423" s="6">
        <v>1</v>
      </c>
      <c r="F423" s="6">
        <v>0</v>
      </c>
      <c r="G423" s="7">
        <v>0.5295372605323792</v>
      </c>
      <c r="H423" s="7">
        <v>42.930834375</v>
      </c>
      <c r="I423" s="7">
        <v>39.51052311669743</v>
      </c>
      <c r="J423" s="7">
        <v>10.2366238316409</v>
      </c>
      <c r="K423" s="7">
        <v>9.289913831641812</v>
      </c>
      <c r="L423" s="7">
        <v>0.5611802884789324</v>
      </c>
      <c r="M423" s="7">
        <v>0.345249461221207</v>
      </c>
      <c r="N423" s="7">
        <v>0.6698113303893672</v>
      </c>
      <c r="O423" s="7">
        <v>0.2770110012207548</v>
      </c>
      <c r="P423" s="7">
        <v>6.862543127579128</v>
      </c>
      <c r="Q423" s="7">
        <v>0.0099101201248392</v>
      </c>
      <c r="R423" s="7">
        <v>0.0306125164894658</v>
      </c>
      <c r="S423" s="7">
        <v>0.0471126854568443</v>
      </c>
      <c r="T423" s="7">
        <v>0.4937862905865101</v>
      </c>
    </row>
    <row x14ac:dyDescent="0.25" r="424" customHeight="1" ht="19.5">
      <c r="A424" s="2" t="s">
        <v>457</v>
      </c>
      <c r="B424" s="2" t="s">
        <v>30</v>
      </c>
      <c r="C424" s="2" t="s">
        <v>31</v>
      </c>
      <c r="D424" s="2" t="s">
        <v>431</v>
      </c>
      <c r="E424" s="6">
        <v>1</v>
      </c>
      <c r="F424" s="6">
        <v>0</v>
      </c>
      <c r="G424" s="7">
        <v>0.4718539416790008</v>
      </c>
      <c r="H424" s="7">
        <v>48.7145140625</v>
      </c>
      <c r="I424" s="7">
        <v>35.05151149973918</v>
      </c>
      <c r="J424" s="7">
        <v>9.690101165820924</v>
      </c>
      <c r="K424" s="7">
        <v>7.143437321562086</v>
      </c>
      <c r="L424" s="7">
        <v>0.7315188541352546</v>
      </c>
      <c r="M424" s="7">
        <v>0.4939015079509185</v>
      </c>
      <c r="N424" s="7">
        <v>0.6513403398480617</v>
      </c>
      <c r="O424" s="7">
        <v>0.2214572807263144</v>
      </c>
      <c r="P424" s="7">
        <v>6.637423113706448</v>
      </c>
      <c r="Q424" s="7">
        <v>0.0147089019899208</v>
      </c>
      <c r="R424" s="7">
        <v>0.0385163831613448</v>
      </c>
      <c r="S424" s="7">
        <v>0.0556533405501573</v>
      </c>
      <c r="T424" s="7">
        <v>0.8316285855841473</v>
      </c>
    </row>
    <row x14ac:dyDescent="0.25" r="425" customHeight="1" ht="19.5">
      <c r="A425" s="2" t="s">
        <v>458</v>
      </c>
      <c r="B425" s="2" t="s">
        <v>30</v>
      </c>
      <c r="C425" s="2" t="s">
        <v>31</v>
      </c>
      <c r="D425" s="2" t="s">
        <v>431</v>
      </c>
      <c r="E425" s="6">
        <v>1</v>
      </c>
      <c r="F425" s="6">
        <v>0</v>
      </c>
      <c r="G425" s="7">
        <v>0.7680881023406982</v>
      </c>
      <c r="H425" s="7">
        <v>37.35495156250001</v>
      </c>
      <c r="I425" s="7">
        <v>34.89796528816114</v>
      </c>
      <c r="J425" s="7">
        <v>8.00539613556904</v>
      </c>
      <c r="K425" s="7">
        <v>7.581472686599834</v>
      </c>
      <c r="L425" s="7">
        <v>0.5647058275132435</v>
      </c>
      <c r="M425" s="7">
        <v>0.384333134356948</v>
      </c>
      <c r="N425" s="7">
        <v>0.5946266525418766</v>
      </c>
      <c r="O425" s="7">
        <v>0.3035899586635482</v>
      </c>
      <c r="P425" s="7">
        <v>6.841289110664896</v>
      </c>
      <c r="Q425" s="7">
        <v>0.0117590064896499</v>
      </c>
      <c r="R425" s="7">
        <v>0.0422696329620788</v>
      </c>
      <c r="S425" s="7">
        <v>0.0605215474683541</v>
      </c>
      <c r="T425" s="7">
        <v>0.5098114529724318</v>
      </c>
    </row>
    <row x14ac:dyDescent="0.25" r="426" customHeight="1" ht="19.5">
      <c r="A426" s="2" t="s">
        <v>459</v>
      </c>
      <c r="B426" s="2" t="s">
        <v>30</v>
      </c>
      <c r="C426" s="2" t="s">
        <v>31</v>
      </c>
      <c r="D426" s="2" t="s">
        <v>431</v>
      </c>
      <c r="E426" s="6">
        <v>1</v>
      </c>
      <c r="F426" s="6">
        <v>0</v>
      </c>
      <c r="G426" s="7">
        <v>0.8336578011512756</v>
      </c>
      <c r="H426" s="7">
        <v>42.3905625</v>
      </c>
      <c r="I426" s="7">
        <v>35.13963736001971</v>
      </c>
      <c r="J426" s="7">
        <v>8.13848684845538</v>
      </c>
      <c r="K426" s="7">
        <v>7.827145076973745</v>
      </c>
      <c r="L426" s="7">
        <v>0.6187187200096909</v>
      </c>
      <c r="M426" s="7">
        <v>0.4314043231786557</v>
      </c>
      <c r="N426" s="7">
        <v>0.5134846696544311</v>
      </c>
      <c r="O426" s="7">
        <v>0.2803605893821109</v>
      </c>
      <c r="P426" s="7">
        <v>7.452296899611585</v>
      </c>
      <c r="Q426" s="7">
        <v>0.019443605440401</v>
      </c>
      <c r="R426" s="7">
        <v>0.0682602510383529</v>
      </c>
      <c r="S426" s="7">
        <v>0.1025308224190699</v>
      </c>
      <c r="T426" s="7">
        <v>0.9566140586597384</v>
      </c>
    </row>
    <row x14ac:dyDescent="0.25" r="427" customHeight="1" ht="19.5">
      <c r="A427" s="2" t="s">
        <v>460</v>
      </c>
      <c r="B427" s="2" t="s">
        <v>30</v>
      </c>
      <c r="C427" s="2" t="s">
        <v>31</v>
      </c>
      <c r="D427" s="2" t="s">
        <v>431</v>
      </c>
      <c r="E427" s="6">
        <v>1</v>
      </c>
      <c r="F427" s="6">
        <v>0</v>
      </c>
      <c r="G427" s="7">
        <v>0.8740625381469727</v>
      </c>
      <c r="H427" s="7">
        <v>44.41658203125</v>
      </c>
      <c r="I427" s="7">
        <v>29.81670142128215</v>
      </c>
      <c r="J427" s="7">
        <v>8.30560209022368</v>
      </c>
      <c r="K427" s="7">
        <v>8.059083602466668</v>
      </c>
      <c r="L427" s="7">
        <v>0.5656480913881936</v>
      </c>
      <c r="M427" s="7">
        <v>0.6278209542037819</v>
      </c>
      <c r="N427" s="7">
        <v>0.4725660319556157</v>
      </c>
      <c r="O427" s="7">
        <v>0.27267554254707</v>
      </c>
      <c r="P427" s="7">
        <v>7.75543753428577</v>
      </c>
      <c r="Q427" s="7">
        <v>0.031783517930263</v>
      </c>
      <c r="R427" s="7">
        <v>0.0992543164121373</v>
      </c>
      <c r="S427" s="7">
        <v>0.1542975692168843</v>
      </c>
      <c r="T427" s="7">
        <v>1.638467685694922</v>
      </c>
    </row>
    <row x14ac:dyDescent="0.25" r="428" customHeight="1" ht="19.5">
      <c r="A428" s="2" t="s">
        <v>461</v>
      </c>
      <c r="B428" s="2" t="s">
        <v>30</v>
      </c>
      <c r="C428" s="2" t="s">
        <v>31</v>
      </c>
      <c r="D428" s="2" t="s">
        <v>431</v>
      </c>
      <c r="E428" s="6">
        <v>1</v>
      </c>
      <c r="F428" s="6">
        <v>0</v>
      </c>
      <c r="G428" s="7">
        <v>0.9060823917388916</v>
      </c>
      <c r="H428" s="7">
        <v>45.28240234375</v>
      </c>
      <c r="I428" s="7">
        <v>28.76332241746871</v>
      </c>
      <c r="J428" s="7">
        <v>8.24510649015141</v>
      </c>
      <c r="K428" s="7">
        <v>8.059758181222298</v>
      </c>
      <c r="L428" s="7">
        <v>0.4992559821151782</v>
      </c>
      <c r="M428" s="7">
        <v>0.6877984999401406</v>
      </c>
      <c r="N428" s="7">
        <v>0.4234624866117078</v>
      </c>
      <c r="O428" s="7">
        <v>0.2363973241466962</v>
      </c>
      <c r="P428" s="7">
        <v>8.261145439402544</v>
      </c>
      <c r="Q428" s="7">
        <v>0.0393939860727792</v>
      </c>
      <c r="R428" s="7">
        <v>0.1192998164964637</v>
      </c>
      <c r="S428" s="7">
        <v>0.194712735376371</v>
      </c>
      <c r="T428" s="7">
        <v>2.070380489088656</v>
      </c>
    </row>
    <row x14ac:dyDescent="0.25" r="429" customHeight="1" ht="19.5">
      <c r="A429" s="2" t="s">
        <v>462</v>
      </c>
      <c r="B429" s="2" t="s">
        <v>30</v>
      </c>
      <c r="C429" s="2" t="s">
        <v>31</v>
      </c>
      <c r="D429" s="2" t="s">
        <v>431</v>
      </c>
      <c r="E429" s="6">
        <v>1</v>
      </c>
      <c r="F429" s="6">
        <v>0</v>
      </c>
      <c r="G429" s="7">
        <v>0.9082019329071044</v>
      </c>
      <c r="H429" s="7">
        <v>46.061640625</v>
      </c>
      <c r="I429" s="7">
        <v>28.66581712556102</v>
      </c>
      <c r="J429" s="7">
        <v>8.351429171932628</v>
      </c>
      <c r="K429" s="7">
        <v>8.095289045233352</v>
      </c>
      <c r="L429" s="7">
        <v>0.5103335249382878</v>
      </c>
      <c r="M429" s="7">
        <v>0.7044020557279291</v>
      </c>
      <c r="N429" s="7">
        <v>0.4188499315790069</v>
      </c>
      <c r="O429" s="7">
        <v>0.2426591156796284</v>
      </c>
      <c r="P429" s="7">
        <v>8.266390816676878</v>
      </c>
      <c r="Q429" s="7">
        <v>0.0408839512655491</v>
      </c>
      <c r="R429" s="7">
        <v>0.1246909535634084</v>
      </c>
      <c r="S429" s="7">
        <v>0.2028015743440837</v>
      </c>
      <c r="T429" s="7">
        <v>2.185662216096441</v>
      </c>
    </row>
    <row x14ac:dyDescent="0.25" r="430" customHeight="1" ht="19.5">
      <c r="A430" s="2" t="s">
        <v>463</v>
      </c>
      <c r="B430" s="2" t="s">
        <v>30</v>
      </c>
      <c r="C430" s="2" t="s">
        <v>31</v>
      </c>
      <c r="D430" s="2" t="s">
        <v>431</v>
      </c>
      <c r="E430" s="6">
        <v>1</v>
      </c>
      <c r="F430" s="6">
        <v>0</v>
      </c>
      <c r="G430" s="7">
        <v>0.9064387083053588</v>
      </c>
      <c r="H430" s="7">
        <v>46.08588359375</v>
      </c>
      <c r="I430" s="7">
        <v>28.61114979185063</v>
      </c>
      <c r="J430" s="7">
        <v>8.355191824251875</v>
      </c>
      <c r="K430" s="7">
        <v>8.095007074370399</v>
      </c>
      <c r="L430" s="7">
        <v>0.5051101991067382</v>
      </c>
      <c r="M430" s="7">
        <v>0.7074685858560733</v>
      </c>
      <c r="N430" s="7">
        <v>0.4242108060242424</v>
      </c>
      <c r="O430" s="7">
        <v>0.2452658071847166</v>
      </c>
      <c r="P430" s="7">
        <v>8.250717158038384</v>
      </c>
      <c r="Q430" s="7">
        <v>0.0399557748940532</v>
      </c>
      <c r="R430" s="7">
        <v>0.1230110759694067</v>
      </c>
      <c r="S430" s="7">
        <v>0.202734253286935</v>
      </c>
      <c r="T430" s="7">
        <v>2.137165999449762</v>
      </c>
    </row>
    <row x14ac:dyDescent="0.25" r="431" customHeight="1" ht="19.5">
      <c r="A431" s="2" t="s">
        <v>464</v>
      </c>
      <c r="B431" s="2" t="s">
        <v>30</v>
      </c>
      <c r="C431" s="2" t="s">
        <v>31</v>
      </c>
      <c r="D431" s="2" t="s">
        <v>431</v>
      </c>
      <c r="E431" s="6">
        <v>1</v>
      </c>
      <c r="F431" s="6">
        <v>0</v>
      </c>
      <c r="G431" s="7">
        <v>0.9050232768058776</v>
      </c>
      <c r="H431" s="7">
        <v>45.76726171875</v>
      </c>
      <c r="I431" s="7">
        <v>28.56831183365336</v>
      </c>
      <c r="J431" s="7">
        <v>8.314065111010656</v>
      </c>
      <c r="K431" s="7">
        <v>8.147613610239855</v>
      </c>
      <c r="L431" s="7">
        <v>0.4923420149920661</v>
      </c>
      <c r="M431" s="7">
        <v>0.7046859907494062</v>
      </c>
      <c r="N431" s="7">
        <v>0.4179012613117003</v>
      </c>
      <c r="O431" s="7">
        <v>0.2410187882983285</v>
      </c>
      <c r="P431" s="7">
        <v>8.275719123060071</v>
      </c>
      <c r="Q431" s="7">
        <v>0.040533960397506</v>
      </c>
      <c r="R431" s="7">
        <v>0.1231971713555287</v>
      </c>
      <c r="S431" s="7">
        <v>0.2004477234283622</v>
      </c>
      <c r="T431" s="7">
        <v>2.15310271224874</v>
      </c>
    </row>
    <row x14ac:dyDescent="0.25" r="432" customHeight="1" ht="19.5">
      <c r="A432" s="2" t="s">
        <v>465</v>
      </c>
      <c r="B432" s="2" t="s">
        <v>30</v>
      </c>
      <c r="C432" s="2" t="s">
        <v>31</v>
      </c>
      <c r="D432" s="2" t="s">
        <v>431</v>
      </c>
      <c r="E432" s="6">
        <v>1</v>
      </c>
      <c r="F432" s="6">
        <v>0</v>
      </c>
      <c r="G432" s="7">
        <v>0.9043928384780884</v>
      </c>
      <c r="H432" s="7">
        <v>45.86423359375</v>
      </c>
      <c r="I432" s="7">
        <v>28.49936518054385</v>
      </c>
      <c r="J432" s="7">
        <v>8.355678071574019</v>
      </c>
      <c r="K432" s="7">
        <v>8.09827582909882</v>
      </c>
      <c r="L432" s="7">
        <v>0.491232965187701</v>
      </c>
      <c r="M432" s="7">
        <v>0.709600041449856</v>
      </c>
      <c r="N432" s="7">
        <v>0.4173236847542036</v>
      </c>
      <c r="O432" s="7">
        <v>0.2393496566419109</v>
      </c>
      <c r="P432" s="7">
        <v>8.287193051011183</v>
      </c>
      <c r="Q432" s="7">
        <v>0.0409328379830096</v>
      </c>
      <c r="R432" s="7">
        <v>0.1243397317173303</v>
      </c>
      <c r="S432" s="7">
        <v>0.2069295573710517</v>
      </c>
      <c r="T432" s="7">
        <v>2.178897382943</v>
      </c>
    </row>
    <row x14ac:dyDescent="0.25" r="433" customHeight="1" ht="19.5">
      <c r="A433" s="2" t="s">
        <v>466</v>
      </c>
      <c r="B433" s="2" t="s">
        <v>30</v>
      </c>
      <c r="C433" s="2" t="s">
        <v>31</v>
      </c>
      <c r="D433" s="2" t="s">
        <v>431</v>
      </c>
      <c r="E433" s="6">
        <v>1</v>
      </c>
      <c r="F433" s="6">
        <v>0</v>
      </c>
      <c r="G433" s="7">
        <v>0.90631765127182</v>
      </c>
      <c r="H433" s="7">
        <v>45.9300359375</v>
      </c>
      <c r="I433" s="7">
        <v>28.5481178264977</v>
      </c>
      <c r="J433" s="7">
        <v>8.344332565458174</v>
      </c>
      <c r="K433" s="7">
        <v>8.092747669636253</v>
      </c>
      <c r="L433" s="7">
        <v>0.4906786864206762</v>
      </c>
      <c r="M433" s="7">
        <v>0.7081930952447426</v>
      </c>
      <c r="N433" s="7">
        <v>0.4167296747852865</v>
      </c>
      <c r="O433" s="7">
        <v>0.2382320105518648</v>
      </c>
      <c r="P433" s="7">
        <v>8.297158661883</v>
      </c>
      <c r="Q433" s="7">
        <v>0.0396484283169528</v>
      </c>
      <c r="R433" s="7">
        <v>0.1216620394131554</v>
      </c>
      <c r="S433" s="7">
        <v>0.2003895385601874</v>
      </c>
      <c r="T433" s="7">
        <v>2.113554941109971</v>
      </c>
    </row>
    <row x14ac:dyDescent="0.25" r="434" customHeight="1" ht="19.5">
      <c r="A434" s="2" t="s">
        <v>467</v>
      </c>
      <c r="B434" s="2" t="s">
        <v>30</v>
      </c>
      <c r="C434" s="2" t="s">
        <v>31</v>
      </c>
      <c r="D434" s="2" t="s">
        <v>431</v>
      </c>
      <c r="E434" s="6">
        <v>1</v>
      </c>
      <c r="F434" s="6">
        <v>0</v>
      </c>
      <c r="G434" s="7">
        <v>0.9055780172348022</v>
      </c>
      <c r="H434" s="7">
        <v>45.96813203125</v>
      </c>
      <c r="I434" s="7">
        <v>28.52792381934204</v>
      </c>
      <c r="J434" s="7">
        <v>8.337946013293813</v>
      </c>
      <c r="K434" s="7">
        <v>8.095326347724546</v>
      </c>
      <c r="L434" s="7">
        <v>0.4872124783618333</v>
      </c>
      <c r="M434" s="7">
        <v>0.7097842985062083</v>
      </c>
      <c r="N434" s="7">
        <v>0.4184049801267833</v>
      </c>
      <c r="O434" s="7">
        <v>0.2380522721865731</v>
      </c>
      <c r="P434" s="7">
        <v>8.29570247745445</v>
      </c>
      <c r="Q434" s="7">
        <v>0.0405388973703873</v>
      </c>
      <c r="R434" s="7">
        <v>0.1228286898569509</v>
      </c>
      <c r="S434" s="7">
        <v>0.1992362172491101</v>
      </c>
      <c r="T434" s="7">
        <v>2.162815972109343</v>
      </c>
    </row>
    <row x14ac:dyDescent="0.25" r="435" customHeight="1" ht="19.5">
      <c r="A435" s="2" t="s">
        <v>468</v>
      </c>
      <c r="B435" s="2" t="s">
        <v>30</v>
      </c>
      <c r="C435" s="2" t="s">
        <v>31</v>
      </c>
      <c r="D435" s="2" t="s">
        <v>431</v>
      </c>
      <c r="E435" s="6">
        <v>1</v>
      </c>
      <c r="F435" s="6">
        <v>0</v>
      </c>
      <c r="G435" s="7">
        <v>0.9046629071235656</v>
      </c>
      <c r="H435" s="7">
        <v>45.89193984375</v>
      </c>
      <c r="I435" s="7">
        <v>28.41613920803527</v>
      </c>
      <c r="J435" s="7">
        <v>8.328487788750055</v>
      </c>
      <c r="K435" s="7">
        <v>8.035294966480139</v>
      </c>
      <c r="L435" s="7">
        <v>0.5023865585554678</v>
      </c>
      <c r="M435" s="7">
        <v>0.71419389964862</v>
      </c>
      <c r="N435" s="7">
        <v>0.4181318827582505</v>
      </c>
      <c r="O435" s="7">
        <v>0.2389392680709527</v>
      </c>
      <c r="P435" s="7">
        <v>8.288086450926844</v>
      </c>
      <c r="Q435" s="7">
        <v>0.039846676590609</v>
      </c>
      <c r="R435" s="7">
        <v>0.1223172822520772</v>
      </c>
      <c r="S435" s="7">
        <v>0.2009107750771288</v>
      </c>
      <c r="T435" s="7">
        <v>2.122361215414145</v>
      </c>
    </row>
    <row x14ac:dyDescent="0.25" r="436" customHeight="1" ht="19.5">
      <c r="A436" s="2" t="s">
        <v>469</v>
      </c>
      <c r="B436" s="2" t="s">
        <v>30</v>
      </c>
      <c r="C436" s="2" t="s">
        <v>31</v>
      </c>
      <c r="D436" s="2" t="s">
        <v>431</v>
      </c>
      <c r="E436" s="6">
        <v>1</v>
      </c>
      <c r="F436" s="6">
        <v>0</v>
      </c>
      <c r="G436" s="7">
        <v>0.905253767967224</v>
      </c>
      <c r="H436" s="7">
        <v>45.8192109375</v>
      </c>
      <c r="I436" s="7">
        <v>28.37575119372396</v>
      </c>
      <c r="J436" s="7">
        <v>8.288393706642484</v>
      </c>
      <c r="K436" s="7">
        <v>8.095073134886851</v>
      </c>
      <c r="L436" s="7">
        <v>0.4894620234132235</v>
      </c>
      <c r="M436" s="7">
        <v>0.7150933427201468</v>
      </c>
      <c r="N436" s="7">
        <v>0.4223093079997891</v>
      </c>
      <c r="O436" s="7">
        <v>0.2451681771307802</v>
      </c>
      <c r="P436" s="7">
        <v>8.237290060297521</v>
      </c>
      <c r="Q436" s="7">
        <v>0.0401927210459558</v>
      </c>
      <c r="R436" s="7">
        <v>0.1233014645990321</v>
      </c>
      <c r="S436" s="7">
        <v>0.1992822566314943</v>
      </c>
      <c r="T436" s="7">
        <v>2.13739994960423</v>
      </c>
    </row>
    <row x14ac:dyDescent="0.25" r="437" customHeight="1" ht="19.5">
      <c r="A437" s="2" t="s">
        <v>470</v>
      </c>
      <c r="B437" s="2" t="s">
        <v>30</v>
      </c>
      <c r="C437" s="2" t="s">
        <v>31</v>
      </c>
      <c r="D437" s="2" t="s">
        <v>431</v>
      </c>
      <c r="E437" s="6">
        <v>1</v>
      </c>
      <c r="F437" s="6">
        <v>0</v>
      </c>
      <c r="G437" s="7">
        <v>0.9060588479042052</v>
      </c>
      <c r="H437" s="7">
        <v>45.68760625</v>
      </c>
      <c r="I437" s="7">
        <v>28.41022452027871</v>
      </c>
      <c r="J437" s="7">
        <v>8.313936496602103</v>
      </c>
      <c r="K437" s="7">
        <v>8.0376136727282</v>
      </c>
      <c r="L437" s="7">
        <v>0.4995813068388838</v>
      </c>
      <c r="M437" s="7">
        <v>0.7113100364491284</v>
      </c>
      <c r="N437" s="7">
        <v>0.4209232181085328</v>
      </c>
      <c r="O437" s="7">
        <v>0.24213152632053</v>
      </c>
      <c r="P437" s="7">
        <v>8.260416404739813</v>
      </c>
      <c r="Q437" s="7">
        <v>0.040073381632179</v>
      </c>
      <c r="R437" s="7">
        <v>0.1223227276448493</v>
      </c>
      <c r="S437" s="7">
        <v>0.1992958785014032</v>
      </c>
      <c r="T437" s="7">
        <v>2.124932684820635</v>
      </c>
    </row>
    <row x14ac:dyDescent="0.25" r="438" customHeight="1" ht="19.5">
      <c r="A438" s="2" t="s">
        <v>471</v>
      </c>
      <c r="B438" s="2" t="s">
        <v>30</v>
      </c>
      <c r="C438" s="2" t="s">
        <v>31</v>
      </c>
      <c r="D438" s="2" t="s">
        <v>431</v>
      </c>
      <c r="E438" s="6">
        <v>1</v>
      </c>
      <c r="F438" s="6">
        <v>0</v>
      </c>
      <c r="G438" s="7">
        <v>0.9045392274856568</v>
      </c>
      <c r="H438" s="7">
        <v>45.83652734375</v>
      </c>
      <c r="I438" s="7">
        <v>28.51364449994295</v>
      </c>
      <c r="J438" s="7">
        <v>8.33779842874953</v>
      </c>
      <c r="K438" s="7">
        <v>8.108816425785164</v>
      </c>
      <c r="L438" s="7">
        <v>0.4894578677919885</v>
      </c>
      <c r="M438" s="7">
        <v>0.7084612646338119</v>
      </c>
      <c r="N438" s="7">
        <v>0.4170948217227403</v>
      </c>
      <c r="O438" s="7">
        <v>0.2395900121907203</v>
      </c>
      <c r="P438" s="7">
        <v>8.285125466753538</v>
      </c>
      <c r="Q438" s="7">
        <v>0.0406495820197171</v>
      </c>
      <c r="R438" s="7">
        <v>0.1226861823456252</v>
      </c>
      <c r="S438" s="7">
        <v>0.2045271259109025</v>
      </c>
      <c r="T438" s="7">
        <v>2.162512226940464</v>
      </c>
    </row>
    <row x14ac:dyDescent="0.25" r="439" customHeight="1" ht="19.5">
      <c r="A439" s="2" t="s">
        <v>472</v>
      </c>
      <c r="B439" s="2" t="s">
        <v>30</v>
      </c>
      <c r="C439" s="2" t="s">
        <v>31</v>
      </c>
      <c r="D439" s="2" t="s">
        <v>431</v>
      </c>
      <c r="E439" s="6">
        <v>1</v>
      </c>
      <c r="F439" s="6">
        <v>0</v>
      </c>
      <c r="G439" s="7">
        <v>0.9055839776992798</v>
      </c>
      <c r="H439" s="7">
        <v>46.16900234375</v>
      </c>
      <c r="I439" s="7">
        <v>28.70029045211577</v>
      </c>
      <c r="J439" s="7">
        <v>8.342593326804224</v>
      </c>
      <c r="K439" s="7">
        <v>8.065872037892273</v>
      </c>
      <c r="L439" s="7">
        <v>0.4999630141741158</v>
      </c>
      <c r="M439" s="7">
        <v>0.7043487858522027</v>
      </c>
      <c r="N439" s="7">
        <v>0.4143277444233655</v>
      </c>
      <c r="O439" s="7">
        <v>0.2349533382661768</v>
      </c>
      <c r="P439" s="7">
        <v>8.32381040864269</v>
      </c>
      <c r="Q439" s="7">
        <v>0.0394933739647985</v>
      </c>
      <c r="R439" s="7">
        <v>0.1220300270497807</v>
      </c>
      <c r="S439" s="7">
        <v>0.2003809571068571</v>
      </c>
      <c r="T439" s="7">
        <v>2.116242869218239</v>
      </c>
    </row>
    <row x14ac:dyDescent="0.25" r="440" customHeight="1" ht="19.5">
      <c r="A440" s="2" t="s">
        <v>473</v>
      </c>
      <c r="B440" s="2" t="s">
        <v>30</v>
      </c>
      <c r="C440" s="2" t="s">
        <v>31</v>
      </c>
      <c r="D440" s="2" t="s">
        <v>431</v>
      </c>
      <c r="E440" s="6">
        <v>1</v>
      </c>
      <c r="F440" s="6">
        <v>0</v>
      </c>
      <c r="G440" s="7">
        <v>0.9052385091781616</v>
      </c>
      <c r="H440" s="7">
        <v>45.88155</v>
      </c>
      <c r="I440" s="7">
        <v>28.46489185398911</v>
      </c>
      <c r="J440" s="7">
        <v>8.32766660852918</v>
      </c>
      <c r="K440" s="7">
        <v>8.065007256075944</v>
      </c>
      <c r="L440" s="7">
        <v>0.4946399571651106</v>
      </c>
      <c r="M440" s="7">
        <v>0.711588414796331</v>
      </c>
      <c r="N440" s="7">
        <v>0.4224641178178497</v>
      </c>
      <c r="O440" s="7">
        <v>0.2451952570607317</v>
      </c>
      <c r="P440" s="7">
        <v>8.236293501613641</v>
      </c>
      <c r="Q440" s="7">
        <v>0.0406743298150283</v>
      </c>
      <c r="R440" s="7">
        <v>0.1229969976621491</v>
      </c>
      <c r="S440" s="7">
        <v>0.2024245909010738</v>
      </c>
      <c r="T440" s="7">
        <v>2.165954189874001</v>
      </c>
    </row>
    <row x14ac:dyDescent="0.25" r="441" customHeight="1" ht="19.5">
      <c r="A441" s="2" t="s">
        <v>474</v>
      </c>
      <c r="B441" s="2" t="s">
        <v>30</v>
      </c>
      <c r="C441" s="2" t="s">
        <v>31</v>
      </c>
      <c r="D441" s="2" t="s">
        <v>431</v>
      </c>
      <c r="E441" s="6">
        <v>1</v>
      </c>
      <c r="F441" s="6">
        <v>0</v>
      </c>
      <c r="G441" s="7">
        <v>0.9024478197097778</v>
      </c>
      <c r="H441" s="7">
        <v>46.0408609375</v>
      </c>
      <c r="I441" s="7">
        <v>28.57667646529588</v>
      </c>
      <c r="J441" s="7">
        <v>8.347281776577017</v>
      </c>
      <c r="K441" s="7">
        <v>8.107493677947227</v>
      </c>
      <c r="L441" s="7">
        <v>0.4893890154382631</v>
      </c>
      <c r="M441" s="7">
        <v>0.7084837021709778</v>
      </c>
      <c r="N441" s="7">
        <v>0.4239757464013839</v>
      </c>
      <c r="O441" s="7">
        <v>0.2473983620421857</v>
      </c>
      <c r="P441" s="7">
        <v>8.224628841713905</v>
      </c>
      <c r="Q441" s="7">
        <v>0.0396862160702</v>
      </c>
      <c r="R441" s="7">
        <v>0.1222280509797103</v>
      </c>
      <c r="S441" s="7">
        <v>0.2037664940955516</v>
      </c>
      <c r="T441" s="7">
        <v>2.120673984644566</v>
      </c>
    </row>
    <row x14ac:dyDescent="0.25" r="442" customHeight="1" ht="19.5">
      <c r="A442" s="2" t="s">
        <v>475</v>
      </c>
      <c r="B442" s="2" t="s">
        <v>30</v>
      </c>
      <c r="C442" s="2" t="s">
        <v>31</v>
      </c>
      <c r="D442" s="2" t="s">
        <v>431</v>
      </c>
      <c r="E442" s="6">
        <v>1</v>
      </c>
      <c r="F442" s="6">
        <v>0</v>
      </c>
      <c r="G442" s="7">
        <v>0.9064770936965942</v>
      </c>
      <c r="H442" s="7">
        <v>46.04432421875001</v>
      </c>
      <c r="I442" s="7">
        <v>28.52792381934204</v>
      </c>
      <c r="J442" s="7">
        <v>8.300973438432457</v>
      </c>
      <c r="K442" s="7">
        <v>8.094799878089757</v>
      </c>
      <c r="L442" s="7">
        <v>0.4902220334588088</v>
      </c>
      <c r="M442" s="7">
        <v>0.7109607661146721</v>
      </c>
      <c r="N442" s="7">
        <v>0.4201011568589098</v>
      </c>
      <c r="O442" s="7">
        <v>0.2415651558435154</v>
      </c>
      <c r="P442" s="7">
        <v>8.266967819109595</v>
      </c>
      <c r="Q442" s="7">
        <v>0.0401304485552264</v>
      </c>
      <c r="R442" s="7">
        <v>0.1236388943469078</v>
      </c>
      <c r="S442" s="7">
        <v>0.2007906397847056</v>
      </c>
      <c r="T442" s="7">
        <v>2.144573313499738</v>
      </c>
    </row>
    <row x14ac:dyDescent="0.25" r="443" customHeight="1" ht="19.5">
      <c r="A443" s="2" t="s">
        <v>476</v>
      </c>
      <c r="B443" s="2" t="s">
        <v>30</v>
      </c>
      <c r="C443" s="2" t="s">
        <v>31</v>
      </c>
      <c r="D443" s="2" t="s">
        <v>431</v>
      </c>
      <c r="E443" s="6">
        <v>1</v>
      </c>
      <c r="F443" s="6">
        <v>0</v>
      </c>
      <c r="G443" s="7">
        <v>0.9052857756614684</v>
      </c>
      <c r="H443" s="7">
        <v>45.93349921875</v>
      </c>
      <c r="I443" s="7">
        <v>28.65990243780447</v>
      </c>
      <c r="J443" s="7">
        <v>8.378991911702943</v>
      </c>
      <c r="K443" s="7">
        <v>8.087115014282691</v>
      </c>
      <c r="L443" s="7">
        <v>0.500348986193605</v>
      </c>
      <c r="M443" s="7">
        <v>0.7027324040405893</v>
      </c>
      <c r="N443" s="7">
        <v>0.4239671698362925</v>
      </c>
      <c r="O443" s="7">
        <v>0.2489188116711112</v>
      </c>
      <c r="P443" s="7">
        <v>8.208867780448886</v>
      </c>
      <c r="Q443" s="7">
        <v>0.0401350515839352</v>
      </c>
      <c r="R443" s="7">
        <v>0.1230026214745582</v>
      </c>
      <c r="S443" s="7">
        <v>0.1971179347843162</v>
      </c>
      <c r="T443" s="7">
        <v>2.139656891356974</v>
      </c>
    </row>
    <row x14ac:dyDescent="0.25" r="444" customHeight="1" ht="19.5">
      <c r="A444" s="2" t="s">
        <v>477</v>
      </c>
      <c r="B444" s="2" t="s">
        <v>30</v>
      </c>
      <c r="C444" s="2" t="s">
        <v>31</v>
      </c>
      <c r="D444" s="2" t="s">
        <v>431</v>
      </c>
      <c r="E444" s="6">
        <v>1</v>
      </c>
      <c r="F444" s="6">
        <v>0</v>
      </c>
      <c r="G444" s="7">
        <v>0.9076259136199952</v>
      </c>
      <c r="H444" s="7">
        <v>45.7637984375</v>
      </c>
      <c r="I444" s="7">
        <v>28.43041852743436</v>
      </c>
      <c r="J444" s="7">
        <v>8.34464212834257</v>
      </c>
      <c r="K444" s="7">
        <v>8.065713248572228</v>
      </c>
      <c r="L444" s="7">
        <v>0.5031053320881287</v>
      </c>
      <c r="M444" s="7">
        <v>0.7114844653425726</v>
      </c>
      <c r="N444" s="7">
        <v>0.4190867654143963</v>
      </c>
      <c r="O444" s="7">
        <v>0.2414055278450458</v>
      </c>
      <c r="P444" s="7">
        <v>8.264967553167356</v>
      </c>
      <c r="Q444" s="7">
        <v>0.0398838298612982</v>
      </c>
      <c r="R444" s="7">
        <v>0.1228962587842312</v>
      </c>
      <c r="S444" s="7">
        <v>0.2013186415995332</v>
      </c>
      <c r="T444" s="7">
        <v>2.118408445332603</v>
      </c>
    </row>
    <row x14ac:dyDescent="0.25" r="445" customHeight="1" ht="19.5">
      <c r="A445" s="2" t="s">
        <v>478</v>
      </c>
      <c r="B445" s="2" t="s">
        <v>30</v>
      </c>
      <c r="C445" s="2" t="s">
        <v>31</v>
      </c>
      <c r="D445" s="2" t="s">
        <v>431</v>
      </c>
      <c r="E445" s="6">
        <v>1</v>
      </c>
      <c r="F445" s="6">
        <v>0</v>
      </c>
      <c r="G445" s="7">
        <v>0.9064882397651672</v>
      </c>
      <c r="H445" s="7">
        <v>45.89193984375</v>
      </c>
      <c r="I445" s="7">
        <v>28.4791711733882</v>
      </c>
      <c r="J445" s="7">
        <v>8.335280087791858</v>
      </c>
      <c r="K445" s="7">
        <v>8.051408778382898</v>
      </c>
      <c r="L445" s="7">
        <v>0.495413092175047</v>
      </c>
      <c r="M445" s="7">
        <v>0.7110359968059413</v>
      </c>
      <c r="N445" s="7">
        <v>0.4265104174623016</v>
      </c>
      <c r="O445" s="7">
        <v>0.2496173966152916</v>
      </c>
      <c r="P445" s="7">
        <v>8.195662181870665</v>
      </c>
      <c r="Q445" s="7">
        <v>0.0400992922339143</v>
      </c>
      <c r="R445" s="7">
        <v>0.1227341969636147</v>
      </c>
      <c r="S445" s="7">
        <v>0.2011915355573564</v>
      </c>
      <c r="T445" s="7">
        <v>2.13581633111342</v>
      </c>
    </row>
    <row x14ac:dyDescent="0.25" r="446" customHeight="1" ht="19.5">
      <c r="A446" s="2" t="s">
        <v>479</v>
      </c>
      <c r="B446" s="2" t="s">
        <v>30</v>
      </c>
      <c r="C446" s="2" t="s">
        <v>31</v>
      </c>
      <c r="D446" s="2" t="s">
        <v>431</v>
      </c>
      <c r="E446" s="6">
        <v>1</v>
      </c>
      <c r="F446" s="6">
        <v>0</v>
      </c>
      <c r="G446" s="7">
        <v>0.9073258638381958</v>
      </c>
      <c r="H446" s="7">
        <v>45.72570234375</v>
      </c>
      <c r="I446" s="7">
        <v>28.5481178264977</v>
      </c>
      <c r="J446" s="7">
        <v>8.310181088040974</v>
      </c>
      <c r="K446" s="7">
        <v>8.101983326405028</v>
      </c>
      <c r="L446" s="7">
        <v>0.4764152698225981</v>
      </c>
      <c r="M446" s="7">
        <v>0.7050424850336554</v>
      </c>
      <c r="N446" s="7">
        <v>0.4201303711670514</v>
      </c>
      <c r="O446" s="7">
        <v>0.2415616137840463</v>
      </c>
      <c r="P446" s="7">
        <v>8.259463697623154</v>
      </c>
      <c r="Q446" s="7">
        <v>0.0412610836155172</v>
      </c>
      <c r="R446" s="7">
        <v>0.1242257897082994</v>
      </c>
      <c r="S446" s="7">
        <v>0.202671709844204</v>
      </c>
      <c r="T446" s="7">
        <v>2.189736181662798</v>
      </c>
    </row>
    <row x14ac:dyDescent="0.25" r="447" customHeight="1" ht="19.5">
      <c r="A447" s="2" t="s">
        <v>480</v>
      </c>
      <c r="B447" s="2" t="s">
        <v>30</v>
      </c>
      <c r="C447" s="2" t="s">
        <v>31</v>
      </c>
      <c r="D447" s="2" t="s">
        <v>431</v>
      </c>
      <c r="E447" s="6">
        <v>1</v>
      </c>
      <c r="F447" s="6">
        <v>0</v>
      </c>
      <c r="G447" s="7">
        <v>0.9015456438064576</v>
      </c>
      <c r="H447" s="7">
        <v>45.646046875</v>
      </c>
      <c r="I447" s="7">
        <v>28.63134379900628</v>
      </c>
      <c r="J447" s="7">
        <v>8.430708586399861</v>
      </c>
      <c r="K447" s="7">
        <v>8.022897499100175</v>
      </c>
      <c r="L447" s="7">
        <v>0.5180048221004407</v>
      </c>
      <c r="M447" s="7">
        <v>0.6997285144744607</v>
      </c>
      <c r="N447" s="7">
        <v>0.4489662017210468</v>
      </c>
      <c r="O447" s="7">
        <v>0.2440990811795005</v>
      </c>
      <c r="P447" s="7">
        <v>7.934648008049452</v>
      </c>
      <c r="Q447" s="7">
        <v>0.0389825755484564</v>
      </c>
      <c r="R447" s="7">
        <v>0.1157196008873584</v>
      </c>
      <c r="S447" s="7">
        <v>0.1872179001269343</v>
      </c>
      <c r="T447" s="7">
        <v>2.065211245494313</v>
      </c>
    </row>
    <row x14ac:dyDescent="0.25" r="448" customHeight="1" ht="19.5">
      <c r="A448" s="2" t="s">
        <v>481</v>
      </c>
      <c r="B448" s="2" t="s">
        <v>30</v>
      </c>
      <c r="C448" s="2" t="s">
        <v>31</v>
      </c>
      <c r="D448" s="2" t="s">
        <v>431</v>
      </c>
      <c r="E448" s="6">
        <v>1</v>
      </c>
      <c r="F448" s="6">
        <v>0</v>
      </c>
      <c r="G448" s="7">
        <v>0.6008542776107788</v>
      </c>
      <c r="H448" s="7">
        <v>49.2963453125</v>
      </c>
      <c r="I448" s="7">
        <v>30.32298674407485</v>
      </c>
      <c r="J448" s="7">
        <v>8.427790327121965</v>
      </c>
      <c r="K448" s="7">
        <v>8.083610783890975</v>
      </c>
      <c r="L448" s="7">
        <v>0.2578488895104436</v>
      </c>
      <c r="M448" s="7">
        <v>0.6735798582669835</v>
      </c>
      <c r="N448" s="7">
        <v>0.6619509932129823</v>
      </c>
      <c r="O448" s="7">
        <v>0.1805940324061452</v>
      </c>
      <c r="P448" s="7">
        <v>6.62820289424115</v>
      </c>
      <c r="Q448" s="7">
        <v>0.023524247698651</v>
      </c>
      <c r="R448" s="7">
        <v>0.0523856056401052</v>
      </c>
      <c r="S448" s="7">
        <v>0.0659124408356995</v>
      </c>
      <c r="T448" s="7">
        <v>1.345926198815567</v>
      </c>
    </row>
    <row x14ac:dyDescent="0.25" r="449" customHeight="1" ht="19.5">
      <c r="A449" s="2" t="s">
        <v>482</v>
      </c>
      <c r="B449" s="2" t="s">
        <v>30</v>
      </c>
      <c r="C449" s="2" t="s">
        <v>31</v>
      </c>
      <c r="D449" s="2" t="s">
        <v>431</v>
      </c>
      <c r="E449" s="6">
        <v>1</v>
      </c>
      <c r="F449" s="6">
        <v>0</v>
      </c>
      <c r="G449" s="7">
        <v>0.648303747177124</v>
      </c>
      <c r="H449" s="7">
        <v>38.40432578125</v>
      </c>
      <c r="I449" s="7">
        <v>29.81562506335614</v>
      </c>
      <c r="J449" s="7">
        <v>8.110558729636747</v>
      </c>
      <c r="K449" s="7">
        <v>6.39560601326629</v>
      </c>
      <c r="L449" s="7">
        <v>0.6899156009669483</v>
      </c>
      <c r="M449" s="7">
        <v>0.541360262889125</v>
      </c>
      <c r="N449" s="7">
        <v>0.6002290583432839</v>
      </c>
      <c r="O449" s="7">
        <v>0.2346792901729089</v>
      </c>
      <c r="P449" s="7">
        <v>7.194864784731397</v>
      </c>
      <c r="Q449" s="7">
        <v>0.0340166310548899</v>
      </c>
      <c r="R449" s="7">
        <v>0.0703183930118692</v>
      </c>
      <c r="S449" s="7">
        <v>0.0896655900798778</v>
      </c>
      <c r="T449" s="7">
        <v>1.516220013529935</v>
      </c>
    </row>
    <row x14ac:dyDescent="0.25" r="450" customHeight="1" ht="19.5">
      <c r="A450" s="2" t="s">
        <v>483</v>
      </c>
      <c r="B450" s="2" t="s">
        <v>30</v>
      </c>
      <c r="C450" s="2" t="s">
        <v>31</v>
      </c>
      <c r="D450" s="2" t="s">
        <v>431</v>
      </c>
      <c r="E450" s="6">
        <v>1</v>
      </c>
      <c r="F450" s="6">
        <v>0</v>
      </c>
      <c r="G450" s="7">
        <v>0.9011361598968506</v>
      </c>
      <c r="H450" s="7">
        <v>34.4042359375</v>
      </c>
      <c r="I450" s="7">
        <v>30.000897429569</v>
      </c>
      <c r="J450" s="7">
        <v>7.864873997025366</v>
      </c>
      <c r="K450" s="7">
        <v>7.066146931321596</v>
      </c>
      <c r="L450" s="7">
        <v>0.6726568406418743</v>
      </c>
      <c r="M450" s="7">
        <v>0.4803450161759657</v>
      </c>
      <c r="N450" s="7">
        <v>0.5274995767220968</v>
      </c>
      <c r="O450" s="7">
        <v>0.3289572422065576</v>
      </c>
      <c r="P450" s="7">
        <v>7.276571919328862</v>
      </c>
      <c r="Q450" s="7">
        <v>0.0361437885327612</v>
      </c>
      <c r="R450" s="7">
        <v>0.0982282611252733</v>
      </c>
      <c r="S450" s="7">
        <v>0.1377154702347938</v>
      </c>
      <c r="T450" s="7">
        <v>1.443232732237299</v>
      </c>
    </row>
    <row x14ac:dyDescent="0.25" r="451" customHeight="1" ht="19.5">
      <c r="A451" s="2" t="s">
        <v>484</v>
      </c>
      <c r="B451" s="2" t="s">
        <v>30</v>
      </c>
      <c r="C451" s="2" t="s">
        <v>31</v>
      </c>
      <c r="D451" s="2" t="s">
        <v>431</v>
      </c>
      <c r="E451" s="6">
        <v>1</v>
      </c>
      <c r="F451" s="6">
        <v>0</v>
      </c>
      <c r="G451" s="7">
        <v>0.9107481837272644</v>
      </c>
      <c r="H451" s="7">
        <v>38.39047265625</v>
      </c>
      <c r="I451" s="7">
        <v>30.82515130898768</v>
      </c>
      <c r="J451" s="7">
        <v>7.816768496917053</v>
      </c>
      <c r="K451" s="7">
        <v>7.173039640486277</v>
      </c>
      <c r="L451" s="7">
        <v>0.703954144576998</v>
      </c>
      <c r="M451" s="7">
        <v>0.5077183839115521</v>
      </c>
      <c r="N451" s="7">
        <v>0.4656444564603653</v>
      </c>
      <c r="O451" s="7">
        <v>0.2854088612916159</v>
      </c>
      <c r="P451" s="7">
        <v>7.957381180909813</v>
      </c>
      <c r="Q451" s="7">
        <v>0.0374906756800978</v>
      </c>
      <c r="R451" s="7">
        <v>0.1120830338742185</v>
      </c>
      <c r="S451" s="7">
        <v>0.1627744182090554</v>
      </c>
      <c r="T451" s="7">
        <v>1.67046548525944</v>
      </c>
    </row>
    <row x14ac:dyDescent="0.25" r="452" customHeight="1" ht="19.5">
      <c r="A452" s="2" t="s">
        <v>485</v>
      </c>
      <c r="B452" s="2" t="s">
        <v>30</v>
      </c>
      <c r="C452" s="2" t="s">
        <v>31</v>
      </c>
      <c r="D452" s="2" t="s">
        <v>431</v>
      </c>
      <c r="E452" s="6">
        <v>1</v>
      </c>
      <c r="F452" s="6">
        <v>0</v>
      </c>
      <c r="G452" s="7">
        <v>0.9123156070709229</v>
      </c>
      <c r="H452" s="7">
        <v>38.23116171875</v>
      </c>
      <c r="I452" s="7">
        <v>30.32579547393616</v>
      </c>
      <c r="J452" s="7">
        <v>7.738288066076628</v>
      </c>
      <c r="K452" s="7">
        <v>7.202665174130512</v>
      </c>
      <c r="L452" s="7">
        <v>0.6871407510652545</v>
      </c>
      <c r="M452" s="7">
        <v>0.5223997443587828</v>
      </c>
      <c r="N452" s="7">
        <v>0.4648678368216947</v>
      </c>
      <c r="O452" s="7">
        <v>0.2890380150427268</v>
      </c>
      <c r="P452" s="7">
        <v>7.94223486829475</v>
      </c>
      <c r="Q452" s="7">
        <v>0.0375228935413492</v>
      </c>
      <c r="R452" s="7">
        <v>0.1120855421453786</v>
      </c>
      <c r="S452" s="7">
        <v>0.165631460486161</v>
      </c>
      <c r="T452" s="7">
        <v>1.664963036448646</v>
      </c>
    </row>
    <row x14ac:dyDescent="0.25" r="453" customHeight="1" ht="19.5">
      <c r="A453" s="2" t="s">
        <v>486</v>
      </c>
      <c r="B453" s="2" t="s">
        <v>30</v>
      </c>
      <c r="C453" s="2" t="s">
        <v>31</v>
      </c>
      <c r="D453" s="2" t="s">
        <v>431</v>
      </c>
      <c r="E453" s="6">
        <v>1</v>
      </c>
      <c r="F453" s="6">
        <v>0</v>
      </c>
      <c r="G453" s="7">
        <v>0.9127031564712524</v>
      </c>
      <c r="H453" s="7">
        <v>38.39739921875</v>
      </c>
      <c r="I453" s="7">
        <v>31.53134710336768</v>
      </c>
      <c r="J453" s="7">
        <v>7.73593738922478</v>
      </c>
      <c r="K453" s="7">
        <v>7.213683890789664</v>
      </c>
      <c r="L453" s="7">
        <v>0.691089356002587</v>
      </c>
      <c r="M453" s="7">
        <v>0.4853182495064259</v>
      </c>
      <c r="N453" s="7">
        <v>0.4627814691713299</v>
      </c>
      <c r="O453" s="7">
        <v>0.2853877816250935</v>
      </c>
      <c r="P453" s="7">
        <v>7.985649939958025</v>
      </c>
      <c r="Q453" s="7">
        <v>0.0375102682705823</v>
      </c>
      <c r="R453" s="7">
        <v>0.1120680376587183</v>
      </c>
      <c r="S453" s="7">
        <v>0.162051477086515</v>
      </c>
      <c r="T453" s="7">
        <v>1.671640018455985</v>
      </c>
    </row>
    <row x14ac:dyDescent="0.25" r="454" customHeight="1" ht="19.5">
      <c r="A454" s="2" t="s">
        <v>487</v>
      </c>
      <c r="B454" s="2" t="s">
        <v>30</v>
      </c>
      <c r="C454" s="2" t="s">
        <v>31</v>
      </c>
      <c r="D454" s="2" t="s">
        <v>431</v>
      </c>
      <c r="E454" s="6">
        <v>1</v>
      </c>
      <c r="F454" s="6">
        <v>0</v>
      </c>
      <c r="G454" s="7">
        <v>0.9130042195320128</v>
      </c>
      <c r="H454" s="7">
        <v>38.137653125</v>
      </c>
      <c r="I454" s="7">
        <v>31.18207273602361</v>
      </c>
      <c r="J454" s="7">
        <v>7.7333648804749</v>
      </c>
      <c r="K454" s="7">
        <v>7.152115440110555</v>
      </c>
      <c r="L454" s="7">
        <v>0.7014096749644937</v>
      </c>
      <c r="M454" s="7">
        <v>0.4927153427510894</v>
      </c>
      <c r="N454" s="7">
        <v>0.4624595412894944</v>
      </c>
      <c r="O454" s="7">
        <v>0.2847133145065343</v>
      </c>
      <c r="P454" s="7">
        <v>7.97347447199575</v>
      </c>
      <c r="Q454" s="7">
        <v>0.0383352971902905</v>
      </c>
      <c r="R454" s="7">
        <v>0.1141523840564884</v>
      </c>
      <c r="S454" s="7">
        <v>0.1629585331130659</v>
      </c>
      <c r="T454" s="7">
        <v>1.696850492646298</v>
      </c>
    </row>
    <row x14ac:dyDescent="0.25" r="455" customHeight="1" ht="19.5">
      <c r="A455" s="2" t="s">
        <v>488</v>
      </c>
      <c r="B455" s="2" t="s">
        <v>30</v>
      </c>
      <c r="C455" s="2" t="s">
        <v>31</v>
      </c>
      <c r="D455" s="2" t="s">
        <v>431</v>
      </c>
      <c r="E455" s="6">
        <v>1</v>
      </c>
      <c r="F455" s="6">
        <v>0</v>
      </c>
      <c r="G455" s="7">
        <v>0.9121754169464112</v>
      </c>
      <c r="H455" s="7">
        <v>39.4329203125</v>
      </c>
      <c r="I455" s="7">
        <v>30.45741530642325</v>
      </c>
      <c r="J455" s="7">
        <v>7.982436875899218</v>
      </c>
      <c r="K455" s="7">
        <v>7.326228756986053</v>
      </c>
      <c r="L455" s="7">
        <v>0.6957829799205159</v>
      </c>
      <c r="M455" s="7">
        <v>0.5341739618982574</v>
      </c>
      <c r="N455" s="7">
        <v>0.4518830909735677</v>
      </c>
      <c r="O455" s="7">
        <v>0.2639680670934273</v>
      </c>
      <c r="P455" s="7">
        <v>8.141760437279787</v>
      </c>
      <c r="Q455" s="7">
        <v>0.0386820436928874</v>
      </c>
      <c r="R455" s="7">
        <v>0.113774414482801</v>
      </c>
      <c r="S455" s="7">
        <v>0.1663826371172214</v>
      </c>
      <c r="T455" s="7">
        <v>1.770349987885133</v>
      </c>
    </row>
    <row x14ac:dyDescent="0.25" r="456" customHeight="1" ht="19.5">
      <c r="A456" s="2" t="s">
        <v>489</v>
      </c>
      <c r="B456" s="2" t="s">
        <v>30</v>
      </c>
      <c r="C456" s="2" t="s">
        <v>31</v>
      </c>
      <c r="D456" s="2" t="s">
        <v>431</v>
      </c>
      <c r="E456" s="6">
        <v>1</v>
      </c>
      <c r="F456" s="6">
        <v>0</v>
      </c>
      <c r="G456" s="7">
        <v>0.91093248128891</v>
      </c>
      <c r="H456" s="7">
        <v>39.72037265625</v>
      </c>
      <c r="I456" s="7">
        <v>31.05427643338245</v>
      </c>
      <c r="J456" s="7">
        <v>8.036008865218331</v>
      </c>
      <c r="K456" s="7">
        <v>7.38463817578247</v>
      </c>
      <c r="L456" s="7">
        <v>0.6924034544978444</v>
      </c>
      <c r="M456" s="7">
        <v>0.5175834119831223</v>
      </c>
      <c r="N456" s="7">
        <v>0.4526828683976631</v>
      </c>
      <c r="O456" s="7">
        <v>0.2649654054704309</v>
      </c>
      <c r="P456" s="7">
        <v>8.134630310613218</v>
      </c>
      <c r="Q456" s="7">
        <v>0.0403722047503867</v>
      </c>
      <c r="R456" s="7">
        <v>0.1159858907552228</v>
      </c>
      <c r="S456" s="7">
        <v>0.1672408849798107</v>
      </c>
      <c r="T456" s="7">
        <v>1.861172219999061</v>
      </c>
    </row>
    <row x14ac:dyDescent="0.25" r="457" customHeight="1" ht="19.5">
      <c r="A457" s="2" t="s">
        <v>490</v>
      </c>
      <c r="B457" s="2" t="s">
        <v>30</v>
      </c>
      <c r="C457" s="2" t="s">
        <v>31</v>
      </c>
      <c r="D457" s="2" t="s">
        <v>431</v>
      </c>
      <c r="E457" s="6">
        <v>1</v>
      </c>
      <c r="F457" s="6">
        <v>0</v>
      </c>
      <c r="G457" s="7">
        <v>0.9091290235519408</v>
      </c>
      <c r="H457" s="7">
        <v>38.69524140625001</v>
      </c>
      <c r="I457" s="7">
        <v>30.84743647405397</v>
      </c>
      <c r="J457" s="7">
        <v>7.876668894912703</v>
      </c>
      <c r="K457" s="7">
        <v>7.313632405254488</v>
      </c>
      <c r="L457" s="7">
        <v>0.7008566215793504</v>
      </c>
      <c r="M457" s="7">
        <v>0.5110098451623747</v>
      </c>
      <c r="N457" s="7">
        <v>0.4631719330658978</v>
      </c>
      <c r="O457" s="7">
        <v>0.2827262495673497</v>
      </c>
      <c r="P457" s="7">
        <v>7.988087329504014</v>
      </c>
      <c r="Q457" s="7">
        <v>0.0395368789103912</v>
      </c>
      <c r="R457" s="7">
        <v>0.1147514778832608</v>
      </c>
      <c r="S457" s="7">
        <v>0.1684785722997875</v>
      </c>
      <c r="T457" s="7">
        <v>1.775622841294774</v>
      </c>
    </row>
    <row x14ac:dyDescent="0.25" r="458" customHeight="1" ht="19.5">
      <c r="A458" s="2" t="s">
        <v>491</v>
      </c>
      <c r="B458" s="2" t="s">
        <v>30</v>
      </c>
      <c r="C458" s="2" t="s">
        <v>31</v>
      </c>
      <c r="D458" s="2" t="s">
        <v>431</v>
      </c>
      <c r="E458" s="6">
        <v>1</v>
      </c>
      <c r="F458" s="6">
        <v>0</v>
      </c>
      <c r="G458" s="7">
        <v>0.910140335559845</v>
      </c>
      <c r="H458" s="7">
        <v>39.5991578125</v>
      </c>
      <c r="I458" s="7">
        <v>30.90210380776437</v>
      </c>
      <c r="J458" s="7">
        <v>8.060904717707324</v>
      </c>
      <c r="K458" s="7">
        <v>7.332147782424915</v>
      </c>
      <c r="L458" s="7">
        <v>0.6995295590091701</v>
      </c>
      <c r="M458" s="7">
        <v>0.5210983756035392</v>
      </c>
      <c r="N458" s="7">
        <v>0.4515140833731136</v>
      </c>
      <c r="O458" s="7">
        <v>0.2652086445135607</v>
      </c>
      <c r="P458" s="7">
        <v>8.154244076462197</v>
      </c>
      <c r="Q458" s="7">
        <v>0.0391877416222971</v>
      </c>
      <c r="R458" s="7">
        <v>0.114158845720693</v>
      </c>
      <c r="S458" s="7">
        <v>0.1657780204333242</v>
      </c>
      <c r="T458" s="7">
        <v>1.801054959262206</v>
      </c>
    </row>
    <row x14ac:dyDescent="0.25" r="459" customHeight="1" ht="19.5">
      <c r="A459" s="2" t="s">
        <v>492</v>
      </c>
      <c r="B459" s="2" t="s">
        <v>30</v>
      </c>
      <c r="C459" s="2" t="s">
        <v>31</v>
      </c>
      <c r="D459" s="2" t="s">
        <v>431</v>
      </c>
      <c r="E459" s="6">
        <v>1</v>
      </c>
      <c r="F459" s="6">
        <v>0</v>
      </c>
      <c r="G459" s="7">
        <v>0.9113634824752808</v>
      </c>
      <c r="H459" s="7">
        <v>39.04156953125</v>
      </c>
      <c r="I459" s="7">
        <v>31.21236374675709</v>
      </c>
      <c r="J459" s="7">
        <v>7.984339011243044</v>
      </c>
      <c r="K459" s="7">
        <v>7.254421759389244</v>
      </c>
      <c r="L459" s="7">
        <v>0.7050244948340815</v>
      </c>
      <c r="M459" s="7">
        <v>0.5035977877739896</v>
      </c>
      <c r="N459" s="7">
        <v>0.451609449080236</v>
      </c>
      <c r="O459" s="7">
        <v>0.2643713891058942</v>
      </c>
      <c r="P459" s="7">
        <v>8.145232578464826</v>
      </c>
      <c r="Q459" s="7">
        <v>0.0398847176475057</v>
      </c>
      <c r="R459" s="7">
        <v>0.1144402853344488</v>
      </c>
      <c r="S459" s="7">
        <v>0.1661137359085461</v>
      </c>
      <c r="T459" s="7">
        <v>1.807276371619457</v>
      </c>
    </row>
    <row x14ac:dyDescent="0.25" r="460" customHeight="1" ht="19.5">
      <c r="A460" s="2" t="s">
        <v>493</v>
      </c>
      <c r="B460" s="2" t="s">
        <v>30</v>
      </c>
      <c r="C460" s="2" t="s">
        <v>31</v>
      </c>
      <c r="D460" s="2" t="s">
        <v>431</v>
      </c>
      <c r="E460" s="6">
        <v>1</v>
      </c>
      <c r="F460" s="6">
        <v>0</v>
      </c>
      <c r="G460" s="7">
        <v>0.9103603959083556</v>
      </c>
      <c r="H460" s="7">
        <v>38.33506015625</v>
      </c>
      <c r="I460" s="7">
        <v>31.07692038442407</v>
      </c>
      <c r="J460" s="7">
        <v>7.802054770221736</v>
      </c>
      <c r="K460" s="7">
        <v>7.202150220843894</v>
      </c>
      <c r="L460" s="7">
        <v>0.7046469002376701</v>
      </c>
      <c r="M460" s="7">
        <v>0.4985337763707129</v>
      </c>
      <c r="N460" s="7">
        <v>0.4606578553165678</v>
      </c>
      <c r="O460" s="7">
        <v>0.2799395565097944</v>
      </c>
      <c r="P460" s="7">
        <v>8.013344057482465</v>
      </c>
      <c r="Q460" s="7">
        <v>0.0372286570280105</v>
      </c>
      <c r="R460" s="7">
        <v>0.1114688793703106</v>
      </c>
      <c r="S460" s="7">
        <v>0.1626334569169792</v>
      </c>
      <c r="T460" s="7">
        <v>1.656396480689434</v>
      </c>
    </row>
    <row x14ac:dyDescent="0.25" r="461" customHeight="1" ht="19.5">
      <c r="A461" s="2" t="s">
        <v>494</v>
      </c>
      <c r="B461" s="2" t="s">
        <v>30</v>
      </c>
      <c r="C461" s="2" t="s">
        <v>31</v>
      </c>
      <c r="D461" s="2" t="s">
        <v>431</v>
      </c>
      <c r="E461" s="6">
        <v>1</v>
      </c>
      <c r="F461" s="6">
        <v>0</v>
      </c>
      <c r="G461" s="7">
        <v>0.9130091071128844</v>
      </c>
      <c r="H461" s="7">
        <v>37.7359125</v>
      </c>
      <c r="I461" s="7">
        <v>30.10676735311922</v>
      </c>
      <c r="J461" s="7">
        <v>7.71479784830878</v>
      </c>
      <c r="K461" s="7">
        <v>7.114988477223499</v>
      </c>
      <c r="L461" s="7">
        <v>0.6845707243162484</v>
      </c>
      <c r="M461" s="7">
        <v>0.5222500629176224</v>
      </c>
      <c r="N461" s="7">
        <v>0.4666048277049294</v>
      </c>
      <c r="O461" s="7">
        <v>0.2908370420255366</v>
      </c>
      <c r="P461" s="7">
        <v>7.918868995037869</v>
      </c>
      <c r="Q461" s="7">
        <v>0.0368932191394682</v>
      </c>
      <c r="R461" s="7">
        <v>0.1104977577913095</v>
      </c>
      <c r="S461" s="7">
        <v>0.1646344246096383</v>
      </c>
      <c r="T461" s="7">
        <v>1.615817054903922</v>
      </c>
    </row>
    <row x14ac:dyDescent="0.25" r="462" customHeight="1" ht="19.5">
      <c r="A462" s="2" t="s">
        <v>495</v>
      </c>
      <c r="B462" s="2" t="s">
        <v>30</v>
      </c>
      <c r="C462" s="2" t="s">
        <v>31</v>
      </c>
      <c r="D462" s="2" t="s">
        <v>431</v>
      </c>
      <c r="E462" s="6">
        <v>1</v>
      </c>
      <c r="F462" s="6">
        <v>0</v>
      </c>
      <c r="G462" s="7">
        <v>0.9103370308876038</v>
      </c>
      <c r="H462" s="7">
        <v>39.079665625</v>
      </c>
      <c r="I462" s="7">
        <v>32.35733335472165</v>
      </c>
      <c r="J462" s="7">
        <v>7.979274417616148</v>
      </c>
      <c r="K462" s="7">
        <v>7.324126648554481</v>
      </c>
      <c r="L462" s="7">
        <v>0.700574141579982</v>
      </c>
      <c r="M462" s="7">
        <v>0.4690458057572061</v>
      </c>
      <c r="N462" s="7">
        <v>0.4519988284620254</v>
      </c>
      <c r="O462" s="7">
        <v>0.2681574371388369</v>
      </c>
      <c r="P462" s="7">
        <v>8.129749283882838</v>
      </c>
      <c r="Q462" s="7">
        <v>0.0387826014906045</v>
      </c>
      <c r="R462" s="7">
        <v>0.113617417759297</v>
      </c>
      <c r="S462" s="7">
        <v>0.1624736368568685</v>
      </c>
      <c r="T462" s="7">
        <v>1.759051509440329</v>
      </c>
    </row>
    <row x14ac:dyDescent="0.25" r="463" customHeight="1" ht="19.5">
      <c r="A463" s="2" t="s">
        <v>496</v>
      </c>
      <c r="B463" s="2" t="s">
        <v>30</v>
      </c>
      <c r="C463" s="2" t="s">
        <v>31</v>
      </c>
      <c r="D463" s="2" t="s">
        <v>431</v>
      </c>
      <c r="E463" s="6">
        <v>1</v>
      </c>
      <c r="F463" s="6">
        <v>0</v>
      </c>
      <c r="G463" s="7">
        <v>0.9116498231887816</v>
      </c>
      <c r="H463" s="7">
        <v>39.3359484375</v>
      </c>
      <c r="I463" s="7">
        <v>30.98532978027295</v>
      </c>
      <c r="J463" s="7">
        <v>8.018227585541704</v>
      </c>
      <c r="K463" s="7">
        <v>7.311444404278061</v>
      </c>
      <c r="L463" s="7">
        <v>0.701619161563415</v>
      </c>
      <c r="M463" s="7">
        <v>0.5148577382402151</v>
      </c>
      <c r="N463" s="7">
        <v>0.4527860904978448</v>
      </c>
      <c r="O463" s="7">
        <v>0.2684808607613383</v>
      </c>
      <c r="P463" s="7">
        <v>8.122168381925139</v>
      </c>
      <c r="Q463" s="7">
        <v>0.0384249389904411</v>
      </c>
      <c r="R463" s="7">
        <v>0.1131606492971655</v>
      </c>
      <c r="S463" s="7">
        <v>0.1663568964633929</v>
      </c>
      <c r="T463" s="7">
        <v>1.754258512788353</v>
      </c>
    </row>
    <row x14ac:dyDescent="0.25" r="464" customHeight="1" ht="19.5">
      <c r="A464" s="2" t="s">
        <v>497</v>
      </c>
      <c r="B464" s="2" t="s">
        <v>30</v>
      </c>
      <c r="C464" s="2" t="s">
        <v>31</v>
      </c>
      <c r="D464" s="2" t="s">
        <v>431</v>
      </c>
      <c r="E464" s="6">
        <v>1</v>
      </c>
      <c r="F464" s="6">
        <v>0</v>
      </c>
      <c r="G464" s="7">
        <v>0.912498414516449</v>
      </c>
      <c r="H464" s="7">
        <v>38.802603125</v>
      </c>
      <c r="I464" s="7">
        <v>31.7259989012077</v>
      </c>
      <c r="J464" s="7">
        <v>7.867205142809993</v>
      </c>
      <c r="K464" s="7">
        <v>7.247520370234167</v>
      </c>
      <c r="L464" s="7">
        <v>0.6956073383502044</v>
      </c>
      <c r="M464" s="7">
        <v>0.4843104201648015</v>
      </c>
      <c r="N464" s="7">
        <v>0.4549578549675063</v>
      </c>
      <c r="O464" s="7">
        <v>0.2725145149500963</v>
      </c>
      <c r="P464" s="7">
        <v>8.0875438211032</v>
      </c>
      <c r="Q464" s="7">
        <v>0.038464873208964</v>
      </c>
      <c r="R464" s="7">
        <v>0.1132080409947576</v>
      </c>
      <c r="S464" s="7">
        <v>0.1674865863590892</v>
      </c>
      <c r="T464" s="7">
        <v>1.732271447448964</v>
      </c>
    </row>
    <row x14ac:dyDescent="0.25" r="465" customHeight="1" ht="19.5">
      <c r="A465" s="2" t="s">
        <v>498</v>
      </c>
      <c r="B465" s="2" t="s">
        <v>30</v>
      </c>
      <c r="C465" s="2" t="s">
        <v>31</v>
      </c>
      <c r="D465" s="2" t="s">
        <v>431</v>
      </c>
      <c r="E465" s="6">
        <v>1</v>
      </c>
      <c r="F465" s="6">
        <v>0</v>
      </c>
      <c r="G465" s="7">
        <v>0.909400761127472</v>
      </c>
      <c r="H465" s="7">
        <v>39.04849609375</v>
      </c>
      <c r="I465" s="7">
        <v>31.98995613813255</v>
      </c>
      <c r="J465" s="7">
        <v>7.960057827473795</v>
      </c>
      <c r="K465" s="7">
        <v>7.309485213232437</v>
      </c>
      <c r="L465" s="7">
        <v>0.694935769713625</v>
      </c>
      <c r="M465" s="7">
        <v>0.4794980959815672</v>
      </c>
      <c r="N465" s="7">
        <v>0.4553633815745528</v>
      </c>
      <c r="O465" s="7">
        <v>0.2701189942861335</v>
      </c>
      <c r="P465" s="7">
        <v>8.102364365866439</v>
      </c>
      <c r="Q465" s="7">
        <v>0.0392328964227927</v>
      </c>
      <c r="R465" s="7">
        <v>0.1144551403014839</v>
      </c>
      <c r="S465" s="7">
        <v>0.1640549407336624</v>
      </c>
      <c r="T465" s="7">
        <v>1.778056118668955</v>
      </c>
    </row>
    <row x14ac:dyDescent="0.25" r="466" customHeight="1" ht="19.5">
      <c r="A466" s="2" t="s">
        <v>499</v>
      </c>
      <c r="B466" s="2" t="s">
        <v>30</v>
      </c>
      <c r="C466" s="2" t="s">
        <v>31</v>
      </c>
      <c r="D466" s="2" t="s">
        <v>431</v>
      </c>
      <c r="E466" s="6">
        <v>1</v>
      </c>
      <c r="F466" s="6">
        <v>0</v>
      </c>
      <c r="G466" s="7">
        <v>0.9099235534667968</v>
      </c>
      <c r="H466" s="7">
        <v>39.18010078125</v>
      </c>
      <c r="I466" s="7">
        <v>31.51915894187922</v>
      </c>
      <c r="J466" s="7">
        <v>7.972324700272732</v>
      </c>
      <c r="K466" s="7">
        <v>7.28585721805186</v>
      </c>
      <c r="L466" s="7">
        <v>0.69823643792017</v>
      </c>
      <c r="M466" s="7">
        <v>0.4955941511302539</v>
      </c>
      <c r="N466" s="7">
        <v>0.4526604918639752</v>
      </c>
      <c r="O466" s="7">
        <v>0.2706618481948113</v>
      </c>
      <c r="P466" s="7">
        <v>8.111566065819172</v>
      </c>
      <c r="Q466" s="7">
        <v>0.0381836729312016</v>
      </c>
      <c r="R466" s="7">
        <v>0.1131577423873705</v>
      </c>
      <c r="S466" s="7">
        <v>0.1658863404633777</v>
      </c>
      <c r="T466" s="7">
        <v>1.736337041451408</v>
      </c>
    </row>
    <row x14ac:dyDescent="0.25" r="467" customHeight="1" ht="19.5">
      <c r="A467" s="2" t="s">
        <v>500</v>
      </c>
      <c r="B467" s="2" t="s">
        <v>30</v>
      </c>
      <c r="C467" s="2" t="s">
        <v>31</v>
      </c>
      <c r="D467" s="2" t="s">
        <v>431</v>
      </c>
      <c r="E467" s="6">
        <v>1</v>
      </c>
      <c r="F467" s="6">
        <v>0</v>
      </c>
      <c r="G467" s="7">
        <v>0.9113462567329408</v>
      </c>
      <c r="H467" s="7">
        <v>39.21127031250001</v>
      </c>
      <c r="I467" s="7">
        <v>31.63685824094255</v>
      </c>
      <c r="J467" s="7">
        <v>7.937057829265652</v>
      </c>
      <c r="K467" s="7">
        <v>7.356913652471103</v>
      </c>
      <c r="L467" s="7">
        <v>0.6977232276469576</v>
      </c>
      <c r="M467" s="7">
        <v>0.4923048101980783</v>
      </c>
      <c r="N467" s="7">
        <v>0.4558705567570398</v>
      </c>
      <c r="O467" s="7">
        <v>0.271268450755966</v>
      </c>
      <c r="P467" s="7">
        <v>8.090530388864877</v>
      </c>
      <c r="Q467" s="7">
        <v>0.0384534715600947</v>
      </c>
      <c r="R467" s="7">
        <v>0.1129325276929957</v>
      </c>
      <c r="S467" s="7">
        <v>0.1652383937152811</v>
      </c>
      <c r="T467" s="7">
        <v>1.749996765803424</v>
      </c>
    </row>
    <row x14ac:dyDescent="0.25" r="468" customHeight="1" ht="19.5">
      <c r="A468" s="2" t="s">
        <v>501</v>
      </c>
      <c r="B468" s="2" t="s">
        <v>30</v>
      </c>
      <c r="C468" s="2" t="s">
        <v>31</v>
      </c>
      <c r="D468" s="2" t="s">
        <v>431</v>
      </c>
      <c r="E468" s="6">
        <v>1</v>
      </c>
      <c r="F468" s="6">
        <v>0</v>
      </c>
      <c r="G468" s="7">
        <v>0.9122582674026488</v>
      </c>
      <c r="H468" s="7">
        <v>38.66060859375001</v>
      </c>
      <c r="I468" s="7">
        <v>30.97105046087385</v>
      </c>
      <c r="J468" s="7">
        <v>7.840887737010104</v>
      </c>
      <c r="K468" s="7">
        <v>7.262630619626584</v>
      </c>
      <c r="L468" s="7">
        <v>0.6892629932227544</v>
      </c>
      <c r="M468" s="7">
        <v>0.506485106074214</v>
      </c>
      <c r="N468" s="7">
        <v>0.4595178297019141</v>
      </c>
      <c r="O468" s="7">
        <v>0.2764642647410331</v>
      </c>
      <c r="P468" s="7">
        <v>8.029484948761898</v>
      </c>
      <c r="Q468" s="7">
        <v>0.0383479830045064</v>
      </c>
      <c r="R468" s="7">
        <v>0.1138208735394535</v>
      </c>
      <c r="S468" s="7">
        <v>0.163714913296165</v>
      </c>
      <c r="T468" s="7">
        <v>1.720687456076183</v>
      </c>
    </row>
    <row x14ac:dyDescent="0.25" r="469" customHeight="1" ht="19.5">
      <c r="A469" s="2" t="s">
        <v>502</v>
      </c>
      <c r="B469" s="2" t="s">
        <v>30</v>
      </c>
      <c r="C469" s="2" t="s">
        <v>31</v>
      </c>
      <c r="D469" s="2" t="s">
        <v>431</v>
      </c>
      <c r="E469" s="6">
        <v>1</v>
      </c>
      <c r="F469" s="6">
        <v>0</v>
      </c>
      <c r="G469" s="7">
        <v>0.9125816822052002</v>
      </c>
      <c r="H469" s="7">
        <v>38.83377265625001</v>
      </c>
      <c r="I469" s="7">
        <v>30.9588622993854</v>
      </c>
      <c r="J469" s="7">
        <v>7.968226435711246</v>
      </c>
      <c r="K469" s="7">
        <v>7.252292205920344</v>
      </c>
      <c r="L469" s="7">
        <v>0.7074630394920002</v>
      </c>
      <c r="M469" s="7">
        <v>0.5091543549939387</v>
      </c>
      <c r="N469" s="7">
        <v>0.4542036720272856</v>
      </c>
      <c r="O469" s="7">
        <v>0.2692904049733674</v>
      </c>
      <c r="P469" s="7">
        <v>8.102820972713527</v>
      </c>
      <c r="Q469" s="7">
        <v>0.0382645560966658</v>
      </c>
      <c r="R469" s="7">
        <v>0.1148822421713885</v>
      </c>
      <c r="S469" s="7">
        <v>0.1630316759773167</v>
      </c>
      <c r="T469" s="7">
        <v>1.724634395856516</v>
      </c>
    </row>
    <row x14ac:dyDescent="0.25" r="470" customHeight="1" ht="19.5">
      <c r="A470" s="2" t="s">
        <v>503</v>
      </c>
      <c r="B470" s="2" t="s">
        <v>30</v>
      </c>
      <c r="C470" s="2" t="s">
        <v>31</v>
      </c>
      <c r="D470" s="2" t="s">
        <v>431</v>
      </c>
      <c r="E470" s="6">
        <v>1</v>
      </c>
      <c r="F470" s="6">
        <v>0</v>
      </c>
      <c r="G470" s="7">
        <v>0.8994757533073425</v>
      </c>
      <c r="H470" s="7">
        <v>36.38869609375</v>
      </c>
      <c r="I470" s="7">
        <v>31.7259989012077</v>
      </c>
      <c r="J470" s="7">
        <v>7.804738318376794</v>
      </c>
      <c r="K470" s="7">
        <v>7.183632931251926</v>
      </c>
      <c r="L470" s="7">
        <v>0.6469700595454899</v>
      </c>
      <c r="M470" s="7">
        <v>0.4543031501358423</v>
      </c>
      <c r="N470" s="7">
        <v>0.5142292040960228</v>
      </c>
      <c r="O470" s="7">
        <v>0.3114943234609671</v>
      </c>
      <c r="P470" s="7">
        <v>7.468913424675137</v>
      </c>
      <c r="Q470" s="7">
        <v>0.036465928269846</v>
      </c>
      <c r="R470" s="7">
        <v>0.1013836771912412</v>
      </c>
      <c r="S470" s="7">
        <v>0.1449137434001214</v>
      </c>
      <c r="T470" s="7">
        <v>1.540084490623656</v>
      </c>
    </row>
    <row x14ac:dyDescent="0.25" r="471" customHeight="1" ht="19.5">
      <c r="A471" s="2" t="s">
        <v>504</v>
      </c>
      <c r="B471" s="2" t="s">
        <v>30</v>
      </c>
      <c r="C471" s="2" t="s">
        <v>31</v>
      </c>
      <c r="D471" s="2" t="s">
        <v>431</v>
      </c>
      <c r="E471" s="6">
        <v>1</v>
      </c>
      <c r="F471" s="6">
        <v>0</v>
      </c>
      <c r="G471" s="7">
        <v>0.4106477797031402</v>
      </c>
      <c r="H471" s="7">
        <v>52.91547421875001</v>
      </c>
      <c r="I471" s="7">
        <v>41.08864907852392</v>
      </c>
      <c r="J471" s="7">
        <v>10.94196789681191</v>
      </c>
      <c r="K471" s="7">
        <v>8.354578515863453</v>
      </c>
      <c r="L471" s="7">
        <v>0.7277699932355851</v>
      </c>
      <c r="M471" s="7">
        <v>0.3934280764867751</v>
      </c>
      <c r="N471" s="7">
        <v>0.6220538347801342</v>
      </c>
      <c r="O471" s="7">
        <v>0.2041882847612163</v>
      </c>
      <c r="P471" s="7">
        <v>7.223471443427058</v>
      </c>
      <c r="Q471" s="7">
        <v>0.0294422645750499</v>
      </c>
      <c r="R471" s="7">
        <v>0.0660136076252111</v>
      </c>
      <c r="S471" s="7">
        <v>0.0849897455473007</v>
      </c>
      <c r="T471" s="7">
        <v>1.808192583756772</v>
      </c>
    </row>
    <row x14ac:dyDescent="0.25" r="472" customHeight="1" ht="19.5">
      <c r="A472" s="2" t="s">
        <v>505</v>
      </c>
      <c r="B472" s="2" t="s">
        <v>30</v>
      </c>
      <c r="C472" s="2" t="s">
        <v>31</v>
      </c>
      <c r="D472" s="2" t="s">
        <v>431</v>
      </c>
      <c r="E472" s="6">
        <v>1</v>
      </c>
      <c r="F472" s="6">
        <v>0</v>
      </c>
      <c r="G472" s="7">
        <v>0.8137701749801636</v>
      </c>
      <c r="H472" s="7">
        <v>32.46133515625</v>
      </c>
      <c r="I472" s="7">
        <v>28.13198796395477</v>
      </c>
      <c r="J472" s="7">
        <v>7.832514637524041</v>
      </c>
      <c r="K472" s="7">
        <v>6.602674779928712</v>
      </c>
      <c r="L472" s="7">
        <v>0.7090513264474055</v>
      </c>
      <c r="M472" s="7">
        <v>0.5150518284341888</v>
      </c>
      <c r="N472" s="7">
        <v>0.6026978190966978</v>
      </c>
      <c r="O472" s="7">
        <v>0.3266410541671759</v>
      </c>
      <c r="P472" s="7">
        <v>6.708254867699949</v>
      </c>
      <c r="Q472" s="7">
        <v>0.0357773831781544</v>
      </c>
      <c r="R472" s="7">
        <v>0.082306798188463</v>
      </c>
      <c r="S472" s="7">
        <v>0.1138380771581531</v>
      </c>
      <c r="T472" s="7">
        <v>1.347925008696568</v>
      </c>
    </row>
    <row x14ac:dyDescent="0.25" r="473" customHeight="1" ht="19.5">
      <c r="A473" s="2" t="s">
        <v>506</v>
      </c>
      <c r="B473" s="2" t="s">
        <v>30</v>
      </c>
      <c r="C473" s="2" t="s">
        <v>31</v>
      </c>
      <c r="D473" s="2" t="s">
        <v>431</v>
      </c>
      <c r="E473" s="6">
        <v>1</v>
      </c>
      <c r="F473" s="6">
        <v>0</v>
      </c>
      <c r="G473" s="7">
        <v>0.8926469087600708</v>
      </c>
      <c r="H473" s="7">
        <v>32.02496171875</v>
      </c>
      <c r="I473" s="7">
        <v>27.55149731430529</v>
      </c>
      <c r="J473" s="7">
        <v>7.722955310269881</v>
      </c>
      <c r="K473" s="7">
        <v>6.904102660224741</v>
      </c>
      <c r="L473" s="7">
        <v>0.6717594714895734</v>
      </c>
      <c r="M473" s="7">
        <v>0.5301613595445821</v>
      </c>
      <c r="N473" s="7">
        <v>0.5619676466792203</v>
      </c>
      <c r="O473" s="7">
        <v>0.3376367951336398</v>
      </c>
      <c r="P473" s="7">
        <v>6.956189590775047</v>
      </c>
      <c r="Q473" s="7">
        <v>0.0361009061477609</v>
      </c>
      <c r="R473" s="7">
        <v>0.0983653995413877</v>
      </c>
      <c r="S473" s="7">
        <v>0.1385160201887642</v>
      </c>
      <c r="T473" s="7">
        <v>1.341830015329422</v>
      </c>
    </row>
    <row x14ac:dyDescent="0.25" r="474" customHeight="1" ht="19.5">
      <c r="A474" s="2" t="s">
        <v>507</v>
      </c>
      <c r="B474" s="2" t="s">
        <v>30</v>
      </c>
      <c r="C474" s="2" t="s">
        <v>31</v>
      </c>
      <c r="D474" s="2" t="s">
        <v>431</v>
      </c>
      <c r="E474" s="6">
        <v>1</v>
      </c>
      <c r="F474" s="6">
        <v>0</v>
      </c>
      <c r="G474" s="7">
        <v>0.906285047531128</v>
      </c>
      <c r="H474" s="7">
        <v>37.3272453125</v>
      </c>
      <c r="I474" s="7">
        <v>30.1227790444536</v>
      </c>
      <c r="J474" s="7">
        <v>7.722221902117645</v>
      </c>
      <c r="K474" s="7">
        <v>7.309187139098954</v>
      </c>
      <c r="L474" s="7">
        <v>0.6551580398307528</v>
      </c>
      <c r="M474" s="7">
        <v>0.5169466586560135</v>
      </c>
      <c r="N474" s="7">
        <v>0.4992929659236045</v>
      </c>
      <c r="O474" s="7">
        <v>0.2995870858523367</v>
      </c>
      <c r="P474" s="7">
        <v>7.594868081760316</v>
      </c>
      <c r="Q474" s="7">
        <v>0.0414494998140967</v>
      </c>
      <c r="R474" s="7">
        <v>0.1129586495484746</v>
      </c>
      <c r="S474" s="7">
        <v>0.1720092867586882</v>
      </c>
      <c r="T474" s="7">
        <v>1.795709230685076</v>
      </c>
    </row>
    <row x14ac:dyDescent="0.25" r="475" customHeight="1" ht="19.5">
      <c r="A475" s="2" t="s">
        <v>508</v>
      </c>
      <c r="B475" s="2" t="s">
        <v>30</v>
      </c>
      <c r="C475" s="2" t="s">
        <v>31</v>
      </c>
      <c r="D475" s="2" t="s">
        <v>431</v>
      </c>
      <c r="E475" s="6">
        <v>1</v>
      </c>
      <c r="F475" s="6">
        <v>0</v>
      </c>
      <c r="G475" s="7">
        <v>0.9077279567718506</v>
      </c>
      <c r="H475" s="7">
        <v>38.93420781250001</v>
      </c>
      <c r="I475" s="7">
        <v>30.29514567722733</v>
      </c>
      <c r="J475" s="7">
        <v>7.861269574034095</v>
      </c>
      <c r="K475" s="7">
        <v>7.279622429006723</v>
      </c>
      <c r="L475" s="7">
        <v>0.6707516423783794</v>
      </c>
      <c r="M475" s="7">
        <v>0.5330833475582402</v>
      </c>
      <c r="N475" s="7">
        <v>0.4695348986477067</v>
      </c>
      <c r="O475" s="7">
        <v>0.2745226645451251</v>
      </c>
      <c r="P475" s="7">
        <v>7.87405254978956</v>
      </c>
      <c r="Q475" s="7">
        <v>0.0429248446543615</v>
      </c>
      <c r="R475" s="7">
        <v>0.1189877584227489</v>
      </c>
      <c r="S475" s="7">
        <v>0.1756709697751355</v>
      </c>
      <c r="T475" s="7">
        <v>1.939683425519509</v>
      </c>
    </row>
    <row x14ac:dyDescent="0.25" r="476" customHeight="1" ht="19.5">
      <c r="A476" s="2" t="s">
        <v>509</v>
      </c>
      <c r="B476" s="2" t="s">
        <v>30</v>
      </c>
      <c r="C476" s="2" t="s">
        <v>31</v>
      </c>
      <c r="D476" s="2" t="s">
        <v>431</v>
      </c>
      <c r="E476" s="6">
        <v>1</v>
      </c>
      <c r="F476" s="6">
        <v>0</v>
      </c>
      <c r="G476" s="7">
        <v>0.9101380109786988</v>
      </c>
      <c r="H476" s="7">
        <v>38.48398125</v>
      </c>
      <c r="I476" s="7">
        <v>29.64188484462245</v>
      </c>
      <c r="J476" s="7">
        <v>7.833920548679815</v>
      </c>
      <c r="K476" s="7">
        <v>7.255930711692905</v>
      </c>
      <c r="L476" s="7">
        <v>0.6788423255212359</v>
      </c>
      <c r="M476" s="7">
        <v>0.550399748635399</v>
      </c>
      <c r="N476" s="7">
        <v>0.473930740780432</v>
      </c>
      <c r="O476" s="7">
        <v>0.2823963080895327</v>
      </c>
      <c r="P476" s="7">
        <v>7.8145598816501</v>
      </c>
      <c r="Q476" s="7">
        <v>0.0423155519562294</v>
      </c>
      <c r="R476" s="7">
        <v>0.1200869356577248</v>
      </c>
      <c r="S476" s="7">
        <v>0.1763938399183099</v>
      </c>
      <c r="T476" s="7">
        <v>1.890039081984299</v>
      </c>
    </row>
    <row x14ac:dyDescent="0.25" r="477" customHeight="1" ht="19.5">
      <c r="A477" s="2" t="s">
        <v>510</v>
      </c>
      <c r="B477" s="2" t="s">
        <v>30</v>
      </c>
      <c r="C477" s="2" t="s">
        <v>31</v>
      </c>
      <c r="D477" s="2" t="s">
        <v>431</v>
      </c>
      <c r="E477" s="6">
        <v>1</v>
      </c>
      <c r="F477" s="6">
        <v>0</v>
      </c>
      <c r="G477" s="7">
        <v>0.9072557091712952</v>
      </c>
      <c r="H477" s="7">
        <v>39.33941171875</v>
      </c>
      <c r="I477" s="7">
        <v>29.86891881110658</v>
      </c>
      <c r="J477" s="7">
        <v>7.937398540464578</v>
      </c>
      <c r="K477" s="7">
        <v>7.382382560059308</v>
      </c>
      <c r="L477" s="7">
        <v>0.6633874747489696</v>
      </c>
      <c r="M477" s="7">
        <v>0.5537720131616847</v>
      </c>
      <c r="N477" s="7">
        <v>0.4696159182667551</v>
      </c>
      <c r="O477" s="7">
        <v>0.2727655412805752</v>
      </c>
      <c r="P477" s="7">
        <v>7.896104662579919</v>
      </c>
      <c r="Q477" s="7">
        <v>0.0448235267065078</v>
      </c>
      <c r="R477" s="7">
        <v>0.1226290743776679</v>
      </c>
      <c r="S477" s="7">
        <v>0.1817761066024227</v>
      </c>
      <c r="T477" s="7">
        <v>2.046560864343221</v>
      </c>
    </row>
    <row x14ac:dyDescent="0.25" r="478" customHeight="1" ht="19.5">
      <c r="A478" s="2" t="s">
        <v>511</v>
      </c>
      <c r="B478" s="2" t="s">
        <v>30</v>
      </c>
      <c r="C478" s="2" t="s">
        <v>31</v>
      </c>
      <c r="D478" s="2" t="s">
        <v>431</v>
      </c>
      <c r="E478" s="6">
        <v>1</v>
      </c>
      <c r="F478" s="6">
        <v>0</v>
      </c>
      <c r="G478" s="7">
        <v>0.9074037075042723</v>
      </c>
      <c r="H478" s="7">
        <v>39.1142984375</v>
      </c>
      <c r="I478" s="7">
        <v>29.75121951204325</v>
      </c>
      <c r="J478" s="7">
        <v>7.935733870140496</v>
      </c>
      <c r="K478" s="7">
        <v>7.368333954526474</v>
      </c>
      <c r="L478" s="7">
        <v>0.6739762799526802</v>
      </c>
      <c r="M478" s="7">
        <v>0.5553104733233182</v>
      </c>
      <c r="N478" s="7">
        <v>0.4732437023849344</v>
      </c>
      <c r="O478" s="7">
        <v>0.2773340994786823</v>
      </c>
      <c r="P478" s="7">
        <v>7.851675947870526</v>
      </c>
      <c r="Q478" s="7">
        <v>0.0426438079068719</v>
      </c>
      <c r="R478" s="7">
        <v>0.1186774449781839</v>
      </c>
      <c r="S478" s="7">
        <v>0.1810954068034257</v>
      </c>
      <c r="T478" s="7">
        <v>1.935897252587008</v>
      </c>
    </row>
    <row x14ac:dyDescent="0.25" r="479" customHeight="1" ht="19.5">
      <c r="A479" s="2" t="s">
        <v>512</v>
      </c>
      <c r="B479" s="2" t="s">
        <v>30</v>
      </c>
      <c r="C479" s="2" t="s">
        <v>31</v>
      </c>
      <c r="D479" s="2" t="s">
        <v>431</v>
      </c>
      <c r="E479" s="6">
        <v>1</v>
      </c>
      <c r="F479" s="6">
        <v>0</v>
      </c>
      <c r="G479" s="7">
        <v>0.9086944460868835</v>
      </c>
      <c r="H479" s="7">
        <v>39.190490625</v>
      </c>
      <c r="I479" s="7">
        <v>30.30141915095924</v>
      </c>
      <c r="J479" s="7">
        <v>7.9569935870668</v>
      </c>
      <c r="K479" s="7">
        <v>7.398037518183409</v>
      </c>
      <c r="L479" s="7">
        <v>0.6596686655364418</v>
      </c>
      <c r="M479" s="7">
        <v>0.5363701821634134</v>
      </c>
      <c r="N479" s="7">
        <v>0.4713910947783096</v>
      </c>
      <c r="O479" s="7">
        <v>0.2757318640957296</v>
      </c>
      <c r="P479" s="7">
        <v>7.871042676692832</v>
      </c>
      <c r="Q479" s="7">
        <v>0.0430818640032725</v>
      </c>
      <c r="R479" s="7">
        <v>0.119489573563199</v>
      </c>
      <c r="S479" s="7">
        <v>0.1811478288308743</v>
      </c>
      <c r="T479" s="7">
        <v>1.959593390486702</v>
      </c>
    </row>
    <row x14ac:dyDescent="0.25" r="480" customHeight="1" ht="19.5">
      <c r="A480" s="2" t="s">
        <v>513</v>
      </c>
      <c r="B480" s="2" t="s">
        <v>30</v>
      </c>
      <c r="C480" s="2" t="s">
        <v>31</v>
      </c>
      <c r="D480" s="2" t="s">
        <v>431</v>
      </c>
      <c r="E480" s="6">
        <v>1</v>
      </c>
      <c r="F480" s="6">
        <v>0</v>
      </c>
      <c r="G480" s="7">
        <v>0.9089118242263794</v>
      </c>
      <c r="H480" s="7">
        <v>39.26321953125</v>
      </c>
      <c r="I480" s="7">
        <v>30.23038133993911</v>
      </c>
      <c r="J480" s="7">
        <v>7.935350752956127</v>
      </c>
      <c r="K480" s="7">
        <v>7.386892538172081</v>
      </c>
      <c r="L480" s="7">
        <v>0.6601113567925153</v>
      </c>
      <c r="M480" s="7">
        <v>0.5398940249230431</v>
      </c>
      <c r="N480" s="7">
        <v>0.4725258329755729</v>
      </c>
      <c r="O480" s="7">
        <v>0.274669418687722</v>
      </c>
      <c r="P480" s="7">
        <v>7.87749710068239</v>
      </c>
      <c r="Q480" s="7">
        <v>0.0434412584587089</v>
      </c>
      <c r="R480" s="7">
        <v>0.121803785528475</v>
      </c>
      <c r="S480" s="7">
        <v>0.1767260898546981</v>
      </c>
      <c r="T480" s="7">
        <v>1.979607480669261</v>
      </c>
    </row>
    <row x14ac:dyDescent="0.25" r="481" customHeight="1" ht="19.5">
      <c r="A481" s="2" t="s">
        <v>514</v>
      </c>
      <c r="B481" s="2" t="s">
        <v>30</v>
      </c>
      <c r="C481" s="2" t="s">
        <v>31</v>
      </c>
      <c r="D481" s="2" t="s">
        <v>431</v>
      </c>
      <c r="E481" s="6">
        <v>1</v>
      </c>
      <c r="F481" s="6">
        <v>0</v>
      </c>
      <c r="G481" s="7">
        <v>0.9110844731330872</v>
      </c>
      <c r="H481" s="7">
        <v>38.96884062500001</v>
      </c>
      <c r="I481" s="7">
        <v>29.18500818179287</v>
      </c>
      <c r="J481" s="7">
        <v>7.902930404902669</v>
      </c>
      <c r="K481" s="7">
        <v>7.297690914639847</v>
      </c>
      <c r="L481" s="7">
        <v>0.6708977383047865</v>
      </c>
      <c r="M481" s="7">
        <v>0.5749203884914973</v>
      </c>
      <c r="N481" s="7">
        <v>0.4707481991970477</v>
      </c>
      <c r="O481" s="7">
        <v>0.2747839962480252</v>
      </c>
      <c r="P481" s="7">
        <v>7.864108251679317</v>
      </c>
      <c r="Q481" s="7">
        <v>0.0427299586245221</v>
      </c>
      <c r="R481" s="7">
        <v>0.120030171278786</v>
      </c>
      <c r="S481" s="7">
        <v>0.1801764459252204</v>
      </c>
      <c r="T481" s="7">
        <v>1.932594492255846</v>
      </c>
    </row>
    <row x14ac:dyDescent="0.25" r="482" customHeight="1" ht="19.5">
      <c r="A482" s="2" t="s">
        <v>515</v>
      </c>
      <c r="B482" s="2" t="s">
        <v>30</v>
      </c>
      <c r="C482" s="2" t="s">
        <v>31</v>
      </c>
      <c r="D482" s="2" t="s">
        <v>431</v>
      </c>
      <c r="E482" s="6">
        <v>1</v>
      </c>
      <c r="F482" s="6">
        <v>0</v>
      </c>
      <c r="G482" s="7">
        <v>0.9083955883979796</v>
      </c>
      <c r="H482" s="7">
        <v>38.98615703125</v>
      </c>
      <c r="I482" s="7">
        <v>30.14506420951989</v>
      </c>
      <c r="J482" s="7">
        <v>7.932497209393796</v>
      </c>
      <c r="K482" s="7">
        <v>7.374806799960158</v>
      </c>
      <c r="L482" s="7">
        <v>0.6647826811396871</v>
      </c>
      <c r="M482" s="7">
        <v>0.5391230064622137</v>
      </c>
      <c r="N482" s="7">
        <v>0.4738382320910563</v>
      </c>
      <c r="O482" s="7">
        <v>0.279878539378752</v>
      </c>
      <c r="P482" s="7">
        <v>7.833049424147989</v>
      </c>
      <c r="Q482" s="7">
        <v>0.0430279012950431</v>
      </c>
      <c r="R482" s="7">
        <v>0.1196930276442368</v>
      </c>
      <c r="S482" s="7">
        <v>0.1785038883278303</v>
      </c>
      <c r="T482" s="7">
        <v>1.946934636922436</v>
      </c>
    </row>
    <row x14ac:dyDescent="0.25" r="483" customHeight="1" ht="19.5">
      <c r="A483" s="2" t="s">
        <v>516</v>
      </c>
      <c r="B483" s="2" t="s">
        <v>30</v>
      </c>
      <c r="C483" s="2" t="s">
        <v>31</v>
      </c>
      <c r="D483" s="2" t="s">
        <v>431</v>
      </c>
      <c r="E483" s="6">
        <v>1</v>
      </c>
      <c r="F483" s="6">
        <v>0</v>
      </c>
      <c r="G483" s="7">
        <v>0.9097423553466796</v>
      </c>
      <c r="H483" s="7">
        <v>38.87186875</v>
      </c>
      <c r="I483" s="7">
        <v>30.09631156356605</v>
      </c>
      <c r="J483" s="7">
        <v>7.87159709662656</v>
      </c>
      <c r="K483" s="7">
        <v>7.351767217177141</v>
      </c>
      <c r="L483" s="7">
        <v>0.6701229321594656</v>
      </c>
      <c r="M483" s="7">
        <v>0.5392854901022424</v>
      </c>
      <c r="N483" s="7">
        <v>0.4755551445047818</v>
      </c>
      <c r="O483" s="7">
        <v>0.281374047172381</v>
      </c>
      <c r="P483" s="7">
        <v>7.813629273469386</v>
      </c>
      <c r="Q483" s="7">
        <v>0.043599886462243</v>
      </c>
      <c r="R483" s="7">
        <v>0.1206695559843045</v>
      </c>
      <c r="S483" s="7">
        <v>0.1778751252553386</v>
      </c>
      <c r="T483" s="7">
        <v>1.967032602016692</v>
      </c>
    </row>
    <row x14ac:dyDescent="0.25" r="484" customHeight="1" ht="19.5">
      <c r="A484" s="2" t="s">
        <v>517</v>
      </c>
      <c r="B484" s="2" t="s">
        <v>30</v>
      </c>
      <c r="C484" s="2" t="s">
        <v>31</v>
      </c>
      <c r="D484" s="2" t="s">
        <v>431</v>
      </c>
      <c r="E484" s="6">
        <v>1</v>
      </c>
      <c r="F484" s="6">
        <v>0</v>
      </c>
      <c r="G484" s="7">
        <v>0.9094296097755432</v>
      </c>
      <c r="H484" s="7">
        <v>38.91689140625</v>
      </c>
      <c r="I484" s="7">
        <v>29.63352021297992</v>
      </c>
      <c r="J484" s="7">
        <v>7.872354083955315</v>
      </c>
      <c r="K484" s="7">
        <v>7.347865007233098</v>
      </c>
      <c r="L484" s="7">
        <v>0.6690648314525689</v>
      </c>
      <c r="M484" s="7">
        <v>0.5569055120283897</v>
      </c>
      <c r="N484" s="7">
        <v>0.4750620084567353</v>
      </c>
      <c r="O484" s="7">
        <v>0.280945823614296</v>
      </c>
      <c r="P484" s="7">
        <v>7.819243743549926</v>
      </c>
      <c r="Q484" s="7">
        <v>0.0439641644546364</v>
      </c>
      <c r="R484" s="7">
        <v>0.1219682569866471</v>
      </c>
      <c r="S484" s="7">
        <v>0.1753062887133719</v>
      </c>
      <c r="T484" s="7">
        <v>1.985764517756993</v>
      </c>
    </row>
    <row x14ac:dyDescent="0.25" r="485" customHeight="1" ht="19.5">
      <c r="A485" s="2" t="s">
        <v>518</v>
      </c>
      <c r="B485" s="2" t="s">
        <v>30</v>
      </c>
      <c r="C485" s="2" t="s">
        <v>31</v>
      </c>
      <c r="D485" s="2" t="s">
        <v>431</v>
      </c>
      <c r="E485" s="6">
        <v>1</v>
      </c>
      <c r="F485" s="6">
        <v>0</v>
      </c>
      <c r="G485" s="7">
        <v>0.9103288054466248</v>
      </c>
      <c r="H485" s="7">
        <v>38.80606640625</v>
      </c>
      <c r="I485" s="7">
        <v>29.46706826796274</v>
      </c>
      <c r="J485" s="7">
        <v>7.865006547305411</v>
      </c>
      <c r="K485" s="7">
        <v>7.314790193042016</v>
      </c>
      <c r="L485" s="7">
        <v>0.6619923683869058</v>
      </c>
      <c r="M485" s="7">
        <v>0.5610095715245292</v>
      </c>
      <c r="N485" s="7">
        <v>0.4679078543042265</v>
      </c>
      <c r="O485" s="7">
        <v>0.2691131536734009</v>
      </c>
      <c r="P485" s="7">
        <v>7.925510314651878</v>
      </c>
      <c r="Q485" s="7">
        <v>0.0442552629351104</v>
      </c>
      <c r="R485" s="7">
        <v>0.1222556064285135</v>
      </c>
      <c r="S485" s="7">
        <v>0.1765979502555856</v>
      </c>
      <c r="T485" s="7">
        <v>1.993220420993142</v>
      </c>
    </row>
    <row x14ac:dyDescent="0.25" r="486" customHeight="1" ht="19.5">
      <c r="A486" s="2" t="s">
        <v>519</v>
      </c>
      <c r="B486" s="2" t="s">
        <v>30</v>
      </c>
      <c r="C486" s="2" t="s">
        <v>31</v>
      </c>
      <c r="D486" s="2" t="s">
        <v>431</v>
      </c>
      <c r="E486" s="6">
        <v>1</v>
      </c>
      <c r="F486" s="6">
        <v>0</v>
      </c>
      <c r="G486" s="7">
        <v>0.9091777205467224</v>
      </c>
      <c r="H486" s="7">
        <v>38.6848515625</v>
      </c>
      <c r="I486" s="7">
        <v>29.56875587569169</v>
      </c>
      <c r="J486" s="7">
        <v>7.84176773728589</v>
      </c>
      <c r="K486" s="7">
        <v>7.308064098533476</v>
      </c>
      <c r="L486" s="7">
        <v>0.6632183646180594</v>
      </c>
      <c r="M486" s="7">
        <v>0.5560126793870627</v>
      </c>
      <c r="N486" s="7">
        <v>0.4683672284896713</v>
      </c>
      <c r="O486" s="7">
        <v>0.271331384951171</v>
      </c>
      <c r="P486" s="7">
        <v>7.907761126370468</v>
      </c>
      <c r="Q486" s="7">
        <v>0.0427770643565602</v>
      </c>
      <c r="R486" s="7">
        <v>0.1188978765334771</v>
      </c>
      <c r="S486" s="7">
        <v>0.1761812705701986</v>
      </c>
      <c r="T486" s="7">
        <v>1.920625505689243</v>
      </c>
    </row>
    <row x14ac:dyDescent="0.25" r="487" customHeight="1" ht="19.5">
      <c r="A487" s="2" t="s">
        <v>520</v>
      </c>
      <c r="B487" s="2" t="s">
        <v>30</v>
      </c>
      <c r="C487" s="2" t="s">
        <v>31</v>
      </c>
      <c r="D487" s="2" t="s">
        <v>431</v>
      </c>
      <c r="E487" s="6">
        <v>1</v>
      </c>
      <c r="F487" s="6">
        <v>0</v>
      </c>
      <c r="G487" s="7">
        <v>0.9077882766723632</v>
      </c>
      <c r="H487" s="7">
        <v>38.81991953125</v>
      </c>
      <c r="I487" s="7">
        <v>29.53010023331567</v>
      </c>
      <c r="J487" s="7">
        <v>7.891653700594817</v>
      </c>
      <c r="K487" s="7">
        <v>7.360542397127727</v>
      </c>
      <c r="L487" s="7">
        <v>0.6703131463347582</v>
      </c>
      <c r="M487" s="7">
        <v>0.559415702566292</v>
      </c>
      <c r="N487" s="7">
        <v>0.478541154516632</v>
      </c>
      <c r="O487" s="7">
        <v>0.2830516652351424</v>
      </c>
      <c r="P487" s="7">
        <v>7.797886314809516</v>
      </c>
      <c r="Q487" s="7">
        <v>0.0432026594741669</v>
      </c>
      <c r="R487" s="7">
        <v>0.1207560460828883</v>
      </c>
      <c r="S487" s="7">
        <v>0.1802882193407032</v>
      </c>
      <c r="T487" s="7">
        <v>1.946506654919686</v>
      </c>
    </row>
    <row x14ac:dyDescent="0.25" r="488" customHeight="1" ht="19.5">
      <c r="A488" s="2" t="s">
        <v>521</v>
      </c>
      <c r="B488" s="2" t="s">
        <v>30</v>
      </c>
      <c r="C488" s="2" t="s">
        <v>31</v>
      </c>
      <c r="D488" s="2" t="s">
        <v>431</v>
      </c>
      <c r="E488" s="6">
        <v>1</v>
      </c>
      <c r="F488" s="6">
        <v>0</v>
      </c>
      <c r="G488" s="7">
        <v>0.9091376066207886</v>
      </c>
      <c r="H488" s="7">
        <v>38.60519609375</v>
      </c>
      <c r="I488" s="7">
        <v>29.58476756702608</v>
      </c>
      <c r="J488" s="7">
        <v>7.854313953399093</v>
      </c>
      <c r="K488" s="7">
        <v>7.368885608649741</v>
      </c>
      <c r="L488" s="7">
        <v>0.6632626634176035</v>
      </c>
      <c r="M488" s="7">
        <v>0.554217635589066</v>
      </c>
      <c r="N488" s="7">
        <v>0.4734072238735184</v>
      </c>
      <c r="O488" s="7">
        <v>0.2791079419033166</v>
      </c>
      <c r="P488" s="7">
        <v>7.840813746596851</v>
      </c>
      <c r="Q488" s="7">
        <v>0.0435958261707036</v>
      </c>
      <c r="R488" s="7">
        <v>0.1197830865509056</v>
      </c>
      <c r="S488" s="7">
        <v>0.1760737681107858</v>
      </c>
      <c r="T488" s="7">
        <v>1.953356243941897</v>
      </c>
    </row>
    <row x14ac:dyDescent="0.25" r="489" customHeight="1" ht="19.5">
      <c r="A489" s="2" t="s">
        <v>522</v>
      </c>
      <c r="B489" s="2" t="s">
        <v>30</v>
      </c>
      <c r="C489" s="2" t="s">
        <v>31</v>
      </c>
      <c r="D489" s="2" t="s">
        <v>431</v>
      </c>
      <c r="E489" s="6">
        <v>1</v>
      </c>
      <c r="F489" s="6">
        <v>0</v>
      </c>
      <c r="G489" s="7">
        <v>0.910147488117218</v>
      </c>
      <c r="H489" s="7">
        <v>39.051959375</v>
      </c>
      <c r="I489" s="7">
        <v>29.71883734339913</v>
      </c>
      <c r="J489" s="7">
        <v>7.916730907132359</v>
      </c>
      <c r="K489" s="7">
        <v>7.309124674398786</v>
      </c>
      <c r="L489" s="7">
        <v>0.67078693804774</v>
      </c>
      <c r="M489" s="7">
        <v>0.5556343197342529</v>
      </c>
      <c r="N489" s="7">
        <v>0.4708395646579315</v>
      </c>
      <c r="O489" s="7">
        <v>0.2732764146155259</v>
      </c>
      <c r="P489" s="7">
        <v>7.874982474039383</v>
      </c>
      <c r="Q489" s="7">
        <v>0.0423102230498147</v>
      </c>
      <c r="R489" s="7">
        <v>0.1200496640464314</v>
      </c>
      <c r="S489" s="7">
        <v>0.1761019409009738</v>
      </c>
      <c r="T489" s="7">
        <v>1.917692296909477</v>
      </c>
    </row>
    <row x14ac:dyDescent="0.25" r="490" customHeight="1" ht="19.5">
      <c r="A490" s="2" t="s">
        <v>523</v>
      </c>
      <c r="B490" s="2" t="s">
        <v>30</v>
      </c>
      <c r="C490" s="2" t="s">
        <v>31</v>
      </c>
      <c r="D490" s="2" t="s">
        <v>431</v>
      </c>
      <c r="E490" s="6">
        <v>1</v>
      </c>
      <c r="F490" s="6">
        <v>0</v>
      </c>
      <c r="G490" s="7">
        <v>0.9086518287658693</v>
      </c>
      <c r="H490" s="7">
        <v>39.0104</v>
      </c>
      <c r="I490" s="7">
        <v>29.51582091391658</v>
      </c>
      <c r="J490" s="7">
        <v>7.976879794911472</v>
      </c>
      <c r="K490" s="7">
        <v>7.341463973712694</v>
      </c>
      <c r="L490" s="7">
        <v>0.6744027889517694</v>
      </c>
      <c r="M490" s="7">
        <v>0.562704689140223</v>
      </c>
      <c r="N490" s="7">
        <v>0.472568281012955</v>
      </c>
      <c r="O490" s="7">
        <v>0.2744228046200213</v>
      </c>
      <c r="P490" s="7">
        <v>7.873820024919752</v>
      </c>
      <c r="Q490" s="7">
        <v>0.0419740122272248</v>
      </c>
      <c r="R490" s="7">
        <v>0.1195807882911067</v>
      </c>
      <c r="S490" s="7">
        <v>0.1765339839788298</v>
      </c>
      <c r="T490" s="7">
        <v>1.900429084033788</v>
      </c>
    </row>
    <row x14ac:dyDescent="0.25" r="491" customHeight="1" ht="19.5">
      <c r="A491" s="2" t="s">
        <v>524</v>
      </c>
      <c r="B491" s="2" t="s">
        <v>30</v>
      </c>
      <c r="C491" s="2" t="s">
        <v>31</v>
      </c>
      <c r="D491" s="2" t="s">
        <v>431</v>
      </c>
      <c r="E491" s="6">
        <v>1</v>
      </c>
      <c r="F491" s="6">
        <v>0</v>
      </c>
      <c r="G491" s="7">
        <v>0.910788893699646</v>
      </c>
      <c r="H491" s="7">
        <v>38.05799765625</v>
      </c>
      <c r="I491" s="7">
        <v>29.62760552522335</v>
      </c>
      <c r="J491" s="7">
        <v>7.681220433529759</v>
      </c>
      <c r="K491" s="7">
        <v>7.204771733489668</v>
      </c>
      <c r="L491" s="7">
        <v>0.6634835671056772</v>
      </c>
      <c r="M491" s="7">
        <v>0.5448321059007448</v>
      </c>
      <c r="N491" s="7">
        <v>0.4748598175757127</v>
      </c>
      <c r="O491" s="7">
        <v>0.2822881426744017</v>
      </c>
      <c r="P491" s="7">
        <v>7.823552083292018</v>
      </c>
      <c r="Q491" s="7">
        <v>0.0427530830302334</v>
      </c>
      <c r="R491" s="7">
        <v>0.1182030700454945</v>
      </c>
      <c r="S491" s="7">
        <v>0.1751031041241434</v>
      </c>
      <c r="T491" s="7">
        <v>1.888444185122001</v>
      </c>
    </row>
    <row x14ac:dyDescent="0.25" r="492" customHeight="1" ht="19.5">
      <c r="A492" s="2" t="s">
        <v>525</v>
      </c>
      <c r="B492" s="2" t="s">
        <v>30</v>
      </c>
      <c r="C492" s="2" t="s">
        <v>31</v>
      </c>
      <c r="D492" s="2" t="s">
        <v>431</v>
      </c>
      <c r="E492" s="6">
        <v>1</v>
      </c>
      <c r="F492" s="6">
        <v>0</v>
      </c>
      <c r="G492" s="7">
        <v>0.907788336277008</v>
      </c>
      <c r="H492" s="7">
        <v>38.79913984375001</v>
      </c>
      <c r="I492" s="7">
        <v>29.1341643779284</v>
      </c>
      <c r="J492" s="7">
        <v>7.958227358332131</v>
      </c>
      <c r="K492" s="7">
        <v>7.272585700286232</v>
      </c>
      <c r="L492" s="7">
        <v>0.6770881685153124</v>
      </c>
      <c r="M492" s="7">
        <v>0.5744163978238295</v>
      </c>
      <c r="N492" s="7">
        <v>0.4690090986748478</v>
      </c>
      <c r="O492" s="7">
        <v>0.2722655699659166</v>
      </c>
      <c r="P492" s="7">
        <v>7.88000869482382</v>
      </c>
      <c r="Q492" s="7">
        <v>0.041913951159165</v>
      </c>
      <c r="R492" s="7">
        <v>0.1187537375731493</v>
      </c>
      <c r="S492" s="7">
        <v>0.1782360708661354</v>
      </c>
      <c r="T492" s="7">
        <v>1.887432724756673</v>
      </c>
    </row>
    <row x14ac:dyDescent="0.25" r="493" customHeight="1" ht="19.5">
      <c r="A493" s="2" t="s">
        <v>526</v>
      </c>
      <c r="B493" s="2" t="s">
        <v>30</v>
      </c>
      <c r="C493" s="2" t="s">
        <v>31</v>
      </c>
      <c r="D493" s="2" t="s">
        <v>431</v>
      </c>
      <c r="E493" s="6">
        <v>1</v>
      </c>
      <c r="F493" s="6">
        <v>0</v>
      </c>
      <c r="G493" s="7">
        <v>0.9071685075759888</v>
      </c>
      <c r="H493" s="7">
        <v>38.83030937500001</v>
      </c>
      <c r="I493" s="7">
        <v>29.85081596186156</v>
      </c>
      <c r="J493" s="7">
        <v>7.935311131728712</v>
      </c>
      <c r="K493" s="7">
        <v>7.310916393274689</v>
      </c>
      <c r="L493" s="7">
        <v>0.6716789670576024</v>
      </c>
      <c r="M493" s="7">
        <v>0.5476061298301358</v>
      </c>
      <c r="N493" s="7">
        <v>0.4782482926985903</v>
      </c>
      <c r="O493" s="7">
        <v>0.2774566359816406</v>
      </c>
      <c r="P493" s="7">
        <v>7.793138881149881</v>
      </c>
      <c r="Q493" s="7">
        <v>0.0428784594083476</v>
      </c>
      <c r="R493" s="7">
        <v>0.118836143603854</v>
      </c>
      <c r="S493" s="7">
        <v>0.1713262220182134</v>
      </c>
      <c r="T493" s="7">
        <v>1.932416797318498</v>
      </c>
    </row>
    <row x14ac:dyDescent="0.25" r="494" customHeight="1" ht="19.5">
      <c r="A494" s="2" t="s">
        <v>527</v>
      </c>
      <c r="B494" s="2" t="s">
        <v>30</v>
      </c>
      <c r="C494" s="2" t="s">
        <v>31</v>
      </c>
      <c r="D494" s="2" t="s">
        <v>431</v>
      </c>
      <c r="E494" s="6">
        <v>1</v>
      </c>
      <c r="F494" s="6">
        <v>0</v>
      </c>
      <c r="G494" s="7">
        <v>0.745739221572876</v>
      </c>
      <c r="H494" s="7">
        <v>39.06234921875</v>
      </c>
      <c r="I494" s="7">
        <v>30.52182085773613</v>
      </c>
      <c r="J494" s="7">
        <v>8.149038678520583</v>
      </c>
      <c r="K494" s="7">
        <v>6.811113765873098</v>
      </c>
      <c r="L494" s="7">
        <v>0.6638634582652371</v>
      </c>
      <c r="M494" s="7">
        <v>0.5269232287346324</v>
      </c>
      <c r="N494" s="7">
        <v>0.6074576752370331</v>
      </c>
      <c r="O494" s="7">
        <v>0.2372100227407008</v>
      </c>
      <c r="P494" s="7">
        <v>7.091868689178833</v>
      </c>
      <c r="Q494" s="7">
        <v>0.0327310696354442</v>
      </c>
      <c r="R494" s="7">
        <v>0.0700395334971017</v>
      </c>
      <c r="S494" s="7">
        <v>0.0919995459820094</v>
      </c>
      <c r="T494" s="7">
        <v>1.483916064596899</v>
      </c>
    </row>
    <row x14ac:dyDescent="0.25" r="495" customHeight="1" ht="19.5">
      <c r="A495" s="2" t="s">
        <v>528</v>
      </c>
      <c r="B495" s="2" t="s">
        <v>30</v>
      </c>
      <c r="C495" s="2" t="s">
        <v>31</v>
      </c>
      <c r="D495" s="2" t="s">
        <v>431</v>
      </c>
      <c r="E495" s="6">
        <v>1</v>
      </c>
      <c r="F495" s="6">
        <v>0</v>
      </c>
      <c r="G495" s="7">
        <v>0.8166291117668152</v>
      </c>
      <c r="H495" s="7">
        <v>48.65910156250001</v>
      </c>
      <c r="I495" s="7">
        <v>31.21654606257835</v>
      </c>
      <c r="J495" s="7">
        <v>9.209450973119086</v>
      </c>
      <c r="K495" s="7">
        <v>8.968970819973205</v>
      </c>
      <c r="L495" s="7">
        <v>0.5559168911076686</v>
      </c>
      <c r="M495" s="7">
        <v>0.6273076611936726</v>
      </c>
      <c r="N495" s="7">
        <v>0.5427490888795448</v>
      </c>
      <c r="O495" s="7">
        <v>0.2859636253365347</v>
      </c>
      <c r="P495" s="7">
        <v>6.952743222333925</v>
      </c>
      <c r="Q495" s="7">
        <v>0.0240830828265314</v>
      </c>
      <c r="R495" s="7">
        <v>0.0769870096747969</v>
      </c>
      <c r="S495" s="7">
        <v>0.1143096866302912</v>
      </c>
      <c r="T495" s="7">
        <v>1.360087800786273</v>
      </c>
    </row>
    <row x14ac:dyDescent="0.25" r="496" customHeight="1" ht="19.5">
      <c r="A496" s="2" t="s">
        <v>529</v>
      </c>
      <c r="B496" s="2" t="s">
        <v>30</v>
      </c>
      <c r="C496" s="2" t="s">
        <v>31</v>
      </c>
      <c r="D496" s="2" t="s">
        <v>431</v>
      </c>
      <c r="E496" s="6">
        <v>1</v>
      </c>
      <c r="F496" s="6">
        <v>0</v>
      </c>
      <c r="G496" s="7">
        <v>0.8806334733963013</v>
      </c>
      <c r="H496" s="7">
        <v>47.20798671875</v>
      </c>
      <c r="I496" s="7">
        <v>29.88564807439165</v>
      </c>
      <c r="J496" s="7">
        <v>8.908851481428337</v>
      </c>
      <c r="K496" s="7">
        <v>8.395875883375943</v>
      </c>
      <c r="L496" s="7">
        <v>0.5672998253576765</v>
      </c>
      <c r="M496" s="7">
        <v>0.6642017070831586</v>
      </c>
      <c r="N496" s="7">
        <v>0.5014135187180795</v>
      </c>
      <c r="O496" s="7">
        <v>0.2934876175204509</v>
      </c>
      <c r="P496" s="7">
        <v>7.245334836206791</v>
      </c>
      <c r="Q496" s="7">
        <v>0.0295476590401004</v>
      </c>
      <c r="R496" s="7">
        <v>0.0941806808582524</v>
      </c>
      <c r="S496" s="7">
        <v>0.1501836980623148</v>
      </c>
      <c r="T496" s="7">
        <v>1.618934724835888</v>
      </c>
    </row>
    <row x14ac:dyDescent="0.25" r="497" customHeight="1" ht="19.5">
      <c r="A497" s="2" t="s">
        <v>530</v>
      </c>
      <c r="B497" s="2" t="s">
        <v>30</v>
      </c>
      <c r="C497" s="2" t="s">
        <v>31</v>
      </c>
      <c r="D497" s="2" t="s">
        <v>431</v>
      </c>
      <c r="E497" s="6">
        <v>1</v>
      </c>
      <c r="F497" s="6">
        <v>0</v>
      </c>
      <c r="G497" s="7">
        <v>0.9040833711624146</v>
      </c>
      <c r="H497" s="7">
        <v>47.807134375</v>
      </c>
      <c r="I497" s="7">
        <v>29.54091480884417</v>
      </c>
      <c r="J497" s="7">
        <v>8.906695295864441</v>
      </c>
      <c r="K497" s="7">
        <v>8.255998618389775</v>
      </c>
      <c r="L497" s="7">
        <v>0.5842875165363499</v>
      </c>
      <c r="M497" s="7">
        <v>0.6884219289715607</v>
      </c>
      <c r="N497" s="7">
        <v>0.4595559521989051</v>
      </c>
      <c r="O497" s="7">
        <v>0.2769474470648421</v>
      </c>
      <c r="P497" s="7">
        <v>7.678922249452759</v>
      </c>
      <c r="Q497" s="7">
        <v>0.0345286650230185</v>
      </c>
      <c r="R497" s="7">
        <v>0.1100419353309445</v>
      </c>
      <c r="S497" s="7">
        <v>0.1846981242571452</v>
      </c>
      <c r="T497" s="7">
        <v>1.915857837417938</v>
      </c>
    </row>
    <row x14ac:dyDescent="0.25" r="498" customHeight="1" ht="19.5">
      <c r="A498" s="2" t="s">
        <v>531</v>
      </c>
      <c r="B498" s="2" t="s">
        <v>30</v>
      </c>
      <c r="C498" s="2" t="s">
        <v>31</v>
      </c>
      <c r="D498" s="2" t="s">
        <v>431</v>
      </c>
      <c r="E498" s="6">
        <v>1</v>
      </c>
      <c r="F498" s="6">
        <v>0</v>
      </c>
      <c r="G498" s="7">
        <v>0.9066078662872314</v>
      </c>
      <c r="H498" s="7">
        <v>46.11705312500001</v>
      </c>
      <c r="I498" s="7">
        <v>28.82844554073228</v>
      </c>
      <c r="J498" s="7">
        <v>8.510088691576794</v>
      </c>
      <c r="K498" s="7">
        <v>8.255635169476669</v>
      </c>
      <c r="L498" s="7">
        <v>0.5301420455796834</v>
      </c>
      <c r="M498" s="7">
        <v>0.6973149259402491</v>
      </c>
      <c r="N498" s="7">
        <v>0.4471910765596575</v>
      </c>
      <c r="O498" s="7">
        <v>0.2690795839275932</v>
      </c>
      <c r="P498" s="7">
        <v>7.812596607908034</v>
      </c>
      <c r="Q498" s="7">
        <v>0.0381176330921982</v>
      </c>
      <c r="R498" s="7">
        <v>0.1176994969848603</v>
      </c>
      <c r="S498" s="7">
        <v>0.1986974828745695</v>
      </c>
      <c r="T498" s="7">
        <v>2.040225886255076</v>
      </c>
    </row>
    <row x14ac:dyDescent="0.25" r="499" customHeight="1" ht="19.5">
      <c r="A499" s="2" t="s">
        <v>532</v>
      </c>
      <c r="B499" s="2" t="s">
        <v>30</v>
      </c>
      <c r="C499" s="2" t="s">
        <v>31</v>
      </c>
      <c r="D499" s="2" t="s">
        <v>431</v>
      </c>
      <c r="E499" s="6">
        <v>1</v>
      </c>
      <c r="F499" s="6">
        <v>0</v>
      </c>
      <c r="G499" s="7">
        <v>0.9103935956954956</v>
      </c>
      <c r="H499" s="7">
        <v>46.1101265625</v>
      </c>
      <c r="I499" s="7">
        <v>28.9154950430868</v>
      </c>
      <c r="J499" s="7">
        <v>8.464351090504035</v>
      </c>
      <c r="K499" s="7">
        <v>8.25456794857683</v>
      </c>
      <c r="L499" s="7">
        <v>0.5403784489418824</v>
      </c>
      <c r="M499" s="7">
        <v>0.6930186375010762</v>
      </c>
      <c r="N499" s="7">
        <v>0.4465822981252627</v>
      </c>
      <c r="O499" s="7">
        <v>0.2685595886809754</v>
      </c>
      <c r="P499" s="7">
        <v>7.825859815283947</v>
      </c>
      <c r="Q499" s="7">
        <v>0.0381515866347804</v>
      </c>
      <c r="R499" s="7">
        <v>0.1184742064331743</v>
      </c>
      <c r="S499" s="7">
        <v>0.1979005418221231</v>
      </c>
      <c r="T499" s="7">
        <v>2.041736526226602</v>
      </c>
    </row>
    <row x14ac:dyDescent="0.25" r="500" customHeight="1" ht="19.5">
      <c r="A500" s="2" t="s">
        <v>533</v>
      </c>
      <c r="B500" s="2" t="s">
        <v>30</v>
      </c>
      <c r="C500" s="2" t="s">
        <v>31</v>
      </c>
      <c r="D500" s="2" t="s">
        <v>431</v>
      </c>
      <c r="E500" s="6">
        <v>1</v>
      </c>
      <c r="F500" s="6">
        <v>0</v>
      </c>
      <c r="G500" s="7">
        <v>0.9058089852333068</v>
      </c>
      <c r="H500" s="7">
        <v>46.22095156250001</v>
      </c>
      <c r="I500" s="7">
        <v>28.99280632783881</v>
      </c>
      <c r="J500" s="7">
        <v>8.49544653477852</v>
      </c>
      <c r="K500" s="7">
        <v>8.308037552896694</v>
      </c>
      <c r="L500" s="7">
        <v>0.523558431182253</v>
      </c>
      <c r="M500" s="7">
        <v>0.6909843914452978</v>
      </c>
      <c r="N500" s="7">
        <v>0.4484576395918046</v>
      </c>
      <c r="O500" s="7">
        <v>0.2691938870274185</v>
      </c>
      <c r="P500" s="7">
        <v>7.789426436476035</v>
      </c>
      <c r="Q500" s="7">
        <v>0.0381967646780803</v>
      </c>
      <c r="R500" s="7">
        <v>0.1184104336740736</v>
      </c>
      <c r="S500" s="7">
        <v>0.1995673838384171</v>
      </c>
      <c r="T500" s="7">
        <v>2.049067387885577</v>
      </c>
    </row>
    <row x14ac:dyDescent="0.25" r="501" customHeight="1" ht="19.5">
      <c r="A501" s="2" t="s">
        <v>534</v>
      </c>
      <c r="B501" s="2" t="s">
        <v>30</v>
      </c>
      <c r="C501" s="2" t="s">
        <v>31</v>
      </c>
      <c r="D501" s="2" t="s">
        <v>431</v>
      </c>
      <c r="E501" s="6">
        <v>1</v>
      </c>
      <c r="F501" s="6">
        <v>0</v>
      </c>
      <c r="G501" s="7">
        <v>0.9057158827781676</v>
      </c>
      <c r="H501" s="7">
        <v>46.44606484375</v>
      </c>
      <c r="I501" s="7">
        <v>29.0617529809483</v>
      </c>
      <c r="J501" s="7">
        <v>8.556632390717283</v>
      </c>
      <c r="K501" s="7">
        <v>8.255998251882676</v>
      </c>
      <c r="L501" s="7">
        <v>0.5413124544563672</v>
      </c>
      <c r="M501" s="7">
        <v>0.6910590743683132</v>
      </c>
      <c r="N501" s="7">
        <v>0.4489509316012851</v>
      </c>
      <c r="O501" s="7">
        <v>0.2689503931242799</v>
      </c>
      <c r="P501" s="7">
        <v>7.807622757652991</v>
      </c>
      <c r="Q501" s="7">
        <v>0.0380118147565805</v>
      </c>
      <c r="R501" s="7">
        <v>0.1188001193057676</v>
      </c>
      <c r="S501" s="7">
        <v>0.1971024288028866</v>
      </c>
      <c r="T501" s="7">
        <v>2.049077140572085</v>
      </c>
    </row>
    <row x14ac:dyDescent="0.25" r="502" customHeight="1" ht="19.5">
      <c r="A502" s="2" t="s">
        <v>535</v>
      </c>
      <c r="B502" s="2" t="s">
        <v>30</v>
      </c>
      <c r="C502" s="2" t="s">
        <v>31</v>
      </c>
      <c r="D502" s="2" t="s">
        <v>431</v>
      </c>
      <c r="E502" s="6">
        <v>1</v>
      </c>
      <c r="F502" s="6">
        <v>0</v>
      </c>
      <c r="G502" s="7">
        <v>0.9057263135910034</v>
      </c>
      <c r="H502" s="7">
        <v>47.07291875</v>
      </c>
      <c r="I502" s="7">
        <v>29.29123689131841</v>
      </c>
      <c r="J502" s="7">
        <v>8.781884470855015</v>
      </c>
      <c r="K502" s="7">
        <v>8.313212975518217</v>
      </c>
      <c r="L502" s="7">
        <v>0.5618854108839604</v>
      </c>
      <c r="M502" s="7">
        <v>0.6894544343510577</v>
      </c>
      <c r="N502" s="7">
        <v>0.4533109908426008</v>
      </c>
      <c r="O502" s="7">
        <v>0.278413413286812</v>
      </c>
      <c r="P502" s="7">
        <v>7.742187642311812</v>
      </c>
      <c r="Q502" s="7">
        <v>0.0373723229529433</v>
      </c>
      <c r="R502" s="7">
        <v>0.1168193844576157</v>
      </c>
      <c r="S502" s="7">
        <v>0.198972607695918</v>
      </c>
      <c r="T502" s="7">
        <v>2.041794364165016</v>
      </c>
    </row>
    <row x14ac:dyDescent="0.25" r="503" customHeight="1" ht="19.5">
      <c r="A503" s="2" t="s">
        <v>536</v>
      </c>
      <c r="B503" s="2" t="s">
        <v>30</v>
      </c>
      <c r="C503" s="2" t="s">
        <v>31</v>
      </c>
      <c r="D503" s="2" t="s">
        <v>431</v>
      </c>
      <c r="E503" s="6">
        <v>1</v>
      </c>
      <c r="F503" s="6">
        <v>0</v>
      </c>
      <c r="G503" s="7">
        <v>0.9075911045074464</v>
      </c>
      <c r="H503" s="7">
        <v>46.43221171875</v>
      </c>
      <c r="I503" s="7">
        <v>28.86082770937639</v>
      </c>
      <c r="J503" s="7">
        <v>8.556164500301703</v>
      </c>
      <c r="K503" s="7">
        <v>8.238759810932645</v>
      </c>
      <c r="L503" s="7">
        <v>0.5262296635970526</v>
      </c>
      <c r="M503" s="7">
        <v>0.7005056953957587</v>
      </c>
      <c r="N503" s="7">
        <v>0.4464732430175746</v>
      </c>
      <c r="O503" s="7">
        <v>0.2642834497254389</v>
      </c>
      <c r="P503" s="7">
        <v>7.829170535257062</v>
      </c>
      <c r="Q503" s="7">
        <v>0.038142362871496</v>
      </c>
      <c r="R503" s="7">
        <v>0.1195700301493133</v>
      </c>
      <c r="S503" s="7">
        <v>0.1977432473023857</v>
      </c>
      <c r="T503" s="7">
        <v>2.055501247239947</v>
      </c>
    </row>
    <row x14ac:dyDescent="0.25" r="504" customHeight="1" ht="19.5">
      <c r="A504" s="2" t="s">
        <v>537</v>
      </c>
      <c r="B504" s="2" t="s">
        <v>30</v>
      </c>
      <c r="C504" s="2" t="s">
        <v>31</v>
      </c>
      <c r="D504" s="2" t="s">
        <v>431</v>
      </c>
      <c r="E504" s="6">
        <v>1</v>
      </c>
      <c r="F504" s="6">
        <v>0</v>
      </c>
      <c r="G504" s="7">
        <v>0.9069573283195496</v>
      </c>
      <c r="H504" s="7">
        <v>46.3802625</v>
      </c>
      <c r="I504" s="7">
        <v>28.79779574402345</v>
      </c>
      <c r="J504" s="7">
        <v>8.487299456086095</v>
      </c>
      <c r="K504" s="7">
        <v>8.252786662264304</v>
      </c>
      <c r="L504" s="7">
        <v>0.5140211242383449</v>
      </c>
      <c r="M504" s="7">
        <v>0.7027883800873481</v>
      </c>
      <c r="N504" s="7">
        <v>0.4464748846570725</v>
      </c>
      <c r="O504" s="7">
        <v>0.2615288452868036</v>
      </c>
      <c r="P504" s="7">
        <v>7.843450208883422</v>
      </c>
      <c r="Q504" s="7">
        <v>0.0377711235402379</v>
      </c>
      <c r="R504" s="7">
        <v>0.1177614378761786</v>
      </c>
      <c r="S504" s="7">
        <v>0.1953364285974865</v>
      </c>
      <c r="T504" s="7">
        <v>2.033217719447744</v>
      </c>
    </row>
    <row x14ac:dyDescent="0.25" r="505" customHeight="1" ht="19.5">
      <c r="A505" s="2" t="s">
        <v>538</v>
      </c>
      <c r="B505" s="2" t="s">
        <v>30</v>
      </c>
      <c r="C505" s="2" t="s">
        <v>31</v>
      </c>
      <c r="D505" s="2" t="s">
        <v>431</v>
      </c>
      <c r="E505" s="6">
        <v>1</v>
      </c>
      <c r="F505" s="6">
        <v>0</v>
      </c>
      <c r="G505" s="7">
        <v>0.9062948226928712</v>
      </c>
      <c r="H505" s="7">
        <v>46.75083359375</v>
      </c>
      <c r="I505" s="7">
        <v>29.05757066512704</v>
      </c>
      <c r="J505" s="7">
        <v>8.579238111511307</v>
      </c>
      <c r="K505" s="7">
        <v>8.313959517384735</v>
      </c>
      <c r="L505" s="7">
        <v>0.5436938219900563</v>
      </c>
      <c r="M505" s="7">
        <v>0.6957939012095161</v>
      </c>
      <c r="N505" s="7">
        <v>0.4518181441095786</v>
      </c>
      <c r="O505" s="7">
        <v>0.2729656540270073</v>
      </c>
      <c r="P505" s="7">
        <v>7.763576751435313</v>
      </c>
      <c r="Q505" s="7">
        <v>0.0384908281856828</v>
      </c>
      <c r="R505" s="7">
        <v>0.118538540163269</v>
      </c>
      <c r="S505" s="7">
        <v>0.202808526338025</v>
      </c>
      <c r="T505" s="7">
        <v>2.088514018734056</v>
      </c>
    </row>
    <row x14ac:dyDescent="0.25" r="506" customHeight="1" ht="19.5">
      <c r="A506" s="2" t="s">
        <v>539</v>
      </c>
      <c r="B506" s="2" t="s">
        <v>30</v>
      </c>
      <c r="C506" s="2" t="s">
        <v>31</v>
      </c>
      <c r="D506" s="2" t="s">
        <v>431</v>
      </c>
      <c r="E506" s="6">
        <v>1</v>
      </c>
      <c r="F506" s="6">
        <v>0</v>
      </c>
      <c r="G506" s="7">
        <v>0.9070634245872498</v>
      </c>
      <c r="H506" s="7">
        <v>45.9161828125</v>
      </c>
      <c r="I506" s="7">
        <v>28.89530103593114</v>
      </c>
      <c r="J506" s="7">
        <v>8.493116053093631</v>
      </c>
      <c r="K506" s="7">
        <v>8.254449146528092</v>
      </c>
      <c r="L506" s="7">
        <v>0.5265787737987899</v>
      </c>
      <c r="M506" s="7">
        <v>0.6910686527828783</v>
      </c>
      <c r="N506" s="7">
        <v>0.4509731907981286</v>
      </c>
      <c r="O506" s="7">
        <v>0.2687587833188401</v>
      </c>
      <c r="P506" s="7">
        <v>7.783721700777074</v>
      </c>
      <c r="Q506" s="7">
        <v>0.0376617736964146</v>
      </c>
      <c r="R506" s="7">
        <v>0.1170075634135485</v>
      </c>
      <c r="S506" s="7">
        <v>0.196236475183613</v>
      </c>
      <c r="T506" s="7">
        <v>2.007045997812785</v>
      </c>
    </row>
    <row x14ac:dyDescent="0.25" r="507" customHeight="1" ht="19.5">
      <c r="A507" s="2" t="s">
        <v>540</v>
      </c>
      <c r="B507" s="2" t="s">
        <v>30</v>
      </c>
      <c r="C507" s="2" t="s">
        <v>31</v>
      </c>
      <c r="D507" s="2" t="s">
        <v>431</v>
      </c>
      <c r="E507" s="6">
        <v>1</v>
      </c>
      <c r="F507" s="6">
        <v>0</v>
      </c>
      <c r="G507" s="7">
        <v>0.906582534313202</v>
      </c>
      <c r="H507" s="7">
        <v>46.30060703125</v>
      </c>
      <c r="I507" s="7">
        <v>28.86291886728702</v>
      </c>
      <c r="J507" s="7">
        <v>8.511329630978263</v>
      </c>
      <c r="K507" s="7">
        <v>8.241848193859102</v>
      </c>
      <c r="L507" s="7">
        <v>0.531297200612326</v>
      </c>
      <c r="M507" s="7">
        <v>0.6984190100712231</v>
      </c>
      <c r="N507" s="7">
        <v>0.4472762938013624</v>
      </c>
      <c r="O507" s="7">
        <v>0.2668416602128138</v>
      </c>
      <c r="P507" s="7">
        <v>7.807133734794863</v>
      </c>
      <c r="Q507" s="7">
        <v>0.0379652178474061</v>
      </c>
      <c r="R507" s="7">
        <v>0.1180838898211434</v>
      </c>
      <c r="S507" s="7">
        <v>0.1982965358278405</v>
      </c>
      <c r="T507" s="7">
        <v>2.040155926397003</v>
      </c>
    </row>
    <row x14ac:dyDescent="0.25" r="508" customHeight="1" ht="19.5">
      <c r="A508" s="2" t="s">
        <v>541</v>
      </c>
      <c r="B508" s="2" t="s">
        <v>30</v>
      </c>
      <c r="C508" s="2" t="s">
        <v>31</v>
      </c>
      <c r="D508" s="2" t="s">
        <v>431</v>
      </c>
      <c r="E508" s="6">
        <v>1</v>
      </c>
      <c r="F508" s="6">
        <v>0</v>
      </c>
      <c r="G508" s="7">
        <v>0.9084010124206544</v>
      </c>
      <c r="H508" s="7">
        <v>46.2625109375</v>
      </c>
      <c r="I508" s="7">
        <v>28.97852700843972</v>
      </c>
      <c r="J508" s="7">
        <v>8.508039637850366</v>
      </c>
      <c r="K508" s="7">
        <v>8.193803900286213</v>
      </c>
      <c r="L508" s="7">
        <v>0.5226156067763074</v>
      </c>
      <c r="M508" s="7">
        <v>0.6922874396686703</v>
      </c>
      <c r="N508" s="7">
        <v>0.4492868243722815</v>
      </c>
      <c r="O508" s="7">
        <v>0.268630461598414</v>
      </c>
      <c r="P508" s="7">
        <v>7.780754640806904</v>
      </c>
      <c r="Q508" s="7">
        <v>0.0377610656581821</v>
      </c>
      <c r="R508" s="7">
        <v>0.1184999787982681</v>
      </c>
      <c r="S508" s="7">
        <v>0.1985092303066878</v>
      </c>
      <c r="T508" s="7">
        <v>2.027515686295145</v>
      </c>
    </row>
    <row x14ac:dyDescent="0.25" r="509" customHeight="1" ht="19.5">
      <c r="A509" s="2" t="s">
        <v>542</v>
      </c>
      <c r="B509" s="2" t="s">
        <v>30</v>
      </c>
      <c r="C509" s="2" t="s">
        <v>31</v>
      </c>
      <c r="D509" s="2" t="s">
        <v>431</v>
      </c>
      <c r="E509" s="6">
        <v>1</v>
      </c>
      <c r="F509" s="6">
        <v>0</v>
      </c>
      <c r="G509" s="7">
        <v>0.9062108397483826</v>
      </c>
      <c r="H509" s="7">
        <v>46.29021718750001</v>
      </c>
      <c r="I509" s="7">
        <v>28.97852700843972</v>
      </c>
      <c r="J509" s="7">
        <v>8.490423635199958</v>
      </c>
      <c r="K509" s="7">
        <v>8.310594802227945</v>
      </c>
      <c r="L509" s="7">
        <v>0.5143403530528994</v>
      </c>
      <c r="M509" s="7">
        <v>0.6927020451124007</v>
      </c>
      <c r="N509" s="7">
        <v>0.449314713605321</v>
      </c>
      <c r="O509" s="7">
        <v>0.2684705631894929</v>
      </c>
      <c r="P509" s="7">
        <v>7.781626266551672</v>
      </c>
      <c r="Q509" s="7">
        <v>0.0381755910932934</v>
      </c>
      <c r="R509" s="7">
        <v>0.1187614262918076</v>
      </c>
      <c r="S509" s="7">
        <v>0.1968318908026348</v>
      </c>
      <c r="T509" s="7">
        <v>2.051000511612656</v>
      </c>
    </row>
    <row x14ac:dyDescent="0.25" r="510" customHeight="1" ht="19.5">
      <c r="A510" s="2" t="s">
        <v>543</v>
      </c>
      <c r="B510" s="2" t="s">
        <v>30</v>
      </c>
      <c r="C510" s="2" t="s">
        <v>31</v>
      </c>
      <c r="D510" s="2" t="s">
        <v>431</v>
      </c>
      <c r="E510" s="6">
        <v>1</v>
      </c>
      <c r="F510" s="6">
        <v>0</v>
      </c>
      <c r="G510" s="7">
        <v>0.905351459980011</v>
      </c>
      <c r="H510" s="7">
        <v>46.29368046875</v>
      </c>
      <c r="I510" s="7">
        <v>29.0617529809483</v>
      </c>
      <c r="J510" s="7">
        <v>8.485090190961142</v>
      </c>
      <c r="K510" s="7">
        <v>8.302373782634715</v>
      </c>
      <c r="L510" s="7">
        <v>0.5166292950715052</v>
      </c>
      <c r="M510" s="7">
        <v>0.6887917863754561</v>
      </c>
      <c r="N510" s="7">
        <v>0.4513083909204712</v>
      </c>
      <c r="O510" s="7">
        <v>0.2682886751648309</v>
      </c>
      <c r="P510" s="7">
        <v>7.779071531204993</v>
      </c>
      <c r="Q510" s="7">
        <v>0.0378266732244248</v>
      </c>
      <c r="R510" s="7">
        <v>0.1181111082769962</v>
      </c>
      <c r="S510" s="7">
        <v>0.1980070748339996</v>
      </c>
      <c r="T510" s="7">
        <v>2.032406791418166</v>
      </c>
    </row>
    <row x14ac:dyDescent="0.25" r="511" customHeight="1" ht="19.5">
      <c r="A511" s="2" t="s">
        <v>544</v>
      </c>
      <c r="B511" s="2" t="s">
        <v>30</v>
      </c>
      <c r="C511" s="2" t="s">
        <v>31</v>
      </c>
      <c r="D511" s="2" t="s">
        <v>431</v>
      </c>
      <c r="E511" s="6">
        <v>1</v>
      </c>
      <c r="F511" s="6">
        <v>0</v>
      </c>
      <c r="G511" s="7">
        <v>0.906920850276947</v>
      </c>
      <c r="H511" s="7">
        <v>47.003653125</v>
      </c>
      <c r="I511" s="7">
        <v>29.2041873889639</v>
      </c>
      <c r="J511" s="7">
        <v>8.67092874457123</v>
      </c>
      <c r="K511" s="7">
        <v>8.255992108011132</v>
      </c>
      <c r="L511" s="7">
        <v>0.5499268073412993</v>
      </c>
      <c r="M511" s="7">
        <v>0.6925501437973617</v>
      </c>
      <c r="N511" s="7">
        <v>0.4578810301782932</v>
      </c>
      <c r="O511" s="7">
        <v>0.283093325365014</v>
      </c>
      <c r="P511" s="7">
        <v>7.699973560502205</v>
      </c>
      <c r="Q511" s="7">
        <v>0.0378621942201909</v>
      </c>
      <c r="R511" s="7">
        <v>0.1174123359314614</v>
      </c>
      <c r="S511" s="7">
        <v>0.2006697165270296</v>
      </c>
      <c r="T511" s="7">
        <v>2.065514136352211</v>
      </c>
    </row>
    <row x14ac:dyDescent="0.25" r="512" customHeight="1" ht="19.5">
      <c r="A512" s="2" t="s">
        <v>545</v>
      </c>
      <c r="B512" s="2" t="s">
        <v>30</v>
      </c>
      <c r="C512" s="2" t="s">
        <v>31</v>
      </c>
      <c r="D512" s="2" t="s">
        <v>431</v>
      </c>
      <c r="E512" s="6">
        <v>1</v>
      </c>
      <c r="F512" s="6">
        <v>0</v>
      </c>
      <c r="G512" s="7">
        <v>0.9040167331695556</v>
      </c>
      <c r="H512" s="7">
        <v>46.49455078125001</v>
      </c>
      <c r="I512" s="7">
        <v>28.96633884695126</v>
      </c>
      <c r="J512" s="7">
        <v>8.546998558958622</v>
      </c>
      <c r="K512" s="7">
        <v>8.242620387870407</v>
      </c>
      <c r="L512" s="7">
        <v>0.535972791733645</v>
      </c>
      <c r="M512" s="7">
        <v>0.6963453928751286</v>
      </c>
      <c r="N512" s="7">
        <v>0.4487329065052357</v>
      </c>
      <c r="O512" s="7">
        <v>0.2679418593122489</v>
      </c>
      <c r="P512" s="7">
        <v>7.801083478903043</v>
      </c>
      <c r="Q512" s="7">
        <v>0.0382561111031859</v>
      </c>
      <c r="R512" s="7">
        <v>0.1181253140328574</v>
      </c>
      <c r="S512" s="7">
        <v>0.1970637101925574</v>
      </c>
      <c r="T512" s="7">
        <v>2.064399076592705</v>
      </c>
    </row>
    <row x14ac:dyDescent="0.25" r="513" customHeight="1" ht="19.5">
      <c r="A513" s="2" t="s">
        <v>546</v>
      </c>
      <c r="B513" s="2" t="s">
        <v>30</v>
      </c>
      <c r="C513" s="2" t="s">
        <v>31</v>
      </c>
      <c r="D513" s="2" t="s">
        <v>431</v>
      </c>
      <c r="E513" s="6">
        <v>1</v>
      </c>
      <c r="F513" s="6">
        <v>0</v>
      </c>
      <c r="G513" s="7">
        <v>0.9071289896965028</v>
      </c>
      <c r="H513" s="7">
        <v>46.4148953125</v>
      </c>
      <c r="I513" s="7">
        <v>28.89530103593114</v>
      </c>
      <c r="J513" s="7">
        <v>8.521615153259596</v>
      </c>
      <c r="K513" s="7">
        <v>8.254243627717901</v>
      </c>
      <c r="L513" s="7">
        <v>0.5233221314623052</v>
      </c>
      <c r="M513" s="7">
        <v>0.6985746028508173</v>
      </c>
      <c r="N513" s="7">
        <v>0.4501355550762372</v>
      </c>
      <c r="O513" s="7">
        <v>0.2697293355206369</v>
      </c>
      <c r="P513" s="7">
        <v>7.79051154945537</v>
      </c>
      <c r="Q513" s="7">
        <v>0.0378834548480409</v>
      </c>
      <c r="R513" s="7">
        <v>0.1172167065469713</v>
      </c>
      <c r="S513" s="7">
        <v>0.1983236027722326</v>
      </c>
      <c r="T513" s="7">
        <v>2.04078725650168</v>
      </c>
    </row>
    <row x14ac:dyDescent="0.25" r="514" customHeight="1" ht="19.5">
      <c r="A514" s="2" t="s">
        <v>547</v>
      </c>
      <c r="B514" s="2" t="s">
        <v>30</v>
      </c>
      <c r="C514" s="2" t="s">
        <v>31</v>
      </c>
      <c r="D514" s="2" t="s">
        <v>431</v>
      </c>
      <c r="E514" s="6">
        <v>1</v>
      </c>
      <c r="F514" s="6">
        <v>0</v>
      </c>
      <c r="G514" s="7">
        <v>0.9051485657691956</v>
      </c>
      <c r="H514" s="7">
        <v>46.0962734375</v>
      </c>
      <c r="I514" s="7">
        <v>28.83436022848884</v>
      </c>
      <c r="J514" s="7">
        <v>8.43843885156755</v>
      </c>
      <c r="K514" s="7">
        <v>8.254199968264903</v>
      </c>
      <c r="L514" s="7">
        <v>0.517252783038675</v>
      </c>
      <c r="M514" s="7">
        <v>0.6967148086280042</v>
      </c>
      <c r="N514" s="7">
        <v>0.4490426395598287</v>
      </c>
      <c r="O514" s="7">
        <v>0.2658320533649186</v>
      </c>
      <c r="P514" s="7">
        <v>7.808191815871591</v>
      </c>
      <c r="Q514" s="7">
        <v>0.0382892717936656</v>
      </c>
      <c r="R514" s="7">
        <v>0.1188709064527085</v>
      </c>
      <c r="S514" s="7">
        <v>0.2017249302368537</v>
      </c>
      <c r="T514" s="7">
        <v>2.048489319572832</v>
      </c>
    </row>
    <row x14ac:dyDescent="0.25" r="515" customHeight="1" ht="19.5">
      <c r="A515" s="2" t="s">
        <v>548</v>
      </c>
      <c r="B515" s="2" t="s">
        <v>30</v>
      </c>
      <c r="C515" s="2" t="s">
        <v>31</v>
      </c>
      <c r="D515" s="2" t="s">
        <v>431</v>
      </c>
      <c r="E515" s="6">
        <v>1</v>
      </c>
      <c r="F515" s="6">
        <v>0</v>
      </c>
      <c r="G515" s="7">
        <v>0.9066221714019777</v>
      </c>
      <c r="H515" s="7">
        <v>47.01404296875</v>
      </c>
      <c r="I515" s="7">
        <v>29.04956481945985</v>
      </c>
      <c r="J515" s="7">
        <v>8.709023893149013</v>
      </c>
      <c r="K515" s="7">
        <v>8.195229250984632</v>
      </c>
      <c r="L515" s="7">
        <v>0.558884575101344</v>
      </c>
      <c r="M515" s="7">
        <v>0.7000969770046506</v>
      </c>
      <c r="N515" s="7">
        <v>0.4522464483273502</v>
      </c>
      <c r="O515" s="7">
        <v>0.2743981759081142</v>
      </c>
      <c r="P515" s="7">
        <v>7.758956362782821</v>
      </c>
      <c r="Q515" s="7">
        <v>0.0378225038400803</v>
      </c>
      <c r="R515" s="7">
        <v>0.1185770980221032</v>
      </c>
      <c r="S515" s="7">
        <v>0.1987095668942274</v>
      </c>
      <c r="T515" s="7">
        <v>2.063804977826701</v>
      </c>
    </row>
    <row x14ac:dyDescent="0.25" r="516" customHeight="1" ht="19.5">
      <c r="A516" s="2" t="s">
        <v>549</v>
      </c>
      <c r="B516" s="2" t="s">
        <v>30</v>
      </c>
      <c r="C516" s="2" t="s">
        <v>31</v>
      </c>
      <c r="D516" s="2" t="s">
        <v>431</v>
      </c>
      <c r="E516" s="6">
        <v>1</v>
      </c>
      <c r="F516" s="6">
        <v>0</v>
      </c>
      <c r="G516" s="7">
        <v>0.908058762550354</v>
      </c>
      <c r="H516" s="7">
        <v>46.95170390625</v>
      </c>
      <c r="I516" s="7">
        <v>29.00708564723791</v>
      </c>
      <c r="J516" s="7">
        <v>8.628918237035286</v>
      </c>
      <c r="K516" s="7">
        <v>8.254928938894098</v>
      </c>
      <c r="L516" s="7">
        <v>0.5382392890375569</v>
      </c>
      <c r="M516" s="7">
        <v>0.7012179539103267</v>
      </c>
      <c r="N516" s="7">
        <v>0.4572618536114393</v>
      </c>
      <c r="O516" s="7">
        <v>0.2743905264917659</v>
      </c>
      <c r="P516" s="7">
        <v>7.708914593712509</v>
      </c>
      <c r="Q516" s="7">
        <v>0.0374167534095204</v>
      </c>
      <c r="R516" s="7">
        <v>0.1167243087770959</v>
      </c>
      <c r="S516" s="7">
        <v>0.1945690352260478</v>
      </c>
      <c r="T516" s="7">
        <v>2.038957810331829</v>
      </c>
    </row>
    <row x14ac:dyDescent="0.25" r="517" customHeight="1" ht="19.5">
      <c r="A517" s="2" t="s">
        <v>550</v>
      </c>
      <c r="B517" s="2" t="s">
        <v>30</v>
      </c>
      <c r="C517" s="2" t="s">
        <v>31</v>
      </c>
      <c r="D517" s="2" t="s">
        <v>431</v>
      </c>
      <c r="E517" s="6">
        <v>1</v>
      </c>
      <c r="F517" s="6">
        <v>0</v>
      </c>
      <c r="G517" s="7">
        <v>0.8172773122787476</v>
      </c>
      <c r="H517" s="7">
        <v>52.13277265625</v>
      </c>
      <c r="I517" s="7">
        <v>32.95592685361614</v>
      </c>
      <c r="J517" s="7">
        <v>9.563630962215512</v>
      </c>
      <c r="K517" s="7">
        <v>8.625895713864189</v>
      </c>
      <c r="L517" s="7">
        <v>0.5953225945808264</v>
      </c>
      <c r="M517" s="7">
        <v>0.6031892969736098</v>
      </c>
      <c r="N517" s="7">
        <v>0.5945733987370174</v>
      </c>
      <c r="O517" s="7">
        <v>0.289175482576809</v>
      </c>
      <c r="P517" s="7">
        <v>6.617645666634965</v>
      </c>
      <c r="Q517" s="7">
        <v>0.0257034975308474</v>
      </c>
      <c r="R517" s="7">
        <v>0.0782484896352134</v>
      </c>
      <c r="S517" s="7">
        <v>0.1111424795962468</v>
      </c>
      <c r="T517" s="7">
        <v>1.555227138745288</v>
      </c>
    </row>
    <row x14ac:dyDescent="0.25" r="518" customHeight="1" ht="19.5">
      <c r="A518" s="2" t="s">
        <v>551</v>
      </c>
      <c r="B518" s="2" t="s">
        <v>30</v>
      </c>
      <c r="C518" s="2" t="s">
        <v>31</v>
      </c>
      <c r="D518" s="2" t="s">
        <v>431</v>
      </c>
      <c r="E518" s="6">
        <v>1</v>
      </c>
      <c r="F518" s="6">
        <v>0</v>
      </c>
      <c r="G518" s="7">
        <v>0.6254457235336304</v>
      </c>
      <c r="H518" s="7">
        <v>83.3404</v>
      </c>
      <c r="I518" s="7">
        <v>45.03193438312094</v>
      </c>
      <c r="J518" s="7">
        <v>10.84673688787226</v>
      </c>
      <c r="K518" s="7">
        <v>9.878243591047998</v>
      </c>
      <c r="L518" s="7">
        <v>0.4368598419781428</v>
      </c>
      <c r="M518" s="7">
        <v>0.5133547623866422</v>
      </c>
      <c r="N518" s="7">
        <v>0.5013765197828509</v>
      </c>
      <c r="O518" s="7">
        <v>0.08547123293107</v>
      </c>
      <c r="P518" s="7">
        <v>8.474441025656894</v>
      </c>
      <c r="Q518" s="7">
        <v>0.0091249052066656</v>
      </c>
      <c r="R518" s="7">
        <v>0.0384020058724655</v>
      </c>
      <c r="S518" s="7">
        <v>0.0627649202521181</v>
      </c>
      <c r="T518" s="7">
        <v>0.8826219467399334</v>
      </c>
    </row>
    <row x14ac:dyDescent="0.25" r="519" customHeight="1" ht="19.5">
      <c r="A519" s="2" t="s">
        <v>552</v>
      </c>
      <c r="B519" s="2" t="s">
        <v>30</v>
      </c>
      <c r="C519" s="2" t="s">
        <v>31</v>
      </c>
      <c r="D519" s="2" t="s">
        <v>431</v>
      </c>
      <c r="E519" s="6">
        <v>1</v>
      </c>
      <c r="F519" s="6">
        <v>0</v>
      </c>
      <c r="G519" s="7">
        <v>0.8275669813156128</v>
      </c>
      <c r="H519" s="7">
        <v>48.57251953125</v>
      </c>
      <c r="I519" s="7">
        <v>30.70565808004765</v>
      </c>
      <c r="J519" s="7">
        <v>8.879789821176832</v>
      </c>
      <c r="K519" s="7">
        <v>7.111429377310237</v>
      </c>
      <c r="L519" s="7">
        <v>0.7061350745757192</v>
      </c>
      <c r="M519" s="7">
        <v>0.6464633667898962</v>
      </c>
      <c r="N519" s="7">
        <v>0.5157320137456773</v>
      </c>
      <c r="O519" s="7">
        <v>0.1957811548963844</v>
      </c>
      <c r="P519" s="7">
        <v>7.89280638074364</v>
      </c>
      <c r="Q519" s="7">
        <v>0.02902524279153</v>
      </c>
      <c r="R519" s="7">
        <v>0.0790940906160587</v>
      </c>
      <c r="S519" s="7">
        <v>0.0897002664451325</v>
      </c>
      <c r="T519" s="7">
        <v>1.636278684218774</v>
      </c>
    </row>
    <row x14ac:dyDescent="0.25" r="520" customHeight="1" ht="19.5">
      <c r="A520" s="2" t="s">
        <v>553</v>
      </c>
      <c r="B520" s="2" t="s">
        <v>30</v>
      </c>
      <c r="C520" s="2" t="s">
        <v>31</v>
      </c>
      <c r="D520" s="2" t="s">
        <v>431</v>
      </c>
      <c r="E520" s="6">
        <v>1</v>
      </c>
      <c r="F520" s="6">
        <v>0</v>
      </c>
      <c r="G520" s="7">
        <v>0.8888589143753052</v>
      </c>
      <c r="H520" s="7">
        <v>46.2486578125</v>
      </c>
      <c r="I520" s="7">
        <v>27.67403494319917</v>
      </c>
      <c r="J520" s="7">
        <v>8.800843088652814</v>
      </c>
      <c r="K520" s="7">
        <v>6.846448652302202</v>
      </c>
      <c r="L520" s="7">
        <v>0.7200976705526548</v>
      </c>
      <c r="M520" s="7">
        <v>0.7588641344524741</v>
      </c>
      <c r="N520" s="7">
        <v>0.4508383209590714</v>
      </c>
      <c r="O520" s="7">
        <v>0.1849179836323062</v>
      </c>
      <c r="P520" s="7">
        <v>8.240523612743953</v>
      </c>
      <c r="Q520" s="7">
        <v>0.0351334462220871</v>
      </c>
      <c r="R520" s="7">
        <v>0.0950865179124198</v>
      </c>
      <c r="S520" s="7">
        <v>0.1180410853169909</v>
      </c>
      <c r="T520" s="7">
        <v>1.885865281217532</v>
      </c>
    </row>
    <row x14ac:dyDescent="0.25" r="521" customHeight="1" ht="19.5">
      <c r="A521" s="2" t="s">
        <v>554</v>
      </c>
      <c r="B521" s="2" t="s">
        <v>30</v>
      </c>
      <c r="C521" s="2" t="s">
        <v>31</v>
      </c>
      <c r="D521" s="2" t="s">
        <v>431</v>
      </c>
      <c r="E521" s="6">
        <v>1</v>
      </c>
      <c r="F521" s="6">
        <v>0</v>
      </c>
      <c r="G521" s="7">
        <v>0.8990094065666199</v>
      </c>
      <c r="H521" s="7">
        <v>45.76033515625</v>
      </c>
      <c r="I521" s="7">
        <v>28.5059358823097</v>
      </c>
      <c r="J521" s="7">
        <v>8.702449779314197</v>
      </c>
      <c r="K521" s="7">
        <v>6.541025740108314</v>
      </c>
      <c r="L521" s="7">
        <v>0.7237912909530253</v>
      </c>
      <c r="M521" s="7">
        <v>0.707666199507118</v>
      </c>
      <c r="N521" s="7">
        <v>0.4086815610322699</v>
      </c>
      <c r="O521" s="7">
        <v>0.1628770592532654</v>
      </c>
      <c r="P521" s="7">
        <v>8.605494337848516</v>
      </c>
      <c r="Q521" s="7">
        <v>0.0409130856733138</v>
      </c>
      <c r="R521" s="7">
        <v>0.109092779612625</v>
      </c>
      <c r="S521" s="7">
        <v>0.1450783525178907</v>
      </c>
      <c r="T521" s="7">
        <v>2.172912368655039</v>
      </c>
    </row>
    <row x14ac:dyDescent="0.25" r="522" customHeight="1" ht="19.5">
      <c r="A522" s="2" t="s">
        <v>555</v>
      </c>
      <c r="B522" s="2" t="s">
        <v>30</v>
      </c>
      <c r="C522" s="2" t="s">
        <v>31</v>
      </c>
      <c r="D522" s="2" t="s">
        <v>431</v>
      </c>
      <c r="E522" s="6">
        <v>1</v>
      </c>
      <c r="F522" s="6">
        <v>0</v>
      </c>
      <c r="G522" s="7">
        <v>0.9018871784210204</v>
      </c>
      <c r="H522" s="7">
        <v>46.0685671875</v>
      </c>
      <c r="I522" s="7">
        <v>28.31719877222625</v>
      </c>
      <c r="J522" s="7">
        <v>8.810114845710203</v>
      </c>
      <c r="K522" s="7">
        <v>6.689683834654495</v>
      </c>
      <c r="L522" s="7">
        <v>0.728557035673875</v>
      </c>
      <c r="M522" s="7">
        <v>0.7219614200264343</v>
      </c>
      <c r="N522" s="7">
        <v>0.4025599427967062</v>
      </c>
      <c r="O522" s="7">
        <v>0.1657656748040638</v>
      </c>
      <c r="P522" s="7">
        <v>8.62844531383512</v>
      </c>
      <c r="Q522" s="7">
        <v>0.0420455193544547</v>
      </c>
      <c r="R522" s="7">
        <v>0.1106070155956281</v>
      </c>
      <c r="S522" s="7">
        <v>0.1458642921855596</v>
      </c>
      <c r="T522" s="7">
        <v>2.248097830748126</v>
      </c>
    </row>
    <row x14ac:dyDescent="0.25" r="523" customHeight="1" ht="19.5">
      <c r="A523" s="2" t="s">
        <v>556</v>
      </c>
      <c r="B523" s="2" t="s">
        <v>30</v>
      </c>
      <c r="C523" s="2" t="s">
        <v>31</v>
      </c>
      <c r="D523" s="2" t="s">
        <v>431</v>
      </c>
      <c r="E523" s="6">
        <v>1</v>
      </c>
      <c r="F523" s="6">
        <v>0</v>
      </c>
      <c r="G523" s="7">
        <v>0.906092405319214</v>
      </c>
      <c r="H523" s="7">
        <v>45.69106953125</v>
      </c>
      <c r="I523" s="7">
        <v>27.38396901136211</v>
      </c>
      <c r="J523" s="7">
        <v>8.772659434279209</v>
      </c>
      <c r="K523" s="7">
        <v>6.845674603547915</v>
      </c>
      <c r="L523" s="7">
        <v>0.7177657998003956</v>
      </c>
      <c r="M523" s="7">
        <v>0.7653337096084358</v>
      </c>
      <c r="N523" s="7">
        <v>0.4157709637041999</v>
      </c>
      <c r="O523" s="7">
        <v>0.1810154439453762</v>
      </c>
      <c r="P523" s="7">
        <v>8.495527371290954</v>
      </c>
      <c r="Q523" s="7">
        <v>0.0420742017481517</v>
      </c>
      <c r="R523" s="7">
        <v>0.1113685426767923</v>
      </c>
      <c r="S523" s="7">
        <v>0.14480958855616</v>
      </c>
      <c r="T523" s="7">
        <v>2.2311973694881</v>
      </c>
    </row>
    <row x14ac:dyDescent="0.25" r="524" customHeight="1" ht="19.5">
      <c r="A524" s="2" t="s">
        <v>557</v>
      </c>
      <c r="B524" s="2" t="s">
        <v>30</v>
      </c>
      <c r="C524" s="2" t="s">
        <v>31</v>
      </c>
      <c r="D524" s="2" t="s">
        <v>431</v>
      </c>
      <c r="E524" s="6">
        <v>1</v>
      </c>
      <c r="F524" s="6">
        <v>0</v>
      </c>
      <c r="G524" s="7">
        <v>0.9038214087486268</v>
      </c>
      <c r="H524" s="7">
        <v>46.07549375</v>
      </c>
      <c r="I524" s="7">
        <v>27.9153482290824</v>
      </c>
      <c r="J524" s="7">
        <v>8.677412336799323</v>
      </c>
      <c r="K524" s="7">
        <v>6.666929351229051</v>
      </c>
      <c r="L524" s="7">
        <v>0.7223624885565019</v>
      </c>
      <c r="M524" s="7">
        <v>0.7430084660443302</v>
      </c>
      <c r="N524" s="7">
        <v>0.4153852594445473</v>
      </c>
      <c r="O524" s="7">
        <v>0.1794695180779774</v>
      </c>
      <c r="P524" s="7">
        <v>8.520823561316833</v>
      </c>
      <c r="Q524" s="7">
        <v>0.0418205794327875</v>
      </c>
      <c r="R524" s="7">
        <v>0.1111264231238794</v>
      </c>
      <c r="S524" s="7">
        <v>0.1449217641170453</v>
      </c>
      <c r="T524" s="7">
        <v>2.236406900883542</v>
      </c>
    </row>
    <row x14ac:dyDescent="0.25" r="525" customHeight="1" ht="19.5">
      <c r="A525" s="2" t="s">
        <v>558</v>
      </c>
      <c r="B525" s="2" t="s">
        <v>30</v>
      </c>
      <c r="C525" s="2" t="s">
        <v>31</v>
      </c>
      <c r="D525" s="2" t="s">
        <v>431</v>
      </c>
      <c r="E525" s="6">
        <v>1</v>
      </c>
      <c r="F525" s="6">
        <v>0</v>
      </c>
      <c r="G525" s="7">
        <v>0.9045971632003784</v>
      </c>
      <c r="H525" s="7">
        <v>45.7083859375</v>
      </c>
      <c r="I525" s="7">
        <v>28.28272544567149</v>
      </c>
      <c r="J525" s="7">
        <v>8.689079804728436</v>
      </c>
      <c r="K525" s="7">
        <v>6.736713127793124</v>
      </c>
      <c r="L525" s="7">
        <v>0.7185655802185236</v>
      </c>
      <c r="M525" s="7">
        <v>0.7180641329782067</v>
      </c>
      <c r="N525" s="7">
        <v>0.416993660759872</v>
      </c>
      <c r="O525" s="7">
        <v>0.1818757824902398</v>
      </c>
      <c r="P525" s="7">
        <v>8.48627650396148</v>
      </c>
      <c r="Q525" s="7">
        <v>0.0417341272674894</v>
      </c>
      <c r="R525" s="7">
        <v>0.1104319287015834</v>
      </c>
      <c r="S525" s="7">
        <v>0.1478502172656085</v>
      </c>
      <c r="T525" s="7">
        <v>2.214001964162675</v>
      </c>
    </row>
    <row x14ac:dyDescent="0.25" r="526" customHeight="1" ht="19.5">
      <c r="A526" s="2" t="s">
        <v>559</v>
      </c>
      <c r="B526" s="2" t="s">
        <v>30</v>
      </c>
      <c r="C526" s="2" t="s">
        <v>31</v>
      </c>
      <c r="D526" s="2" t="s">
        <v>431</v>
      </c>
      <c r="E526" s="6">
        <v>1</v>
      </c>
      <c r="F526" s="6">
        <v>0</v>
      </c>
      <c r="G526" s="7">
        <v>0.904877781867981</v>
      </c>
      <c r="H526" s="7">
        <v>45.7776515625</v>
      </c>
      <c r="I526" s="7">
        <v>27.7387992804874</v>
      </c>
      <c r="J526" s="7">
        <v>8.682927560594164</v>
      </c>
      <c r="K526" s="7">
        <v>6.678633440997261</v>
      </c>
      <c r="L526" s="7">
        <v>0.7194183467672188</v>
      </c>
      <c r="M526" s="7">
        <v>0.7476323021683537</v>
      </c>
      <c r="N526" s="7">
        <v>0.4115562023337817</v>
      </c>
      <c r="O526" s="7">
        <v>0.1731385851467239</v>
      </c>
      <c r="P526" s="7">
        <v>8.551629695844632</v>
      </c>
      <c r="Q526" s="7">
        <v>0.0425493276460256</v>
      </c>
      <c r="R526" s="7">
        <v>0.1127281922102173</v>
      </c>
      <c r="S526" s="7">
        <v>0.1503473652197414</v>
      </c>
      <c r="T526" s="7">
        <v>2.260669063169344</v>
      </c>
    </row>
    <row x14ac:dyDescent="0.25" r="527" customHeight="1" ht="19.5">
      <c r="A527" s="2" t="s">
        <v>560</v>
      </c>
      <c r="B527" s="2" t="s">
        <v>30</v>
      </c>
      <c r="C527" s="2" t="s">
        <v>31</v>
      </c>
      <c r="D527" s="2" t="s">
        <v>431</v>
      </c>
      <c r="E527" s="6">
        <v>1</v>
      </c>
      <c r="F527" s="6">
        <v>0</v>
      </c>
      <c r="G527" s="7">
        <v>0.9012752771377563</v>
      </c>
      <c r="H527" s="7">
        <v>46.12744296875</v>
      </c>
      <c r="I527" s="7">
        <v>27.72278758915301</v>
      </c>
      <c r="J527" s="7">
        <v>8.832755518794883</v>
      </c>
      <c r="K527" s="7">
        <v>6.718458219747264</v>
      </c>
      <c r="L527" s="7">
        <v>0.7302782611889669</v>
      </c>
      <c r="M527" s="7">
        <v>0.7533094610276597</v>
      </c>
      <c r="N527" s="7">
        <v>0.4117325214203924</v>
      </c>
      <c r="O527" s="7">
        <v>0.1747975755584397</v>
      </c>
      <c r="P527" s="7">
        <v>8.551293763985871</v>
      </c>
      <c r="Q527" s="7">
        <v>0.0405905037435077</v>
      </c>
      <c r="R527" s="7">
        <v>0.1091112634770019</v>
      </c>
      <c r="S527" s="7">
        <v>0.1439344407240093</v>
      </c>
      <c r="T527" s="7">
        <v>2.173074430724947</v>
      </c>
    </row>
    <row x14ac:dyDescent="0.25" r="528" customHeight="1" ht="19.5">
      <c r="A528" s="2" t="s">
        <v>561</v>
      </c>
      <c r="B528" s="2" t="s">
        <v>30</v>
      </c>
      <c r="C528" s="2" t="s">
        <v>31</v>
      </c>
      <c r="D528" s="2" t="s">
        <v>431</v>
      </c>
      <c r="E528" s="6">
        <v>1</v>
      </c>
      <c r="F528" s="6">
        <v>0</v>
      </c>
      <c r="G528" s="7">
        <v>0.9040279388427734</v>
      </c>
      <c r="H528" s="7">
        <v>45.44863984375</v>
      </c>
      <c r="I528" s="7">
        <v>27.12001177443726</v>
      </c>
      <c r="J528" s="7">
        <v>8.70260707032268</v>
      </c>
      <c r="K528" s="7">
        <v>6.622512067446376</v>
      </c>
      <c r="L528" s="7">
        <v>0.7181644678211817</v>
      </c>
      <c r="M528" s="7">
        <v>0.7758070030453006</v>
      </c>
      <c r="N528" s="7">
        <v>0.3952960122370094</v>
      </c>
      <c r="O528" s="7">
        <v>0.1495103545486484</v>
      </c>
      <c r="P528" s="7">
        <v>8.724780633152978</v>
      </c>
      <c r="Q528" s="7">
        <v>0.0416752963082864</v>
      </c>
      <c r="R528" s="7">
        <v>0.1094580744975366</v>
      </c>
      <c r="S528" s="7">
        <v>0.1456629718633759</v>
      </c>
      <c r="T528" s="7">
        <v>2.198317245293388</v>
      </c>
    </row>
    <row x14ac:dyDescent="0.25" r="529" customHeight="1" ht="19.5">
      <c r="A529" s="2" t="s">
        <v>562</v>
      </c>
      <c r="B529" s="2" t="s">
        <v>30</v>
      </c>
      <c r="C529" s="2" t="s">
        <v>31</v>
      </c>
      <c r="D529" s="2" t="s">
        <v>431</v>
      </c>
      <c r="E529" s="6">
        <v>1</v>
      </c>
      <c r="F529" s="6">
        <v>0</v>
      </c>
      <c r="G529" s="7">
        <v>0.9015475511550904</v>
      </c>
      <c r="H529" s="7">
        <v>45.2650859375</v>
      </c>
      <c r="I529" s="7">
        <v>28.00902999114416</v>
      </c>
      <c r="J529" s="7">
        <v>8.71427733196337</v>
      </c>
      <c r="K529" s="7">
        <v>6.858854811568711</v>
      </c>
      <c r="L529" s="7">
        <v>0.7143177496114304</v>
      </c>
      <c r="M529" s="7">
        <v>0.7248433224011002</v>
      </c>
      <c r="N529" s="7">
        <v>0.4221984161652691</v>
      </c>
      <c r="O529" s="7">
        <v>0.1887140864970953</v>
      </c>
      <c r="P529" s="7">
        <v>8.448563434613131</v>
      </c>
      <c r="Q529" s="7">
        <v>0.0422384460391416</v>
      </c>
      <c r="R529" s="7">
        <v>0.109404821901464</v>
      </c>
      <c r="S529" s="7">
        <v>0.1442021694906599</v>
      </c>
      <c r="T529" s="7">
        <v>2.219024316474592</v>
      </c>
    </row>
    <row x14ac:dyDescent="0.25" r="530" customHeight="1" ht="19.5">
      <c r="A530" s="2" t="s">
        <v>563</v>
      </c>
      <c r="B530" s="2" t="s">
        <v>30</v>
      </c>
      <c r="C530" s="2" t="s">
        <v>31</v>
      </c>
      <c r="D530" s="2" t="s">
        <v>431</v>
      </c>
      <c r="E530" s="6">
        <v>1</v>
      </c>
      <c r="F530" s="6">
        <v>0</v>
      </c>
      <c r="G530" s="7">
        <v>0.9022395014762878</v>
      </c>
      <c r="H530" s="7">
        <v>45.31703515625</v>
      </c>
      <c r="I530" s="7">
        <v>27.41844233791685</v>
      </c>
      <c r="J530" s="7">
        <v>8.736566343451226</v>
      </c>
      <c r="K530" s="7">
        <v>6.888344866944575</v>
      </c>
      <c r="L530" s="7">
        <v>0.7061518760502483</v>
      </c>
      <c r="M530" s="7">
        <v>0.7575055088417275</v>
      </c>
      <c r="N530" s="7">
        <v>0.420960373701729</v>
      </c>
      <c r="O530" s="7">
        <v>0.1887452364866078</v>
      </c>
      <c r="P530" s="7">
        <v>8.440231423535828</v>
      </c>
      <c r="Q530" s="7">
        <v>0.0410850471831669</v>
      </c>
      <c r="R530" s="7">
        <v>0.1091855305532931</v>
      </c>
      <c r="S530" s="7">
        <v>0.1466625654893252</v>
      </c>
      <c r="T530" s="7">
        <v>2.160906912500159</v>
      </c>
    </row>
    <row x14ac:dyDescent="0.25" r="531" customHeight="1" ht="19.5">
      <c r="A531" s="2" t="s">
        <v>564</v>
      </c>
      <c r="B531" s="2" t="s">
        <v>30</v>
      </c>
      <c r="C531" s="2" t="s">
        <v>31</v>
      </c>
      <c r="D531" s="2" t="s">
        <v>431</v>
      </c>
      <c r="E531" s="6">
        <v>1</v>
      </c>
      <c r="F531" s="6">
        <v>0</v>
      </c>
      <c r="G531" s="7">
        <v>0.9032719731330872</v>
      </c>
      <c r="H531" s="7">
        <v>46.00276484375</v>
      </c>
      <c r="I531" s="7">
        <v>27.860680895372</v>
      </c>
      <c r="J531" s="7">
        <v>8.790818440470499</v>
      </c>
      <c r="K531" s="7">
        <v>6.605924532715234</v>
      </c>
      <c r="L531" s="7">
        <v>0.7286183777458408</v>
      </c>
      <c r="M531" s="7">
        <v>0.7447497158415444</v>
      </c>
      <c r="N531" s="7">
        <v>0.4007801375129355</v>
      </c>
      <c r="O531" s="7">
        <v>0.1597100888437555</v>
      </c>
      <c r="P531" s="7">
        <v>8.658723684770333</v>
      </c>
      <c r="Q531" s="7">
        <v>0.0414557754824073</v>
      </c>
      <c r="R531" s="7">
        <v>0.1106083470200869</v>
      </c>
      <c r="S531" s="7">
        <v>0.1471241498267956</v>
      </c>
      <c r="T531" s="7">
        <v>2.213399247409966</v>
      </c>
    </row>
    <row x14ac:dyDescent="0.25" r="532" customHeight="1" ht="19.5">
      <c r="A532" s="2" t="s">
        <v>565</v>
      </c>
      <c r="B532" s="2" t="s">
        <v>30</v>
      </c>
      <c r="C532" s="2" t="s">
        <v>31</v>
      </c>
      <c r="D532" s="2" t="s">
        <v>431</v>
      </c>
      <c r="E532" s="6">
        <v>1</v>
      </c>
      <c r="F532" s="6">
        <v>0</v>
      </c>
      <c r="G532" s="7">
        <v>0.9030029773712158</v>
      </c>
      <c r="H532" s="7">
        <v>44.99495</v>
      </c>
      <c r="I532" s="7">
        <v>27.00822716313048</v>
      </c>
      <c r="J532" s="7">
        <v>8.573328403383755</v>
      </c>
      <c r="K532" s="7">
        <v>6.646877990873419</v>
      </c>
      <c r="L532" s="7">
        <v>0.7028321198930693</v>
      </c>
      <c r="M532" s="7">
        <v>0.7751423799402132</v>
      </c>
      <c r="N532" s="7">
        <v>0.4001094760709413</v>
      </c>
      <c r="O532" s="7">
        <v>0.1557284370290954</v>
      </c>
      <c r="P532" s="7">
        <v>8.67323339198785</v>
      </c>
      <c r="Q532" s="7">
        <v>0.0434672204821828</v>
      </c>
      <c r="R532" s="7">
        <v>0.1127229821068976</v>
      </c>
      <c r="S532" s="7">
        <v>0.1497422793186278</v>
      </c>
      <c r="T532" s="7">
        <v>2.269950692744113</v>
      </c>
    </row>
    <row x14ac:dyDescent="0.25" r="533" customHeight="1" ht="19.5">
      <c r="A533" s="2" t="s">
        <v>566</v>
      </c>
      <c r="B533" s="2" t="s">
        <v>30</v>
      </c>
      <c r="C533" s="2" t="s">
        <v>31</v>
      </c>
      <c r="D533" s="2" t="s">
        <v>431</v>
      </c>
      <c r="E533" s="6">
        <v>1</v>
      </c>
      <c r="F533" s="6">
        <v>0</v>
      </c>
      <c r="G533" s="7">
        <v>0.9047163724899292</v>
      </c>
      <c r="H533" s="7">
        <v>45.67028984375001</v>
      </c>
      <c r="I533" s="7">
        <v>27.59080897069059</v>
      </c>
      <c r="J533" s="7">
        <v>8.798032324834802</v>
      </c>
      <c r="K533" s="7">
        <v>6.747943058814474</v>
      </c>
      <c r="L533" s="7">
        <v>0.7173835229913162</v>
      </c>
      <c r="M533" s="7">
        <v>0.7536159201496003</v>
      </c>
      <c r="N533" s="7">
        <v>0.4059753008910333</v>
      </c>
      <c r="O533" s="7">
        <v>0.1665927215985877</v>
      </c>
      <c r="P533" s="7">
        <v>8.593900386164037</v>
      </c>
      <c r="Q533" s="7">
        <v>0.0409995241646482</v>
      </c>
      <c r="R533" s="7">
        <v>0.10861731713949</v>
      </c>
      <c r="S533" s="7">
        <v>0.1452873265670238</v>
      </c>
      <c r="T533" s="7">
        <v>2.173218354292733</v>
      </c>
    </row>
    <row x14ac:dyDescent="0.25" r="534" customHeight="1" ht="19.5">
      <c r="A534" s="2" t="s">
        <v>567</v>
      </c>
      <c r="B534" s="2" t="s">
        <v>30</v>
      </c>
      <c r="C534" s="2" t="s">
        <v>31</v>
      </c>
      <c r="D534" s="2" t="s">
        <v>431</v>
      </c>
      <c r="E534" s="6">
        <v>1</v>
      </c>
      <c r="F534" s="6">
        <v>0</v>
      </c>
      <c r="G534" s="7">
        <v>0.9007322788238524</v>
      </c>
      <c r="H534" s="7">
        <v>46.0408609375</v>
      </c>
      <c r="I534" s="7">
        <v>28.59543532855019</v>
      </c>
      <c r="J534" s="7">
        <v>8.810288160876244</v>
      </c>
      <c r="K534" s="7">
        <v>6.68173412756013</v>
      </c>
      <c r="L534" s="7">
        <v>0.727835767616011</v>
      </c>
      <c r="M534" s="7">
        <v>0.7075544636795916</v>
      </c>
      <c r="N534" s="7">
        <v>0.4027313631508637</v>
      </c>
      <c r="O534" s="7">
        <v>0.1654703142978468</v>
      </c>
      <c r="P534" s="7">
        <v>8.62349133506891</v>
      </c>
      <c r="Q534" s="7">
        <v>0.0415436748383092</v>
      </c>
      <c r="R534" s="7">
        <v>0.1102509679046921</v>
      </c>
      <c r="S534" s="7">
        <v>0.1448660951446064</v>
      </c>
      <c r="T534" s="7">
        <v>2.219929214221288</v>
      </c>
    </row>
    <row x14ac:dyDescent="0.25" r="535" customHeight="1" ht="19.5">
      <c r="A535" s="2" t="s">
        <v>568</v>
      </c>
      <c r="B535" s="2" t="s">
        <v>30</v>
      </c>
      <c r="C535" s="2" t="s">
        <v>31</v>
      </c>
      <c r="D535" s="2" t="s">
        <v>431</v>
      </c>
      <c r="E535" s="6">
        <v>1</v>
      </c>
      <c r="F535" s="6">
        <v>0</v>
      </c>
      <c r="G535" s="7">
        <v>0.9037514925003052</v>
      </c>
      <c r="H535" s="7">
        <v>45.97505859375001</v>
      </c>
      <c r="I535" s="7">
        <v>27.65975562380008</v>
      </c>
      <c r="J535" s="7">
        <v>8.885938992608612</v>
      </c>
      <c r="K535" s="7">
        <v>6.719707317401374</v>
      </c>
      <c r="L535" s="7">
        <v>0.7268003482304096</v>
      </c>
      <c r="M535" s="7">
        <v>0.7545281747480854</v>
      </c>
      <c r="N535" s="7">
        <v>0.3984904781439005</v>
      </c>
      <c r="O535" s="7">
        <v>0.1587163352266688</v>
      </c>
      <c r="P535" s="7">
        <v>8.66694395462716</v>
      </c>
      <c r="Q535" s="7">
        <v>0.0397166542101606</v>
      </c>
      <c r="R535" s="7">
        <v>0.1065256159430012</v>
      </c>
      <c r="S535" s="7">
        <v>0.1435535153216699</v>
      </c>
      <c r="T535" s="7">
        <v>2.119267251922716</v>
      </c>
    </row>
    <row x14ac:dyDescent="0.25" r="536" customHeight="1" ht="19.5">
      <c r="A536" s="2" t="s">
        <v>569</v>
      </c>
      <c r="B536" s="2" t="s">
        <v>30</v>
      </c>
      <c r="C536" s="2" t="s">
        <v>31</v>
      </c>
      <c r="D536" s="2" t="s">
        <v>431</v>
      </c>
      <c r="E536" s="6">
        <v>1</v>
      </c>
      <c r="F536" s="6">
        <v>0</v>
      </c>
      <c r="G536" s="7">
        <v>0.9060538411140442</v>
      </c>
      <c r="H536" s="7">
        <v>45.39669062500001</v>
      </c>
      <c r="I536" s="7">
        <v>27.87496021477109</v>
      </c>
      <c r="J536" s="7">
        <v>8.703851984106459</v>
      </c>
      <c r="K536" s="7">
        <v>6.778374435144983</v>
      </c>
      <c r="L536" s="7">
        <v>0.7094696301366135</v>
      </c>
      <c r="M536" s="7">
        <v>0.7339610236281731</v>
      </c>
      <c r="N536" s="7">
        <v>0.4079251517284744</v>
      </c>
      <c r="O536" s="7">
        <v>0.1721240458274325</v>
      </c>
      <c r="P536" s="7">
        <v>8.57896524180587</v>
      </c>
      <c r="Q536" s="7">
        <v>0.0426031030195829</v>
      </c>
      <c r="R536" s="7">
        <v>0.1122056109551237</v>
      </c>
      <c r="S536" s="7">
        <v>0.1464432950316433</v>
      </c>
      <c r="T536" s="7">
        <v>2.24468914690451</v>
      </c>
    </row>
    <row x14ac:dyDescent="0.25" r="537" customHeight="1" ht="19.5">
      <c r="A537" s="2" t="s">
        <v>570</v>
      </c>
      <c r="B537" s="2" t="s">
        <v>30</v>
      </c>
      <c r="C537" s="2" t="s">
        <v>31</v>
      </c>
      <c r="D537" s="2" t="s">
        <v>431</v>
      </c>
      <c r="E537" s="6">
        <v>1</v>
      </c>
      <c r="F537" s="6">
        <v>0</v>
      </c>
      <c r="G537" s="7">
        <v>0.905237913131714</v>
      </c>
      <c r="H537" s="7">
        <v>45.25815937500001</v>
      </c>
      <c r="I537" s="7">
        <v>27.40416301851776</v>
      </c>
      <c r="J537" s="7">
        <v>8.71896784647215</v>
      </c>
      <c r="K537" s="7">
        <v>6.86851233025684</v>
      </c>
      <c r="L537" s="7">
        <v>0.7100177344790969</v>
      </c>
      <c r="M537" s="7">
        <v>0.7573099568420782</v>
      </c>
      <c r="N537" s="7">
        <v>0.4230175999428162</v>
      </c>
      <c r="O537" s="7">
        <v>0.1896484927320842</v>
      </c>
      <c r="P537" s="7">
        <v>8.42337104767918</v>
      </c>
      <c r="Q537" s="7">
        <v>0.0410819357701528</v>
      </c>
      <c r="R537" s="7">
        <v>0.1085653384311002</v>
      </c>
      <c r="S537" s="7">
        <v>0.1457430193654431</v>
      </c>
      <c r="T537" s="7">
        <v>2.157936032424669</v>
      </c>
    </row>
    <row x14ac:dyDescent="0.25" r="538" customHeight="1" ht="19.5">
      <c r="A538" s="2" t="s">
        <v>571</v>
      </c>
      <c r="B538" s="2" t="s">
        <v>30</v>
      </c>
      <c r="C538" s="2" t="s">
        <v>31</v>
      </c>
      <c r="D538" s="2" t="s">
        <v>431</v>
      </c>
      <c r="E538" s="6">
        <v>1</v>
      </c>
      <c r="F538" s="6">
        <v>0</v>
      </c>
      <c r="G538" s="7">
        <v>0.90650737285614</v>
      </c>
      <c r="H538" s="7">
        <v>44.787153125</v>
      </c>
      <c r="I538" s="7">
        <v>27.00231247537392</v>
      </c>
      <c r="J538" s="7">
        <v>8.641001878904042</v>
      </c>
      <c r="K538" s="7">
        <v>6.69066911052944</v>
      </c>
      <c r="L538" s="7">
        <v>0.7081305744518301</v>
      </c>
      <c r="M538" s="7">
        <v>0.7719006457289131</v>
      </c>
      <c r="N538" s="7">
        <v>0.4084259208321819</v>
      </c>
      <c r="O538" s="7">
        <v>0.1706282063637146</v>
      </c>
      <c r="P538" s="7">
        <v>8.56726964036258</v>
      </c>
      <c r="Q538" s="7">
        <v>0.0419740999790304</v>
      </c>
      <c r="R538" s="7">
        <v>0.1112746282411504</v>
      </c>
      <c r="S538" s="7">
        <v>0.1430591490604375</v>
      </c>
      <c r="T538" s="7">
        <v>2.181853719334857</v>
      </c>
    </row>
    <row x14ac:dyDescent="0.25" r="539" customHeight="1" ht="19.5">
      <c r="A539" s="2" t="s">
        <v>572</v>
      </c>
      <c r="B539" s="2" t="s">
        <v>30</v>
      </c>
      <c r="C539" s="2" t="s">
        <v>31</v>
      </c>
      <c r="D539" s="2" t="s">
        <v>431</v>
      </c>
      <c r="E539" s="6">
        <v>1</v>
      </c>
      <c r="F539" s="6">
        <v>0</v>
      </c>
      <c r="G539" s="7">
        <v>0.9016849994659424</v>
      </c>
      <c r="H539" s="7">
        <v>45.4451765625</v>
      </c>
      <c r="I539" s="7">
        <v>27.63956161664443</v>
      </c>
      <c r="J539" s="7">
        <v>8.804056321126096</v>
      </c>
      <c r="K539" s="7">
        <v>6.715166955958144</v>
      </c>
      <c r="L539" s="7">
        <v>0.7216035107066452</v>
      </c>
      <c r="M539" s="7">
        <v>0.7475415866977548</v>
      </c>
      <c r="N539" s="7">
        <v>0.4086716592641227</v>
      </c>
      <c r="O539" s="7">
        <v>0.1697776544346537</v>
      </c>
      <c r="P539" s="7">
        <v>8.574753498026336</v>
      </c>
      <c r="Q539" s="7">
        <v>0.0413379672264116</v>
      </c>
      <c r="R539" s="7">
        <v>0.1098950900971878</v>
      </c>
      <c r="S539" s="7">
        <v>0.1470011073677647</v>
      </c>
      <c r="T539" s="7">
        <v>2.180357418002562</v>
      </c>
    </row>
    <row x14ac:dyDescent="0.25" r="540" customHeight="1" ht="19.5">
      <c r="A540" s="2" t="s">
        <v>573</v>
      </c>
      <c r="B540" s="2" t="s">
        <v>30</v>
      </c>
      <c r="C540" s="2" t="s">
        <v>31</v>
      </c>
      <c r="D540" s="2" t="s">
        <v>431</v>
      </c>
      <c r="E540" s="6">
        <v>1</v>
      </c>
      <c r="F540" s="6">
        <v>0</v>
      </c>
      <c r="G540" s="7">
        <v>0.9079961776733398</v>
      </c>
      <c r="H540" s="7">
        <v>45.66336328125</v>
      </c>
      <c r="I540" s="7">
        <v>27.50166831042544</v>
      </c>
      <c r="J540" s="7">
        <v>8.702911018599323</v>
      </c>
      <c r="K540" s="7">
        <v>6.761651827486453</v>
      </c>
      <c r="L540" s="7">
        <v>0.7161619776667285</v>
      </c>
      <c r="M540" s="7">
        <v>0.758221494464563</v>
      </c>
      <c r="N540" s="7">
        <v>0.4161443660935009</v>
      </c>
      <c r="O540" s="7">
        <v>0.1804503482030668</v>
      </c>
      <c r="P540" s="7">
        <v>8.50194358196569</v>
      </c>
      <c r="Q540" s="7">
        <v>0.0424868168340474</v>
      </c>
      <c r="R540" s="7">
        <v>0.110915137962049</v>
      </c>
      <c r="S540" s="7">
        <v>0.1470694237126242</v>
      </c>
      <c r="T540" s="7">
        <v>2.251712144970166</v>
      </c>
    </row>
    <row x14ac:dyDescent="0.25" r="541" customHeight="1" ht="19.5">
      <c r="A541" s="2" t="s">
        <v>574</v>
      </c>
      <c r="B541" s="2" t="s">
        <v>30</v>
      </c>
      <c r="C541" s="2" t="s">
        <v>31</v>
      </c>
      <c r="D541" s="2" t="s">
        <v>431</v>
      </c>
      <c r="E541" s="6">
        <v>1</v>
      </c>
      <c r="F541" s="6">
        <v>0</v>
      </c>
      <c r="G541" s="7">
        <v>0.8946408629417419</v>
      </c>
      <c r="H541" s="7">
        <v>46.27290078125</v>
      </c>
      <c r="I541" s="7">
        <v>27.82620756881726</v>
      </c>
      <c r="J541" s="7">
        <v>8.77681068468652</v>
      </c>
      <c r="K541" s="7">
        <v>6.845451505614962</v>
      </c>
      <c r="L541" s="7">
        <v>0.7223354880532428</v>
      </c>
      <c r="M541" s="7">
        <v>0.7509803073757442</v>
      </c>
      <c r="N541" s="7">
        <v>0.4450755981475154</v>
      </c>
      <c r="O541" s="7">
        <v>0.1856524605116564</v>
      </c>
      <c r="P541" s="7">
        <v>8.31012494664967</v>
      </c>
      <c r="Q541" s="7">
        <v>0.0387250959834245</v>
      </c>
      <c r="R541" s="7">
        <v>0.1036047870296286</v>
      </c>
      <c r="S541" s="7">
        <v>0.1363806459923979</v>
      </c>
      <c r="T541" s="7">
        <v>2.079744615529314</v>
      </c>
    </row>
    <row x14ac:dyDescent="0.25" r="542" customHeight="1" ht="19.5">
      <c r="A542" s="2" t="s">
        <v>575</v>
      </c>
      <c r="B542" s="2" t="s">
        <v>30</v>
      </c>
      <c r="C542" s="2" t="s">
        <v>31</v>
      </c>
      <c r="D542" s="2" t="s">
        <v>431</v>
      </c>
      <c r="E542" s="6">
        <v>1</v>
      </c>
      <c r="F542" s="6">
        <v>0</v>
      </c>
      <c r="G542" s="7">
        <v>0.5492804646492004</v>
      </c>
      <c r="H542" s="7">
        <v>43.9213328125</v>
      </c>
      <c r="I542" s="7">
        <v>33.12339359861794</v>
      </c>
      <c r="J542" s="7">
        <v>9.485801404663247</v>
      </c>
      <c r="K542" s="7">
        <v>8.648652012372674</v>
      </c>
      <c r="L542" s="7">
        <v>0.530614299097314</v>
      </c>
      <c r="M542" s="7">
        <v>0.5027776261769593</v>
      </c>
      <c r="N542" s="7">
        <v>0.6134873927878579</v>
      </c>
      <c r="O542" s="7">
        <v>0.1949739504784676</v>
      </c>
      <c r="P542" s="7">
        <v>7.233052748273232</v>
      </c>
      <c r="Q542" s="7">
        <v>0.0043905617890297</v>
      </c>
      <c r="R542" s="7">
        <v>0.0175531778358893</v>
      </c>
      <c r="S542" s="7">
        <v>0.0347653602091246</v>
      </c>
      <c r="T542" s="7">
        <v>0.2238135542151632</v>
      </c>
    </row>
    <row x14ac:dyDescent="0.25" r="543" customHeight="1" ht="19.5">
      <c r="A543" s="2" t="s">
        <v>576</v>
      </c>
      <c r="B543" s="2" t="s">
        <v>30</v>
      </c>
      <c r="C543" s="2" t="s">
        <v>31</v>
      </c>
      <c r="D543" s="2" t="s">
        <v>431</v>
      </c>
      <c r="E543" s="6">
        <v>1</v>
      </c>
      <c r="F543" s="6">
        <v>0</v>
      </c>
      <c r="G543" s="7">
        <v>0.3473594784736633</v>
      </c>
      <c r="H543" s="7">
        <v>60.29918984375001</v>
      </c>
      <c r="I543" s="7">
        <v>31.6792758552231</v>
      </c>
      <c r="J543" s="7">
        <v>11.0585342839087</v>
      </c>
      <c r="K543" s="7">
        <v>9.9920028439102</v>
      </c>
      <c r="L543" s="7">
        <v>0.2708731841714532</v>
      </c>
      <c r="M543" s="7">
        <v>0.7531334529036456</v>
      </c>
      <c r="N543" s="7">
        <v>0.5831057483138219</v>
      </c>
      <c r="O543" s="7">
        <v>0.0834180318231659</v>
      </c>
      <c r="P543" s="7">
        <v>7.873682273121044</v>
      </c>
      <c r="Q543" s="7">
        <v>0.0035941332588906</v>
      </c>
      <c r="R543" s="7">
        <v>0.0182528458778591</v>
      </c>
      <c r="S543" s="7">
        <v>0.0428432806623548</v>
      </c>
      <c r="T543" s="7">
        <v>0.2515338467174438</v>
      </c>
    </row>
    <row x14ac:dyDescent="0.25" r="544" customHeight="1" ht="19.5">
      <c r="A544" s="2" t="s">
        <v>577</v>
      </c>
      <c r="B544" s="2" t="s">
        <v>30</v>
      </c>
      <c r="C544" s="2" t="s">
        <v>31</v>
      </c>
      <c r="D544" s="2" t="s">
        <v>431</v>
      </c>
      <c r="E544" s="6">
        <v>1</v>
      </c>
      <c r="F544" s="6">
        <v>0</v>
      </c>
      <c r="G544" s="7">
        <v>0.4293717741966247</v>
      </c>
      <c r="H544" s="7">
        <v>50.57775937500001</v>
      </c>
      <c r="I544" s="7">
        <v>42.09500780831883</v>
      </c>
      <c r="J544" s="7">
        <v>10.8805596448147</v>
      </c>
      <c r="K544" s="7">
        <v>9.335842718568408</v>
      </c>
      <c r="L544" s="7">
        <v>0.5402925975283682</v>
      </c>
      <c r="M544" s="7">
        <v>0.3586809085116113</v>
      </c>
      <c r="N544" s="7">
        <v>0.5631891987344313</v>
      </c>
      <c r="O544" s="7">
        <v>0.1428886260452082</v>
      </c>
      <c r="P544" s="7">
        <v>8.21226871210792</v>
      </c>
      <c r="Q544" s="7">
        <v>0.0153983547612066</v>
      </c>
      <c r="R544" s="7">
        <v>0.0445446767143044</v>
      </c>
      <c r="S544" s="7">
        <v>0.0574344927617228</v>
      </c>
      <c r="T544" s="7">
        <v>0.9039089510749008</v>
      </c>
    </row>
    <row x14ac:dyDescent="0.25" r="545" customHeight="1" ht="19.5">
      <c r="A545" s="2" t="s">
        <v>578</v>
      </c>
      <c r="B545" s="2" t="s">
        <v>30</v>
      </c>
      <c r="C545" s="2" t="s">
        <v>31</v>
      </c>
      <c r="D545" s="2" t="s">
        <v>431</v>
      </c>
      <c r="E545" s="6">
        <v>1</v>
      </c>
      <c r="F545" s="6">
        <v>0</v>
      </c>
      <c r="G545" s="7">
        <v>0.73345547914505</v>
      </c>
      <c r="H545" s="7">
        <v>40.10479687500001</v>
      </c>
      <c r="I545" s="7">
        <v>26.48867732092331</v>
      </c>
      <c r="J545" s="7">
        <v>7.698393805670459</v>
      </c>
      <c r="K545" s="7">
        <v>7.248554348306232</v>
      </c>
      <c r="L545" s="7">
        <v>0.5786149804621928</v>
      </c>
      <c r="M545" s="7">
        <v>0.7155994078688749</v>
      </c>
      <c r="N545" s="7">
        <v>0.5742877783650604</v>
      </c>
      <c r="O545" s="7">
        <v>0.2051085338449662</v>
      </c>
      <c r="P545" s="7">
        <v>7.681363589724658</v>
      </c>
      <c r="Q545" s="7">
        <v>0.0214495544897096</v>
      </c>
      <c r="R545" s="7">
        <v>0.0566510438363956</v>
      </c>
      <c r="S545" s="7">
        <v>0.0650719913636663</v>
      </c>
      <c r="T545" s="7">
        <v>0.9984018506777264</v>
      </c>
    </row>
    <row x14ac:dyDescent="0.25" r="546" customHeight="1" ht="19.5">
      <c r="A546" s="2" t="s">
        <v>579</v>
      </c>
      <c r="B546" s="2" t="s">
        <v>30</v>
      </c>
      <c r="C546" s="2" t="s">
        <v>31</v>
      </c>
      <c r="D546" s="2" t="s">
        <v>431</v>
      </c>
      <c r="E546" s="6">
        <v>1</v>
      </c>
      <c r="F546" s="6">
        <v>0</v>
      </c>
      <c r="G546" s="7">
        <v>0.7982132434844971</v>
      </c>
      <c r="H546" s="7">
        <v>41.0260296875</v>
      </c>
      <c r="I546" s="7">
        <v>29.48409475928175</v>
      </c>
      <c r="J546" s="7">
        <v>7.76806033418697</v>
      </c>
      <c r="K546" s="7">
        <v>7.094509595313967</v>
      </c>
      <c r="L546" s="7">
        <v>0.5993637642502856</v>
      </c>
      <c r="M546" s="7">
        <v>0.592352451328511</v>
      </c>
      <c r="N546" s="7">
        <v>0.5303047549344698</v>
      </c>
      <c r="O546" s="7">
        <v>0.189195181077211</v>
      </c>
      <c r="P546" s="7">
        <v>8.01244263379365</v>
      </c>
      <c r="Q546" s="7">
        <v>0.0243337277232662</v>
      </c>
      <c r="R546" s="7">
        <v>0.0664000814331143</v>
      </c>
      <c r="S546" s="7">
        <v>0.0847811344265621</v>
      </c>
      <c r="T546" s="7">
        <v>1.15866773722456</v>
      </c>
    </row>
    <row x14ac:dyDescent="0.25" r="547" customHeight="1" ht="19.5">
      <c r="A547" s="2" t="s">
        <v>580</v>
      </c>
      <c r="B547" s="2" t="s">
        <v>30</v>
      </c>
      <c r="C547" s="2" t="s">
        <v>31</v>
      </c>
      <c r="D547" s="2" t="s">
        <v>431</v>
      </c>
      <c r="E547" s="6">
        <v>1</v>
      </c>
      <c r="F547" s="6">
        <v>0</v>
      </c>
      <c r="G547" s="7">
        <v>0.8190131783485413</v>
      </c>
      <c r="H547" s="7">
        <v>41.29270234375</v>
      </c>
      <c r="I547" s="7">
        <v>28.54250036677508</v>
      </c>
      <c r="J547" s="7">
        <v>7.898185193226974</v>
      </c>
      <c r="K547" s="7">
        <v>6.852617367383836</v>
      </c>
      <c r="L547" s="7">
        <v>0.6188219388165164</v>
      </c>
      <c r="M547" s="7">
        <v>0.6369409026444572</v>
      </c>
      <c r="N547" s="7">
        <v>0.508945378140906</v>
      </c>
      <c r="O547" s="7">
        <v>0.1963357638698905</v>
      </c>
      <c r="P547" s="7">
        <v>8.083485752092983</v>
      </c>
      <c r="Q547" s="7">
        <v>0.0254113267134176</v>
      </c>
      <c r="R547" s="7">
        <v>0.0713551002734597</v>
      </c>
      <c r="S547" s="7">
        <v>0.09392770767167</v>
      </c>
      <c r="T547" s="7">
        <v>1.217843340493541</v>
      </c>
    </row>
    <row x14ac:dyDescent="0.25" r="548" customHeight="1" ht="19.5">
      <c r="A548" s="2" t="s">
        <v>581</v>
      </c>
      <c r="B548" s="2" t="s">
        <v>30</v>
      </c>
      <c r="C548" s="2" t="s">
        <v>31</v>
      </c>
      <c r="D548" s="2" t="s">
        <v>431</v>
      </c>
      <c r="E548" s="6">
        <v>1</v>
      </c>
      <c r="F548" s="6">
        <v>0</v>
      </c>
      <c r="G548" s="7">
        <v>0.7990216612815857</v>
      </c>
      <c r="H548" s="7">
        <v>40.9567640625</v>
      </c>
      <c r="I548" s="7">
        <v>26.72616707696061</v>
      </c>
      <c r="J548" s="7">
        <v>7.594871904867256</v>
      </c>
      <c r="K548" s="7">
        <v>6.798234617623897</v>
      </c>
      <c r="L548" s="7">
        <v>0.5872527018261711</v>
      </c>
      <c r="M548" s="7">
        <v>0.7198155661249681</v>
      </c>
      <c r="N548" s="7">
        <v>0.5113622214918387</v>
      </c>
      <c r="O548" s="7">
        <v>0.1906928603167694</v>
      </c>
      <c r="P548" s="7">
        <v>8.127802761174351</v>
      </c>
      <c r="Q548" s="7">
        <v>0.0249232096573893</v>
      </c>
      <c r="R548" s="7">
        <v>0.0705088952732036</v>
      </c>
      <c r="S548" s="7">
        <v>0.0938660709382614</v>
      </c>
      <c r="T548" s="7">
        <v>1.184732731554998</v>
      </c>
    </row>
    <row x14ac:dyDescent="0.25" r="549" customHeight="1" ht="19.5">
      <c r="A549" s="2" t="s">
        <v>582</v>
      </c>
      <c r="B549" s="2" t="s">
        <v>30</v>
      </c>
      <c r="C549" s="2" t="s">
        <v>31</v>
      </c>
      <c r="D549" s="2" t="s">
        <v>431</v>
      </c>
      <c r="E549" s="6">
        <v>1</v>
      </c>
      <c r="F549" s="6">
        <v>0</v>
      </c>
      <c r="G549" s="7">
        <v>0.8109390139579773</v>
      </c>
      <c r="H549" s="7">
        <v>40.42688203125</v>
      </c>
      <c r="I549" s="7">
        <v>27.46474503998472</v>
      </c>
      <c r="J549" s="7">
        <v>7.660157906035904</v>
      </c>
      <c r="K549" s="7">
        <v>7.09287672198808</v>
      </c>
      <c r="L549" s="7">
        <v>0.5675737077794679</v>
      </c>
      <c r="M549" s="7">
        <v>0.6723326910946836</v>
      </c>
      <c r="N549" s="7">
        <v>0.5076089683662566</v>
      </c>
      <c r="O549" s="7">
        <v>0.1844259297986304</v>
      </c>
      <c r="P549" s="7">
        <v>8.127417263945558</v>
      </c>
      <c r="Q549" s="7">
        <v>0.0254327278391094</v>
      </c>
      <c r="R549" s="7">
        <v>0.0712469669371825</v>
      </c>
      <c r="S549" s="7">
        <v>0.0945295057183919</v>
      </c>
      <c r="T549" s="7">
        <v>1.193311898675347</v>
      </c>
    </row>
    <row x14ac:dyDescent="0.25" r="550" customHeight="1" ht="19.5">
      <c r="A550" s="2" t="s">
        <v>583</v>
      </c>
      <c r="B550" s="2" t="s">
        <v>30</v>
      </c>
      <c r="C550" s="2" t="s">
        <v>31</v>
      </c>
      <c r="D550" s="2" t="s">
        <v>431</v>
      </c>
      <c r="E550" s="6">
        <v>1</v>
      </c>
      <c r="F550" s="6">
        <v>0</v>
      </c>
      <c r="G550" s="7">
        <v>0.8191325068473816</v>
      </c>
      <c r="H550" s="7">
        <v>41.02256640625</v>
      </c>
      <c r="I550" s="7">
        <v>26.55344165821154</v>
      </c>
      <c r="J550" s="7">
        <v>7.650494699417802</v>
      </c>
      <c r="K550" s="7">
        <v>6.762118844759423</v>
      </c>
      <c r="L550" s="7">
        <v>0.6034904645039793</v>
      </c>
      <c r="M550" s="7">
        <v>0.7306302264221156</v>
      </c>
      <c r="N550" s="7">
        <v>0.5070858364860601</v>
      </c>
      <c r="O550" s="7">
        <v>0.1844976709795753</v>
      </c>
      <c r="P550" s="7">
        <v>8.1468815328844</v>
      </c>
      <c r="Q550" s="7">
        <v>0.0261585051076756</v>
      </c>
      <c r="R550" s="7">
        <v>0.0712428819038294</v>
      </c>
      <c r="S550" s="7">
        <v>0.0943688673652129</v>
      </c>
      <c r="T550" s="7">
        <v>1.245450663393018</v>
      </c>
    </row>
    <row x14ac:dyDescent="0.25" r="551" customHeight="1" ht="19.5">
      <c r="A551" s="2" t="s">
        <v>584</v>
      </c>
      <c r="B551" s="2" t="s">
        <v>30</v>
      </c>
      <c r="C551" s="2" t="s">
        <v>31</v>
      </c>
      <c r="D551" s="2" t="s">
        <v>431</v>
      </c>
      <c r="E551" s="6">
        <v>1</v>
      </c>
      <c r="F551" s="6">
        <v>0</v>
      </c>
      <c r="G551" s="7">
        <v>0.8151034712791443</v>
      </c>
      <c r="H551" s="7">
        <v>40.8320859375</v>
      </c>
      <c r="I551" s="7">
        <v>26.33650469530522</v>
      </c>
      <c r="J551" s="7">
        <v>7.554541129489534</v>
      </c>
      <c r="K551" s="7">
        <v>6.789598569063068</v>
      </c>
      <c r="L551" s="7">
        <v>0.5839482065889716</v>
      </c>
      <c r="M551" s="7">
        <v>0.7397673480969058</v>
      </c>
      <c r="N551" s="7">
        <v>0.5091445626928032</v>
      </c>
      <c r="O551" s="7">
        <v>0.1874176744054023</v>
      </c>
      <c r="P551" s="7">
        <v>8.106035253381075</v>
      </c>
      <c r="Q551" s="7">
        <v>0.0240050980851886</v>
      </c>
      <c r="R551" s="7">
        <v>0.0687593207697539</v>
      </c>
      <c r="S551" s="7">
        <v>0.0950547313858234</v>
      </c>
      <c r="T551" s="7">
        <v>1.137616366963228</v>
      </c>
    </row>
    <row x14ac:dyDescent="0.25" r="552" customHeight="1" ht="19.5">
      <c r="A552" s="2" t="s">
        <v>585</v>
      </c>
      <c r="B552" s="2" t="s">
        <v>30</v>
      </c>
      <c r="C552" s="2" t="s">
        <v>31</v>
      </c>
      <c r="D552" s="2" t="s">
        <v>431</v>
      </c>
      <c r="E552" s="6">
        <v>1</v>
      </c>
      <c r="F552" s="6">
        <v>0</v>
      </c>
      <c r="G552" s="7">
        <v>0.8168239593505859</v>
      </c>
      <c r="H552" s="7">
        <v>41.5039625</v>
      </c>
      <c r="I552" s="7">
        <v>26.25919341055321</v>
      </c>
      <c r="J552" s="7">
        <v>7.565139209264817</v>
      </c>
      <c r="K552" s="7">
        <v>6.791725863057824</v>
      </c>
      <c r="L552" s="7">
        <v>0.5931436561063128</v>
      </c>
      <c r="M552" s="7">
        <v>0.756184776493379</v>
      </c>
      <c r="N552" s="7">
        <v>0.505392865954944</v>
      </c>
      <c r="O552" s="7">
        <v>0.1769304495966487</v>
      </c>
      <c r="P552" s="7">
        <v>8.166850750540627</v>
      </c>
      <c r="Q552" s="7">
        <v>0.0254020870889134</v>
      </c>
      <c r="R552" s="7">
        <v>0.0710233062662599</v>
      </c>
      <c r="S552" s="7">
        <v>0.0958261266020838</v>
      </c>
      <c r="T552" s="7">
        <v>1.223628947862679</v>
      </c>
    </row>
    <row x14ac:dyDescent="0.25" r="553" customHeight="1" ht="19.5">
      <c r="A553" s="2" t="s">
        <v>586</v>
      </c>
      <c r="B553" s="2" t="s">
        <v>30</v>
      </c>
      <c r="C553" s="2" t="s">
        <v>31</v>
      </c>
      <c r="D553" s="2" t="s">
        <v>431</v>
      </c>
      <c r="E553" s="6">
        <v>1</v>
      </c>
      <c r="F553" s="6">
        <v>0</v>
      </c>
      <c r="G553" s="7">
        <v>0.8225352168083191</v>
      </c>
      <c r="H553" s="7">
        <v>40.7628203125</v>
      </c>
      <c r="I553" s="7">
        <v>27.27218440005533</v>
      </c>
      <c r="J553" s="7">
        <v>7.60055166471937</v>
      </c>
      <c r="K553" s="7">
        <v>6.783749966696582</v>
      </c>
      <c r="L553" s="7">
        <v>0.5846612961056447</v>
      </c>
      <c r="M553" s="7">
        <v>0.6887065907855281</v>
      </c>
      <c r="N553" s="7">
        <v>0.5025857763509483</v>
      </c>
      <c r="O553" s="7">
        <v>0.1801095206399985</v>
      </c>
      <c r="P553" s="7">
        <v>8.167062438968243</v>
      </c>
      <c r="Q553" s="7">
        <v>0.026993764736467</v>
      </c>
      <c r="R553" s="7">
        <v>0.0730612455769167</v>
      </c>
      <c r="S553" s="7">
        <v>0.0965136854150027</v>
      </c>
      <c r="T553" s="7">
        <v>1.277081057021512</v>
      </c>
    </row>
    <row x14ac:dyDescent="0.25" r="554" customHeight="1" ht="19.5">
      <c r="A554" s="2" t="s">
        <v>587</v>
      </c>
      <c r="B554" s="2" t="s">
        <v>30</v>
      </c>
      <c r="C554" s="2" t="s">
        <v>31</v>
      </c>
      <c r="D554" s="2" t="s">
        <v>431</v>
      </c>
      <c r="E554" s="6">
        <v>1</v>
      </c>
      <c r="F554" s="6">
        <v>0</v>
      </c>
      <c r="G554" s="7">
        <v>0.8264604806900024</v>
      </c>
      <c r="H554" s="7">
        <v>41.2753859375</v>
      </c>
      <c r="I554" s="7">
        <v>26.48276263316675</v>
      </c>
      <c r="J554" s="7">
        <v>7.681605392249349</v>
      </c>
      <c r="K554" s="7">
        <v>6.699771314465952</v>
      </c>
      <c r="L554" s="7">
        <v>0.6014557267689873</v>
      </c>
      <c r="M554" s="7">
        <v>0.7395617320496746</v>
      </c>
      <c r="N554" s="7">
        <v>0.5079365239808595</v>
      </c>
      <c r="O554" s="7">
        <v>0.1781629060114793</v>
      </c>
      <c r="P554" s="7">
        <v>8.191630693791101</v>
      </c>
      <c r="Q554" s="7">
        <v>0.0256344392767446</v>
      </c>
      <c r="R554" s="7">
        <v>0.0713695510268729</v>
      </c>
      <c r="S554" s="7">
        <v>0.0960049474084776</v>
      </c>
      <c r="T554" s="7">
        <v>1.228020862584815</v>
      </c>
    </row>
    <row x14ac:dyDescent="0.25" r="555" customHeight="1" ht="19.5">
      <c r="A555" s="2" t="s">
        <v>588</v>
      </c>
      <c r="B555" s="2" t="s">
        <v>30</v>
      </c>
      <c r="C555" s="2" t="s">
        <v>31</v>
      </c>
      <c r="D555" s="2" t="s">
        <v>431</v>
      </c>
      <c r="E555" s="6">
        <v>1</v>
      </c>
      <c r="F555" s="6">
        <v>0</v>
      </c>
      <c r="G555" s="7">
        <v>0.8289190530776978</v>
      </c>
      <c r="H555" s="7">
        <v>40.6381421875</v>
      </c>
      <c r="I555" s="7">
        <v>26.84177521811331</v>
      </c>
      <c r="J555" s="7">
        <v>7.48302871025408</v>
      </c>
      <c r="K555" s="7">
        <v>6.734293858039293</v>
      </c>
      <c r="L555" s="7">
        <v>0.5760452951718609</v>
      </c>
      <c r="M555" s="7">
        <v>0.7085543482544652</v>
      </c>
      <c r="N555" s="7">
        <v>0.5030776539386342</v>
      </c>
      <c r="O555" s="7">
        <v>0.1687836172454492</v>
      </c>
      <c r="P555" s="7">
        <v>8.21909504204378</v>
      </c>
      <c r="Q555" s="7">
        <v>0.0265187411778</v>
      </c>
      <c r="R555" s="7">
        <v>0.0718971098330472</v>
      </c>
      <c r="S555" s="7">
        <v>0.0924247162166924</v>
      </c>
      <c r="T555" s="7">
        <v>1.250770213647031</v>
      </c>
    </row>
    <row x14ac:dyDescent="0.25" r="556" customHeight="1" ht="19.5">
      <c r="A556" s="2" t="s">
        <v>589</v>
      </c>
      <c r="B556" s="2" t="s">
        <v>30</v>
      </c>
      <c r="C556" s="2" t="s">
        <v>31</v>
      </c>
      <c r="D556" s="2" t="s">
        <v>431</v>
      </c>
      <c r="E556" s="6">
        <v>1</v>
      </c>
      <c r="F556" s="6">
        <v>0</v>
      </c>
      <c r="G556" s="7">
        <v>0.8257632255554199</v>
      </c>
      <c r="H556" s="7">
        <v>40.658921875</v>
      </c>
      <c r="I556" s="7">
        <v>27.32685173376573</v>
      </c>
      <c r="J556" s="7">
        <v>7.647418910369218</v>
      </c>
      <c r="K556" s="7">
        <v>6.78303434736224</v>
      </c>
      <c r="L556" s="7">
        <v>0.6032964193547853</v>
      </c>
      <c r="M556" s="7">
        <v>0.6842054380913126</v>
      </c>
      <c r="N556" s="7">
        <v>0.5103369912761057</v>
      </c>
      <c r="O556" s="7">
        <v>0.1893025260152618</v>
      </c>
      <c r="P556" s="7">
        <v>8.112454931118474</v>
      </c>
      <c r="Q556" s="7">
        <v>0.0247581371086557</v>
      </c>
      <c r="R556" s="7">
        <v>0.069342554298756</v>
      </c>
      <c r="S556" s="7">
        <v>0.0929747746630964</v>
      </c>
      <c r="T556" s="7">
        <v>1.16832750840191</v>
      </c>
    </row>
    <row x14ac:dyDescent="0.25" r="557" customHeight="1" ht="19.5">
      <c r="A557" s="2" t="s">
        <v>590</v>
      </c>
      <c r="B557" s="2" t="s">
        <v>30</v>
      </c>
      <c r="C557" s="2" t="s">
        <v>31</v>
      </c>
      <c r="D557" s="2" t="s">
        <v>431</v>
      </c>
      <c r="E557" s="6">
        <v>1</v>
      </c>
      <c r="F557" s="6">
        <v>0</v>
      </c>
      <c r="G557" s="7">
        <v>0.8263382315635681</v>
      </c>
      <c r="H557" s="7">
        <v>41.29962890625</v>
      </c>
      <c r="I557" s="7">
        <v>28.05115037739076</v>
      </c>
      <c r="J557" s="7">
        <v>7.700130061082604</v>
      </c>
      <c r="K557" s="7">
        <v>6.707626261031211</v>
      </c>
      <c r="L557" s="7">
        <v>0.6081358776594954</v>
      </c>
      <c r="M557" s="7">
        <v>0.659560533535176</v>
      </c>
      <c r="N557" s="7">
        <v>0.5027735348817346</v>
      </c>
      <c r="O557" s="7">
        <v>0.1763284952055267</v>
      </c>
      <c r="P557" s="7">
        <v>8.217962303893838</v>
      </c>
      <c r="Q557" s="7">
        <v>0.0245954785823442</v>
      </c>
      <c r="R557" s="7">
        <v>0.0701474719020289</v>
      </c>
      <c r="S557" s="7">
        <v>0.0948574995969208</v>
      </c>
      <c r="T557" s="7">
        <v>1.178941367997246</v>
      </c>
    </row>
    <row x14ac:dyDescent="0.25" r="558" customHeight="1" ht="19.5">
      <c r="A558" s="2" t="s">
        <v>591</v>
      </c>
      <c r="B558" s="2" t="s">
        <v>30</v>
      </c>
      <c r="C558" s="2" t="s">
        <v>31</v>
      </c>
      <c r="D558" s="2" t="s">
        <v>431</v>
      </c>
      <c r="E558" s="6">
        <v>1</v>
      </c>
      <c r="F558" s="6">
        <v>0</v>
      </c>
      <c r="G558" s="7">
        <v>0.8201767802238464</v>
      </c>
      <c r="H558" s="7">
        <v>41.38274765625</v>
      </c>
      <c r="I558" s="7">
        <v>26.93718935211036</v>
      </c>
      <c r="J558" s="7">
        <v>7.590635046043593</v>
      </c>
      <c r="K558" s="7">
        <v>6.76649614004312</v>
      </c>
      <c r="L558" s="7">
        <v>0.5914616963210209</v>
      </c>
      <c r="M558" s="7">
        <v>0.7165589604158636</v>
      </c>
      <c r="N558" s="7">
        <v>0.5115780700208741</v>
      </c>
      <c r="O558" s="7">
        <v>0.1846937365272224</v>
      </c>
      <c r="P558" s="7">
        <v>8.14306557981058</v>
      </c>
      <c r="Q558" s="7">
        <v>0.0233077969072013</v>
      </c>
      <c r="R558" s="7">
        <v>0.0681586684776159</v>
      </c>
      <c r="S558" s="7">
        <v>0.0943472513851851</v>
      </c>
      <c r="T558" s="7">
        <v>1.119467083040238</v>
      </c>
    </row>
    <row x14ac:dyDescent="0.25" r="559" customHeight="1" ht="19.5">
      <c r="A559" s="2" t="s">
        <v>592</v>
      </c>
      <c r="B559" s="2" t="s">
        <v>30</v>
      </c>
      <c r="C559" s="2" t="s">
        <v>31</v>
      </c>
      <c r="D559" s="2" t="s">
        <v>431</v>
      </c>
      <c r="E559" s="6">
        <v>1</v>
      </c>
      <c r="F559" s="6">
        <v>0</v>
      </c>
      <c r="G559" s="7">
        <v>0.8243839740753174</v>
      </c>
      <c r="H559" s="7">
        <v>41.04334609375</v>
      </c>
      <c r="I559" s="7">
        <v>26.8093930494692</v>
      </c>
      <c r="J559" s="7">
        <v>7.557413312418994</v>
      </c>
      <c r="K559" s="7">
        <v>6.811372594268592</v>
      </c>
      <c r="L559" s="7">
        <v>0.5752577424573109</v>
      </c>
      <c r="M559" s="7">
        <v>0.717593770672273</v>
      </c>
      <c r="N559" s="7">
        <v>0.5056653577089784</v>
      </c>
      <c r="O559" s="7">
        <v>0.182847628926861</v>
      </c>
      <c r="P559" s="7">
        <v>8.148321077545686</v>
      </c>
      <c r="Q559" s="7">
        <v>0.0265921038890272</v>
      </c>
      <c r="R559" s="7">
        <v>0.0719768524378335</v>
      </c>
      <c r="S559" s="7">
        <v>0.0944326036111812</v>
      </c>
      <c r="T559" s="7">
        <v>1.266736365989314</v>
      </c>
    </row>
    <row x14ac:dyDescent="0.25" r="560" customHeight="1" ht="19.5">
      <c r="A560" s="2" t="s">
        <v>593</v>
      </c>
      <c r="B560" s="2" t="s">
        <v>30</v>
      </c>
      <c r="C560" s="2" t="s">
        <v>31</v>
      </c>
      <c r="D560" s="2" t="s">
        <v>431</v>
      </c>
      <c r="E560" s="6">
        <v>1</v>
      </c>
      <c r="F560" s="6">
        <v>0</v>
      </c>
      <c r="G560" s="7">
        <v>0.8242865800857544</v>
      </c>
      <c r="H560" s="7">
        <v>41.29270234375</v>
      </c>
      <c r="I560" s="7">
        <v>27.61691766560281</v>
      </c>
      <c r="J560" s="7">
        <v>7.630105237345385</v>
      </c>
      <c r="K560" s="7">
        <v>6.675616766613801</v>
      </c>
      <c r="L560" s="7">
        <v>0.6131422528463125</v>
      </c>
      <c r="M560" s="7">
        <v>0.6803505798568246</v>
      </c>
      <c r="N560" s="7">
        <v>0.5010795823455955</v>
      </c>
      <c r="O560" s="7">
        <v>0.1731688440487969</v>
      </c>
      <c r="P560" s="7">
        <v>8.219381847052912</v>
      </c>
      <c r="Q560" s="7">
        <v>0.0254325521358077</v>
      </c>
      <c r="R560" s="7">
        <v>0.0699783781959785</v>
      </c>
      <c r="S560" s="7">
        <v>0.0926722936653876</v>
      </c>
      <c r="T560" s="7">
        <v>1.218860573462067</v>
      </c>
    </row>
    <row x14ac:dyDescent="0.25" r="561" customHeight="1" ht="19.5">
      <c r="A561" s="2" t="s">
        <v>594</v>
      </c>
      <c r="B561" s="2" t="s">
        <v>30</v>
      </c>
      <c r="C561" s="2" t="s">
        <v>31</v>
      </c>
      <c r="D561" s="2" t="s">
        <v>431</v>
      </c>
      <c r="E561" s="6">
        <v>1</v>
      </c>
      <c r="F561" s="6">
        <v>0</v>
      </c>
      <c r="G561" s="7">
        <v>0.8213012218475342</v>
      </c>
      <c r="H561" s="7">
        <v>40.68316484375</v>
      </c>
      <c r="I561" s="7">
        <v>27.34704574092139</v>
      </c>
      <c r="J561" s="7">
        <v>7.503676878364831</v>
      </c>
      <c r="K561" s="7">
        <v>6.738136169510029</v>
      </c>
      <c r="L561" s="7">
        <v>0.5894094848407326</v>
      </c>
      <c r="M561" s="7">
        <v>0.6834281043619981</v>
      </c>
      <c r="N561" s="7">
        <v>0.5107706220569901</v>
      </c>
      <c r="O561" s="7">
        <v>0.1909053677372204</v>
      </c>
      <c r="P561" s="7">
        <v>8.089142479391121</v>
      </c>
      <c r="Q561" s="7">
        <v>0.0256163141295825</v>
      </c>
      <c r="R561" s="7">
        <v>0.0705961804603354</v>
      </c>
      <c r="S561" s="7">
        <v>0.0933479011300119</v>
      </c>
      <c r="T561" s="7">
        <v>1.209545334914464</v>
      </c>
    </row>
    <row x14ac:dyDescent="0.25" r="562" customHeight="1" ht="19.5">
      <c r="A562" s="2" t="s">
        <v>595</v>
      </c>
      <c r="B562" s="2" t="s">
        <v>30</v>
      </c>
      <c r="C562" s="2" t="s">
        <v>31</v>
      </c>
      <c r="D562" s="2" t="s">
        <v>431</v>
      </c>
      <c r="E562" s="6">
        <v>1</v>
      </c>
      <c r="F562" s="6">
        <v>0</v>
      </c>
      <c r="G562" s="7">
        <v>0.8229902386665344</v>
      </c>
      <c r="H562" s="7">
        <v>41.2199734375</v>
      </c>
      <c r="I562" s="7">
        <v>27.88505721834892</v>
      </c>
      <c r="J562" s="7">
        <v>7.675559562941833</v>
      </c>
      <c r="K562" s="7">
        <v>6.872216478365658</v>
      </c>
      <c r="L562" s="7">
        <v>0.5852205366473938</v>
      </c>
      <c r="M562" s="7">
        <v>0.6661537724449704</v>
      </c>
      <c r="N562" s="7">
        <v>0.5066852784598792</v>
      </c>
      <c r="O562" s="7">
        <v>0.1854918252210676</v>
      </c>
      <c r="P562" s="7">
        <v>8.163909051238374</v>
      </c>
      <c r="Q562" s="7">
        <v>0.0257552324786885</v>
      </c>
      <c r="R562" s="7">
        <v>0.0704219901920582</v>
      </c>
      <c r="S562" s="7">
        <v>0.0945385334984921</v>
      </c>
      <c r="T562" s="7">
        <v>1.232151079956241</v>
      </c>
    </row>
    <row x14ac:dyDescent="0.25" r="563" customHeight="1" ht="19.5">
      <c r="A563" s="2" t="s">
        <v>596</v>
      </c>
      <c r="B563" s="2" t="s">
        <v>30</v>
      </c>
      <c r="C563" s="2" t="s">
        <v>31</v>
      </c>
      <c r="D563" s="2" t="s">
        <v>431</v>
      </c>
      <c r="E563" s="6">
        <v>1</v>
      </c>
      <c r="F563" s="6">
        <v>0</v>
      </c>
      <c r="G563" s="7">
        <v>0.8281266093254089</v>
      </c>
      <c r="H563" s="7">
        <v>41.05719921875</v>
      </c>
      <c r="I563" s="7">
        <v>27.67403494319917</v>
      </c>
      <c r="J563" s="7">
        <v>7.775204320490392</v>
      </c>
      <c r="K563" s="7">
        <v>7.043489100922493</v>
      </c>
      <c r="L563" s="7">
        <v>0.5796640599156827</v>
      </c>
      <c r="M563" s="7">
        <v>0.6727148138122202</v>
      </c>
      <c r="N563" s="7">
        <v>0.5086037755212778</v>
      </c>
      <c r="O563" s="7">
        <v>0.1887147717516138</v>
      </c>
      <c r="P563" s="7">
        <v>8.108353732614503</v>
      </c>
      <c r="Q563" s="7">
        <v>0.0250905208941321</v>
      </c>
      <c r="R563" s="7">
        <v>0.0699524549977468</v>
      </c>
      <c r="S563" s="7">
        <v>0.0934813239150056</v>
      </c>
      <c r="T563" s="7">
        <v>1.195610657578473</v>
      </c>
    </row>
    <row x14ac:dyDescent="0.25" r="564" customHeight="1" ht="19.5">
      <c r="A564" s="2" t="s">
        <v>597</v>
      </c>
      <c r="B564" s="2" t="s">
        <v>30</v>
      </c>
      <c r="C564" s="2" t="s">
        <v>31</v>
      </c>
      <c r="D564" s="2" t="s">
        <v>431</v>
      </c>
      <c r="E564" s="6">
        <v>1</v>
      </c>
      <c r="F564" s="6">
        <v>0</v>
      </c>
      <c r="G564" s="7">
        <v>0.8201090097427368</v>
      </c>
      <c r="H564" s="7">
        <v>41.02256640625</v>
      </c>
      <c r="I564" s="7">
        <v>26.90271602555561</v>
      </c>
      <c r="J564" s="7">
        <v>7.723993490385279</v>
      </c>
      <c r="K564" s="7">
        <v>7.025305638871886</v>
      </c>
      <c r="L564" s="7">
        <v>0.5857778119322796</v>
      </c>
      <c r="M564" s="7">
        <v>0.7114813686587831</v>
      </c>
      <c r="N564" s="7">
        <v>0.5070230525599844</v>
      </c>
      <c r="O564" s="7">
        <v>0.1822875116604181</v>
      </c>
      <c r="P564" s="7">
        <v>8.166316645199062</v>
      </c>
      <c r="Q564" s="7">
        <v>0.0254959359157392</v>
      </c>
      <c r="R564" s="7">
        <v>0.0706443061863559</v>
      </c>
      <c r="S564" s="7">
        <v>0.0944930137150506</v>
      </c>
      <c r="T564" s="7">
        <v>1.213904623730425</v>
      </c>
    </row>
    <row x14ac:dyDescent="0.25" r="565" customHeight="1" ht="19.5">
      <c r="A565" s="2" t="s">
        <v>598</v>
      </c>
      <c r="B565" s="2" t="s">
        <v>30</v>
      </c>
      <c r="C565" s="2" t="s">
        <v>31</v>
      </c>
      <c r="D565" s="2" t="s">
        <v>431</v>
      </c>
      <c r="E565" s="6">
        <v>1</v>
      </c>
      <c r="F565" s="6">
        <v>0</v>
      </c>
      <c r="G565" s="7">
        <v>0.8148722648620605</v>
      </c>
      <c r="H565" s="7">
        <v>40.58272968750001</v>
      </c>
      <c r="I565" s="7">
        <v>29.38276593752814</v>
      </c>
      <c r="J565" s="7">
        <v>7.878527577424392</v>
      </c>
      <c r="K565" s="7">
        <v>6.971633446810582</v>
      </c>
      <c r="L565" s="7">
        <v>0.5942752816078106</v>
      </c>
      <c r="M565" s="7">
        <v>0.5906983642719943</v>
      </c>
      <c r="N565" s="7">
        <v>0.5066258702569838</v>
      </c>
      <c r="O565" s="7">
        <v>0.1891297372635939</v>
      </c>
      <c r="P565" s="7">
        <v>8.138532286660858</v>
      </c>
      <c r="Q565" s="7">
        <v>0.0256285407531288</v>
      </c>
      <c r="R565" s="7">
        <v>0.0710257316673148</v>
      </c>
      <c r="S565" s="7">
        <v>0.0927842073636393</v>
      </c>
      <c r="T565" s="7">
        <v>1.20713520042424</v>
      </c>
    </row>
    <row x14ac:dyDescent="0.25" r="566" customHeight="1" ht="19.5">
      <c r="A566" s="2" t="s">
        <v>599</v>
      </c>
      <c r="B566" s="2" t="s">
        <v>30</v>
      </c>
      <c r="C566" s="2" t="s">
        <v>31</v>
      </c>
      <c r="D566" s="2" t="s">
        <v>431</v>
      </c>
      <c r="E566" s="6">
        <v>1</v>
      </c>
      <c r="F566" s="6">
        <v>0</v>
      </c>
      <c r="G566" s="7">
        <v>0.8323068022727966</v>
      </c>
      <c r="H566" s="7">
        <v>40.520390625</v>
      </c>
      <c r="I566" s="7">
        <v>26.55517403014684</v>
      </c>
      <c r="J566" s="7">
        <v>7.441402845147822</v>
      </c>
      <c r="K566" s="7">
        <v>6.681784056838303</v>
      </c>
      <c r="L566" s="7">
        <v>0.5737930653779236</v>
      </c>
      <c r="M566" s="7">
        <v>0.7220797795164227</v>
      </c>
      <c r="N566" s="7">
        <v>0.4651729810458593</v>
      </c>
      <c r="O566" s="7">
        <v>0.17830568598892</v>
      </c>
      <c r="P566" s="7">
        <v>8.291711396182805</v>
      </c>
      <c r="Q566" s="7">
        <v>0.0266732697588445</v>
      </c>
      <c r="R566" s="7">
        <v>0.07180601643923</v>
      </c>
      <c r="S566" s="7">
        <v>0.0963604624062555</v>
      </c>
      <c r="T566" s="7">
        <v>1.254413330808646</v>
      </c>
    </row>
    <row x14ac:dyDescent="0.25" r="567" customHeight="1" ht="19.5">
      <c r="A567" s="2" t="s">
        <v>600</v>
      </c>
      <c r="B567" s="2" t="s">
        <v>30</v>
      </c>
      <c r="C567" s="2" t="s">
        <v>31</v>
      </c>
      <c r="D567" s="2" t="s">
        <v>431</v>
      </c>
      <c r="E567" s="6">
        <v>1</v>
      </c>
      <c r="F567" s="6">
        <v>0</v>
      </c>
      <c r="G567" s="7">
        <v>0.7300931215286255</v>
      </c>
      <c r="H567" s="7">
        <v>39.44331015625</v>
      </c>
      <c r="I567" s="7">
        <v>27.76807549123626</v>
      </c>
      <c r="J567" s="7">
        <v>7.914698692219058</v>
      </c>
      <c r="K567" s="7">
        <v>7.730975022803895</v>
      </c>
      <c r="L567" s="7">
        <v>0.519151460250072</v>
      </c>
      <c r="M567" s="7">
        <v>0.6381950849198843</v>
      </c>
      <c r="N567" s="7">
        <v>0.5974489213501819</v>
      </c>
      <c r="O567" s="7">
        <v>0.228995337290206</v>
      </c>
      <c r="P567" s="7">
        <v>7.494452480769431</v>
      </c>
      <c r="Q567" s="7">
        <v>0.0202185013933661</v>
      </c>
      <c r="R567" s="7">
        <v>0.052602751062897</v>
      </c>
      <c r="S567" s="7">
        <v>0.0689417034777532</v>
      </c>
      <c r="T567" s="7">
        <v>0.925578156890772</v>
      </c>
    </row>
    <row x14ac:dyDescent="0.25" r="568" customHeight="1" ht="19.5">
      <c r="A568" s="2" t="s">
        <v>601</v>
      </c>
      <c r="B568" s="2" t="s">
        <v>30</v>
      </c>
      <c r="C568" s="2" t="s">
        <v>31</v>
      </c>
      <c r="D568" s="2" t="s">
        <v>431</v>
      </c>
      <c r="E568" s="6">
        <v>1</v>
      </c>
      <c r="F568" s="6">
        <v>0</v>
      </c>
      <c r="G568" s="7">
        <v>0.2939031720161438</v>
      </c>
      <c r="H568" s="7">
        <v>62.72695</v>
      </c>
      <c r="I568" s="7">
        <v>40.72963649357737</v>
      </c>
      <c r="J568" s="7">
        <v>10.6565299457358</v>
      </c>
      <c r="K568" s="7">
        <v>10.44614164989668</v>
      </c>
      <c r="L568" s="7">
        <v>0.5472708247355036</v>
      </c>
      <c r="M568" s="7">
        <v>0.4745862204329445</v>
      </c>
      <c r="N568" s="7">
        <v>0.6209545156963456</v>
      </c>
      <c r="O568" s="7">
        <v>0.184276112454279</v>
      </c>
      <c r="P568" s="7">
        <v>7.106250703203252</v>
      </c>
      <c r="Q568" s="7">
        <v>0.0209010313739207</v>
      </c>
      <c r="R568" s="7">
        <v>0.0546637946735147</v>
      </c>
      <c r="S568" s="7">
        <v>0.0785067092919576</v>
      </c>
      <c r="T568" s="7">
        <v>1.52164263534491</v>
      </c>
    </row>
    <row x14ac:dyDescent="0.25" r="569" customHeight="1" ht="19.5">
      <c r="A569" s="2" t="s">
        <v>602</v>
      </c>
      <c r="B569" s="2" t="s">
        <v>30</v>
      </c>
      <c r="C569" s="2" t="s">
        <v>31</v>
      </c>
      <c r="D569" s="2" t="s">
        <v>431</v>
      </c>
      <c r="E569" s="6">
        <v>1</v>
      </c>
      <c r="F569" s="6">
        <v>0</v>
      </c>
      <c r="G569" s="7">
        <v>0.5857968926429749</v>
      </c>
      <c r="H569" s="7">
        <v>52.3717390625</v>
      </c>
      <c r="I569" s="7">
        <v>35.44989729901243</v>
      </c>
      <c r="J569" s="7">
        <v>9.97900514138944</v>
      </c>
      <c r="K569" s="7">
        <v>7.449343684534302</v>
      </c>
      <c r="L569" s="7">
        <v>0.7002812008406194</v>
      </c>
      <c r="M569" s="7">
        <v>0.5236931541427461</v>
      </c>
      <c r="N569" s="7">
        <v>0.6093780714347736</v>
      </c>
      <c r="O569" s="7">
        <v>0.2757365260386409</v>
      </c>
      <c r="P569" s="7">
        <v>7.030760289790259</v>
      </c>
      <c r="Q569" s="7">
        <v>0.017548456383273</v>
      </c>
      <c r="R569" s="7">
        <v>0.0626870677246688</v>
      </c>
      <c r="S569" s="7">
        <v>0.0893631725768004</v>
      </c>
      <c r="T569" s="7">
        <v>1.066661686790518</v>
      </c>
    </row>
    <row x14ac:dyDescent="0.25" r="570" customHeight="1" ht="19.5">
      <c r="A570" s="2" t="s">
        <v>603</v>
      </c>
      <c r="B570" s="2" t="s">
        <v>30</v>
      </c>
      <c r="C570" s="2" t="s">
        <v>31</v>
      </c>
      <c r="D570" s="2" t="s">
        <v>431</v>
      </c>
      <c r="E570" s="6">
        <v>1</v>
      </c>
      <c r="F570" s="6">
        <v>0</v>
      </c>
      <c r="G570" s="7">
        <v>0.825661301612854</v>
      </c>
      <c r="H570" s="7">
        <v>46.45645468750001</v>
      </c>
      <c r="I570" s="7">
        <v>30.32788663184679</v>
      </c>
      <c r="J570" s="7">
        <v>8.52904984478441</v>
      </c>
      <c r="K570" s="7">
        <v>8.389941382790017</v>
      </c>
      <c r="L570" s="7">
        <v>0.4679299646803315</v>
      </c>
      <c r="M570" s="7">
        <v>0.6347045792955363</v>
      </c>
      <c r="N570" s="7">
        <v>0.5400789556524017</v>
      </c>
      <c r="O570" s="7">
        <v>0.2881478278070518</v>
      </c>
      <c r="P570" s="7">
        <v>7.472015198084281</v>
      </c>
      <c r="Q570" s="7">
        <v>0.0266614861653846</v>
      </c>
      <c r="R570" s="7">
        <v>0.0921468255144496</v>
      </c>
      <c r="S570" s="7">
        <v>0.1430964933939368</v>
      </c>
      <c r="T570" s="7">
        <v>1.437544170748926</v>
      </c>
    </row>
    <row x14ac:dyDescent="0.25" r="571" customHeight="1" ht="19.5">
      <c r="A571" s="2" t="s">
        <v>604</v>
      </c>
      <c r="B571" s="2" t="s">
        <v>30</v>
      </c>
      <c r="C571" s="2" t="s">
        <v>31</v>
      </c>
      <c r="D571" s="2" t="s">
        <v>431</v>
      </c>
      <c r="E571" s="6">
        <v>1</v>
      </c>
      <c r="F571" s="6">
        <v>0</v>
      </c>
      <c r="G571" s="7">
        <v>0.8426573872566223</v>
      </c>
      <c r="H571" s="7">
        <v>46.68849453125</v>
      </c>
      <c r="I571" s="7">
        <v>29.76758998935297</v>
      </c>
      <c r="J571" s="7">
        <v>8.445411392791819</v>
      </c>
      <c r="K571" s="7">
        <v>8.431358315224909</v>
      </c>
      <c r="L571" s="7">
        <v>0.4427767967987007</v>
      </c>
      <c r="M571" s="7">
        <v>0.6620642955723252</v>
      </c>
      <c r="N571" s="7">
        <v>0.5161064111612339</v>
      </c>
      <c r="O571" s="7">
        <v>0.2684937139331546</v>
      </c>
      <c r="P571" s="7">
        <v>7.716995457359964</v>
      </c>
      <c r="Q571" s="7">
        <v>0.0277654777109862</v>
      </c>
      <c r="R571" s="7">
        <v>0.0965482810221933</v>
      </c>
      <c r="S571" s="7">
        <v>0.1508592413280006</v>
      </c>
      <c r="T571" s="7">
        <v>1.504547143281341</v>
      </c>
    </row>
    <row x14ac:dyDescent="0.25" r="572" customHeight="1" ht="19.5">
      <c r="A572" s="2" t="s">
        <v>605</v>
      </c>
      <c r="B572" s="2" t="s">
        <v>30</v>
      </c>
      <c r="C572" s="2" t="s">
        <v>31</v>
      </c>
      <c r="D572" s="2" t="s">
        <v>431</v>
      </c>
      <c r="E572" s="6">
        <v>1</v>
      </c>
      <c r="F572" s="6">
        <v>0</v>
      </c>
      <c r="G572" s="7">
        <v>0.8462663888931274</v>
      </c>
      <c r="H572" s="7">
        <v>46.12051640625</v>
      </c>
      <c r="I572" s="7">
        <v>29.28078110176525</v>
      </c>
      <c r="J572" s="7">
        <v>8.208373652661152</v>
      </c>
      <c r="K572" s="7">
        <v>8.083069051491023</v>
      </c>
      <c r="L572" s="7">
        <v>0.3998919352848779</v>
      </c>
      <c r="M572" s="7">
        <v>0.6759875690418508</v>
      </c>
      <c r="N572" s="7">
        <v>0.5143326863690474</v>
      </c>
      <c r="O572" s="7">
        <v>0.2715717587434203</v>
      </c>
      <c r="P572" s="7">
        <v>7.71614607684667</v>
      </c>
      <c r="Q572" s="7">
        <v>0.0283241702861646</v>
      </c>
      <c r="R572" s="7">
        <v>0.0969861803072372</v>
      </c>
      <c r="S572" s="7">
        <v>0.1477421113547208</v>
      </c>
      <c r="T572" s="7">
        <v>1.516149888013401</v>
      </c>
    </row>
    <row x14ac:dyDescent="0.25" r="573" customHeight="1" ht="19.5">
      <c r="A573" s="2" t="s">
        <v>606</v>
      </c>
      <c r="B573" s="2" t="s">
        <v>30</v>
      </c>
      <c r="C573" s="2" t="s">
        <v>31</v>
      </c>
      <c r="D573" s="2" t="s">
        <v>431</v>
      </c>
      <c r="E573" s="6">
        <v>1</v>
      </c>
      <c r="F573" s="6">
        <v>0</v>
      </c>
      <c r="G573" s="7">
        <v>0.8499165177345276</v>
      </c>
      <c r="H573" s="7">
        <v>47.86601015625001</v>
      </c>
      <c r="I573" s="7">
        <v>30.57338223355129</v>
      </c>
      <c r="J573" s="7">
        <v>8.838482848711138</v>
      </c>
      <c r="K573" s="7">
        <v>8.341265101508888</v>
      </c>
      <c r="L573" s="7">
        <v>0.5323980985278167</v>
      </c>
      <c r="M573" s="7">
        <v>0.6435023255150844</v>
      </c>
      <c r="N573" s="7">
        <v>0.5237286924313479</v>
      </c>
      <c r="O573" s="7">
        <v>0.2741735963421374</v>
      </c>
      <c r="P573" s="7">
        <v>7.680837961725054</v>
      </c>
      <c r="Q573" s="7">
        <v>0.0271088261020919</v>
      </c>
      <c r="R573" s="7">
        <v>0.0953378282436187</v>
      </c>
      <c r="S573" s="7">
        <v>0.1503826185155885</v>
      </c>
      <c r="T573" s="7">
        <v>1.506012998661037</v>
      </c>
    </row>
    <row x14ac:dyDescent="0.25" r="574" customHeight="1" ht="19.5">
      <c r="A574" s="2" t="s">
        <v>607</v>
      </c>
      <c r="B574" s="2" t="s">
        <v>30</v>
      </c>
      <c r="C574" s="2" t="s">
        <v>31</v>
      </c>
      <c r="D574" s="2" t="s">
        <v>431</v>
      </c>
      <c r="E574" s="6">
        <v>1</v>
      </c>
      <c r="F574" s="6">
        <v>0</v>
      </c>
      <c r="G574" s="7">
        <v>0.8494164347648621</v>
      </c>
      <c r="H574" s="7">
        <v>47.308421875</v>
      </c>
      <c r="I574" s="7">
        <v>29.8915627621482</v>
      </c>
      <c r="J574" s="7">
        <v>8.654714515971229</v>
      </c>
      <c r="K574" s="7">
        <v>8.369556036895485</v>
      </c>
      <c r="L574" s="7">
        <v>0.4596820447808913</v>
      </c>
      <c r="M574" s="7">
        <v>0.6653514122201308</v>
      </c>
      <c r="N574" s="7">
        <v>0.5191507717268785</v>
      </c>
      <c r="O574" s="7">
        <v>0.2709166783580797</v>
      </c>
      <c r="P574" s="7">
        <v>7.696768802631764</v>
      </c>
      <c r="Q574" s="7">
        <v>0.0278954025622604</v>
      </c>
      <c r="R574" s="7">
        <v>0.0959555905506527</v>
      </c>
      <c r="S574" s="7">
        <v>0.1499770692931215</v>
      </c>
      <c r="T574" s="7">
        <v>1.531658248986413</v>
      </c>
    </row>
    <row x14ac:dyDescent="0.25" r="575" customHeight="1" ht="19.5">
      <c r="A575" s="2" t="s">
        <v>608</v>
      </c>
      <c r="B575" s="2" t="s">
        <v>30</v>
      </c>
      <c r="C575" s="2" t="s">
        <v>31</v>
      </c>
      <c r="D575" s="2" t="s">
        <v>431</v>
      </c>
      <c r="E575" s="6">
        <v>1</v>
      </c>
      <c r="F575" s="6">
        <v>0</v>
      </c>
      <c r="G575" s="7">
        <v>0.8286733627319336</v>
      </c>
      <c r="H575" s="7">
        <v>49.05737890625</v>
      </c>
      <c r="I575" s="7">
        <v>31.82768650893664</v>
      </c>
      <c r="J575" s="7">
        <v>9.027823182023582</v>
      </c>
      <c r="K575" s="7">
        <v>8.37655780661923</v>
      </c>
      <c r="L575" s="7">
        <v>0.5573805884272912</v>
      </c>
      <c r="M575" s="7">
        <v>0.6085609216749641</v>
      </c>
      <c r="N575" s="7">
        <v>0.5210572945296735</v>
      </c>
      <c r="O575" s="7">
        <v>0.2796105690503337</v>
      </c>
      <c r="P575" s="7">
        <v>7.656140577332435</v>
      </c>
      <c r="Q575" s="7">
        <v>0.0274057057569119</v>
      </c>
      <c r="R575" s="7">
        <v>0.0961009999735884</v>
      </c>
      <c r="S575" s="7">
        <v>0.149773968846339</v>
      </c>
      <c r="T575" s="7">
        <v>1.560400609075562</v>
      </c>
    </row>
    <row x14ac:dyDescent="0.25" r="576" customHeight="1" ht="19.5">
      <c r="A576" s="2" t="s">
        <v>609</v>
      </c>
      <c r="B576" s="2" t="s">
        <v>30</v>
      </c>
      <c r="C576" s="2" t="s">
        <v>31</v>
      </c>
      <c r="D576" s="2" t="s">
        <v>431</v>
      </c>
      <c r="E576" s="6">
        <v>1</v>
      </c>
      <c r="F576" s="6">
        <v>0</v>
      </c>
      <c r="G576" s="7">
        <v>0.8467743992805481</v>
      </c>
      <c r="H576" s="7">
        <v>47.12833125</v>
      </c>
      <c r="I576" s="7">
        <v>30.16143468682962</v>
      </c>
      <c r="J576" s="7">
        <v>8.675036395042238</v>
      </c>
      <c r="K576" s="7">
        <v>8.447172932293054</v>
      </c>
      <c r="L576" s="7">
        <v>0.479300270870524</v>
      </c>
      <c r="M576" s="7">
        <v>0.6510104123511694</v>
      </c>
      <c r="N576" s="7">
        <v>0.5241180175511642</v>
      </c>
      <c r="O576" s="7">
        <v>0.2789066331835027</v>
      </c>
      <c r="P576" s="7">
        <v>7.640373118132256</v>
      </c>
      <c r="Q576" s="7">
        <v>0.0276893395189052</v>
      </c>
      <c r="R576" s="7">
        <v>0.0953739842092195</v>
      </c>
      <c r="S576" s="7">
        <v>0.1498490360370651</v>
      </c>
      <c r="T576" s="7">
        <v>1.514556359372402</v>
      </c>
    </row>
    <row x14ac:dyDescent="0.25" r="577" customHeight="1" ht="19.5">
      <c r="A577" s="2" t="s">
        <v>610</v>
      </c>
      <c r="B577" s="2" t="s">
        <v>30</v>
      </c>
      <c r="C577" s="2" t="s">
        <v>31</v>
      </c>
      <c r="D577" s="2" t="s">
        <v>431</v>
      </c>
      <c r="E577" s="6">
        <v>1</v>
      </c>
      <c r="F577" s="6">
        <v>0</v>
      </c>
      <c r="G577" s="7">
        <v>0.8502805829048157</v>
      </c>
      <c r="H577" s="7">
        <v>47.90410625000001</v>
      </c>
      <c r="I577" s="7">
        <v>30.27913398589295</v>
      </c>
      <c r="J577" s="7">
        <v>8.71792828400131</v>
      </c>
      <c r="K577" s="7">
        <v>8.39174963135316</v>
      </c>
      <c r="L577" s="7">
        <v>0.5044360079403779</v>
      </c>
      <c r="M577" s="7">
        <v>0.656592180714808</v>
      </c>
      <c r="N577" s="7">
        <v>0.5189624163351678</v>
      </c>
      <c r="O577" s="7">
        <v>0.2687045776883898</v>
      </c>
      <c r="P577" s="7">
        <v>7.703952030178401</v>
      </c>
      <c r="Q577" s="7">
        <v>0.0280485950674435</v>
      </c>
      <c r="R577" s="7">
        <v>0.0968402509847009</v>
      </c>
      <c r="S577" s="7">
        <v>0.1507158670422057</v>
      </c>
      <c r="T577" s="7">
        <v>1.559461418431079</v>
      </c>
    </row>
    <row x14ac:dyDescent="0.25" r="578" customHeight="1" ht="19.5">
      <c r="A578" s="2" t="s">
        <v>611</v>
      </c>
      <c r="B578" s="2" t="s">
        <v>30</v>
      </c>
      <c r="C578" s="2" t="s">
        <v>31</v>
      </c>
      <c r="D578" s="2" t="s">
        <v>431</v>
      </c>
      <c r="E578" s="6">
        <v>1</v>
      </c>
      <c r="F578" s="6">
        <v>0</v>
      </c>
      <c r="G578" s="7">
        <v>0.8248289227485657</v>
      </c>
      <c r="H578" s="7">
        <v>47.253009375</v>
      </c>
      <c r="I578" s="7">
        <v>29.99498274181245</v>
      </c>
      <c r="J578" s="7">
        <v>8.775243862996529</v>
      </c>
      <c r="K578" s="7">
        <v>8.204208690371217</v>
      </c>
      <c r="L578" s="7">
        <v>0.477802316357172</v>
      </c>
      <c r="M578" s="7">
        <v>0.6599972160246219</v>
      </c>
      <c r="N578" s="7">
        <v>0.5108042992855948</v>
      </c>
      <c r="O578" s="7">
        <v>0.2573605487570517</v>
      </c>
      <c r="P578" s="7">
        <v>7.793220091307354</v>
      </c>
      <c r="Q578" s="7">
        <v>0.0278808821844197</v>
      </c>
      <c r="R578" s="7">
        <v>0.0956883780274734</v>
      </c>
      <c r="S578" s="7">
        <v>0.1499605333696185</v>
      </c>
      <c r="T578" s="7">
        <v>1.529067873631761</v>
      </c>
    </row>
    <row x14ac:dyDescent="0.25" r="579" customHeight="1" ht="19.5">
      <c r="A579" s="2" t="s">
        <v>612</v>
      </c>
      <c r="B579" s="2" t="s">
        <v>30</v>
      </c>
      <c r="C579" s="2" t="s">
        <v>31</v>
      </c>
      <c r="D579" s="2" t="s">
        <v>431</v>
      </c>
      <c r="E579" s="6">
        <v>1</v>
      </c>
      <c r="F579" s="6">
        <v>0</v>
      </c>
      <c r="G579" s="7">
        <v>0.8388978242874146</v>
      </c>
      <c r="H579" s="7">
        <v>47.65475</v>
      </c>
      <c r="I579" s="7">
        <v>30.94285060805101</v>
      </c>
      <c r="J579" s="7">
        <v>8.758450436435375</v>
      </c>
      <c r="K579" s="7">
        <v>8.319196417578517</v>
      </c>
      <c r="L579" s="7">
        <v>0.4948319981505193</v>
      </c>
      <c r="M579" s="7">
        <v>0.6254540635512996</v>
      </c>
      <c r="N579" s="7">
        <v>0.5242080002386811</v>
      </c>
      <c r="O579" s="7">
        <v>0.2804059458644967</v>
      </c>
      <c r="P579" s="7">
        <v>7.646534142062738</v>
      </c>
      <c r="Q579" s="7">
        <v>0.0271264205545338</v>
      </c>
      <c r="R579" s="7">
        <v>0.0960494894371824</v>
      </c>
      <c r="S579" s="7">
        <v>0.1499918969424025</v>
      </c>
      <c r="T579" s="7">
        <v>1.500339233717973</v>
      </c>
    </row>
    <row x14ac:dyDescent="0.25" r="580" customHeight="1" ht="19.5">
      <c r="A580" s="2" t="s">
        <v>613</v>
      </c>
      <c r="B580" s="2" t="s">
        <v>30</v>
      </c>
      <c r="C580" s="2" t="s">
        <v>31</v>
      </c>
      <c r="D580" s="2" t="s">
        <v>431</v>
      </c>
      <c r="E580" s="6">
        <v>1</v>
      </c>
      <c r="F580" s="6">
        <v>0</v>
      </c>
      <c r="G580" s="7">
        <v>0.8402079343795776</v>
      </c>
      <c r="H580" s="7">
        <v>48.388965625</v>
      </c>
      <c r="I580" s="7">
        <v>31.36107162850457</v>
      </c>
      <c r="J580" s="7">
        <v>8.7526886216908</v>
      </c>
      <c r="K580" s="7">
        <v>8.468093298962355</v>
      </c>
      <c r="L580" s="7">
        <v>0.5088089403580275</v>
      </c>
      <c r="M580" s="7">
        <v>0.618264647056674</v>
      </c>
      <c r="N580" s="7">
        <v>0.5258314835151182</v>
      </c>
      <c r="O580" s="7">
        <v>0.2802684209539545</v>
      </c>
      <c r="P580" s="7">
        <v>7.623661647144708</v>
      </c>
      <c r="Q580" s="7">
        <v>0.0272675299511731</v>
      </c>
      <c r="R580" s="7">
        <v>0.0954329606323159</v>
      </c>
      <c r="S580" s="7">
        <v>0.1492469625277391</v>
      </c>
      <c r="T580" s="7">
        <v>1.531379811947603</v>
      </c>
    </row>
    <row x14ac:dyDescent="0.25" r="581" customHeight="1" ht="19.5">
      <c r="A581" s="2" t="s">
        <v>614</v>
      </c>
      <c r="B581" s="2" t="s">
        <v>30</v>
      </c>
      <c r="C581" s="2" t="s">
        <v>31</v>
      </c>
      <c r="D581" s="2" t="s">
        <v>431</v>
      </c>
      <c r="E581" s="6">
        <v>1</v>
      </c>
      <c r="F581" s="6">
        <v>0</v>
      </c>
      <c r="G581" s="7">
        <v>0.8376543521881104</v>
      </c>
      <c r="H581" s="7">
        <v>47.79328125</v>
      </c>
      <c r="I581" s="7">
        <v>30.61586140577322</v>
      </c>
      <c r="J581" s="7">
        <v>8.885476329135935</v>
      </c>
      <c r="K581" s="7">
        <v>8.39946996878762</v>
      </c>
      <c r="L581" s="7">
        <v>0.5037184019872492</v>
      </c>
      <c r="M581" s="7">
        <v>0.640278509683093</v>
      </c>
      <c r="N581" s="7">
        <v>0.5255317456528049</v>
      </c>
      <c r="O581" s="7">
        <v>0.284246859063651</v>
      </c>
      <c r="P581" s="7">
        <v>7.61048365233435</v>
      </c>
      <c r="Q581" s="7">
        <v>0.0269733162415518</v>
      </c>
      <c r="R581" s="7">
        <v>0.0952853128364574</v>
      </c>
      <c r="S581" s="7">
        <v>0.1485140003378915</v>
      </c>
      <c r="T581" s="7">
        <v>1.496207999253653</v>
      </c>
    </row>
    <row x14ac:dyDescent="0.25" r="582" customHeight="1" ht="19.5">
      <c r="A582" s="2" t="s">
        <v>615</v>
      </c>
      <c r="B582" s="2" t="s">
        <v>30</v>
      </c>
      <c r="C582" s="2" t="s">
        <v>31</v>
      </c>
      <c r="D582" s="2" t="s">
        <v>431</v>
      </c>
      <c r="E582" s="6">
        <v>1</v>
      </c>
      <c r="F582" s="6">
        <v>0</v>
      </c>
      <c r="G582" s="7">
        <v>0.8457033038139343</v>
      </c>
      <c r="H582" s="7">
        <v>46.4010421875</v>
      </c>
      <c r="I582" s="7">
        <v>29.99498274181245</v>
      </c>
      <c r="J582" s="7">
        <v>8.406442461510487</v>
      </c>
      <c r="K582" s="7">
        <v>8.36712217533217</v>
      </c>
      <c r="L582" s="7">
        <v>0.4474849301641403</v>
      </c>
      <c r="M582" s="7">
        <v>0.6480975300716715</v>
      </c>
      <c r="N582" s="7">
        <v>0.5170570930371778</v>
      </c>
      <c r="O582" s="7">
        <v>0.2694900566120101</v>
      </c>
      <c r="P582" s="7">
        <v>7.702615290539718</v>
      </c>
      <c r="Q582" s="7">
        <v>0.0279014226584107</v>
      </c>
      <c r="R582" s="7">
        <v>0.0958615673864896</v>
      </c>
      <c r="S582" s="7">
        <v>0.1483960484290145</v>
      </c>
      <c r="T582" s="7">
        <v>1.50260511588619</v>
      </c>
    </row>
    <row x14ac:dyDescent="0.25" r="583" customHeight="1" ht="19.5">
      <c r="A583" s="2" t="s">
        <v>616</v>
      </c>
      <c r="B583" s="2" t="s">
        <v>30</v>
      </c>
      <c r="C583" s="2" t="s">
        <v>31</v>
      </c>
      <c r="D583" s="2" t="s">
        <v>431</v>
      </c>
      <c r="E583" s="6">
        <v>1</v>
      </c>
      <c r="F583" s="6">
        <v>0</v>
      </c>
      <c r="G583" s="7">
        <v>0.8387088179588318</v>
      </c>
      <c r="H583" s="7">
        <v>48.22619140625</v>
      </c>
      <c r="I583" s="7">
        <v>30.66079052188114</v>
      </c>
      <c r="J583" s="7">
        <v>8.695615761580378</v>
      </c>
      <c r="K583" s="7">
        <v>8.4292415348045</v>
      </c>
      <c r="L583" s="7">
        <v>0.529715672310218</v>
      </c>
      <c r="M583" s="7">
        <v>0.6446531862109277</v>
      </c>
      <c r="N583" s="7">
        <v>0.521072907058485</v>
      </c>
      <c r="O583" s="7">
        <v>0.2821497839012836</v>
      </c>
      <c r="P583" s="7">
        <v>7.614286034610317</v>
      </c>
      <c r="Q583" s="7">
        <v>0.0279175601417715</v>
      </c>
      <c r="R583" s="7">
        <v>0.0959727865668349</v>
      </c>
      <c r="S583" s="7">
        <v>0.1524083701261603</v>
      </c>
      <c r="T583" s="7">
        <v>1.562612182887034</v>
      </c>
    </row>
    <row x14ac:dyDescent="0.25" r="584" customHeight="1" ht="19.5">
      <c r="A584" s="2" t="s">
        <v>617</v>
      </c>
      <c r="B584" s="2" t="s">
        <v>30</v>
      </c>
      <c r="C584" s="2" t="s">
        <v>31</v>
      </c>
      <c r="D584" s="2" t="s">
        <v>431</v>
      </c>
      <c r="E584" s="6">
        <v>1</v>
      </c>
      <c r="F584" s="6">
        <v>0</v>
      </c>
      <c r="G584" s="7">
        <v>0.8373790383338928</v>
      </c>
      <c r="H584" s="7">
        <v>47.13872109375</v>
      </c>
      <c r="I584" s="7">
        <v>30.39683328495629</v>
      </c>
      <c r="J584" s="7">
        <v>8.675452311892634</v>
      </c>
      <c r="K584" s="7">
        <v>8.390163431304938</v>
      </c>
      <c r="L584" s="7">
        <v>0.4924008836200202</v>
      </c>
      <c r="M584" s="7">
        <v>0.6411076757330237</v>
      </c>
      <c r="N584" s="7">
        <v>0.5206919696604433</v>
      </c>
      <c r="O584" s="7">
        <v>0.2731578888956089</v>
      </c>
      <c r="P584" s="7">
        <v>7.674888608605814</v>
      </c>
      <c r="Q584" s="7">
        <v>0.0275337532725901</v>
      </c>
      <c r="R584" s="7">
        <v>0.0956622786396166</v>
      </c>
      <c r="S584" s="7">
        <v>0.1500114144586728</v>
      </c>
      <c r="T584" s="7">
        <v>1.506378096267123</v>
      </c>
    </row>
    <row x14ac:dyDescent="0.25" r="585" customHeight="1" ht="19.5">
      <c r="A585" s="2" t="s">
        <v>618</v>
      </c>
      <c r="B585" s="2" t="s">
        <v>30</v>
      </c>
      <c r="C585" s="2" t="s">
        <v>31</v>
      </c>
      <c r="D585" s="2" t="s">
        <v>431</v>
      </c>
      <c r="E585" s="6">
        <v>1</v>
      </c>
      <c r="F585" s="6">
        <v>0</v>
      </c>
      <c r="G585" s="7">
        <v>0.8519949913024902</v>
      </c>
      <c r="H585" s="7">
        <v>47.253009375</v>
      </c>
      <c r="I585" s="7">
        <v>30.51662374193025</v>
      </c>
      <c r="J585" s="7">
        <v>8.6308511508721</v>
      </c>
      <c r="K585" s="7">
        <v>8.453051664187049</v>
      </c>
      <c r="L585" s="7">
        <v>0.4920771574606591</v>
      </c>
      <c r="M585" s="7">
        <v>0.6376265177997863</v>
      </c>
      <c r="N585" s="7">
        <v>0.5182378276949923</v>
      </c>
      <c r="O585" s="7">
        <v>0.2717774216092262</v>
      </c>
      <c r="P585" s="7">
        <v>7.693174116595355</v>
      </c>
      <c r="Q585" s="7">
        <v>0.027824170318496</v>
      </c>
      <c r="R585" s="7">
        <v>0.0961751074940925</v>
      </c>
      <c r="S585" s="7">
        <v>0.1519190508229727</v>
      </c>
      <c r="T585" s="7">
        <v>1.525957631579011</v>
      </c>
    </row>
    <row x14ac:dyDescent="0.25" r="586" customHeight="1" ht="19.5">
      <c r="A586" s="2" t="s">
        <v>619</v>
      </c>
      <c r="B586" s="2" t="s">
        <v>30</v>
      </c>
      <c r="C586" s="2" t="s">
        <v>31</v>
      </c>
      <c r="D586" s="2" t="s">
        <v>431</v>
      </c>
      <c r="E586" s="6">
        <v>1</v>
      </c>
      <c r="F586" s="6">
        <v>0</v>
      </c>
      <c r="G586" s="7">
        <v>0.8573829531669617</v>
      </c>
      <c r="H586" s="7">
        <v>46.49108750000001</v>
      </c>
      <c r="I586" s="7">
        <v>29.79823978606179</v>
      </c>
      <c r="J586" s="7">
        <v>8.489498375475364</v>
      </c>
      <c r="K586" s="7">
        <v>8.335726598964147</v>
      </c>
      <c r="L586" s="7">
        <v>0.4470191896826772</v>
      </c>
      <c r="M586" s="7">
        <v>0.657958266892052</v>
      </c>
      <c r="N586" s="7">
        <v>0.5223012437712979</v>
      </c>
      <c r="O586" s="7">
        <v>0.2778563723749754</v>
      </c>
      <c r="P586" s="7">
        <v>7.640541554811586</v>
      </c>
      <c r="Q586" s="7">
        <v>0.0279301435927761</v>
      </c>
      <c r="R586" s="7">
        <v>0.0969676090565352</v>
      </c>
      <c r="S586" s="7">
        <v>0.1535775815564241</v>
      </c>
      <c r="T586" s="7">
        <v>1.50707079430326</v>
      </c>
    </row>
    <row x14ac:dyDescent="0.25" r="587" customHeight="1" ht="19.5">
      <c r="A587" s="2" t="s">
        <v>620</v>
      </c>
      <c r="B587" s="2" t="s">
        <v>30</v>
      </c>
      <c r="C587" s="2" t="s">
        <v>31</v>
      </c>
      <c r="D587" s="2" t="s">
        <v>431</v>
      </c>
      <c r="E587" s="6">
        <v>1</v>
      </c>
      <c r="F587" s="6">
        <v>0</v>
      </c>
      <c r="G587" s="7">
        <v>0.8381354212760925</v>
      </c>
      <c r="H587" s="7">
        <v>47.50582890625</v>
      </c>
      <c r="I587" s="7">
        <v>29.85081596186156</v>
      </c>
      <c r="J587" s="7">
        <v>8.584179230994991</v>
      </c>
      <c r="K587" s="7">
        <v>8.455653515129352</v>
      </c>
      <c r="L587" s="7">
        <v>0.4702732961352966</v>
      </c>
      <c r="M587" s="7">
        <v>0.6699530220192627</v>
      </c>
      <c r="N587" s="7">
        <v>0.5233159056813358</v>
      </c>
      <c r="O587" s="7">
        <v>0.2735310696192228</v>
      </c>
      <c r="P587" s="7">
        <v>7.676636623562162</v>
      </c>
      <c r="Q587" s="7">
        <v>0.0280027067740585</v>
      </c>
      <c r="R587" s="7">
        <v>0.0964290408486426</v>
      </c>
      <c r="S587" s="7">
        <v>0.1489818585666016</v>
      </c>
      <c r="T587" s="7">
        <v>1.543965860346318</v>
      </c>
    </row>
    <row x14ac:dyDescent="0.25" r="588" customHeight="1" ht="19.5">
      <c r="A588" s="2" t="s">
        <v>621</v>
      </c>
      <c r="B588" s="2" t="s">
        <v>30</v>
      </c>
      <c r="C588" s="2" t="s">
        <v>31</v>
      </c>
      <c r="D588" s="2" t="s">
        <v>431</v>
      </c>
      <c r="E588" s="6">
        <v>1</v>
      </c>
      <c r="F588" s="6">
        <v>0</v>
      </c>
      <c r="G588" s="7">
        <v>0.8330763578414917</v>
      </c>
      <c r="H588" s="7">
        <v>46.6088390625</v>
      </c>
      <c r="I588" s="7">
        <v>30.10085266536265</v>
      </c>
      <c r="J588" s="7">
        <v>8.49680611845741</v>
      </c>
      <c r="K588" s="7">
        <v>8.219032675104621</v>
      </c>
      <c r="L588" s="7">
        <v>0.4245405345812404</v>
      </c>
      <c r="M588" s="7">
        <v>0.6462844873573668</v>
      </c>
      <c r="N588" s="7">
        <v>0.5243840967302265</v>
      </c>
      <c r="O588" s="7">
        <v>0.2853595266825356</v>
      </c>
      <c r="P588" s="7">
        <v>7.59720393371414</v>
      </c>
      <c r="Q588" s="7">
        <v>0.0271333484141099</v>
      </c>
      <c r="R588" s="7">
        <v>0.0944754047253042</v>
      </c>
      <c r="S588" s="7">
        <v>0.149727916984924</v>
      </c>
      <c r="T588" s="7">
        <v>1.467785040937192</v>
      </c>
    </row>
    <row x14ac:dyDescent="0.25" r="589" customHeight="1" ht="19.5">
      <c r="A589" s="2" t="s">
        <v>622</v>
      </c>
      <c r="B589" s="2" t="s">
        <v>30</v>
      </c>
      <c r="C589" s="2" t="s">
        <v>31</v>
      </c>
      <c r="D589" s="2" t="s">
        <v>431</v>
      </c>
      <c r="E589" s="6">
        <v>1</v>
      </c>
      <c r="F589" s="6">
        <v>0</v>
      </c>
      <c r="G589" s="7">
        <v>0.846923828125</v>
      </c>
      <c r="H589" s="7">
        <v>47.8971796875</v>
      </c>
      <c r="I589" s="7">
        <v>30.65069351830331</v>
      </c>
      <c r="J589" s="7">
        <v>8.544268632736161</v>
      </c>
      <c r="K589" s="7">
        <v>8.325195646436057</v>
      </c>
      <c r="L589" s="7">
        <v>0.4667857648925664</v>
      </c>
      <c r="M589" s="7">
        <v>0.6406770905876009</v>
      </c>
      <c r="N589" s="7">
        <v>0.5182689719200148</v>
      </c>
      <c r="O589" s="7">
        <v>0.2686213201659834</v>
      </c>
      <c r="P589" s="7">
        <v>7.720259263609876</v>
      </c>
      <c r="Q589" s="7">
        <v>0.0277684183124845</v>
      </c>
      <c r="R589" s="7">
        <v>0.0955155615910079</v>
      </c>
      <c r="S589" s="7">
        <v>0.1506162965494272</v>
      </c>
      <c r="T589" s="7">
        <v>1.543660761422086</v>
      </c>
    </row>
    <row x14ac:dyDescent="0.25" r="590" customHeight="1" ht="19.5">
      <c r="A590" s="2" t="s">
        <v>623</v>
      </c>
      <c r="B590" s="2" t="s">
        <v>30</v>
      </c>
      <c r="C590" s="2" t="s">
        <v>31</v>
      </c>
      <c r="D590" s="2" t="s">
        <v>431</v>
      </c>
      <c r="E590" s="6">
        <v>1</v>
      </c>
      <c r="F590" s="6">
        <v>0</v>
      </c>
      <c r="G590" s="7">
        <v>0.8375100493431091</v>
      </c>
      <c r="H590" s="7">
        <v>48.6452484375</v>
      </c>
      <c r="I590" s="7">
        <v>30.64059651472548</v>
      </c>
      <c r="J590" s="7">
        <v>8.86219912402731</v>
      </c>
      <c r="K590" s="7">
        <v>8.42579525984437</v>
      </c>
      <c r="L590" s="7">
        <v>0.5165035406125937</v>
      </c>
      <c r="M590" s="7">
        <v>0.6511122374864636</v>
      </c>
      <c r="N590" s="7">
        <v>0.5245795644896595</v>
      </c>
      <c r="O590" s="7">
        <v>0.2774342256414374</v>
      </c>
      <c r="P590" s="7">
        <v>7.641806798023111</v>
      </c>
      <c r="Q590" s="7">
        <v>0.0279656787650484</v>
      </c>
      <c r="R590" s="7">
        <v>0.0968643949220033</v>
      </c>
      <c r="S590" s="7">
        <v>0.1501234400473921</v>
      </c>
      <c r="T590" s="7">
        <v>1.578907073963278</v>
      </c>
    </row>
    <row x14ac:dyDescent="0.25" r="591" customHeight="1" ht="19.5">
      <c r="A591" s="2" t="s">
        <v>624</v>
      </c>
      <c r="B591" s="2" t="s">
        <v>30</v>
      </c>
      <c r="C591" s="2" t="s">
        <v>31</v>
      </c>
      <c r="D591" s="2" t="s">
        <v>431</v>
      </c>
      <c r="E591" s="6">
        <v>1</v>
      </c>
      <c r="F591" s="6">
        <v>0</v>
      </c>
      <c r="G591" s="7">
        <v>0.6854971051216125</v>
      </c>
      <c r="H591" s="7">
        <v>47.66513984375</v>
      </c>
      <c r="I591" s="7">
        <v>33.17913729025435</v>
      </c>
      <c r="J591" s="7">
        <v>8.95720347633031</v>
      </c>
      <c r="K591" s="7">
        <v>8.196337722609071</v>
      </c>
      <c r="L591" s="7">
        <v>0.5132911379745755</v>
      </c>
      <c r="M591" s="7">
        <v>0.5440627598144141</v>
      </c>
      <c r="N591" s="7">
        <v>0.5887309772450453</v>
      </c>
      <c r="O591" s="7">
        <v>0.2803522473587955</v>
      </c>
      <c r="P591" s="7">
        <v>7.212187437895977</v>
      </c>
      <c r="Q591" s="7">
        <v>0.0246899782085443</v>
      </c>
      <c r="R591" s="7">
        <v>0.084946510059067</v>
      </c>
      <c r="S591" s="7">
        <v>0.1148647965725915</v>
      </c>
      <c r="T591" s="7">
        <v>1.365879409768723</v>
      </c>
    </row>
    <row x14ac:dyDescent="0.25" r="592" customHeight="1" ht="19.5">
      <c r="A592" s="2" t="s">
        <v>625</v>
      </c>
      <c r="B592" s="2" t="s">
        <v>30</v>
      </c>
      <c r="C592" s="2" t="s">
        <v>31</v>
      </c>
      <c r="D592" s="2" t="s">
        <v>431</v>
      </c>
      <c r="E592" s="6">
        <v>1</v>
      </c>
      <c r="F592" s="6">
        <v>0</v>
      </c>
      <c r="G592" s="7">
        <v>0.3052583634853363</v>
      </c>
      <c r="H592" s="7">
        <v>75.180909375</v>
      </c>
      <c r="I592" s="7">
        <v>37.68922838116963</v>
      </c>
      <c r="J592" s="7">
        <v>10.53651181465842</v>
      </c>
      <c r="K592" s="7">
        <v>8.831591597281335</v>
      </c>
      <c r="L592" s="7">
        <v>0.5928964365511125</v>
      </c>
      <c r="M592" s="7">
        <v>0.6650938718643417</v>
      </c>
      <c r="N592" s="7">
        <v>0.6013001617619814</v>
      </c>
      <c r="O592" s="7">
        <v>0.0713546010566509</v>
      </c>
      <c r="P592" s="7">
        <v>8.058986080360524</v>
      </c>
      <c r="Q592" s="7">
        <v>0.0336891479070215</v>
      </c>
      <c r="R592" s="7">
        <v>0.0804425571858828</v>
      </c>
      <c r="S592" s="7">
        <v>0.1085335889275114</v>
      </c>
      <c r="T592" s="7">
        <v>2.939600964618646</v>
      </c>
    </row>
    <row x14ac:dyDescent="0.25" r="593" customHeight="1" ht="19.5">
      <c r="A593" s="2" t="s">
        <v>626</v>
      </c>
      <c r="B593" s="2" t="s">
        <v>30</v>
      </c>
      <c r="C593" s="2" t="s">
        <v>31</v>
      </c>
      <c r="D593" s="2" t="s">
        <v>431</v>
      </c>
      <c r="E593" s="6">
        <v>1</v>
      </c>
      <c r="F593" s="6">
        <v>0</v>
      </c>
      <c r="G593" s="7">
        <v>0.5153692364692688</v>
      </c>
      <c r="H593" s="7">
        <v>52.4548578125</v>
      </c>
      <c r="I593" s="7">
        <v>37.57923769973954</v>
      </c>
      <c r="J593" s="7">
        <v>9.607487784435047</v>
      </c>
      <c r="K593" s="7">
        <v>9.09355168775436</v>
      </c>
      <c r="L593" s="7">
        <v>0.4178863958283695</v>
      </c>
      <c r="M593" s="7">
        <v>0.4666431931934877</v>
      </c>
      <c r="N593" s="7">
        <v>0.6035620781010302</v>
      </c>
      <c r="O593" s="7">
        <v>0.157553558654532</v>
      </c>
      <c r="P593" s="7">
        <v>7.8118429386607</v>
      </c>
      <c r="Q593" s="7">
        <v>0.0374990122181315</v>
      </c>
      <c r="R593" s="7">
        <v>0.0881569993130938</v>
      </c>
      <c r="S593" s="7">
        <v>0.1058738332202895</v>
      </c>
      <c r="T593" s="7">
        <v>2.282949591016516</v>
      </c>
    </row>
    <row x14ac:dyDescent="0.25" r="594" customHeight="1" ht="19.5">
      <c r="A594" s="2" t="s">
        <v>627</v>
      </c>
      <c r="B594" s="2" t="s">
        <v>30</v>
      </c>
      <c r="C594" s="2" t="s">
        <v>31</v>
      </c>
      <c r="D594" s="2" t="s">
        <v>431</v>
      </c>
      <c r="E594" s="6">
        <v>1</v>
      </c>
      <c r="F594" s="6">
        <v>0</v>
      </c>
      <c r="G594" s="7">
        <v>0.8069524765014648</v>
      </c>
      <c r="H594" s="7">
        <v>31.77560546875</v>
      </c>
      <c r="I594" s="7">
        <v>29.92567730272761</v>
      </c>
      <c r="J594" s="7">
        <v>7.104186187977744</v>
      </c>
      <c r="K594" s="7">
        <v>6.764516566920669</v>
      </c>
      <c r="L594" s="7">
        <v>0.3714485120168491</v>
      </c>
      <c r="M594" s="7">
        <v>0.4455860864373513</v>
      </c>
      <c r="N594" s="7">
        <v>0.5524645922569336</v>
      </c>
      <c r="O594" s="7">
        <v>0.2723270594314024</v>
      </c>
      <c r="P594" s="7">
        <v>7.294278314299955</v>
      </c>
      <c r="Q594" s="7">
        <v>0.0357512679061434</v>
      </c>
      <c r="R594" s="7">
        <v>0.0885675198308058</v>
      </c>
      <c r="S594" s="7">
        <v>0.1135815202320312</v>
      </c>
      <c r="T594" s="7">
        <v>1.318487640740659</v>
      </c>
    </row>
    <row x14ac:dyDescent="0.25" r="595" customHeight="1" ht="19.5">
      <c r="A595" s="2" t="s">
        <v>628</v>
      </c>
      <c r="B595" s="2" t="s">
        <v>30</v>
      </c>
      <c r="C595" s="2" t="s">
        <v>31</v>
      </c>
      <c r="D595" s="2" t="s">
        <v>431</v>
      </c>
      <c r="E595" s="6">
        <v>1</v>
      </c>
      <c r="F595" s="6">
        <v>0</v>
      </c>
      <c r="G595" s="7">
        <v>0.8323398232460022</v>
      </c>
      <c r="H595" s="7">
        <v>36.419865625</v>
      </c>
      <c r="I595" s="7">
        <v>29.71256386966723</v>
      </c>
      <c r="J595" s="7">
        <v>7.396095852399146</v>
      </c>
      <c r="K595" s="7">
        <v>7.361129678531235</v>
      </c>
      <c r="L595" s="7">
        <v>0.4107745041226643</v>
      </c>
      <c r="M595" s="7">
        <v>0.5172697028346469</v>
      </c>
      <c r="N595" s="7">
        <v>0.5163784195782344</v>
      </c>
      <c r="O595" s="7">
        <v>0.2670685806095171</v>
      </c>
      <c r="P595" s="7">
        <v>7.572221307156803</v>
      </c>
      <c r="Q595" s="7">
        <v>0.0357472811412032</v>
      </c>
      <c r="R595" s="7">
        <v>0.0928933950766124</v>
      </c>
      <c r="S595" s="7">
        <v>0.1295579305388482</v>
      </c>
      <c r="T595" s="7">
        <v>1.511026688292569</v>
      </c>
    </row>
    <row x14ac:dyDescent="0.25" r="596" customHeight="1" ht="19.5">
      <c r="A596" s="2" t="s">
        <v>629</v>
      </c>
      <c r="B596" s="2" t="s">
        <v>30</v>
      </c>
      <c r="C596" s="2" t="s">
        <v>31</v>
      </c>
      <c r="D596" s="2" t="s">
        <v>431</v>
      </c>
      <c r="E596" s="6">
        <v>1</v>
      </c>
      <c r="F596" s="6">
        <v>0</v>
      </c>
      <c r="G596" s="7">
        <v>0.8687009215354919</v>
      </c>
      <c r="H596" s="7">
        <v>36.04929453125001</v>
      </c>
      <c r="I596" s="7">
        <v>29.98070342241336</v>
      </c>
      <c r="J596" s="7">
        <v>7.434799592912316</v>
      </c>
      <c r="K596" s="7">
        <v>7.376103330566622</v>
      </c>
      <c r="L596" s="7">
        <v>0.4929670841053161</v>
      </c>
      <c r="M596" s="7">
        <v>0.5011345423234232</v>
      </c>
      <c r="N596" s="7">
        <v>0.5020297081460469</v>
      </c>
      <c r="O596" s="7">
        <v>0.2674055668026024</v>
      </c>
      <c r="P596" s="7">
        <v>7.681303461136241</v>
      </c>
      <c r="Q596" s="7">
        <v>0.0354365557431172</v>
      </c>
      <c r="R596" s="7">
        <v>0.0948709548093246</v>
      </c>
      <c r="S596" s="7">
        <v>0.1340788170283117</v>
      </c>
      <c r="T596" s="7">
        <v>1.482651407690591</v>
      </c>
    </row>
    <row x14ac:dyDescent="0.25" r="597" customHeight="1" ht="19.5">
      <c r="A597" s="2" t="s">
        <v>630</v>
      </c>
      <c r="B597" s="2" t="s">
        <v>30</v>
      </c>
      <c r="C597" s="2" t="s">
        <v>31</v>
      </c>
      <c r="D597" s="2" t="s">
        <v>431</v>
      </c>
      <c r="E597" s="6">
        <v>1</v>
      </c>
      <c r="F597" s="6">
        <v>0</v>
      </c>
      <c r="G597" s="7">
        <v>0.8514719605445862</v>
      </c>
      <c r="H597" s="7">
        <v>36.58263984375</v>
      </c>
      <c r="I597" s="7">
        <v>31.41920370608557</v>
      </c>
      <c r="J597" s="7">
        <v>7.588150201821247</v>
      </c>
      <c r="K597" s="7">
        <v>7.409672896979173</v>
      </c>
      <c r="L597" s="7">
        <v>0.4243482655906501</v>
      </c>
      <c r="M597" s="7">
        <v>0.4656874750252268</v>
      </c>
      <c r="N597" s="7">
        <v>0.4876334064569776</v>
      </c>
      <c r="O597" s="7">
        <v>0.2454625046574748</v>
      </c>
      <c r="P597" s="7">
        <v>7.846625520202419</v>
      </c>
      <c r="Q597" s="7">
        <v>0.0365695233455462</v>
      </c>
      <c r="R597" s="7">
        <v>0.0967778840073861</v>
      </c>
      <c r="S597" s="7">
        <v>0.1326771173780047</v>
      </c>
      <c r="T597" s="7">
        <v>1.552691305781949</v>
      </c>
    </row>
    <row x14ac:dyDescent="0.25" r="598" customHeight="1" ht="19.5">
      <c r="A598" s="2" t="s">
        <v>631</v>
      </c>
      <c r="B598" s="2" t="s">
        <v>30</v>
      </c>
      <c r="C598" s="2" t="s">
        <v>31</v>
      </c>
      <c r="D598" s="2" t="s">
        <v>431</v>
      </c>
      <c r="E598" s="6">
        <v>1</v>
      </c>
      <c r="F598" s="6">
        <v>0</v>
      </c>
      <c r="G598" s="7">
        <v>0.8567584753036499</v>
      </c>
      <c r="H598" s="7">
        <v>35.82418125</v>
      </c>
      <c r="I598" s="7">
        <v>28.68947587658728</v>
      </c>
      <c r="J598" s="7">
        <v>7.580781839736645</v>
      </c>
      <c r="K598" s="7">
        <v>7.542569378860023</v>
      </c>
      <c r="L598" s="7">
        <v>0.4793467419486345</v>
      </c>
      <c r="M598" s="7">
        <v>0.5456196587284311</v>
      </c>
      <c r="N598" s="7">
        <v>0.5100514125702775</v>
      </c>
      <c r="O598" s="7">
        <v>0.2795207428224723</v>
      </c>
      <c r="P598" s="7">
        <v>7.585660685830614</v>
      </c>
      <c r="Q598" s="7">
        <v>0.0360705809712318</v>
      </c>
      <c r="R598" s="7">
        <v>0.0963250609622658</v>
      </c>
      <c r="S598" s="7">
        <v>0.1341914736004122</v>
      </c>
      <c r="T598" s="7">
        <v>1.499754559483095</v>
      </c>
    </row>
    <row x14ac:dyDescent="0.25" r="599" customHeight="1" ht="19.5">
      <c r="A599" s="2" t="s">
        <v>632</v>
      </c>
      <c r="B599" s="2" t="s">
        <v>30</v>
      </c>
      <c r="C599" s="2" t="s">
        <v>31</v>
      </c>
      <c r="D599" s="2" t="s">
        <v>431</v>
      </c>
      <c r="E599" s="6">
        <v>1</v>
      </c>
      <c r="F599" s="6">
        <v>0</v>
      </c>
      <c r="G599" s="7">
        <v>0.8498244881629944</v>
      </c>
      <c r="H599" s="7">
        <v>35.754915625</v>
      </c>
      <c r="I599" s="7">
        <v>28.81135749147188</v>
      </c>
      <c r="J599" s="7">
        <v>7.701775281661703</v>
      </c>
      <c r="K599" s="7">
        <v>7.564193004207215</v>
      </c>
      <c r="L599" s="7">
        <v>0.5479179473783035</v>
      </c>
      <c r="M599" s="7">
        <v>0.5407509739380828</v>
      </c>
      <c r="N599" s="7">
        <v>0.5078307611902624</v>
      </c>
      <c r="O599" s="7">
        <v>0.281226321808382</v>
      </c>
      <c r="P599" s="7">
        <v>7.566874824116173</v>
      </c>
      <c r="Q599" s="7">
        <v>0.0363418644432416</v>
      </c>
      <c r="R599" s="7">
        <v>0.0955373976760583</v>
      </c>
      <c r="S599" s="7">
        <v>0.1347636043476681</v>
      </c>
      <c r="T599" s="7">
        <v>1.508112507243559</v>
      </c>
    </row>
    <row x14ac:dyDescent="0.25" r="600" customHeight="1" ht="19.5">
      <c r="A600" s="2" t="s">
        <v>633</v>
      </c>
      <c r="B600" s="2" t="s">
        <v>30</v>
      </c>
      <c r="C600" s="2" t="s">
        <v>31</v>
      </c>
      <c r="D600" s="2" t="s">
        <v>431</v>
      </c>
      <c r="E600" s="6">
        <v>1</v>
      </c>
      <c r="F600" s="6">
        <v>0</v>
      </c>
      <c r="G600" s="7">
        <v>0.863429069519043</v>
      </c>
      <c r="H600" s="7">
        <v>36.03544140625</v>
      </c>
      <c r="I600" s="7">
        <v>31.23255775391274</v>
      </c>
      <c r="J600" s="7">
        <v>7.711918628466566</v>
      </c>
      <c r="K600" s="7">
        <v>7.5706924102211</v>
      </c>
      <c r="L600" s="7">
        <v>0.5286724493269813</v>
      </c>
      <c r="M600" s="7">
        <v>0.4642208118626489</v>
      </c>
      <c r="N600" s="7">
        <v>0.5108329189228707</v>
      </c>
      <c r="O600" s="7">
        <v>0.2810568349268345</v>
      </c>
      <c r="P600" s="7">
        <v>7.564603214394476</v>
      </c>
      <c r="Q600" s="7">
        <v>0.037131751618858</v>
      </c>
      <c r="R600" s="7">
        <v>0.0966858390798563</v>
      </c>
      <c r="S600" s="7">
        <v>0.1359824793184543</v>
      </c>
      <c r="T600" s="7">
        <v>1.552980716109783</v>
      </c>
    </row>
    <row x14ac:dyDescent="0.25" r="601" customHeight="1" ht="19.5">
      <c r="A601" s="2" t="s">
        <v>634</v>
      </c>
      <c r="B601" s="2" t="s">
        <v>30</v>
      </c>
      <c r="C601" s="2" t="s">
        <v>31</v>
      </c>
      <c r="D601" s="2" t="s">
        <v>431</v>
      </c>
      <c r="E601" s="6">
        <v>1</v>
      </c>
      <c r="F601" s="6">
        <v>0</v>
      </c>
      <c r="G601" s="7">
        <v>0.8581091165542603</v>
      </c>
      <c r="H601" s="7">
        <v>35.283909375</v>
      </c>
      <c r="I601" s="7">
        <v>28.15600550095635</v>
      </c>
      <c r="J601" s="7">
        <v>7.521859464034806</v>
      </c>
      <c r="K601" s="7">
        <v>7.393925600833854</v>
      </c>
      <c r="L601" s="7">
        <v>0.5320438837780398</v>
      </c>
      <c r="M601" s="7">
        <v>0.5580918086997146</v>
      </c>
      <c r="N601" s="7">
        <v>0.5021795950428481</v>
      </c>
      <c r="O601" s="7">
        <v>0.2716924736901919</v>
      </c>
      <c r="P601" s="7">
        <v>7.64812895202228</v>
      </c>
      <c r="Q601" s="7">
        <v>0.035181876765743</v>
      </c>
      <c r="R601" s="7">
        <v>0.0946476467745146</v>
      </c>
      <c r="S601" s="7">
        <v>0.1334894952717434</v>
      </c>
      <c r="T601" s="7">
        <v>1.440742876763673</v>
      </c>
    </row>
    <row x14ac:dyDescent="0.25" r="602" customHeight="1" ht="19.5">
      <c r="A602" s="2" t="s">
        <v>635</v>
      </c>
      <c r="B602" s="2" t="s">
        <v>30</v>
      </c>
      <c r="C602" s="2" t="s">
        <v>31</v>
      </c>
      <c r="D602" s="2" t="s">
        <v>431</v>
      </c>
      <c r="E602" s="6">
        <v>1</v>
      </c>
      <c r="F602" s="6">
        <v>0</v>
      </c>
      <c r="G602" s="7">
        <v>0.8523897528648376</v>
      </c>
      <c r="H602" s="7">
        <v>36.004271875</v>
      </c>
      <c r="I602" s="7">
        <v>28.85837776549042</v>
      </c>
      <c r="J602" s="7">
        <v>7.710822038527218</v>
      </c>
      <c r="K602" s="7">
        <v>7.594678346782441</v>
      </c>
      <c r="L602" s="7">
        <v>0.5554689552096851</v>
      </c>
      <c r="M602" s="7">
        <v>0.5422302725025228</v>
      </c>
      <c r="N602" s="7">
        <v>0.5123150721374954</v>
      </c>
      <c r="O602" s="7">
        <v>0.2818577862732893</v>
      </c>
      <c r="P602" s="7">
        <v>7.564958682856494</v>
      </c>
      <c r="Q602" s="7">
        <v>0.0359050715867969</v>
      </c>
      <c r="R602" s="7">
        <v>0.0961106640708966</v>
      </c>
      <c r="S602" s="7">
        <v>0.132460956333917</v>
      </c>
      <c r="T602" s="7">
        <v>1.500377730597762</v>
      </c>
    </row>
    <row x14ac:dyDescent="0.25" r="603" customHeight="1" ht="19.5">
      <c r="A603" s="2" t="s">
        <v>636</v>
      </c>
      <c r="B603" s="2" t="s">
        <v>30</v>
      </c>
      <c r="C603" s="2" t="s">
        <v>31</v>
      </c>
      <c r="D603" s="2" t="s">
        <v>431</v>
      </c>
      <c r="E603" s="6">
        <v>1</v>
      </c>
      <c r="F603" s="6">
        <v>0</v>
      </c>
      <c r="G603" s="7">
        <v>0.8625134229660034</v>
      </c>
      <c r="H603" s="7">
        <v>35.87613046875</v>
      </c>
      <c r="I603" s="7">
        <v>28.4279685835484</v>
      </c>
      <c r="J603" s="7">
        <v>7.627734114416516</v>
      </c>
      <c r="K603" s="7">
        <v>7.539268499503137</v>
      </c>
      <c r="L603" s="7">
        <v>0.5348589313970467</v>
      </c>
      <c r="M603" s="7">
        <v>0.5571042441557938</v>
      </c>
      <c r="N603" s="7">
        <v>0.5029835576803636</v>
      </c>
      <c r="O603" s="7">
        <v>0.2726708504061206</v>
      </c>
      <c r="P603" s="7">
        <v>7.638151436799284</v>
      </c>
      <c r="Q603" s="7">
        <v>0.0355774442352521</v>
      </c>
      <c r="R603" s="7">
        <v>0.0951958573058612</v>
      </c>
      <c r="S603" s="7">
        <v>0.136430628955076</v>
      </c>
      <c r="T603" s="7">
        <v>1.481395842189209</v>
      </c>
    </row>
    <row x14ac:dyDescent="0.25" r="604" customHeight="1" ht="19.5">
      <c r="A604" s="2" t="s">
        <v>637</v>
      </c>
      <c r="B604" s="2" t="s">
        <v>30</v>
      </c>
      <c r="C604" s="2" t="s">
        <v>31</v>
      </c>
      <c r="D604" s="2" t="s">
        <v>431</v>
      </c>
      <c r="E604" s="6">
        <v>1</v>
      </c>
      <c r="F604" s="6">
        <v>0</v>
      </c>
      <c r="G604" s="7">
        <v>0.8450267314910889</v>
      </c>
      <c r="H604" s="7">
        <v>36.2882609375</v>
      </c>
      <c r="I604" s="7">
        <v>28.68391997480605</v>
      </c>
      <c r="J604" s="7">
        <v>7.695413906324583</v>
      </c>
      <c r="K604" s="7">
        <v>7.557467260421353</v>
      </c>
      <c r="L604" s="7">
        <v>0.5560786155179227</v>
      </c>
      <c r="M604" s="7">
        <v>0.5513322016516233</v>
      </c>
      <c r="N604" s="7">
        <v>0.5069686419011685</v>
      </c>
      <c r="O604" s="7">
        <v>0.2756910496246379</v>
      </c>
      <c r="P604" s="7">
        <v>7.610151650998786</v>
      </c>
      <c r="Q604" s="7">
        <v>0.0373019435862599</v>
      </c>
      <c r="R604" s="7">
        <v>0.0973538548759464</v>
      </c>
      <c r="S604" s="7">
        <v>0.1383626215043237</v>
      </c>
      <c r="T604" s="7">
        <v>1.57104417487447</v>
      </c>
    </row>
    <row x14ac:dyDescent="0.25" r="605" customHeight="1" ht="19.5">
      <c r="A605" s="2" t="s">
        <v>638</v>
      </c>
      <c r="B605" s="2" t="s">
        <v>30</v>
      </c>
      <c r="C605" s="2" t="s">
        <v>31</v>
      </c>
      <c r="D605" s="2" t="s">
        <v>431</v>
      </c>
      <c r="E605" s="6">
        <v>1</v>
      </c>
      <c r="F605" s="6">
        <v>0</v>
      </c>
      <c r="G605" s="7">
        <v>0.8689438700675964</v>
      </c>
      <c r="H605" s="7">
        <v>36.9116515625</v>
      </c>
      <c r="I605" s="7">
        <v>30.25649003485133</v>
      </c>
      <c r="J605" s="7">
        <v>7.746968056256199</v>
      </c>
      <c r="K605" s="7">
        <v>7.543012277020155</v>
      </c>
      <c r="L605" s="7">
        <v>0.5286417008821334</v>
      </c>
      <c r="M605" s="7">
        <v>0.5041157357158343</v>
      </c>
      <c r="N605" s="7">
        <v>0.5002401006632572</v>
      </c>
      <c r="O605" s="7">
        <v>0.264577856233755</v>
      </c>
      <c r="P605" s="7">
        <v>7.699304046371511</v>
      </c>
      <c r="Q605" s="7">
        <v>0.0357272165482381</v>
      </c>
      <c r="R605" s="7">
        <v>0.096543160090144</v>
      </c>
      <c r="S605" s="7">
        <v>0.1363652066088532</v>
      </c>
      <c r="T605" s="7">
        <v>1.530570857334433</v>
      </c>
    </row>
    <row x14ac:dyDescent="0.25" r="606" customHeight="1" ht="19.5">
      <c r="A606" s="2" t="s">
        <v>639</v>
      </c>
      <c r="B606" s="2" t="s">
        <v>30</v>
      </c>
      <c r="C606" s="2" t="s">
        <v>31</v>
      </c>
      <c r="D606" s="2" t="s">
        <v>431</v>
      </c>
      <c r="E606" s="6">
        <v>1</v>
      </c>
      <c r="F606" s="6">
        <v>0</v>
      </c>
      <c r="G606" s="7">
        <v>0.8639475703239441</v>
      </c>
      <c r="H606" s="7">
        <v>35.9419328125</v>
      </c>
      <c r="I606" s="7">
        <v>30.14470542354455</v>
      </c>
      <c r="J606" s="7">
        <v>7.582586788890165</v>
      </c>
      <c r="K606" s="7">
        <v>7.539970077206512</v>
      </c>
      <c r="L606" s="7">
        <v>0.5304364015398219</v>
      </c>
      <c r="M606" s="7">
        <v>0.4964149401377053</v>
      </c>
      <c r="N606" s="7">
        <v>0.5041318866978874</v>
      </c>
      <c r="O606" s="7">
        <v>0.2712865938865463</v>
      </c>
      <c r="P606" s="7">
        <v>7.65285536781604</v>
      </c>
      <c r="Q606" s="7">
        <v>0.035222828803438</v>
      </c>
      <c r="R606" s="7">
        <v>0.0946555848942288</v>
      </c>
      <c r="S606" s="7">
        <v>0.1310719048659228</v>
      </c>
      <c r="T606" s="7">
        <v>1.469320168733864</v>
      </c>
    </row>
    <row x14ac:dyDescent="0.25" r="607" customHeight="1" ht="19.5">
      <c r="A607" s="2" t="s">
        <v>640</v>
      </c>
      <c r="B607" s="2" t="s">
        <v>30</v>
      </c>
      <c r="C607" s="2" t="s">
        <v>31</v>
      </c>
      <c r="D607" s="2" t="s">
        <v>431</v>
      </c>
      <c r="E607" s="6">
        <v>1</v>
      </c>
      <c r="F607" s="6">
        <v>0</v>
      </c>
      <c r="G607" s="7">
        <v>0.8627766966819763</v>
      </c>
      <c r="H607" s="7">
        <v>37.35841484375</v>
      </c>
      <c r="I607" s="7">
        <v>31.1918109536261</v>
      </c>
      <c r="J607" s="7">
        <v>7.742975224150691</v>
      </c>
      <c r="K607" s="7">
        <v>7.671271408510772</v>
      </c>
      <c r="L607" s="7">
        <v>0.4852162646462014</v>
      </c>
      <c r="M607" s="7">
        <v>0.4825220056566617</v>
      </c>
      <c r="N607" s="7">
        <v>0.5046228242567679</v>
      </c>
      <c r="O607" s="7">
        <v>0.2673963100607772</v>
      </c>
      <c r="P607" s="7">
        <v>7.689361382798349</v>
      </c>
      <c r="Q607" s="7">
        <v>0.036512164602043</v>
      </c>
      <c r="R607" s="7">
        <v>0.0970070648148726</v>
      </c>
      <c r="S607" s="7">
        <v>0.1339794273041741</v>
      </c>
      <c r="T607" s="7">
        <v>1.583130810291651</v>
      </c>
    </row>
    <row x14ac:dyDescent="0.25" r="608" customHeight="1" ht="19.5">
      <c r="A608" s="2" t="s">
        <v>641</v>
      </c>
      <c r="B608" s="2" t="s">
        <v>30</v>
      </c>
      <c r="C608" s="2" t="s">
        <v>31</v>
      </c>
      <c r="D608" s="2" t="s">
        <v>431</v>
      </c>
      <c r="E608" s="6">
        <v>1</v>
      </c>
      <c r="F608" s="6">
        <v>0</v>
      </c>
      <c r="G608" s="7">
        <v>0.847019374370575</v>
      </c>
      <c r="H608" s="7">
        <v>36.1635828125</v>
      </c>
      <c r="I608" s="7">
        <v>29.12998206210713</v>
      </c>
      <c r="J608" s="7">
        <v>7.649687471460863</v>
      </c>
      <c r="K608" s="7">
        <v>7.591618744892541</v>
      </c>
      <c r="L608" s="7">
        <v>0.570683128195169</v>
      </c>
      <c r="M608" s="7">
        <v>0.5355510562092377</v>
      </c>
      <c r="N608" s="7">
        <v>0.5128331675775915</v>
      </c>
      <c r="O608" s="7">
        <v>0.2849389373535652</v>
      </c>
      <c r="P608" s="7">
        <v>7.557524741255052</v>
      </c>
      <c r="Q608" s="7">
        <v>0.03552909229381</v>
      </c>
      <c r="R608" s="7">
        <v>0.0962131871221053</v>
      </c>
      <c r="S608" s="7">
        <v>0.1334690287128776</v>
      </c>
      <c r="T608" s="7">
        <v>1.491235873974943</v>
      </c>
    </row>
    <row x14ac:dyDescent="0.25" r="609" customHeight="1" ht="19.5">
      <c r="A609" s="2" t="s">
        <v>642</v>
      </c>
      <c r="B609" s="2" t="s">
        <v>30</v>
      </c>
      <c r="C609" s="2" t="s">
        <v>31</v>
      </c>
      <c r="D609" s="2" t="s">
        <v>431</v>
      </c>
      <c r="E609" s="6">
        <v>1</v>
      </c>
      <c r="F609" s="6">
        <v>0</v>
      </c>
      <c r="G609" s="7">
        <v>0.8559865951538086</v>
      </c>
      <c r="H609" s="7">
        <v>36.63458906250001</v>
      </c>
      <c r="I609" s="7">
        <v>30.91602434118812</v>
      </c>
      <c r="J609" s="7">
        <v>7.590028193191447</v>
      </c>
      <c r="K609" s="7">
        <v>7.585040960834752</v>
      </c>
      <c r="L609" s="7">
        <v>0.4606196595653727</v>
      </c>
      <c r="M609" s="7">
        <v>0.4798312609525608</v>
      </c>
      <c r="N609" s="7">
        <v>0.4998622790063673</v>
      </c>
      <c r="O609" s="7">
        <v>0.2619583437163032</v>
      </c>
      <c r="P609" s="7">
        <v>7.724666863367553</v>
      </c>
      <c r="Q609" s="7">
        <v>0.0360656540427389</v>
      </c>
      <c r="R609" s="7">
        <v>0.0966622556207532</v>
      </c>
      <c r="S609" s="7">
        <v>0.1361377768785502</v>
      </c>
      <c r="T609" s="7">
        <v>1.533472234171187</v>
      </c>
    </row>
    <row x14ac:dyDescent="0.25" r="610" customHeight="1" ht="19.5">
      <c r="A610" s="2" t="s">
        <v>643</v>
      </c>
      <c r="B610" s="2" t="s">
        <v>30</v>
      </c>
      <c r="C610" s="2" t="s">
        <v>31</v>
      </c>
      <c r="D610" s="2" t="s">
        <v>431</v>
      </c>
      <c r="E610" s="6">
        <v>1</v>
      </c>
      <c r="F610" s="6">
        <v>0</v>
      </c>
      <c r="G610" s="7">
        <v>0.8621750473976135</v>
      </c>
      <c r="H610" s="7">
        <v>37.82249453125</v>
      </c>
      <c r="I610" s="7">
        <v>30.87945985672274</v>
      </c>
      <c r="J610" s="7">
        <v>7.943730944554808</v>
      </c>
      <c r="K610" s="7">
        <v>7.478876895446865</v>
      </c>
      <c r="L610" s="7">
        <v>0.4911239038150392</v>
      </c>
      <c r="M610" s="7">
        <v>0.4984032595426842</v>
      </c>
      <c r="N610" s="7">
        <v>0.4984661937707573</v>
      </c>
      <c r="O610" s="7">
        <v>0.2598109441282307</v>
      </c>
      <c r="P610" s="7">
        <v>7.728264456800042</v>
      </c>
      <c r="Q610" s="7">
        <v>0.0367154685774366</v>
      </c>
      <c r="R610" s="7">
        <v>0.0968289345645697</v>
      </c>
      <c r="S610" s="7">
        <v>0.1361538371922269</v>
      </c>
      <c r="T610" s="7">
        <v>1.611721591661846</v>
      </c>
    </row>
    <row x14ac:dyDescent="0.25" r="611" customHeight="1" ht="19.5">
      <c r="A611" s="2" t="s">
        <v>644</v>
      </c>
      <c r="B611" s="2" t="s">
        <v>30</v>
      </c>
      <c r="C611" s="2" t="s">
        <v>31</v>
      </c>
      <c r="D611" s="2" t="s">
        <v>431</v>
      </c>
      <c r="E611" s="6">
        <v>1</v>
      </c>
      <c r="F611" s="6">
        <v>0</v>
      </c>
      <c r="G611" s="7">
        <v>0.8598787188529968</v>
      </c>
      <c r="H611" s="7">
        <v>36.0389046875</v>
      </c>
      <c r="I611" s="7">
        <v>30.16107590085428</v>
      </c>
      <c r="J611" s="7">
        <v>7.614048010499369</v>
      </c>
      <c r="K611" s="7">
        <v>7.607062394460821</v>
      </c>
      <c r="L611" s="7">
        <v>0.5187537515635771</v>
      </c>
      <c r="M611" s="7">
        <v>0.4978377075379563</v>
      </c>
      <c r="N611" s="7">
        <v>0.5055783159426224</v>
      </c>
      <c r="O611" s="7">
        <v>0.2752452772666504</v>
      </c>
      <c r="P611" s="7">
        <v>7.623509485234821</v>
      </c>
      <c r="Q611" s="7">
        <v>0.0348529836392071</v>
      </c>
      <c r="R611" s="7">
        <v>0.0943497075799254</v>
      </c>
      <c r="S611" s="7">
        <v>0.1337756795258504</v>
      </c>
      <c r="T611" s="7">
        <v>1.457814701807497</v>
      </c>
    </row>
    <row x14ac:dyDescent="0.25" r="612" customHeight="1" ht="19.5">
      <c r="A612" s="2" t="s">
        <v>645</v>
      </c>
      <c r="B612" s="2" t="s">
        <v>30</v>
      </c>
      <c r="C612" s="2" t="s">
        <v>31</v>
      </c>
      <c r="D612" s="2" t="s">
        <v>431</v>
      </c>
      <c r="E612" s="6">
        <v>1</v>
      </c>
      <c r="F612" s="6">
        <v>0</v>
      </c>
      <c r="G612" s="7">
        <v>0.8605003356933594</v>
      </c>
      <c r="H612" s="7">
        <v>37.306465625</v>
      </c>
      <c r="I612" s="7">
        <v>31.22036959242428</v>
      </c>
      <c r="J612" s="7">
        <v>7.785830940449427</v>
      </c>
      <c r="K612" s="7">
        <v>7.483499946815574</v>
      </c>
      <c r="L612" s="7">
        <v>0.4858336219492039</v>
      </c>
      <c r="M612" s="7">
        <v>0.4809698912790107</v>
      </c>
      <c r="N612" s="7">
        <v>0.5003685576671566</v>
      </c>
      <c r="O612" s="7">
        <v>0.2630410926874454</v>
      </c>
      <c r="P612" s="7">
        <v>7.698729042168448</v>
      </c>
      <c r="Q612" s="7">
        <v>0.0370311367101398</v>
      </c>
      <c r="R612" s="7">
        <v>0.0971968820082191</v>
      </c>
      <c r="S612" s="7">
        <v>0.1348141173292878</v>
      </c>
      <c r="T612" s="7">
        <v>1.603400186740654</v>
      </c>
    </row>
    <row x14ac:dyDescent="0.25" r="613" customHeight="1" ht="19.5">
      <c r="A613" s="2" t="s">
        <v>646</v>
      </c>
      <c r="B613" s="2" t="s">
        <v>30</v>
      </c>
      <c r="C613" s="2" t="s">
        <v>31</v>
      </c>
      <c r="D613" s="2" t="s">
        <v>431</v>
      </c>
      <c r="E613" s="6">
        <v>1</v>
      </c>
      <c r="F613" s="6">
        <v>0</v>
      </c>
      <c r="G613" s="7">
        <v>0.8608996868133545</v>
      </c>
      <c r="H613" s="7">
        <v>35.339321875</v>
      </c>
      <c r="I613" s="7">
        <v>28.45234490652532</v>
      </c>
      <c r="J613" s="7">
        <v>7.649502283797974</v>
      </c>
      <c r="K613" s="7">
        <v>7.479446903771318</v>
      </c>
      <c r="L613" s="7">
        <v>0.5691217823649056</v>
      </c>
      <c r="M613" s="7">
        <v>0.5477634605211774</v>
      </c>
      <c r="N613" s="7">
        <v>0.5064471637121223</v>
      </c>
      <c r="O613" s="7">
        <v>0.2775598469312541</v>
      </c>
      <c r="P613" s="7">
        <v>7.597445961378631</v>
      </c>
      <c r="Q613" s="7">
        <v>0.0356555300082511</v>
      </c>
      <c r="R613" s="7">
        <v>0.0955890567307946</v>
      </c>
      <c r="S613" s="7">
        <v>0.1354507819599009</v>
      </c>
      <c r="T613" s="7">
        <v>1.462432696003579</v>
      </c>
    </row>
    <row x14ac:dyDescent="0.25" r="614" customHeight="1" ht="19.5">
      <c r="A614" s="2" t="s">
        <v>647</v>
      </c>
      <c r="B614" s="2" t="s">
        <v>30</v>
      </c>
      <c r="C614" s="2" t="s">
        <v>31</v>
      </c>
      <c r="D614" s="2" t="s">
        <v>431</v>
      </c>
      <c r="E614" s="6">
        <v>1</v>
      </c>
      <c r="F614" s="6">
        <v>0</v>
      </c>
      <c r="G614" s="7">
        <v>0.8509760499000549</v>
      </c>
      <c r="H614" s="7">
        <v>36.13241328125</v>
      </c>
      <c r="I614" s="7">
        <v>29.18291702388223</v>
      </c>
      <c r="J614" s="7">
        <v>7.508371640412001</v>
      </c>
      <c r="K614" s="7">
        <v>7.491698163205033</v>
      </c>
      <c r="L614" s="7">
        <v>0.4977911768367183</v>
      </c>
      <c r="M614" s="7">
        <v>0.5323834890899845</v>
      </c>
      <c r="N614" s="7">
        <v>0.4971062584038523</v>
      </c>
      <c r="O614" s="7">
        <v>0.2549221740901917</v>
      </c>
      <c r="P614" s="7">
        <v>7.7565771132351</v>
      </c>
      <c r="Q614" s="7">
        <v>0.0360701892078363</v>
      </c>
      <c r="R614" s="7">
        <v>0.0959928984831037</v>
      </c>
      <c r="S614" s="7">
        <v>0.1325581212798966</v>
      </c>
      <c r="T614" s="7">
        <v>1.512642051172215</v>
      </c>
    </row>
    <row x14ac:dyDescent="0.25" r="615" customHeight="1" ht="19.5">
      <c r="A615" s="2" t="s">
        <v>648</v>
      </c>
      <c r="B615" s="2" t="s">
        <v>30</v>
      </c>
      <c r="C615" s="2" t="s">
        <v>31</v>
      </c>
      <c r="D615" s="2" t="s">
        <v>431</v>
      </c>
      <c r="E615" s="6">
        <v>1</v>
      </c>
      <c r="F615" s="6">
        <v>0</v>
      </c>
      <c r="G615" s="7">
        <v>0.6103703379631042</v>
      </c>
      <c r="H615" s="7">
        <v>43.2840890625</v>
      </c>
      <c r="I615" s="7">
        <v>39.39419740359406</v>
      </c>
      <c r="J615" s="7">
        <v>9.106436732572629</v>
      </c>
      <c r="K615" s="7">
        <v>8.347684620355512</v>
      </c>
      <c r="L615" s="7">
        <v>0.252049295997611</v>
      </c>
      <c r="M615" s="7">
        <v>0.3504883867043566</v>
      </c>
      <c r="N615" s="7">
        <v>0.5670799157957112</v>
      </c>
      <c r="O615" s="7">
        <v>0.2285111084529406</v>
      </c>
      <c r="P615" s="7">
        <v>7.492296050136168</v>
      </c>
      <c r="Q615" s="7">
        <v>0.0327189018888677</v>
      </c>
      <c r="R615" s="7">
        <v>0.0803876571401673</v>
      </c>
      <c r="S615" s="7">
        <v>0.0975977303823533</v>
      </c>
      <c r="T615" s="7">
        <v>1.643681933003262</v>
      </c>
    </row>
    <row x14ac:dyDescent="0.25" r="616" customHeight="1" ht="19.5">
      <c r="A616" s="2" t="s">
        <v>649</v>
      </c>
      <c r="B616" s="2" t="s">
        <v>30</v>
      </c>
      <c r="C616" s="2" t="s">
        <v>31</v>
      </c>
      <c r="D616" s="2" t="s">
        <v>650</v>
      </c>
      <c r="E616" s="6">
        <v>1</v>
      </c>
      <c r="F616" s="6">
        <v>0</v>
      </c>
      <c r="G616" s="7">
        <v>0.3006191551685333</v>
      </c>
      <c r="H616" s="7">
        <v>44.07025390625</v>
      </c>
      <c r="I616" s="7">
        <v>27.38253386746076</v>
      </c>
      <c r="J616" s="7">
        <v>8.658519478154545</v>
      </c>
      <c r="K616" s="7">
        <v>7.618525599580754</v>
      </c>
      <c r="L616" s="7">
        <v>0.5602965232399331</v>
      </c>
      <c r="M616" s="7">
        <v>0.7385980380694889</v>
      </c>
      <c r="N616" s="7">
        <v>0.52046937514712</v>
      </c>
      <c r="O616" s="7">
        <v>0.0821573192341628</v>
      </c>
      <c r="P616" s="7">
        <v>7.98066822763453</v>
      </c>
      <c r="Q616" s="7">
        <v>0.0032310731529738</v>
      </c>
      <c r="R616" s="7">
        <v>0.0162144615576658</v>
      </c>
      <c r="S616" s="7">
        <v>0.030292384885502</v>
      </c>
      <c r="T616" s="7">
        <v>0.1652658507015222</v>
      </c>
    </row>
    <row x14ac:dyDescent="0.25" r="617" customHeight="1" ht="19.5">
      <c r="A617" s="2" t="s">
        <v>651</v>
      </c>
      <c r="B617" s="2" t="s">
        <v>30</v>
      </c>
      <c r="C617" s="2" t="s">
        <v>31</v>
      </c>
      <c r="D617" s="2" t="s">
        <v>650</v>
      </c>
      <c r="E617" s="6">
        <v>1</v>
      </c>
      <c r="F617" s="6">
        <v>0</v>
      </c>
      <c r="G617" s="7">
        <v>0.3088639676570892</v>
      </c>
      <c r="H617" s="7">
        <v>58.086153125</v>
      </c>
      <c r="I617" s="7">
        <v>30.83865149849471</v>
      </c>
      <c r="J617" s="7">
        <v>10.3209346933118</v>
      </c>
      <c r="K617" s="7">
        <v>10.14538964987933</v>
      </c>
      <c r="L617" s="7">
        <v>0.4087506595956066</v>
      </c>
      <c r="M617" s="7">
        <v>0.766562563849128</v>
      </c>
      <c r="N617" s="7">
        <v>0.5070839927990972</v>
      </c>
      <c r="O617" s="7">
        <v>0.1005356508780375</v>
      </c>
      <c r="P617" s="7">
        <v>8.078730380678559</v>
      </c>
      <c r="Q617" s="7">
        <v>0.001810937017301</v>
      </c>
      <c r="R617" s="7">
        <v>0.0115610716013516</v>
      </c>
      <c r="S617" s="7">
        <v>0.0321263238198914</v>
      </c>
      <c r="T617" s="7">
        <v>0.1220862464899781</v>
      </c>
    </row>
    <row x14ac:dyDescent="0.25" r="618" customHeight="1" ht="19.5">
      <c r="A618" s="2" t="s">
        <v>652</v>
      </c>
      <c r="B618" s="2" t="s">
        <v>30</v>
      </c>
      <c r="C618" s="2" t="s">
        <v>31</v>
      </c>
      <c r="D618" s="2" t="s">
        <v>650</v>
      </c>
      <c r="E618" s="6">
        <v>1</v>
      </c>
      <c r="F618" s="6">
        <v>0</v>
      </c>
      <c r="G618" s="7">
        <v>0.5673733353614807</v>
      </c>
      <c r="H618" s="7">
        <v>39.75846875000001</v>
      </c>
      <c r="I618" s="7">
        <v>25.36043697624381</v>
      </c>
      <c r="J618" s="7">
        <v>8.236032234287539</v>
      </c>
      <c r="K618" s="7">
        <v>6.796385035536475</v>
      </c>
      <c r="L618" s="7">
        <v>0.5831140247432525</v>
      </c>
      <c r="M618" s="7">
        <v>0.7768301070265359</v>
      </c>
      <c r="N618" s="7">
        <v>0.4481982291510581</v>
      </c>
      <c r="O618" s="7">
        <v>0.1797895878675341</v>
      </c>
      <c r="P618" s="7">
        <v>7.944265819496327</v>
      </c>
      <c r="Q618" s="7">
        <v>0.0041125454038262</v>
      </c>
      <c r="R618" s="7">
        <v>0.0163743675456366</v>
      </c>
      <c r="S618" s="7">
        <v>0.0332203638932235</v>
      </c>
      <c r="T618" s="7">
        <v>0.1897715634198443</v>
      </c>
    </row>
    <row x14ac:dyDescent="0.25" r="619" customHeight="1" ht="19.5">
      <c r="A619" s="2" t="s">
        <v>653</v>
      </c>
      <c r="B619" s="2" t="s">
        <v>30</v>
      </c>
      <c r="C619" s="2" t="s">
        <v>31</v>
      </c>
      <c r="D619" s="2" t="s">
        <v>650</v>
      </c>
      <c r="E619" s="6">
        <v>1</v>
      </c>
      <c r="F619" s="6">
        <v>0</v>
      </c>
      <c r="G619" s="7">
        <v>0.5545465350151062</v>
      </c>
      <c r="H619" s="7">
        <v>42.30744375</v>
      </c>
      <c r="I619" s="7">
        <v>26.36506333410341</v>
      </c>
      <c r="J619" s="7">
        <v>8.291846731283522</v>
      </c>
      <c r="K619" s="7">
        <v>7.234361191297388</v>
      </c>
      <c r="L619" s="7">
        <v>0.5676624166518557</v>
      </c>
      <c r="M619" s="7">
        <v>0.7648372157638884</v>
      </c>
      <c r="N619" s="7">
        <v>0.4724641766059163</v>
      </c>
      <c r="O619" s="7">
        <v>0.1770646099232007</v>
      </c>
      <c r="P619" s="7">
        <v>7.990951799424137</v>
      </c>
      <c r="Q619" s="7">
        <v>0.0045340181740895</v>
      </c>
      <c r="R619" s="7">
        <v>0.0174058920481317</v>
      </c>
      <c r="S619" s="7">
        <v>0.0402928941142825</v>
      </c>
      <c r="T619" s="7">
        <v>0.2226336581545688</v>
      </c>
    </row>
    <row x14ac:dyDescent="0.25" r="620" customHeight="1" ht="19.5">
      <c r="A620" s="2" t="s">
        <v>654</v>
      </c>
      <c r="B620" s="2" t="s">
        <v>30</v>
      </c>
      <c r="C620" s="2" t="s">
        <v>31</v>
      </c>
      <c r="D620" s="2" t="s">
        <v>650</v>
      </c>
      <c r="E620" s="6">
        <v>1</v>
      </c>
      <c r="F620" s="6">
        <v>0</v>
      </c>
      <c r="G620" s="7">
        <v>0.5488961935043335</v>
      </c>
      <c r="H620" s="7">
        <v>42.27627421875</v>
      </c>
      <c r="I620" s="7">
        <v>27.08762960579314</v>
      </c>
      <c r="J620" s="7">
        <v>8.374055459597118</v>
      </c>
      <c r="K620" s="7">
        <v>7.254223293343481</v>
      </c>
      <c r="L620" s="7">
        <v>0.5827280286561286</v>
      </c>
      <c r="M620" s="7">
        <v>0.7240433442564911</v>
      </c>
      <c r="N620" s="7">
        <v>0.4667914105309405</v>
      </c>
      <c r="O620" s="7">
        <v>0.18995586762274</v>
      </c>
      <c r="P620" s="7">
        <v>8.029631405469319</v>
      </c>
      <c r="Q620" s="7">
        <v>0.0062766192616744</v>
      </c>
      <c r="R620" s="7">
        <v>0.0211824906362561</v>
      </c>
      <c r="S620" s="7">
        <v>0.0382747826392715</v>
      </c>
      <c r="T620" s="7">
        <v>0.3079734453159279</v>
      </c>
    </row>
    <row x14ac:dyDescent="0.25" r="621" customHeight="1" ht="19.5">
      <c r="A621" s="2" t="s">
        <v>655</v>
      </c>
      <c r="B621" s="2" t="s">
        <v>30</v>
      </c>
      <c r="C621" s="2" t="s">
        <v>31</v>
      </c>
      <c r="D621" s="2" t="s">
        <v>650</v>
      </c>
      <c r="E621" s="6">
        <v>1</v>
      </c>
      <c r="F621" s="6">
        <v>0</v>
      </c>
      <c r="G621" s="7">
        <v>0.5416331887245178</v>
      </c>
      <c r="H621" s="7">
        <v>44.33000000000001</v>
      </c>
      <c r="I621" s="7">
        <v>27.31502235825262</v>
      </c>
      <c r="J621" s="7">
        <v>8.09809136687558</v>
      </c>
      <c r="K621" s="7">
        <v>7.381768844321662</v>
      </c>
      <c r="L621" s="7">
        <v>0.5003603760248032</v>
      </c>
      <c r="M621" s="7">
        <v>0.7466283470478551</v>
      </c>
      <c r="N621" s="7">
        <v>0.4512510796040735</v>
      </c>
      <c r="O621" s="7">
        <v>0.1910528792458218</v>
      </c>
      <c r="P621" s="7">
        <v>8.155113703668135</v>
      </c>
      <c r="Q621" s="7">
        <v>0.0058457280022344</v>
      </c>
      <c r="R621" s="7">
        <v>0.0210837961254929</v>
      </c>
      <c r="S621" s="7">
        <v>0.0377285745278528</v>
      </c>
      <c r="T621" s="7">
        <v>0.3007648749166053</v>
      </c>
    </row>
    <row x14ac:dyDescent="0.25" r="622" customHeight="1" ht="19.5">
      <c r="A622" s="2" t="s">
        <v>656</v>
      </c>
      <c r="B622" s="2" t="s">
        <v>30</v>
      </c>
      <c r="C622" s="2" t="s">
        <v>31</v>
      </c>
      <c r="D622" s="2" t="s">
        <v>650</v>
      </c>
      <c r="E622" s="6">
        <v>1</v>
      </c>
      <c r="F622" s="6">
        <v>0</v>
      </c>
      <c r="G622" s="7">
        <v>0.5754291415214539</v>
      </c>
      <c r="H622" s="7">
        <v>43.64773359375</v>
      </c>
      <c r="I622" s="7">
        <v>27.4045218044931</v>
      </c>
      <c r="J622" s="7">
        <v>8.267035884502286</v>
      </c>
      <c r="K622" s="7">
        <v>7.494094652714317</v>
      </c>
      <c r="L622" s="7">
        <v>0.5409227799203841</v>
      </c>
      <c r="M622" s="7">
        <v>0.7303433940600459</v>
      </c>
      <c r="N622" s="7">
        <v>0.4662984635986461</v>
      </c>
      <c r="O622" s="7">
        <v>0.2171062247627228</v>
      </c>
      <c r="P622" s="7">
        <v>7.99395860731757</v>
      </c>
      <c r="Q622" s="7">
        <v>0.005884444434051</v>
      </c>
      <c r="R622" s="7">
        <v>0.021045573274295</v>
      </c>
      <c r="S622" s="7">
        <v>0.0394148234809997</v>
      </c>
      <c r="T622" s="7">
        <v>0.298097232560339</v>
      </c>
    </row>
    <row x14ac:dyDescent="0.25" r="623" customHeight="1" ht="19.5">
      <c r="A623" s="2" t="s">
        <v>657</v>
      </c>
      <c r="B623" s="2" t="s">
        <v>30</v>
      </c>
      <c r="C623" s="2" t="s">
        <v>31</v>
      </c>
      <c r="D623" s="2" t="s">
        <v>650</v>
      </c>
      <c r="E623" s="6">
        <v>1</v>
      </c>
      <c r="F623" s="6">
        <v>0</v>
      </c>
      <c r="G623" s="7">
        <v>0.5710865259170532</v>
      </c>
      <c r="H623" s="7">
        <v>43.69621953125</v>
      </c>
      <c r="I623" s="7">
        <v>28.21031404869141</v>
      </c>
      <c r="J623" s="7">
        <v>8.168775602331547</v>
      </c>
      <c r="K623" s="7">
        <v>7.467264958149729</v>
      </c>
      <c r="L623" s="7">
        <v>0.5369661845310324</v>
      </c>
      <c r="M623" s="7">
        <v>0.6899821997281571</v>
      </c>
      <c r="N623" s="7">
        <v>0.457300129955082</v>
      </c>
      <c r="O623" s="7">
        <v>0.2046260408860618</v>
      </c>
      <c r="P623" s="7">
        <v>8.084566215880358</v>
      </c>
      <c r="Q623" s="7">
        <v>0.0056282717157125</v>
      </c>
      <c r="R623" s="7">
        <v>0.020339798702505</v>
      </c>
      <c r="S623" s="7">
        <v>0.0373558325400444</v>
      </c>
      <c r="T623" s="7">
        <v>0.2854366268531792</v>
      </c>
    </row>
    <row x14ac:dyDescent="0.25" r="624" customHeight="1" ht="19.5">
      <c r="A624" s="2" t="s">
        <v>658</v>
      </c>
      <c r="B624" s="2" t="s">
        <v>30</v>
      </c>
      <c r="C624" s="2" t="s">
        <v>31</v>
      </c>
      <c r="D624" s="2" t="s">
        <v>650</v>
      </c>
      <c r="E624" s="6">
        <v>1</v>
      </c>
      <c r="F624" s="6">
        <v>0</v>
      </c>
      <c r="G624" s="7">
        <v>0.5677051544189453</v>
      </c>
      <c r="H624" s="7">
        <v>40.5411703125</v>
      </c>
      <c r="I624" s="7">
        <v>26.37587790963192</v>
      </c>
      <c r="J624" s="7">
        <v>8.058270487213571</v>
      </c>
      <c r="K624" s="7">
        <v>7.254078545972542</v>
      </c>
      <c r="L624" s="7">
        <v>0.543925572401105</v>
      </c>
      <c r="M624" s="7">
        <v>0.7323055030748689</v>
      </c>
      <c r="N624" s="7">
        <v>0.4658139177101901</v>
      </c>
      <c r="O624" s="7">
        <v>0.213474388818608</v>
      </c>
      <c r="P624" s="7">
        <v>7.960118831977813</v>
      </c>
      <c r="Q624" s="7">
        <v>0.0063761408618789</v>
      </c>
      <c r="R624" s="7">
        <v>0.0211179615192447</v>
      </c>
      <c r="S624" s="7">
        <v>0.0396060606788434</v>
      </c>
      <c r="T624" s="7">
        <v>0.3000163785380433</v>
      </c>
    </row>
    <row x14ac:dyDescent="0.25" r="625" customHeight="1" ht="19.5">
      <c r="A625" s="2" t="s">
        <v>659</v>
      </c>
      <c r="B625" s="2" t="s">
        <v>30</v>
      </c>
      <c r="C625" s="2" t="s">
        <v>31</v>
      </c>
      <c r="D625" s="2" t="s">
        <v>650</v>
      </c>
      <c r="E625" s="6">
        <v>1</v>
      </c>
      <c r="F625" s="6">
        <v>0</v>
      </c>
      <c r="G625" s="7">
        <v>0.5496798157691956</v>
      </c>
      <c r="H625" s="7">
        <v>40.1948421875</v>
      </c>
      <c r="I625" s="7">
        <v>26.8139341512658</v>
      </c>
      <c r="J625" s="7">
        <v>7.83718506678598</v>
      </c>
      <c r="K625" s="7">
        <v>7.310252983182173</v>
      </c>
      <c r="L625" s="7">
        <v>0.4915665361593939</v>
      </c>
      <c r="M625" s="7">
        <v>0.7025206829649256</v>
      </c>
      <c r="N625" s="7">
        <v>0.4636194891436174</v>
      </c>
      <c r="O625" s="7">
        <v>0.20622152005907</v>
      </c>
      <c r="P625" s="7">
        <v>8.014848007445128</v>
      </c>
      <c r="Q625" s="7">
        <v>0.0062193151527824</v>
      </c>
      <c r="R625" s="7">
        <v>0.0213567793663403</v>
      </c>
      <c r="S625" s="7">
        <v>0.0383873571561177</v>
      </c>
      <c r="T625" s="7">
        <v>0.290137371621142</v>
      </c>
    </row>
    <row x14ac:dyDescent="0.25" r="626" customHeight="1" ht="19.5">
      <c r="A626" s="2" t="s">
        <v>660</v>
      </c>
      <c r="B626" s="2" t="s">
        <v>30</v>
      </c>
      <c r="C626" s="2" t="s">
        <v>31</v>
      </c>
      <c r="D626" s="2" t="s">
        <v>650</v>
      </c>
      <c r="E626" s="6">
        <v>1</v>
      </c>
      <c r="F626" s="6">
        <v>0</v>
      </c>
      <c r="G626" s="7">
        <v>0.5802763104438782</v>
      </c>
      <c r="H626" s="7">
        <v>40.5550234375</v>
      </c>
      <c r="I626" s="7">
        <v>26.32885763561337</v>
      </c>
      <c r="J626" s="7">
        <v>8.043789331757925</v>
      </c>
      <c r="K626" s="7">
        <v>7.160776341954673</v>
      </c>
      <c r="L626" s="7">
        <v>0.548411397784201</v>
      </c>
      <c r="M626" s="7">
        <v>0.7351745904956836</v>
      </c>
      <c r="N626" s="7">
        <v>0.4580642776914663</v>
      </c>
      <c r="O626" s="7">
        <v>0.2017714081525341</v>
      </c>
      <c r="P626" s="7">
        <v>8.052634505047429</v>
      </c>
      <c r="Q626" s="7">
        <v>0.006913425495131</v>
      </c>
      <c r="R626" s="7">
        <v>0.0224476748542393</v>
      </c>
      <c r="S626" s="7">
        <v>0.0399924613002599</v>
      </c>
      <c r="T626" s="7">
        <v>0.325408373155815</v>
      </c>
    </row>
    <row x14ac:dyDescent="0.25" r="627" customHeight="1" ht="19.5">
      <c r="A627" s="2" t="s">
        <v>661</v>
      </c>
      <c r="B627" s="2" t="s">
        <v>30</v>
      </c>
      <c r="C627" s="2" t="s">
        <v>31</v>
      </c>
      <c r="D627" s="2" t="s">
        <v>650</v>
      </c>
      <c r="E627" s="6">
        <v>1</v>
      </c>
      <c r="F627" s="6">
        <v>0</v>
      </c>
      <c r="G627" s="7">
        <v>0.5758644938468933</v>
      </c>
      <c r="H627" s="7">
        <v>41.490109375</v>
      </c>
      <c r="I627" s="7">
        <v>27.35786031644989</v>
      </c>
      <c r="J627" s="7">
        <v>8.160875626055464</v>
      </c>
      <c r="K627" s="7">
        <v>7.032168261204888</v>
      </c>
      <c r="L627" s="7">
        <v>0.5920318679897427</v>
      </c>
      <c r="M627" s="7">
        <v>0.6966107756229996</v>
      </c>
      <c r="N627" s="7">
        <v>0.4594668074577437</v>
      </c>
      <c r="O627" s="7">
        <v>0.2056837077389304</v>
      </c>
      <c r="P627" s="7">
        <v>8.068087111561297</v>
      </c>
      <c r="Q627" s="7">
        <v>0.0065255781494802</v>
      </c>
      <c r="R627" s="7">
        <v>0.0221028270319778</v>
      </c>
      <c r="S627" s="7">
        <v>0.0389912271467984</v>
      </c>
      <c r="T627" s="7">
        <v>0.3142348545988732</v>
      </c>
    </row>
    <row x14ac:dyDescent="0.25" r="628" customHeight="1" ht="19.5">
      <c r="A628" s="2" t="s">
        <v>662</v>
      </c>
      <c r="B628" s="2" t="s">
        <v>30</v>
      </c>
      <c r="C628" s="2" t="s">
        <v>31</v>
      </c>
      <c r="D628" s="2" t="s">
        <v>650</v>
      </c>
      <c r="E628" s="6">
        <v>1</v>
      </c>
      <c r="F628" s="6">
        <v>0</v>
      </c>
      <c r="G628" s="7">
        <v>0.5781148076057434</v>
      </c>
      <c r="H628" s="7">
        <v>40.67623828125</v>
      </c>
      <c r="I628" s="7">
        <v>26.14639399926181</v>
      </c>
      <c r="J628" s="7">
        <v>8.109973702760998</v>
      </c>
      <c r="K628" s="7">
        <v>7.104769270503841</v>
      </c>
      <c r="L628" s="7">
        <v>0.576684413612841</v>
      </c>
      <c r="M628" s="7">
        <v>0.7476994208607647</v>
      </c>
      <c r="N628" s="7">
        <v>0.460136336402497</v>
      </c>
      <c r="O628" s="7">
        <v>0.2104715980538689</v>
      </c>
      <c r="P628" s="7">
        <v>8.031800865965437</v>
      </c>
      <c r="Q628" s="7">
        <v>0.0064399041115038</v>
      </c>
      <c r="R628" s="7">
        <v>0.0215309109119924</v>
      </c>
      <c r="S628" s="7">
        <v>0.0390797342625539</v>
      </c>
      <c r="T628" s="7">
        <v>0.304026166666409</v>
      </c>
    </row>
    <row x14ac:dyDescent="0.25" r="629" customHeight="1" ht="19.5">
      <c r="A629" s="2" t="s">
        <v>663</v>
      </c>
      <c r="B629" s="2" t="s">
        <v>30</v>
      </c>
      <c r="C629" s="2" t="s">
        <v>31</v>
      </c>
      <c r="D629" s="2" t="s">
        <v>650</v>
      </c>
      <c r="E629" s="6">
        <v>1</v>
      </c>
      <c r="F629" s="6">
        <v>0</v>
      </c>
      <c r="G629" s="7">
        <v>0.5510953068733215</v>
      </c>
      <c r="H629" s="7">
        <v>41.4000640625</v>
      </c>
      <c r="I629" s="7">
        <v>27.0998177672816</v>
      </c>
      <c r="J629" s="7">
        <v>8.172953441112574</v>
      </c>
      <c r="K629" s="7">
        <v>7.293096357756642</v>
      </c>
      <c r="L629" s="7">
        <v>0.5551441053724253</v>
      </c>
      <c r="M629" s="7">
        <v>0.7082808000864865</v>
      </c>
      <c r="N629" s="7">
        <v>0.4624767178962107</v>
      </c>
      <c r="O629" s="7">
        <v>0.2107891250254964</v>
      </c>
      <c r="P629" s="7">
        <v>8.000707713707772</v>
      </c>
      <c r="Q629" s="7">
        <v>0.0072084520265187</v>
      </c>
      <c r="R629" s="7">
        <v>0.0226395685051431</v>
      </c>
      <c r="S629" s="7">
        <v>0.038741859477649</v>
      </c>
      <c r="T629" s="7">
        <v>0.346364844781689</v>
      </c>
    </row>
    <row x14ac:dyDescent="0.25" r="630" customHeight="1" ht="19.5">
      <c r="A630" s="2" t="s">
        <v>664</v>
      </c>
      <c r="B630" s="2" t="s">
        <v>30</v>
      </c>
      <c r="C630" s="2" t="s">
        <v>31</v>
      </c>
      <c r="D630" s="2" t="s">
        <v>650</v>
      </c>
      <c r="E630" s="6">
        <v>1</v>
      </c>
      <c r="F630" s="6">
        <v>0</v>
      </c>
      <c r="G630" s="7">
        <v>0.5215328335762024</v>
      </c>
      <c r="H630" s="7">
        <v>41.7048328125</v>
      </c>
      <c r="I630" s="7">
        <v>26.76099918949069</v>
      </c>
      <c r="J630" s="7">
        <v>7.927120132959132</v>
      </c>
      <c r="K630" s="7">
        <v>6.966985477015404</v>
      </c>
      <c r="L630" s="7">
        <v>0.5459732405607266</v>
      </c>
      <c r="M630" s="7">
        <v>0.7317986412496935</v>
      </c>
      <c r="N630" s="7">
        <v>0.4414119261652618</v>
      </c>
      <c r="O630" s="7">
        <v>0.1784676555756576</v>
      </c>
      <c r="P630" s="7">
        <v>8.260262567278023</v>
      </c>
      <c r="Q630" s="7">
        <v>0.0063716955039446</v>
      </c>
      <c r="R630" s="7">
        <v>0.0215373320921879</v>
      </c>
      <c r="S630" s="7">
        <v>0.0364295934116266</v>
      </c>
      <c r="T630" s="7">
        <v>0.3084126463087512</v>
      </c>
    </row>
    <row x14ac:dyDescent="0.25" r="631" customHeight="1" ht="19.5">
      <c r="A631" s="2" t="s">
        <v>665</v>
      </c>
      <c r="B631" s="2" t="s">
        <v>30</v>
      </c>
      <c r="C631" s="2" t="s">
        <v>31</v>
      </c>
      <c r="D631" s="2" t="s">
        <v>650</v>
      </c>
      <c r="E631" s="6">
        <v>1</v>
      </c>
      <c r="F631" s="6">
        <v>0</v>
      </c>
      <c r="G631" s="7">
        <v>0.5553317666053772</v>
      </c>
      <c r="H631" s="7">
        <v>41.2338265625</v>
      </c>
      <c r="I631" s="7">
        <v>26.64329989042736</v>
      </c>
      <c r="J631" s="7">
        <v>8.223480399215205</v>
      </c>
      <c r="K631" s="7">
        <v>7.198996997244368</v>
      </c>
      <c r="L631" s="7">
        <v>0.5427585428801367</v>
      </c>
      <c r="M631" s="7">
        <v>0.7299405284817383</v>
      </c>
      <c r="N631" s="7">
        <v>0.4637893010764103</v>
      </c>
      <c r="O631" s="7">
        <v>0.2088598340742661</v>
      </c>
      <c r="P631" s="7">
        <v>7.98904891482294</v>
      </c>
      <c r="Q631" s="7">
        <v>0.0058573801573726</v>
      </c>
      <c r="R631" s="7">
        <v>0.0210403008021846</v>
      </c>
      <c r="S631" s="7">
        <v>0.0364775042135944</v>
      </c>
      <c r="T631" s="7">
        <v>0.2803159640235098</v>
      </c>
    </row>
    <row x14ac:dyDescent="0.25" r="632" customHeight="1" ht="19.5">
      <c r="A632" s="2" t="s">
        <v>666</v>
      </c>
      <c r="B632" s="2" t="s">
        <v>30</v>
      </c>
      <c r="C632" s="2" t="s">
        <v>31</v>
      </c>
      <c r="D632" s="2" t="s">
        <v>650</v>
      </c>
      <c r="E632" s="6">
        <v>1</v>
      </c>
      <c r="F632" s="6">
        <v>0</v>
      </c>
      <c r="G632" s="7">
        <v>0.5919708609580994</v>
      </c>
      <c r="H632" s="7">
        <v>41.25460625</v>
      </c>
      <c r="I632" s="7">
        <v>26.9438216118176</v>
      </c>
      <c r="J632" s="7">
        <v>8.039911790188654</v>
      </c>
      <c r="K632" s="7">
        <v>6.978054736042504</v>
      </c>
      <c r="L632" s="7">
        <v>0.5782801217074856</v>
      </c>
      <c r="M632" s="7">
        <v>0.7141080379095288</v>
      </c>
      <c r="N632" s="7">
        <v>0.4561266626787462</v>
      </c>
      <c r="O632" s="7">
        <v>0.1988625923804292</v>
      </c>
      <c r="P632" s="7">
        <v>8.11309040437079</v>
      </c>
      <c r="Q632" s="7">
        <v>0.0066531349621452</v>
      </c>
      <c r="R632" s="7">
        <v>0.0222321471497833</v>
      </c>
      <c r="S632" s="7">
        <v>0.0389779580289791</v>
      </c>
      <c r="T632" s="7">
        <v>0.3185587656435673</v>
      </c>
    </row>
    <row x14ac:dyDescent="0.25" r="633" customHeight="1" ht="19.5">
      <c r="A633" s="2" t="s">
        <v>667</v>
      </c>
      <c r="B633" s="2" t="s">
        <v>30</v>
      </c>
      <c r="C633" s="2" t="s">
        <v>31</v>
      </c>
      <c r="D633" s="2" t="s">
        <v>650</v>
      </c>
      <c r="E633" s="6">
        <v>1</v>
      </c>
      <c r="F633" s="6">
        <v>0</v>
      </c>
      <c r="G633" s="7">
        <v>0.533185601234436</v>
      </c>
      <c r="H633" s="7">
        <v>40.4441984375</v>
      </c>
      <c r="I633" s="7">
        <v>25.87962803247565</v>
      </c>
      <c r="J633" s="7">
        <v>8.112326460288019</v>
      </c>
      <c r="K633" s="7">
        <v>6.904582721153371</v>
      </c>
      <c r="L633" s="7">
        <v>0.585171165207209</v>
      </c>
      <c r="M633" s="7">
        <v>0.7588396878582834</v>
      </c>
      <c r="N633" s="7">
        <v>0.4350381341697701</v>
      </c>
      <c r="O633" s="7">
        <v>0.1655009767675297</v>
      </c>
      <c r="P633" s="7">
        <v>8.26847258546734</v>
      </c>
      <c r="Q633" s="7">
        <v>0.0065637500827986</v>
      </c>
      <c r="R633" s="7">
        <v>0.021704519648903</v>
      </c>
      <c r="S633" s="7">
        <v>0.0379181490028285</v>
      </c>
      <c r="T633" s="7">
        <v>0.3081052151011003</v>
      </c>
    </row>
    <row x14ac:dyDescent="0.25" r="634" customHeight="1" ht="19.5">
      <c r="A634" s="2" t="s">
        <v>668</v>
      </c>
      <c r="B634" s="2" t="s">
        <v>30</v>
      </c>
      <c r="C634" s="2" t="s">
        <v>31</v>
      </c>
      <c r="D634" s="2" t="s">
        <v>650</v>
      </c>
      <c r="E634" s="6">
        <v>1</v>
      </c>
      <c r="F634" s="6">
        <v>0</v>
      </c>
      <c r="G634" s="7">
        <v>0.5823990702629089</v>
      </c>
      <c r="H634" s="7">
        <v>39.92816953125</v>
      </c>
      <c r="I634" s="7">
        <v>26.11192067270706</v>
      </c>
      <c r="J634" s="7">
        <v>7.990243543846079</v>
      </c>
      <c r="K634" s="7">
        <v>7.125249369181022</v>
      </c>
      <c r="L634" s="7">
        <v>0.5317757777102545</v>
      </c>
      <c r="M634" s="7">
        <v>0.7358878448523807</v>
      </c>
      <c r="N634" s="7">
        <v>0.4567005033242194</v>
      </c>
      <c r="O634" s="7">
        <v>0.1990431703290021</v>
      </c>
      <c r="P634" s="7">
        <v>8.057050618359131</v>
      </c>
      <c r="Q634" s="7">
        <v>0.0065535866520324</v>
      </c>
      <c r="R634" s="7">
        <v>0.0220250359013851</v>
      </c>
      <c r="S634" s="7">
        <v>0.0439386689831561</v>
      </c>
      <c r="T634" s="7">
        <v>0.3037031014324577</v>
      </c>
    </row>
    <row x14ac:dyDescent="0.25" r="635" customHeight="1" ht="19.5">
      <c r="A635" s="2" t="s">
        <v>669</v>
      </c>
      <c r="B635" s="2" t="s">
        <v>30</v>
      </c>
      <c r="C635" s="2" t="s">
        <v>31</v>
      </c>
      <c r="D635" s="2" t="s">
        <v>650</v>
      </c>
      <c r="E635" s="6">
        <v>1</v>
      </c>
      <c r="F635" s="6">
        <v>0</v>
      </c>
      <c r="G635" s="7">
        <v>0.5447873473167419</v>
      </c>
      <c r="H635" s="7">
        <v>40.39917578125</v>
      </c>
      <c r="I635" s="7">
        <v>26.74462871218097</v>
      </c>
      <c r="J635" s="7">
        <v>7.957243986006349</v>
      </c>
      <c r="K635" s="7">
        <v>7.089210353652011</v>
      </c>
      <c r="L635" s="7">
        <v>0.5523344165045195</v>
      </c>
      <c r="M635" s="7">
        <v>0.7097562452285128</v>
      </c>
      <c r="N635" s="7">
        <v>0.4504771052258567</v>
      </c>
      <c r="O635" s="7">
        <v>0.1913858495303843</v>
      </c>
      <c r="P635" s="7">
        <v>8.130045740175701</v>
      </c>
      <c r="Q635" s="7">
        <v>0.0064964305506705</v>
      </c>
      <c r="R635" s="7">
        <v>0.0214715040658791</v>
      </c>
      <c r="S635" s="7">
        <v>0.0380162663921807</v>
      </c>
      <c r="T635" s="7">
        <v>0.3046057413655844</v>
      </c>
    </row>
    <row x14ac:dyDescent="0.25" r="636" customHeight="1" ht="19.5">
      <c r="A636" s="2" t="s">
        <v>670</v>
      </c>
      <c r="B636" s="2" t="s">
        <v>30</v>
      </c>
      <c r="C636" s="2" t="s">
        <v>31</v>
      </c>
      <c r="D636" s="2" t="s">
        <v>650</v>
      </c>
      <c r="E636" s="6">
        <v>1</v>
      </c>
      <c r="F636" s="6">
        <v>0</v>
      </c>
      <c r="G636" s="7">
        <v>0.5297545790672302</v>
      </c>
      <c r="H636" s="7">
        <v>39.8069546875</v>
      </c>
      <c r="I636" s="7">
        <v>26.37378675172128</v>
      </c>
      <c r="J636" s="7">
        <v>8.042168000747562</v>
      </c>
      <c r="K636" s="7">
        <v>7.019615040613865</v>
      </c>
      <c r="L636" s="7">
        <v>0.589507119674077</v>
      </c>
      <c r="M636" s="7">
        <v>0.7191572082287069</v>
      </c>
      <c r="N636" s="7">
        <v>0.4570807180331993</v>
      </c>
      <c r="O636" s="7">
        <v>0.2036623241053297</v>
      </c>
      <c r="P636" s="7">
        <v>8.069562763073844</v>
      </c>
      <c r="Q636" s="7">
        <v>0.006762553201176</v>
      </c>
      <c r="R636" s="7">
        <v>0.0222689217180707</v>
      </c>
      <c r="S636" s="7">
        <v>0.0405002821253395</v>
      </c>
      <c r="T636" s="7">
        <v>0.3124355397122783</v>
      </c>
    </row>
    <row x14ac:dyDescent="0.25" r="637" customHeight="1" ht="19.5">
      <c r="A637" s="2" t="s">
        <v>671</v>
      </c>
      <c r="B637" s="2" t="s">
        <v>30</v>
      </c>
      <c r="C637" s="2" t="s">
        <v>31</v>
      </c>
      <c r="D637" s="2" t="s">
        <v>650</v>
      </c>
      <c r="E637" s="6">
        <v>1</v>
      </c>
      <c r="F637" s="6">
        <v>0</v>
      </c>
      <c r="G637" s="7">
        <v>0.5769222974777222</v>
      </c>
      <c r="H637" s="7">
        <v>41.69444296875</v>
      </c>
      <c r="I637" s="7">
        <v>26.95218624346012</v>
      </c>
      <c r="J637" s="7">
        <v>8.067501703757248</v>
      </c>
      <c r="K637" s="7">
        <v>7.023516778062685</v>
      </c>
      <c r="L637" s="7">
        <v>0.5892977956260376</v>
      </c>
      <c r="M637" s="7">
        <v>0.7212736093303952</v>
      </c>
      <c r="N637" s="7">
        <v>0.4411143110664686</v>
      </c>
      <c r="O637" s="7">
        <v>0.1839307638109686</v>
      </c>
      <c r="P637" s="7">
        <v>8.220187285611608</v>
      </c>
      <c r="Q637" s="7">
        <v>0.0066909296312286</v>
      </c>
      <c r="R637" s="7">
        <v>0.0219935504596848</v>
      </c>
      <c r="S637" s="7">
        <v>0.0435840314683048</v>
      </c>
      <c r="T637" s="7">
        <v>0.3237840257826173</v>
      </c>
    </row>
    <row x14ac:dyDescent="0.25" r="638" customHeight="1" ht="19.5">
      <c r="A638" s="2" t="s">
        <v>672</v>
      </c>
      <c r="B638" s="2" t="s">
        <v>30</v>
      </c>
      <c r="C638" s="2" t="s">
        <v>31</v>
      </c>
      <c r="D638" s="2" t="s">
        <v>650</v>
      </c>
      <c r="E638" s="6">
        <v>1</v>
      </c>
      <c r="F638" s="6">
        <v>0</v>
      </c>
      <c r="G638" s="7">
        <v>0.5491153001785278</v>
      </c>
      <c r="H638" s="7">
        <v>43.19750703125001</v>
      </c>
      <c r="I638" s="7">
        <v>27.48320667520508</v>
      </c>
      <c r="J638" s="7">
        <v>8.219198049639514</v>
      </c>
      <c r="K638" s="7">
        <v>7.219859447530435</v>
      </c>
      <c r="L638" s="7">
        <v>0.5889808525715009</v>
      </c>
      <c r="M638" s="7">
        <v>0.7186769903861927</v>
      </c>
      <c r="N638" s="7">
        <v>0.4497133198353217</v>
      </c>
      <c r="O638" s="7">
        <v>0.19044123052897</v>
      </c>
      <c r="P638" s="7">
        <v>8.158343477979885</v>
      </c>
      <c r="Q638" s="7">
        <v>0.0061610998972867</v>
      </c>
      <c r="R638" s="7">
        <v>0.0217695437448058</v>
      </c>
      <c r="S638" s="7">
        <v>0.0400856847328131</v>
      </c>
      <c r="T638" s="7">
        <v>0.3088927496597026</v>
      </c>
    </row>
    <row x14ac:dyDescent="0.25" r="639" customHeight="1" ht="19.5">
      <c r="A639" s="2" t="s">
        <v>673</v>
      </c>
      <c r="B639" s="2" t="s">
        <v>30</v>
      </c>
      <c r="C639" s="2" t="s">
        <v>31</v>
      </c>
      <c r="D639" s="2" t="s">
        <v>650</v>
      </c>
      <c r="E639" s="6">
        <v>1</v>
      </c>
      <c r="F639" s="6">
        <v>0</v>
      </c>
      <c r="G639" s="7">
        <v>0.5945841073989868</v>
      </c>
      <c r="H639" s="7">
        <v>38.7264109375</v>
      </c>
      <c r="I639" s="7">
        <v>25.00733907905382</v>
      </c>
      <c r="J639" s="7">
        <v>8.132433193252986</v>
      </c>
      <c r="K639" s="7">
        <v>6.76540563296907</v>
      </c>
      <c r="L639" s="7">
        <v>0.6170961911535306</v>
      </c>
      <c r="M639" s="7">
        <v>0.7781837326294305</v>
      </c>
      <c r="N639" s="7">
        <v>0.4577590946329646</v>
      </c>
      <c r="O639" s="7">
        <v>0.1839704163651365</v>
      </c>
      <c r="P639" s="7">
        <v>8.03923402789254</v>
      </c>
      <c r="Q639" s="7">
        <v>0.0078551615123957</v>
      </c>
      <c r="R639" s="7">
        <v>0.0231538739140387</v>
      </c>
      <c r="S639" s="7">
        <v>0.0415418057797422</v>
      </c>
      <c r="T639" s="7">
        <v>0.3530637655231405</v>
      </c>
    </row>
    <row x14ac:dyDescent="0.25" r="640" customHeight="1" ht="19.5">
      <c r="A640" s="2" t="s">
        <v>674</v>
      </c>
      <c r="B640" s="2" t="s">
        <v>30</v>
      </c>
      <c r="C640" s="2" t="s">
        <v>31</v>
      </c>
      <c r="D640" s="2" t="s">
        <v>650</v>
      </c>
      <c r="E640" s="6">
        <v>1</v>
      </c>
      <c r="F640" s="6">
        <v>0</v>
      </c>
      <c r="G640" s="7">
        <v>0.3115077614784241</v>
      </c>
      <c r="H640" s="7">
        <v>45.68760625</v>
      </c>
      <c r="I640" s="7">
        <v>30.98072712053496</v>
      </c>
      <c r="J640" s="7">
        <v>9.738419182265126</v>
      </c>
      <c r="K640" s="7">
        <v>8.614689551463485</v>
      </c>
      <c r="L640" s="7">
        <v>0.5081620230420674</v>
      </c>
      <c r="M640" s="7">
        <v>0.5981705885036586</v>
      </c>
      <c r="N640" s="7">
        <v>0.5134639575273154</v>
      </c>
      <c r="O640" s="7">
        <v>0.091625676740812</v>
      </c>
      <c r="P640" s="7">
        <v>7.798197552739566</v>
      </c>
      <c r="Q640" s="7">
        <v>0.0043963637912289</v>
      </c>
      <c r="R640" s="7">
        <v>0.0176790225228723</v>
      </c>
      <c r="S640" s="7">
        <v>0.0323307441565263</v>
      </c>
      <c r="T640" s="7">
        <v>0.2331217564839261</v>
      </c>
    </row>
    <row x14ac:dyDescent="0.25" r="641" customHeight="1" ht="19.5">
      <c r="A641" s="2" t="s">
        <v>675</v>
      </c>
      <c r="B641" s="2" t="s">
        <v>30</v>
      </c>
      <c r="C641" s="2" t="s">
        <v>31</v>
      </c>
      <c r="D641" s="2" t="s">
        <v>650</v>
      </c>
      <c r="E641" s="6">
        <v>1</v>
      </c>
      <c r="F641" s="6">
        <v>0</v>
      </c>
      <c r="G641" s="7">
        <v>0.2727072238922119</v>
      </c>
      <c r="H641" s="7">
        <v>47.3292015625</v>
      </c>
      <c r="I641" s="7">
        <v>28.89733063590038</v>
      </c>
      <c r="J641" s="7">
        <v>9.374623021011844</v>
      </c>
      <c r="K641" s="7">
        <v>6.806120294478519</v>
      </c>
      <c r="L641" s="7">
        <v>0.730853658238542</v>
      </c>
      <c r="M641" s="7">
        <v>0.7122354532529064</v>
      </c>
      <c r="N641" s="7">
        <v>0.5262761426789684</v>
      </c>
      <c r="O641" s="7">
        <v>0.123336275654742</v>
      </c>
      <c r="P641" s="7">
        <v>7.742028074904875</v>
      </c>
      <c r="Q641" s="7">
        <v>0.0126086088642288</v>
      </c>
      <c r="R641" s="7">
        <v>0.0318075714040557</v>
      </c>
      <c r="S641" s="7">
        <v>0.0497782594624532</v>
      </c>
      <c r="T641" s="7">
        <v>0.6926074052498199</v>
      </c>
    </row>
    <row x14ac:dyDescent="0.25" r="642" customHeight="1" ht="19.5">
      <c r="A642" s="2" t="s">
        <v>676</v>
      </c>
      <c r="B642" s="2" t="s">
        <v>30</v>
      </c>
      <c r="C642" s="2" t="s">
        <v>31</v>
      </c>
      <c r="D642" s="2" t="s">
        <v>650</v>
      </c>
      <c r="E642" s="6">
        <v>1</v>
      </c>
      <c r="F642" s="6">
        <v>0</v>
      </c>
      <c r="G642" s="7">
        <v>0.6249948740005493</v>
      </c>
      <c r="H642" s="7">
        <v>77.75066406250001</v>
      </c>
      <c r="I642" s="7">
        <v>46.86672930815577</v>
      </c>
      <c r="J642" s="7">
        <v>12.15992173471712</v>
      </c>
      <c r="K642" s="7">
        <v>10.00706499022505</v>
      </c>
      <c r="L642" s="7">
        <v>0.7028995566763541</v>
      </c>
      <c r="M642" s="7">
        <v>0.4429975094574246</v>
      </c>
      <c r="N642" s="7">
        <v>0.4783618096073496</v>
      </c>
      <c r="O642" s="7">
        <v>0.1223186269785723</v>
      </c>
      <c r="P642" s="7">
        <v>8.351452961337426</v>
      </c>
      <c r="Q642" s="7">
        <v>0.0123434720420942</v>
      </c>
      <c r="R642" s="7">
        <v>0.0347001846015226</v>
      </c>
      <c r="S642" s="7">
        <v>0.0645333672213209</v>
      </c>
      <c r="T642" s="7">
        <v>1.113864146074766</v>
      </c>
    </row>
    <row x14ac:dyDescent="0.25" r="643" customHeight="1" ht="19.5">
      <c r="A643" s="2" t="s">
        <v>677</v>
      </c>
      <c r="B643" s="2" t="s">
        <v>30</v>
      </c>
      <c r="C643" s="2" t="s">
        <v>31</v>
      </c>
      <c r="D643" s="2" t="s">
        <v>650</v>
      </c>
      <c r="E643" s="6">
        <v>1</v>
      </c>
      <c r="F643" s="6">
        <v>0</v>
      </c>
      <c r="G643" s="7">
        <v>0.5731670260429382</v>
      </c>
      <c r="H643" s="7">
        <v>69.49766484375</v>
      </c>
      <c r="I643" s="7">
        <v>37.91978864946575</v>
      </c>
      <c r="J643" s="7">
        <v>9.920082589001485</v>
      </c>
      <c r="K643" s="7">
        <v>8.347932322036844</v>
      </c>
      <c r="L643" s="7">
        <v>0.6077540819470308</v>
      </c>
      <c r="M643" s="7">
        <v>0.6072115664201978</v>
      </c>
      <c r="N643" s="7">
        <v>0.4386506449940292</v>
      </c>
      <c r="O643" s="7">
        <v>0.0948156690704608</v>
      </c>
      <c r="P643" s="7">
        <v>8.687169839223834</v>
      </c>
      <c r="Q643" s="7">
        <v>0.007273277314695</v>
      </c>
      <c r="R643" s="7">
        <v>0.0247350733324092</v>
      </c>
      <c r="S643" s="7">
        <v>0.0507026736365294</v>
      </c>
      <c r="T643" s="7">
        <v>0.5866662964160718</v>
      </c>
    </row>
    <row x14ac:dyDescent="0.25" r="644" customHeight="1" ht="19.5">
      <c r="A644" s="2" t="s">
        <v>678</v>
      </c>
      <c r="B644" s="2" t="s">
        <v>30</v>
      </c>
      <c r="C644" s="2" t="s">
        <v>31</v>
      </c>
      <c r="D644" s="2" t="s">
        <v>650</v>
      </c>
      <c r="E644" s="6">
        <v>1</v>
      </c>
      <c r="F644" s="6">
        <v>0</v>
      </c>
      <c r="G644" s="7">
        <v>0.5625560283660889</v>
      </c>
      <c r="H644" s="7">
        <v>65.622253125</v>
      </c>
      <c r="I644" s="7">
        <v>34.09211148602144</v>
      </c>
      <c r="J644" s="7">
        <v>10.58963747523578</v>
      </c>
      <c r="K644" s="7">
        <v>9.442798371697318</v>
      </c>
      <c r="L644" s="7">
        <v>0.5142973826505356</v>
      </c>
      <c r="M644" s="7">
        <v>0.7095013101857978</v>
      </c>
      <c r="N644" s="7">
        <v>0.4291716535514321</v>
      </c>
      <c r="O644" s="7">
        <v>0.0982818171309208</v>
      </c>
      <c r="P644" s="7">
        <v>8.761701338162116</v>
      </c>
      <c r="Q644" s="7">
        <v>0.0057902290268182</v>
      </c>
      <c r="R644" s="7">
        <v>0.0232276536718708</v>
      </c>
      <c r="S644" s="7">
        <v>0.0468301594865872</v>
      </c>
      <c r="T644" s="7">
        <v>0.4409990561125353</v>
      </c>
    </row>
    <row x14ac:dyDescent="0.25" r="645" customHeight="1" ht="19.5">
      <c r="A645" s="2" t="s">
        <v>679</v>
      </c>
      <c r="B645" s="2" t="s">
        <v>30</v>
      </c>
      <c r="C645" s="2" t="s">
        <v>31</v>
      </c>
      <c r="D645" s="2" t="s">
        <v>650</v>
      </c>
      <c r="E645" s="6">
        <v>1</v>
      </c>
      <c r="F645" s="6">
        <v>0</v>
      </c>
      <c r="G645" s="7">
        <v>0.5472058057785034</v>
      </c>
      <c r="H645" s="7">
        <v>66.95215312500001</v>
      </c>
      <c r="I645" s="7">
        <v>38.19593404787906</v>
      </c>
      <c r="J645" s="7">
        <v>10.97299274906488</v>
      </c>
      <c r="K645" s="7">
        <v>9.71351820016604</v>
      </c>
      <c r="L645" s="7">
        <v>0.5497892413430341</v>
      </c>
      <c r="M645" s="7">
        <v>0.5766571442935785</v>
      </c>
      <c r="N645" s="7">
        <v>0.4059057484412903</v>
      </c>
      <c r="O645" s="7">
        <v>0.1070417633108734</v>
      </c>
      <c r="P645" s="7">
        <v>8.892422825280862</v>
      </c>
      <c r="Q645" s="7">
        <v>0.0065419613756256</v>
      </c>
      <c r="R645" s="7">
        <v>0.0245112457966499</v>
      </c>
      <c r="S645" s="7">
        <v>0.045654474039827</v>
      </c>
      <c r="T645" s="7">
        <v>0.5083505571329141</v>
      </c>
    </row>
    <row x14ac:dyDescent="0.25" r="646" customHeight="1" ht="19.5">
      <c r="A646" s="2" t="s">
        <v>680</v>
      </c>
      <c r="B646" s="2" t="s">
        <v>30</v>
      </c>
      <c r="C646" s="2" t="s">
        <v>31</v>
      </c>
      <c r="D646" s="2" t="s">
        <v>650</v>
      </c>
      <c r="E646" s="6">
        <v>1</v>
      </c>
      <c r="F646" s="6">
        <v>0</v>
      </c>
      <c r="G646" s="7">
        <v>0.5426179766654968</v>
      </c>
      <c r="H646" s="7">
        <v>68.90198046875001</v>
      </c>
      <c r="I646" s="7">
        <v>38.28298355023357</v>
      </c>
      <c r="J646" s="7">
        <v>11.06801563823865</v>
      </c>
      <c r="K646" s="7">
        <v>9.69624968417911</v>
      </c>
      <c r="L646" s="7">
        <v>0.5629525637049222</v>
      </c>
      <c r="M646" s="7">
        <v>0.590785755713047</v>
      </c>
      <c r="N646" s="7">
        <v>0.4039962076023438</v>
      </c>
      <c r="O646" s="7">
        <v>0.1007875143215227</v>
      </c>
      <c r="P646" s="7">
        <v>8.929215224428663</v>
      </c>
      <c r="Q646" s="7">
        <v>0.0066066408453841</v>
      </c>
      <c r="R646" s="7">
        <v>0.0247321890543896</v>
      </c>
      <c r="S646" s="7">
        <v>0.0463760060876948</v>
      </c>
      <c r="T646" s="7">
        <v>0.5283274592283178</v>
      </c>
    </row>
    <row x14ac:dyDescent="0.25" r="647" customHeight="1" ht="19.5">
      <c r="A647" s="2" t="s">
        <v>681</v>
      </c>
      <c r="B647" s="2" t="s">
        <v>30</v>
      </c>
      <c r="C647" s="2" t="s">
        <v>31</v>
      </c>
      <c r="D647" s="2" t="s">
        <v>650</v>
      </c>
      <c r="E647" s="6">
        <v>1</v>
      </c>
      <c r="F647" s="6">
        <v>0</v>
      </c>
      <c r="G647" s="7">
        <v>0.5273016691207886</v>
      </c>
      <c r="H647" s="7">
        <v>72.7358328125</v>
      </c>
      <c r="I647" s="7">
        <v>35.27083684859007</v>
      </c>
      <c r="J647" s="7">
        <v>10.01620724064886</v>
      </c>
      <c r="K647" s="7">
        <v>8.656210901828537</v>
      </c>
      <c r="L647" s="7">
        <v>0.5670140193548162</v>
      </c>
      <c r="M647" s="7">
        <v>0.734413418726041</v>
      </c>
      <c r="N647" s="7">
        <v>0.3875234900685675</v>
      </c>
      <c r="O647" s="7">
        <v>0.0775999812228598</v>
      </c>
      <c r="P647" s="7">
        <v>9.036219645236663</v>
      </c>
      <c r="Q647" s="7">
        <v>0.0058867462420201</v>
      </c>
      <c r="R647" s="7">
        <v>0.0235596276484396</v>
      </c>
      <c r="S647" s="7">
        <v>0.0452824967464661</v>
      </c>
      <c r="T647" s="7">
        <v>0.4969520781734184</v>
      </c>
    </row>
    <row x14ac:dyDescent="0.25" r="648" customHeight="1" ht="19.5">
      <c r="A648" s="2" t="s">
        <v>682</v>
      </c>
      <c r="B648" s="2" t="s">
        <v>30</v>
      </c>
      <c r="C648" s="2" t="s">
        <v>31</v>
      </c>
      <c r="D648" s="2" t="s">
        <v>650</v>
      </c>
      <c r="E648" s="6">
        <v>1</v>
      </c>
      <c r="F648" s="6">
        <v>0</v>
      </c>
      <c r="G648" s="7">
        <v>0.5374489426612854</v>
      </c>
      <c r="H648" s="7">
        <v>70.3669484375</v>
      </c>
      <c r="I648" s="7">
        <v>38.69702225486587</v>
      </c>
      <c r="J648" s="7">
        <v>10.73174127811397</v>
      </c>
      <c r="K648" s="7">
        <v>9.216756382069512</v>
      </c>
      <c r="L648" s="7">
        <v>0.5770907167042095</v>
      </c>
      <c r="M648" s="7">
        <v>0.59050487477562</v>
      </c>
      <c r="N648" s="7">
        <v>0.3939712713771737</v>
      </c>
      <c r="O648" s="7">
        <v>0.088611181057141</v>
      </c>
      <c r="P648" s="7">
        <v>9.007027146251218</v>
      </c>
      <c r="Q648" s="7">
        <v>0.0048946598132343</v>
      </c>
      <c r="R648" s="7">
        <v>0.0214587596939628</v>
      </c>
      <c r="S648" s="7">
        <v>0.0454663702143632</v>
      </c>
      <c r="T648" s="7">
        <v>0.3997440523244731</v>
      </c>
    </row>
    <row x14ac:dyDescent="0.25" r="649" customHeight="1" ht="19.5">
      <c r="A649" s="2" t="s">
        <v>683</v>
      </c>
      <c r="B649" s="2" t="s">
        <v>30</v>
      </c>
      <c r="C649" s="2" t="s">
        <v>31</v>
      </c>
      <c r="D649" s="2" t="s">
        <v>650</v>
      </c>
      <c r="E649" s="6">
        <v>1</v>
      </c>
      <c r="F649" s="6">
        <v>0</v>
      </c>
      <c r="G649" s="7">
        <v>0.5289602279663086</v>
      </c>
      <c r="H649" s="7">
        <v>68.8569578125</v>
      </c>
      <c r="I649" s="7">
        <v>38.86138304197242</v>
      </c>
      <c r="J649" s="7">
        <v>11.03866510623477</v>
      </c>
      <c r="K649" s="7">
        <v>9.591099521125717</v>
      </c>
      <c r="L649" s="7">
        <v>0.5617638738055931</v>
      </c>
      <c r="M649" s="7">
        <v>0.5729558918575572</v>
      </c>
      <c r="N649" s="7">
        <v>0.398100945565404</v>
      </c>
      <c r="O649" s="7">
        <v>0.0956761783805808</v>
      </c>
      <c r="P649" s="7">
        <v>8.949604958553483</v>
      </c>
      <c r="Q649" s="7">
        <v>0.0057040334177828</v>
      </c>
      <c r="R649" s="7">
        <v>0.022854133417962</v>
      </c>
      <c r="S649" s="7">
        <v>0.0450231077488246</v>
      </c>
      <c r="T649" s="7">
        <v>0.4558486493985831</v>
      </c>
    </row>
    <row x14ac:dyDescent="0.25" r="650" customHeight="1" ht="19.5">
      <c r="A650" s="2" t="s">
        <v>684</v>
      </c>
      <c r="B650" s="2" t="s">
        <v>30</v>
      </c>
      <c r="C650" s="2" t="s">
        <v>31</v>
      </c>
      <c r="D650" s="2" t="s">
        <v>650</v>
      </c>
      <c r="E650" s="6">
        <v>1</v>
      </c>
      <c r="F650" s="6">
        <v>0</v>
      </c>
      <c r="G650" s="7">
        <v>0.5480613112449646</v>
      </c>
      <c r="H650" s="7">
        <v>66.564265625</v>
      </c>
      <c r="I650" s="7">
        <v>37.64991672478433</v>
      </c>
      <c r="J650" s="7">
        <v>10.97089977265863</v>
      </c>
      <c r="K650" s="7">
        <v>9.5758729330125</v>
      </c>
      <c r="L650" s="7">
        <v>0.5588765145291267</v>
      </c>
      <c r="M650" s="7">
        <v>0.5900964053726376</v>
      </c>
      <c r="N650" s="7">
        <v>0.4020791298182722</v>
      </c>
      <c r="O650" s="7">
        <v>0.1057246606992397</v>
      </c>
      <c r="P650" s="7">
        <v>8.906986478781153</v>
      </c>
      <c r="Q650" s="7">
        <v>0.0065446280673473</v>
      </c>
      <c r="R650" s="7">
        <v>0.0243818715893354</v>
      </c>
      <c r="S650" s="7">
        <v>0.0472126930917333</v>
      </c>
      <c r="T650" s="7">
        <v>0.5056114444515066</v>
      </c>
    </row>
    <row x14ac:dyDescent="0.25" r="651" customHeight="1" ht="19.5">
      <c r="A651" s="2" t="s">
        <v>685</v>
      </c>
      <c r="B651" s="2" t="s">
        <v>30</v>
      </c>
      <c r="C651" s="2" t="s">
        <v>31</v>
      </c>
      <c r="D651" s="2" t="s">
        <v>650</v>
      </c>
      <c r="E651" s="6">
        <v>1</v>
      </c>
      <c r="F651" s="6">
        <v>0</v>
      </c>
      <c r="G651" s="7">
        <v>0.5474852323532104</v>
      </c>
      <c r="H651" s="7">
        <v>67.37121015625</v>
      </c>
      <c r="I651" s="7">
        <v>37.1181787210887</v>
      </c>
      <c r="J651" s="7">
        <v>10.6978293662317</v>
      </c>
      <c r="K651" s="7">
        <v>9.442614444885038</v>
      </c>
      <c r="L651" s="7">
        <v>0.5317669107534271</v>
      </c>
      <c r="M651" s="7">
        <v>0.6144844474571474</v>
      </c>
      <c r="N651" s="7">
        <v>0.4000596700878552</v>
      </c>
      <c r="O651" s="7">
        <v>0.1023468817218606</v>
      </c>
      <c r="P651" s="7">
        <v>8.91535196988877</v>
      </c>
      <c r="Q651" s="7">
        <v>0.0066285913500464</v>
      </c>
      <c r="R651" s="7">
        <v>0.0246142236851787</v>
      </c>
      <c r="S651" s="7">
        <v>0.0467088632815092</v>
      </c>
      <c r="T651" s="7">
        <v>0.51830616461998</v>
      </c>
    </row>
    <row x14ac:dyDescent="0.25" r="652" customHeight="1" ht="19.5">
      <c r="A652" s="2" t="s">
        <v>686</v>
      </c>
      <c r="B652" s="2" t="s">
        <v>30</v>
      </c>
      <c r="C652" s="2" t="s">
        <v>31</v>
      </c>
      <c r="D652" s="2" t="s">
        <v>650</v>
      </c>
      <c r="E652" s="6">
        <v>1</v>
      </c>
      <c r="F652" s="6">
        <v>0</v>
      </c>
      <c r="G652" s="7">
        <v>0.5838360786437988</v>
      </c>
      <c r="H652" s="7">
        <v>70.95224296875</v>
      </c>
      <c r="I652" s="7">
        <v>35.35824513691991</v>
      </c>
      <c r="J652" s="7">
        <v>10.4406892633864</v>
      </c>
      <c r="K652" s="7">
        <v>8.994466242049679</v>
      </c>
      <c r="L652" s="7">
        <v>0.5737341629316375</v>
      </c>
      <c r="M652" s="7">
        <v>0.7131724997711492</v>
      </c>
      <c r="N652" s="7">
        <v>0.3983493915056587</v>
      </c>
      <c r="O652" s="7">
        <v>0.0902612755844339</v>
      </c>
      <c r="P652" s="7">
        <v>8.960950472196224</v>
      </c>
      <c r="Q652" s="7">
        <v>0.0063136046815065</v>
      </c>
      <c r="R652" s="7">
        <v>0.0245848773075561</v>
      </c>
      <c r="S652" s="7">
        <v>0.0473334277113727</v>
      </c>
      <c r="T652" s="7">
        <v>0.5199173312922026</v>
      </c>
    </row>
    <row x14ac:dyDescent="0.25" r="653" customHeight="1" ht="19.5">
      <c r="A653" s="2" t="s">
        <v>687</v>
      </c>
      <c r="B653" s="2" t="s">
        <v>30</v>
      </c>
      <c r="C653" s="2" t="s">
        <v>31</v>
      </c>
      <c r="D653" s="2" t="s">
        <v>650</v>
      </c>
      <c r="E653" s="6">
        <v>1</v>
      </c>
      <c r="F653" s="6">
        <v>0</v>
      </c>
      <c r="G653" s="7">
        <v>0.5670286417007446</v>
      </c>
      <c r="H653" s="7">
        <v>67.38506328125</v>
      </c>
      <c r="I653" s="7">
        <v>38.57932295580255</v>
      </c>
      <c r="J653" s="7">
        <v>10.84727177823681</v>
      </c>
      <c r="K653" s="7">
        <v>9.264613877602622</v>
      </c>
      <c r="L653" s="7">
        <v>0.5916929478440713</v>
      </c>
      <c r="M653" s="7">
        <v>0.5689371606602782</v>
      </c>
      <c r="N653" s="7">
        <v>0.3982404556867057</v>
      </c>
      <c r="O653" s="7">
        <v>0.098840341034859</v>
      </c>
      <c r="P653" s="7">
        <v>8.943364774392176</v>
      </c>
      <c r="Q653" s="7">
        <v>0.0066986857306437</v>
      </c>
      <c r="R653" s="7">
        <v>0.0249092453773333</v>
      </c>
      <c r="S653" s="7">
        <v>0.0485713428855764</v>
      </c>
      <c r="T653" s="7">
        <v>0.5238947229333344</v>
      </c>
    </row>
    <row x14ac:dyDescent="0.25" r="654" customHeight="1" ht="19.5">
      <c r="A654" s="2" t="s">
        <v>688</v>
      </c>
      <c r="B654" s="2" t="s">
        <v>30</v>
      </c>
      <c r="C654" s="2" t="s">
        <v>31</v>
      </c>
      <c r="D654" s="2" t="s">
        <v>650</v>
      </c>
      <c r="E654" s="6">
        <v>1</v>
      </c>
      <c r="F654" s="6">
        <v>0</v>
      </c>
      <c r="G654" s="7">
        <v>0.5653786659240723</v>
      </c>
      <c r="H654" s="7">
        <v>72.24751015625</v>
      </c>
      <c r="I654" s="7">
        <v>36.27964552227093</v>
      </c>
      <c r="J654" s="7">
        <v>10.49317172456293</v>
      </c>
      <c r="K654" s="7">
        <v>9.065639805716582</v>
      </c>
      <c r="L654" s="7">
        <v>0.5609480316153189</v>
      </c>
      <c r="M654" s="7">
        <v>0.6897407098746823</v>
      </c>
      <c r="N654" s="7">
        <v>0.3939374813968627</v>
      </c>
      <c r="O654" s="7">
        <v>0.0862992689387184</v>
      </c>
      <c r="P654" s="7">
        <v>8.99321920750187</v>
      </c>
      <c r="Q654" s="7">
        <v>0.0052021647065655</v>
      </c>
      <c r="R654" s="7">
        <v>0.0221712279097053</v>
      </c>
      <c r="S654" s="7">
        <v>0.0447149767172051</v>
      </c>
      <c r="T654" s="7">
        <v>0.4362121551641141</v>
      </c>
    </row>
    <row x14ac:dyDescent="0.25" r="655" customHeight="1" ht="19.5">
      <c r="A655" s="2" t="s">
        <v>689</v>
      </c>
      <c r="B655" s="2" t="s">
        <v>30</v>
      </c>
      <c r="C655" s="2" t="s">
        <v>31</v>
      </c>
      <c r="D655" s="2" t="s">
        <v>650</v>
      </c>
      <c r="E655" s="6">
        <v>1</v>
      </c>
      <c r="F655" s="6">
        <v>0</v>
      </c>
      <c r="G655" s="7">
        <v>0.5896404385566711</v>
      </c>
      <c r="H655" s="7">
        <v>69.31064765625</v>
      </c>
      <c r="I655" s="7">
        <v>37.24179270790859</v>
      </c>
      <c r="J655" s="7">
        <v>10.78312844264334</v>
      </c>
      <c r="K655" s="7">
        <v>9.152014982167614</v>
      </c>
      <c r="L655" s="7">
        <v>0.5810365118559987</v>
      </c>
      <c r="M655" s="7">
        <v>0.6279841234748779</v>
      </c>
      <c r="N655" s="7">
        <v>0.400374548293725</v>
      </c>
      <c r="O655" s="7">
        <v>0.0962717432344236</v>
      </c>
      <c r="P655" s="7">
        <v>8.940745849152124</v>
      </c>
      <c r="Q655" s="7">
        <v>0.006233779943442</v>
      </c>
      <c r="R655" s="7">
        <v>0.024472351022696</v>
      </c>
      <c r="S655" s="7">
        <v>0.0469250752523847</v>
      </c>
      <c r="T655" s="7">
        <v>0.5014668218395709</v>
      </c>
    </row>
    <row x14ac:dyDescent="0.25" r="656" customHeight="1" ht="19.5">
      <c r="A656" s="2" t="s">
        <v>690</v>
      </c>
      <c r="B656" s="2" t="s">
        <v>30</v>
      </c>
      <c r="C656" s="2" t="s">
        <v>31</v>
      </c>
      <c r="D656" s="2" t="s">
        <v>650</v>
      </c>
      <c r="E656" s="6">
        <v>1</v>
      </c>
      <c r="F656" s="6">
        <v>0</v>
      </c>
      <c r="G656" s="7">
        <v>0.5706866383552551</v>
      </c>
      <c r="H656" s="7">
        <v>65.51489140625</v>
      </c>
      <c r="I656" s="7">
        <v>37.75124554653794</v>
      </c>
      <c r="J656" s="7">
        <v>10.88182116671908</v>
      </c>
      <c r="K656" s="7">
        <v>9.339953750379872</v>
      </c>
      <c r="L656" s="7">
        <v>0.6011286392377305</v>
      </c>
      <c r="M656" s="7">
        <v>0.5776799831325637</v>
      </c>
      <c r="N656" s="7">
        <v>0.4122000909215699</v>
      </c>
      <c r="O656" s="7">
        <v>0.1128974416123471</v>
      </c>
      <c r="P656" s="7">
        <v>8.856467294753898</v>
      </c>
      <c r="Q656" s="7">
        <v>0.0064933069118884</v>
      </c>
      <c r="R656" s="7">
        <v>0.024008151957833</v>
      </c>
      <c r="S656" s="7">
        <v>0.0448112034430802</v>
      </c>
      <c r="T656" s="7">
        <v>0.4937382077414496</v>
      </c>
    </row>
    <row x14ac:dyDescent="0.25" r="657" customHeight="1" ht="19.5">
      <c r="A657" s="2" t="s">
        <v>691</v>
      </c>
      <c r="B657" s="2" t="s">
        <v>30</v>
      </c>
      <c r="C657" s="2" t="s">
        <v>31</v>
      </c>
      <c r="D657" s="2" t="s">
        <v>650</v>
      </c>
      <c r="E657" s="6">
        <v>1</v>
      </c>
      <c r="F657" s="6">
        <v>0</v>
      </c>
      <c r="G657" s="7">
        <v>0.521300196647644</v>
      </c>
      <c r="H657" s="7">
        <v>67.0421984375</v>
      </c>
      <c r="I657" s="7">
        <v>37.91978864946575</v>
      </c>
      <c r="J657" s="7">
        <v>10.38056828745559</v>
      </c>
      <c r="K657" s="7">
        <v>9.010854532242094</v>
      </c>
      <c r="L657" s="7">
        <v>0.5639834135051067</v>
      </c>
      <c r="M657" s="7">
        <v>0.5859037734404441</v>
      </c>
      <c r="N657" s="7">
        <v>0.3924846608631777</v>
      </c>
      <c r="O657" s="7">
        <v>0.0902473706869309</v>
      </c>
      <c r="P657" s="7">
        <v>8.978160963662024</v>
      </c>
      <c r="Q657" s="7">
        <v>0.0065181724903571</v>
      </c>
      <c r="R657" s="7">
        <v>0.0245824189334313</v>
      </c>
      <c r="S657" s="7">
        <v>0.0463612114954153</v>
      </c>
      <c r="T657" s="7">
        <v>0.5071832195794714</v>
      </c>
    </row>
    <row x14ac:dyDescent="0.25" r="658" customHeight="1" ht="19.5">
      <c r="A658" s="2" t="s">
        <v>692</v>
      </c>
      <c r="B658" s="2" t="s">
        <v>30</v>
      </c>
      <c r="C658" s="2" t="s">
        <v>31</v>
      </c>
      <c r="D658" s="2" t="s">
        <v>650</v>
      </c>
      <c r="E658" s="6">
        <v>1</v>
      </c>
      <c r="F658" s="6">
        <v>0</v>
      </c>
      <c r="G658" s="7">
        <v>0.5586597323417664</v>
      </c>
      <c r="H658" s="7">
        <v>67.92187187500001</v>
      </c>
      <c r="I658" s="7">
        <v>35.08628205432787</v>
      </c>
      <c r="J658" s="7">
        <v>10.44310430572812</v>
      </c>
      <c r="K658" s="7">
        <v>9.263904778545015</v>
      </c>
      <c r="L658" s="7">
        <v>0.5377027376327377</v>
      </c>
      <c r="M658" s="7">
        <v>0.6933376907464337</v>
      </c>
      <c r="N658" s="7">
        <v>0.3969735001722408</v>
      </c>
      <c r="O658" s="7">
        <v>0.0951177017640828</v>
      </c>
      <c r="P658" s="7">
        <v>8.93161768531683</v>
      </c>
      <c r="Q658" s="7">
        <v>0.0059065733916474</v>
      </c>
      <c r="R658" s="7">
        <v>0.0236216788841018</v>
      </c>
      <c r="S658" s="7">
        <v>0.0464057614945229</v>
      </c>
      <c r="T658" s="7">
        <v>0.4656247221252412</v>
      </c>
    </row>
    <row x14ac:dyDescent="0.25" r="659" customHeight="1" ht="19.5">
      <c r="A659" s="2" t="s">
        <v>693</v>
      </c>
      <c r="B659" s="2" t="s">
        <v>30</v>
      </c>
      <c r="C659" s="2" t="s">
        <v>31</v>
      </c>
      <c r="D659" s="2" t="s">
        <v>650</v>
      </c>
      <c r="E659" s="6">
        <v>1</v>
      </c>
      <c r="F659" s="6">
        <v>0</v>
      </c>
      <c r="G659" s="7">
        <v>0.5490748286247253</v>
      </c>
      <c r="H659" s="7">
        <v>68.77037578125001</v>
      </c>
      <c r="I659" s="7">
        <v>39.40357683522121</v>
      </c>
      <c r="J659" s="7">
        <v>11.19110512393068</v>
      </c>
      <c r="K659" s="7">
        <v>9.54344115633659</v>
      </c>
      <c r="L659" s="7">
        <v>0.586301361506968</v>
      </c>
      <c r="M659" s="7">
        <v>0.5565958560669091</v>
      </c>
      <c r="N659" s="7">
        <v>0.4048668137627831</v>
      </c>
      <c r="O659" s="7">
        <v>0.1105626051382416</v>
      </c>
      <c r="P659" s="7">
        <v>8.87667645308851</v>
      </c>
      <c r="Q659" s="7">
        <v>0.0058654175265624</v>
      </c>
      <c r="R659" s="7">
        <v>0.0224449306459091</v>
      </c>
      <c r="S659" s="7">
        <v>0.0439919751905482</v>
      </c>
      <c r="T659" s="7">
        <v>0.4681565565712215</v>
      </c>
    </row>
    <row x14ac:dyDescent="0.25" r="660" customHeight="1" ht="19.5">
      <c r="A660" s="2" t="s">
        <v>694</v>
      </c>
      <c r="B660" s="2" t="s">
        <v>30</v>
      </c>
      <c r="C660" s="2" t="s">
        <v>31</v>
      </c>
      <c r="D660" s="2" t="s">
        <v>650</v>
      </c>
      <c r="E660" s="6">
        <v>1</v>
      </c>
      <c r="F660" s="6">
        <v>0</v>
      </c>
      <c r="G660" s="7">
        <v>0.556250810623169</v>
      </c>
      <c r="H660" s="7">
        <v>67.67597890625001</v>
      </c>
      <c r="I660" s="7">
        <v>37.58897591734203</v>
      </c>
      <c r="J660" s="7">
        <v>10.53771809656441</v>
      </c>
      <c r="K660" s="7">
        <v>9.159983974709192</v>
      </c>
      <c r="L660" s="7">
        <v>0.5753043925169014</v>
      </c>
      <c r="M660" s="7">
        <v>0.6018987240756577</v>
      </c>
      <c r="N660" s="7">
        <v>0.3948989001451042</v>
      </c>
      <c r="O660" s="7">
        <v>0.0898899388815631</v>
      </c>
      <c r="P660" s="7">
        <v>8.977730666283367</v>
      </c>
      <c r="Q660" s="7">
        <v>0.0050853195052714</v>
      </c>
      <c r="R660" s="7">
        <v>0.0208874960659658</v>
      </c>
      <c r="S660" s="7">
        <v>0.043173068861641</v>
      </c>
      <c r="T660" s="7">
        <v>0.3994326584687032</v>
      </c>
    </row>
    <row x14ac:dyDescent="0.25" r="661" customHeight="1" ht="19.5">
      <c r="A661" s="2" t="s">
        <v>695</v>
      </c>
      <c r="B661" s="2" t="s">
        <v>30</v>
      </c>
      <c r="C661" s="2" t="s">
        <v>31</v>
      </c>
      <c r="D661" s="2" t="s">
        <v>650</v>
      </c>
      <c r="E661" s="6">
        <v>1</v>
      </c>
      <c r="F661" s="6">
        <v>0</v>
      </c>
      <c r="G661" s="7">
        <v>0.5474859476089478</v>
      </c>
      <c r="H661" s="7">
        <v>65.12007734375</v>
      </c>
      <c r="I661" s="7">
        <v>37.48346477976716</v>
      </c>
      <c r="J661" s="7">
        <v>10.64371697794674</v>
      </c>
      <c r="K661" s="7">
        <v>9.250193834273524</v>
      </c>
      <c r="L661" s="7">
        <v>0.580224488970745</v>
      </c>
      <c r="M661" s="7">
        <v>0.5824321175769593</v>
      </c>
      <c r="N661" s="7">
        <v>0.4002830882383616</v>
      </c>
      <c r="O661" s="7">
        <v>0.1023097177687856</v>
      </c>
      <c r="P661" s="7">
        <v>8.915707195473873</v>
      </c>
      <c r="Q661" s="7">
        <v>0.005730425193459</v>
      </c>
      <c r="R661" s="7">
        <v>0.0226267322746697</v>
      </c>
      <c r="S661" s="7">
        <v>0.0457309177730397</v>
      </c>
      <c r="T661" s="7">
        <v>0.4331043395896928</v>
      </c>
    </row>
    <row x14ac:dyDescent="0.25" r="662" customHeight="1" ht="19.5">
      <c r="A662" s="2" t="s">
        <v>696</v>
      </c>
      <c r="B662" s="2" t="s">
        <v>30</v>
      </c>
      <c r="C662" s="2" t="s">
        <v>31</v>
      </c>
      <c r="D662" s="2" t="s">
        <v>650</v>
      </c>
      <c r="E662" s="6">
        <v>1</v>
      </c>
      <c r="F662" s="6">
        <v>0</v>
      </c>
      <c r="G662" s="7">
        <v>0.5352077484130859</v>
      </c>
      <c r="H662" s="7">
        <v>64.75296953125</v>
      </c>
      <c r="I662" s="7">
        <v>38.15309608968178</v>
      </c>
      <c r="J662" s="7">
        <v>10.94883494893447</v>
      </c>
      <c r="K662" s="7">
        <v>9.305058473304657</v>
      </c>
      <c r="L662" s="7">
        <v>0.615501063673131</v>
      </c>
      <c r="M662" s="7">
        <v>0.5589976485994728</v>
      </c>
      <c r="N662" s="7">
        <v>0.4091347338660689</v>
      </c>
      <c r="O662" s="7">
        <v>0.1153679220788022</v>
      </c>
      <c r="P662" s="7">
        <v>8.832670268900769</v>
      </c>
      <c r="Q662" s="7">
        <v>0.0079682554450734</v>
      </c>
      <c r="R662" s="7">
        <v>0.0271909205099036</v>
      </c>
      <c r="S662" s="7">
        <v>0.0479173206321123</v>
      </c>
      <c r="T662" s="7">
        <v>0.5988440211665585</v>
      </c>
    </row>
    <row x14ac:dyDescent="0.25" r="663" customHeight="1" ht="19.5">
      <c r="A663" s="2" t="s">
        <v>697</v>
      </c>
      <c r="B663" s="2" t="s">
        <v>30</v>
      </c>
      <c r="C663" s="2" t="s">
        <v>31</v>
      </c>
      <c r="D663" s="2" t="s">
        <v>650</v>
      </c>
      <c r="E663" s="6">
        <v>1</v>
      </c>
      <c r="F663" s="6">
        <v>0</v>
      </c>
      <c r="G663" s="7">
        <v>0.5621535181999207</v>
      </c>
      <c r="H663" s="7">
        <v>68.62838125</v>
      </c>
      <c r="I663" s="7">
        <v>39.52754960801644</v>
      </c>
      <c r="J663" s="7">
        <v>10.7684348432829</v>
      </c>
      <c r="K663" s="7">
        <v>9.333347947301515</v>
      </c>
      <c r="L663" s="7">
        <v>0.5552579308191219</v>
      </c>
      <c r="M663" s="7">
        <v>0.5519122067471756</v>
      </c>
      <c r="N663" s="7">
        <v>0.3981204733165497</v>
      </c>
      <c r="O663" s="7">
        <v>0.0985219005378206</v>
      </c>
      <c r="P663" s="7">
        <v>8.954325032103194</v>
      </c>
      <c r="Q663" s="7">
        <v>0.0060340057196397</v>
      </c>
      <c r="R663" s="7">
        <v>0.0241140666954065</v>
      </c>
      <c r="S663" s="7">
        <v>0.0466433658965169</v>
      </c>
      <c r="T663" s="7">
        <v>0.4806182444928968</v>
      </c>
    </row>
    <row x14ac:dyDescent="0.25" r="664" customHeight="1" ht="19.5">
      <c r="A664" s="2" t="s">
        <v>698</v>
      </c>
      <c r="B664" s="2" t="s">
        <v>30</v>
      </c>
      <c r="C664" s="2" t="s">
        <v>31</v>
      </c>
      <c r="D664" s="2" t="s">
        <v>650</v>
      </c>
      <c r="E664" s="6">
        <v>1</v>
      </c>
      <c r="F664" s="6">
        <v>0</v>
      </c>
      <c r="G664" s="7">
        <v>0.5809786915779114</v>
      </c>
      <c r="H664" s="7">
        <v>66.508853125</v>
      </c>
      <c r="I664" s="7">
        <v>35.90880356181125</v>
      </c>
      <c r="J664" s="7">
        <v>10.67604491134911</v>
      </c>
      <c r="K664" s="7">
        <v>9.355682025384874</v>
      </c>
      <c r="L664" s="7">
        <v>0.5261001546704881</v>
      </c>
      <c r="M664" s="7">
        <v>0.6481678006576919</v>
      </c>
      <c r="N664" s="7">
        <v>0.4175791317018087</v>
      </c>
      <c r="O664" s="7">
        <v>0.1012488756141722</v>
      </c>
      <c r="P664" s="7">
        <v>8.83919329350724</v>
      </c>
      <c r="Q664" s="7">
        <v>0.006562203937351</v>
      </c>
      <c r="R664" s="7">
        <v>0.0252686030774319</v>
      </c>
      <c r="S664" s="7">
        <v>0.0512157899061398</v>
      </c>
      <c r="T664" s="7">
        <v>0.5065472501627865</v>
      </c>
    </row>
    <row x14ac:dyDescent="0.25" r="665" customHeight="1" ht="19.5">
      <c r="A665" s="2" t="s">
        <v>699</v>
      </c>
      <c r="B665" s="2" t="s">
        <v>30</v>
      </c>
      <c r="C665" s="2" t="s">
        <v>31</v>
      </c>
      <c r="D665" s="2" t="s">
        <v>650</v>
      </c>
      <c r="E665" s="6">
        <v>1</v>
      </c>
      <c r="F665" s="6">
        <v>0</v>
      </c>
      <c r="G665" s="7">
        <v>0.4760373830795288</v>
      </c>
      <c r="H665" s="7">
        <v>55.21855625000001</v>
      </c>
      <c r="I665" s="7">
        <v>31.37493060398694</v>
      </c>
      <c r="J665" s="7">
        <v>10.02948863773775</v>
      </c>
      <c r="K665" s="7">
        <v>7.721619034159374</v>
      </c>
      <c r="L665" s="7">
        <v>0.7068795567433177</v>
      </c>
      <c r="M665" s="7">
        <v>0.7049030075783725</v>
      </c>
      <c r="N665" s="7">
        <v>0.5550524566235118</v>
      </c>
      <c r="O665" s="7">
        <v>0.1108039458570629</v>
      </c>
      <c r="P665" s="7">
        <v>7.447107596469283</v>
      </c>
      <c r="Q665" s="7">
        <v>0.022733899401942</v>
      </c>
      <c r="R665" s="7">
        <v>0.0434868177653927</v>
      </c>
      <c r="S665" s="7">
        <v>0.0562155003964514</v>
      </c>
      <c r="T665" s="7">
        <v>1.456967154679548</v>
      </c>
    </row>
    <row x14ac:dyDescent="0.25" r="666" customHeight="1" ht="19.5">
      <c r="A666" s="2" t="s">
        <v>700</v>
      </c>
      <c r="B666" s="2" t="s">
        <v>30</v>
      </c>
      <c r="C666" s="2" t="s">
        <v>31</v>
      </c>
      <c r="D666" s="2" t="s">
        <v>650</v>
      </c>
      <c r="E666" s="6">
        <v>1</v>
      </c>
      <c r="F666" s="6">
        <v>0</v>
      </c>
      <c r="G666" s="7">
        <v>0.5891909003257751</v>
      </c>
      <c r="H666" s="7">
        <v>71.3158875</v>
      </c>
      <c r="I666" s="7">
        <v>40.62478137001178</v>
      </c>
      <c r="J666" s="7">
        <v>10.10100353031591</v>
      </c>
      <c r="K666" s="7">
        <v>8.209775948904277</v>
      </c>
      <c r="L666" s="7">
        <v>0.6426291172223734</v>
      </c>
      <c r="M666" s="7">
        <v>0.5423585615588856</v>
      </c>
      <c r="N666" s="7">
        <v>0.4861867483771698</v>
      </c>
      <c r="O666" s="7">
        <v>0.0826471654622091</v>
      </c>
      <c r="P666" s="7">
        <v>8.277312868730528</v>
      </c>
      <c r="Q666" s="7">
        <v>0.0168596094980313</v>
      </c>
      <c r="R666" s="7">
        <v>0.037285504524461</v>
      </c>
      <c r="S666" s="7">
        <v>0.0583662174166943</v>
      </c>
      <c r="T666" s="7">
        <v>1.395483103949067</v>
      </c>
    </row>
    <row x14ac:dyDescent="0.25" r="667" customHeight="1" ht="19.5">
      <c r="A667" s="2" t="s">
        <v>701</v>
      </c>
      <c r="B667" s="2" t="s">
        <v>30</v>
      </c>
      <c r="C667" s="2" t="s">
        <v>31</v>
      </c>
      <c r="D667" s="2" t="s">
        <v>650</v>
      </c>
      <c r="E667" s="6">
        <v>1</v>
      </c>
      <c r="F667" s="6">
        <v>0</v>
      </c>
      <c r="G667" s="7">
        <v>0.6751328706741333</v>
      </c>
      <c r="H667" s="7">
        <v>84.78458828125001</v>
      </c>
      <c r="I667" s="7">
        <v>46.5129138390151</v>
      </c>
      <c r="J667" s="7">
        <v>11.95829640587855</v>
      </c>
      <c r="K667" s="7">
        <v>8.197030656708513</v>
      </c>
      <c r="L667" s="7">
        <v>0.7639040983100382</v>
      </c>
      <c r="M667" s="7">
        <v>0.4924698932346135</v>
      </c>
      <c r="N667" s="7">
        <v>0.4466752997982333</v>
      </c>
      <c r="O667" s="7">
        <v>0.1044661083108264</v>
      </c>
      <c r="P667" s="7">
        <v>8.58584333589061</v>
      </c>
      <c r="Q667" s="7">
        <v>0.0107523433520136</v>
      </c>
      <c r="R667" s="7">
        <v>0.0300046041511666</v>
      </c>
      <c r="S667" s="7">
        <v>0.0481978441205356</v>
      </c>
      <c r="T667" s="7">
        <v>1.058061275612702</v>
      </c>
    </row>
    <row x14ac:dyDescent="0.25" r="668" customHeight="1" ht="19.5">
      <c r="A668" s="2" t="s">
        <v>702</v>
      </c>
      <c r="B668" s="2" t="s">
        <v>30</v>
      </c>
      <c r="C668" s="2" t="s">
        <v>31</v>
      </c>
      <c r="D668" s="2" t="s">
        <v>650</v>
      </c>
      <c r="E668" s="6">
        <v>1</v>
      </c>
      <c r="F668" s="6">
        <v>0</v>
      </c>
      <c r="G668" s="7">
        <v>0.6081939339637756</v>
      </c>
      <c r="H668" s="7">
        <v>77.2380984375</v>
      </c>
      <c r="I668" s="7">
        <v>36.60245240872745</v>
      </c>
      <c r="J668" s="7">
        <v>11.0850231954627</v>
      </c>
      <c r="K668" s="7">
        <v>8.803477291611241</v>
      </c>
      <c r="L668" s="7">
        <v>0.6715580647992627</v>
      </c>
      <c r="M668" s="7">
        <v>0.7242437117135285</v>
      </c>
      <c r="N668" s="7">
        <v>0.4352828352384976</v>
      </c>
      <c r="O668" s="7">
        <v>0.0986681594174143</v>
      </c>
      <c r="P668" s="7">
        <v>8.710878033433998</v>
      </c>
      <c r="Q668" s="7">
        <v>0.0084826157930983</v>
      </c>
      <c r="R668" s="7">
        <v>0.0262431625772191</v>
      </c>
      <c r="S668" s="7">
        <v>0.0467036460744292</v>
      </c>
      <c r="T668" s="7">
        <v>0.7604175821708421</v>
      </c>
    </row>
    <row x14ac:dyDescent="0.25" r="669" customHeight="1" ht="19.5">
      <c r="A669" s="2" t="s">
        <v>703</v>
      </c>
      <c r="B669" s="2" t="s">
        <v>30</v>
      </c>
      <c r="C669" s="2" t="s">
        <v>31</v>
      </c>
      <c r="D669" s="2" t="s">
        <v>650</v>
      </c>
      <c r="E669" s="6">
        <v>1</v>
      </c>
      <c r="F669" s="6">
        <v>0</v>
      </c>
      <c r="G669" s="7">
        <v>0.583032488822937</v>
      </c>
      <c r="H669" s="7">
        <v>70.32885234375</v>
      </c>
      <c r="I669" s="7">
        <v>34.58728500525169</v>
      </c>
      <c r="J669" s="7">
        <v>10.24160065226276</v>
      </c>
      <c r="K669" s="7">
        <v>8.62162199986435</v>
      </c>
      <c r="L669" s="7">
        <v>0.6262316860512717</v>
      </c>
      <c r="M669" s="7">
        <v>0.7387720379822053</v>
      </c>
      <c r="N669" s="7">
        <v>0.4066974725335283</v>
      </c>
      <c r="O669" s="7">
        <v>0.1008275559550471</v>
      </c>
      <c r="P669" s="7">
        <v>8.795520800701711</v>
      </c>
      <c r="Q669" s="7">
        <v>0.0061103891674421</v>
      </c>
      <c r="R669" s="7">
        <v>0.0228724863173318</v>
      </c>
      <c r="S669" s="7">
        <v>0.0431963867202355</v>
      </c>
      <c r="T669" s="7">
        <v>0.4987617977394663</v>
      </c>
    </row>
    <row x14ac:dyDescent="0.25" r="670" customHeight="1" ht="19.5">
      <c r="A670" s="2" t="s">
        <v>704</v>
      </c>
      <c r="B670" s="2" t="s">
        <v>30</v>
      </c>
      <c r="C670" s="2" t="s">
        <v>31</v>
      </c>
      <c r="D670" s="2" t="s">
        <v>650</v>
      </c>
      <c r="E670" s="6">
        <v>1</v>
      </c>
      <c r="F670" s="6">
        <v>0</v>
      </c>
      <c r="G670" s="7">
        <v>0.5892836451530457</v>
      </c>
      <c r="H670" s="7">
        <v>71.1981359375</v>
      </c>
      <c r="I670" s="7">
        <v>35.41118009869503</v>
      </c>
      <c r="J670" s="7">
        <v>10.35997468445674</v>
      </c>
      <c r="K670" s="7">
        <v>8.337878995364672</v>
      </c>
      <c r="L670" s="7">
        <v>0.6633580615757833</v>
      </c>
      <c r="M670" s="7">
        <v>0.7135060946757248</v>
      </c>
      <c r="N670" s="7">
        <v>0.3963926988409485</v>
      </c>
      <c r="O670" s="7">
        <v>0.0905881845746054</v>
      </c>
      <c r="P670" s="7">
        <v>8.884865186110282</v>
      </c>
      <c r="Q670" s="7">
        <v>0.0079620268973988</v>
      </c>
      <c r="R670" s="7">
        <v>0.0251037817406399</v>
      </c>
      <c r="S670" s="7">
        <v>0.0455869554833317</v>
      </c>
      <c r="T670" s="7">
        <v>0.6579350814507666</v>
      </c>
    </row>
    <row x14ac:dyDescent="0.25" r="671" customHeight="1" ht="19.5">
      <c r="A671" s="2" t="s">
        <v>705</v>
      </c>
      <c r="B671" s="2" t="s">
        <v>30</v>
      </c>
      <c r="C671" s="2" t="s">
        <v>31</v>
      </c>
      <c r="D671" s="2" t="s">
        <v>650</v>
      </c>
      <c r="E671" s="6">
        <v>1</v>
      </c>
      <c r="F671" s="6">
        <v>0</v>
      </c>
      <c r="G671" s="7">
        <v>0.5960570573806763</v>
      </c>
      <c r="H671" s="7">
        <v>73.50814453125001</v>
      </c>
      <c r="I671" s="7">
        <v>35.51460007835927</v>
      </c>
      <c r="J671" s="7">
        <v>10.7920213234346</v>
      </c>
      <c r="K671" s="7">
        <v>8.609248028580447</v>
      </c>
      <c r="L671" s="7">
        <v>0.6682253347447714</v>
      </c>
      <c r="M671" s="7">
        <v>0.7323715539077446</v>
      </c>
      <c r="N671" s="7">
        <v>0.3996439573519669</v>
      </c>
      <c r="O671" s="7">
        <v>0.0972477740672923</v>
      </c>
      <c r="P671" s="7">
        <v>8.862452421898809</v>
      </c>
      <c r="Q671" s="7">
        <v>0.0068299902464731</v>
      </c>
      <c r="R671" s="7">
        <v>0.0239243227250323</v>
      </c>
      <c r="S671" s="7">
        <v>0.0456377064259244</v>
      </c>
      <c r="T671" s="7">
        <v>0.5827017523285989</v>
      </c>
    </row>
    <row x14ac:dyDescent="0.25" r="672" customHeight="1" ht="19.5">
      <c r="A672" s="2" t="s">
        <v>706</v>
      </c>
      <c r="B672" s="2" t="s">
        <v>30</v>
      </c>
      <c r="C672" s="2" t="s">
        <v>31</v>
      </c>
      <c r="D672" s="2" t="s">
        <v>650</v>
      </c>
      <c r="E672" s="6">
        <v>1</v>
      </c>
      <c r="F672" s="6">
        <v>0</v>
      </c>
      <c r="G672" s="7">
        <v>0.5823310017585754</v>
      </c>
      <c r="H672" s="7">
        <v>75.3125140625</v>
      </c>
      <c r="I672" s="7">
        <v>41.93829408090414</v>
      </c>
      <c r="J672" s="7">
        <v>11.48644915242246</v>
      </c>
      <c r="K672" s="7">
        <v>8.933814684628128</v>
      </c>
      <c r="L672" s="7">
        <v>0.6980178560404217</v>
      </c>
      <c r="M672" s="7">
        <v>0.5380907022652649</v>
      </c>
      <c r="N672" s="7">
        <v>0.4034698286080836</v>
      </c>
      <c r="O672" s="7">
        <v>0.1030533255888791</v>
      </c>
      <c r="P672" s="7">
        <v>8.883179457183722</v>
      </c>
      <c r="Q672" s="7">
        <v>0.0069610406945488</v>
      </c>
      <c r="R672" s="7">
        <v>0.0239564360008332</v>
      </c>
      <c r="S672" s="7">
        <v>0.0434363958234964</v>
      </c>
      <c r="T672" s="7">
        <v>0.6084600910471287</v>
      </c>
    </row>
    <row x14ac:dyDescent="0.25" r="673" customHeight="1" ht="19.5">
      <c r="A673" s="2" t="s">
        <v>707</v>
      </c>
      <c r="B673" s="2" t="s">
        <v>30</v>
      </c>
      <c r="C673" s="2" t="s">
        <v>31</v>
      </c>
      <c r="D673" s="2" t="s">
        <v>650</v>
      </c>
      <c r="E673" s="6">
        <v>1</v>
      </c>
      <c r="F673" s="6">
        <v>0</v>
      </c>
      <c r="G673" s="7">
        <v>0.585342288017273</v>
      </c>
      <c r="H673" s="7">
        <v>75.374853125</v>
      </c>
      <c r="I673" s="7">
        <v>36.85213032625322</v>
      </c>
      <c r="J673" s="7">
        <v>10.74291735784363</v>
      </c>
      <c r="K673" s="7">
        <v>8.990508871412388</v>
      </c>
      <c r="L673" s="7">
        <v>0.6322398438432909</v>
      </c>
      <c r="M673" s="7">
        <v>0.6974468966565647</v>
      </c>
      <c r="N673" s="7">
        <v>0.398851272038057</v>
      </c>
      <c r="O673" s="7">
        <v>0.0958899349033536</v>
      </c>
      <c r="P673" s="7">
        <v>8.86870989539754</v>
      </c>
      <c r="Q673" s="7">
        <v>0.0061913276263909</v>
      </c>
      <c r="R673" s="7">
        <v>0.0225299522718055</v>
      </c>
      <c r="S673" s="7">
        <v>0.042236970499373</v>
      </c>
      <c r="T673" s="7">
        <v>0.5416279221560867</v>
      </c>
    </row>
    <row x14ac:dyDescent="0.25" r="674" customHeight="1" ht="19.5">
      <c r="A674" s="2" t="s">
        <v>708</v>
      </c>
      <c r="B674" s="2" t="s">
        <v>30</v>
      </c>
      <c r="C674" s="2" t="s">
        <v>31</v>
      </c>
      <c r="D674" s="2" t="s">
        <v>650</v>
      </c>
      <c r="E674" s="6">
        <v>1</v>
      </c>
      <c r="F674" s="6">
        <v>0</v>
      </c>
      <c r="G674" s="7">
        <v>0.6013346910476685</v>
      </c>
      <c r="H674" s="7">
        <v>79.27104453125</v>
      </c>
      <c r="I674" s="7">
        <v>37.63946093523117</v>
      </c>
      <c r="J674" s="7">
        <v>10.87959702067102</v>
      </c>
      <c r="K674" s="7">
        <v>8.723235959879169</v>
      </c>
      <c r="L674" s="7">
        <v>0.6718811037133169</v>
      </c>
      <c r="M674" s="7">
        <v>0.7031332815659308</v>
      </c>
      <c r="N674" s="7">
        <v>0.4024421860957416</v>
      </c>
      <c r="O674" s="7">
        <v>0.0994816177989682</v>
      </c>
      <c r="P674" s="7">
        <v>8.871492779911733</v>
      </c>
      <c r="Q674" s="7">
        <v>0.0067287673855426</v>
      </c>
      <c r="R674" s="7">
        <v>0.0238624375304692</v>
      </c>
      <c r="S674" s="7">
        <v>0.0439833093936248</v>
      </c>
      <c r="T674" s="7">
        <v>0.6190715923873381</v>
      </c>
    </row>
    <row x14ac:dyDescent="0.25" r="675" customHeight="1" ht="19.5">
      <c r="A675" s="2" t="s">
        <v>709</v>
      </c>
      <c r="B675" s="2" t="s">
        <v>30</v>
      </c>
      <c r="C675" s="2" t="s">
        <v>31</v>
      </c>
      <c r="D675" s="2" t="s">
        <v>650</v>
      </c>
      <c r="E675" s="6">
        <v>1</v>
      </c>
      <c r="F675" s="6">
        <v>0</v>
      </c>
      <c r="G675" s="7">
        <v>0.5868704319000244</v>
      </c>
      <c r="H675" s="7">
        <v>74.43630390625</v>
      </c>
      <c r="I675" s="7">
        <v>35.56926741206967</v>
      </c>
      <c r="J675" s="7">
        <v>10.62933838462014</v>
      </c>
      <c r="K675" s="7">
        <v>8.84980045951913</v>
      </c>
      <c r="L675" s="7">
        <v>0.6382990813537419</v>
      </c>
      <c r="M675" s="7">
        <v>0.7393410557889329</v>
      </c>
      <c r="N675" s="7">
        <v>0.4072533150364336</v>
      </c>
      <c r="O675" s="7">
        <v>0.0975160270482493</v>
      </c>
      <c r="P675" s="7">
        <v>8.820348514520829</v>
      </c>
      <c r="Q675" s="7">
        <v>0.0061472703203002</v>
      </c>
      <c r="R675" s="7">
        <v>0.0229364571439317</v>
      </c>
      <c r="S675" s="7">
        <v>0.0431998506856127</v>
      </c>
      <c r="T675" s="7">
        <v>0.5310774870903481</v>
      </c>
    </row>
    <row x14ac:dyDescent="0.25" r="676" customHeight="1" ht="19.5">
      <c r="A676" s="2" t="s">
        <v>710</v>
      </c>
      <c r="B676" s="2" t="s">
        <v>30</v>
      </c>
      <c r="C676" s="2" t="s">
        <v>31</v>
      </c>
      <c r="D676" s="2" t="s">
        <v>650</v>
      </c>
      <c r="E676" s="6">
        <v>1</v>
      </c>
      <c r="F676" s="6">
        <v>0</v>
      </c>
      <c r="G676" s="7">
        <v>0.6052492260932922</v>
      </c>
      <c r="H676" s="7">
        <v>76.1298484375</v>
      </c>
      <c r="I676" s="7">
        <v>36.18632254618452</v>
      </c>
      <c r="J676" s="7">
        <v>10.8895661251978</v>
      </c>
      <c r="K676" s="7">
        <v>8.724059577568704</v>
      </c>
      <c r="L676" s="7">
        <v>0.6662088130682217</v>
      </c>
      <c r="M676" s="7">
        <v>0.7305937107507275</v>
      </c>
      <c r="N676" s="7">
        <v>0.4040058147084817</v>
      </c>
      <c r="O676" s="7">
        <v>0.1036699113744945</v>
      </c>
      <c r="P676" s="7">
        <v>8.84077524426031</v>
      </c>
      <c r="Q676" s="7">
        <v>0.0070684589370563</v>
      </c>
      <c r="R676" s="7">
        <v>0.0247554382083722</v>
      </c>
      <c r="S676" s="7">
        <v>0.046495241217879</v>
      </c>
      <c r="T676" s="7">
        <v>0.6245547053277133</v>
      </c>
    </row>
    <row x14ac:dyDescent="0.25" r="677" customHeight="1" ht="19.5">
      <c r="A677" s="2" t="s">
        <v>711</v>
      </c>
      <c r="B677" s="2" t="s">
        <v>30</v>
      </c>
      <c r="C677" s="2" t="s">
        <v>31</v>
      </c>
      <c r="D677" s="2" t="s">
        <v>650</v>
      </c>
      <c r="E677" s="6">
        <v>1</v>
      </c>
      <c r="F677" s="6">
        <v>0</v>
      </c>
      <c r="G677" s="7">
        <v>0.6051958203315735</v>
      </c>
      <c r="H677" s="7">
        <v>79.26411796875</v>
      </c>
      <c r="I677" s="7">
        <v>37.34694505950813</v>
      </c>
      <c r="J677" s="7">
        <v>11.22567105141876</v>
      </c>
      <c r="K677" s="7">
        <v>8.79885162142128</v>
      </c>
      <c r="L677" s="7">
        <v>0.6842456633747792</v>
      </c>
      <c r="M677" s="7">
        <v>0.7137852150781493</v>
      </c>
      <c r="N677" s="7">
        <v>0.3965787800970228</v>
      </c>
      <c r="O677" s="7">
        <v>0.0905978144077939</v>
      </c>
      <c r="P677" s="7">
        <v>8.930531683832132</v>
      </c>
      <c r="Q677" s="7">
        <v>0.0072254396169849</v>
      </c>
      <c r="R677" s="7">
        <v>0.0247552190356881</v>
      </c>
      <c r="S677" s="7">
        <v>0.0481792514217402</v>
      </c>
      <c r="T677" s="7">
        <v>0.664709196309041</v>
      </c>
    </row>
    <row x14ac:dyDescent="0.25" r="678" customHeight="1" ht="19.5">
      <c r="A678" s="2" t="s">
        <v>712</v>
      </c>
      <c r="B678" s="2" t="s">
        <v>30</v>
      </c>
      <c r="C678" s="2" t="s">
        <v>31</v>
      </c>
      <c r="D678" s="2" t="s">
        <v>650</v>
      </c>
      <c r="E678" s="6">
        <v>1</v>
      </c>
      <c r="F678" s="6">
        <v>0</v>
      </c>
      <c r="G678" s="7">
        <v>0.6070569753646851</v>
      </c>
      <c r="H678" s="7">
        <v>74.16270468750001</v>
      </c>
      <c r="I678" s="7">
        <v>40.47296753036904</v>
      </c>
      <c r="J678" s="7">
        <v>11.16656697676869</v>
      </c>
      <c r="K678" s="7">
        <v>8.755910798764676</v>
      </c>
      <c r="L678" s="7">
        <v>0.6877020570800846</v>
      </c>
      <c r="M678" s="7">
        <v>0.5689385044672638</v>
      </c>
      <c r="N678" s="7">
        <v>0.4042596694080421</v>
      </c>
      <c r="O678" s="7">
        <v>0.1050146111380156</v>
      </c>
      <c r="P678" s="7">
        <v>8.869355080747091</v>
      </c>
      <c r="Q678" s="7">
        <v>0.0070896524295522</v>
      </c>
      <c r="R678" s="7">
        <v>0.024180145203417</v>
      </c>
      <c r="S678" s="7">
        <v>0.0461511783246316</v>
      </c>
      <c r="T678" s="7">
        <v>0.6102408614767809</v>
      </c>
    </row>
    <row x14ac:dyDescent="0.25" r="679" customHeight="1" ht="19.5">
      <c r="A679" s="2" t="s">
        <v>713</v>
      </c>
      <c r="B679" s="2" t="s">
        <v>30</v>
      </c>
      <c r="C679" s="2" t="s">
        <v>31</v>
      </c>
      <c r="D679" s="2" t="s">
        <v>650</v>
      </c>
      <c r="E679" s="6">
        <v>1</v>
      </c>
      <c r="F679" s="6">
        <v>0</v>
      </c>
      <c r="G679" s="7">
        <v>0.5943474769592285</v>
      </c>
      <c r="H679" s="7">
        <v>77.619059375</v>
      </c>
      <c r="I679" s="7">
        <v>36.44191515146685</v>
      </c>
      <c r="J679" s="7">
        <v>10.98692296258544</v>
      </c>
      <c r="K679" s="7">
        <v>8.794751118323603</v>
      </c>
      <c r="L679" s="7">
        <v>0.6649146558002256</v>
      </c>
      <c r="M679" s="7">
        <v>0.7344730320468055</v>
      </c>
      <c r="N679" s="7">
        <v>0.3988897651005353</v>
      </c>
      <c r="O679" s="7">
        <v>0.0954344675747209</v>
      </c>
      <c r="P679" s="7">
        <v>8.875199444497245</v>
      </c>
      <c r="Q679" s="7">
        <v>0.0064018523615513</v>
      </c>
      <c r="R679" s="7">
        <v>0.0236910867515467</v>
      </c>
      <c r="S679" s="7">
        <v>0.044913616203665</v>
      </c>
      <c r="T679" s="7">
        <v>0.576719730817072</v>
      </c>
    </row>
    <row x14ac:dyDescent="0.25" r="680" customHeight="1" ht="19.5">
      <c r="A680" s="2" t="s">
        <v>714</v>
      </c>
      <c r="B680" s="2" t="s">
        <v>30</v>
      </c>
      <c r="C680" s="2" t="s">
        <v>31</v>
      </c>
      <c r="D680" s="2" t="s">
        <v>650</v>
      </c>
      <c r="E680" s="6">
        <v>1</v>
      </c>
      <c r="F680" s="6">
        <v>0</v>
      </c>
      <c r="G680" s="7">
        <v>0.583160936832428</v>
      </c>
      <c r="H680" s="7">
        <v>79.46152500000001</v>
      </c>
      <c r="I680" s="7">
        <v>37.66556963014339</v>
      </c>
      <c r="J680" s="7">
        <v>11.04357136320356</v>
      </c>
      <c r="K680" s="7">
        <v>8.705119984085528</v>
      </c>
      <c r="L680" s="7">
        <v>0.6909892469131058</v>
      </c>
      <c r="M680" s="7">
        <v>0.7038460538146379</v>
      </c>
      <c r="N680" s="7">
        <v>0.3964258777078734</v>
      </c>
      <c r="O680" s="7">
        <v>0.0882795237423766</v>
      </c>
      <c r="P680" s="7">
        <v>8.935292508438621</v>
      </c>
      <c r="Q680" s="7">
        <v>0.0063932594539919</v>
      </c>
      <c r="R680" s="7">
        <v>0.0237863997765289</v>
      </c>
      <c r="S680" s="7">
        <v>0.0453609936104359</v>
      </c>
      <c r="T680" s="7">
        <v>0.5896170115276202</v>
      </c>
    </row>
    <row x14ac:dyDescent="0.25" r="681" customHeight="1" ht="19.5">
      <c r="A681" s="2" t="s">
        <v>715</v>
      </c>
      <c r="B681" s="2" t="s">
        <v>30</v>
      </c>
      <c r="C681" s="2" t="s">
        <v>31</v>
      </c>
      <c r="D681" s="2" t="s">
        <v>650</v>
      </c>
      <c r="E681" s="6">
        <v>1</v>
      </c>
      <c r="F681" s="6">
        <v>0</v>
      </c>
      <c r="G681" s="7">
        <v>0.5927924513816833</v>
      </c>
      <c r="H681" s="7">
        <v>81.50832421875</v>
      </c>
      <c r="I681" s="7">
        <v>37.90550933006666</v>
      </c>
      <c r="J681" s="7">
        <v>11.40574241030087</v>
      </c>
      <c r="K681" s="7">
        <v>8.909397717266813</v>
      </c>
      <c r="L681" s="7">
        <v>0.6979667651092369</v>
      </c>
      <c r="M681" s="7">
        <v>0.7126527478887723</v>
      </c>
      <c r="N681" s="7">
        <v>0.4048766717827688</v>
      </c>
      <c r="O681" s="7">
        <v>0.0997263611332072</v>
      </c>
      <c r="P681" s="7">
        <v>8.88955377670413</v>
      </c>
      <c r="Q681" s="7">
        <v>0.0076682361402873</v>
      </c>
      <c r="R681" s="7">
        <v>0.0254677391837656</v>
      </c>
      <c r="S681" s="7">
        <v>0.049304558599096</v>
      </c>
      <c r="T681" s="7">
        <v>0.7254178246964006</v>
      </c>
    </row>
    <row x14ac:dyDescent="0.25" r="682" customHeight="1" ht="19.5">
      <c r="A682" s="2" t="s">
        <v>716</v>
      </c>
      <c r="B682" s="2" t="s">
        <v>30</v>
      </c>
      <c r="C682" s="2" t="s">
        <v>31</v>
      </c>
      <c r="D682" s="2" t="s">
        <v>650</v>
      </c>
      <c r="E682" s="6">
        <v>1</v>
      </c>
      <c r="F682" s="6">
        <v>0</v>
      </c>
      <c r="G682" s="7">
        <v>0.5982168316841125</v>
      </c>
      <c r="H682" s="7">
        <v>74.876140625</v>
      </c>
      <c r="I682" s="7">
        <v>38.5932434892263</v>
      </c>
      <c r="J682" s="7">
        <v>10.61114504054736</v>
      </c>
      <c r="K682" s="7">
        <v>8.907507146175176</v>
      </c>
      <c r="L682" s="7">
        <v>0.6175725152575204</v>
      </c>
      <c r="M682" s="7">
        <v>0.631728916140784</v>
      </c>
      <c r="N682" s="7">
        <v>0.3949604854272904</v>
      </c>
      <c r="O682" s="7">
        <v>0.0911493457278602</v>
      </c>
      <c r="P682" s="7">
        <v>8.918189341166517</v>
      </c>
      <c r="Q682" s="7">
        <v>0.0070735789841938</v>
      </c>
      <c r="R682" s="7">
        <v>0.0245630008360907</v>
      </c>
      <c r="S682" s="7">
        <v>0.04566785237094</v>
      </c>
      <c r="T682" s="7">
        <v>0.6147144732990875</v>
      </c>
    </row>
    <row x14ac:dyDescent="0.25" r="683" customHeight="1" ht="19.5">
      <c r="A683" s="2" t="s">
        <v>717</v>
      </c>
      <c r="B683" s="2" t="s">
        <v>30</v>
      </c>
      <c r="C683" s="2" t="s">
        <v>31</v>
      </c>
      <c r="D683" s="2" t="s">
        <v>650</v>
      </c>
      <c r="E683" s="6">
        <v>1</v>
      </c>
      <c r="F683" s="6">
        <v>0</v>
      </c>
      <c r="G683" s="7">
        <v>0.6070006489753723</v>
      </c>
      <c r="H683" s="7">
        <v>76.04326640625</v>
      </c>
      <c r="I683" s="7">
        <v>38.74541611484437</v>
      </c>
      <c r="J683" s="7">
        <v>10.88547098910908</v>
      </c>
      <c r="K683" s="7">
        <v>8.77323104641021</v>
      </c>
      <c r="L683" s="7">
        <v>0.6753445975395639</v>
      </c>
      <c r="M683" s="7">
        <v>0.6365462568290924</v>
      </c>
      <c r="N683" s="7">
        <v>0.4012595936403254</v>
      </c>
      <c r="O683" s="7">
        <v>0.0981748480644403</v>
      </c>
      <c r="P683" s="7">
        <v>8.897981050983056</v>
      </c>
      <c r="Q683" s="7">
        <v>0.0068277002277988</v>
      </c>
      <c r="R683" s="7">
        <v>0.02404118910803</v>
      </c>
      <c r="S683" s="7">
        <v>0.0469809681565824</v>
      </c>
      <c r="T683" s="7">
        <v>0.6025956449382162</v>
      </c>
    </row>
    <row x14ac:dyDescent="0.25" r="684" customHeight="1" ht="19.5">
      <c r="A684" s="2" t="s">
        <v>718</v>
      </c>
      <c r="B684" s="2" t="s">
        <v>30</v>
      </c>
      <c r="C684" s="2" t="s">
        <v>31</v>
      </c>
      <c r="D684" s="2" t="s">
        <v>650</v>
      </c>
      <c r="E684" s="6">
        <v>1</v>
      </c>
      <c r="F684" s="6">
        <v>0</v>
      </c>
      <c r="G684" s="7">
        <v>0.5680751800537109</v>
      </c>
      <c r="H684" s="7">
        <v>72.98865234375</v>
      </c>
      <c r="I684" s="7">
        <v>38.27252776068041</v>
      </c>
      <c r="J684" s="7">
        <v>10.81806207468435</v>
      </c>
      <c r="K684" s="7">
        <v>8.944111366012915</v>
      </c>
      <c r="L684" s="7">
        <v>0.6345560743304637</v>
      </c>
      <c r="M684" s="7">
        <v>0.6257223951743359</v>
      </c>
      <c r="N684" s="7">
        <v>0.4004624108334513</v>
      </c>
      <c r="O684" s="7">
        <v>0.0955108721145735</v>
      </c>
      <c r="P684" s="7">
        <v>8.887823831078236</v>
      </c>
      <c r="Q684" s="7">
        <v>0.0062559617949328</v>
      </c>
      <c r="R684" s="7">
        <v>0.0227876212378483</v>
      </c>
      <c r="S684" s="7">
        <v>0.0446534958527246</v>
      </c>
      <c r="T684" s="7">
        <v>0.529956487345932</v>
      </c>
    </row>
    <row x14ac:dyDescent="0.25" r="685" customHeight="1" ht="19.5">
      <c r="A685" s="2" t="s">
        <v>719</v>
      </c>
      <c r="B685" s="2" t="s">
        <v>30</v>
      </c>
      <c r="C685" s="2" t="s">
        <v>31</v>
      </c>
      <c r="D685" s="2" t="s">
        <v>650</v>
      </c>
      <c r="E685" s="6">
        <v>1</v>
      </c>
      <c r="F685" s="6">
        <v>0</v>
      </c>
      <c r="G685" s="7">
        <v>0.603523313999176</v>
      </c>
      <c r="H685" s="7">
        <v>81.65724531250001</v>
      </c>
      <c r="I685" s="7">
        <v>38.20358110757092</v>
      </c>
      <c r="J685" s="7">
        <v>11.25566186805049</v>
      </c>
      <c r="K685" s="7">
        <v>8.664497842618607</v>
      </c>
      <c r="L685" s="7">
        <v>0.7133632234586846</v>
      </c>
      <c r="M685" s="7">
        <v>0.7030367380133966</v>
      </c>
      <c r="N685" s="7">
        <v>0.4023354335481066</v>
      </c>
      <c r="O685" s="7">
        <v>0.095973906284846</v>
      </c>
      <c r="P685" s="7">
        <v>8.912587138317305</v>
      </c>
      <c r="Q685" s="7">
        <v>0.0070535129744985</v>
      </c>
      <c r="R685" s="7">
        <v>0.0250945105985046</v>
      </c>
      <c r="S685" s="7">
        <v>0.0492434545432381</v>
      </c>
      <c r="T685" s="7">
        <v>0.6684839347771065</v>
      </c>
    </row>
    <row x14ac:dyDescent="0.25" r="686" customHeight="1" ht="19.5">
      <c r="A686" s="2" t="s">
        <v>720</v>
      </c>
      <c r="B686" s="2" t="s">
        <v>30</v>
      </c>
      <c r="C686" s="2" t="s">
        <v>31</v>
      </c>
      <c r="D686" s="2" t="s">
        <v>650</v>
      </c>
      <c r="E686" s="6">
        <v>1</v>
      </c>
      <c r="F686" s="6">
        <v>0</v>
      </c>
      <c r="G686" s="7">
        <v>0.6150102019309998</v>
      </c>
      <c r="H686" s="7">
        <v>79.21216875</v>
      </c>
      <c r="I686" s="7">
        <v>41.40828844914381</v>
      </c>
      <c r="J686" s="7">
        <v>11.42892323725699</v>
      </c>
      <c r="K686" s="7">
        <v>8.69770868007863</v>
      </c>
      <c r="L686" s="7">
        <v>0.710533916814649</v>
      </c>
      <c r="M686" s="7">
        <v>0.5805333959108779</v>
      </c>
      <c r="N686" s="7">
        <v>0.4020854441884565</v>
      </c>
      <c r="O686" s="7">
        <v>0.0990305867538935</v>
      </c>
      <c r="P686" s="7">
        <v>8.91569410903385</v>
      </c>
      <c r="Q686" s="7">
        <v>0.0076784838367631</v>
      </c>
      <c r="R686" s="7">
        <v>0.025411523636934</v>
      </c>
      <c r="S686" s="7">
        <v>0.0452435716432018</v>
      </c>
      <c r="T686" s="7">
        <v>0.7059243432859682</v>
      </c>
    </row>
    <row x14ac:dyDescent="0.25" r="687" customHeight="1" ht="19.5">
      <c r="A687" s="2" t="s">
        <v>721</v>
      </c>
      <c r="B687" s="2" t="s">
        <v>30</v>
      </c>
      <c r="C687" s="2" t="s">
        <v>31</v>
      </c>
      <c r="D687" s="2" t="s">
        <v>650</v>
      </c>
      <c r="E687" s="6">
        <v>1</v>
      </c>
      <c r="F687" s="6">
        <v>0</v>
      </c>
      <c r="G687" s="7">
        <v>0.5956186652183533</v>
      </c>
      <c r="H687" s="7">
        <v>79.20870546875001</v>
      </c>
      <c r="I687" s="7">
        <v>37.52140285019249</v>
      </c>
      <c r="J687" s="7">
        <v>11.19629689224615</v>
      </c>
      <c r="K687" s="7">
        <v>8.671933165688353</v>
      </c>
      <c r="L687" s="7">
        <v>0.6979496323410421</v>
      </c>
      <c r="M687" s="7">
        <v>0.7063284322559134</v>
      </c>
      <c r="N687" s="7">
        <v>0.3966903625694199</v>
      </c>
      <c r="O687" s="7">
        <v>0.0902529019107969</v>
      </c>
      <c r="P687" s="7">
        <v>8.934815345519983</v>
      </c>
      <c r="Q687" s="7">
        <v>0.0085375452173818</v>
      </c>
      <c r="R687" s="7">
        <v>0.0266533714277283</v>
      </c>
      <c r="S687" s="7">
        <v>0.0488658273839899</v>
      </c>
      <c r="T687" s="7">
        <v>0.7848681621375629</v>
      </c>
    </row>
    <row x14ac:dyDescent="0.25" r="688" customHeight="1" ht="19.5">
      <c r="A688" s="2" t="s">
        <v>722</v>
      </c>
      <c r="B688" s="2" t="s">
        <v>30</v>
      </c>
      <c r="C688" s="2" t="s">
        <v>31</v>
      </c>
      <c r="D688" s="2" t="s">
        <v>650</v>
      </c>
      <c r="E688" s="6">
        <v>1</v>
      </c>
      <c r="F688" s="6">
        <v>0</v>
      </c>
      <c r="G688" s="7">
        <v>0.6056265234947205</v>
      </c>
      <c r="H688" s="7">
        <v>77.86841562500001</v>
      </c>
      <c r="I688" s="7">
        <v>40.41794141068331</v>
      </c>
      <c r="J688" s="7">
        <v>11.13072537352627</v>
      </c>
      <c r="K688" s="7">
        <v>9.24571193547474</v>
      </c>
      <c r="L688" s="7">
        <v>0.6310448030140193</v>
      </c>
      <c r="M688" s="7">
        <v>0.5989944828680408</v>
      </c>
      <c r="N688" s="7">
        <v>0.4045622291737609</v>
      </c>
      <c r="O688" s="7">
        <v>0.0978763256802959</v>
      </c>
      <c r="P688" s="7">
        <v>8.884598334454793</v>
      </c>
      <c r="Q688" s="7">
        <v>0.0066077245116247</v>
      </c>
      <c r="R688" s="7">
        <v>0.0238016603753484</v>
      </c>
      <c r="S688" s="7">
        <v>0.0419429302245737</v>
      </c>
      <c r="T688" s="7">
        <v>0.5971783389690263</v>
      </c>
    </row>
    <row x14ac:dyDescent="0.25" r="689" customHeight="1" ht="19.5">
      <c r="A689" s="2" t="s">
        <v>723</v>
      </c>
      <c r="B689" s="2" t="s">
        <v>30</v>
      </c>
      <c r="C689" s="2" t="s">
        <v>31</v>
      </c>
      <c r="D689" s="2" t="s">
        <v>650</v>
      </c>
      <c r="E689" s="6">
        <v>1</v>
      </c>
      <c r="F689" s="6">
        <v>0</v>
      </c>
      <c r="G689" s="7">
        <v>0.5874726176261902</v>
      </c>
      <c r="H689" s="7">
        <v>69.83013984375</v>
      </c>
      <c r="I689" s="7">
        <v>35.30531017514482</v>
      </c>
      <c r="J689" s="7">
        <v>10.98696758230134</v>
      </c>
      <c r="K689" s="7">
        <v>9.277661970564427</v>
      </c>
      <c r="L689" s="7">
        <v>0.5408627153442095</v>
      </c>
      <c r="M689" s="7">
        <v>0.7039651720267501</v>
      </c>
      <c r="N689" s="7">
        <v>0.5068648651761329</v>
      </c>
      <c r="O689" s="7">
        <v>0.0851631276479309</v>
      </c>
      <c r="P689" s="7">
        <v>8.19336462114374</v>
      </c>
      <c r="Q689" s="7">
        <v>0.0069296858751318</v>
      </c>
      <c r="R689" s="7">
        <v>0.0228376753329038</v>
      </c>
      <c r="S689" s="7">
        <v>0.0396812956720158</v>
      </c>
      <c r="T689" s="7">
        <v>0.5616260456571953</v>
      </c>
    </row>
    <row x14ac:dyDescent="0.25" r="690" customHeight="1" ht="19.5">
      <c r="A690" s="2" t="s">
        <v>724</v>
      </c>
      <c r="B690" s="2" t="s">
        <v>30</v>
      </c>
      <c r="C690" s="2" t="s">
        <v>31</v>
      </c>
      <c r="D690" s="2" t="s">
        <v>650</v>
      </c>
      <c r="E690" s="6">
        <v>1</v>
      </c>
      <c r="F690" s="6">
        <v>0</v>
      </c>
      <c r="G690" s="7">
        <v>0.4190401136875152</v>
      </c>
      <c r="H690" s="7">
        <v>56.0289640625</v>
      </c>
      <c r="I690" s="7">
        <v>30.8062693298506</v>
      </c>
      <c r="J690" s="7">
        <v>10.97777528466974</v>
      </c>
      <c r="K690" s="7">
        <v>8.2580018443673</v>
      </c>
      <c r="L690" s="7">
        <v>0.6703770927784907</v>
      </c>
      <c r="M690" s="7">
        <v>0.741898069066758</v>
      </c>
      <c r="N690" s="7">
        <v>0.5393547413792377</v>
      </c>
      <c r="O690" s="7">
        <v>0.1302688350982236</v>
      </c>
      <c r="P690" s="7">
        <v>7.570410328210833</v>
      </c>
      <c r="Q690" s="7">
        <v>0.0017418503736638</v>
      </c>
      <c r="R690" s="7">
        <v>0.010667884159104</v>
      </c>
      <c r="S690" s="7">
        <v>0.0312309243894944</v>
      </c>
      <c r="T690" s="7">
        <v>0.1132698222081028</v>
      </c>
    </row>
    <row x14ac:dyDescent="0.25" r="691" customHeight="1" ht="19.5">
      <c r="A691" s="2" t="s">
        <v>725</v>
      </c>
      <c r="B691" s="2" t="s">
        <v>30</v>
      </c>
      <c r="C691" s="2" t="s">
        <v>31</v>
      </c>
      <c r="D691" s="2" t="s">
        <v>650</v>
      </c>
      <c r="E691" s="6">
        <v>1</v>
      </c>
      <c r="F691" s="6">
        <v>0</v>
      </c>
      <c r="G691" s="7">
        <v>0.4213521778583526</v>
      </c>
      <c r="H691" s="7">
        <v>52.83235546875</v>
      </c>
      <c r="I691" s="7">
        <v>29.7344286908168</v>
      </c>
      <c r="J691" s="7">
        <v>8.598661373142413</v>
      </c>
      <c r="K691" s="7">
        <v>7.150694077561347</v>
      </c>
      <c r="L691" s="7">
        <v>0.595418305125811</v>
      </c>
      <c r="M691" s="7">
        <v>0.7509147595444938</v>
      </c>
      <c r="N691" s="7">
        <v>0.4543725538621739</v>
      </c>
      <c r="O691" s="7">
        <v>0.1020647332757537</v>
      </c>
      <c r="P691" s="7">
        <v>8.045416845907605</v>
      </c>
      <c r="Q691" s="7">
        <v>0.0024314773596296</v>
      </c>
      <c r="R691" s="7">
        <v>0.0130659334352965</v>
      </c>
      <c r="S691" s="7">
        <v>0.0283834584000574</v>
      </c>
      <c r="T691" s="7">
        <v>0.1490942805745828</v>
      </c>
    </row>
    <row x14ac:dyDescent="0.25" r="692" customHeight="1" ht="19.5">
      <c r="A692" s="2" t="s">
        <v>726</v>
      </c>
      <c r="B692" s="2" t="s">
        <v>30</v>
      </c>
      <c r="C692" s="2" t="s">
        <v>31</v>
      </c>
      <c r="D692" s="2" t="s">
        <v>650</v>
      </c>
      <c r="E692" s="6">
        <v>1</v>
      </c>
      <c r="F692" s="6">
        <v>0</v>
      </c>
      <c r="G692" s="7">
        <v>0.378352552652359</v>
      </c>
      <c r="H692" s="7">
        <v>50.43576484375</v>
      </c>
      <c r="I692" s="7">
        <v>33.67042572169728</v>
      </c>
      <c r="J692" s="7">
        <v>9.431750493577042</v>
      </c>
      <c r="K692" s="7">
        <v>7.333079497625921</v>
      </c>
      <c r="L692" s="7">
        <v>0.6494279905640877</v>
      </c>
      <c r="M692" s="7">
        <v>0.5582062374351865</v>
      </c>
      <c r="N692" s="7">
        <v>0.4314687400592818</v>
      </c>
      <c r="O692" s="7">
        <v>0.1128600553677897</v>
      </c>
      <c r="P692" s="7">
        <v>8.354738566575751</v>
      </c>
      <c r="Q692" s="7">
        <v>0.003723864902515</v>
      </c>
      <c r="R692" s="7">
        <v>0.0159748971153464</v>
      </c>
      <c r="S692" s="7">
        <v>0.0347290969425381</v>
      </c>
      <c r="T692" s="7">
        <v>0.2179833427359064</v>
      </c>
    </row>
    <row x14ac:dyDescent="0.25" r="693" customHeight="1" ht="19.5">
      <c r="A693" s="2" t="s">
        <v>727</v>
      </c>
      <c r="B693" s="2" t="s">
        <v>30</v>
      </c>
      <c r="C693" s="2" t="s">
        <v>31</v>
      </c>
      <c r="D693" s="2" t="s">
        <v>650</v>
      </c>
      <c r="E693" s="6">
        <v>1</v>
      </c>
      <c r="F693" s="6">
        <v>0</v>
      </c>
      <c r="G693" s="7">
        <v>0.5143004059791565</v>
      </c>
      <c r="H693" s="7">
        <v>47.4123203125</v>
      </c>
      <c r="I693" s="7">
        <v>28.10372655319053</v>
      </c>
      <c r="J693" s="7">
        <v>8.915140331355337</v>
      </c>
      <c r="K693" s="7">
        <v>6.555703972444253</v>
      </c>
      <c r="L693" s="7">
        <v>0.7170860737716864</v>
      </c>
      <c r="M693" s="7">
        <v>0.7539098012973975</v>
      </c>
      <c r="N693" s="7">
        <v>0.4201311745128931</v>
      </c>
      <c r="O693" s="7">
        <v>0.1160679471364403</v>
      </c>
      <c r="P693" s="7">
        <v>8.42259807440797</v>
      </c>
      <c r="Q693" s="7">
        <v>0.0047599510395934</v>
      </c>
      <c r="R693" s="7">
        <v>0.0180757014673957</v>
      </c>
      <c r="S693" s="7">
        <v>0.0389025378659501</v>
      </c>
      <c r="T693" s="7">
        <v>0.2619295371346319</v>
      </c>
    </row>
    <row x14ac:dyDescent="0.25" r="694" customHeight="1" ht="19.5">
      <c r="A694" s="2" t="s">
        <v>728</v>
      </c>
      <c r="B694" s="2" t="s">
        <v>30</v>
      </c>
      <c r="C694" s="2" t="s">
        <v>31</v>
      </c>
      <c r="D694" s="2" t="s">
        <v>650</v>
      </c>
      <c r="E694" s="6">
        <v>1</v>
      </c>
      <c r="F694" s="6">
        <v>0</v>
      </c>
      <c r="G694" s="7">
        <v>0.539056658744812</v>
      </c>
      <c r="H694" s="7">
        <v>45.8607703125</v>
      </c>
      <c r="I694" s="7">
        <v>27.93554223623806</v>
      </c>
      <c r="J694" s="7">
        <v>8.497849407438583</v>
      </c>
      <c r="K694" s="7">
        <v>6.489764544013161</v>
      </c>
      <c r="L694" s="7">
        <v>0.6778143413432814</v>
      </c>
      <c r="M694" s="7">
        <v>0.7375289891776853</v>
      </c>
      <c r="N694" s="7">
        <v>0.4180155517325409</v>
      </c>
      <c r="O694" s="7">
        <v>0.1415326144573355</v>
      </c>
      <c r="P694" s="7">
        <v>8.414014111010527</v>
      </c>
      <c r="Q694" s="7">
        <v>0.0055003120734215</v>
      </c>
      <c r="R694" s="7">
        <v>0.0200303357623485</v>
      </c>
      <c r="S694" s="7">
        <v>0.0371854255727866</v>
      </c>
      <c r="T694" s="7">
        <v>0.2927652025919064</v>
      </c>
    </row>
    <row x14ac:dyDescent="0.25" r="695" customHeight="1" ht="19.5">
      <c r="A695" s="2" t="s">
        <v>729</v>
      </c>
      <c r="B695" s="2" t="s">
        <v>30</v>
      </c>
      <c r="C695" s="2" t="s">
        <v>31</v>
      </c>
      <c r="D695" s="2" t="s">
        <v>650</v>
      </c>
      <c r="E695" s="6">
        <v>1</v>
      </c>
      <c r="F695" s="6">
        <v>0</v>
      </c>
      <c r="G695" s="7">
        <v>0.5365514755249023</v>
      </c>
      <c r="H695" s="7">
        <v>45.41400703125</v>
      </c>
      <c r="I695" s="7">
        <v>27.0406093317746</v>
      </c>
      <c r="J695" s="7">
        <v>8.451917888845546</v>
      </c>
      <c r="K695" s="7">
        <v>6.608942287887567</v>
      </c>
      <c r="L695" s="7">
        <v>0.6558813429805112</v>
      </c>
      <c r="M695" s="7">
        <v>0.7777509840504506</v>
      </c>
      <c r="N695" s="7">
        <v>0.4011716823419213</v>
      </c>
      <c r="O695" s="7">
        <v>0.1122263266844205</v>
      </c>
      <c r="P695" s="7">
        <v>8.548238213966044</v>
      </c>
      <c r="Q695" s="7">
        <v>0.0058514739699435</v>
      </c>
      <c r="R695" s="7">
        <v>0.020212497476873</v>
      </c>
      <c r="S695" s="7">
        <v>0.0392326669871602</v>
      </c>
      <c r="T695" s="7">
        <v>0.3084223772997976</v>
      </c>
    </row>
    <row x14ac:dyDescent="0.25" r="696" customHeight="1" ht="19.5">
      <c r="A696" s="2" t="s">
        <v>730</v>
      </c>
      <c r="B696" s="2" t="s">
        <v>30</v>
      </c>
      <c r="C696" s="2" t="s">
        <v>31</v>
      </c>
      <c r="D696" s="2" t="s">
        <v>650</v>
      </c>
      <c r="E696" s="6">
        <v>1</v>
      </c>
      <c r="F696" s="6">
        <v>0</v>
      </c>
      <c r="G696" s="7">
        <v>0.5096839666366577</v>
      </c>
      <c r="H696" s="7">
        <v>47.724015625</v>
      </c>
      <c r="I696" s="7">
        <v>28.57870606526512</v>
      </c>
      <c r="J696" s="7">
        <v>8.749500918604461</v>
      </c>
      <c r="K696" s="7">
        <v>6.971335258828802</v>
      </c>
      <c r="L696" s="7">
        <v>0.6308268802683127</v>
      </c>
      <c r="M696" s="7">
        <v>0.7340668911223684</v>
      </c>
      <c r="N696" s="7">
        <v>0.4061981795443848</v>
      </c>
      <c r="O696" s="7">
        <v>0.1256909346717948</v>
      </c>
      <c r="P696" s="7">
        <v>8.46813753233519</v>
      </c>
      <c r="Q696" s="7">
        <v>0.0051452667584837</v>
      </c>
      <c r="R696" s="7">
        <v>0.0190376610474734</v>
      </c>
      <c r="S696" s="7">
        <v>0.038465598773091</v>
      </c>
      <c r="T696" s="7">
        <v>0.2849939594961219</v>
      </c>
    </row>
    <row x14ac:dyDescent="0.25" r="697" customHeight="1" ht="19.5">
      <c r="A697" s="2" t="s">
        <v>731</v>
      </c>
      <c r="B697" s="2" t="s">
        <v>30</v>
      </c>
      <c r="C697" s="2" t="s">
        <v>31</v>
      </c>
      <c r="D697" s="2" t="s">
        <v>650</v>
      </c>
      <c r="E697" s="6">
        <v>1</v>
      </c>
      <c r="F697" s="6">
        <v>0</v>
      </c>
      <c r="G697" s="7">
        <v>0.527370035648346</v>
      </c>
      <c r="H697" s="7">
        <v>46.6226921875</v>
      </c>
      <c r="I697" s="7">
        <v>28.64173803061806</v>
      </c>
      <c r="J697" s="7">
        <v>8.361770191709907</v>
      </c>
      <c r="K697" s="7">
        <v>6.557100560051194</v>
      </c>
      <c r="L697" s="7">
        <v>0.6554806702543927</v>
      </c>
      <c r="M697" s="7">
        <v>0.7141813016713409</v>
      </c>
      <c r="N697" s="7">
        <v>0.4165122965338136</v>
      </c>
      <c r="O697" s="7">
        <v>0.1361130085040433</v>
      </c>
      <c r="P697" s="7">
        <v>8.376756874481725</v>
      </c>
      <c r="Q697" s="7">
        <v>0.0057546681290192</v>
      </c>
      <c r="R697" s="7">
        <v>0.0206625112977396</v>
      </c>
      <c r="S697" s="7">
        <v>0.039329680111487</v>
      </c>
      <c r="T697" s="7">
        <v>0.3113926883567067</v>
      </c>
    </row>
    <row x14ac:dyDescent="0.25" r="698" customHeight="1" ht="19.5">
      <c r="A698" s="2" t="s">
        <v>732</v>
      </c>
      <c r="B698" s="2" t="s">
        <v>30</v>
      </c>
      <c r="C698" s="2" t="s">
        <v>31</v>
      </c>
      <c r="D698" s="2" t="s">
        <v>650</v>
      </c>
      <c r="E698" s="6">
        <v>1</v>
      </c>
      <c r="F698" s="6">
        <v>0</v>
      </c>
      <c r="G698" s="7">
        <v>0.476868212223053</v>
      </c>
      <c r="H698" s="7">
        <v>47.01057968750001</v>
      </c>
      <c r="I698" s="7">
        <v>30.2327697258837</v>
      </c>
      <c r="J698" s="7">
        <v>8.596842133145271</v>
      </c>
      <c r="K698" s="7">
        <v>6.279061253228644</v>
      </c>
      <c r="L698" s="7">
        <v>0.6993480354540402</v>
      </c>
      <c r="M698" s="7">
        <v>0.6460372922893195</v>
      </c>
      <c r="N698" s="7">
        <v>0.3970440982721296</v>
      </c>
      <c r="O698" s="7">
        <v>0.1123987251027319</v>
      </c>
      <c r="P698" s="7">
        <v>8.633317298480906</v>
      </c>
      <c r="Q698" s="7">
        <v>0.0057852871024362</v>
      </c>
      <c r="R698" s="7">
        <v>0.0205361100655702</v>
      </c>
      <c r="S698" s="7">
        <v>0.041772877340172</v>
      </c>
      <c r="T698" s="7">
        <v>0.3156540041456268</v>
      </c>
    </row>
    <row x14ac:dyDescent="0.25" r="699" customHeight="1" ht="19.5">
      <c r="A699" s="2" t="s">
        <v>733</v>
      </c>
      <c r="B699" s="2" t="s">
        <v>30</v>
      </c>
      <c r="C699" s="2" t="s">
        <v>31</v>
      </c>
      <c r="D699" s="2" t="s">
        <v>650</v>
      </c>
      <c r="E699" s="6">
        <v>1</v>
      </c>
      <c r="F699" s="6">
        <v>0</v>
      </c>
      <c r="G699" s="7">
        <v>0.5285019278526306</v>
      </c>
      <c r="H699" s="7">
        <v>46.31792343750001</v>
      </c>
      <c r="I699" s="7">
        <v>28.11836465856496</v>
      </c>
      <c r="J699" s="7">
        <v>8.202800330724495</v>
      </c>
      <c r="K699" s="7">
        <v>6.656477588812433</v>
      </c>
      <c r="L699" s="7">
        <v>0.619117029877602</v>
      </c>
      <c r="M699" s="7">
        <v>0.7358959812409583</v>
      </c>
      <c r="N699" s="7">
        <v>0.4132553714555671</v>
      </c>
      <c r="O699" s="7">
        <v>0.1317874907469268</v>
      </c>
      <c r="P699" s="7">
        <v>8.391918809782574</v>
      </c>
      <c r="Q699" s="7">
        <v>0.0054319178078431</v>
      </c>
      <c r="R699" s="7">
        <v>0.0196284902923244</v>
      </c>
      <c r="S699" s="7">
        <v>0.0378012830931049</v>
      </c>
      <c r="T699" s="7">
        <v>0.2920068574277241</v>
      </c>
    </row>
    <row x14ac:dyDescent="0.25" r="700" customHeight="1" ht="19.5">
      <c r="A700" s="2" t="s">
        <v>734</v>
      </c>
      <c r="B700" s="2" t="s">
        <v>30</v>
      </c>
      <c r="C700" s="2" t="s">
        <v>31</v>
      </c>
      <c r="D700" s="2" t="s">
        <v>650</v>
      </c>
      <c r="E700" s="6">
        <v>1</v>
      </c>
      <c r="F700" s="6">
        <v>0</v>
      </c>
      <c r="G700" s="7">
        <v>0.5323653221130371</v>
      </c>
      <c r="H700" s="7">
        <v>44.67979140625</v>
      </c>
      <c r="I700" s="7">
        <v>28.42061875189048</v>
      </c>
      <c r="J700" s="7">
        <v>8.081038117417402</v>
      </c>
      <c r="K700" s="7">
        <v>6.492536671852534</v>
      </c>
      <c r="L700" s="7">
        <v>0.6260897473607785</v>
      </c>
      <c r="M700" s="7">
        <v>0.6951106511983385</v>
      </c>
      <c r="N700" s="7">
        <v>0.4082721557197328</v>
      </c>
      <c r="O700" s="7">
        <v>0.1257470139543401</v>
      </c>
      <c r="P700" s="7">
        <v>8.446031392434751</v>
      </c>
      <c r="Q700" s="7">
        <v>0.0054117704533029</v>
      </c>
      <c r="R700" s="7">
        <v>0.0194206895044448</v>
      </c>
      <c r="S700" s="7">
        <v>0.041843153868304</v>
      </c>
      <c r="T700" s="7">
        <v>0.2806346446650897</v>
      </c>
    </row>
    <row x14ac:dyDescent="0.25" r="701" customHeight="1" ht="19.5">
      <c r="A701" s="2" t="s">
        <v>735</v>
      </c>
      <c r="B701" s="2" t="s">
        <v>30</v>
      </c>
      <c r="C701" s="2" t="s">
        <v>31</v>
      </c>
      <c r="D701" s="2" t="s">
        <v>650</v>
      </c>
      <c r="E701" s="6">
        <v>1</v>
      </c>
      <c r="F701" s="6">
        <v>0</v>
      </c>
      <c r="G701" s="7">
        <v>0.5179498195648193</v>
      </c>
      <c r="H701" s="7">
        <v>45.40015390625</v>
      </c>
      <c r="I701" s="7">
        <v>28.15492914303034</v>
      </c>
      <c r="J701" s="7">
        <v>8.160788703640177</v>
      </c>
      <c r="K701" s="7">
        <v>6.662967301479771</v>
      </c>
      <c r="L701" s="7">
        <v>0.6068189644372862</v>
      </c>
      <c r="M701" s="7">
        <v>0.7192171651891456</v>
      </c>
      <c r="N701" s="7">
        <v>0.4106083184458549</v>
      </c>
      <c r="O701" s="7">
        <v>0.1242030452731824</v>
      </c>
      <c r="P701" s="7">
        <v>8.40199572803595</v>
      </c>
      <c r="Q701" s="7">
        <v>0.0044237069577387</v>
      </c>
      <c r="R701" s="7">
        <v>0.0180797773432499</v>
      </c>
      <c r="S701" s="7">
        <v>0.0379984896331139</v>
      </c>
      <c r="T701" s="7">
        <v>0.2330958036912154</v>
      </c>
    </row>
    <row x14ac:dyDescent="0.25" r="702" customHeight="1" ht="19.5">
      <c r="A702" s="2" t="s">
        <v>736</v>
      </c>
      <c r="B702" s="2" t="s">
        <v>30</v>
      </c>
      <c r="C702" s="2" t="s">
        <v>31</v>
      </c>
      <c r="D702" s="2" t="s">
        <v>650</v>
      </c>
      <c r="E702" s="6">
        <v>1</v>
      </c>
      <c r="F702" s="6">
        <v>0</v>
      </c>
      <c r="G702" s="7">
        <v>0.5106332898139954</v>
      </c>
      <c r="H702" s="7">
        <v>45.950815625</v>
      </c>
      <c r="I702" s="7">
        <v>27.57407970740553</v>
      </c>
      <c r="J702" s="7">
        <v>8.1643928221398</v>
      </c>
      <c r="K702" s="7">
        <v>6.572192027654257</v>
      </c>
      <c r="L702" s="7">
        <v>0.6232431783346164</v>
      </c>
      <c r="M702" s="7">
        <v>0.7572781332435504</v>
      </c>
      <c r="N702" s="7">
        <v>0.4048019926822894</v>
      </c>
      <c r="O702" s="7">
        <v>0.1181355102203832</v>
      </c>
      <c r="P702" s="7">
        <v>8.506656502601441</v>
      </c>
      <c r="Q702" s="7">
        <v>0.0052592681327099</v>
      </c>
      <c r="R702" s="7">
        <v>0.0188986102646124</v>
      </c>
      <c r="S702" s="7">
        <v>0.0416076451911683</v>
      </c>
      <c r="T702" s="7">
        <v>0.2804847913060601</v>
      </c>
    </row>
    <row x14ac:dyDescent="0.25" r="703" customHeight="1" ht="19.5">
      <c r="A703" s="2" t="s">
        <v>737</v>
      </c>
      <c r="B703" s="2" t="s">
        <v>30</v>
      </c>
      <c r="C703" s="2" t="s">
        <v>31</v>
      </c>
      <c r="D703" s="2" t="s">
        <v>650</v>
      </c>
      <c r="E703" s="6">
        <v>1</v>
      </c>
      <c r="F703" s="6">
        <v>0</v>
      </c>
      <c r="G703" s="7">
        <v>0.5045888423919678</v>
      </c>
      <c r="H703" s="7">
        <v>48.7560734375</v>
      </c>
      <c r="I703" s="7">
        <v>28.45855682231582</v>
      </c>
      <c r="J703" s="7">
        <v>8.508710655134056</v>
      </c>
      <c r="K703" s="7">
        <v>6.640759258503772</v>
      </c>
      <c r="L703" s="7">
        <v>0.6560949985030251</v>
      </c>
      <c r="M703" s="7">
        <v>0.7565068092541545</v>
      </c>
      <c r="N703" s="7">
        <v>0.3990876872204391</v>
      </c>
      <c r="O703" s="7">
        <v>0.1109068727884872</v>
      </c>
      <c r="P703" s="7">
        <v>8.518490738218063</v>
      </c>
      <c r="Q703" s="7">
        <v>0.005117950985655</v>
      </c>
      <c r="R703" s="7">
        <v>0.0197295993755128</v>
      </c>
      <c r="S703" s="7">
        <v>0.0409967003598935</v>
      </c>
      <c r="T703" s="7">
        <v>0.2896113812647871</v>
      </c>
    </row>
    <row x14ac:dyDescent="0.25" r="704" customHeight="1" ht="19.5">
      <c r="A704" s="2" t="s">
        <v>738</v>
      </c>
      <c r="B704" s="2" t="s">
        <v>30</v>
      </c>
      <c r="C704" s="2" t="s">
        <v>31</v>
      </c>
      <c r="D704" s="2" t="s">
        <v>650</v>
      </c>
      <c r="E704" s="6">
        <v>1</v>
      </c>
      <c r="F704" s="6">
        <v>0</v>
      </c>
      <c r="G704" s="7">
        <v>0.5402112007141113</v>
      </c>
      <c r="H704" s="7">
        <v>46.71620078125</v>
      </c>
      <c r="I704" s="7">
        <v>29.17138487640306</v>
      </c>
      <c r="J704" s="7">
        <v>8.679667925958325</v>
      </c>
      <c r="K704" s="7">
        <v>6.920680297401349</v>
      </c>
      <c r="L704" s="7">
        <v>0.6478564171148969</v>
      </c>
      <c r="M704" s="7">
        <v>0.6897102600886363</v>
      </c>
      <c r="N704" s="7">
        <v>0.4214533867266556</v>
      </c>
      <c r="O704" s="7">
        <v>0.1457903416042014</v>
      </c>
      <c r="P704" s="7">
        <v>8.341954878517479</v>
      </c>
      <c r="Q704" s="7">
        <v>0.0059537547536624</v>
      </c>
      <c r="R704" s="7">
        <v>0.0206834962546167</v>
      </c>
      <c r="S704" s="7">
        <v>0.04191506868728</v>
      </c>
      <c r="T704" s="7">
        <v>0.3228116782502484</v>
      </c>
    </row>
    <row x14ac:dyDescent="0.25" r="705" customHeight="1" ht="19.5">
      <c r="A705" s="2" t="s">
        <v>739</v>
      </c>
      <c r="B705" s="2" t="s">
        <v>30</v>
      </c>
      <c r="C705" s="2" t="s">
        <v>31</v>
      </c>
      <c r="D705" s="2" t="s">
        <v>650</v>
      </c>
      <c r="E705" s="6">
        <v>1</v>
      </c>
      <c r="F705" s="6">
        <v>0</v>
      </c>
      <c r="G705" s="7">
        <v>0.512286901473999</v>
      </c>
      <c r="H705" s="7">
        <v>44.84256562500001</v>
      </c>
      <c r="I705" s="7">
        <v>27.61446772171683</v>
      </c>
      <c r="J705" s="7">
        <v>8.258335958674076</v>
      </c>
      <c r="K705" s="7">
        <v>6.793230353887244</v>
      </c>
      <c r="L705" s="7">
        <v>0.5992867326551005</v>
      </c>
      <c r="M705" s="7">
        <v>0.7389702650878563</v>
      </c>
      <c r="N705" s="7">
        <v>0.4070227800903934</v>
      </c>
      <c r="O705" s="7">
        <v>0.119409563181635</v>
      </c>
      <c r="P705" s="7">
        <v>8.463932170706379</v>
      </c>
      <c r="Q705" s="7">
        <v>0.0050402551578025</v>
      </c>
      <c r="R705" s="7">
        <v>0.0186549273249054</v>
      </c>
      <c r="S705" s="7">
        <v>0.0386275545633678</v>
      </c>
      <c r="T705" s="7">
        <v>0.2623214203464669</v>
      </c>
    </row>
    <row x14ac:dyDescent="0.25" r="706" customHeight="1" ht="19.5">
      <c r="A706" s="2" t="s">
        <v>740</v>
      </c>
      <c r="B706" s="2" t="s">
        <v>30</v>
      </c>
      <c r="C706" s="2" t="s">
        <v>31</v>
      </c>
      <c r="D706" s="2" t="s">
        <v>650</v>
      </c>
      <c r="E706" s="6">
        <v>1</v>
      </c>
      <c r="F706" s="6">
        <v>0</v>
      </c>
      <c r="G706" s="7">
        <v>0.5476991534233093</v>
      </c>
      <c r="H706" s="7">
        <v>47.72747890625001</v>
      </c>
      <c r="I706" s="7">
        <v>28.06507091081451</v>
      </c>
      <c r="J706" s="7">
        <v>8.48607379652691</v>
      </c>
      <c r="K706" s="7">
        <v>6.640826661437358</v>
      </c>
      <c r="L706" s="7">
        <v>0.6632764086629491</v>
      </c>
      <c r="M706" s="7">
        <v>0.760905662818557</v>
      </c>
      <c r="N706" s="7">
        <v>0.4050000415402199</v>
      </c>
      <c r="O706" s="7">
        <v>0.1217704397940678</v>
      </c>
      <c r="P706" s="7">
        <v>8.500249380720424</v>
      </c>
      <c r="Q706" s="7">
        <v>0.0048243943218288</v>
      </c>
      <c r="R706" s="7">
        <v>0.018574408573673</v>
      </c>
      <c r="S706" s="7">
        <v>0.0392302132960666</v>
      </c>
      <c r="T706" s="7">
        <v>0.2672403747394015</v>
      </c>
    </row>
    <row x14ac:dyDescent="0.25" r="707" customHeight="1" ht="19.5">
      <c r="A707" s="2" t="s">
        <v>741</v>
      </c>
      <c r="B707" s="2" t="s">
        <v>30</v>
      </c>
      <c r="C707" s="2" t="s">
        <v>31</v>
      </c>
      <c r="D707" s="2" t="s">
        <v>650</v>
      </c>
      <c r="E707" s="6">
        <v>1</v>
      </c>
      <c r="F707" s="6">
        <v>0</v>
      </c>
      <c r="G707" s="7">
        <v>0.5420968532562256</v>
      </c>
      <c r="H707" s="7">
        <v>51.021059375</v>
      </c>
      <c r="I707" s="7">
        <v>29.4513538046623</v>
      </c>
      <c r="J707" s="7">
        <v>9.02765330769932</v>
      </c>
      <c r="K707" s="7">
        <v>6.622644544272449</v>
      </c>
      <c r="L707" s="7">
        <v>0.7233936185970214</v>
      </c>
      <c r="M707" s="7">
        <v>0.739177620881382</v>
      </c>
      <c r="N707" s="7">
        <v>0.4097281438490059</v>
      </c>
      <c r="O707" s="7">
        <v>0.128978746936337</v>
      </c>
      <c r="P707" s="7">
        <v>8.503016802471798</v>
      </c>
      <c r="Q707" s="7">
        <v>0.0051247536664571</v>
      </c>
      <c r="R707" s="7">
        <v>0.0196100848811737</v>
      </c>
      <c r="S707" s="7">
        <v>0.0380603541979575</v>
      </c>
      <c r="T707" s="7">
        <v>0.3034682405493163</v>
      </c>
    </row>
    <row x14ac:dyDescent="0.25" r="708" customHeight="1" ht="19.5">
      <c r="A708" s="2" t="s">
        <v>742</v>
      </c>
      <c r="B708" s="2" t="s">
        <v>30</v>
      </c>
      <c r="C708" s="2" t="s">
        <v>31</v>
      </c>
      <c r="D708" s="2" t="s">
        <v>650</v>
      </c>
      <c r="E708" s="6">
        <v>1</v>
      </c>
      <c r="F708" s="6">
        <v>0</v>
      </c>
      <c r="G708" s="7">
        <v>0.4816430807113647</v>
      </c>
      <c r="H708" s="7">
        <v>47.57163125</v>
      </c>
      <c r="I708" s="7">
        <v>29.12400581640918</v>
      </c>
      <c r="J708" s="7">
        <v>8.23760627582725</v>
      </c>
      <c r="K708" s="7">
        <v>6.721979429321039</v>
      </c>
      <c r="L708" s="7">
        <v>0.5914817962332696</v>
      </c>
      <c r="M708" s="7">
        <v>0.7047834375830333</v>
      </c>
      <c r="N708" s="7">
        <v>0.4082890272396571</v>
      </c>
      <c r="O708" s="7">
        <v>0.1208950178567029</v>
      </c>
      <c r="P708" s="7">
        <v>8.428626453864352</v>
      </c>
      <c r="Q708" s="7">
        <v>0.0053982855210587</v>
      </c>
      <c r="R708" s="7">
        <v>0.0197307884562709</v>
      </c>
      <c r="S708" s="7">
        <v>0.0365163437368633</v>
      </c>
      <c r="T708" s="7">
        <v>0.2980538081051615</v>
      </c>
    </row>
    <row x14ac:dyDescent="0.25" r="709" customHeight="1" ht="19.5">
      <c r="A709" s="2" t="s">
        <v>743</v>
      </c>
      <c r="B709" s="2" t="s">
        <v>30</v>
      </c>
      <c r="C709" s="2" t="s">
        <v>31</v>
      </c>
      <c r="D709" s="2" t="s">
        <v>650</v>
      </c>
      <c r="E709" s="6">
        <v>1</v>
      </c>
      <c r="F709" s="6">
        <v>0</v>
      </c>
      <c r="G709" s="7">
        <v>0.5146349668502808</v>
      </c>
      <c r="H709" s="7">
        <v>46.81317265625</v>
      </c>
      <c r="I709" s="7">
        <v>30.06840893877716</v>
      </c>
      <c r="J709" s="7">
        <v>8.207552719006575</v>
      </c>
      <c r="K709" s="7">
        <v>6.512693953023209</v>
      </c>
      <c r="L709" s="7">
        <v>0.6289788764242521</v>
      </c>
      <c r="M709" s="7">
        <v>0.6506643962372269</v>
      </c>
      <c r="N709" s="7">
        <v>0.4079527523552839</v>
      </c>
      <c r="O709" s="7">
        <v>0.1216242053850733</v>
      </c>
      <c r="P709" s="7">
        <v>8.499396090502817</v>
      </c>
      <c r="Q709" s="7">
        <v>0.0053657474911996</v>
      </c>
      <c r="R709" s="7">
        <v>0.0197048426593081</v>
      </c>
      <c r="S709" s="7">
        <v>0.0373144010988444</v>
      </c>
      <c r="T709" s="7">
        <v>0.2915339162771624</v>
      </c>
    </row>
    <row x14ac:dyDescent="0.25" r="710" customHeight="1" ht="19.5">
      <c r="A710" s="2" t="s">
        <v>744</v>
      </c>
      <c r="B710" s="2" t="s">
        <v>30</v>
      </c>
      <c r="C710" s="2" t="s">
        <v>31</v>
      </c>
      <c r="D710" s="2" t="s">
        <v>650</v>
      </c>
      <c r="E710" s="6">
        <v>1</v>
      </c>
      <c r="F710" s="6">
        <v>0</v>
      </c>
      <c r="G710" s="7">
        <v>0.5233199596405029</v>
      </c>
      <c r="H710" s="7">
        <v>46.02354453125</v>
      </c>
      <c r="I710" s="7">
        <v>28.04105337381293</v>
      </c>
      <c r="J710" s="7">
        <v>8.457420649251489</v>
      </c>
      <c r="K710" s="7">
        <v>6.574448232237968</v>
      </c>
      <c r="L710" s="7">
        <v>0.6576085815000247</v>
      </c>
      <c r="M710" s="7">
        <v>0.734313828236968</v>
      </c>
      <c r="N710" s="7">
        <v>0.41839857581834</v>
      </c>
      <c r="O710" s="7">
        <v>0.1398222506780539</v>
      </c>
      <c r="P710" s="7">
        <v>8.423378379718956</v>
      </c>
      <c r="Q710" s="7">
        <v>0.0057600934767244</v>
      </c>
      <c r="R710" s="7">
        <v>0.0201909815576618</v>
      </c>
      <c r="S710" s="7">
        <v>0.0380429660783296</v>
      </c>
      <c r="T710" s="7">
        <v>0.3076807846918687</v>
      </c>
    </row>
    <row x14ac:dyDescent="0.25" r="711" customHeight="1" ht="19.5">
      <c r="A711" s="2" t="s">
        <v>745</v>
      </c>
      <c r="B711" s="2" t="s">
        <v>30</v>
      </c>
      <c r="C711" s="2" t="s">
        <v>31</v>
      </c>
      <c r="D711" s="2" t="s">
        <v>650</v>
      </c>
      <c r="E711" s="6">
        <v>1</v>
      </c>
      <c r="F711" s="6">
        <v>0</v>
      </c>
      <c r="G711" s="7">
        <v>0.5213435888290405</v>
      </c>
      <c r="H711" s="7">
        <v>47.22876640625</v>
      </c>
      <c r="I711" s="7">
        <v>29.13272923402705</v>
      </c>
      <c r="J711" s="7">
        <v>8.76571471149549</v>
      </c>
      <c r="K711" s="7">
        <v>6.884728685136762</v>
      </c>
      <c r="L711" s="7">
        <v>0.6598389039291676</v>
      </c>
      <c r="M711" s="7">
        <v>0.699284853144341</v>
      </c>
      <c r="N711" s="7">
        <v>0.4111152705658706</v>
      </c>
      <c r="O711" s="7">
        <v>0.1279081211956067</v>
      </c>
      <c r="P711" s="7">
        <v>8.432900051863212</v>
      </c>
      <c r="Q711" s="7">
        <v>0.0057798568115767</v>
      </c>
      <c r="R711" s="7">
        <v>0.0205320937873964</v>
      </c>
      <c r="S711" s="7">
        <v>0.0402945721449828</v>
      </c>
      <c r="T711" s="7">
        <v>0.316821365678725</v>
      </c>
    </row>
    <row x14ac:dyDescent="0.25" r="712" customHeight="1" ht="19.5">
      <c r="A712" s="2" t="s">
        <v>746</v>
      </c>
      <c r="B712" s="2" t="s">
        <v>30</v>
      </c>
      <c r="C712" s="2" t="s">
        <v>31</v>
      </c>
      <c r="D712" s="2" t="s">
        <v>650</v>
      </c>
      <c r="E712" s="6">
        <v>1</v>
      </c>
      <c r="F712" s="6">
        <v>0</v>
      </c>
      <c r="G712" s="7">
        <v>0.5353425741195679</v>
      </c>
      <c r="H712" s="7">
        <v>47.10408828125</v>
      </c>
      <c r="I712" s="7">
        <v>27.94737161175118</v>
      </c>
      <c r="J712" s="7">
        <v>8.335698784803693</v>
      </c>
      <c r="K712" s="7">
        <v>6.740252623422038</v>
      </c>
      <c r="L712" s="7">
        <v>0.6162917350773911</v>
      </c>
      <c r="M712" s="7">
        <v>0.7577999889763577</v>
      </c>
      <c r="N712" s="7">
        <v>0.4101625765987143</v>
      </c>
      <c r="O712" s="7">
        <v>0.1267279527037247</v>
      </c>
      <c r="P712" s="7">
        <v>8.411953469033758</v>
      </c>
      <c r="Q712" s="7">
        <v>0.0052156109377461</v>
      </c>
      <c r="R712" s="7">
        <v>0.0195275148683273</v>
      </c>
      <c r="S712" s="7">
        <v>0.0384552128423251</v>
      </c>
      <c r="T712" s="7">
        <v>0.285137652473563</v>
      </c>
    </row>
    <row x14ac:dyDescent="0.25" r="713" customHeight="1" ht="19.5">
      <c r="A713" s="2" t="s">
        <v>747</v>
      </c>
      <c r="B713" s="2" t="s">
        <v>30</v>
      </c>
      <c r="C713" s="2" t="s">
        <v>31</v>
      </c>
      <c r="D713" s="2" t="s">
        <v>650</v>
      </c>
      <c r="E713" s="6">
        <v>1</v>
      </c>
      <c r="F713" s="6">
        <v>0</v>
      </c>
      <c r="G713" s="7">
        <v>0.5267729759216309</v>
      </c>
      <c r="H713" s="7">
        <v>45.40708046875</v>
      </c>
      <c r="I713" s="7">
        <v>26.69551728025179</v>
      </c>
      <c r="J713" s="7">
        <v>8.114993823608195</v>
      </c>
      <c r="K713" s="7">
        <v>6.716419799588653</v>
      </c>
      <c r="L713" s="7">
        <v>0.6069444100591711</v>
      </c>
      <c r="M713" s="7">
        <v>0.8006759095820523</v>
      </c>
      <c r="N713" s="7">
        <v>0.4130058460279404</v>
      </c>
      <c r="O713" s="7">
        <v>0.1201094687786707</v>
      </c>
      <c r="P713" s="7">
        <v>8.342026088451737</v>
      </c>
      <c r="Q713" s="7">
        <v>0.0044853224949464</v>
      </c>
      <c r="R713" s="7">
        <v>0.017849839825649</v>
      </c>
      <c r="S713" s="7">
        <v>0.0371334740869745</v>
      </c>
      <c r="T713" s="7">
        <v>0.23637853320778</v>
      </c>
    </row>
    <row x14ac:dyDescent="0.25" r="714" customHeight="1" ht="19.5">
      <c r="A714" s="2" t="s">
        <v>748</v>
      </c>
      <c r="B714" s="2" t="s">
        <v>30</v>
      </c>
      <c r="C714" s="2" t="s">
        <v>31</v>
      </c>
      <c r="D714" s="2" t="s">
        <v>650</v>
      </c>
      <c r="E714" s="6">
        <v>1</v>
      </c>
      <c r="F714" s="6">
        <v>0</v>
      </c>
      <c r="G714" s="7">
        <v>0.4020462036132812</v>
      </c>
      <c r="H714" s="7">
        <v>35.6094578125</v>
      </c>
      <c r="I714" s="7">
        <v>24.31153751628558</v>
      </c>
      <c r="J714" s="7">
        <v>8.097249130560833</v>
      </c>
      <c r="K714" s="7">
        <v>5.218059238331668</v>
      </c>
      <c r="L714" s="7">
        <v>0.8003653501344875</v>
      </c>
      <c r="M714" s="7">
        <v>0.7570949934316019</v>
      </c>
      <c r="N714" s="7">
        <v>0.4353257131347452</v>
      </c>
      <c r="O714" s="7">
        <v>0.070602433474764</v>
      </c>
      <c r="P714" s="7">
        <v>8.291813805418403</v>
      </c>
      <c r="Q714" s="7">
        <v>0.0064894253657738</v>
      </c>
      <c r="R714" s="7">
        <v>0.0204194854047242</v>
      </c>
      <c r="S714" s="7">
        <v>0.0301403622365034</v>
      </c>
      <c r="T714" s="7">
        <v>0.2682022292240494</v>
      </c>
    </row>
    <row x14ac:dyDescent="0.25" r="715" customHeight="1" ht="19.5">
      <c r="A715" s="2" t="s">
        <v>749</v>
      </c>
      <c r="B715" s="2" t="s">
        <v>30</v>
      </c>
      <c r="C715" s="2" t="s">
        <v>31</v>
      </c>
      <c r="D715" s="2" t="s">
        <v>650</v>
      </c>
      <c r="E715" s="6">
        <v>1</v>
      </c>
      <c r="F715" s="6">
        <v>0</v>
      </c>
      <c r="G715" s="7">
        <v>0.5056276321411133</v>
      </c>
      <c r="H715" s="7">
        <v>37.98873203125</v>
      </c>
      <c r="I715" s="7">
        <v>25.60867974986823</v>
      </c>
      <c r="J715" s="7">
        <v>8.228006441956797</v>
      </c>
      <c r="K715" s="7">
        <v>5.095279324115374</v>
      </c>
      <c r="L715" s="7">
        <v>0.8119760290064404</v>
      </c>
      <c r="M715" s="7">
        <v>0.7279311159072435</v>
      </c>
      <c r="N715" s="7">
        <v>0.4035870913916016</v>
      </c>
      <c r="O715" s="7">
        <v>0.0708156961842163</v>
      </c>
      <c r="P715" s="7">
        <v>8.550450866045642</v>
      </c>
      <c r="Q715" s="7">
        <v>0.006309620101804</v>
      </c>
      <c r="R715" s="7">
        <v>0.0207620586822032</v>
      </c>
      <c r="S715" s="7">
        <v>0.0399199591387577</v>
      </c>
      <c r="T715" s="7">
        <v>0.2781946601715552</v>
      </c>
    </row>
    <row x14ac:dyDescent="0.25" r="716" customHeight="1" ht="19.5">
      <c r="A716" s="2" t="s">
        <v>750</v>
      </c>
      <c r="B716" s="2" t="s">
        <v>30</v>
      </c>
      <c r="C716" s="2" t="s">
        <v>31</v>
      </c>
      <c r="D716" s="2" t="s">
        <v>650</v>
      </c>
      <c r="E716" s="6">
        <v>1</v>
      </c>
      <c r="F716" s="6">
        <v>0</v>
      </c>
      <c r="G716" s="7">
        <v>0.5395417213439941</v>
      </c>
      <c r="H716" s="7">
        <v>37.00516015625</v>
      </c>
      <c r="I716" s="7">
        <v>25.09749453930358</v>
      </c>
      <c r="J716" s="7">
        <v>8.012937643757127</v>
      </c>
      <c r="K716" s="7">
        <v>5.403177014881137</v>
      </c>
      <c r="L716" s="7">
        <v>0.7747390339078215</v>
      </c>
      <c r="M716" s="7">
        <v>0.7382635307120052</v>
      </c>
      <c r="N716" s="7">
        <v>0.425495319752164</v>
      </c>
      <c r="O716" s="7">
        <v>0.0947377796045969</v>
      </c>
      <c r="P716" s="7">
        <v>8.418854989230505</v>
      </c>
      <c r="Q716" s="7">
        <v>0.0086354753943037</v>
      </c>
      <c r="R716" s="7">
        <v>0.0243866490166967</v>
      </c>
      <c r="S716" s="7">
        <v>0.039566103606729</v>
      </c>
      <c r="T716" s="7">
        <v>0.370885042784415</v>
      </c>
    </row>
    <row x14ac:dyDescent="0.25" r="717" customHeight="1" ht="19.5">
      <c r="A717" s="2" t="s">
        <v>751</v>
      </c>
      <c r="B717" s="2" t="s">
        <v>30</v>
      </c>
      <c r="C717" s="2" t="s">
        <v>31</v>
      </c>
      <c r="D717" s="2" t="s">
        <v>650</v>
      </c>
      <c r="E717" s="6">
        <v>1</v>
      </c>
      <c r="F717" s="6">
        <v>0</v>
      </c>
      <c r="G717" s="7">
        <v>0.525916576385498</v>
      </c>
      <c r="H717" s="7">
        <v>38.43203203125</v>
      </c>
      <c r="I717" s="7">
        <v>25.84407834799489</v>
      </c>
      <c r="J717" s="7">
        <v>8.146474033424848</v>
      </c>
      <c r="K717" s="7">
        <v>5.165109111180843</v>
      </c>
      <c r="L717" s="7">
        <v>0.799550055463109</v>
      </c>
      <c r="M717" s="7">
        <v>0.7230712830803468</v>
      </c>
      <c r="N717" s="7">
        <v>0.4027386670125824</v>
      </c>
      <c r="O717" s="7">
        <v>0.0741915392248816</v>
      </c>
      <c r="P717" s="7">
        <v>8.548464385789405</v>
      </c>
      <c r="Q717" s="7">
        <v>0.0062745512829228</v>
      </c>
      <c r="R717" s="7">
        <v>0.0201143933649323</v>
      </c>
      <c r="S717" s="7">
        <v>0.0365643978133503</v>
      </c>
      <c r="T717" s="7">
        <v>0.2798767363575147</v>
      </c>
    </row>
    <row x14ac:dyDescent="0.25" r="718" customHeight="1" ht="19.5">
      <c r="A718" s="2" t="s">
        <v>752</v>
      </c>
      <c r="B718" s="2" t="s">
        <v>30</v>
      </c>
      <c r="C718" s="2" t="s">
        <v>31</v>
      </c>
      <c r="D718" s="2" t="s">
        <v>650</v>
      </c>
      <c r="E718" s="6">
        <v>1</v>
      </c>
      <c r="F718" s="6">
        <v>0</v>
      </c>
      <c r="G718" s="7">
        <v>0.4778313338756561</v>
      </c>
      <c r="H718" s="7">
        <v>38.5740265625</v>
      </c>
      <c r="I718" s="7">
        <v>26.27448752993692</v>
      </c>
      <c r="J718" s="7">
        <v>8.162057158590958</v>
      </c>
      <c r="K718" s="7">
        <v>5.365222844791442</v>
      </c>
      <c r="L718" s="7">
        <v>0.785796659653536</v>
      </c>
      <c r="M718" s="7">
        <v>0.7021603972178544</v>
      </c>
      <c r="N718" s="7">
        <v>0.4045812752389445</v>
      </c>
      <c r="O718" s="7">
        <v>0.0698812055427032</v>
      </c>
      <c r="P718" s="7">
        <v>8.57495757828103</v>
      </c>
      <c r="Q718" s="7">
        <v>0.0073641103229428</v>
      </c>
      <c r="R718" s="7">
        <v>0.0221256870710366</v>
      </c>
      <c r="S718" s="7">
        <v>0.040711877443627</v>
      </c>
      <c r="T718" s="7">
        <v>0.3296902025828681</v>
      </c>
    </row>
    <row x14ac:dyDescent="0.25" r="719" customHeight="1" ht="19.5">
      <c r="A719" s="2" t="s">
        <v>753</v>
      </c>
      <c r="B719" s="2" t="s">
        <v>30</v>
      </c>
      <c r="C719" s="2" t="s">
        <v>31</v>
      </c>
      <c r="D719" s="2" t="s">
        <v>650</v>
      </c>
      <c r="E719" s="6">
        <v>1</v>
      </c>
      <c r="F719" s="6">
        <v>0</v>
      </c>
      <c r="G719" s="7">
        <v>0.4752923250198364</v>
      </c>
      <c r="H719" s="7">
        <v>39.33941171875</v>
      </c>
      <c r="I719" s="7">
        <v>26.36362819020207</v>
      </c>
      <c r="J719" s="7">
        <v>8.615087064774285</v>
      </c>
      <c r="K719" s="7">
        <v>5.100637854217015</v>
      </c>
      <c r="L719" s="7">
        <v>0.830703426467492</v>
      </c>
      <c r="M719" s="7">
        <v>0.711258335387451</v>
      </c>
      <c r="N719" s="7">
        <v>0.3978882588246522</v>
      </c>
      <c r="O719" s="7">
        <v>0.0678796413688173</v>
      </c>
      <c r="P719" s="7">
        <v>8.594301024780965</v>
      </c>
      <c r="Q719" s="7">
        <v>0.0077352364245044</v>
      </c>
      <c r="R719" s="7">
        <v>0.0226010995549841</v>
      </c>
      <c r="S719" s="7">
        <v>0.0395172246850095</v>
      </c>
      <c r="T719" s="7">
        <v>0.3531768538983454</v>
      </c>
    </row>
    <row x14ac:dyDescent="0.25" r="720" customHeight="1" ht="19.5">
      <c r="A720" s="2" t="s">
        <v>754</v>
      </c>
      <c r="B720" s="2" t="s">
        <v>30</v>
      </c>
      <c r="C720" s="2" t="s">
        <v>31</v>
      </c>
      <c r="D720" s="2" t="s">
        <v>650</v>
      </c>
      <c r="E720" s="6">
        <v>1</v>
      </c>
      <c r="F720" s="6">
        <v>0</v>
      </c>
      <c r="G720" s="7">
        <v>0.4650357067584991</v>
      </c>
      <c r="H720" s="7">
        <v>39.2666828125</v>
      </c>
      <c r="I720" s="7">
        <v>26.17907339593988</v>
      </c>
      <c r="J720" s="7">
        <v>8.27446811411695</v>
      </c>
      <c r="K720" s="7">
        <v>5.379198846205866</v>
      </c>
      <c r="L720" s="7">
        <v>0.7920296992851081</v>
      </c>
      <c r="M720" s="7">
        <v>0.719988462189233</v>
      </c>
      <c r="N720" s="7">
        <v>0.4106490996021781</v>
      </c>
      <c r="O720" s="7">
        <v>0.0782046216509636</v>
      </c>
      <c r="P720" s="7">
        <v>8.543982048690534</v>
      </c>
      <c r="Q720" s="7">
        <v>0.006561124713751</v>
      </c>
      <c r="R720" s="7">
        <v>0.0208668117986363</v>
      </c>
      <c r="S720" s="7">
        <v>0.0382132466355761</v>
      </c>
      <c r="T720" s="7">
        <v>0.2990152149132274</v>
      </c>
    </row>
    <row x14ac:dyDescent="0.25" r="721" customHeight="1" ht="19.5">
      <c r="A721" s="2" t="s">
        <v>755</v>
      </c>
      <c r="B721" s="2" t="s">
        <v>30</v>
      </c>
      <c r="C721" s="2" t="s">
        <v>31</v>
      </c>
      <c r="D721" s="2" t="s">
        <v>650</v>
      </c>
      <c r="E721" s="6">
        <v>1</v>
      </c>
      <c r="F721" s="6">
        <v>0</v>
      </c>
      <c r="G721" s="7">
        <v>0.4771137237548828</v>
      </c>
      <c r="H721" s="7">
        <v>38.47359140625</v>
      </c>
      <c r="I721" s="7">
        <v>26.16270291863015</v>
      </c>
      <c r="J721" s="7">
        <v>8.464681114739646</v>
      </c>
      <c r="K721" s="7">
        <v>4.850368060438452</v>
      </c>
      <c r="L721" s="7">
        <v>0.8363956912651623</v>
      </c>
      <c r="M721" s="7">
        <v>0.706329545365288</v>
      </c>
      <c r="N721" s="7">
        <v>0.3910067588901995</v>
      </c>
      <c r="O721" s="7">
        <v>0.0635189328206122</v>
      </c>
      <c r="P721" s="7">
        <v>8.616571248098921</v>
      </c>
      <c r="Q721" s="7">
        <v>0.0057645913303687</v>
      </c>
      <c r="R721" s="7">
        <v>0.019835211450202</v>
      </c>
      <c r="S721" s="7">
        <v>0.0380744906844776</v>
      </c>
      <c r="T721" s="7">
        <v>0.2574079955489354</v>
      </c>
    </row>
    <row x14ac:dyDescent="0.25" r="722" customHeight="1" ht="19.5">
      <c r="A722" s="2" t="s">
        <v>756</v>
      </c>
      <c r="B722" s="2" t="s">
        <v>30</v>
      </c>
      <c r="C722" s="2" t="s">
        <v>31</v>
      </c>
      <c r="D722" s="2" t="s">
        <v>650</v>
      </c>
      <c r="E722" s="6">
        <v>1</v>
      </c>
      <c r="F722" s="6">
        <v>0</v>
      </c>
      <c r="G722" s="7">
        <v>0.4458868205547333</v>
      </c>
      <c r="H722" s="7">
        <v>39.5575984375</v>
      </c>
      <c r="I722" s="7">
        <v>26.93402183627371</v>
      </c>
      <c r="J722" s="7">
        <v>8.226919580033165</v>
      </c>
      <c r="K722" s="7">
        <v>5.202498954785799</v>
      </c>
      <c r="L722" s="7">
        <v>0.8004864063115917</v>
      </c>
      <c r="M722" s="7">
        <v>0.6852315734107994</v>
      </c>
      <c r="N722" s="7">
        <v>0.38642539067966</v>
      </c>
      <c r="O722" s="7">
        <v>0.0612843583663083</v>
      </c>
      <c r="P722" s="7">
        <v>8.689232263902243</v>
      </c>
      <c r="Q722" s="7">
        <v>0.0067173155558623</v>
      </c>
      <c r="R722" s="7">
        <v>0.0211706773889014</v>
      </c>
      <c r="S722" s="7">
        <v>0.0396558757804108</v>
      </c>
      <c r="T722" s="7">
        <v>0.3084014760334813</v>
      </c>
    </row>
    <row x14ac:dyDescent="0.25" r="723" customHeight="1" ht="19.5">
      <c r="A723" s="2" t="s">
        <v>757</v>
      </c>
      <c r="B723" s="2" t="s">
        <v>30</v>
      </c>
      <c r="C723" s="2" t="s">
        <v>31</v>
      </c>
      <c r="D723" s="2" t="s">
        <v>650</v>
      </c>
      <c r="E723" s="6">
        <v>1</v>
      </c>
      <c r="F723" s="6">
        <v>0</v>
      </c>
      <c r="G723" s="7">
        <v>0.4474387168884277</v>
      </c>
      <c r="H723" s="7">
        <v>40.3749328125</v>
      </c>
      <c r="I723" s="7">
        <v>27.03535065802732</v>
      </c>
      <c r="J723" s="7">
        <v>8.53915189395829</v>
      </c>
      <c r="K723" s="7">
        <v>5.411148985971897</v>
      </c>
      <c r="L723" s="7">
        <v>0.8061886785268289</v>
      </c>
      <c r="M723" s="7">
        <v>0.6941569286124537</v>
      </c>
      <c r="N723" s="7">
        <v>0.398705858250694</v>
      </c>
      <c r="O723" s="7">
        <v>0.0682560684623933</v>
      </c>
      <c r="P723" s="7">
        <v>8.617693941336386</v>
      </c>
      <c r="Q723" s="7">
        <v>0.0052410550474592</v>
      </c>
      <c r="R723" s="7">
        <v>0.0188229514481291</v>
      </c>
      <c r="S723" s="7">
        <v>0.0346016984905403</v>
      </c>
      <c r="T723" s="7">
        <v>0.2455960139481391</v>
      </c>
    </row>
    <row x14ac:dyDescent="0.25" r="724" customHeight="1" ht="19.5">
      <c r="A724" s="2" t="s">
        <v>758</v>
      </c>
      <c r="B724" s="2" t="s">
        <v>30</v>
      </c>
      <c r="C724" s="2" t="s">
        <v>31</v>
      </c>
      <c r="D724" s="2" t="s">
        <v>650</v>
      </c>
      <c r="E724" s="6">
        <v>1</v>
      </c>
      <c r="F724" s="6">
        <v>0</v>
      </c>
      <c r="G724" s="7">
        <v>0.4582532942295074</v>
      </c>
      <c r="H724" s="7">
        <v>36.87355546875001</v>
      </c>
      <c r="I724" s="7">
        <v>25.48261581916236</v>
      </c>
      <c r="J724" s="7">
        <v>8.117675661296275</v>
      </c>
      <c r="K724" s="7">
        <v>5.045064158666904</v>
      </c>
      <c r="L724" s="7">
        <v>0.8115046487607709</v>
      </c>
      <c r="M724" s="7">
        <v>0.7135704651747061</v>
      </c>
      <c r="N724" s="7">
        <v>0.3962689196402396</v>
      </c>
      <c r="O724" s="7">
        <v>0.0646448671316636</v>
      </c>
      <c r="P724" s="7">
        <v>8.536559884588385</v>
      </c>
      <c r="Q724" s="7">
        <v>0.0071793507918158</v>
      </c>
      <c r="R724" s="7">
        <v>0.0220786422414196</v>
      </c>
      <c r="S724" s="7">
        <v>0.0377448392818991</v>
      </c>
      <c r="T724" s="7">
        <v>0.3072493478796486</v>
      </c>
    </row>
    <row x14ac:dyDescent="0.25" r="725" customHeight="1" ht="19.5">
      <c r="A725" s="2" t="s">
        <v>759</v>
      </c>
      <c r="B725" s="2" t="s">
        <v>30</v>
      </c>
      <c r="C725" s="2" t="s">
        <v>31</v>
      </c>
      <c r="D725" s="2" t="s">
        <v>650</v>
      </c>
      <c r="E725" s="6">
        <v>1</v>
      </c>
      <c r="F725" s="6">
        <v>0</v>
      </c>
      <c r="G725" s="7">
        <v>0.4377324283123016</v>
      </c>
      <c r="H725" s="7">
        <v>38.2692578125</v>
      </c>
      <c r="I725" s="7">
        <v>25.67171171522116</v>
      </c>
      <c r="J725" s="7">
        <v>8.515436918667103</v>
      </c>
      <c r="K725" s="7">
        <v>5.279599596587698</v>
      </c>
      <c r="L725" s="7">
        <v>0.8179965364524447</v>
      </c>
      <c r="M725" s="7">
        <v>0.7296438814677048</v>
      </c>
      <c r="N725" s="7">
        <v>0.3987246490199851</v>
      </c>
      <c r="O725" s="7">
        <v>0.0690270629673461</v>
      </c>
      <c r="P725" s="7">
        <v>8.541977134670649</v>
      </c>
      <c r="Q725" s="7">
        <v>0.0063197905267806</v>
      </c>
      <c r="R725" s="7">
        <v>0.0201369486072786</v>
      </c>
      <c r="S725" s="7">
        <v>0.0386587280819407</v>
      </c>
      <c r="T725" s="7">
        <v>0.280700704943284</v>
      </c>
    </row>
    <row x14ac:dyDescent="0.25" r="726" customHeight="1" ht="19.5">
      <c r="A726" s="2" t="s">
        <v>760</v>
      </c>
      <c r="B726" s="2" t="s">
        <v>30</v>
      </c>
      <c r="C726" s="2" t="s">
        <v>31</v>
      </c>
      <c r="D726" s="2" t="s">
        <v>650</v>
      </c>
      <c r="E726" s="6">
        <v>1</v>
      </c>
      <c r="F726" s="6">
        <v>0</v>
      </c>
      <c r="G726" s="7">
        <v>0.5187943577766418</v>
      </c>
      <c r="H726" s="7">
        <v>37.805178125</v>
      </c>
      <c r="I726" s="7">
        <v>25.16644119241308</v>
      </c>
      <c r="J726" s="7">
        <v>8.155832294974614</v>
      </c>
      <c r="K726" s="7">
        <v>5.380027224235272</v>
      </c>
      <c r="L726" s="7">
        <v>0.7875060413660008</v>
      </c>
      <c r="M726" s="7">
        <v>0.7500971939138371</v>
      </c>
      <c r="N726" s="7">
        <v>0.4220329898224173</v>
      </c>
      <c r="O726" s="7">
        <v>0.0944824208792608</v>
      </c>
      <c r="P726" s="7">
        <v>8.429774870439262</v>
      </c>
      <c r="Q726" s="7">
        <v>0.0067601195448728</v>
      </c>
      <c r="R726" s="7">
        <v>0.0209100726884785</v>
      </c>
      <c r="S726" s="7">
        <v>0.0386294565614831</v>
      </c>
      <c r="T726" s="7">
        <v>0.2966172777076629</v>
      </c>
    </row>
    <row x14ac:dyDescent="0.25" r="727" customHeight="1" ht="19.5">
      <c r="A727" s="2" t="s">
        <v>761</v>
      </c>
      <c r="B727" s="2" t="s">
        <v>30</v>
      </c>
      <c r="C727" s="2" t="s">
        <v>31</v>
      </c>
      <c r="D727" s="2" t="s">
        <v>650</v>
      </c>
      <c r="E727" s="6">
        <v>1</v>
      </c>
      <c r="F727" s="6">
        <v>0</v>
      </c>
      <c r="G727" s="7">
        <v>0.4736068546772003</v>
      </c>
      <c r="H727" s="7">
        <v>39.0450328125</v>
      </c>
      <c r="I727" s="7">
        <v>26.40610736242401</v>
      </c>
      <c r="J727" s="7">
        <v>8.401373601181046</v>
      </c>
      <c r="K727" s="7">
        <v>5.182678484221011</v>
      </c>
      <c r="L727" s="7">
        <v>0.8153607653308951</v>
      </c>
      <c r="M727" s="7">
        <v>0.7036665178381141</v>
      </c>
      <c r="N727" s="7">
        <v>0.3934427084396029</v>
      </c>
      <c r="O727" s="7">
        <v>0.064402239522277</v>
      </c>
      <c r="P727" s="7">
        <v>8.609586506812581</v>
      </c>
      <c r="Q727" s="7">
        <v>0.007532431087189</v>
      </c>
      <c r="R727" s="7">
        <v>0.0220848929179737</v>
      </c>
      <c r="S727" s="7">
        <v>0.03828563102861</v>
      </c>
      <c r="T727" s="7">
        <v>0.3413435801917917</v>
      </c>
    </row>
    <row x14ac:dyDescent="0.25" r="728" customHeight="1" ht="19.5">
      <c r="A728" s="2" t="s">
        <v>762</v>
      </c>
      <c r="B728" s="2" t="s">
        <v>30</v>
      </c>
      <c r="C728" s="2" t="s">
        <v>31</v>
      </c>
      <c r="D728" s="2" t="s">
        <v>650</v>
      </c>
      <c r="E728" s="6">
        <v>1</v>
      </c>
      <c r="F728" s="6">
        <v>0</v>
      </c>
      <c r="G728" s="7">
        <v>0.4725349247455597</v>
      </c>
      <c r="H728" s="7">
        <v>36.99130703125</v>
      </c>
      <c r="I728" s="7">
        <v>26.02480961241116</v>
      </c>
      <c r="J728" s="7">
        <v>8.218328379770826</v>
      </c>
      <c r="K728" s="7">
        <v>5.099962176823715</v>
      </c>
      <c r="L728" s="7">
        <v>0.8130449949547215</v>
      </c>
      <c r="M728" s="7">
        <v>0.6863322693204429</v>
      </c>
      <c r="N728" s="7">
        <v>0.3971861953468785</v>
      </c>
      <c r="O728" s="7">
        <v>0.0657994609614846</v>
      </c>
      <c r="P728" s="7">
        <v>8.569773395179752</v>
      </c>
      <c r="Q728" s="7">
        <v>0.0060684415302946</v>
      </c>
      <c r="R728" s="7">
        <v>0.0198247134495119</v>
      </c>
      <c r="S728" s="7">
        <v>0.0376094330357977</v>
      </c>
      <c r="T728" s="7">
        <v>0.260535932499112</v>
      </c>
    </row>
    <row x14ac:dyDescent="0.25" r="729" customHeight="1" ht="19.5">
      <c r="A729" s="2" t="s">
        <v>763</v>
      </c>
      <c r="B729" s="2" t="s">
        <v>30</v>
      </c>
      <c r="C729" s="2" t="s">
        <v>31</v>
      </c>
      <c r="D729" s="2" t="s">
        <v>650</v>
      </c>
      <c r="E729" s="6">
        <v>1</v>
      </c>
      <c r="F729" s="6">
        <v>0</v>
      </c>
      <c r="G729" s="7">
        <v>0.5177136063575745</v>
      </c>
      <c r="H729" s="7">
        <v>37.5350421875</v>
      </c>
      <c r="I729" s="7">
        <v>25.21519383836692</v>
      </c>
      <c r="J729" s="7">
        <v>8.162991858970951</v>
      </c>
      <c r="K729" s="7">
        <v>5.204308011470258</v>
      </c>
      <c r="L729" s="7">
        <v>0.8002895759755767</v>
      </c>
      <c r="M729" s="7">
        <v>0.7418603330676546</v>
      </c>
      <c r="N729" s="7">
        <v>0.4206252763530198</v>
      </c>
      <c r="O729" s="7">
        <v>0.0889053434011806</v>
      </c>
      <c r="P729" s="7">
        <v>8.452660834635909</v>
      </c>
      <c r="Q729" s="7">
        <v>0.006790286662581</v>
      </c>
      <c r="R729" s="7">
        <v>0.0215395419406153</v>
      </c>
      <c r="S729" s="7">
        <v>0.0385941641461547</v>
      </c>
      <c r="T729" s="7">
        <v>0.2958120066351374</v>
      </c>
    </row>
    <row x14ac:dyDescent="0.25" r="730" customHeight="1" ht="19.5">
      <c r="A730" s="2" t="s">
        <v>764</v>
      </c>
      <c r="B730" s="2" t="s">
        <v>30</v>
      </c>
      <c r="C730" s="2" t="s">
        <v>31</v>
      </c>
      <c r="D730" s="2" t="s">
        <v>650</v>
      </c>
      <c r="E730" s="6">
        <v>1</v>
      </c>
      <c r="F730" s="6">
        <v>0</v>
      </c>
      <c r="G730" s="7">
        <v>0.5144847631454468</v>
      </c>
      <c r="H730" s="7">
        <v>36.28479765625</v>
      </c>
      <c r="I730" s="7">
        <v>25.22110852612348</v>
      </c>
      <c r="J730" s="7">
        <v>8.270138380787017</v>
      </c>
      <c r="K730" s="7">
        <v>5.066721650873561</v>
      </c>
      <c r="L730" s="7">
        <v>0.8232502345573107</v>
      </c>
      <c r="M730" s="7">
        <v>0.7168135855360495</v>
      </c>
      <c r="N730" s="7">
        <v>0.4082539781601564</v>
      </c>
      <c r="O730" s="7">
        <v>0.0724071112941783</v>
      </c>
      <c r="P730" s="7">
        <v>8.508393211965553</v>
      </c>
      <c r="Q730" s="7">
        <v>0.0063459275317635</v>
      </c>
      <c r="R730" s="7">
        <v>0.020676417529365</v>
      </c>
      <c r="S730" s="7">
        <v>0.0371863410740647</v>
      </c>
      <c r="T730" s="7">
        <v>0.267245618662369</v>
      </c>
    </row>
    <row x14ac:dyDescent="0.25" r="731" customHeight="1" ht="19.5">
      <c r="A731" s="2" t="s">
        <v>765</v>
      </c>
      <c r="B731" s="2" t="s">
        <v>30</v>
      </c>
      <c r="C731" s="2" t="s">
        <v>31</v>
      </c>
      <c r="D731" s="2" t="s">
        <v>650</v>
      </c>
      <c r="E731" s="6">
        <v>1</v>
      </c>
      <c r="F731" s="6">
        <v>0</v>
      </c>
      <c r="G731" s="7">
        <v>0.5024855136871338</v>
      </c>
      <c r="H731" s="7">
        <v>39.13854140625</v>
      </c>
      <c r="I731" s="7">
        <v>26.12440606222947</v>
      </c>
      <c r="J731" s="7">
        <v>8.43414806216957</v>
      </c>
      <c r="K731" s="7">
        <v>5.254223769845879</v>
      </c>
      <c r="L731" s="7">
        <v>0.8112474413963702</v>
      </c>
      <c r="M731" s="7">
        <v>0.7206454509104158</v>
      </c>
      <c r="N731" s="7">
        <v>0.410168569824888</v>
      </c>
      <c r="O731" s="7">
        <v>0.07921912032437</v>
      </c>
      <c r="P731" s="7">
        <v>8.53510515404415</v>
      </c>
      <c r="Q731" s="7">
        <v>0.0070210253942129</v>
      </c>
      <c r="R731" s="7">
        <v>0.021706520719394</v>
      </c>
      <c r="S731" s="7">
        <v>0.0400428325524733</v>
      </c>
      <c r="T731" s="7">
        <v>0.3189304315114057</v>
      </c>
    </row>
    <row x14ac:dyDescent="0.25" r="732" customHeight="1" ht="19.5">
      <c r="A732" s="2" t="s">
        <v>766</v>
      </c>
      <c r="B732" s="2" t="s">
        <v>30</v>
      </c>
      <c r="C732" s="2" t="s">
        <v>31</v>
      </c>
      <c r="D732" s="2" t="s">
        <v>650</v>
      </c>
      <c r="E732" s="6">
        <v>1</v>
      </c>
      <c r="F732" s="6">
        <v>0</v>
      </c>
      <c r="G732" s="7">
        <v>0.4714239239692688</v>
      </c>
      <c r="H732" s="7">
        <v>38.20691875</v>
      </c>
      <c r="I732" s="7">
        <v>25.69190572237681</v>
      </c>
      <c r="J732" s="7">
        <v>8.259182502993674</v>
      </c>
      <c r="K732" s="7">
        <v>4.998914422519924</v>
      </c>
      <c r="L732" s="7">
        <v>0.8188500457317215</v>
      </c>
      <c r="M732" s="7">
        <v>0.7273764559035514</v>
      </c>
      <c r="N732" s="7">
        <v>0.3971540520210969</v>
      </c>
      <c r="O732" s="7">
        <v>0.0655670256487658</v>
      </c>
      <c r="P732" s="7">
        <v>8.59086876389214</v>
      </c>
      <c r="Q732" s="7">
        <v>0.0070491755626089</v>
      </c>
      <c r="R732" s="7">
        <v>0.021893957073589</v>
      </c>
      <c r="S732" s="7">
        <v>0.0387939243535454</v>
      </c>
      <c r="T732" s="7">
        <v>0.3125871507410653</v>
      </c>
    </row>
    <row x14ac:dyDescent="0.25" r="733" customHeight="1" ht="19.5">
      <c r="A733" s="2" t="s">
        <v>767</v>
      </c>
      <c r="B733" s="2" t="s">
        <v>30</v>
      </c>
      <c r="C733" s="2" t="s">
        <v>31</v>
      </c>
      <c r="D733" s="2" t="s">
        <v>650</v>
      </c>
      <c r="E733" s="6">
        <v>1</v>
      </c>
      <c r="F733" s="6">
        <v>0</v>
      </c>
      <c r="G733" s="7">
        <v>0.4571845233440399</v>
      </c>
      <c r="H733" s="7">
        <v>39.744615625</v>
      </c>
      <c r="I733" s="7">
        <v>26.28040221769348</v>
      </c>
      <c r="J733" s="7">
        <v>8.371034282948006</v>
      </c>
      <c r="K733" s="7">
        <v>5.259190311768357</v>
      </c>
      <c r="L733" s="7">
        <v>0.80336334139433</v>
      </c>
      <c r="M733" s="7">
        <v>0.7231429386259212</v>
      </c>
      <c r="N733" s="7">
        <v>0.4066579161014558</v>
      </c>
      <c r="O733" s="7">
        <v>0.0672683526877742</v>
      </c>
      <c r="P733" s="7">
        <v>8.582519176376133</v>
      </c>
      <c r="Q733" s="7">
        <v>0.0095065881874768</v>
      </c>
      <c r="R733" s="7">
        <v>0.0251123190249245</v>
      </c>
      <c r="S733" s="7">
        <v>0.0413781748198089</v>
      </c>
      <c r="T733" s="7">
        <v>0.438524399538334</v>
      </c>
    </row>
    <row x14ac:dyDescent="0.25" r="734" customHeight="1" ht="19.5">
      <c r="A734" s="2" t="s">
        <v>768</v>
      </c>
      <c r="B734" s="2" t="s">
        <v>30</v>
      </c>
      <c r="C734" s="2" t="s">
        <v>31</v>
      </c>
      <c r="D734" s="2" t="s">
        <v>650</v>
      </c>
      <c r="E734" s="6">
        <v>1</v>
      </c>
      <c r="F734" s="6">
        <v>0</v>
      </c>
      <c r="G734" s="7">
        <v>0.2971423864364624</v>
      </c>
      <c r="H734" s="7">
        <v>34.17219609375</v>
      </c>
      <c r="I734" s="7">
        <v>23.42461045748932</v>
      </c>
      <c r="J734" s="7">
        <v>6.883677594183085</v>
      </c>
      <c r="K734" s="7">
        <v>5.319925246531952</v>
      </c>
      <c r="L734" s="7">
        <v>0.6717199072174284</v>
      </c>
      <c r="M734" s="7">
        <v>0.7825966759980696</v>
      </c>
      <c r="N734" s="7">
        <v>0.4749562381062563</v>
      </c>
      <c r="O734" s="7">
        <v>0.071102328331718</v>
      </c>
      <c r="P734" s="7">
        <v>8.099456876764776</v>
      </c>
      <c r="Q734" s="7">
        <v>0.0051055205232814</v>
      </c>
      <c r="R734" s="7">
        <v>0.0182950491479471</v>
      </c>
      <c r="S734" s="7">
        <v>0.0257227932386417</v>
      </c>
      <c r="T734" s="7">
        <v>0.2024900540185215</v>
      </c>
    </row>
    <row x14ac:dyDescent="0.25" r="735" customHeight="1" ht="19.5">
      <c r="A735" s="2" t="s">
        <v>769</v>
      </c>
      <c r="B735" s="2" t="s">
        <v>30</v>
      </c>
      <c r="C735" s="2" t="s">
        <v>31</v>
      </c>
      <c r="D735" s="2" t="s">
        <v>650</v>
      </c>
      <c r="E735" s="6">
        <v>1</v>
      </c>
      <c r="F735" s="6">
        <v>0</v>
      </c>
      <c r="G735" s="7">
        <v>0.4270730316638946</v>
      </c>
      <c r="H735" s="7">
        <v>37.5350421875</v>
      </c>
      <c r="I735" s="7">
        <v>26.07111231447903</v>
      </c>
      <c r="J735" s="7">
        <v>8.838249660299407</v>
      </c>
      <c r="K735" s="7">
        <v>4.475321284725387</v>
      </c>
      <c r="L735" s="7">
        <v>0.8733477747111401</v>
      </c>
      <c r="M735" s="7">
        <v>0.6929887159213767</v>
      </c>
      <c r="N735" s="7">
        <v>0.4517840432582751</v>
      </c>
      <c r="O735" s="7">
        <v>0.0710182921001401</v>
      </c>
      <c r="P735" s="7">
        <v>8.168186804841822</v>
      </c>
      <c r="Q735" s="7">
        <v>0.0075769916767761</v>
      </c>
      <c r="R735" s="7">
        <v>0.0196057974128158</v>
      </c>
      <c r="S735" s="7">
        <v>0.0296119018415411</v>
      </c>
      <c r="T735" s="7">
        <v>0.3300840190615645</v>
      </c>
    </row>
    <row x14ac:dyDescent="0.25" r="736" customHeight="1" ht="19.5">
      <c r="A736" s="2" t="s">
        <v>770</v>
      </c>
      <c r="B736" s="2" t="s">
        <v>30</v>
      </c>
      <c r="C736" s="2" t="s">
        <v>31</v>
      </c>
      <c r="D736" s="2" t="s">
        <v>650</v>
      </c>
      <c r="E736" s="6">
        <v>1</v>
      </c>
      <c r="F736" s="6">
        <v>0</v>
      </c>
      <c r="G736" s="7">
        <v>0.3347176015377044</v>
      </c>
      <c r="H736" s="7">
        <v>39.31516875000001</v>
      </c>
      <c r="I736" s="7">
        <v>27.31878433015716</v>
      </c>
      <c r="J736" s="7">
        <v>8.794138499275551</v>
      </c>
      <c r="K736" s="7">
        <v>4.444107705806211</v>
      </c>
      <c r="L736" s="7">
        <v>0.8701781978651876</v>
      </c>
      <c r="M736" s="7">
        <v>0.6619836588260243</v>
      </c>
      <c r="N736" s="7">
        <v>0.4119357493963482</v>
      </c>
      <c r="O736" s="7">
        <v>0.0646938894378563</v>
      </c>
      <c r="P736" s="7">
        <v>8.306171253810865</v>
      </c>
      <c r="Q736" s="7">
        <v>0.008893043826434</v>
      </c>
      <c r="R736" s="7">
        <v>0.021187145318177</v>
      </c>
      <c r="S736" s="7">
        <v>0.032630113644634</v>
      </c>
      <c r="T736" s="7">
        <v>0.4057900153043736</v>
      </c>
    </row>
    <row x14ac:dyDescent="0.25" r="737" customHeight="1" ht="19.5">
      <c r="A737" s="2" t="s">
        <v>771</v>
      </c>
      <c r="B737" s="2" t="s">
        <v>30</v>
      </c>
      <c r="C737" s="2" t="s">
        <v>31</v>
      </c>
      <c r="D737" s="2" t="s">
        <v>650</v>
      </c>
      <c r="E737" s="6">
        <v>1</v>
      </c>
      <c r="F737" s="6">
        <v>0</v>
      </c>
      <c r="G737" s="7">
        <v>0.4167256951332092</v>
      </c>
      <c r="H737" s="7">
        <v>38.59480625</v>
      </c>
      <c r="I737" s="7">
        <v>26.93539542223367</v>
      </c>
      <c r="J737" s="7">
        <v>8.921651488061311</v>
      </c>
      <c r="K737" s="7">
        <v>4.65749443000575</v>
      </c>
      <c r="L737" s="7">
        <v>0.869854781143549</v>
      </c>
      <c r="M737" s="7">
        <v>0.6684855408012644</v>
      </c>
      <c r="N737" s="7">
        <v>0.4154263318110397</v>
      </c>
      <c r="O737" s="7">
        <v>0.0655811293420955</v>
      </c>
      <c r="P737" s="7">
        <v>8.310824927282173</v>
      </c>
      <c r="Q737" s="7">
        <v>0.0082971930525045</v>
      </c>
      <c r="R737" s="7">
        <v>0.0206270533659217</v>
      </c>
      <c r="S737" s="7">
        <v>0.0326592380464517</v>
      </c>
      <c r="T737" s="7">
        <v>0.3716642939821531</v>
      </c>
    </row>
    <row x14ac:dyDescent="0.25" r="738" customHeight="1" ht="19.5">
      <c r="A738" s="2" t="s">
        <v>772</v>
      </c>
      <c r="B738" s="2" t="s">
        <v>30</v>
      </c>
      <c r="C738" s="2" t="s">
        <v>31</v>
      </c>
      <c r="D738" s="2" t="s">
        <v>650</v>
      </c>
      <c r="E738" s="6">
        <v>1</v>
      </c>
      <c r="F738" s="6">
        <v>0</v>
      </c>
      <c r="G738" s="7">
        <v>0.3724239468574524</v>
      </c>
      <c r="H738" s="7">
        <v>37.53850546875</v>
      </c>
      <c r="I738" s="7">
        <v>25.65253250805013</v>
      </c>
      <c r="J738" s="7">
        <v>8.500273462081982</v>
      </c>
      <c r="K738" s="7">
        <v>4.679440330639342</v>
      </c>
      <c r="L738" s="7">
        <v>0.8523754967130166</v>
      </c>
      <c r="M738" s="7">
        <v>0.7168467963497286</v>
      </c>
      <c r="N738" s="7">
        <v>0.4146875772122818</v>
      </c>
      <c r="O738" s="7">
        <v>0.0648746340863908</v>
      </c>
      <c r="P738" s="7">
        <v>8.30679033605145</v>
      </c>
      <c r="Q738" s="7">
        <v>0.0086015967729253</v>
      </c>
      <c r="R738" s="7">
        <v>0.0203916607673461</v>
      </c>
      <c r="S738" s="7">
        <v>0.0355434629876071</v>
      </c>
      <c r="T738" s="7">
        <v>0.3747544838394855</v>
      </c>
    </row>
    <row x14ac:dyDescent="0.25" r="739" customHeight="1" ht="19.5">
      <c r="A739" s="2" t="s">
        <v>773</v>
      </c>
      <c r="B739" s="2" t="s">
        <v>30</v>
      </c>
      <c r="C739" s="2" t="s">
        <v>31</v>
      </c>
      <c r="D739" s="2" t="s">
        <v>650</v>
      </c>
      <c r="E739" s="6">
        <v>1</v>
      </c>
      <c r="F739" s="6">
        <v>0</v>
      </c>
      <c r="G739" s="7">
        <v>0.4303177893161773</v>
      </c>
      <c r="H739" s="7">
        <v>37.1610078125</v>
      </c>
      <c r="I739" s="7">
        <v>25.73575848055872</v>
      </c>
      <c r="J739" s="7">
        <v>8.572589744130562</v>
      </c>
      <c r="K739" s="7">
        <v>4.340643743300605</v>
      </c>
      <c r="L739" s="7">
        <v>0.8701526973993803</v>
      </c>
      <c r="M739" s="7">
        <v>0.7050556597078532</v>
      </c>
      <c r="N739" s="7">
        <v>0.4110256127593137</v>
      </c>
      <c r="O739" s="7">
        <v>0.0655526481725838</v>
      </c>
      <c r="P739" s="7">
        <v>8.27050774059985</v>
      </c>
      <c r="Q739" s="7">
        <v>0.008112729831734</v>
      </c>
      <c r="R739" s="7">
        <v>0.0201999147386309</v>
      </c>
      <c r="S739" s="7">
        <v>0.0344668709480057</v>
      </c>
      <c r="T739" s="7">
        <v>0.349901075289958</v>
      </c>
    </row>
    <row x14ac:dyDescent="0.25" r="740" customHeight="1" ht="19.5">
      <c r="A740" s="2" t="s">
        <v>774</v>
      </c>
      <c r="B740" s="2" t="s">
        <v>30</v>
      </c>
      <c r="C740" s="2" t="s">
        <v>31</v>
      </c>
      <c r="D740" s="2" t="s">
        <v>650</v>
      </c>
      <c r="E740" s="6">
        <v>1</v>
      </c>
      <c r="F740" s="6">
        <v>0</v>
      </c>
      <c r="G740" s="7">
        <v>0.4118838608264923</v>
      </c>
      <c r="H740" s="7">
        <v>36.2189953125</v>
      </c>
      <c r="I740" s="7">
        <v>24.87147537280407</v>
      </c>
      <c r="J740" s="7">
        <v>8.282552015152723</v>
      </c>
      <c r="K740" s="7">
        <v>4.569699694823761</v>
      </c>
      <c r="L740" s="7">
        <v>0.8491574167134884</v>
      </c>
      <c r="M740" s="7">
        <v>0.7357718473435121</v>
      </c>
      <c r="N740" s="7">
        <v>0.4194841007952359</v>
      </c>
      <c r="O740" s="7">
        <v>0.0656260206131838</v>
      </c>
      <c r="P740" s="7">
        <v>8.278211744954088</v>
      </c>
      <c r="Q740" s="7">
        <v>0.0079225299822883</v>
      </c>
      <c r="R740" s="7">
        <v>0.0201578191089323</v>
      </c>
      <c r="S740" s="7">
        <v>0.0348393906324526</v>
      </c>
      <c r="T740" s="7">
        <v>0.3330359148122762</v>
      </c>
    </row>
    <row x14ac:dyDescent="0.25" r="741" customHeight="1" ht="19.5">
      <c r="A741" s="2" t="s">
        <v>775</v>
      </c>
      <c r="B741" s="2" t="s">
        <v>30</v>
      </c>
      <c r="C741" s="2" t="s">
        <v>31</v>
      </c>
      <c r="D741" s="2" t="s">
        <v>650</v>
      </c>
      <c r="E741" s="6">
        <v>1</v>
      </c>
      <c r="F741" s="6">
        <v>0</v>
      </c>
      <c r="G741" s="7">
        <v>0.3752009570598602</v>
      </c>
      <c r="H741" s="7">
        <v>38.442421875</v>
      </c>
      <c r="I741" s="7">
        <v>26.16825882041137</v>
      </c>
      <c r="J741" s="7">
        <v>8.90794269650818</v>
      </c>
      <c r="K741" s="7">
        <v>4.385502497376482</v>
      </c>
      <c r="L741" s="7">
        <v>0.8762102802557865</v>
      </c>
      <c r="M741" s="7">
        <v>0.7054576564482413</v>
      </c>
      <c r="N741" s="7">
        <v>0.4152252035951443</v>
      </c>
      <c r="O741" s="7">
        <v>0.0661153303391271</v>
      </c>
      <c r="P741" s="7">
        <v>8.306415763517704</v>
      </c>
      <c r="Q741" s="7">
        <v>0.0075713191150539</v>
      </c>
      <c r="R741" s="7">
        <v>0.019091389785992</v>
      </c>
      <c r="S741" s="7">
        <v>0.0364633916953123</v>
      </c>
      <c r="T741" s="7">
        <v>0.3378104434169655</v>
      </c>
    </row>
    <row x14ac:dyDescent="0.25" r="742" customHeight="1" ht="19.5">
      <c r="A742" s="2" t="s">
        <v>776</v>
      </c>
      <c r="B742" s="2" t="s">
        <v>30</v>
      </c>
      <c r="C742" s="2" t="s">
        <v>31</v>
      </c>
      <c r="D742" s="2" t="s">
        <v>650</v>
      </c>
      <c r="E742" s="6">
        <v>1</v>
      </c>
      <c r="F742" s="6">
        <v>0</v>
      </c>
      <c r="G742" s="7">
        <v>0.3414103984832763</v>
      </c>
      <c r="H742" s="7">
        <v>39.32555859375</v>
      </c>
      <c r="I742" s="7">
        <v>27.51970960172908</v>
      </c>
      <c r="J742" s="7">
        <v>8.767013691863028</v>
      </c>
      <c r="K742" s="7">
        <v>4.552875273131423</v>
      </c>
      <c r="L742" s="7">
        <v>0.8642627233608231</v>
      </c>
      <c r="M742" s="7">
        <v>0.652524872893222</v>
      </c>
      <c r="N742" s="7">
        <v>0.4109856322844939</v>
      </c>
      <c r="O742" s="7">
        <v>0.0640305323235218</v>
      </c>
      <c r="P742" s="7">
        <v>8.334940758486692</v>
      </c>
      <c r="Q742" s="7">
        <v>0.0088397552505486</v>
      </c>
      <c r="R742" s="7">
        <v>0.0208990067434467</v>
      </c>
      <c r="S742" s="7">
        <v>0.0339764536157857</v>
      </c>
      <c r="T742" s="7">
        <v>0.4034650508232487</v>
      </c>
    </row>
    <row x14ac:dyDescent="0.25" r="743" customHeight="1" ht="19.5">
      <c r="A743" s="2" t="s">
        <v>777</v>
      </c>
      <c r="B743" s="2" t="s">
        <v>30</v>
      </c>
      <c r="C743" s="2" t="s">
        <v>31</v>
      </c>
      <c r="D743" s="2" t="s">
        <v>650</v>
      </c>
      <c r="E743" s="6">
        <v>1</v>
      </c>
      <c r="F743" s="6">
        <v>0</v>
      </c>
      <c r="G743" s="7">
        <v>0.384295254945755</v>
      </c>
      <c r="H743" s="7">
        <v>35.4293671875</v>
      </c>
      <c r="I743" s="7">
        <v>25.1127886586873</v>
      </c>
      <c r="J743" s="7">
        <v>8.299658126738123</v>
      </c>
      <c r="K743" s="7">
        <v>4.310370583252817</v>
      </c>
      <c r="L743" s="7">
        <v>0.8643871415425889</v>
      </c>
      <c r="M743" s="7">
        <v>0.705965334034089</v>
      </c>
      <c r="N743" s="7">
        <v>0.4201702856431671</v>
      </c>
      <c r="O743" s="7">
        <v>0.0669329461654237</v>
      </c>
      <c r="P743" s="7">
        <v>8.202220192183807</v>
      </c>
      <c r="Q743" s="7">
        <v>0.0078899770342052</v>
      </c>
      <c r="R743" s="7">
        <v>0.0188824001361995</v>
      </c>
      <c r="S743" s="7">
        <v>0.0317454739868031</v>
      </c>
      <c r="T743" s="7">
        <v>0.3244366545646202</v>
      </c>
    </row>
    <row x14ac:dyDescent="0.25" r="744" customHeight="1" ht="19.5">
      <c r="A744" s="2" t="s">
        <v>778</v>
      </c>
      <c r="B744" s="2" t="s">
        <v>30</v>
      </c>
      <c r="C744" s="2" t="s">
        <v>31</v>
      </c>
      <c r="D744" s="2" t="s">
        <v>650</v>
      </c>
      <c r="E744" s="6">
        <v>1</v>
      </c>
      <c r="F744" s="6">
        <v>0</v>
      </c>
      <c r="G744" s="7">
        <v>0.4600100517272949</v>
      </c>
      <c r="H744" s="7">
        <v>34.9029484375</v>
      </c>
      <c r="I744" s="7">
        <v>25.10095928317418</v>
      </c>
      <c r="J744" s="7">
        <v>8.297629436067366</v>
      </c>
      <c r="K744" s="7">
        <v>4.607814035623518</v>
      </c>
      <c r="L744" s="7">
        <v>0.8536354706961089</v>
      </c>
      <c r="M744" s="7">
        <v>0.6961315884437421</v>
      </c>
      <c r="N744" s="7">
        <v>0.4343390981409949</v>
      </c>
      <c r="O744" s="7">
        <v>0.0694591087151129</v>
      </c>
      <c r="P744" s="7">
        <v>8.235053404051875</v>
      </c>
      <c r="Q744" s="7">
        <v>0.0074361931892784</v>
      </c>
      <c r="R744" s="7">
        <v>0.018730695379734</v>
      </c>
      <c r="S744" s="7">
        <v>0.0310618767166936</v>
      </c>
      <c r="T744" s="7">
        <v>0.3012337024869979</v>
      </c>
    </row>
    <row x14ac:dyDescent="0.25" r="745" customHeight="1" ht="19.5">
      <c r="A745" s="2" t="s">
        <v>779</v>
      </c>
      <c r="B745" s="2" t="s">
        <v>30</v>
      </c>
      <c r="C745" s="2" t="s">
        <v>31</v>
      </c>
      <c r="D745" s="2" t="s">
        <v>650</v>
      </c>
      <c r="E745" s="6">
        <v>1</v>
      </c>
      <c r="F745" s="6">
        <v>0</v>
      </c>
      <c r="G745" s="7">
        <v>0.4322996437549591</v>
      </c>
      <c r="H745" s="7">
        <v>36.63458906250001</v>
      </c>
      <c r="I745" s="7">
        <v>26.47505401553351</v>
      </c>
      <c r="J745" s="7">
        <v>8.497738535077904</v>
      </c>
      <c r="K745" s="7">
        <v>4.434361739494052</v>
      </c>
      <c r="L745" s="7">
        <v>0.8599152857138348</v>
      </c>
      <c r="M745" s="7">
        <v>0.656791431984322</v>
      </c>
      <c r="N745" s="7">
        <v>0.4253312871135977</v>
      </c>
      <c r="O745" s="7">
        <v>0.0690802579071333</v>
      </c>
      <c r="P745" s="7">
        <v>8.296376608561163</v>
      </c>
      <c r="Q745" s="7">
        <v>0.0073541316656852</v>
      </c>
      <c r="R745" s="7">
        <v>0.018991913275242</v>
      </c>
      <c r="S745" s="7">
        <v>0.0323944070332003</v>
      </c>
      <c r="T745" s="7">
        <v>0.3126896493379368</v>
      </c>
    </row>
    <row x14ac:dyDescent="0.25" r="746" customHeight="1" ht="19.5">
      <c r="A746" s="2" t="s">
        <v>780</v>
      </c>
      <c r="B746" s="2" t="s">
        <v>30</v>
      </c>
      <c r="C746" s="2" t="s">
        <v>31</v>
      </c>
      <c r="D746" s="2" t="s">
        <v>650</v>
      </c>
      <c r="E746" s="6">
        <v>1</v>
      </c>
      <c r="F746" s="6">
        <v>0</v>
      </c>
      <c r="G746" s="7">
        <v>0.3954611718654632</v>
      </c>
      <c r="H746" s="7">
        <v>38.73680078125</v>
      </c>
      <c r="I746" s="7">
        <v>27.19899387318318</v>
      </c>
      <c r="J746" s="7">
        <v>8.735155295967788</v>
      </c>
      <c r="K746" s="7">
        <v>4.438843807042393</v>
      </c>
      <c r="L746" s="7">
        <v>0.8680008456510315</v>
      </c>
      <c r="M746" s="7">
        <v>0.6580030939739288</v>
      </c>
      <c r="N746" s="7">
        <v>0.4093001153548224</v>
      </c>
      <c r="O746" s="7">
        <v>0.0644667606317772</v>
      </c>
      <c r="P746" s="7">
        <v>8.31576721302418</v>
      </c>
      <c r="Q746" s="7">
        <v>0.0083261853559244</v>
      </c>
      <c r="R746" s="7">
        <v>0.0208512609834101</v>
      </c>
      <c r="S746" s="7">
        <v>0.0345424310786857</v>
      </c>
      <c r="T746" s="7">
        <v>0.3743351463698771</v>
      </c>
    </row>
    <row x14ac:dyDescent="0.25" r="747" customHeight="1" ht="19.5">
      <c r="A747" s="2" t="s">
        <v>781</v>
      </c>
      <c r="B747" s="2" t="s">
        <v>30</v>
      </c>
      <c r="C747" s="2" t="s">
        <v>31</v>
      </c>
      <c r="D747" s="2" t="s">
        <v>650</v>
      </c>
      <c r="E747" s="6">
        <v>1</v>
      </c>
      <c r="F747" s="6">
        <v>0</v>
      </c>
      <c r="G747" s="7">
        <v>0.4420961439609527</v>
      </c>
      <c r="H747" s="7">
        <v>35.96617578125</v>
      </c>
      <c r="I747" s="7">
        <v>24.88575469220316</v>
      </c>
      <c r="J747" s="7">
        <v>8.229922237962313</v>
      </c>
      <c r="K747" s="7">
        <v>4.721493382403009</v>
      </c>
      <c r="L747" s="7">
        <v>0.8408984118310125</v>
      </c>
      <c r="M747" s="7">
        <v>0.7297977077169809</v>
      </c>
      <c r="N747" s="7">
        <v>0.4286880687657672</v>
      </c>
      <c r="O747" s="7">
        <v>0.0664972147933758</v>
      </c>
      <c r="P747" s="7">
        <v>8.262859756302204</v>
      </c>
      <c r="Q747" s="7">
        <v>0.0058362250364165</v>
      </c>
      <c r="R747" s="7">
        <v>0.0172784371067142</v>
      </c>
      <c r="S747" s="7">
        <v>0.027596796774997</v>
      </c>
      <c r="T747" s="7">
        <v>0.2436223184650206</v>
      </c>
    </row>
    <row x14ac:dyDescent="0.25" r="748" customHeight="1" ht="19.5">
      <c r="A748" s="2" t="s">
        <v>782</v>
      </c>
      <c r="B748" s="2" t="s">
        <v>30</v>
      </c>
      <c r="C748" s="2" t="s">
        <v>31</v>
      </c>
      <c r="D748" s="2" t="s">
        <v>650</v>
      </c>
      <c r="E748" s="6">
        <v>1</v>
      </c>
      <c r="F748" s="6">
        <v>0</v>
      </c>
      <c r="G748" s="7">
        <v>0.3997893035411834</v>
      </c>
      <c r="H748" s="7">
        <v>38.220771875</v>
      </c>
      <c r="I748" s="7">
        <v>26.11323270072564</v>
      </c>
      <c r="J748" s="7">
        <v>8.682717705773406</v>
      </c>
      <c r="K748" s="7">
        <v>4.681778681116786</v>
      </c>
      <c r="L748" s="7">
        <v>0.8599009203078054</v>
      </c>
      <c r="M748" s="7">
        <v>0.7043492228775653</v>
      </c>
      <c r="N748" s="7">
        <v>0.4313575735738815</v>
      </c>
      <c r="O748" s="7">
        <v>0.0645175048739403</v>
      </c>
      <c r="P748" s="7">
        <v>8.333662179013237</v>
      </c>
      <c r="Q748" s="7">
        <v>0.006205348292344</v>
      </c>
      <c r="R748" s="7">
        <v>0.0181839938066574</v>
      </c>
      <c r="S748" s="7">
        <v>0.0287282809152254</v>
      </c>
      <c r="T748" s="7">
        <v>0.2752684237639373</v>
      </c>
    </row>
    <row x14ac:dyDescent="0.25" r="749" customHeight="1" ht="19.5">
      <c r="A749" s="2" t="s">
        <v>783</v>
      </c>
      <c r="B749" s="2" t="s">
        <v>30</v>
      </c>
      <c r="C749" s="2" t="s">
        <v>31</v>
      </c>
      <c r="D749" s="2" t="s">
        <v>650</v>
      </c>
      <c r="E749" s="6">
        <v>1</v>
      </c>
      <c r="F749" s="6">
        <v>0</v>
      </c>
      <c r="G749" s="7">
        <v>0.3793431222438812</v>
      </c>
      <c r="H749" s="7">
        <v>36.66575859375</v>
      </c>
      <c r="I749" s="7">
        <v>25.3502784147246</v>
      </c>
      <c r="J749" s="7">
        <v>8.438414630568502</v>
      </c>
      <c r="K749" s="7">
        <v>4.466021960327788</v>
      </c>
      <c r="L749" s="7">
        <v>0.8599619544745248</v>
      </c>
      <c r="M749" s="7">
        <v>0.7169767487352062</v>
      </c>
      <c r="N749" s="7">
        <v>0.4177514792942688</v>
      </c>
      <c r="O749" s="7">
        <v>0.0656814139613625</v>
      </c>
      <c r="P749" s="7">
        <v>8.256410206123084</v>
      </c>
      <c r="Q749" s="7">
        <v>0.0076038531891819</v>
      </c>
      <c r="R749" s="7">
        <v>0.0190885587755987</v>
      </c>
      <c r="S749" s="7">
        <v>0.0319270966404629</v>
      </c>
      <c r="T749" s="7">
        <v>0.3235826131898489</v>
      </c>
    </row>
    <row x14ac:dyDescent="0.25" r="750" customHeight="1" ht="19.5">
      <c r="A750" s="2" t="s">
        <v>784</v>
      </c>
      <c r="B750" s="2" t="s">
        <v>30</v>
      </c>
      <c r="C750" s="2" t="s">
        <v>31</v>
      </c>
      <c r="D750" s="2" t="s">
        <v>650</v>
      </c>
      <c r="E750" s="6">
        <v>1</v>
      </c>
      <c r="F750" s="6">
        <v>0</v>
      </c>
      <c r="G750" s="7">
        <v>0.373425543308258</v>
      </c>
      <c r="H750" s="7">
        <v>39.13854140625</v>
      </c>
      <c r="I750" s="7">
        <v>27.16452054662844</v>
      </c>
      <c r="J750" s="7">
        <v>8.893647201571067</v>
      </c>
      <c r="K750" s="7">
        <v>4.661711637484706</v>
      </c>
      <c r="L750" s="7">
        <v>0.867291466633919</v>
      </c>
      <c r="M750" s="7">
        <v>0.6665157437110387</v>
      </c>
      <c r="N750" s="7">
        <v>0.4193606405389283</v>
      </c>
      <c r="O750" s="7">
        <v>0.0648145243635062</v>
      </c>
      <c r="P750" s="7">
        <v>8.349543005809977</v>
      </c>
      <c r="Q750" s="7">
        <v>0.0091318555339078</v>
      </c>
      <c r="R750" s="7">
        <v>0.021482090696162</v>
      </c>
      <c r="S750" s="7">
        <v>0.0344663556026804</v>
      </c>
      <c r="T750" s="7">
        <v>0.4148149967282008</v>
      </c>
    </row>
    <row x14ac:dyDescent="0.25" r="751" customHeight="1" ht="19.5">
      <c r="A751" s="2" t="s">
        <v>785</v>
      </c>
      <c r="B751" s="2" t="s">
        <v>30</v>
      </c>
      <c r="C751" s="2" t="s">
        <v>31</v>
      </c>
      <c r="D751" s="2" t="s">
        <v>650</v>
      </c>
      <c r="E751" s="6">
        <v>1</v>
      </c>
      <c r="F751" s="6">
        <v>0</v>
      </c>
      <c r="G751" s="7">
        <v>0.4448280334472656</v>
      </c>
      <c r="H751" s="7">
        <v>35.9834921875</v>
      </c>
      <c r="I751" s="7">
        <v>24.96270719097985</v>
      </c>
      <c r="J751" s="7">
        <v>8.210660150470364</v>
      </c>
      <c r="K751" s="7">
        <v>4.379742917178463</v>
      </c>
      <c r="L751" s="7">
        <v>0.8533186383740611</v>
      </c>
      <c r="M751" s="7">
        <v>0.7256543585456031</v>
      </c>
      <c r="N751" s="7">
        <v>0.4172833045119245</v>
      </c>
      <c r="O751" s="7">
        <v>0.0658380105931126</v>
      </c>
      <c r="P751" s="7">
        <v>8.252925598115064</v>
      </c>
      <c r="Q751" s="7">
        <v>0.0081080341484074</v>
      </c>
      <c r="R751" s="7">
        <v>0.0198969826660539</v>
      </c>
      <c r="S751" s="7">
        <v>0.0347272059984223</v>
      </c>
      <c r="T751" s="7">
        <v>0.3386177022507689</v>
      </c>
    </row>
    <row x14ac:dyDescent="0.25" r="752" customHeight="1" ht="19.5">
      <c r="A752" s="2" t="s">
        <v>786</v>
      </c>
      <c r="B752" s="2" t="s">
        <v>30</v>
      </c>
      <c r="C752" s="2" t="s">
        <v>31</v>
      </c>
      <c r="D752" s="2" t="s">
        <v>650</v>
      </c>
      <c r="E752" s="6">
        <v>1</v>
      </c>
      <c r="F752" s="6">
        <v>0</v>
      </c>
      <c r="G752" s="7">
        <v>0.4595729112625122</v>
      </c>
      <c r="H752" s="7">
        <v>34.8890953125</v>
      </c>
      <c r="I752" s="7">
        <v>24.95470134531265</v>
      </c>
      <c r="J752" s="7">
        <v>8.079391966268847</v>
      </c>
      <c r="K752" s="7">
        <v>4.349617469910376</v>
      </c>
      <c r="L752" s="7">
        <v>0.846564279666376</v>
      </c>
      <c r="M752" s="7">
        <v>0.7040359223102751</v>
      </c>
      <c r="N752" s="7">
        <v>0.426924783268182</v>
      </c>
      <c r="O752" s="7">
        <v>0.0677216788503508</v>
      </c>
      <c r="P752" s="7">
        <v>8.245923179726677</v>
      </c>
      <c r="Q752" s="7">
        <v>0.0080350220792562</v>
      </c>
      <c r="R752" s="7">
        <v>0.0194096838845935</v>
      </c>
      <c r="S752" s="7">
        <v>0.0337039429223645</v>
      </c>
      <c r="T752" s="7">
        <v>0.3253625496804717</v>
      </c>
    </row>
    <row x14ac:dyDescent="0.25" r="753" customHeight="1" ht="19.5">
      <c r="A753" s="2" t="s">
        <v>787</v>
      </c>
      <c r="B753" s="2" t="s">
        <v>30</v>
      </c>
      <c r="C753" s="2" t="s">
        <v>31</v>
      </c>
      <c r="D753" s="2" t="s">
        <v>650</v>
      </c>
      <c r="E753" s="6">
        <v>1</v>
      </c>
      <c r="F753" s="6">
        <v>0</v>
      </c>
      <c r="G753" s="7">
        <v>0.4525041580200195</v>
      </c>
      <c r="H753" s="7">
        <v>38.28311093750001</v>
      </c>
      <c r="I753" s="7">
        <v>26.35281361467356</v>
      </c>
      <c r="J753" s="7">
        <v>8.963395877572715</v>
      </c>
      <c r="K753" s="7">
        <v>4.254953468652738</v>
      </c>
      <c r="L753" s="7">
        <v>0.8859562139023529</v>
      </c>
      <c r="M753" s="7">
        <v>0.6927285789673997</v>
      </c>
      <c r="N753" s="7">
        <v>0.4153842094933511</v>
      </c>
      <c r="O753" s="7">
        <v>0.0651922324349436</v>
      </c>
      <c r="P753" s="7">
        <v>8.28906558702279</v>
      </c>
      <c r="Q753" s="7">
        <v>0.0090751886147172</v>
      </c>
      <c r="R753" s="7">
        <v>0.0215675357613502</v>
      </c>
      <c r="S753" s="7">
        <v>0.0330572931437431</v>
      </c>
      <c r="T753" s="7">
        <v>0.403230767045014</v>
      </c>
    </row>
    <row x14ac:dyDescent="0.25" r="754" customHeight="1" ht="19.5">
      <c r="A754" s="2" t="s">
        <v>788</v>
      </c>
      <c r="B754" s="2" t="s">
        <v>30</v>
      </c>
      <c r="C754" s="2" t="s">
        <v>31</v>
      </c>
      <c r="D754" s="2" t="s">
        <v>650</v>
      </c>
      <c r="E754" s="6">
        <v>1</v>
      </c>
      <c r="F754" s="6">
        <v>0</v>
      </c>
      <c r="G754" s="7">
        <v>0.4289265871047973</v>
      </c>
      <c r="H754" s="7">
        <v>39.83119765625</v>
      </c>
      <c r="I754" s="7">
        <v>26.96150411714589</v>
      </c>
      <c r="J754" s="7">
        <v>9.096568407585885</v>
      </c>
      <c r="K754" s="7">
        <v>4.689214716272415</v>
      </c>
      <c r="L754" s="7">
        <v>0.874851662540271</v>
      </c>
      <c r="M754" s="7">
        <v>0.6885650824079639</v>
      </c>
      <c r="N754" s="7">
        <v>0.4322637018746984</v>
      </c>
      <c r="O754" s="7">
        <v>0.0644757550107536</v>
      </c>
      <c r="P754" s="7">
        <v>8.367730694985571</v>
      </c>
      <c r="Q754" s="7">
        <v>0.0051755027104795</v>
      </c>
      <c r="R754" s="7">
        <v>0.0157699577538542</v>
      </c>
      <c r="S754" s="7">
        <v>0.0295396639517329</v>
      </c>
      <c r="T754" s="7">
        <v>0.2392581198035198</v>
      </c>
    </row>
    <row x14ac:dyDescent="0.25" r="755" customHeight="1" ht="19.5">
      <c r="A755" s="2" t="s">
        <v>789</v>
      </c>
      <c r="B755" s="2" t="s">
        <v>30</v>
      </c>
      <c r="C755" s="2" t="s">
        <v>31</v>
      </c>
      <c r="D755" s="2" t="s">
        <v>650</v>
      </c>
      <c r="E755" s="6">
        <v>1</v>
      </c>
      <c r="F755" s="6">
        <v>0</v>
      </c>
      <c r="G755" s="7">
        <v>0.4192604720592499</v>
      </c>
      <c r="H755" s="7">
        <v>36.3506</v>
      </c>
      <c r="I755" s="7">
        <v>25.21620863835154</v>
      </c>
      <c r="J755" s="7">
        <v>8.318980666791568</v>
      </c>
      <c r="K755" s="7">
        <v>4.458754078689717</v>
      </c>
      <c r="L755" s="7">
        <v>0.8561642022884012</v>
      </c>
      <c r="M755" s="7">
        <v>0.7183926318554572</v>
      </c>
      <c r="N755" s="7">
        <v>0.4216239823158134</v>
      </c>
      <c r="O755" s="7">
        <v>0.0663368333364694</v>
      </c>
      <c r="P755" s="7">
        <v>8.22939160251221</v>
      </c>
      <c r="Q755" s="7">
        <v>0.0082814996817087</v>
      </c>
      <c r="R755" s="7">
        <v>0.020833725161908</v>
      </c>
      <c r="S755" s="7">
        <v>0.0326259920284973</v>
      </c>
      <c r="T755" s="7">
        <v>0.3493907099765796</v>
      </c>
    </row>
    <row x14ac:dyDescent="0.25" r="756" customHeight="1" ht="19.5">
      <c r="A756" s="2" t="s">
        <v>790</v>
      </c>
      <c r="B756" s="2" t="s">
        <v>30</v>
      </c>
      <c r="C756" s="2" t="s">
        <v>31</v>
      </c>
      <c r="D756" s="2" t="s">
        <v>650</v>
      </c>
      <c r="E756" s="6">
        <v>1</v>
      </c>
      <c r="F756" s="6">
        <v>0</v>
      </c>
      <c r="G756" s="7">
        <v>0.4025890231132507</v>
      </c>
      <c r="H756" s="7">
        <v>36.37484296875</v>
      </c>
      <c r="I756" s="7">
        <v>25.24476727714972</v>
      </c>
      <c r="J756" s="7">
        <v>8.393394420740085</v>
      </c>
      <c r="K756" s="7">
        <v>4.766422462218241</v>
      </c>
      <c r="L756" s="7">
        <v>0.8470514511232987</v>
      </c>
      <c r="M756" s="7">
        <v>0.7172461872305057</v>
      </c>
      <c r="N756" s="7">
        <v>0.4615883332860455</v>
      </c>
      <c r="O756" s="7">
        <v>0.0702842436109443</v>
      </c>
      <c r="P756" s="7">
        <v>8.12976613860053</v>
      </c>
      <c r="Q756" s="7">
        <v>0.0066617287076953</v>
      </c>
      <c r="R756" s="7">
        <v>0.0183431219322282</v>
      </c>
      <c r="S756" s="7">
        <v>0.0296314080983326</v>
      </c>
      <c r="T756" s="7">
        <v>0.2812411400269246</v>
      </c>
    </row>
    <row x14ac:dyDescent="0.25" r="757" customHeight="1" ht="19.5">
      <c r="A757" s="2" t="s">
        <v>791</v>
      </c>
      <c r="B757" s="2" t="s">
        <v>30</v>
      </c>
      <c r="C757" s="2" t="s">
        <v>31</v>
      </c>
      <c r="D757" s="2" t="s">
        <v>650</v>
      </c>
      <c r="E757" s="6">
        <v>1</v>
      </c>
      <c r="F757" s="6">
        <v>0</v>
      </c>
      <c r="G757" s="7">
        <v>0.4549351930618286</v>
      </c>
      <c r="H757" s="7">
        <v>54.262690625</v>
      </c>
      <c r="I757" s="7">
        <v>30.01338281909141</v>
      </c>
      <c r="J757" s="7">
        <v>9.13872579519887</v>
      </c>
      <c r="K757" s="7">
        <v>7.071830138842764</v>
      </c>
      <c r="L757" s="7">
        <v>0.6701262859280399</v>
      </c>
      <c r="M757" s="7">
        <v>0.7569745756931493</v>
      </c>
      <c r="N757" s="7">
        <v>0.5425869576021396</v>
      </c>
      <c r="O757" s="7">
        <v>0.1303677878697544</v>
      </c>
      <c r="P757" s="7">
        <v>7.130395061629522</v>
      </c>
      <c r="Q757" s="7">
        <v>0.0056742134218235</v>
      </c>
      <c r="R757" s="7">
        <v>0.0188094552366933</v>
      </c>
      <c r="S757" s="7">
        <v>0.0320554441784252</v>
      </c>
      <c r="T757" s="7">
        <v>0.3573532788724663</v>
      </c>
    </row>
    <row x14ac:dyDescent="0.25" r="758" customHeight="1" ht="19.5">
      <c r="A758" s="2" t="s">
        <v>792</v>
      </c>
      <c r="B758" s="2" t="s">
        <v>30</v>
      </c>
      <c r="C758" s="2" t="s">
        <v>31</v>
      </c>
      <c r="D758" s="2" t="s">
        <v>650</v>
      </c>
      <c r="E758" s="6">
        <v>1</v>
      </c>
      <c r="F758" s="6">
        <v>0</v>
      </c>
      <c r="G758" s="7">
        <v>0.5616580247879028</v>
      </c>
      <c r="H758" s="7">
        <v>42.930834375</v>
      </c>
      <c r="I758" s="7">
        <v>27.27427555796597</v>
      </c>
      <c r="J758" s="7">
        <v>8.750749150692815</v>
      </c>
      <c r="K758" s="7">
        <v>6.427076660584627</v>
      </c>
      <c r="L758" s="7">
        <v>0.7426202049048058</v>
      </c>
      <c r="M758" s="7">
        <v>0.7252249642918449</v>
      </c>
      <c r="N758" s="7">
        <v>0.4754107963420515</v>
      </c>
      <c r="O758" s="7">
        <v>0.1664238431980542</v>
      </c>
      <c r="P758" s="7">
        <v>7.407029710151642</v>
      </c>
      <c r="Q758" s="7">
        <v>0.0037238420200649</v>
      </c>
      <c r="R758" s="7">
        <v>0.0139230382383827</v>
      </c>
      <c r="S758" s="7">
        <v>0.0361353763285675</v>
      </c>
      <c r="T758" s="7">
        <v>0.1855458979966553</v>
      </c>
    </row>
    <row x14ac:dyDescent="0.25" r="759" customHeight="1" ht="19.5">
      <c r="A759" s="2" t="s">
        <v>793</v>
      </c>
      <c r="B759" s="2" t="s">
        <v>30</v>
      </c>
      <c r="C759" s="2" t="s">
        <v>31</v>
      </c>
      <c r="D759" s="2" t="s">
        <v>650</v>
      </c>
      <c r="E759" s="6">
        <v>1</v>
      </c>
      <c r="F759" s="6">
        <v>0</v>
      </c>
      <c r="G759" s="7">
        <v>0.5885757803916931</v>
      </c>
      <c r="H759" s="7">
        <v>42.85117890625001</v>
      </c>
      <c r="I759" s="7">
        <v>28.27334601404434</v>
      </c>
      <c r="J759" s="7">
        <v>9.2918436594988</v>
      </c>
      <c r="K759" s="7">
        <v>6.234322399587098</v>
      </c>
      <c r="L759" s="7">
        <v>0.7831920201865306</v>
      </c>
      <c r="M759" s="7">
        <v>0.67362503974116</v>
      </c>
      <c r="N759" s="7">
        <v>0.4914140103364988</v>
      </c>
      <c r="O759" s="7">
        <v>0.2189112257295936</v>
      </c>
      <c r="P759" s="7">
        <v>7.299710532106999</v>
      </c>
      <c r="Q759" s="7">
        <v>0.0041020711055662</v>
      </c>
      <c r="R759" s="7">
        <v>0.0152721282142901</v>
      </c>
      <c r="S759" s="7">
        <v>0.0422791488213344</v>
      </c>
      <c r="T759" s="7">
        <v>0.2040124816969278</v>
      </c>
    </row>
    <row x14ac:dyDescent="0.25" r="760" customHeight="1" ht="19.5">
      <c r="A760" s="2" t="s">
        <v>794</v>
      </c>
      <c r="B760" s="2" t="s">
        <v>30</v>
      </c>
      <c r="C760" s="2" t="s">
        <v>31</v>
      </c>
      <c r="D760" s="2" t="s">
        <v>650</v>
      </c>
      <c r="E760" s="6">
        <v>1</v>
      </c>
      <c r="F760" s="6">
        <v>0</v>
      </c>
      <c r="G760" s="7">
        <v>0.55881667137146</v>
      </c>
      <c r="H760" s="7">
        <v>46.78546640625</v>
      </c>
      <c r="I760" s="7">
        <v>28.60971464794928</v>
      </c>
      <c r="J760" s="7">
        <v>9.405195176840383</v>
      </c>
      <c r="K760" s="7">
        <v>6.373254053123501</v>
      </c>
      <c r="L760" s="7">
        <v>0.7678777152860741</v>
      </c>
      <c r="M760" s="7">
        <v>0.718014149246855</v>
      </c>
      <c r="N760" s="7">
        <v>0.4642099300206361</v>
      </c>
      <c r="O760" s="7">
        <v>0.1927659241140519</v>
      </c>
      <c r="P760" s="7">
        <v>7.558786860968175</v>
      </c>
      <c r="Q760" s="7">
        <v>0.0037596173763724</v>
      </c>
      <c r="R760" s="7">
        <v>0.0140325635972627</v>
      </c>
      <c r="S760" s="7">
        <v>0.0371995279053827</v>
      </c>
      <c r="T760" s="7">
        <v>0.2041481231570227</v>
      </c>
    </row>
    <row x14ac:dyDescent="0.25" r="761" customHeight="1" ht="19.5">
      <c r="A761" s="2" t="s">
        <v>795</v>
      </c>
      <c r="B761" s="2" t="s">
        <v>30</v>
      </c>
      <c r="C761" s="2" t="s">
        <v>31</v>
      </c>
      <c r="D761" s="2" t="s">
        <v>650</v>
      </c>
      <c r="E761" s="6">
        <v>1</v>
      </c>
      <c r="F761" s="6">
        <v>0</v>
      </c>
      <c r="G761" s="7">
        <v>0.5255699753761292</v>
      </c>
      <c r="H761" s="7">
        <v>48.38203906250001</v>
      </c>
      <c r="I761" s="7">
        <v>28.61562933570584</v>
      </c>
      <c r="J761" s="7">
        <v>9.270477427582009</v>
      </c>
      <c r="K761" s="7">
        <v>6.572591709898942</v>
      </c>
      <c r="L761" s="7">
        <v>0.7306799479370899</v>
      </c>
      <c r="M761" s="7">
        <v>0.7424845626323191</v>
      </c>
      <c r="N761" s="7">
        <v>0.4534737200072129</v>
      </c>
      <c r="O761" s="7">
        <v>0.1765249949054802</v>
      </c>
      <c r="P761" s="7">
        <v>7.634728479311439</v>
      </c>
      <c r="Q761" s="7">
        <v>0.0035678234825702</v>
      </c>
      <c r="R761" s="7">
        <v>0.0143563513409613</v>
      </c>
      <c r="S761" s="7">
        <v>0.0361604465429402</v>
      </c>
      <c r="T761" s="7">
        <v>0.2003449073623041</v>
      </c>
    </row>
    <row x14ac:dyDescent="0.25" r="762" customHeight="1" ht="19.5">
      <c r="A762" s="2" t="s">
        <v>796</v>
      </c>
      <c r="B762" s="2" t="s">
        <v>30</v>
      </c>
      <c r="C762" s="2" t="s">
        <v>31</v>
      </c>
      <c r="D762" s="2" t="s">
        <v>650</v>
      </c>
      <c r="E762" s="6">
        <v>1</v>
      </c>
      <c r="F762" s="6">
        <v>0</v>
      </c>
      <c r="G762" s="7">
        <v>0.5371555685997009</v>
      </c>
      <c r="H762" s="7">
        <v>46.59498593750001</v>
      </c>
      <c r="I762" s="7">
        <v>28.80054291594337</v>
      </c>
      <c r="J762" s="7">
        <v>9.380311083251916</v>
      </c>
      <c r="K762" s="7">
        <v>6.490231176825295</v>
      </c>
      <c r="L762" s="7">
        <v>0.7617486462145463</v>
      </c>
      <c r="M762" s="7">
        <v>0.705907343205512</v>
      </c>
      <c r="N762" s="7">
        <v>0.4559570717316484</v>
      </c>
      <c r="O762" s="7">
        <v>0.1871454898909542</v>
      </c>
      <c r="P762" s="7">
        <v>7.563037892609485</v>
      </c>
      <c r="Q762" s="7">
        <v>0.0037206840513819</v>
      </c>
      <c r="R762" s="7">
        <v>0.0142177306596626</v>
      </c>
      <c r="S762" s="7">
        <v>0.0360016258064938</v>
      </c>
      <c r="T762" s="7">
        <v>0.2012114810415178</v>
      </c>
    </row>
    <row x14ac:dyDescent="0.25" r="763" customHeight="1" ht="19.5">
      <c r="A763" s="2" t="s">
        <v>797</v>
      </c>
      <c r="B763" s="2" t="s">
        <v>30</v>
      </c>
      <c r="C763" s="2" t="s">
        <v>31</v>
      </c>
      <c r="D763" s="2" t="s">
        <v>650</v>
      </c>
      <c r="E763" s="6">
        <v>1</v>
      </c>
      <c r="F763" s="6">
        <v>0</v>
      </c>
      <c r="G763" s="7">
        <v>0.5523428320884705</v>
      </c>
      <c r="H763" s="7">
        <v>46.55688984375</v>
      </c>
      <c r="I763" s="7">
        <v>28.11836465856496</v>
      </c>
      <c r="J763" s="7">
        <v>9.126136554561752</v>
      </c>
      <c r="K763" s="7">
        <v>6.256900437486423</v>
      </c>
      <c r="L763" s="7">
        <v>0.7569834748636084</v>
      </c>
      <c r="M763" s="7">
        <v>0.73974912797496</v>
      </c>
      <c r="N763" s="7">
        <v>0.4538814758734839</v>
      </c>
      <c r="O763" s="7">
        <v>0.1794381217269903</v>
      </c>
      <c r="P763" s="7">
        <v>7.590376380518048</v>
      </c>
      <c r="Q763" s="7">
        <v>0.003847019620697</v>
      </c>
      <c r="R763" s="7">
        <v>0.0146380592359588</v>
      </c>
      <c r="S763" s="7">
        <v>0.0381530851305005</v>
      </c>
      <c r="T763" s="7">
        <v>0.2078735063485919</v>
      </c>
    </row>
    <row x14ac:dyDescent="0.25" r="764" customHeight="1" ht="19.5">
      <c r="A764" s="2" t="s">
        <v>798</v>
      </c>
      <c r="B764" s="2" t="s">
        <v>30</v>
      </c>
      <c r="C764" s="2" t="s">
        <v>31</v>
      </c>
      <c r="D764" s="2" t="s">
        <v>650</v>
      </c>
      <c r="E764" s="6">
        <v>1</v>
      </c>
      <c r="F764" s="6">
        <v>0</v>
      </c>
      <c r="G764" s="7">
        <v>0.5609219670295715</v>
      </c>
      <c r="H764" s="7">
        <v>47.7586484375</v>
      </c>
      <c r="I764" s="7">
        <v>29.59414699865323</v>
      </c>
      <c r="J764" s="7">
        <v>9.629212408754846</v>
      </c>
      <c r="K764" s="7">
        <v>6.454322337213247</v>
      </c>
      <c r="L764" s="7">
        <v>0.7898721611906024</v>
      </c>
      <c r="M764" s="7">
        <v>0.685202192438832</v>
      </c>
      <c r="N764" s="7">
        <v>0.4664927579000489</v>
      </c>
      <c r="O764" s="7">
        <v>0.1969334972878513</v>
      </c>
      <c r="P764" s="7">
        <v>7.537852968450917</v>
      </c>
      <c r="Q764" s="7">
        <v>0.0041022272883446</v>
      </c>
      <c r="R764" s="7">
        <v>0.0151575742670407</v>
      </c>
      <c r="S764" s="7">
        <v>0.043893002718534</v>
      </c>
      <c r="T764" s="7">
        <v>0.2273853744254927</v>
      </c>
    </row>
    <row x14ac:dyDescent="0.25" r="765" customHeight="1" ht="19.5">
      <c r="A765" s="2" t="s">
        <v>799</v>
      </c>
      <c r="B765" s="2" t="s">
        <v>30</v>
      </c>
      <c r="C765" s="2" t="s">
        <v>31</v>
      </c>
      <c r="D765" s="2" t="s">
        <v>650</v>
      </c>
      <c r="E765" s="6">
        <v>1</v>
      </c>
      <c r="F765" s="6">
        <v>0</v>
      </c>
      <c r="G765" s="7">
        <v>0.5636259317398071</v>
      </c>
      <c r="H765" s="7">
        <v>46.61922890625</v>
      </c>
      <c r="I765" s="7">
        <v>28.92833921858453</v>
      </c>
      <c r="J765" s="7">
        <v>9.277080988100591</v>
      </c>
      <c r="K765" s="7">
        <v>6.291649175372232</v>
      </c>
      <c r="L765" s="7">
        <v>0.7587424330431675</v>
      </c>
      <c r="M765" s="7">
        <v>0.7000482061147211</v>
      </c>
      <c r="N765" s="7">
        <v>0.4583161093673614</v>
      </c>
      <c r="O765" s="7">
        <v>0.1794154057720626</v>
      </c>
      <c r="P765" s="7">
        <v>7.649564071892524</v>
      </c>
      <c r="Q765" s="7">
        <v>0.0042165343755851</v>
      </c>
      <c r="R765" s="7">
        <v>0.0150184118831953</v>
      </c>
      <c r="S765" s="7">
        <v>0.0399183531676266</v>
      </c>
      <c r="T765" s="7">
        <v>0.2281452920791246</v>
      </c>
    </row>
    <row x14ac:dyDescent="0.25" r="766" customHeight="1" ht="19.5">
      <c r="A766" s="2" t="s">
        <v>800</v>
      </c>
      <c r="B766" s="2" t="s">
        <v>30</v>
      </c>
      <c r="C766" s="2" t="s">
        <v>31</v>
      </c>
      <c r="D766" s="2" t="s">
        <v>650</v>
      </c>
      <c r="E766" s="6">
        <v>1</v>
      </c>
      <c r="F766" s="6">
        <v>0</v>
      </c>
      <c r="G766" s="7">
        <v>0.5880470871925354</v>
      </c>
      <c r="H766" s="7">
        <v>46.38372578125</v>
      </c>
      <c r="I766" s="7">
        <v>28.50629466828504</v>
      </c>
      <c r="J766" s="7">
        <v>9.193033951450865</v>
      </c>
      <c r="K766" s="7">
        <v>6.365877002138159</v>
      </c>
      <c r="L766" s="7">
        <v>0.7540866905457142</v>
      </c>
      <c r="M766" s="7">
        <v>0.7172886424857338</v>
      </c>
      <c r="N766" s="7">
        <v>0.4574466930237983</v>
      </c>
      <c r="O766" s="7">
        <v>0.1818023951758946</v>
      </c>
      <c r="P766" s="7">
        <v>7.605309492396167</v>
      </c>
      <c r="Q766" s="7">
        <v>0.0041122807253317</v>
      </c>
      <c r="R766" s="7">
        <v>0.0148163151129826</v>
      </c>
      <c r="S766" s="7">
        <v>0.0425974098498684</v>
      </c>
      <c r="T766" s="7">
        <v>0.2213803984209456</v>
      </c>
    </row>
    <row x14ac:dyDescent="0.25" r="767" customHeight="1" ht="19.5">
      <c r="A767" s="2" t="s">
        <v>801</v>
      </c>
      <c r="B767" s="2" t="s">
        <v>30</v>
      </c>
      <c r="C767" s="2" t="s">
        <v>31</v>
      </c>
      <c r="D767" s="2" t="s">
        <v>650</v>
      </c>
      <c r="E767" s="6">
        <v>1</v>
      </c>
      <c r="F767" s="6">
        <v>0</v>
      </c>
      <c r="G767" s="7">
        <v>0.575986921787262</v>
      </c>
      <c r="H767" s="7">
        <v>46.68849453125</v>
      </c>
      <c r="I767" s="7">
        <v>30.33690727749861</v>
      </c>
      <c r="J767" s="7">
        <v>9.447019872159624</v>
      </c>
      <c r="K767" s="7">
        <v>6.231997020502201</v>
      </c>
      <c r="L767" s="7">
        <v>0.7802775151708641</v>
      </c>
      <c r="M767" s="7">
        <v>0.6374955037107983</v>
      </c>
      <c r="N767" s="7">
        <v>0.4533208399034921</v>
      </c>
      <c r="O767" s="7">
        <v>0.1811582704999271</v>
      </c>
      <c r="P767" s="7">
        <v>7.681135147993142</v>
      </c>
      <c r="Q767" s="7">
        <v>0.0042874954066725</v>
      </c>
      <c r="R767" s="7">
        <v>0.0153007724630315</v>
      </c>
      <c r="S767" s="7">
        <v>0.0401389282076513</v>
      </c>
      <c r="T767" s="7">
        <v>0.232329478825735</v>
      </c>
    </row>
    <row x14ac:dyDescent="0.25" r="768" customHeight="1" ht="19.5">
      <c r="A768" s="2" t="s">
        <v>802</v>
      </c>
      <c r="B768" s="2" t="s">
        <v>30</v>
      </c>
      <c r="C768" s="2" t="s">
        <v>31</v>
      </c>
      <c r="D768" s="2" t="s">
        <v>650</v>
      </c>
      <c r="E768" s="6">
        <v>1</v>
      </c>
      <c r="F768" s="6">
        <v>0</v>
      </c>
      <c r="G768" s="7">
        <v>0.592448890209198</v>
      </c>
      <c r="H768" s="7">
        <v>41.34118828125001</v>
      </c>
      <c r="I768" s="7">
        <v>26.56807976358597</v>
      </c>
      <c r="J768" s="7">
        <v>8.962673428062036</v>
      </c>
      <c r="K768" s="7">
        <v>6.196842195677155</v>
      </c>
      <c r="L768" s="7">
        <v>0.7765072598725279</v>
      </c>
      <c r="M768" s="7">
        <v>0.7359909712058671</v>
      </c>
      <c r="N768" s="7">
        <v>0.4613173891335368</v>
      </c>
      <c r="O768" s="7">
        <v>0.1837342471820653</v>
      </c>
      <c r="P768" s="7">
        <v>7.467393145107351</v>
      </c>
      <c r="Q768" s="7">
        <v>0.0036828049369728</v>
      </c>
      <c r="R768" s="7">
        <v>0.0143356044101769</v>
      </c>
      <c r="S768" s="7">
        <v>0.0387433790031766</v>
      </c>
      <c r="T768" s="7">
        <v>0.1767064704185129</v>
      </c>
    </row>
    <row x14ac:dyDescent="0.25" r="769" customHeight="1" ht="19.5">
      <c r="A769" s="2" t="s">
        <v>803</v>
      </c>
      <c r="B769" s="2" t="s">
        <v>30</v>
      </c>
      <c r="C769" s="2" t="s">
        <v>31</v>
      </c>
      <c r="D769" s="2" t="s">
        <v>650</v>
      </c>
      <c r="E769" s="6">
        <v>1</v>
      </c>
      <c r="F769" s="6">
        <v>0</v>
      </c>
      <c r="G769" s="7">
        <v>0.568202555179596</v>
      </c>
      <c r="H769" s="7">
        <v>49.49375234375</v>
      </c>
      <c r="I769" s="7">
        <v>30.43823609925221</v>
      </c>
      <c r="J769" s="7">
        <v>9.474462674046997</v>
      </c>
      <c r="K769" s="7">
        <v>6.589463694108067</v>
      </c>
      <c r="L769" s="7">
        <v>0.7445441439399705</v>
      </c>
      <c r="M769" s="7">
        <v>0.6713071643659735</v>
      </c>
      <c r="N769" s="7">
        <v>0.4478336687731437</v>
      </c>
      <c r="O769" s="7">
        <v>0.1689766868082886</v>
      </c>
      <c r="P769" s="7">
        <v>7.730818843570409</v>
      </c>
      <c r="Q769" s="7">
        <v>0.0040041188333711</v>
      </c>
      <c r="R769" s="7">
        <v>0.0146949231261047</v>
      </c>
      <c r="S769" s="7">
        <v>0.0410640985188506</v>
      </c>
      <c r="T769" s="7">
        <v>0.2300107419218569</v>
      </c>
    </row>
    <row x14ac:dyDescent="0.25" r="770" customHeight="1" ht="19.5">
      <c r="A770" s="2" t="s">
        <v>804</v>
      </c>
      <c r="B770" s="2" t="s">
        <v>30</v>
      </c>
      <c r="C770" s="2" t="s">
        <v>31</v>
      </c>
      <c r="D770" s="2" t="s">
        <v>650</v>
      </c>
      <c r="E770" s="6">
        <v>1</v>
      </c>
      <c r="F770" s="6">
        <v>0</v>
      </c>
      <c r="G770" s="7">
        <v>0.5528455376625061</v>
      </c>
      <c r="H770" s="7">
        <v>44.85988203125</v>
      </c>
      <c r="I770" s="7">
        <v>27.56470027577837</v>
      </c>
      <c r="J770" s="7">
        <v>9.039951920132705</v>
      </c>
      <c r="K770" s="7">
        <v>6.672763496154618</v>
      </c>
      <c r="L770" s="7">
        <v>0.7301309310368548</v>
      </c>
      <c r="M770" s="7">
        <v>0.74187017601283</v>
      </c>
      <c r="N770" s="7">
        <v>0.4653933133355303</v>
      </c>
      <c r="O770" s="7">
        <v>0.1900128488290942</v>
      </c>
      <c r="P770" s="7">
        <v>7.442038763209096</v>
      </c>
      <c r="Q770" s="7">
        <v>0.0037252090931425</v>
      </c>
      <c r="R770" s="7">
        <v>0.0142399795050729</v>
      </c>
      <c r="S770" s="7">
        <v>0.0391650737901619</v>
      </c>
      <c r="T770" s="7">
        <v>0.1939543666336154</v>
      </c>
    </row>
    <row x14ac:dyDescent="0.25" r="771" customHeight="1" ht="19.5">
      <c r="A771" s="2" t="s">
        <v>805</v>
      </c>
      <c r="B771" s="2" t="s">
        <v>30</v>
      </c>
      <c r="C771" s="2" t="s">
        <v>31</v>
      </c>
      <c r="D771" s="2" t="s">
        <v>650</v>
      </c>
      <c r="E771" s="6">
        <v>1</v>
      </c>
      <c r="F771" s="6">
        <v>0</v>
      </c>
      <c r="G771" s="7">
        <v>0.562172532081604</v>
      </c>
      <c r="H771" s="7">
        <v>43.19404375000001</v>
      </c>
      <c r="I771" s="7">
        <v>28.11280875678373</v>
      </c>
      <c r="J771" s="7">
        <v>9.07750098916799</v>
      </c>
      <c r="K771" s="7">
        <v>6.545050641376875</v>
      </c>
      <c r="L771" s="7">
        <v>0.7584777905317709</v>
      </c>
      <c r="M771" s="7">
        <v>0.6863515037689413</v>
      </c>
      <c r="N771" s="7">
        <v>0.4673437034724333</v>
      </c>
      <c r="O771" s="7">
        <v>0.1974132121295794</v>
      </c>
      <c r="P771" s="7">
        <v>7.466120886221934</v>
      </c>
      <c r="Q771" s="7">
        <v>0.0041771049521717</v>
      </c>
      <c r="R771" s="7">
        <v>0.0151914963204866</v>
      </c>
      <c r="S771" s="7">
        <v>0.0408089998791525</v>
      </c>
      <c r="T771" s="7">
        <v>0.2094064388120624</v>
      </c>
    </row>
    <row x14ac:dyDescent="0.25" r="772" customHeight="1" ht="19.5">
      <c r="A772" s="2" t="s">
        <v>806</v>
      </c>
      <c r="B772" s="2" t="s">
        <v>30</v>
      </c>
      <c r="C772" s="2" t="s">
        <v>31</v>
      </c>
      <c r="D772" s="2" t="s">
        <v>650</v>
      </c>
      <c r="E772" s="6">
        <v>1</v>
      </c>
      <c r="F772" s="6">
        <v>0</v>
      </c>
      <c r="G772" s="7">
        <v>0.5529546737670898</v>
      </c>
      <c r="H772" s="7">
        <v>49.45911953125</v>
      </c>
      <c r="I772" s="7">
        <v>29.66273486578739</v>
      </c>
      <c r="J772" s="7">
        <v>9.370584736227508</v>
      </c>
      <c r="K772" s="7">
        <v>6.392865234508437</v>
      </c>
      <c r="L772" s="7">
        <v>0.7511975577442803</v>
      </c>
      <c r="M772" s="7">
        <v>0.7063726329200153</v>
      </c>
      <c r="N772" s="7">
        <v>0.4495154321688023</v>
      </c>
      <c r="O772" s="7">
        <v>0.166863397592</v>
      </c>
      <c r="P772" s="7">
        <v>7.717716559166824</v>
      </c>
      <c r="Q772" s="7">
        <v>0.0039389700966453</v>
      </c>
      <c r="R772" s="7">
        <v>0.0145979729687708</v>
      </c>
      <c r="S772" s="7">
        <v>0.0376463224956689</v>
      </c>
      <c r="T772" s="7">
        <v>0.2261100388820764</v>
      </c>
    </row>
    <row x14ac:dyDescent="0.25" r="773" customHeight="1" ht="19.5">
      <c r="A773" s="2" t="s">
        <v>807</v>
      </c>
      <c r="B773" s="2" t="s">
        <v>30</v>
      </c>
      <c r="C773" s="2" t="s">
        <v>31</v>
      </c>
      <c r="D773" s="2" t="s">
        <v>650</v>
      </c>
      <c r="E773" s="6">
        <v>1</v>
      </c>
      <c r="F773" s="6">
        <v>0</v>
      </c>
      <c r="G773" s="7">
        <v>0.5372537970542908</v>
      </c>
      <c r="H773" s="7">
        <v>50.31801328125</v>
      </c>
      <c r="I773" s="7">
        <v>30.72621087317865</v>
      </c>
      <c r="J773" s="7">
        <v>9.597347039357484</v>
      </c>
      <c r="K773" s="7">
        <v>6.481656691823081</v>
      </c>
      <c r="L773" s="7">
        <v>0.7567044662368403</v>
      </c>
      <c r="M773" s="7">
        <v>0.6697540305915823</v>
      </c>
      <c r="N773" s="7">
        <v>0.4414885380705164</v>
      </c>
      <c r="O773" s="7">
        <v>0.1580139404851688</v>
      </c>
      <c r="P773" s="7">
        <v>7.828526247013439</v>
      </c>
      <c r="Q773" s="7">
        <v>0.0042967829201238</v>
      </c>
      <c r="R773" s="7">
        <v>0.0151849341378099</v>
      </c>
      <c r="S773" s="7">
        <v>0.0428465435483328</v>
      </c>
      <c r="T773" s="7">
        <v>0.2509329420606472</v>
      </c>
    </row>
    <row x14ac:dyDescent="0.25" r="774" customHeight="1" ht="19.5">
      <c r="A774" s="2" t="s">
        <v>808</v>
      </c>
      <c r="B774" s="2" t="s">
        <v>30</v>
      </c>
      <c r="C774" s="2" t="s">
        <v>31</v>
      </c>
      <c r="D774" s="2" t="s">
        <v>650</v>
      </c>
      <c r="E774" s="6">
        <v>1</v>
      </c>
      <c r="F774" s="6">
        <v>0</v>
      </c>
      <c r="G774" s="7">
        <v>0.5720603466033936</v>
      </c>
      <c r="H774" s="7">
        <v>44.26073437500001</v>
      </c>
      <c r="I774" s="7">
        <v>27.82029288106069</v>
      </c>
      <c r="J774" s="7">
        <v>8.985803977861009</v>
      </c>
      <c r="K774" s="7">
        <v>6.397265861611929</v>
      </c>
      <c r="L774" s="7">
        <v>0.7452807930372154</v>
      </c>
      <c r="M774" s="7">
        <v>0.7185733400163943</v>
      </c>
      <c r="N774" s="7">
        <v>0.4567422703065726</v>
      </c>
      <c r="O774" s="7">
        <v>0.1799263992903685</v>
      </c>
      <c r="P774" s="7">
        <v>7.537795476238584</v>
      </c>
      <c r="Q774" s="7">
        <v>0.0037972971230168</v>
      </c>
      <c r="R774" s="7">
        <v>0.0141951554328278</v>
      </c>
      <c r="S774" s="7">
        <v>0.0394127152737054</v>
      </c>
      <c r="T774" s="7">
        <v>0.1950670767693112</v>
      </c>
    </row>
    <row x14ac:dyDescent="0.25" r="775" customHeight="1" ht="19.5">
      <c r="A775" s="2" t="s">
        <v>809</v>
      </c>
      <c r="B775" s="2" t="s">
        <v>30</v>
      </c>
      <c r="C775" s="2" t="s">
        <v>31</v>
      </c>
      <c r="D775" s="2" t="s">
        <v>650</v>
      </c>
      <c r="E775" s="6">
        <v>1</v>
      </c>
      <c r="F775" s="6">
        <v>0</v>
      </c>
      <c r="G775" s="7">
        <v>0.5788519382476807</v>
      </c>
      <c r="H775" s="7">
        <v>48.14307265625001</v>
      </c>
      <c r="I775" s="7">
        <v>29.08887647584515</v>
      </c>
      <c r="J775" s="7">
        <v>9.361032579421424</v>
      </c>
      <c r="K775" s="7">
        <v>6.439672957325697</v>
      </c>
      <c r="L775" s="7">
        <v>0.7514192737232417</v>
      </c>
      <c r="M775" s="7">
        <v>0.7149732182180772</v>
      </c>
      <c r="N775" s="7">
        <v>0.4661367510675034</v>
      </c>
      <c r="O775" s="7">
        <v>0.1927105973460885</v>
      </c>
      <c r="P775" s="7">
        <v>7.573476311904525</v>
      </c>
      <c r="Q775" s="7">
        <v>0.0039544482630706</v>
      </c>
      <c r="R775" s="7">
        <v>0.0144325399200134</v>
      </c>
      <c r="S775" s="7">
        <v>0.0367233772799588</v>
      </c>
      <c r="T775" s="7">
        <v>0.2209583829848393</v>
      </c>
    </row>
    <row x14ac:dyDescent="0.25" r="776" customHeight="1" ht="19.5">
      <c r="A776" s="2" t="s">
        <v>810</v>
      </c>
      <c r="B776" s="2" t="s">
        <v>30</v>
      </c>
      <c r="C776" s="2" t="s">
        <v>31</v>
      </c>
      <c r="D776" s="2" t="s">
        <v>650</v>
      </c>
      <c r="E776" s="6">
        <v>1</v>
      </c>
      <c r="F776" s="6">
        <v>0</v>
      </c>
      <c r="G776" s="7">
        <v>0.5315935015678406</v>
      </c>
      <c r="H776" s="7">
        <v>43.99406171875</v>
      </c>
      <c r="I776" s="7">
        <v>27.86904552701453</v>
      </c>
      <c r="J776" s="7">
        <v>9.0304744295399</v>
      </c>
      <c r="K776" s="7">
        <v>6.22268704984761</v>
      </c>
      <c r="L776" s="7">
        <v>0.7578655714225545</v>
      </c>
      <c r="M776" s="7">
        <v>0.7118028682650575</v>
      </c>
      <c r="N776" s="7">
        <v>0.4515957093361153</v>
      </c>
      <c r="O776" s="7">
        <v>0.1781022130132386</v>
      </c>
      <c r="P776" s="7">
        <v>7.540987956730417</v>
      </c>
      <c r="Q776" s="7">
        <v>0.0040328693311344</v>
      </c>
      <c r="R776" s="7">
        <v>0.0150423754583498</v>
      </c>
      <c r="S776" s="7">
        <v>0.0380986996040019</v>
      </c>
      <c r="T776" s="7">
        <v>0.2059202185444753</v>
      </c>
    </row>
    <row x14ac:dyDescent="0.25" r="777" customHeight="1" ht="19.5">
      <c r="A777" s="2" t="s">
        <v>811</v>
      </c>
      <c r="B777" s="2" t="s">
        <v>30</v>
      </c>
      <c r="C777" s="2" t="s">
        <v>31</v>
      </c>
      <c r="D777" s="2" t="s">
        <v>650</v>
      </c>
      <c r="E777" s="6">
        <v>1</v>
      </c>
      <c r="F777" s="6">
        <v>0</v>
      </c>
      <c r="G777" s="7">
        <v>0.5473211407661438</v>
      </c>
      <c r="H777" s="7">
        <v>42.76113359375</v>
      </c>
      <c r="I777" s="7">
        <v>27.88923953417018</v>
      </c>
      <c r="J777" s="7">
        <v>9.211891797869846</v>
      </c>
      <c r="K777" s="7">
        <v>6.481854708985365</v>
      </c>
      <c r="L777" s="7">
        <v>0.7804398448890616</v>
      </c>
      <c r="M777" s="7">
        <v>0.6907971761343285</v>
      </c>
      <c r="N777" s="7">
        <v>0.4696908185526285</v>
      </c>
      <c r="O777" s="7">
        <v>0.2054131450215665</v>
      </c>
      <c r="P777" s="7">
        <v>7.365005087615771</v>
      </c>
      <c r="Q777" s="7">
        <v>0.0039095609955246</v>
      </c>
      <c r="R777" s="7">
        <v>0.0149914180220144</v>
      </c>
      <c r="S777" s="7">
        <v>0.0423548551905702</v>
      </c>
      <c r="T777" s="7">
        <v>0.1940295976406046</v>
      </c>
    </row>
    <row x14ac:dyDescent="0.25" r="778" customHeight="1" ht="19.5">
      <c r="A778" s="2" t="s">
        <v>812</v>
      </c>
      <c r="B778" s="2" t="s">
        <v>30</v>
      </c>
      <c r="C778" s="2" t="s">
        <v>31</v>
      </c>
      <c r="D778" s="2" t="s">
        <v>650</v>
      </c>
      <c r="E778" s="6">
        <v>1</v>
      </c>
      <c r="F778" s="6">
        <v>0</v>
      </c>
      <c r="G778" s="7">
        <v>0.561204195022583</v>
      </c>
      <c r="H778" s="7">
        <v>44.52740703125</v>
      </c>
      <c r="I778" s="7">
        <v>28.19358478540635</v>
      </c>
      <c r="J778" s="7">
        <v>9.16551518336692</v>
      </c>
      <c r="K778" s="7">
        <v>6.394761640423009</v>
      </c>
      <c r="L778" s="7">
        <v>0.7672746210162688</v>
      </c>
      <c r="M778" s="7">
        <v>0.7039416643001654</v>
      </c>
      <c r="N778" s="7">
        <v>0.462082481100513</v>
      </c>
      <c r="O778" s="7">
        <v>0.1881023537235022</v>
      </c>
      <c r="P778" s="7">
        <v>7.52806798212972</v>
      </c>
      <c r="Q778" s="7">
        <v>0.0042355081801709</v>
      </c>
      <c r="R778" s="7">
        <v>0.0151761210861888</v>
      </c>
      <c r="S778" s="7">
        <v>0.0392597205285821</v>
      </c>
      <c r="T778" s="7">
        <v>0.2188888857354845</v>
      </c>
    </row>
    <row x14ac:dyDescent="0.25" r="779" customHeight="1" ht="19.5">
      <c r="A779" s="2" t="s">
        <v>813</v>
      </c>
      <c r="B779" s="2" t="s">
        <v>30</v>
      </c>
      <c r="C779" s="2" t="s">
        <v>31</v>
      </c>
      <c r="D779" s="2" t="s">
        <v>650</v>
      </c>
      <c r="E779" s="6">
        <v>1</v>
      </c>
      <c r="F779" s="6">
        <v>0</v>
      </c>
      <c r="G779" s="7">
        <v>0.5852845311164856</v>
      </c>
      <c r="H779" s="7">
        <v>46.42528515625001</v>
      </c>
      <c r="I779" s="7">
        <v>29.46808306794737</v>
      </c>
      <c r="J779" s="7">
        <v>9.159349407046058</v>
      </c>
      <c r="K779" s="7">
        <v>6.32545007033721</v>
      </c>
      <c r="L779" s="7">
        <v>0.7545038174927539</v>
      </c>
      <c r="M779" s="7">
        <v>0.6718319803346338</v>
      </c>
      <c r="N779" s="7">
        <v>0.4605061864675108</v>
      </c>
      <c r="O779" s="7">
        <v>0.1815168229750273</v>
      </c>
      <c r="P779" s="7">
        <v>7.607586482007214</v>
      </c>
      <c r="Q779" s="7">
        <v>0.0042756494248907</v>
      </c>
      <c r="R779" s="7">
        <v>0.0156529071015893</v>
      </c>
      <c r="S779" s="7">
        <v>0.0393481788110099</v>
      </c>
      <c r="T779" s="7">
        <v>0.2303814189056349</v>
      </c>
    </row>
    <row x14ac:dyDescent="0.25" r="780" customHeight="1" ht="19.5">
      <c r="A780" s="2" t="s">
        <v>814</v>
      </c>
      <c r="B780" s="2" t="s">
        <v>30</v>
      </c>
      <c r="C780" s="2" t="s">
        <v>31</v>
      </c>
      <c r="D780" s="2" t="s">
        <v>650</v>
      </c>
      <c r="E780" s="6">
        <v>1</v>
      </c>
      <c r="F780" s="6">
        <v>0</v>
      </c>
      <c r="G780" s="7">
        <v>0.5078132748603821</v>
      </c>
      <c r="H780" s="7">
        <v>45.78804140625</v>
      </c>
      <c r="I780" s="7">
        <v>30.4201332500072</v>
      </c>
      <c r="J780" s="7">
        <v>9.10005484209955</v>
      </c>
      <c r="K780" s="7">
        <v>6.444533305849717</v>
      </c>
      <c r="L780" s="7">
        <v>0.7469642394996724</v>
      </c>
      <c r="M780" s="7">
        <v>0.6217842353057395</v>
      </c>
      <c r="N780" s="7">
        <v>0.4710497476583592</v>
      </c>
      <c r="O780" s="7">
        <v>0.175106923586663</v>
      </c>
      <c r="P780" s="7">
        <v>7.432501238337591</v>
      </c>
      <c r="Q780" s="7">
        <v>0.0053874614609039</v>
      </c>
      <c r="R780" s="7">
        <v>0.0170607320125813</v>
      </c>
      <c r="S780" s="7">
        <v>0.044474846177183</v>
      </c>
      <c r="T780" s="7">
        <v>0.2863037414111692</v>
      </c>
    </row>
    <row x14ac:dyDescent="0.25" r="781" customHeight="1" ht="19.5">
      <c r="A781" s="2" t="s">
        <v>815</v>
      </c>
      <c r="B781" s="2" t="s">
        <v>30</v>
      </c>
      <c r="C781" s="2" t="s">
        <v>31</v>
      </c>
      <c r="D781" s="2" t="s">
        <v>650</v>
      </c>
      <c r="E781" s="6">
        <v>1</v>
      </c>
      <c r="F781" s="6">
        <v>0</v>
      </c>
      <c r="G781" s="7">
        <v>0.4037734866142273</v>
      </c>
      <c r="H781" s="7">
        <v>56.71815703125</v>
      </c>
      <c r="I781" s="7">
        <v>31.47207710991928</v>
      </c>
      <c r="J781" s="7">
        <v>10.14312580841283</v>
      </c>
      <c r="K781" s="7">
        <v>7.315400393789512</v>
      </c>
      <c r="L781" s="7">
        <v>0.7656306741692622</v>
      </c>
      <c r="M781" s="7">
        <v>0.7191001166872959</v>
      </c>
      <c r="N781" s="7">
        <v>0.5461574986818373</v>
      </c>
      <c r="O781" s="7">
        <v>0.107244713105584</v>
      </c>
      <c r="P781" s="7">
        <v>7.471304713759788</v>
      </c>
      <c r="Q781" s="7">
        <v>0.0243270534921907</v>
      </c>
      <c r="R781" s="7">
        <v>0.0524461475758216</v>
      </c>
      <c r="S781" s="7">
        <v>0.074739166103048</v>
      </c>
      <c r="T781" s="7">
        <v>1.60140950113944</v>
      </c>
    </row>
    <row x14ac:dyDescent="0.25" r="782" customHeight="1" ht="19.5">
      <c r="A782" s="2" t="s">
        <v>816</v>
      </c>
      <c r="B782" s="2" t="s">
        <v>30</v>
      </c>
      <c r="C782" s="2" t="s">
        <v>31</v>
      </c>
      <c r="D782" s="2" t="s">
        <v>650</v>
      </c>
      <c r="E782" s="6">
        <v>1</v>
      </c>
      <c r="F782" s="6">
        <v>0</v>
      </c>
      <c r="G782" s="7">
        <v>0.6460225582122803</v>
      </c>
      <c r="H782" s="7">
        <v>57.55627109375001</v>
      </c>
      <c r="I782" s="7">
        <v>30.60223810038342</v>
      </c>
      <c r="J782" s="7">
        <v>9.038431757721764</v>
      </c>
      <c r="K782" s="7">
        <v>7.405483540204973</v>
      </c>
      <c r="L782" s="7">
        <v>0.6181222132007999</v>
      </c>
      <c r="M782" s="7">
        <v>0.7721320711030237</v>
      </c>
      <c r="N782" s="7">
        <v>0.5151028491725788</v>
      </c>
      <c r="O782" s="7">
        <v>0.1179820786728804</v>
      </c>
      <c r="P782" s="7">
        <v>7.794381919247386</v>
      </c>
      <c r="Q782" s="7">
        <v>0.0184409743231879</v>
      </c>
      <c r="R782" s="7">
        <v>0.0419436891253083</v>
      </c>
      <c r="S782" s="7">
        <v>0.0595682353841612</v>
      </c>
      <c r="T782" s="7">
        <v>1.231876846727865</v>
      </c>
    </row>
    <row x14ac:dyDescent="0.25" r="783" customHeight="1" ht="19.5">
      <c r="A783" s="2" t="s">
        <v>817</v>
      </c>
      <c r="B783" s="2" t="s">
        <v>30</v>
      </c>
      <c r="C783" s="2" t="s">
        <v>31</v>
      </c>
      <c r="D783" s="2" t="s">
        <v>650</v>
      </c>
      <c r="E783" s="6">
        <v>1</v>
      </c>
      <c r="F783" s="6">
        <v>0</v>
      </c>
      <c r="G783" s="7">
        <v>0.5650637745857239</v>
      </c>
      <c r="H783" s="7">
        <v>65.64303281250001</v>
      </c>
      <c r="I783" s="7">
        <v>32.47742103972956</v>
      </c>
      <c r="J783" s="7">
        <v>9.727795273786006</v>
      </c>
      <c r="K783" s="7">
        <v>8.296261632443127</v>
      </c>
      <c r="L783" s="7">
        <v>0.6057932711417815</v>
      </c>
      <c r="M783" s="7">
        <v>0.7812264293627628</v>
      </c>
      <c r="N783" s="7">
        <v>0.4787719197508875</v>
      </c>
      <c r="O783" s="7">
        <v>0.1024597776124848</v>
      </c>
      <c r="P783" s="7">
        <v>8.25347781276329</v>
      </c>
      <c r="Q783" s="7">
        <v>0.0088675362165113</v>
      </c>
      <c r="R783" s="7">
        <v>0.0277076943146395</v>
      </c>
      <c r="S783" s="7">
        <v>0.0445455232340826</v>
      </c>
      <c r="T783" s="7">
        <v>0.6755887186693964</v>
      </c>
    </row>
    <row x14ac:dyDescent="0.25" r="784" customHeight="1" ht="19.5">
      <c r="A784" s="2" t="s">
        <v>818</v>
      </c>
      <c r="B784" s="2" t="s">
        <v>30</v>
      </c>
      <c r="C784" s="2" t="s">
        <v>31</v>
      </c>
      <c r="D784" s="2" t="s">
        <v>650</v>
      </c>
      <c r="E784" s="6">
        <v>1</v>
      </c>
      <c r="F784" s="6">
        <v>0</v>
      </c>
      <c r="G784" s="7">
        <v>0.5521860122680664</v>
      </c>
      <c r="H784" s="7">
        <v>72.42067421875001</v>
      </c>
      <c r="I784" s="7">
        <v>36.65365499856726</v>
      </c>
      <c r="J784" s="7">
        <v>11.06232954663115</v>
      </c>
      <c r="K784" s="7">
        <v>9.391735796839388</v>
      </c>
      <c r="L784" s="7">
        <v>0.6215280027599699</v>
      </c>
      <c r="M784" s="7">
        <v>0.6772913695414006</v>
      </c>
      <c r="N784" s="7">
        <v>0.4451891099967002</v>
      </c>
      <c r="O784" s="7">
        <v>0.09331697617298</v>
      </c>
      <c r="P784" s="7">
        <v>8.461112294487613</v>
      </c>
      <c r="Q784" s="7">
        <v>0.0083473809996535</v>
      </c>
      <c r="R784" s="7">
        <v>0.0267259498928716</v>
      </c>
      <c r="S784" s="7">
        <v>0.0475410374950501</v>
      </c>
      <c r="T784" s="7">
        <v>0.7016226170287391</v>
      </c>
    </row>
    <row x14ac:dyDescent="0.25" r="785" customHeight="1" ht="19.5">
      <c r="A785" s="2" t="s">
        <v>819</v>
      </c>
      <c r="B785" s="2" t="s">
        <v>30</v>
      </c>
      <c r="C785" s="2" t="s">
        <v>31</v>
      </c>
      <c r="D785" s="2" t="s">
        <v>650</v>
      </c>
      <c r="E785" s="6">
        <v>1</v>
      </c>
      <c r="F785" s="6">
        <v>0</v>
      </c>
      <c r="G785" s="7">
        <v>0.5669819116592407</v>
      </c>
      <c r="H785" s="7">
        <v>80.89878671875</v>
      </c>
      <c r="I785" s="7">
        <v>43.15531629987345</v>
      </c>
      <c r="J785" s="7">
        <v>11.39288050122297</v>
      </c>
      <c r="K785" s="7">
        <v>9.303012102824162</v>
      </c>
      <c r="L785" s="7">
        <v>0.5978143546422494</v>
      </c>
      <c r="M785" s="7">
        <v>0.5458625054626786</v>
      </c>
      <c r="N785" s="7">
        <v>0.4090233756109034</v>
      </c>
      <c r="O785" s="7">
        <v>0.068616918599884</v>
      </c>
      <c r="P785" s="7">
        <v>8.829002537734638</v>
      </c>
      <c r="Q785" s="7">
        <v>0.0046134093406613</v>
      </c>
      <c r="R785" s="7">
        <v>0.0199402557614439</v>
      </c>
      <c r="S785" s="7">
        <v>0.0428744557982429</v>
      </c>
      <c r="T785" s="7">
        <v>0.4331664171792029</v>
      </c>
    </row>
    <row x14ac:dyDescent="0.25" r="786" customHeight="1" ht="19.5">
      <c r="A786" s="2" t="s">
        <v>820</v>
      </c>
      <c r="B786" s="2" t="s">
        <v>30</v>
      </c>
      <c r="C786" s="2" t="s">
        <v>31</v>
      </c>
      <c r="D786" s="2" t="s">
        <v>650</v>
      </c>
      <c r="E786" s="6">
        <v>1</v>
      </c>
      <c r="F786" s="6">
        <v>0</v>
      </c>
      <c r="G786" s="7">
        <v>0.589682936668396</v>
      </c>
      <c r="H786" s="7">
        <v>79.336846875</v>
      </c>
      <c r="I786" s="7">
        <v>45.32755621673923</v>
      </c>
      <c r="J786" s="7">
        <v>10.98288730202276</v>
      </c>
      <c r="K786" s="7">
        <v>9.016894970185412</v>
      </c>
      <c r="L786" s="7">
        <v>0.6034449185463447</v>
      </c>
      <c r="M786" s="7">
        <v>0.4852440174681211</v>
      </c>
      <c r="N786" s="7">
        <v>0.4118145357071394</v>
      </c>
      <c r="O786" s="7">
        <v>0.0698959752914616</v>
      </c>
      <c r="P786" s="7">
        <v>8.840410377845833</v>
      </c>
      <c r="Q786" s="7">
        <v>0.0055890021576455</v>
      </c>
      <c r="R786" s="7">
        <v>0.02127664868021</v>
      </c>
      <c r="S786" s="7">
        <v>0.0458683588497989</v>
      </c>
      <c r="T786" s="7">
        <v>0.5146357992335799</v>
      </c>
    </row>
    <row x14ac:dyDescent="0.25" r="787" customHeight="1" ht="19.5">
      <c r="A787" s="2" t="s">
        <v>821</v>
      </c>
      <c r="B787" s="2" t="s">
        <v>30</v>
      </c>
      <c r="C787" s="2" t="s">
        <v>31</v>
      </c>
      <c r="D787" s="2" t="s">
        <v>650</v>
      </c>
      <c r="E787" s="6">
        <v>1</v>
      </c>
      <c r="F787" s="6">
        <v>0</v>
      </c>
      <c r="G787" s="7">
        <v>0.5949289202690125</v>
      </c>
      <c r="H787" s="7">
        <v>69.473421875</v>
      </c>
      <c r="I787" s="7">
        <v>34.40936247069673</v>
      </c>
      <c r="J787" s="7">
        <v>9.889255493452517</v>
      </c>
      <c r="K787" s="7">
        <v>8.29705828681629</v>
      </c>
      <c r="L787" s="7">
        <v>0.5789235137497559</v>
      </c>
      <c r="M787" s="7">
        <v>0.7334197079885507</v>
      </c>
      <c r="N787" s="7">
        <v>0.4452823850571417</v>
      </c>
      <c r="O787" s="7">
        <v>0.1100627034997347</v>
      </c>
      <c r="P787" s="7">
        <v>8.476314831523501</v>
      </c>
      <c r="Q787" s="7">
        <v>0.0060846945376562</v>
      </c>
      <c r="R787" s="7">
        <v>0.0216695487676527</v>
      </c>
      <c r="S787" s="7">
        <v>0.0433548168653929</v>
      </c>
      <c r="T787" s="7">
        <v>0.4906233925218859</v>
      </c>
    </row>
    <row x14ac:dyDescent="0.25" r="788" customHeight="1" ht="19.5">
      <c r="A788" s="2" t="s">
        <v>822</v>
      </c>
      <c r="B788" s="2" t="s">
        <v>30</v>
      </c>
      <c r="C788" s="2" t="s">
        <v>31</v>
      </c>
      <c r="D788" s="2" t="s">
        <v>650</v>
      </c>
      <c r="E788" s="6">
        <v>1</v>
      </c>
      <c r="F788" s="6">
        <v>0</v>
      </c>
      <c r="G788" s="7">
        <v>0.5306858420372009</v>
      </c>
      <c r="H788" s="7">
        <v>70.4362140625</v>
      </c>
      <c r="I788" s="7">
        <v>39.27751290451536</v>
      </c>
      <c r="J788" s="7">
        <v>9.436401713941043</v>
      </c>
      <c r="K788" s="7">
        <v>8.508424112149925</v>
      </c>
      <c r="L788" s="7">
        <v>0.4527267118858113</v>
      </c>
      <c r="M788" s="7">
        <v>0.5737436721480664</v>
      </c>
      <c r="N788" s="7">
        <v>0.4301397023186659</v>
      </c>
      <c r="O788" s="7">
        <v>0.0712553729491854</v>
      </c>
      <c r="P788" s="7">
        <v>8.753197927748078</v>
      </c>
      <c r="Q788" s="7">
        <v>0.0049658670682093</v>
      </c>
      <c r="R788" s="7">
        <v>0.0197991742972522</v>
      </c>
      <c r="S788" s="7">
        <v>0.0420491502358142</v>
      </c>
      <c r="T788" s="7">
        <v>0.4059587199278151</v>
      </c>
    </row>
    <row x14ac:dyDescent="0.25" r="789" customHeight="1" ht="19.5">
      <c r="A789" s="2" t="s">
        <v>823</v>
      </c>
      <c r="B789" s="2" t="s">
        <v>30</v>
      </c>
      <c r="C789" s="2" t="s">
        <v>31</v>
      </c>
      <c r="D789" s="2" t="s">
        <v>650</v>
      </c>
      <c r="E789" s="6">
        <v>1</v>
      </c>
      <c r="F789" s="6">
        <v>0</v>
      </c>
      <c r="G789" s="7">
        <v>0.5547247529029846</v>
      </c>
      <c r="H789" s="7">
        <v>65.81273359375001</v>
      </c>
      <c r="I789" s="7">
        <v>34.38671851965511</v>
      </c>
      <c r="J789" s="7">
        <v>9.787587560451794</v>
      </c>
      <c r="K789" s="7">
        <v>8.458955456058169</v>
      </c>
      <c r="L789" s="7">
        <v>0.5966554195595251</v>
      </c>
      <c r="M789" s="7">
        <v>0.6984266944108949</v>
      </c>
      <c r="N789" s="7">
        <v>0.4376677652597372</v>
      </c>
      <c r="O789" s="7">
        <v>0.0978139503356569</v>
      </c>
      <c r="P789" s="7">
        <v>8.506634202138763</v>
      </c>
      <c r="Q789" s="7">
        <v>0.0068700160840753</v>
      </c>
      <c r="R789" s="7">
        <v>0.0230831850482791</v>
      </c>
      <c r="S789" s="7">
        <v>0.0422729829502036</v>
      </c>
      <c r="T789" s="7">
        <v>0.5247572698523121</v>
      </c>
    </row>
    <row x14ac:dyDescent="0.25" r="790" customHeight="1" ht="19.5">
      <c r="A790" s="2" t="s">
        <v>824</v>
      </c>
      <c r="B790" s="2" t="s">
        <v>30</v>
      </c>
      <c r="C790" s="2" t="s">
        <v>31</v>
      </c>
      <c r="D790" s="2" t="s">
        <v>650</v>
      </c>
      <c r="E790" s="6">
        <v>1</v>
      </c>
      <c r="F790" s="6">
        <v>0</v>
      </c>
      <c r="G790" s="7">
        <v>0.5991876721382141</v>
      </c>
      <c r="H790" s="7">
        <v>67.73831796875001</v>
      </c>
      <c r="I790" s="7">
        <v>33.98940907830787</v>
      </c>
      <c r="J790" s="7">
        <v>10.25957363773426</v>
      </c>
      <c r="K790" s="7">
        <v>8.7483984726633</v>
      </c>
      <c r="L790" s="7">
        <v>0.6148431990160099</v>
      </c>
      <c r="M790" s="7">
        <v>0.7368125998367407</v>
      </c>
      <c r="N790" s="7">
        <v>0.4477841143157466</v>
      </c>
      <c r="O790" s="7">
        <v>0.1157873972796268</v>
      </c>
      <c r="P790" s="7">
        <v>8.396062894479527</v>
      </c>
      <c r="Q790" s="7">
        <v>0.0075164274241666</v>
      </c>
      <c r="R790" s="7">
        <v>0.0242551012477648</v>
      </c>
      <c r="S790" s="7">
        <v>0.0443684307005619</v>
      </c>
      <c r="T790" s="7">
        <v>0.5909308412772163</v>
      </c>
    </row>
    <row x14ac:dyDescent="0.25" r="791" customHeight="1" ht="19.5">
      <c r="A791" s="2" t="s">
        <v>825</v>
      </c>
      <c r="B791" s="2" t="s">
        <v>30</v>
      </c>
      <c r="C791" s="2" t="s">
        <v>31</v>
      </c>
      <c r="D791" s="2" t="s">
        <v>650</v>
      </c>
      <c r="E791" s="6">
        <v>1</v>
      </c>
      <c r="F791" s="6">
        <v>0</v>
      </c>
      <c r="G791" s="7">
        <v>0.5760723948478699</v>
      </c>
      <c r="H791" s="7">
        <v>67.478571875</v>
      </c>
      <c r="I791" s="7">
        <v>34.82549233323967</v>
      </c>
      <c r="J791" s="7">
        <v>10.08952483151602</v>
      </c>
      <c r="K791" s="7">
        <v>8.871720469398792</v>
      </c>
      <c r="L791" s="7">
        <v>0.5969889913973615</v>
      </c>
      <c r="M791" s="7">
        <v>0.6978038759996515</v>
      </c>
      <c r="N791" s="7">
        <v>0.4421144103591015</v>
      </c>
      <c r="O791" s="7">
        <v>0.1119232230406023</v>
      </c>
      <c r="P791" s="7">
        <v>8.461153368455712</v>
      </c>
      <c r="Q791" s="7">
        <v>0.0070530146488556</v>
      </c>
      <c r="R791" s="7">
        <v>0.0233754969609482</v>
      </c>
      <c r="S791" s="7">
        <v>0.0449120466397037</v>
      </c>
      <c r="T791" s="7">
        <v>0.5523717362189092</v>
      </c>
    </row>
    <row x14ac:dyDescent="0.25" r="792" customHeight="1" ht="19.5">
      <c r="A792" s="2" t="s">
        <v>826</v>
      </c>
      <c r="B792" s="2" t="s">
        <v>30</v>
      </c>
      <c r="C792" s="2" t="s">
        <v>31</v>
      </c>
      <c r="D792" s="2" t="s">
        <v>650</v>
      </c>
      <c r="E792" s="6">
        <v>1</v>
      </c>
      <c r="F792" s="6">
        <v>0</v>
      </c>
      <c r="G792" s="7">
        <v>0.5908278226852417</v>
      </c>
      <c r="H792" s="7">
        <v>68.90198046875001</v>
      </c>
      <c r="I792" s="7">
        <v>36.37577722821866</v>
      </c>
      <c r="J792" s="7">
        <v>10.26364708373572</v>
      </c>
      <c r="K792" s="7">
        <v>9.081782846186414</v>
      </c>
      <c r="L792" s="7">
        <v>0.5764175748741551</v>
      </c>
      <c r="M792" s="7">
        <v>0.6543603953718806</v>
      </c>
      <c r="N792" s="7">
        <v>0.4381168609111719</v>
      </c>
      <c r="O792" s="7">
        <v>0.1083491886332634</v>
      </c>
      <c r="P792" s="7">
        <v>8.455467900335083</v>
      </c>
      <c r="Q792" s="7">
        <v>0.0078228492262924</v>
      </c>
      <c r="R792" s="7">
        <v>0.0247283228166602</v>
      </c>
      <c r="S792" s="7">
        <v>0.0463905001815155</v>
      </c>
      <c r="T792" s="7">
        <v>0.625586610863059</v>
      </c>
    </row>
    <row x14ac:dyDescent="0.25" r="793" customHeight="1" ht="19.5">
      <c r="A793" s="2" t="s">
        <v>827</v>
      </c>
      <c r="B793" s="2" t="s">
        <v>30</v>
      </c>
      <c r="C793" s="2" t="s">
        <v>31</v>
      </c>
      <c r="D793" s="2" t="s">
        <v>650</v>
      </c>
      <c r="E793" s="6">
        <v>1</v>
      </c>
      <c r="F793" s="6">
        <v>0</v>
      </c>
      <c r="G793" s="7">
        <v>0.5881204009056091</v>
      </c>
      <c r="H793" s="7">
        <v>67.56515390625</v>
      </c>
      <c r="I793" s="7">
        <v>36.27444840646505</v>
      </c>
      <c r="J793" s="7">
        <v>9.76127555875161</v>
      </c>
      <c r="K793" s="7">
        <v>7.96103631540662</v>
      </c>
      <c r="L793" s="7">
        <v>0.6003511155191701</v>
      </c>
      <c r="M793" s="7">
        <v>0.6452544375305317</v>
      </c>
      <c r="N793" s="7">
        <v>0.4449061559663896</v>
      </c>
      <c r="O793" s="7">
        <v>0.1158636063753966</v>
      </c>
      <c r="P793" s="7">
        <v>8.420722913622502</v>
      </c>
      <c r="Q793" s="7">
        <v>0.0068975780588053</v>
      </c>
      <c r="R793" s="7">
        <v>0.0235541610122611</v>
      </c>
      <c r="S793" s="7">
        <v>0.0462180817593307</v>
      </c>
      <c r="T793" s="7">
        <v>0.5408915221934997</v>
      </c>
    </row>
    <row x14ac:dyDescent="0.25" r="794" customHeight="1" ht="19.5">
      <c r="A794" s="2" t="s">
        <v>828</v>
      </c>
      <c r="B794" s="2" t="s">
        <v>30</v>
      </c>
      <c r="C794" s="2" t="s">
        <v>31</v>
      </c>
      <c r="D794" s="2" t="s">
        <v>650</v>
      </c>
      <c r="E794" s="6">
        <v>1</v>
      </c>
      <c r="F794" s="6">
        <v>0</v>
      </c>
      <c r="G794" s="7">
        <v>0.5753324031829834</v>
      </c>
      <c r="H794" s="7">
        <v>69.5357609375</v>
      </c>
      <c r="I794" s="7">
        <v>37.58132885765018</v>
      </c>
      <c r="J794" s="7">
        <v>9.82494330834902</v>
      </c>
      <c r="K794" s="7">
        <v>8.471086966304167</v>
      </c>
      <c r="L794" s="7">
        <v>0.5623528635673405</v>
      </c>
      <c r="M794" s="7">
        <v>0.6182596160732173</v>
      </c>
      <c r="N794" s="7">
        <v>0.4366752186418903</v>
      </c>
      <c r="O794" s="7">
        <v>0.1073970781676984</v>
      </c>
      <c r="P794" s="7">
        <v>8.492617789651192</v>
      </c>
      <c r="Q794" s="7">
        <v>0.0077285135227176</v>
      </c>
      <c r="R794" s="7">
        <v>0.0247028494106714</v>
      </c>
      <c r="S794" s="7">
        <v>0.0459199529597836</v>
      </c>
      <c r="T794" s="7">
        <v>0.6237276010391231</v>
      </c>
    </row>
    <row x14ac:dyDescent="0.25" r="795" customHeight="1" ht="19.5">
      <c r="A795" s="2" t="s">
        <v>829</v>
      </c>
      <c r="B795" s="2" t="s">
        <v>30</v>
      </c>
      <c r="C795" s="2" t="s">
        <v>31</v>
      </c>
      <c r="D795" s="2" t="s">
        <v>650</v>
      </c>
      <c r="E795" s="6">
        <v>1</v>
      </c>
      <c r="F795" s="6">
        <v>0</v>
      </c>
      <c r="G795" s="7">
        <v>0.5909944176673889</v>
      </c>
      <c r="H795" s="7">
        <v>72.61808125</v>
      </c>
      <c r="I795" s="7">
        <v>38.50691155882245</v>
      </c>
      <c r="J795" s="7">
        <v>10.03703586322678</v>
      </c>
      <c r="K795" s="7">
        <v>8.13076605577782</v>
      </c>
      <c r="L795" s="7">
        <v>0.6006298856696515</v>
      </c>
      <c r="M795" s="7">
        <v>0.6146061873006325</v>
      </c>
      <c r="N795" s="7">
        <v>0.4257174672503045</v>
      </c>
      <c r="O795" s="7">
        <v>0.0855066459491067</v>
      </c>
      <c r="P795" s="7">
        <v>8.688751121889368</v>
      </c>
      <c r="Q795" s="7">
        <v>0.006464712228527</v>
      </c>
      <c r="R795" s="7">
        <v>0.0229767303002152</v>
      </c>
      <c r="S795" s="7">
        <v>0.04295346208154</v>
      </c>
      <c r="T795" s="7">
        <v>0.5448597753942045</v>
      </c>
    </row>
    <row x14ac:dyDescent="0.25" r="796" customHeight="1" ht="19.5">
      <c r="A796" s="2" t="s">
        <v>830</v>
      </c>
      <c r="B796" s="2" t="s">
        <v>30</v>
      </c>
      <c r="C796" s="2" t="s">
        <v>31</v>
      </c>
      <c r="D796" s="2" t="s">
        <v>650</v>
      </c>
      <c r="E796" s="6">
        <v>1</v>
      </c>
      <c r="F796" s="6">
        <v>0</v>
      </c>
      <c r="G796" s="7">
        <v>0.5754725933074951</v>
      </c>
      <c r="H796" s="7">
        <v>64.70448359375</v>
      </c>
      <c r="I796" s="7">
        <v>34.56153509631481</v>
      </c>
      <c r="J796" s="7">
        <v>9.6768046953773</v>
      </c>
      <c r="K796" s="7">
        <v>8.610256601038529</v>
      </c>
      <c r="L796" s="7">
        <v>0.5712510100242362</v>
      </c>
      <c r="M796" s="7">
        <v>0.6784448931899772</v>
      </c>
      <c r="N796" s="7">
        <v>0.4403089697876748</v>
      </c>
      <c r="O796" s="7">
        <v>0.1094793780706276</v>
      </c>
      <c r="P796" s="7">
        <v>8.456923855717854</v>
      </c>
      <c r="Q796" s="7">
        <v>0.0069686148669644</v>
      </c>
      <c r="R796" s="7">
        <v>0.0230336113661672</v>
      </c>
      <c r="S796" s="7">
        <v>0.0425502455030356</v>
      </c>
      <c r="T796" s="7">
        <v>0.5233251645052571</v>
      </c>
    </row>
    <row x14ac:dyDescent="0.25" r="797" customHeight="1" ht="19.5">
      <c r="A797" s="2" t="s">
        <v>831</v>
      </c>
      <c r="B797" s="2" t="s">
        <v>30</v>
      </c>
      <c r="C797" s="2" t="s">
        <v>31</v>
      </c>
      <c r="D797" s="2" t="s">
        <v>650</v>
      </c>
      <c r="E797" s="6">
        <v>1</v>
      </c>
      <c r="F797" s="6">
        <v>0</v>
      </c>
      <c r="G797" s="7">
        <v>0.6005377769470215</v>
      </c>
      <c r="H797" s="7">
        <v>64.82569843750001</v>
      </c>
      <c r="I797" s="7">
        <v>32.65779351817049</v>
      </c>
      <c r="J797" s="7">
        <v>9.77054632300312</v>
      </c>
      <c r="K797" s="7">
        <v>8.862504313999487</v>
      </c>
      <c r="L797" s="7">
        <v>0.5618286196251965</v>
      </c>
      <c r="M797" s="7">
        <v>0.7620519144618055</v>
      </c>
      <c r="N797" s="7">
        <v>0.4389735184183572</v>
      </c>
      <c r="O797" s="7">
        <v>0.1061569037573436</v>
      </c>
      <c r="P797" s="7">
        <v>8.450642417623158</v>
      </c>
      <c r="Q797" s="7">
        <v>0.0079474012896219</v>
      </c>
      <c r="R797" s="7">
        <v>0.0249477211753879</v>
      </c>
      <c r="S797" s="7">
        <v>0.0461938638868481</v>
      </c>
      <c r="T797" s="7">
        <v>0.5979476000755357</v>
      </c>
    </row>
    <row x14ac:dyDescent="0.25" r="798" customHeight="1" ht="19.5">
      <c r="A798" s="2" t="s">
        <v>832</v>
      </c>
      <c r="B798" s="2" t="s">
        <v>30</v>
      </c>
      <c r="C798" s="2" t="s">
        <v>31</v>
      </c>
      <c r="D798" s="2" t="s">
        <v>650</v>
      </c>
      <c r="E798" s="6">
        <v>1</v>
      </c>
      <c r="F798" s="6">
        <v>0</v>
      </c>
      <c r="G798" s="7">
        <v>0.5844391584396362</v>
      </c>
      <c r="H798" s="7">
        <v>64.46898046875</v>
      </c>
      <c r="I798" s="7">
        <v>33.58128506143213</v>
      </c>
      <c r="J798" s="7">
        <v>9.61251732763719</v>
      </c>
      <c r="K798" s="7">
        <v>8.422493403378917</v>
      </c>
      <c r="L798" s="7">
        <v>0.555405918534838</v>
      </c>
      <c r="M798" s="7">
        <v>0.7156594685456897</v>
      </c>
      <c r="N798" s="7">
        <v>0.446585400692627</v>
      </c>
      <c r="O798" s="7">
        <v>0.116901574096249</v>
      </c>
      <c r="P798" s="7">
        <v>8.407417462915417</v>
      </c>
      <c r="Q798" s="7">
        <v>0.0071922010397592</v>
      </c>
      <c r="R798" s="7">
        <v>0.0239616984278769</v>
      </c>
      <c r="S798" s="7">
        <v>0.0460048161117478</v>
      </c>
      <c r="T798" s="7">
        <v>0.5381500695856465</v>
      </c>
    </row>
    <row x14ac:dyDescent="0.25" r="799" customHeight="1" ht="19.5">
      <c r="A799" s="2" t="s">
        <v>833</v>
      </c>
      <c r="B799" s="2" t="s">
        <v>30</v>
      </c>
      <c r="C799" s="2" t="s">
        <v>31</v>
      </c>
      <c r="D799" s="2" t="s">
        <v>650</v>
      </c>
      <c r="E799" s="6">
        <v>1</v>
      </c>
      <c r="F799" s="6">
        <v>0</v>
      </c>
      <c r="G799" s="7">
        <v>0.5820451974868774</v>
      </c>
      <c r="H799" s="7">
        <v>66.453440625</v>
      </c>
      <c r="I799" s="7">
        <v>36.39806239328495</v>
      </c>
      <c r="J799" s="7">
        <v>9.72117141080913</v>
      </c>
      <c r="K799" s="7">
        <v>8.456363800883206</v>
      </c>
      <c r="L799" s="7">
        <v>0.5715962260109615</v>
      </c>
      <c r="M799" s="7">
        <v>0.6297099459380465</v>
      </c>
      <c r="N799" s="7">
        <v>0.4344321770444405</v>
      </c>
      <c r="O799" s="7">
        <v>0.1007585334236259</v>
      </c>
      <c r="P799" s="7">
        <v>8.487497435105649</v>
      </c>
      <c r="Q799" s="7">
        <v>0.00756044387529</v>
      </c>
      <c r="R799" s="7">
        <v>0.023970151456907</v>
      </c>
      <c r="S799" s="7">
        <v>0.0464581034474555</v>
      </c>
      <c r="T799" s="7">
        <v>0.5831167883942445</v>
      </c>
    </row>
    <row x14ac:dyDescent="0.25" r="800" customHeight="1" ht="19.5">
      <c r="A800" s="2" t="s">
        <v>834</v>
      </c>
      <c r="B800" s="2" t="s">
        <v>30</v>
      </c>
      <c r="C800" s="2" t="s">
        <v>31</v>
      </c>
      <c r="D800" s="2" t="s">
        <v>650</v>
      </c>
      <c r="E800" s="6">
        <v>1</v>
      </c>
      <c r="F800" s="6">
        <v>0</v>
      </c>
      <c r="G800" s="7">
        <v>0.592871367931366</v>
      </c>
      <c r="H800" s="7">
        <v>65.594546875</v>
      </c>
      <c r="I800" s="7">
        <v>34.68305792522407</v>
      </c>
      <c r="J800" s="7">
        <v>9.463863521417924</v>
      </c>
      <c r="K800" s="7">
        <v>8.10539663402131</v>
      </c>
      <c r="L800" s="7">
        <v>0.5637907555340916</v>
      </c>
      <c r="M800" s="7">
        <v>0.6850954893162968</v>
      </c>
      <c r="N800" s="7">
        <v>0.4323182889487837</v>
      </c>
      <c r="O800" s="7">
        <v>0.0972995376463461</v>
      </c>
      <c r="P800" s="7">
        <v>8.481519534786099</v>
      </c>
      <c r="Q800" s="7">
        <v>0.006859294063731</v>
      </c>
      <c r="R800" s="7">
        <v>0.022892996380156</v>
      </c>
      <c r="S800" s="7">
        <v>0.0458140228307647</v>
      </c>
      <c r="T800" s="7">
        <v>0.5222012874534006</v>
      </c>
    </row>
    <row x14ac:dyDescent="0.25" r="801" customHeight="1" ht="19.5">
      <c r="A801" s="2" t="s">
        <v>835</v>
      </c>
      <c r="B801" s="2" t="s">
        <v>30</v>
      </c>
      <c r="C801" s="2" t="s">
        <v>31</v>
      </c>
      <c r="D801" s="2" t="s">
        <v>650</v>
      </c>
      <c r="E801" s="6">
        <v>1</v>
      </c>
      <c r="F801" s="6">
        <v>0</v>
      </c>
      <c r="G801" s="7">
        <v>0.6166447997093201</v>
      </c>
      <c r="H801" s="7">
        <v>63.27761171875</v>
      </c>
      <c r="I801" s="7">
        <v>32.38200690573252</v>
      </c>
      <c r="J801" s="7">
        <v>9.655048420729294</v>
      </c>
      <c r="K801" s="7">
        <v>8.317818094951685</v>
      </c>
      <c r="L801" s="7">
        <v>0.5685093977728536</v>
      </c>
      <c r="M801" s="7">
        <v>0.7563691557393704</v>
      </c>
      <c r="N801" s="7">
        <v>0.4460299929436125</v>
      </c>
      <c r="O801" s="7">
        <v>0.1208180892763606</v>
      </c>
      <c r="P801" s="7">
        <v>8.348642417853739</v>
      </c>
      <c r="Q801" s="7">
        <v>0.0082171317454962</v>
      </c>
      <c r="R801" s="7">
        <v>0.0254889043273809</v>
      </c>
      <c r="S801" s="7">
        <v>0.0471590468512544</v>
      </c>
      <c r="T801" s="7">
        <v>0.603477537339956</v>
      </c>
    </row>
    <row x14ac:dyDescent="0.25" r="802" customHeight="1" ht="19.5">
      <c r="A802" s="2" t="s">
        <v>836</v>
      </c>
      <c r="B802" s="2" t="s">
        <v>30</v>
      </c>
      <c r="C802" s="2" t="s">
        <v>31</v>
      </c>
      <c r="D802" s="2" t="s">
        <v>650</v>
      </c>
      <c r="E802" s="6">
        <v>1</v>
      </c>
      <c r="F802" s="6">
        <v>0</v>
      </c>
      <c r="G802" s="7">
        <v>0.5593152046203613</v>
      </c>
      <c r="H802" s="7">
        <v>64.7979921875</v>
      </c>
      <c r="I802" s="7">
        <v>32.08949103000948</v>
      </c>
      <c r="J802" s="7">
        <v>9.430197317555812</v>
      </c>
      <c r="K802" s="7">
        <v>7.716790337761038</v>
      </c>
      <c r="L802" s="7">
        <v>0.6088215151309866</v>
      </c>
      <c r="M802" s="7">
        <v>0.7863242011137627</v>
      </c>
      <c r="N802" s="7">
        <v>0.4447084565399735</v>
      </c>
      <c r="O802" s="7">
        <v>0.1088116053268456</v>
      </c>
      <c r="P802" s="7">
        <v>8.43601346949333</v>
      </c>
      <c r="Q802" s="7">
        <v>0.0081847754591406</v>
      </c>
      <c r="R802" s="7">
        <v>0.0253004159300037</v>
      </c>
      <c r="S802" s="7">
        <v>0.0436713614440633</v>
      </c>
      <c r="T802" s="7">
        <v>0.6155439947783766</v>
      </c>
    </row>
    <row x14ac:dyDescent="0.25" r="803" customHeight="1" ht="19.5">
      <c r="A803" s="2" t="s">
        <v>837</v>
      </c>
      <c r="B803" s="2" t="s">
        <v>30</v>
      </c>
      <c r="C803" s="2" t="s">
        <v>31</v>
      </c>
      <c r="D803" s="2" t="s">
        <v>650</v>
      </c>
      <c r="E803" s="6">
        <v>1</v>
      </c>
      <c r="F803" s="6">
        <v>0</v>
      </c>
      <c r="G803" s="7">
        <v>0.5752519369125366</v>
      </c>
      <c r="H803" s="7">
        <v>71.54100078125</v>
      </c>
      <c r="I803" s="7">
        <v>36.98446773069098</v>
      </c>
      <c r="J803" s="7">
        <v>10.1592053430935</v>
      </c>
      <c r="K803" s="7">
        <v>8.023914724015615</v>
      </c>
      <c r="L803" s="7">
        <v>0.6264854194642138</v>
      </c>
      <c r="M803" s="7">
        <v>0.6546024335028098</v>
      </c>
      <c r="N803" s="7">
        <v>0.439118969167206</v>
      </c>
      <c r="O803" s="7">
        <v>0.1040706049970224</v>
      </c>
      <c r="P803" s="7">
        <v>8.576957631996407</v>
      </c>
      <c r="Q803" s="7">
        <v>0.0070383828236446</v>
      </c>
      <c r="R803" s="7">
        <v>0.0238330446178042</v>
      </c>
      <c r="S803" s="7">
        <v>0.0458687011003956</v>
      </c>
      <c r="T803" s="7">
        <v>0.5844113959318039</v>
      </c>
    </row>
    <row x14ac:dyDescent="0.25" r="804" customHeight="1" ht="19.5">
      <c r="A804" s="2" t="s">
        <v>838</v>
      </c>
      <c r="B804" s="2" t="s">
        <v>30</v>
      </c>
      <c r="C804" s="2" t="s">
        <v>31</v>
      </c>
      <c r="D804" s="2" t="s">
        <v>650</v>
      </c>
      <c r="E804" s="6">
        <v>1</v>
      </c>
      <c r="F804" s="6">
        <v>0</v>
      </c>
      <c r="G804" s="7">
        <v>0.5629792213439941</v>
      </c>
      <c r="H804" s="7">
        <v>63.04903515625001</v>
      </c>
      <c r="I804" s="7">
        <v>32.53382074537526</v>
      </c>
      <c r="J804" s="7">
        <v>10.17759885734062</v>
      </c>
      <c r="K804" s="7">
        <v>9.460109995726013</v>
      </c>
      <c r="L804" s="7">
        <v>0.4939774981512722</v>
      </c>
      <c r="M804" s="7">
        <v>0.7480931483120561</v>
      </c>
      <c r="N804" s="7">
        <v>0.4651214381549297</v>
      </c>
      <c r="O804" s="7">
        <v>0.0983906459752025</v>
      </c>
      <c r="P804" s="7">
        <v>8.267798465911362</v>
      </c>
      <c r="Q804" s="7">
        <v>0.0108872147072389</v>
      </c>
      <c r="R804" s="7">
        <v>0.0320460774618774</v>
      </c>
      <c r="S804" s="7">
        <v>0.0549017290585495</v>
      </c>
      <c r="T804" s="7">
        <v>0.7966838486987042</v>
      </c>
    </row>
    <row x14ac:dyDescent="0.25" r="805" customHeight="1" ht="19.5">
      <c r="A805" s="2" t="s">
        <v>839</v>
      </c>
      <c r="B805" s="2" t="s">
        <v>30</v>
      </c>
      <c r="C805" s="2" t="s">
        <v>31</v>
      </c>
      <c r="D805" s="2" t="s">
        <v>840</v>
      </c>
      <c r="E805" s="6">
        <v>1</v>
      </c>
      <c r="F805" s="6">
        <v>0</v>
      </c>
      <c r="G805" s="7">
        <v>0.440048485994339</v>
      </c>
      <c r="H805" s="7">
        <v>67.95996796875001</v>
      </c>
      <c r="I805" s="7">
        <v>34.57611164374785</v>
      </c>
      <c r="J805" s="7">
        <v>10.67645038402165</v>
      </c>
      <c r="K805" s="7">
        <v>8.703961294251966</v>
      </c>
      <c r="L805" s="7">
        <v>0.647299870862839</v>
      </c>
      <c r="M805" s="7">
        <v>0.7143494683272957</v>
      </c>
      <c r="N805" s="7">
        <v>0.5166548290227947</v>
      </c>
      <c r="O805" s="7">
        <v>0.0751487004310873</v>
      </c>
      <c r="P805" s="7">
        <v>8.253647033442725</v>
      </c>
      <c r="Q805" s="7">
        <v>0.0063121294375221</v>
      </c>
      <c r="R805" s="7">
        <v>0.0246996170257063</v>
      </c>
      <c r="S805" s="7">
        <v>0.0464801607405059</v>
      </c>
      <c r="T805" s="7">
        <v>0.4978744521990463</v>
      </c>
    </row>
    <row x14ac:dyDescent="0.25" r="806" customHeight="1" ht="19.5">
      <c r="A806" s="2" t="s">
        <v>841</v>
      </c>
      <c r="B806" s="2" t="s">
        <v>30</v>
      </c>
      <c r="C806" s="2" t="s">
        <v>31</v>
      </c>
      <c r="D806" s="2" t="s">
        <v>840</v>
      </c>
      <c r="E806" s="6">
        <v>1</v>
      </c>
      <c r="F806" s="6">
        <v>0</v>
      </c>
      <c r="G806" s="7">
        <v>0.530148983001709</v>
      </c>
      <c r="H806" s="7">
        <v>61.10959765625</v>
      </c>
      <c r="I806" s="7">
        <v>40.82152432576244</v>
      </c>
      <c r="J806" s="7">
        <v>9.956105467469069</v>
      </c>
      <c r="K806" s="7">
        <v>7.811248771257141</v>
      </c>
      <c r="L806" s="7">
        <v>0.6610322638178107</v>
      </c>
      <c r="M806" s="7">
        <v>0.4607778821019961</v>
      </c>
      <c r="N806" s="7">
        <v>0.4412435792924333</v>
      </c>
      <c r="O806" s="7">
        <v>0.0802015093877797</v>
      </c>
      <c r="P806" s="7">
        <v>8.716044882522443</v>
      </c>
      <c r="Q806" s="7">
        <v>0.0100293604121045</v>
      </c>
      <c r="R806" s="7">
        <v>0.0337729226223485</v>
      </c>
      <c r="S806" s="7">
        <v>0.0513316293334013</v>
      </c>
      <c r="T806" s="7">
        <v>0.7113337957367812</v>
      </c>
    </row>
    <row x14ac:dyDescent="0.25" r="807" customHeight="1" ht="19.5">
      <c r="A807" s="2" t="s">
        <v>842</v>
      </c>
      <c r="B807" s="2" t="s">
        <v>30</v>
      </c>
      <c r="C807" s="2" t="s">
        <v>31</v>
      </c>
      <c r="D807" s="2" t="s">
        <v>840</v>
      </c>
      <c r="E807" s="6">
        <v>1</v>
      </c>
      <c r="F807" s="6">
        <v>0</v>
      </c>
      <c r="G807" s="7">
        <v>0.5723081231117249</v>
      </c>
      <c r="H807" s="7">
        <v>56.922490625</v>
      </c>
      <c r="I807" s="7">
        <v>36.7776277713625</v>
      </c>
      <c r="J807" s="7">
        <v>9.642041679913133</v>
      </c>
      <c r="K807" s="7">
        <v>8.326403647001813</v>
      </c>
      <c r="L807" s="7">
        <v>0.5930739588443596</v>
      </c>
      <c r="M807" s="7">
        <v>0.5288424789674252</v>
      </c>
      <c r="N807" s="7">
        <v>0.4360493399461954</v>
      </c>
      <c r="O807" s="7">
        <v>0.1147078282640242</v>
      </c>
      <c r="P807" s="7">
        <v>8.616071295458589</v>
      </c>
      <c r="Q807" s="7">
        <v>0.0098090544927155</v>
      </c>
      <c r="R807" s="7">
        <v>0.0315507266638992</v>
      </c>
      <c r="S807" s="7">
        <v>0.0554874820901255</v>
      </c>
      <c r="T807" s="7">
        <v>0.6480400121762283</v>
      </c>
    </row>
    <row x14ac:dyDescent="0.25" r="808" customHeight="1" ht="19.5">
      <c r="A808" s="2" t="s">
        <v>843</v>
      </c>
      <c r="B808" s="2" t="s">
        <v>30</v>
      </c>
      <c r="C808" s="2" t="s">
        <v>31</v>
      </c>
      <c r="D808" s="2" t="s">
        <v>840</v>
      </c>
      <c r="E808" s="6">
        <v>1</v>
      </c>
      <c r="F808" s="6">
        <v>0</v>
      </c>
      <c r="G808" s="7">
        <v>0.6048742532730103</v>
      </c>
      <c r="H808" s="7">
        <v>59.34332421875001</v>
      </c>
      <c r="I808" s="7">
        <v>40.239660090153</v>
      </c>
      <c r="J808" s="7">
        <v>10.29862581498844</v>
      </c>
      <c r="K808" s="7">
        <v>8.317605695507893</v>
      </c>
      <c r="L808" s="7">
        <v>0.707939077973574</v>
      </c>
      <c r="M808" s="7">
        <v>0.4600085693728051</v>
      </c>
      <c r="N808" s="7">
        <v>0.4027575152134032</v>
      </c>
      <c r="O808" s="7">
        <v>0.1121535864126795</v>
      </c>
      <c r="P808" s="7">
        <v>8.85273539098119</v>
      </c>
      <c r="Q808" s="7">
        <v>0.0136269466960734</v>
      </c>
      <c r="R808" s="7">
        <v>0.0388630360284628</v>
      </c>
      <c r="S808" s="7">
        <v>0.0621454067445258</v>
      </c>
      <c r="T808" s="7">
        <v>0.9385581982680308</v>
      </c>
    </row>
    <row x14ac:dyDescent="0.25" r="809" customHeight="1" ht="19.5">
      <c r="A809" s="2" t="s">
        <v>844</v>
      </c>
      <c r="B809" s="2" t="s">
        <v>30</v>
      </c>
      <c r="C809" s="2" t="s">
        <v>31</v>
      </c>
      <c r="D809" s="2" t="s">
        <v>840</v>
      </c>
      <c r="E809" s="6">
        <v>1</v>
      </c>
      <c r="F809" s="6">
        <v>0</v>
      </c>
      <c r="G809" s="7">
        <v>0.6184477806091309</v>
      </c>
      <c r="H809" s="7">
        <v>57.1302875</v>
      </c>
      <c r="I809" s="7">
        <v>33.83442772282849</v>
      </c>
      <c r="J809" s="7">
        <v>8.943517538842114</v>
      </c>
      <c r="K809" s="7">
        <v>7.482616353924632</v>
      </c>
      <c r="L809" s="7">
        <v>0.6264716968770719</v>
      </c>
      <c r="M809" s="7">
        <v>0.6267132934003247</v>
      </c>
      <c r="N809" s="7">
        <v>0.3885482511695404</v>
      </c>
      <c r="O809" s="7">
        <v>0.0889619896742758</v>
      </c>
      <c r="P809" s="7">
        <v>9.020231186577847</v>
      </c>
      <c r="Q809" s="7">
        <v>0.0110423661199437</v>
      </c>
      <c r="R809" s="7">
        <v>0.0310036641941517</v>
      </c>
      <c r="S809" s="7">
        <v>0.052799981371834</v>
      </c>
      <c r="T809" s="7">
        <v>0.7321824791004903</v>
      </c>
    </row>
    <row x14ac:dyDescent="0.25" r="810" customHeight="1" ht="19.5">
      <c r="A810" s="2" t="s">
        <v>845</v>
      </c>
      <c r="B810" s="2" t="s">
        <v>30</v>
      </c>
      <c r="C810" s="2" t="s">
        <v>31</v>
      </c>
      <c r="D810" s="2" t="s">
        <v>840</v>
      </c>
      <c r="E810" s="6">
        <v>1</v>
      </c>
      <c r="F810" s="6">
        <v>0</v>
      </c>
      <c r="G810" s="7">
        <v>0.6678131222724915</v>
      </c>
      <c r="H810" s="7">
        <v>60.47235390625001</v>
      </c>
      <c r="I810" s="7">
        <v>37.81391872591553</v>
      </c>
      <c r="J810" s="7">
        <v>9.439099533620638</v>
      </c>
      <c r="K810" s="7">
        <v>6.968799574673742</v>
      </c>
      <c r="L810" s="7">
        <v>0.7138768139327184</v>
      </c>
      <c r="M810" s="7">
        <v>0.5314511671294628</v>
      </c>
      <c r="N810" s="7">
        <v>0.3496812853613663</v>
      </c>
      <c r="O810" s="7">
        <v>0.0677718827238592</v>
      </c>
      <c r="P810" s="7">
        <v>9.305716505020984</v>
      </c>
      <c r="Q810" s="7">
        <v>0.0116760821963414</v>
      </c>
      <c r="R810" s="7">
        <v>0.0318417520010762</v>
      </c>
      <c r="S810" s="7">
        <v>0.0552472385932625</v>
      </c>
      <c r="T810" s="7">
        <v>0.8194921498474682</v>
      </c>
    </row>
    <row x14ac:dyDescent="0.25" r="811" customHeight="1" ht="19.5">
      <c r="A811" s="2" t="s">
        <v>846</v>
      </c>
      <c r="B811" s="2" t="s">
        <v>30</v>
      </c>
      <c r="C811" s="2" t="s">
        <v>31</v>
      </c>
      <c r="D811" s="2" t="s">
        <v>840</v>
      </c>
      <c r="E811" s="6">
        <v>1</v>
      </c>
      <c r="F811" s="6">
        <v>0</v>
      </c>
      <c r="G811" s="7">
        <v>0.6694502830505371</v>
      </c>
      <c r="H811" s="7">
        <v>64.846478125</v>
      </c>
      <c r="I811" s="7">
        <v>34.6231319177664</v>
      </c>
      <c r="J811" s="7">
        <v>10.0553549018981</v>
      </c>
      <c r="K811" s="7">
        <v>7.150725870098863</v>
      </c>
      <c r="L811" s="7">
        <v>0.7423712264665174</v>
      </c>
      <c r="M811" s="7">
        <v>0.6789374344949282</v>
      </c>
      <c r="N811" s="7">
        <v>0.3581590589379479</v>
      </c>
      <c r="O811" s="7">
        <v>0.0732487223882936</v>
      </c>
      <c r="P811" s="7">
        <v>9.247944501458862</v>
      </c>
      <c r="Q811" s="7">
        <v>0.0111248237866169</v>
      </c>
      <c r="R811" s="7">
        <v>0.0315869913565215</v>
      </c>
      <c r="S811" s="7">
        <v>0.056956801864728</v>
      </c>
      <c r="T811" s="7">
        <v>0.837279223841715</v>
      </c>
    </row>
    <row x14ac:dyDescent="0.25" r="812" customHeight="1" ht="19.5">
      <c r="A812" s="2" t="s">
        <v>847</v>
      </c>
      <c r="B812" s="2" t="s">
        <v>30</v>
      </c>
      <c r="C812" s="2" t="s">
        <v>31</v>
      </c>
      <c r="D812" s="2" t="s">
        <v>840</v>
      </c>
      <c r="E812" s="6">
        <v>1</v>
      </c>
      <c r="F812" s="6">
        <v>0</v>
      </c>
      <c r="G812" s="7">
        <v>0.6970522999763489</v>
      </c>
      <c r="H812" s="7">
        <v>56.50343359375</v>
      </c>
      <c r="I812" s="7">
        <v>30.58897358096895</v>
      </c>
      <c r="J812" s="7">
        <v>8.703177594175113</v>
      </c>
      <c r="K812" s="7">
        <v>6.841075860875103</v>
      </c>
      <c r="L812" s="7">
        <v>0.6592097880413564</v>
      </c>
      <c r="M812" s="7">
        <v>0.7588481767620662</v>
      </c>
      <c r="N812" s="7">
        <v>0.3518434057914945</v>
      </c>
      <c r="O812" s="7">
        <v>0.0589801244208619</v>
      </c>
      <c r="P812" s="7">
        <v>9.290682188746704</v>
      </c>
      <c r="Q812" s="7">
        <v>0.0095662010418475</v>
      </c>
      <c r="R812" s="7">
        <v>0.0301711788969869</v>
      </c>
      <c r="S812" s="7">
        <v>0.0514959700838695</v>
      </c>
      <c r="T812" s="7">
        <v>0.6273430969502124</v>
      </c>
    </row>
    <row x14ac:dyDescent="0.25" r="813" customHeight="1" ht="19.5">
      <c r="A813" s="2" t="s">
        <v>848</v>
      </c>
      <c r="B813" s="2" t="s">
        <v>30</v>
      </c>
      <c r="C813" s="2" t="s">
        <v>31</v>
      </c>
      <c r="D813" s="2" t="s">
        <v>840</v>
      </c>
      <c r="E813" s="6">
        <v>1</v>
      </c>
      <c r="F813" s="6">
        <v>0</v>
      </c>
      <c r="G813" s="7">
        <v>0.691908061504364</v>
      </c>
      <c r="H813" s="7">
        <v>54.12069609375001</v>
      </c>
      <c r="I813" s="7">
        <v>31.01938276291098</v>
      </c>
      <c r="J813" s="7">
        <v>8.66744427706253</v>
      </c>
      <c r="K813" s="7">
        <v>7.032836036745046</v>
      </c>
      <c r="L813" s="7">
        <v>0.6324964371921248</v>
      </c>
      <c r="M813" s="7">
        <v>0.7068169151565088</v>
      </c>
      <c r="N813" s="7">
        <v>0.3497645050880293</v>
      </c>
      <c r="O813" s="7">
        <v>0.0617767975745057</v>
      </c>
      <c r="P813" s="7">
        <v>9.269670245520937</v>
      </c>
      <c r="Q813" s="7">
        <v>0.0102527106047495</v>
      </c>
      <c r="R813" s="7">
        <v>0.0306720867553937</v>
      </c>
      <c r="S813" s="7">
        <v>0.0488793179063207</v>
      </c>
      <c r="T813" s="7">
        <v>0.6440103587324234</v>
      </c>
    </row>
    <row x14ac:dyDescent="0.25" r="814" customHeight="1" ht="19.5">
      <c r="A814" s="2" t="s">
        <v>849</v>
      </c>
      <c r="B814" s="2" t="s">
        <v>30</v>
      </c>
      <c r="C814" s="2" t="s">
        <v>31</v>
      </c>
      <c r="D814" s="2" t="s">
        <v>840</v>
      </c>
      <c r="E814" s="6">
        <v>1</v>
      </c>
      <c r="F814" s="6">
        <v>0</v>
      </c>
      <c r="G814" s="7">
        <v>0.7043483257293701</v>
      </c>
      <c r="H814" s="7">
        <v>57.2341859375</v>
      </c>
      <c r="I814" s="7">
        <v>31.59359993882855</v>
      </c>
      <c r="J814" s="7">
        <v>8.81892946437826</v>
      </c>
      <c r="K814" s="7">
        <v>6.843679061029944</v>
      </c>
      <c r="L814" s="7">
        <v>0.6699673086250834</v>
      </c>
      <c r="M814" s="7">
        <v>0.7205550148868214</v>
      </c>
      <c r="N814" s="7">
        <v>0.3514062483069812</v>
      </c>
      <c r="O814" s="7">
        <v>0.0593736740354137</v>
      </c>
      <c r="P814" s="7">
        <v>9.3020753922206</v>
      </c>
      <c r="Q814" s="7">
        <v>0.0095094627137241</v>
      </c>
      <c r="R814" s="7">
        <v>0.0296907429620039</v>
      </c>
      <c r="S814" s="7">
        <v>0.0486220461546103</v>
      </c>
      <c r="T814" s="7">
        <v>0.6316874811063142</v>
      </c>
    </row>
    <row x14ac:dyDescent="0.25" r="815" customHeight="1" ht="19.5">
      <c r="A815" s="2" t="s">
        <v>850</v>
      </c>
      <c r="B815" s="2" t="s">
        <v>30</v>
      </c>
      <c r="C815" s="2" t="s">
        <v>31</v>
      </c>
      <c r="D815" s="2" t="s">
        <v>840</v>
      </c>
      <c r="E815" s="6">
        <v>1</v>
      </c>
      <c r="F815" s="6">
        <v>0</v>
      </c>
      <c r="G815" s="7">
        <v>0.6806850433349609</v>
      </c>
      <c r="H815" s="7">
        <v>63.67935234375</v>
      </c>
      <c r="I815" s="7">
        <v>32.99762689594602</v>
      </c>
      <c r="J815" s="7">
        <v>9.867915809419577</v>
      </c>
      <c r="K815" s="7">
        <v>7.219945864848048</v>
      </c>
      <c r="L815" s="7">
        <v>0.7274389631715522</v>
      </c>
      <c r="M815" s="7">
        <v>0.7341257141669196</v>
      </c>
      <c r="N815" s="7">
        <v>0.3619049557966539</v>
      </c>
      <c r="O815" s="7">
        <v>0.0707870873908329</v>
      </c>
      <c r="P815" s="7">
        <v>9.236132878723016</v>
      </c>
      <c r="Q815" s="7">
        <v>0.0122002212914917</v>
      </c>
      <c r="R815" s="7">
        <v>0.0328037554803351</v>
      </c>
      <c r="S815" s="7">
        <v>0.0602905189710151</v>
      </c>
      <c r="T815" s="7">
        <v>0.9016897356031291</v>
      </c>
    </row>
    <row x14ac:dyDescent="0.25" r="816" customHeight="1" ht="19.5">
      <c r="A816" s="2" t="s">
        <v>851</v>
      </c>
      <c r="B816" s="2" t="s">
        <v>30</v>
      </c>
      <c r="C816" s="2" t="s">
        <v>31</v>
      </c>
      <c r="D816" s="2" t="s">
        <v>840</v>
      </c>
      <c r="E816" s="6">
        <v>1</v>
      </c>
      <c r="F816" s="6">
        <v>0</v>
      </c>
      <c r="G816" s="7">
        <v>0.7013596892356873</v>
      </c>
      <c r="H816" s="7">
        <v>62.54339609375</v>
      </c>
      <c r="I816" s="7">
        <v>32.66717294979764</v>
      </c>
      <c r="J816" s="7">
        <v>9.656626699370571</v>
      </c>
      <c r="K816" s="7">
        <v>7.119389928140003</v>
      </c>
      <c r="L816" s="7">
        <v>0.7243219511259988</v>
      </c>
      <c r="M816" s="7">
        <v>0.7364923158846081</v>
      </c>
      <c r="N816" s="7">
        <v>0.3626905760587079</v>
      </c>
      <c r="O816" s="7">
        <v>0.0703751048421167</v>
      </c>
      <c r="P816" s="7">
        <v>9.22361714475508</v>
      </c>
      <c r="Q816" s="7">
        <v>0.0098592267929322</v>
      </c>
      <c r="R816" s="7">
        <v>0.0292088912491606</v>
      </c>
      <c r="S816" s="7">
        <v>0.0495108129502877</v>
      </c>
      <c r="T816" s="7">
        <v>0.7156737638943356</v>
      </c>
    </row>
    <row x14ac:dyDescent="0.25" r="817" customHeight="1" ht="19.5">
      <c r="A817" s="2" t="s">
        <v>852</v>
      </c>
      <c r="B817" s="2" t="s">
        <v>30</v>
      </c>
      <c r="C817" s="2" t="s">
        <v>31</v>
      </c>
      <c r="D817" s="2" t="s">
        <v>840</v>
      </c>
      <c r="E817" s="6">
        <v>1</v>
      </c>
      <c r="F817" s="6">
        <v>0</v>
      </c>
      <c r="G817" s="7">
        <v>0.6703832745552063</v>
      </c>
      <c r="H817" s="7">
        <v>52.378665625</v>
      </c>
      <c r="I817" s="7">
        <v>31.01000333128382</v>
      </c>
      <c r="J817" s="7">
        <v>9.309641850955291</v>
      </c>
      <c r="K817" s="7">
        <v>7.871124575271447</v>
      </c>
      <c r="L817" s="7">
        <v>0.6634239899538413</v>
      </c>
      <c r="M817" s="7">
        <v>0.6828958263125803</v>
      </c>
      <c r="N817" s="7">
        <v>0.3793341790623641</v>
      </c>
      <c r="O817" s="7">
        <v>0.1050915812367727</v>
      </c>
      <c r="P817" s="7">
        <v>8.971032761779192</v>
      </c>
      <c r="Q817" s="7">
        <v>0.0093959565861517</v>
      </c>
      <c r="R817" s="7">
        <v>0.0291816935517758</v>
      </c>
      <c r="S817" s="7">
        <v>0.0470098918031662</v>
      </c>
      <c r="T817" s="7">
        <v>0.5711973867619712</v>
      </c>
    </row>
    <row x14ac:dyDescent="0.25" r="818" customHeight="1" ht="19.5">
      <c r="A818" s="2" t="s">
        <v>853</v>
      </c>
      <c r="B818" s="2" t="s">
        <v>30</v>
      </c>
      <c r="C818" s="2" t="s">
        <v>31</v>
      </c>
      <c r="D818" s="2" t="s">
        <v>840</v>
      </c>
      <c r="E818" s="6">
        <v>1</v>
      </c>
      <c r="F818" s="6">
        <v>0</v>
      </c>
      <c r="G818" s="7">
        <v>0.6838660836219788</v>
      </c>
      <c r="H818" s="7">
        <v>58.44979765625001</v>
      </c>
      <c r="I818" s="7">
        <v>31.29516937534894</v>
      </c>
      <c r="J818" s="7">
        <v>8.984200693452333</v>
      </c>
      <c r="K818" s="7">
        <v>6.89096684559535</v>
      </c>
      <c r="L818" s="7">
        <v>0.6861584306029367</v>
      </c>
      <c r="M818" s="7">
        <v>0.749960281312473</v>
      </c>
      <c r="N818" s="7">
        <v>0.3536096245346748</v>
      </c>
      <c r="O818" s="7">
        <v>0.0631718576858082</v>
      </c>
      <c r="P818" s="7">
        <v>9.271737073038176</v>
      </c>
      <c r="Q818" s="7">
        <v>0.0088917182378111</v>
      </c>
      <c r="R818" s="7">
        <v>0.0285651083739819</v>
      </c>
      <c r="S818" s="7">
        <v>0.0484351204574105</v>
      </c>
      <c r="T818" s="7">
        <v>0.6031974325866615</v>
      </c>
    </row>
    <row x14ac:dyDescent="0.25" r="819" customHeight="1" ht="19.5">
      <c r="A819" s="2" t="s">
        <v>854</v>
      </c>
      <c r="B819" s="2" t="s">
        <v>30</v>
      </c>
      <c r="C819" s="2" t="s">
        <v>31</v>
      </c>
      <c r="D819" s="2" t="s">
        <v>840</v>
      </c>
      <c r="E819" s="6">
        <v>1</v>
      </c>
      <c r="F819" s="6">
        <v>0</v>
      </c>
      <c r="G819" s="7">
        <v>0.6862131953239441</v>
      </c>
      <c r="H819" s="7">
        <v>57.52856484375</v>
      </c>
      <c r="I819" s="7">
        <v>31.46998595200865</v>
      </c>
      <c r="J819" s="7">
        <v>9.069087788326176</v>
      </c>
      <c r="K819" s="7">
        <v>6.865651200326869</v>
      </c>
      <c r="L819" s="7">
        <v>0.6991731324649935</v>
      </c>
      <c r="M819" s="7">
        <v>0.7299620897360879</v>
      </c>
      <c r="N819" s="7">
        <v>0.3614418344979324</v>
      </c>
      <c r="O819" s="7">
        <v>0.0723991750681987</v>
      </c>
      <c r="P819" s="7">
        <v>9.2230663679391</v>
      </c>
      <c r="Q819" s="7">
        <v>0.0092050662853907</v>
      </c>
      <c r="R819" s="7">
        <v>0.0287025039937782</v>
      </c>
      <c r="S819" s="7">
        <v>0.0483351048049832</v>
      </c>
      <c r="T819" s="7">
        <v>0.6146122897604621</v>
      </c>
    </row>
    <row x14ac:dyDescent="0.25" r="820" customHeight="1" ht="19.5">
      <c r="A820" s="2" t="s">
        <v>855</v>
      </c>
      <c r="B820" s="2" t="s">
        <v>30</v>
      </c>
      <c r="C820" s="2" t="s">
        <v>31</v>
      </c>
      <c r="D820" s="2" t="s">
        <v>840</v>
      </c>
      <c r="E820" s="6">
        <v>1</v>
      </c>
      <c r="F820" s="6">
        <v>0</v>
      </c>
      <c r="G820" s="7">
        <v>0.6737831830978394</v>
      </c>
      <c r="H820" s="7">
        <v>62.15550859375001</v>
      </c>
      <c r="I820" s="7">
        <v>35.0479851979272</v>
      </c>
      <c r="J820" s="7">
        <v>9.649300688624786</v>
      </c>
      <c r="K820" s="7">
        <v>7.283773175435818</v>
      </c>
      <c r="L820" s="7">
        <v>0.7133083332713592</v>
      </c>
      <c r="M820" s="7">
        <v>0.6354730065252262</v>
      </c>
      <c r="N820" s="7">
        <v>0.3586755572403554</v>
      </c>
      <c r="O820" s="7">
        <v>0.0740193410730871</v>
      </c>
      <c r="P820" s="7">
        <v>9.246710137239832</v>
      </c>
      <c r="Q820" s="7">
        <v>0.0110991911711984</v>
      </c>
      <c r="R820" s="7">
        <v>0.0315704703275727</v>
      </c>
      <c r="S820" s="7">
        <v>0.0578559616162843</v>
      </c>
      <c r="T820" s="7">
        <v>0.8006850805650657</v>
      </c>
    </row>
    <row x14ac:dyDescent="0.25" r="821" customHeight="1" ht="19.5">
      <c r="A821" s="2" t="s">
        <v>856</v>
      </c>
      <c r="B821" s="2" t="s">
        <v>30</v>
      </c>
      <c r="C821" s="2" t="s">
        <v>31</v>
      </c>
      <c r="D821" s="2" t="s">
        <v>840</v>
      </c>
      <c r="E821" s="6">
        <v>1</v>
      </c>
      <c r="F821" s="6">
        <v>0</v>
      </c>
      <c r="G821" s="7">
        <v>0.7005605101585388</v>
      </c>
      <c r="H821" s="7">
        <v>56.00818437500001</v>
      </c>
      <c r="I821" s="7">
        <v>31.80079868413236</v>
      </c>
      <c r="J821" s="7">
        <v>8.888784569089761</v>
      </c>
      <c r="K821" s="7">
        <v>7.170936860913514</v>
      </c>
      <c r="L821" s="7">
        <v>0.6479614769971713</v>
      </c>
      <c r="M821" s="7">
        <v>0.6959616407241005</v>
      </c>
      <c r="N821" s="7">
        <v>0.3552839789607607</v>
      </c>
      <c r="O821" s="7">
        <v>0.0643241001210538</v>
      </c>
      <c r="P821" s="7">
        <v>9.249550128754606</v>
      </c>
      <c r="Q821" s="7">
        <v>0.0088560835974224</v>
      </c>
      <c r="R821" s="7">
        <v>0.0283130403905432</v>
      </c>
      <c r="S821" s="7">
        <v>0.0464054341223804</v>
      </c>
      <c r="T821" s="7">
        <v>0.5756837647747993</v>
      </c>
    </row>
    <row x14ac:dyDescent="0.25" r="822" customHeight="1" ht="19.5">
      <c r="A822" s="2" t="s">
        <v>857</v>
      </c>
      <c r="B822" s="2" t="s">
        <v>30</v>
      </c>
      <c r="C822" s="2" t="s">
        <v>31</v>
      </c>
      <c r="D822" s="2" t="s">
        <v>840</v>
      </c>
      <c r="E822" s="6">
        <v>1</v>
      </c>
      <c r="F822" s="6">
        <v>0</v>
      </c>
      <c r="G822" s="7">
        <v>0.6911556720733643</v>
      </c>
      <c r="H822" s="7">
        <v>56.21944453125001</v>
      </c>
      <c r="I822" s="7">
        <v>31.53301791736159</v>
      </c>
      <c r="J822" s="7">
        <v>8.865431256996894</v>
      </c>
      <c r="K822" s="7">
        <v>6.963246906534222</v>
      </c>
      <c r="L822" s="7">
        <v>0.6708246662818241</v>
      </c>
      <c r="M822" s="7">
        <v>0.7105020562868278</v>
      </c>
      <c r="N822" s="7">
        <v>0.3550368980246458</v>
      </c>
      <c r="O822" s="7">
        <v>0.0661861490672512</v>
      </c>
      <c r="P822" s="7">
        <v>9.239596006842138</v>
      </c>
      <c r="Q822" s="7">
        <v>0.0102069855441174</v>
      </c>
      <c r="R822" s="7">
        <v>0.0300879481860781</v>
      </c>
      <c r="S822" s="7">
        <v>0.0480399366033748</v>
      </c>
      <c r="T822" s="7">
        <v>0.6660009214792848</v>
      </c>
    </row>
    <row x14ac:dyDescent="0.25" r="823" customHeight="1" ht="19.5">
      <c r="A823" s="2" t="s">
        <v>858</v>
      </c>
      <c r="B823" s="2" t="s">
        <v>30</v>
      </c>
      <c r="C823" s="2" t="s">
        <v>31</v>
      </c>
      <c r="D823" s="2" t="s">
        <v>840</v>
      </c>
      <c r="E823" s="6">
        <v>1</v>
      </c>
      <c r="F823" s="6">
        <v>0</v>
      </c>
      <c r="G823" s="7">
        <v>0.7001793384552002</v>
      </c>
      <c r="H823" s="7">
        <v>54.78564609375</v>
      </c>
      <c r="I823" s="7">
        <v>36.32702458226482</v>
      </c>
      <c r="J823" s="7">
        <v>9.237762449767816</v>
      </c>
      <c r="K823" s="7">
        <v>7.660257175696339</v>
      </c>
      <c r="L823" s="7">
        <v>0.6483525453790487</v>
      </c>
      <c r="M823" s="7">
        <v>0.5216953864721409</v>
      </c>
      <c r="N823" s="7">
        <v>0.3639715032018793</v>
      </c>
      <c r="O823" s="7">
        <v>0.085251908785202</v>
      </c>
      <c r="P823" s="7">
        <v>9.16757798372936</v>
      </c>
      <c r="Q823" s="7">
        <v>0.0094631875419757</v>
      </c>
      <c r="R823" s="7">
        <v>0.0291204261287959</v>
      </c>
      <c r="S823" s="7">
        <v>0.050678109431105</v>
      </c>
      <c r="T823" s="7">
        <v>0.601720786947444</v>
      </c>
    </row>
    <row x14ac:dyDescent="0.25" r="824" customHeight="1" ht="19.5">
      <c r="A824" s="2" t="s">
        <v>859</v>
      </c>
      <c r="B824" s="2" t="s">
        <v>30</v>
      </c>
      <c r="C824" s="2" t="s">
        <v>31</v>
      </c>
      <c r="D824" s="2" t="s">
        <v>840</v>
      </c>
      <c r="E824" s="6">
        <v>1</v>
      </c>
      <c r="F824" s="6">
        <v>0</v>
      </c>
      <c r="G824" s="7">
        <v>0.6946306228637695</v>
      </c>
      <c r="H824" s="7">
        <v>57.1372140625</v>
      </c>
      <c r="I824" s="7">
        <v>32.89074217241118</v>
      </c>
      <c r="J824" s="7">
        <v>8.977686070545182</v>
      </c>
      <c r="K824" s="7">
        <v>7.021099747970027</v>
      </c>
      <c r="L824" s="7">
        <v>0.6721451169461576</v>
      </c>
      <c r="M824" s="7">
        <v>0.6637149165565411</v>
      </c>
      <c r="N824" s="7">
        <v>0.3576011536506516</v>
      </c>
      <c r="O824" s="7">
        <v>0.0689239084506157</v>
      </c>
      <c r="P824" s="7">
        <v>9.233227214312931</v>
      </c>
      <c r="Q824" s="7">
        <v>0.0093190050937594</v>
      </c>
      <c r="R824" s="7">
        <v>0.0290184197248808</v>
      </c>
      <c r="S824" s="7">
        <v>0.0487073129041045</v>
      </c>
      <c r="T824" s="7">
        <v>0.6179870722228239</v>
      </c>
    </row>
    <row x14ac:dyDescent="0.25" r="825" customHeight="1" ht="19.5">
      <c r="A825" s="2" t="s">
        <v>860</v>
      </c>
      <c r="B825" s="2" t="s">
        <v>30</v>
      </c>
      <c r="C825" s="2" t="s">
        <v>31</v>
      </c>
      <c r="D825" s="2" t="s">
        <v>840</v>
      </c>
      <c r="E825" s="6">
        <v>1</v>
      </c>
      <c r="F825" s="6">
        <v>0</v>
      </c>
      <c r="G825" s="7">
        <v>0.6973978281021118</v>
      </c>
      <c r="H825" s="7">
        <v>55.18392343750001</v>
      </c>
      <c r="I825" s="7">
        <v>35.96938558327822</v>
      </c>
      <c r="J825" s="7">
        <v>9.027914947403264</v>
      </c>
      <c r="K825" s="7">
        <v>7.10628907772189</v>
      </c>
      <c r="L825" s="7">
        <v>0.676236226137769</v>
      </c>
      <c r="M825" s="7">
        <v>0.5354177973945573</v>
      </c>
      <c r="N825" s="7">
        <v>0.351465657742386</v>
      </c>
      <c r="O825" s="7">
        <v>0.0673844092301062</v>
      </c>
      <c r="P825" s="7">
        <v>9.29120750631566</v>
      </c>
      <c r="Q825" s="7">
        <v>0.0094091552656656</v>
      </c>
      <c r="R825" s="7">
        <v>0.0289108791474995</v>
      </c>
      <c r="S825" s="7">
        <v>0.0487623535629206</v>
      </c>
      <c r="T825" s="7">
        <v>0.602634498414826</v>
      </c>
    </row>
    <row x14ac:dyDescent="0.25" r="826" customHeight="1" ht="19.5">
      <c r="A826" s="2" t="s">
        <v>861</v>
      </c>
      <c r="B826" s="2" t="s">
        <v>30</v>
      </c>
      <c r="C826" s="2" t="s">
        <v>31</v>
      </c>
      <c r="D826" s="2" t="s">
        <v>840</v>
      </c>
      <c r="E826" s="6">
        <v>1</v>
      </c>
      <c r="F826" s="6">
        <v>0</v>
      </c>
      <c r="G826" s="7">
        <v>0.6777732968330383</v>
      </c>
      <c r="H826" s="7">
        <v>57.8852828125</v>
      </c>
      <c r="I826" s="7">
        <v>36.72642518152269</v>
      </c>
      <c r="J826" s="7">
        <v>9.491978405414862</v>
      </c>
      <c r="K826" s="7">
        <v>7.420863816624477</v>
      </c>
      <c r="L826" s="7">
        <v>0.679195135860633</v>
      </c>
      <c r="M826" s="7">
        <v>0.539287939611105</v>
      </c>
      <c r="N826" s="7">
        <v>0.3563218238518292</v>
      </c>
      <c r="O826" s="7">
        <v>0.0714251510340894</v>
      </c>
      <c r="P826" s="7">
        <v>9.22699286927134</v>
      </c>
      <c r="Q826" s="7">
        <v>0.0109639710690391</v>
      </c>
      <c r="R826" s="7">
        <v>0.0311116374532274</v>
      </c>
      <c r="S826" s="7">
        <v>0.0519826166313257</v>
      </c>
      <c r="T826" s="7">
        <v>0.7365916992619609</v>
      </c>
    </row>
    <row x14ac:dyDescent="0.25" r="827" customHeight="1" ht="19.5">
      <c r="A827" s="2" t="s">
        <v>862</v>
      </c>
      <c r="B827" s="2" t="s">
        <v>30</v>
      </c>
      <c r="C827" s="2" t="s">
        <v>31</v>
      </c>
      <c r="D827" s="2" t="s">
        <v>840</v>
      </c>
      <c r="E827" s="6">
        <v>1</v>
      </c>
      <c r="F827" s="6">
        <v>0</v>
      </c>
      <c r="G827" s="7">
        <v>0.653095006942749</v>
      </c>
      <c r="H827" s="7">
        <v>59.02470234375</v>
      </c>
      <c r="I827" s="7">
        <v>35.44565342524978</v>
      </c>
      <c r="J827" s="7">
        <v>9.292930605406209</v>
      </c>
      <c r="K827" s="7">
        <v>7.104169982377353</v>
      </c>
      <c r="L827" s="7">
        <v>0.6950568652772566</v>
      </c>
      <c r="M827" s="7">
        <v>0.5903610494401296</v>
      </c>
      <c r="N827" s="7">
        <v>0.3531242099929921</v>
      </c>
      <c r="O827" s="7">
        <v>0.063872929186298</v>
      </c>
      <c r="P827" s="7">
        <v>9.277041667841248</v>
      </c>
      <c r="Q827" s="7">
        <v>0.0104812319003727</v>
      </c>
      <c r="R827" s="7">
        <v>0.0298760434198364</v>
      </c>
      <c r="S827" s="7">
        <v>0.050355399971775</v>
      </c>
      <c r="T827" s="7">
        <v>0.7180206188072379</v>
      </c>
    </row>
    <row x14ac:dyDescent="0.25" r="828" customHeight="1" ht="19.5">
      <c r="A828" s="2" t="s">
        <v>863</v>
      </c>
      <c r="B828" s="2" t="s">
        <v>30</v>
      </c>
      <c r="C828" s="2" t="s">
        <v>31</v>
      </c>
      <c r="D828" s="2" t="s">
        <v>840</v>
      </c>
      <c r="E828" s="6">
        <v>1</v>
      </c>
      <c r="F828" s="6">
        <v>0</v>
      </c>
      <c r="G828" s="7">
        <v>0.6555773615837097</v>
      </c>
      <c r="H828" s="7">
        <v>51.54055156250001</v>
      </c>
      <c r="I828" s="7">
        <v>31.99616805392306</v>
      </c>
      <c r="J828" s="7">
        <v>9.15380977378794</v>
      </c>
      <c r="K828" s="7">
        <v>7.812291822613401</v>
      </c>
      <c r="L828" s="7">
        <v>0.6571931949641634</v>
      </c>
      <c r="M828" s="7">
        <v>0.6260175138472445</v>
      </c>
      <c r="N828" s="7">
        <v>0.3960026053965738</v>
      </c>
      <c r="O828" s="7">
        <v>0.1023491283983772</v>
      </c>
      <c r="P828" s="7">
        <v>8.937138341123088</v>
      </c>
      <c r="Q828" s="7">
        <v>0.0092359632423153</v>
      </c>
      <c r="R828" s="7">
        <v>0.0287407014689889</v>
      </c>
      <c r="S828" s="7">
        <v>0.0495674762006896</v>
      </c>
      <c r="T828" s="7">
        <v>0.5524869671784833</v>
      </c>
    </row>
    <row x14ac:dyDescent="0.25" r="829" customHeight="1" ht="19.5">
      <c r="A829" s="2" t="s">
        <v>864</v>
      </c>
      <c r="B829" s="2" t="s">
        <v>30</v>
      </c>
      <c r="C829" s="2" t="s">
        <v>31</v>
      </c>
      <c r="D829" s="2" t="s">
        <v>840</v>
      </c>
      <c r="E829" s="6">
        <v>1</v>
      </c>
      <c r="F829" s="6">
        <v>0</v>
      </c>
      <c r="G829" s="7">
        <v>0.5049840807914734</v>
      </c>
      <c r="H829" s="7">
        <v>59.30522812500001</v>
      </c>
      <c r="I829" s="7">
        <v>34.94593880422292</v>
      </c>
      <c r="J829" s="7">
        <v>9.11492264344751</v>
      </c>
      <c r="K829" s="7">
        <v>6.803184577495898</v>
      </c>
      <c r="L829" s="7">
        <v>0.6943493694487408</v>
      </c>
      <c r="M829" s="7">
        <v>0.6095039118161759</v>
      </c>
      <c r="N829" s="7">
        <v>0.5449863257165751</v>
      </c>
      <c r="O829" s="7">
        <v>0.0741132937111317</v>
      </c>
      <c r="P829" s="7">
        <v>8.139371999690423</v>
      </c>
      <c r="Q829" s="7">
        <v>0.0092062273957884</v>
      </c>
      <c r="R829" s="7">
        <v>0.0296508853785156</v>
      </c>
      <c r="S829" s="7">
        <v>0.0590867856379208</v>
      </c>
      <c r="T829" s="7">
        <v>0.633673373456136</v>
      </c>
    </row>
    <row x14ac:dyDescent="0.25" r="830" customHeight="1" ht="19.5">
      <c r="A830" s="2" t="s">
        <v>865</v>
      </c>
      <c r="B830" s="2" t="s">
        <v>30</v>
      </c>
      <c r="C830" s="2" t="s">
        <v>31</v>
      </c>
      <c r="D830" s="2" t="s">
        <v>840</v>
      </c>
      <c r="E830" s="6">
        <v>1</v>
      </c>
      <c r="F830" s="6">
        <v>0</v>
      </c>
      <c r="G830" s="7">
        <v>0.5565112829208374</v>
      </c>
      <c r="H830" s="7">
        <v>66.41188125000001</v>
      </c>
      <c r="I830" s="7">
        <v>41.10430198388299</v>
      </c>
      <c r="J830" s="7">
        <v>10.3162281116216</v>
      </c>
      <c r="K830" s="7">
        <v>9.13736987532895</v>
      </c>
      <c r="L830" s="7">
        <v>0.5917472370088788</v>
      </c>
      <c r="M830" s="7">
        <v>0.4932008401931501</v>
      </c>
      <c r="N830" s="7">
        <v>0.5375081728665123</v>
      </c>
      <c r="O830" s="7">
        <v>0.1014444288039767</v>
      </c>
      <c r="P830" s="7">
        <v>7.762803780341335</v>
      </c>
      <c r="Q830" s="7">
        <v>0.0315384420596857</v>
      </c>
      <c r="R830" s="7">
        <v>0.067795440226173</v>
      </c>
      <c r="S830" s="7">
        <v>0.0876776867109919</v>
      </c>
      <c r="T830" s="7">
        <v>2.430954324606374</v>
      </c>
    </row>
    <row x14ac:dyDescent="0.25" r="831" customHeight="1" ht="19.5">
      <c r="A831" s="2" t="s">
        <v>866</v>
      </c>
      <c r="B831" s="2" t="s">
        <v>30</v>
      </c>
      <c r="C831" s="2" t="s">
        <v>31</v>
      </c>
      <c r="D831" s="2" t="s">
        <v>840</v>
      </c>
      <c r="E831" s="6">
        <v>1</v>
      </c>
      <c r="F831" s="6">
        <v>0</v>
      </c>
      <c r="G831" s="7">
        <v>0.6375059485435486</v>
      </c>
      <c r="H831" s="7">
        <v>58.60218203125</v>
      </c>
      <c r="I831" s="7">
        <v>33.87517452311513</v>
      </c>
      <c r="J831" s="7">
        <v>9.062707316130702</v>
      </c>
      <c r="K831" s="7">
        <v>7.270268138437228</v>
      </c>
      <c r="L831" s="7">
        <v>0.6292268394964999</v>
      </c>
      <c r="M831" s="7">
        <v>0.6417421551657465</v>
      </c>
      <c r="N831" s="7">
        <v>0.4641109590132175</v>
      </c>
      <c r="O831" s="7">
        <v>0.0942995296468716</v>
      </c>
      <c r="P831" s="7">
        <v>7.956230505842028</v>
      </c>
      <c r="Q831" s="7">
        <v>0.0221540728175573</v>
      </c>
      <c r="R831" s="7">
        <v>0.05365095834279</v>
      </c>
      <c r="S831" s="7">
        <v>0.0783618400702483</v>
      </c>
      <c r="T831" s="7">
        <v>1.506808793564412</v>
      </c>
    </row>
    <row x14ac:dyDescent="0.25" r="832" customHeight="1" ht="19.5">
      <c r="A832" s="2" t="s">
        <v>867</v>
      </c>
      <c r="B832" s="2" t="s">
        <v>30</v>
      </c>
      <c r="C832" s="2" t="s">
        <v>31</v>
      </c>
      <c r="D832" s="2" t="s">
        <v>840</v>
      </c>
      <c r="E832" s="6">
        <v>1</v>
      </c>
      <c r="F832" s="6">
        <v>0</v>
      </c>
      <c r="G832" s="7">
        <v>0.6987560391426086</v>
      </c>
      <c r="H832" s="7">
        <v>59.59614375</v>
      </c>
      <c r="I832" s="7">
        <v>31.91957434112172</v>
      </c>
      <c r="J832" s="7">
        <v>10.01502212967046</v>
      </c>
      <c r="K832" s="7">
        <v>7.079730975299727</v>
      </c>
      <c r="L832" s="7">
        <v>0.7432546381867455</v>
      </c>
      <c r="M832" s="7">
        <v>0.735044852469245</v>
      </c>
      <c r="N832" s="7">
        <v>0.436091690317566</v>
      </c>
      <c r="O832" s="7">
        <v>0.1378350407313357</v>
      </c>
      <c r="P832" s="7">
        <v>8.218155060954084</v>
      </c>
      <c r="Q832" s="7">
        <v>0.0204252766035626</v>
      </c>
      <c r="R832" s="7">
        <v>0.0517744813679726</v>
      </c>
      <c r="S832" s="7">
        <v>0.0778064432556707</v>
      </c>
      <c r="T832" s="7">
        <v>1.412787636410329</v>
      </c>
    </row>
    <row x14ac:dyDescent="0.25" r="833" customHeight="1" ht="19.5">
      <c r="A833" s="2" t="s">
        <v>868</v>
      </c>
      <c r="B833" s="2" t="s">
        <v>30</v>
      </c>
      <c r="C833" s="2" t="s">
        <v>31</v>
      </c>
      <c r="D833" s="2" t="s">
        <v>840</v>
      </c>
      <c r="E833" s="6">
        <v>1</v>
      </c>
      <c r="F833" s="6">
        <v>0</v>
      </c>
      <c r="G833" s="7">
        <v>0.7652416229248047</v>
      </c>
      <c r="H833" s="7">
        <v>59.3537140625</v>
      </c>
      <c r="I833" s="7">
        <v>32.17761689029</v>
      </c>
      <c r="J833" s="7">
        <v>10.23181413567283</v>
      </c>
      <c r="K833" s="7">
        <v>7.092735647537941</v>
      </c>
      <c r="L833" s="7">
        <v>0.7655906696793434</v>
      </c>
      <c r="M833" s="7">
        <v>0.7203606991567036</v>
      </c>
      <c r="N833" s="7">
        <v>0.4189400659566573</v>
      </c>
      <c r="O833" s="7">
        <v>0.1445664329398328</v>
      </c>
      <c r="P833" s="7">
        <v>8.327864919221227</v>
      </c>
      <c r="Q833" s="7">
        <v>0.0146940538362654</v>
      </c>
      <c r="R833" s="7">
        <v>0.0435398168637275</v>
      </c>
      <c r="S833" s="7">
        <v>0.0690338246633241</v>
      </c>
      <c r="T833" s="7">
        <v>1.012232569222068</v>
      </c>
    </row>
    <row x14ac:dyDescent="0.25" r="834" customHeight="1" ht="19.5">
      <c r="A834" s="2" t="s">
        <v>869</v>
      </c>
      <c r="B834" s="2" t="s">
        <v>30</v>
      </c>
      <c r="C834" s="2" t="s">
        <v>31</v>
      </c>
      <c r="D834" s="2" t="s">
        <v>840</v>
      </c>
      <c r="E834" s="6">
        <v>1</v>
      </c>
      <c r="F834" s="6">
        <v>0</v>
      </c>
      <c r="G834" s="7">
        <v>0.7362529039382935</v>
      </c>
      <c r="H834" s="7">
        <v>58.27317031250001</v>
      </c>
      <c r="I834" s="7">
        <v>31.51180911022131</v>
      </c>
      <c r="J834" s="7">
        <v>9.845211406150716</v>
      </c>
      <c r="K834" s="7">
        <v>6.92443082868771</v>
      </c>
      <c r="L834" s="7">
        <v>0.7495415368921332</v>
      </c>
      <c r="M834" s="7">
        <v>0.7374487372477357</v>
      </c>
      <c r="N834" s="7">
        <v>0.3904473160477882</v>
      </c>
      <c r="O834" s="7">
        <v>0.1207414919487115</v>
      </c>
      <c r="P834" s="7">
        <v>8.609091059330545</v>
      </c>
      <c r="Q834" s="7">
        <v>0.0125688973691868</v>
      </c>
      <c r="R834" s="7">
        <v>0.0397972305729593</v>
      </c>
      <c r="S834" s="7">
        <v>0.0668152137616804</v>
      </c>
      <c r="T834" s="7">
        <v>0.8500737516013861</v>
      </c>
    </row>
    <row x14ac:dyDescent="0.25" r="835" customHeight="1" ht="19.5">
      <c r="A835" s="2" t="s">
        <v>870</v>
      </c>
      <c r="B835" s="2" t="s">
        <v>30</v>
      </c>
      <c r="C835" s="2" t="s">
        <v>31</v>
      </c>
      <c r="D835" s="2" t="s">
        <v>840</v>
      </c>
      <c r="E835" s="6">
        <v>1</v>
      </c>
      <c r="F835" s="6">
        <v>0</v>
      </c>
      <c r="G835" s="7">
        <v>0.75743168592453</v>
      </c>
      <c r="H835" s="7">
        <v>55.7103421875</v>
      </c>
      <c r="I835" s="7">
        <v>31.71900785552513</v>
      </c>
      <c r="J835" s="7">
        <v>9.658386302340991</v>
      </c>
      <c r="K835" s="7">
        <v>6.981127823840731</v>
      </c>
      <c r="L835" s="7">
        <v>0.7402970429351097</v>
      </c>
      <c r="M835" s="7">
        <v>0.6958353707718106</v>
      </c>
      <c r="N835" s="7">
        <v>0.3793311574781217</v>
      </c>
      <c r="O835" s="7">
        <v>0.1279509228140148</v>
      </c>
      <c r="P835" s="7">
        <v>8.71363215038592</v>
      </c>
      <c r="Q835" s="7">
        <v>0.0125012653571033</v>
      </c>
      <c r="R835" s="7">
        <v>0.0394119371880603</v>
      </c>
      <c r="S835" s="7">
        <v>0.06704422133331</v>
      </c>
      <c r="T835" s="7">
        <v>0.8083148915771277</v>
      </c>
    </row>
    <row x14ac:dyDescent="0.25" r="836" customHeight="1" ht="19.5">
      <c r="A836" s="2" t="s">
        <v>871</v>
      </c>
      <c r="B836" s="2" t="s">
        <v>30</v>
      </c>
      <c r="C836" s="2" t="s">
        <v>31</v>
      </c>
      <c r="D836" s="2" t="s">
        <v>840</v>
      </c>
      <c r="E836" s="6">
        <v>1</v>
      </c>
      <c r="F836" s="6">
        <v>0</v>
      </c>
      <c r="G836" s="7">
        <v>0.7591853141784668</v>
      </c>
      <c r="H836" s="7">
        <v>53.93367890625</v>
      </c>
      <c r="I836" s="7">
        <v>31.67652868330318</v>
      </c>
      <c r="J836" s="7">
        <v>9.386723689254158</v>
      </c>
      <c r="K836" s="7">
        <v>6.96280621782279</v>
      </c>
      <c r="L836" s="7">
        <v>0.7366738876105521</v>
      </c>
      <c r="M836" s="7">
        <v>0.6754523916218348</v>
      </c>
      <c r="N836" s="7">
        <v>0.387073123149726</v>
      </c>
      <c r="O836" s="7">
        <v>0.1383342001542002</v>
      </c>
      <c r="P836" s="7">
        <v>8.647954003356471</v>
      </c>
      <c r="Q836" s="7">
        <v>0.012186726866539</v>
      </c>
      <c r="R836" s="7">
        <v>0.0384420804419939</v>
      </c>
      <c r="S836" s="7">
        <v>0.0637720445773591</v>
      </c>
      <c r="T836" s="7">
        <v>0.7628478085932694</v>
      </c>
    </row>
    <row x14ac:dyDescent="0.25" r="837" customHeight="1" ht="19.5">
      <c r="A837" s="2" t="s">
        <v>872</v>
      </c>
      <c r="B837" s="2" t="s">
        <v>30</v>
      </c>
      <c r="C837" s="2" t="s">
        <v>31</v>
      </c>
      <c r="D837" s="2" t="s">
        <v>840</v>
      </c>
      <c r="E837" s="6">
        <v>1</v>
      </c>
      <c r="F837" s="6">
        <v>0</v>
      </c>
      <c r="G837" s="7">
        <v>0.7046921849250793</v>
      </c>
      <c r="H837" s="7">
        <v>54.97612656250001</v>
      </c>
      <c r="I837" s="7">
        <v>30.2776988419916</v>
      </c>
      <c r="J837" s="7">
        <v>9.399442785700224</v>
      </c>
      <c r="K837" s="7">
        <v>6.851667258341543</v>
      </c>
      <c r="L837" s="7">
        <v>0.7338706867171019</v>
      </c>
      <c r="M837" s="7">
        <v>0.753595457138784</v>
      </c>
      <c r="N837" s="7">
        <v>0.3711925224023928</v>
      </c>
      <c r="O837" s="7">
        <v>0.113633075275258</v>
      </c>
      <c r="P837" s="7">
        <v>8.729144427542652</v>
      </c>
      <c r="Q837" s="7">
        <v>0.0127750987702879</v>
      </c>
      <c r="R837" s="7">
        <v>0.0393248577298254</v>
      </c>
      <c r="S837" s="7">
        <v>0.0645605602314116</v>
      </c>
      <c r="T837" s="7">
        <v>0.815134330144436</v>
      </c>
    </row>
    <row x14ac:dyDescent="0.25" r="838" customHeight="1" ht="19.5">
      <c r="A838" s="2" t="s">
        <v>873</v>
      </c>
      <c r="B838" s="2" t="s">
        <v>30</v>
      </c>
      <c r="C838" s="2" t="s">
        <v>31</v>
      </c>
      <c r="D838" s="2" t="s">
        <v>840</v>
      </c>
      <c r="E838" s="6">
        <v>1</v>
      </c>
      <c r="F838" s="6">
        <v>0</v>
      </c>
      <c r="G838" s="7">
        <v>0.735887348651886</v>
      </c>
      <c r="H838" s="7">
        <v>56.48265390625</v>
      </c>
      <c r="I838" s="7">
        <v>31.03509722621142</v>
      </c>
      <c r="J838" s="7">
        <v>9.542306660986869</v>
      </c>
      <c r="K838" s="7">
        <v>7.002999153640356</v>
      </c>
      <c r="L838" s="7">
        <v>0.7296948067637644</v>
      </c>
      <c r="M838" s="7">
        <v>0.7369172756280964</v>
      </c>
      <c r="N838" s="7">
        <v>0.3796712524802336</v>
      </c>
      <c r="O838" s="7">
        <v>0.1267681171030793</v>
      </c>
      <c r="P838" s="7">
        <v>8.675866257412668</v>
      </c>
      <c r="Q838" s="7">
        <v>0.0128803604063098</v>
      </c>
      <c r="R838" s="7">
        <v>0.0404816025283093</v>
      </c>
      <c r="S838" s="7">
        <v>0.0660902396835672</v>
      </c>
      <c r="T838" s="7">
        <v>0.8443721289320597</v>
      </c>
    </row>
    <row x14ac:dyDescent="0.25" r="839" customHeight="1" ht="19.5">
      <c r="A839" s="2" t="s">
        <v>874</v>
      </c>
      <c r="B839" s="2" t="s">
        <v>30</v>
      </c>
      <c r="C839" s="2" t="s">
        <v>31</v>
      </c>
      <c r="D839" s="2" t="s">
        <v>840</v>
      </c>
      <c r="E839" s="6">
        <v>1</v>
      </c>
      <c r="F839" s="6">
        <v>0</v>
      </c>
      <c r="G839" s="7">
        <v>0.7455552816390991</v>
      </c>
      <c r="H839" s="7">
        <v>58.38399531250001</v>
      </c>
      <c r="I839" s="7">
        <v>31.72109901343576</v>
      </c>
      <c r="J839" s="7">
        <v>9.941094263732374</v>
      </c>
      <c r="K839" s="7">
        <v>7.044721186381805</v>
      </c>
      <c r="L839" s="7">
        <v>0.7550017649965003</v>
      </c>
      <c r="M839" s="7">
        <v>0.7291337884031813</v>
      </c>
      <c r="N839" s="7">
        <v>0.3855401760494257</v>
      </c>
      <c r="O839" s="7">
        <v>0.1373671055495419</v>
      </c>
      <c r="P839" s="7">
        <v>8.614394011751376</v>
      </c>
      <c r="Q839" s="7">
        <v>0.012309291801299</v>
      </c>
      <c r="R839" s="7">
        <v>0.0389569848777117</v>
      </c>
      <c r="S839" s="7">
        <v>0.0670373508579266</v>
      </c>
      <c r="T839" s="7">
        <v>0.8340991109966485</v>
      </c>
    </row>
    <row x14ac:dyDescent="0.25" r="840" customHeight="1" ht="19.5">
      <c r="A840" s="2" t="s">
        <v>875</v>
      </c>
      <c r="B840" s="2" t="s">
        <v>30</v>
      </c>
      <c r="C840" s="2" t="s">
        <v>31</v>
      </c>
      <c r="D840" s="2" t="s">
        <v>840</v>
      </c>
      <c r="E840" s="6">
        <v>1</v>
      </c>
      <c r="F840" s="6">
        <v>0</v>
      </c>
      <c r="G840" s="7">
        <v>0.7266849875450134</v>
      </c>
      <c r="H840" s="7">
        <v>53.680859375</v>
      </c>
      <c r="I840" s="7">
        <v>30.10533220921787</v>
      </c>
      <c r="J840" s="7">
        <v>9.5476651393967</v>
      </c>
      <c r="K840" s="7">
        <v>6.836793555740084</v>
      </c>
      <c r="L840" s="7">
        <v>0.7410408976173081</v>
      </c>
      <c r="M840" s="7">
        <v>0.7442905002583113</v>
      </c>
      <c r="N840" s="7">
        <v>0.3737678610589522</v>
      </c>
      <c r="O840" s="7">
        <v>0.1198185030418699</v>
      </c>
      <c r="P840" s="7">
        <v>8.71892453703407</v>
      </c>
      <c r="Q840" s="7">
        <v>0.0127271172879038</v>
      </c>
      <c r="R840" s="7">
        <v>0.0390448510835558</v>
      </c>
      <c r="S840" s="7">
        <v>0.063673893758126</v>
      </c>
      <c r="T840" s="7">
        <v>0.7929399266555546</v>
      </c>
    </row>
    <row x14ac:dyDescent="0.25" r="841" customHeight="1" ht="19.5">
      <c r="A841" s="2" t="s">
        <v>876</v>
      </c>
      <c r="B841" s="2" t="s">
        <v>30</v>
      </c>
      <c r="C841" s="2" t="s">
        <v>31</v>
      </c>
      <c r="D841" s="2" t="s">
        <v>840</v>
      </c>
      <c r="E841" s="6">
        <v>1</v>
      </c>
      <c r="F841" s="6">
        <v>0</v>
      </c>
      <c r="G841" s="7">
        <v>0.7466963529586792</v>
      </c>
      <c r="H841" s="7">
        <v>55.91467578125</v>
      </c>
      <c r="I841" s="7">
        <v>30.74258135048838</v>
      </c>
      <c r="J841" s="7">
        <v>9.62496451121897</v>
      </c>
      <c r="K841" s="7">
        <v>6.947796862451815</v>
      </c>
      <c r="L841" s="7">
        <v>0.7400249286791218</v>
      </c>
      <c r="M841" s="7">
        <v>0.7434555590554496</v>
      </c>
      <c r="N841" s="7">
        <v>0.3728737236816223</v>
      </c>
      <c r="O841" s="7">
        <v>0.1205632267528022</v>
      </c>
      <c r="P841" s="7">
        <v>8.727817683608636</v>
      </c>
      <c r="Q841" s="7">
        <v>0.0128119300471343</v>
      </c>
      <c r="R841" s="7">
        <v>0.0398184094401534</v>
      </c>
      <c r="S841" s="7">
        <v>0.0676462636769824</v>
      </c>
      <c r="T841" s="7">
        <v>0.8314404509544521</v>
      </c>
    </row>
    <row x14ac:dyDescent="0.25" r="842" customHeight="1" ht="19.5">
      <c r="A842" s="2" t="s">
        <v>877</v>
      </c>
      <c r="B842" s="2" t="s">
        <v>30</v>
      </c>
      <c r="C842" s="2" t="s">
        <v>31</v>
      </c>
      <c r="D842" s="2" t="s">
        <v>840</v>
      </c>
      <c r="E842" s="6">
        <v>1</v>
      </c>
      <c r="F842" s="6">
        <v>0</v>
      </c>
      <c r="G842" s="7">
        <v>0.7382052540779114</v>
      </c>
      <c r="H842" s="7">
        <v>54.00294453125</v>
      </c>
      <c r="I842" s="7">
        <v>30.5214620717608</v>
      </c>
      <c r="J842" s="7">
        <v>9.335542594148931</v>
      </c>
      <c r="K842" s="7">
        <v>6.848017412921212</v>
      </c>
      <c r="L842" s="7">
        <v>0.7268082927180395</v>
      </c>
      <c r="M842" s="7">
        <v>0.7284783292549317</v>
      </c>
      <c r="N842" s="7">
        <v>0.3725946276600698</v>
      </c>
      <c r="O842" s="7">
        <v>0.1204746703045482</v>
      </c>
      <c r="P842" s="7">
        <v>8.693567200593392</v>
      </c>
      <c r="Q842" s="7">
        <v>0.0125443175383688</v>
      </c>
      <c r="R842" s="7">
        <v>0.0381643506875474</v>
      </c>
      <c r="S842" s="7">
        <v>0.0686071803101655</v>
      </c>
      <c r="T842" s="7">
        <v>0.7862402257973684</v>
      </c>
    </row>
    <row x14ac:dyDescent="0.25" r="843" customHeight="1" ht="19.5">
      <c r="A843" s="2" t="s">
        <v>878</v>
      </c>
      <c r="B843" s="2" t="s">
        <v>30</v>
      </c>
      <c r="C843" s="2" t="s">
        <v>31</v>
      </c>
      <c r="D843" s="2" t="s">
        <v>840</v>
      </c>
      <c r="E843" s="6">
        <v>1</v>
      </c>
      <c r="F843" s="6">
        <v>0</v>
      </c>
      <c r="G843" s="7">
        <v>0.7449616193771362</v>
      </c>
      <c r="H843" s="7">
        <v>56.0982296875</v>
      </c>
      <c r="I843" s="7">
        <v>31.20154917122859</v>
      </c>
      <c r="J843" s="7">
        <v>9.662722495953414</v>
      </c>
      <c r="K843" s="7">
        <v>6.896925407551084</v>
      </c>
      <c r="L843" s="7">
        <v>0.7529886055873032</v>
      </c>
      <c r="M843" s="7">
        <v>0.7240241939889636</v>
      </c>
      <c r="N843" s="7">
        <v>0.3792246784709509</v>
      </c>
      <c r="O843" s="7">
        <v>0.1252530866752634</v>
      </c>
      <c r="P843" s="7">
        <v>8.684416240994999</v>
      </c>
      <c r="Q843" s="7">
        <v>0.0129000780213335</v>
      </c>
      <c r="R843" s="7">
        <v>0.0398225031835476</v>
      </c>
      <c r="S843" s="7">
        <v>0.0646744360833751</v>
      </c>
      <c r="T843" s="7">
        <v>0.8399090742230189</v>
      </c>
    </row>
    <row x14ac:dyDescent="0.25" r="844" customHeight="1" ht="19.5">
      <c r="A844" s="2" t="s">
        <v>879</v>
      </c>
      <c r="B844" s="2" t="s">
        <v>30</v>
      </c>
      <c r="C844" s="2" t="s">
        <v>31</v>
      </c>
      <c r="D844" s="2" t="s">
        <v>840</v>
      </c>
      <c r="E844" s="6">
        <v>1</v>
      </c>
      <c r="F844" s="6">
        <v>0</v>
      </c>
      <c r="G844" s="7">
        <v>0.7455556392669678</v>
      </c>
      <c r="H844" s="7">
        <v>54.1310859375</v>
      </c>
      <c r="I844" s="7">
        <v>30.77113998928656</v>
      </c>
      <c r="J844" s="7">
        <v>9.32761735301644</v>
      </c>
      <c r="K844" s="7">
        <v>6.910288228089864</v>
      </c>
      <c r="L844" s="7">
        <v>0.7231212640121301</v>
      </c>
      <c r="M844" s="7">
        <v>0.7184051412348478</v>
      </c>
      <c r="N844" s="7">
        <v>0.3817931074703837</v>
      </c>
      <c r="O844" s="7">
        <v>0.1328440277612418</v>
      </c>
      <c r="P844" s="7">
        <v>8.63310485465841</v>
      </c>
      <c r="Q844" s="7">
        <v>0.0124713828785237</v>
      </c>
      <c r="R844" s="7">
        <v>0.0389969698278805</v>
      </c>
      <c r="S844" s="7">
        <v>0.0650282651142922</v>
      </c>
      <c r="T844" s="7">
        <v>0.7835236904822533</v>
      </c>
    </row>
    <row x14ac:dyDescent="0.25" r="845" customHeight="1" ht="19.5">
      <c r="A845" s="2" t="s">
        <v>880</v>
      </c>
      <c r="B845" s="2" t="s">
        <v>30</v>
      </c>
      <c r="C845" s="2" t="s">
        <v>31</v>
      </c>
      <c r="D845" s="2" t="s">
        <v>840</v>
      </c>
      <c r="E845" s="6">
        <v>1</v>
      </c>
      <c r="F845" s="6">
        <v>0</v>
      </c>
      <c r="G845" s="7">
        <v>0.7499549984931946</v>
      </c>
      <c r="H845" s="7">
        <v>57.22379609375</v>
      </c>
      <c r="I845" s="7">
        <v>31.24193718553989</v>
      </c>
      <c r="J845" s="7">
        <v>9.93302915062225</v>
      </c>
      <c r="K845" s="7">
        <v>6.991774529720818</v>
      </c>
      <c r="L845" s="7">
        <v>0.7532243260885086</v>
      </c>
      <c r="M845" s="7">
        <v>0.7367338404317549</v>
      </c>
      <c r="N845" s="7">
        <v>0.3839076964581479</v>
      </c>
      <c r="O845" s="7">
        <v>0.1327692619129875</v>
      </c>
      <c r="P845" s="7">
        <v>8.641049607190876</v>
      </c>
      <c r="Q845" s="7">
        <v>0.0132171759335508</v>
      </c>
      <c r="R845" s="7">
        <v>0.0403664468308641</v>
      </c>
      <c r="S845" s="7">
        <v>0.0633527388421312</v>
      </c>
      <c r="T845" s="7">
        <v>0.8778213017628376</v>
      </c>
    </row>
    <row x14ac:dyDescent="0.25" r="846" customHeight="1" ht="19.5">
      <c r="A846" s="2" t="s">
        <v>881</v>
      </c>
      <c r="B846" s="2" t="s">
        <v>30</v>
      </c>
      <c r="C846" s="2" t="s">
        <v>31</v>
      </c>
      <c r="D846" s="2" t="s">
        <v>840</v>
      </c>
      <c r="E846" s="6">
        <v>1</v>
      </c>
      <c r="F846" s="6">
        <v>0</v>
      </c>
      <c r="G846" s="7">
        <v>0.7323512434959412</v>
      </c>
      <c r="H846" s="7">
        <v>56.22637109375</v>
      </c>
      <c r="I846" s="7">
        <v>31.42685076577742</v>
      </c>
      <c r="J846" s="7">
        <v>9.806339739198044</v>
      </c>
      <c r="K846" s="7">
        <v>7.003540279768176</v>
      </c>
      <c r="L846" s="7">
        <v>0.7487122624853398</v>
      </c>
      <c r="M846" s="7">
        <v>0.7153987749782479</v>
      </c>
      <c r="N846" s="7">
        <v>0.384656994197716</v>
      </c>
      <c r="O846" s="7">
        <v>0.1366305868794946</v>
      </c>
      <c r="P846" s="7">
        <v>8.593679099173833</v>
      </c>
      <c r="Q846" s="7">
        <v>0.0123660111463502</v>
      </c>
      <c r="R846" s="7">
        <v>0.0385436038832422</v>
      </c>
      <c r="S846" s="7">
        <v>0.0656326686278883</v>
      </c>
      <c r="T846" s="7">
        <v>0.8069757205241365</v>
      </c>
    </row>
    <row x14ac:dyDescent="0.25" r="847" customHeight="1" ht="19.5">
      <c r="A847" s="2" t="s">
        <v>882</v>
      </c>
      <c r="B847" s="2" t="s">
        <v>30</v>
      </c>
      <c r="C847" s="2" t="s">
        <v>31</v>
      </c>
      <c r="D847" s="2" t="s">
        <v>840</v>
      </c>
      <c r="E847" s="6">
        <v>1</v>
      </c>
      <c r="F847" s="6">
        <v>0</v>
      </c>
      <c r="G847" s="7">
        <v>0.71803218126297</v>
      </c>
      <c r="H847" s="7">
        <v>58.44287109375001</v>
      </c>
      <c r="I847" s="7">
        <v>31.16080237094194</v>
      </c>
      <c r="J847" s="7">
        <v>9.90943726418311</v>
      </c>
      <c r="K847" s="7">
        <v>7.09555250894515</v>
      </c>
      <c r="L847" s="7">
        <v>0.7423944233486216</v>
      </c>
      <c r="M847" s="7">
        <v>0.7563523198278649</v>
      </c>
      <c r="N847" s="7">
        <v>0.382457427245886</v>
      </c>
      <c r="O847" s="7">
        <v>0.1314414896999893</v>
      </c>
      <c r="P847" s="7">
        <v>8.624859950118795</v>
      </c>
      <c r="Q847" s="7">
        <v>0.0133046944221646</v>
      </c>
      <c r="R847" s="7">
        <v>0.0403769408474706</v>
      </c>
      <c r="S847" s="7">
        <v>0.069012732848213</v>
      </c>
      <c r="T847" s="7">
        <v>0.9024584744385188</v>
      </c>
    </row>
    <row x14ac:dyDescent="0.25" r="848" customHeight="1" ht="19.5">
      <c r="A848" s="2" t="s">
        <v>883</v>
      </c>
      <c r="B848" s="2" t="s">
        <v>30</v>
      </c>
      <c r="C848" s="2" t="s">
        <v>31</v>
      </c>
      <c r="D848" s="2" t="s">
        <v>840</v>
      </c>
      <c r="E848" s="6">
        <v>1</v>
      </c>
      <c r="F848" s="6">
        <v>0</v>
      </c>
      <c r="G848" s="7">
        <v>0.7392847537994385</v>
      </c>
      <c r="H848" s="7">
        <v>53.85748671875</v>
      </c>
      <c r="I848" s="7">
        <v>31.23184018196207</v>
      </c>
      <c r="J848" s="7">
        <v>9.419350889544436</v>
      </c>
      <c r="K848" s="7">
        <v>6.966168889569955</v>
      </c>
      <c r="L848" s="7">
        <v>0.724418794500039</v>
      </c>
      <c r="M848" s="7">
        <v>0.6938423427269581</v>
      </c>
      <c r="N848" s="7">
        <v>0.3902120053274396</v>
      </c>
      <c r="O848" s="7">
        <v>0.1420758523689229</v>
      </c>
      <c r="P848" s="7">
        <v>8.590970041364447</v>
      </c>
      <c r="Q848" s="7">
        <v>0.0119968896981141</v>
      </c>
      <c r="R848" s="7">
        <v>0.0379893375892926</v>
      </c>
      <c r="S848" s="7">
        <v>0.0655084349826292</v>
      </c>
      <c r="T848" s="7">
        <v>0.7499037562317804</v>
      </c>
    </row>
    <row x14ac:dyDescent="0.25" r="849" customHeight="1" ht="19.5">
      <c r="A849" s="2" t="s">
        <v>884</v>
      </c>
      <c r="B849" s="2" t="s">
        <v>30</v>
      </c>
      <c r="C849" s="2" t="s">
        <v>31</v>
      </c>
      <c r="D849" s="2" t="s">
        <v>840</v>
      </c>
      <c r="E849" s="6">
        <v>1</v>
      </c>
      <c r="F849" s="6">
        <v>0</v>
      </c>
      <c r="G849" s="7">
        <v>0.7505375146865845</v>
      </c>
      <c r="H849" s="7">
        <v>57.5735875</v>
      </c>
      <c r="I849" s="7">
        <v>32.13304656015742</v>
      </c>
      <c r="J849" s="7">
        <v>9.86247671253123</v>
      </c>
      <c r="K849" s="7">
        <v>6.97285387469384</v>
      </c>
      <c r="L849" s="7">
        <v>0.7564352144480585</v>
      </c>
      <c r="M849" s="7">
        <v>0.7006955336816115</v>
      </c>
      <c r="N849" s="7">
        <v>0.3878849480262845</v>
      </c>
      <c r="O849" s="7">
        <v>0.1392665011003099</v>
      </c>
      <c r="P849" s="7">
        <v>8.587687128312956</v>
      </c>
      <c r="Q849" s="7">
        <v>0.0128987465034452</v>
      </c>
      <c r="R849" s="7">
        <v>0.0406993477914029</v>
      </c>
      <c r="S849" s="7">
        <v>0.0679373861730356</v>
      </c>
      <c r="T849" s="7">
        <v>0.8619093255831244</v>
      </c>
    </row>
    <row x14ac:dyDescent="0.25" r="850" customHeight="1" ht="19.5">
      <c r="A850" s="2" t="s">
        <v>885</v>
      </c>
      <c r="B850" s="2" t="s">
        <v>30</v>
      </c>
      <c r="C850" s="2" t="s">
        <v>31</v>
      </c>
      <c r="D850" s="2" t="s">
        <v>840</v>
      </c>
      <c r="E850" s="6">
        <v>1</v>
      </c>
      <c r="F850" s="6">
        <v>0</v>
      </c>
      <c r="G850" s="7">
        <v>0.7127392888069153</v>
      </c>
      <c r="H850" s="7">
        <v>54.955346875</v>
      </c>
      <c r="I850" s="7">
        <v>30.71647265557616</v>
      </c>
      <c r="J850" s="7">
        <v>9.435059461140288</v>
      </c>
      <c r="K850" s="7">
        <v>6.889950797248072</v>
      </c>
      <c r="L850" s="7">
        <v>0.7273438959694709</v>
      </c>
      <c r="M850" s="7">
        <v>0.7319427846649619</v>
      </c>
      <c r="N850" s="7">
        <v>0.3706501473399672</v>
      </c>
      <c r="O850" s="7">
        <v>0.1202519386027752</v>
      </c>
      <c r="P850" s="7">
        <v>8.732969339339924</v>
      </c>
      <c r="Q850" s="7">
        <v>0.0127530021591916</v>
      </c>
      <c r="R850" s="7">
        <v>0.0397379442738853</v>
      </c>
      <c r="S850" s="7">
        <v>0.0663998744930068</v>
      </c>
      <c r="T850" s="7">
        <v>0.8134168539824924</v>
      </c>
    </row>
    <row x14ac:dyDescent="0.25" r="851" customHeight="1" ht="19.5">
      <c r="A851" s="2" t="s">
        <v>886</v>
      </c>
      <c r="B851" s="2" t="s">
        <v>30</v>
      </c>
      <c r="C851" s="2" t="s">
        <v>31</v>
      </c>
      <c r="D851" s="2" t="s">
        <v>840</v>
      </c>
      <c r="E851" s="6">
        <v>1</v>
      </c>
      <c r="F851" s="6">
        <v>0</v>
      </c>
      <c r="G851" s="7">
        <v>0.7432384490966797</v>
      </c>
      <c r="H851" s="7">
        <v>58.32165625</v>
      </c>
      <c r="I851" s="7">
        <v>31.82661015101063</v>
      </c>
      <c r="J851" s="7">
        <v>9.99555418780485</v>
      </c>
      <c r="K851" s="7">
        <v>7.07631064896796</v>
      </c>
      <c r="L851" s="7">
        <v>0.7549576020028074</v>
      </c>
      <c r="M851" s="7">
        <v>0.7235339997924327</v>
      </c>
      <c r="N851" s="7">
        <v>0.3826463798091665</v>
      </c>
      <c r="O851" s="7">
        <v>0.1374442476321157</v>
      </c>
      <c r="P851" s="7">
        <v>8.642613130081001</v>
      </c>
      <c r="Q851" s="7">
        <v>0.0122066829758064</v>
      </c>
      <c r="R851" s="7">
        <v>0.0389247834702574</v>
      </c>
      <c r="S851" s="7">
        <v>0.063205463746106</v>
      </c>
      <c r="T851" s="7">
        <v>0.826262978815958</v>
      </c>
    </row>
    <row x14ac:dyDescent="0.25" r="852" customHeight="1" ht="19.5">
      <c r="A852" s="2" t="s">
        <v>887</v>
      </c>
      <c r="B852" s="2" t="s">
        <v>30</v>
      </c>
      <c r="C852" s="2" t="s">
        <v>31</v>
      </c>
      <c r="D852" s="2" t="s">
        <v>840</v>
      </c>
      <c r="E852" s="6">
        <v>1</v>
      </c>
      <c r="F852" s="6">
        <v>0</v>
      </c>
      <c r="G852" s="7">
        <v>0.7616143822669983</v>
      </c>
      <c r="H852" s="7">
        <v>56.85668828125</v>
      </c>
      <c r="I852" s="7">
        <v>31.11832319872</v>
      </c>
      <c r="J852" s="7">
        <v>9.73502949809713</v>
      </c>
      <c r="K852" s="7">
        <v>6.960017846176952</v>
      </c>
      <c r="L852" s="7">
        <v>0.7486702127654121</v>
      </c>
      <c r="M852" s="7">
        <v>0.7378346551278794</v>
      </c>
      <c r="N852" s="7">
        <v>0.3772424215991358</v>
      </c>
      <c r="O852" s="7">
        <v>0.1263689191770264</v>
      </c>
      <c r="P852" s="7">
        <v>8.670366922737273</v>
      </c>
      <c r="Q852" s="7">
        <v>0.0117012349472815</v>
      </c>
      <c r="R852" s="7">
        <v>0.0373964153195316</v>
      </c>
      <c r="S852" s="7">
        <v>0.0654142426963016</v>
      </c>
      <c r="T852" s="7">
        <v>0.7721542025080731</v>
      </c>
    </row>
    <row x14ac:dyDescent="0.25" r="853" customHeight="1" ht="19.5">
      <c r="A853" s="2" t="s">
        <v>888</v>
      </c>
      <c r="B853" s="2" t="s">
        <v>30</v>
      </c>
      <c r="C853" s="2" t="s">
        <v>31</v>
      </c>
      <c r="D853" s="2" t="s">
        <v>840</v>
      </c>
      <c r="E853" s="6">
        <v>1</v>
      </c>
      <c r="F853" s="6">
        <v>0</v>
      </c>
      <c r="G853" s="7">
        <v>0.7661113142967224</v>
      </c>
      <c r="H853" s="7">
        <v>57.16145703125</v>
      </c>
      <c r="I853" s="7">
        <v>30.97206526085848</v>
      </c>
      <c r="J853" s="7">
        <v>9.882911989673584</v>
      </c>
      <c r="K853" s="7">
        <v>6.972929144082052</v>
      </c>
      <c r="L853" s="7">
        <v>0.747313513416691</v>
      </c>
      <c r="M853" s="7">
        <v>0.7488120473122913</v>
      </c>
      <c r="N853" s="7">
        <v>0.433437497271023</v>
      </c>
      <c r="O853" s="7">
        <v>0.1435714923134102</v>
      </c>
      <c r="P853" s="7">
        <v>8.221592536132228</v>
      </c>
      <c r="Q853" s="7">
        <v>0.0154108877746951</v>
      </c>
      <c r="R853" s="7">
        <v>0.0426582815416689</v>
      </c>
      <c r="S853" s="7">
        <v>0.0660794120897975</v>
      </c>
      <c r="T853" s="7">
        <v>1.022402089089459</v>
      </c>
    </row>
    <row x14ac:dyDescent="0.25" r="854" customHeight="1" ht="19.5">
      <c r="A854" s="2" t="s">
        <v>889</v>
      </c>
      <c r="B854" s="2" t="s">
        <v>30</v>
      </c>
      <c r="C854" s="2" t="s">
        <v>31</v>
      </c>
      <c r="D854" s="2" t="s">
        <v>840</v>
      </c>
      <c r="E854" s="6">
        <v>1</v>
      </c>
      <c r="F854" s="6">
        <v>0</v>
      </c>
      <c r="G854" s="7">
        <v>0.5016213655471802</v>
      </c>
      <c r="H854" s="7">
        <v>54.08606328125001</v>
      </c>
      <c r="I854" s="7">
        <v>31.82863975097988</v>
      </c>
      <c r="J854" s="7">
        <v>8.771090512863456</v>
      </c>
      <c r="K854" s="7">
        <v>7.944892592385524</v>
      </c>
      <c r="L854" s="7">
        <v>0.5117519147722234</v>
      </c>
      <c r="M854" s="7">
        <v>0.6709019875972744</v>
      </c>
      <c r="N854" s="7">
        <v>0.5805524810727992</v>
      </c>
      <c r="O854" s="7">
        <v>0.0990514177918996</v>
      </c>
      <c r="P854" s="7">
        <v>7.203021290845649</v>
      </c>
      <c r="Q854" s="7">
        <v>0.0207992327582659</v>
      </c>
      <c r="R854" s="7">
        <v>0.0480538660294274</v>
      </c>
      <c r="S854" s="7">
        <v>0.0677952210472778</v>
      </c>
      <c r="T854" s="7">
        <v>1.305640060816341</v>
      </c>
    </row>
    <row x14ac:dyDescent="0.25" r="855" customHeight="1" ht="19.5">
      <c r="A855" s="2" t="s">
        <v>890</v>
      </c>
      <c r="B855" s="2" t="s">
        <v>30</v>
      </c>
      <c r="C855" s="2" t="s">
        <v>31</v>
      </c>
      <c r="D855" s="2" t="s">
        <v>840</v>
      </c>
      <c r="E855" s="6">
        <v>1</v>
      </c>
      <c r="F855" s="6">
        <v>0</v>
      </c>
      <c r="G855" s="7">
        <v>0.6061045527458191</v>
      </c>
      <c r="H855" s="7">
        <v>65.040421875</v>
      </c>
      <c r="I855" s="7">
        <v>43.90644121036136</v>
      </c>
      <c r="J855" s="7">
        <v>11.54028231195997</v>
      </c>
      <c r="K855" s="7">
        <v>8.337844989951712</v>
      </c>
      <c r="L855" s="7">
        <v>0.7778615038948515</v>
      </c>
      <c r="M855" s="7">
        <v>0.4185534065751607</v>
      </c>
      <c r="N855" s="7">
        <v>0.5062336217191444</v>
      </c>
      <c r="O855" s="7">
        <v>0.091690844706846</v>
      </c>
      <c r="P855" s="7">
        <v>8.292763725764129</v>
      </c>
      <c r="Q855" s="7">
        <v>0.0175083145648003</v>
      </c>
      <c r="R855" s="7">
        <v>0.0499682504884789</v>
      </c>
      <c r="S855" s="7">
        <v>0.078615823429604</v>
      </c>
      <c r="T855" s="7">
        <v>1.321656117335731</v>
      </c>
    </row>
    <row x14ac:dyDescent="0.25" r="856" customHeight="1" ht="19.5">
      <c r="A856" s="2" t="s">
        <v>891</v>
      </c>
      <c r="B856" s="2" t="s">
        <v>30</v>
      </c>
      <c r="C856" s="2" t="s">
        <v>31</v>
      </c>
      <c r="D856" s="2" t="s">
        <v>840</v>
      </c>
      <c r="E856" s="6">
        <v>1</v>
      </c>
      <c r="F856" s="6">
        <v>0</v>
      </c>
      <c r="G856" s="7">
        <v>0.6411687135696411</v>
      </c>
      <c r="H856" s="7">
        <v>59.05933515625</v>
      </c>
      <c r="I856" s="7">
        <v>39.80506859238971</v>
      </c>
      <c r="J856" s="7">
        <v>10.70875342912298</v>
      </c>
      <c r="K856" s="7">
        <v>6.393886482652425</v>
      </c>
      <c r="L856" s="7">
        <v>0.826664801760367</v>
      </c>
      <c r="M856" s="7">
        <v>0.4653013133842598</v>
      </c>
      <c r="N856" s="7">
        <v>0.4472554140845986</v>
      </c>
      <c r="O856" s="7">
        <v>0.0874864942094229</v>
      </c>
      <c r="P856" s="7">
        <v>8.625559121317002</v>
      </c>
      <c r="Q856" s="7">
        <v>0.025072580219199</v>
      </c>
      <c r="R856" s="7">
        <v>0.0587908570484746</v>
      </c>
      <c r="S856" s="7">
        <v>0.0871117871114002</v>
      </c>
      <c r="T856" s="7">
        <v>1.718614071233508</v>
      </c>
    </row>
    <row x14ac:dyDescent="0.25" r="857" customHeight="1" ht="19.5">
      <c r="A857" s="2" t="s">
        <v>892</v>
      </c>
      <c r="B857" s="2" t="s">
        <v>30</v>
      </c>
      <c r="C857" s="2" t="s">
        <v>31</v>
      </c>
      <c r="D857" s="2" t="s">
        <v>840</v>
      </c>
      <c r="E857" s="6">
        <v>1</v>
      </c>
      <c r="F857" s="6">
        <v>0</v>
      </c>
      <c r="G857" s="7">
        <v>0.6495091319084167</v>
      </c>
      <c r="H857" s="7">
        <v>58.58140234375001</v>
      </c>
      <c r="I857" s="7">
        <v>34.46958570618836</v>
      </c>
      <c r="J857" s="7">
        <v>10.74315627365906</v>
      </c>
      <c r="K857" s="7">
        <v>6.349465521425538</v>
      </c>
      <c r="L857" s="7">
        <v>0.8399431983655017</v>
      </c>
      <c r="M857" s="7">
        <v>0.6195068992411324</v>
      </c>
      <c r="N857" s="7">
        <v>0.4239210588139348</v>
      </c>
      <c r="O857" s="7">
        <v>0.0828479021043673</v>
      </c>
      <c r="P857" s="7">
        <v>8.69470168222008</v>
      </c>
      <c r="Q857" s="7">
        <v>0.0205823120470225</v>
      </c>
      <c r="R857" s="7">
        <v>0.0494541402415606</v>
      </c>
      <c r="S857" s="7">
        <v>0.0732985348117912</v>
      </c>
      <c r="T857" s="7">
        <v>1.399409126980244</v>
      </c>
    </row>
    <row x14ac:dyDescent="0.25" r="858" customHeight="1" ht="19.5">
      <c r="A858" s="2" t="s">
        <v>893</v>
      </c>
      <c r="B858" s="2" t="s">
        <v>30</v>
      </c>
      <c r="C858" s="2" t="s">
        <v>31</v>
      </c>
      <c r="D858" s="2" t="s">
        <v>840</v>
      </c>
      <c r="E858" s="6">
        <v>1</v>
      </c>
      <c r="F858" s="6">
        <v>0</v>
      </c>
      <c r="G858" s="7">
        <v>0.6350674033164978</v>
      </c>
      <c r="H858" s="7">
        <v>55.5718109375</v>
      </c>
      <c r="I858" s="7">
        <v>33.58510859127806</v>
      </c>
      <c r="J858" s="7">
        <v>10.77944582649518</v>
      </c>
      <c r="K858" s="7">
        <v>6.138376973857488</v>
      </c>
      <c r="L858" s="7">
        <v>0.8572762540918456</v>
      </c>
      <c r="M858" s="7">
        <v>0.6184198850971472</v>
      </c>
      <c r="N858" s="7">
        <v>0.435864166341271</v>
      </c>
      <c r="O858" s="7">
        <v>0.1448325603514309</v>
      </c>
      <c r="P858" s="7">
        <v>8.514593727806444</v>
      </c>
      <c r="Q858" s="7">
        <v>0.0227167999786157</v>
      </c>
      <c r="R858" s="7">
        <v>0.0508540976935459</v>
      </c>
      <c r="S858" s="7">
        <v>0.07649204392672</v>
      </c>
      <c r="T858" s="7">
        <v>1.465185066776338</v>
      </c>
    </row>
    <row x14ac:dyDescent="0.25" r="859" customHeight="1" ht="19.5">
      <c r="A859" s="2" t="s">
        <v>894</v>
      </c>
      <c r="B859" s="2" t="s">
        <v>30</v>
      </c>
      <c r="C859" s="2" t="s">
        <v>31</v>
      </c>
      <c r="D859" s="2" t="s">
        <v>840</v>
      </c>
      <c r="E859" s="6">
        <v>1</v>
      </c>
      <c r="F859" s="6">
        <v>0</v>
      </c>
      <c r="G859" s="7">
        <v>0.6564140319824219</v>
      </c>
      <c r="H859" s="7">
        <v>55.2254828125</v>
      </c>
      <c r="I859" s="7">
        <v>34.31394833669969</v>
      </c>
      <c r="J859" s="7">
        <v>10.5411813653757</v>
      </c>
      <c r="K859" s="7">
        <v>6.236690968478338</v>
      </c>
      <c r="L859" s="7">
        <v>0.8469272784708562</v>
      </c>
      <c r="M859" s="7">
        <v>0.5885100167300865</v>
      </c>
      <c r="N859" s="7">
        <v>0.4089730846989418</v>
      </c>
      <c r="O859" s="7">
        <v>0.1258261573714943</v>
      </c>
      <c r="P859" s="7">
        <v>8.726593542148693</v>
      </c>
      <c r="Q859" s="7">
        <v>0.0189958618718367</v>
      </c>
      <c r="R859" s="7">
        <v>0.0459561625978922</v>
      </c>
      <c r="S859" s="7">
        <v>0.0756607778157364</v>
      </c>
      <c r="T859" s="7">
        <v>1.217557007136835</v>
      </c>
    </row>
    <row x14ac:dyDescent="0.25" r="860" customHeight="1" ht="19.5">
      <c r="A860" s="2" t="s">
        <v>895</v>
      </c>
      <c r="B860" s="2" t="s">
        <v>30</v>
      </c>
      <c r="C860" s="2" t="s">
        <v>31</v>
      </c>
      <c r="D860" s="2" t="s">
        <v>840</v>
      </c>
      <c r="E860" s="6">
        <v>1</v>
      </c>
      <c r="F860" s="6">
        <v>0</v>
      </c>
      <c r="G860" s="7">
        <v>0.6652975678443909</v>
      </c>
      <c r="H860" s="7">
        <v>53.94060546875</v>
      </c>
      <c r="I860" s="7">
        <v>32.88273632674399</v>
      </c>
      <c r="J860" s="7">
        <v>10.43067512091944</v>
      </c>
      <c r="K860" s="7">
        <v>6.248361816024837</v>
      </c>
      <c r="L860" s="7">
        <v>0.8445112832870022</v>
      </c>
      <c r="M860" s="7">
        <v>0.6265657494984139</v>
      </c>
      <c r="N860" s="7">
        <v>0.4045023730880037</v>
      </c>
      <c r="O860" s="7">
        <v>0.1177885159526112</v>
      </c>
      <c r="P860" s="7">
        <v>8.74949176281574</v>
      </c>
      <c r="Q860" s="7">
        <v>0.0147833327823111</v>
      </c>
      <c r="R860" s="7">
        <v>0.0411136103522741</v>
      </c>
      <c r="S860" s="7">
        <v>0.0731707165360485</v>
      </c>
      <c r="T860" s="7">
        <v>0.9255053856284152</v>
      </c>
    </row>
    <row x14ac:dyDescent="0.25" r="861" customHeight="1" ht="19.5">
      <c r="A861" s="2" t="s">
        <v>896</v>
      </c>
      <c r="B861" s="2" t="s">
        <v>30</v>
      </c>
      <c r="C861" s="2" t="s">
        <v>31</v>
      </c>
      <c r="D861" s="2" t="s">
        <v>840</v>
      </c>
      <c r="E861" s="6">
        <v>1</v>
      </c>
      <c r="F861" s="6">
        <v>0</v>
      </c>
      <c r="G861" s="7">
        <v>0.6450840830802917</v>
      </c>
      <c r="H861" s="7">
        <v>55.64453984375</v>
      </c>
      <c r="I861" s="7">
        <v>33.48760329937038</v>
      </c>
      <c r="J861" s="7">
        <v>10.71155893754336</v>
      </c>
      <c r="K861" s="7">
        <v>5.902394417577459</v>
      </c>
      <c r="L861" s="7">
        <v>0.861365170811055</v>
      </c>
      <c r="M861" s="7">
        <v>0.6232294843798634</v>
      </c>
      <c r="N861" s="7">
        <v>0.3982228615845674</v>
      </c>
      <c r="O861" s="7">
        <v>0.1039337934659051</v>
      </c>
      <c r="P861" s="7">
        <v>8.834947459537773</v>
      </c>
      <c r="Q861" s="7">
        <v>0.0200693735210773</v>
      </c>
      <c r="R861" s="7">
        <v>0.0480277532488897</v>
      </c>
      <c r="S861" s="7">
        <v>0.0787579363904673</v>
      </c>
      <c r="T861" s="7">
        <v>1.296125787361751</v>
      </c>
    </row>
    <row x14ac:dyDescent="0.25" r="862" customHeight="1" ht="19.5">
      <c r="A862" s="2" t="s">
        <v>897</v>
      </c>
      <c r="B862" s="2" t="s">
        <v>30</v>
      </c>
      <c r="C862" s="2" t="s">
        <v>31</v>
      </c>
      <c r="D862" s="2" t="s">
        <v>840</v>
      </c>
      <c r="E862" s="6">
        <v>1</v>
      </c>
      <c r="F862" s="6">
        <v>0</v>
      </c>
      <c r="G862" s="7">
        <v>0.6554443836212158</v>
      </c>
      <c r="H862" s="7">
        <v>53.27565546875</v>
      </c>
      <c r="I862" s="7">
        <v>32.90747143569625</v>
      </c>
      <c r="J862" s="7">
        <v>10.39350080140829</v>
      </c>
      <c r="K862" s="7">
        <v>6.122480982852128</v>
      </c>
      <c r="L862" s="7">
        <v>0.842352402965383</v>
      </c>
      <c r="M862" s="7">
        <v>0.6178676772883293</v>
      </c>
      <c r="N862" s="7">
        <v>0.403192459667715</v>
      </c>
      <c r="O862" s="7">
        <v>0.1176711479797981</v>
      </c>
      <c r="P862" s="7">
        <v>8.762209179883513</v>
      </c>
      <c r="Q862" s="7">
        <v>0.0140726849255433</v>
      </c>
      <c r="R862" s="7">
        <v>0.0395981703358174</v>
      </c>
      <c r="S862" s="7">
        <v>0.0730917567523441</v>
      </c>
      <c r="T862" s="7">
        <v>0.8701548518338975</v>
      </c>
    </row>
    <row x14ac:dyDescent="0.25" r="863" customHeight="1" ht="19.5">
      <c r="A863" s="2" t="s">
        <v>898</v>
      </c>
      <c r="B863" s="2" t="s">
        <v>30</v>
      </c>
      <c r="C863" s="2" t="s">
        <v>31</v>
      </c>
      <c r="D863" s="2" t="s">
        <v>840</v>
      </c>
      <c r="E863" s="6">
        <v>1</v>
      </c>
      <c r="F863" s="6">
        <v>0</v>
      </c>
      <c r="G863" s="7">
        <v>0.6497625708580017</v>
      </c>
      <c r="H863" s="7">
        <v>55.05578203125</v>
      </c>
      <c r="I863" s="7">
        <v>34.17187271465943</v>
      </c>
      <c r="J863" s="7">
        <v>10.60413211460987</v>
      </c>
      <c r="K863" s="7">
        <v>5.969561405182217</v>
      </c>
      <c r="L863" s="7">
        <v>0.8578871802808719</v>
      </c>
      <c r="M863" s="7">
        <v>0.591699436786153</v>
      </c>
      <c r="N863" s="7">
        <v>0.4112382407796131</v>
      </c>
      <c r="O863" s="7">
        <v>0.1217700704074294</v>
      </c>
      <c r="P863" s="7">
        <v>8.741515584981006</v>
      </c>
      <c r="Q863" s="7">
        <v>0.0175751290688248</v>
      </c>
      <c r="R863" s="7">
        <v>0.0445541730863551</v>
      </c>
      <c r="S863" s="7">
        <v>0.0737529157510066</v>
      </c>
      <c r="T863" s="7">
        <v>1.123032278473302</v>
      </c>
    </row>
    <row x14ac:dyDescent="0.25" r="864" customHeight="1" ht="19.5">
      <c r="A864" s="2" t="s">
        <v>899</v>
      </c>
      <c r="B864" s="2" t="s">
        <v>30</v>
      </c>
      <c r="C864" s="2" t="s">
        <v>31</v>
      </c>
      <c r="D864" s="2" t="s">
        <v>840</v>
      </c>
      <c r="E864" s="6">
        <v>1</v>
      </c>
      <c r="F864" s="6">
        <v>0</v>
      </c>
      <c r="G864" s="7">
        <v>0.6513115167617798</v>
      </c>
      <c r="H864" s="7">
        <v>56.21944453125001</v>
      </c>
      <c r="I864" s="7">
        <v>34.22235773254857</v>
      </c>
      <c r="J864" s="7">
        <v>10.86769661924387</v>
      </c>
      <c r="K864" s="7">
        <v>6.022378600270873</v>
      </c>
      <c r="L864" s="7">
        <v>0.8606546825697374</v>
      </c>
      <c r="M864" s="7">
        <v>0.6032211508091836</v>
      </c>
      <c r="N864" s="7">
        <v>0.3965463441944425</v>
      </c>
      <c r="O864" s="7">
        <v>0.1062234929658909</v>
      </c>
      <c r="P864" s="7">
        <v>8.819893187038588</v>
      </c>
      <c r="Q864" s="7">
        <v>0.0176999262816309</v>
      </c>
      <c r="R864" s="7">
        <v>0.0445347204953295</v>
      </c>
      <c r="S864" s="7">
        <v>0.0761983299973005</v>
      </c>
      <c r="T864" s="7">
        <v>1.154911718325633</v>
      </c>
    </row>
    <row x14ac:dyDescent="0.25" r="865" customHeight="1" ht="19.5">
      <c r="A865" s="2" t="s">
        <v>900</v>
      </c>
      <c r="B865" s="2" t="s">
        <v>30</v>
      </c>
      <c r="C865" s="2" t="s">
        <v>31</v>
      </c>
      <c r="D865" s="2" t="s">
        <v>840</v>
      </c>
      <c r="E865" s="6">
        <v>1</v>
      </c>
      <c r="F865" s="6">
        <v>0</v>
      </c>
      <c r="G865" s="7">
        <v>0.6600906848907471</v>
      </c>
      <c r="H865" s="7">
        <v>56.92595390625</v>
      </c>
      <c r="I865" s="7">
        <v>33.41865664626089</v>
      </c>
      <c r="J865" s="7">
        <v>10.75907087259484</v>
      </c>
      <c r="K865" s="7">
        <v>6.217079759874311</v>
      </c>
      <c r="L865" s="7">
        <v>0.8539026972391547</v>
      </c>
      <c r="M865" s="7">
        <v>0.6391701087863376</v>
      </c>
      <c r="N865" s="7">
        <v>0.4047010651604528</v>
      </c>
      <c r="O865" s="7">
        <v>0.1202176833171192</v>
      </c>
      <c r="P865" s="7">
        <v>8.76693254316063</v>
      </c>
      <c r="Q865" s="7">
        <v>0.0220184976923699</v>
      </c>
      <c r="R865" s="7">
        <v>0.0496979227412943</v>
      </c>
      <c r="S865" s="7">
        <v>0.0777915493948765</v>
      </c>
      <c r="T865" s="7">
        <v>1.454751390204928</v>
      </c>
    </row>
    <row x14ac:dyDescent="0.25" r="866" customHeight="1" ht="19.5">
      <c r="A866" s="2" t="s">
        <v>901</v>
      </c>
      <c r="B866" s="2" t="s">
        <v>30</v>
      </c>
      <c r="C866" s="2" t="s">
        <v>31</v>
      </c>
      <c r="D866" s="2" t="s">
        <v>840</v>
      </c>
      <c r="E866" s="6">
        <v>1</v>
      </c>
      <c r="F866" s="6">
        <v>0</v>
      </c>
      <c r="G866" s="7">
        <v>0.6555068492889404</v>
      </c>
      <c r="H866" s="7">
        <v>53.13712421875</v>
      </c>
      <c r="I866" s="7">
        <v>31.50690922244937</v>
      </c>
      <c r="J866" s="7">
        <v>10.47463513733045</v>
      </c>
      <c r="K866" s="7">
        <v>5.943258808300767</v>
      </c>
      <c r="L866" s="7">
        <v>0.846363276179451</v>
      </c>
      <c r="M866" s="7">
        <v>0.6724857248072996</v>
      </c>
      <c r="N866" s="7">
        <v>0.4084008265304485</v>
      </c>
      <c r="O866" s="7">
        <v>0.1199865743467745</v>
      </c>
      <c r="P866" s="7">
        <v>8.71768980373115</v>
      </c>
      <c r="Q866" s="7">
        <v>0.0148702419614085</v>
      </c>
      <c r="R866" s="7">
        <v>0.0411277799603245</v>
      </c>
      <c r="S866" s="7">
        <v>0.0744413656260097</v>
      </c>
      <c r="T866" s="7">
        <v>0.9170792390947295</v>
      </c>
    </row>
    <row x14ac:dyDescent="0.25" r="867" customHeight="1" ht="19.5">
      <c r="A867" s="2" t="s">
        <v>902</v>
      </c>
      <c r="B867" s="2" t="s">
        <v>30</v>
      </c>
      <c r="C867" s="2" t="s">
        <v>31</v>
      </c>
      <c r="D867" s="2" t="s">
        <v>840</v>
      </c>
      <c r="E867" s="6">
        <v>1</v>
      </c>
      <c r="F867" s="6">
        <v>0</v>
      </c>
      <c r="G867" s="7">
        <v>0.6485304832458496</v>
      </c>
      <c r="H867" s="7">
        <v>54.53282656250001</v>
      </c>
      <c r="I867" s="7">
        <v>33.79021617867124</v>
      </c>
      <c r="J867" s="7">
        <v>10.42419404710662</v>
      </c>
      <c r="K867" s="7">
        <v>6.027072694460784</v>
      </c>
      <c r="L867" s="7">
        <v>0.8470822567848239</v>
      </c>
      <c r="M867" s="7">
        <v>0.597289226942318</v>
      </c>
      <c r="N867" s="7">
        <v>0.4071409499532977</v>
      </c>
      <c r="O867" s="7">
        <v>0.1206765617670361</v>
      </c>
      <c r="P867" s="7">
        <v>8.784152485414847</v>
      </c>
      <c r="Q867" s="7">
        <v>0.0179826215851238</v>
      </c>
      <c r="R867" s="7">
        <v>0.0452452127470116</v>
      </c>
      <c r="S867" s="7">
        <v>0.0777999553809203</v>
      </c>
      <c r="T867" s="7">
        <v>1.138156005205175</v>
      </c>
    </row>
    <row x14ac:dyDescent="0.25" r="868" customHeight="1" ht="19.5">
      <c r="A868" s="2" t="s">
        <v>903</v>
      </c>
      <c r="B868" s="2" t="s">
        <v>30</v>
      </c>
      <c r="C868" s="2" t="s">
        <v>31</v>
      </c>
      <c r="D868" s="2" t="s">
        <v>840</v>
      </c>
      <c r="E868" s="6">
        <v>1</v>
      </c>
      <c r="F868" s="6">
        <v>0</v>
      </c>
      <c r="G868" s="7">
        <v>0.6609415411949158</v>
      </c>
      <c r="H868" s="7">
        <v>56.38568203125001</v>
      </c>
      <c r="I868" s="7">
        <v>32.76712818559128</v>
      </c>
      <c r="J868" s="7">
        <v>10.75964611467041</v>
      </c>
      <c r="K868" s="7">
        <v>6.04361049754986</v>
      </c>
      <c r="L868" s="7">
        <v>0.8582894319903452</v>
      </c>
      <c r="M868" s="7">
        <v>0.6594903094170025</v>
      </c>
      <c r="N868" s="7">
        <v>0.3981621823988859</v>
      </c>
      <c r="O868" s="7">
        <v>0.1057096179500129</v>
      </c>
      <c r="P868" s="7">
        <v>8.833969786944868</v>
      </c>
      <c r="Q868" s="7">
        <v>0.0172428467671603</v>
      </c>
      <c r="R868" s="7">
        <v>0.044570372747011</v>
      </c>
      <c r="S868" s="7">
        <v>0.0734324317205088</v>
      </c>
      <c r="T868" s="7">
        <v>1.128414314516215</v>
      </c>
    </row>
    <row x14ac:dyDescent="0.25" r="869" customHeight="1" ht="19.5">
      <c r="A869" s="2" t="s">
        <v>904</v>
      </c>
      <c r="B869" s="2" t="s">
        <v>30</v>
      </c>
      <c r="C869" s="2" t="s">
        <v>31</v>
      </c>
      <c r="D869" s="2" t="s">
        <v>840</v>
      </c>
      <c r="E869" s="6">
        <v>1</v>
      </c>
      <c r="F869" s="6">
        <v>0</v>
      </c>
      <c r="G869" s="7">
        <v>0.6604205369949341</v>
      </c>
      <c r="H869" s="7">
        <v>55.4055734375</v>
      </c>
      <c r="I869" s="7">
        <v>33.59102327903462</v>
      </c>
      <c r="J869" s="7">
        <v>10.72775963024301</v>
      </c>
      <c r="K869" s="7">
        <v>6.031157410816945</v>
      </c>
      <c r="L869" s="7">
        <v>0.860894058540899</v>
      </c>
      <c r="M869" s="7">
        <v>0.6167750272549254</v>
      </c>
      <c r="N869" s="7">
        <v>0.4125090961470858</v>
      </c>
      <c r="O869" s="7">
        <v>0.1272664318331074</v>
      </c>
      <c r="P869" s="7">
        <v>8.698490120759416</v>
      </c>
      <c r="Q869" s="7">
        <v>0.0196149132530838</v>
      </c>
      <c r="R869" s="7">
        <v>0.0463213516209711</v>
      </c>
      <c r="S869" s="7">
        <v>0.0771857875982364</v>
      </c>
      <c r="T869" s="7">
        <v>1.261335520185159</v>
      </c>
    </row>
    <row x14ac:dyDescent="0.25" r="870" customHeight="1" ht="19.5">
      <c r="A870" s="2" t="s">
        <v>905</v>
      </c>
      <c r="B870" s="2" t="s">
        <v>30</v>
      </c>
      <c r="C870" s="2" t="s">
        <v>31</v>
      </c>
      <c r="D870" s="2" t="s">
        <v>840</v>
      </c>
      <c r="E870" s="6">
        <v>1</v>
      </c>
      <c r="F870" s="6">
        <v>0</v>
      </c>
      <c r="G870" s="7">
        <v>0.6472970843315125</v>
      </c>
      <c r="H870" s="7">
        <v>55.64453984375</v>
      </c>
      <c r="I870" s="7">
        <v>33.97267981502281</v>
      </c>
      <c r="J870" s="7">
        <v>10.84206164103604</v>
      </c>
      <c r="K870" s="7">
        <v>6.212896506098439</v>
      </c>
      <c r="L870" s="7">
        <v>0.8596042022521674</v>
      </c>
      <c r="M870" s="7">
        <v>0.6049180251399996</v>
      </c>
      <c r="N870" s="7">
        <v>0.416970432798884</v>
      </c>
      <c r="O870" s="7">
        <v>0.1347752583480838</v>
      </c>
      <c r="P870" s="7">
        <v>8.651791658645397</v>
      </c>
      <c r="Q870" s="7">
        <v>0.0192664759197928</v>
      </c>
      <c r="R870" s="7">
        <v>0.0453865178396209</v>
      </c>
      <c r="S870" s="7">
        <v>0.0751705550871786</v>
      </c>
      <c r="T870" s="7">
        <v>1.244272834176996</v>
      </c>
    </row>
    <row x14ac:dyDescent="0.25" r="871" customHeight="1" ht="19.5">
      <c r="A871" s="2" t="s">
        <v>906</v>
      </c>
      <c r="B871" s="2" t="s">
        <v>30</v>
      </c>
      <c r="C871" s="2" t="s">
        <v>31</v>
      </c>
      <c r="D871" s="2" t="s">
        <v>840</v>
      </c>
      <c r="E871" s="6">
        <v>1</v>
      </c>
      <c r="F871" s="6">
        <v>0</v>
      </c>
      <c r="G871" s="7">
        <v>0.6577373743057251</v>
      </c>
      <c r="H871" s="7">
        <v>53.32414140625</v>
      </c>
      <c r="I871" s="7">
        <v>32.24757834338412</v>
      </c>
      <c r="J871" s="7">
        <v>10.3171415491517</v>
      </c>
      <c r="K871" s="7">
        <v>6.256583099398833</v>
      </c>
      <c r="L871" s="7">
        <v>0.8395663547516409</v>
      </c>
      <c r="M871" s="7">
        <v>0.6416559462116742</v>
      </c>
      <c r="N871" s="7">
        <v>0.4180676084010494</v>
      </c>
      <c r="O871" s="7">
        <v>0.1364633631417366</v>
      </c>
      <c r="P871" s="7">
        <v>8.644684205615253</v>
      </c>
      <c r="Q871" s="7">
        <v>0.0164093628765566</v>
      </c>
      <c r="R871" s="7">
        <v>0.0425252769052108</v>
      </c>
      <c r="S871" s="7">
        <v>0.071607913206471</v>
      </c>
      <c r="T871" s="7">
        <v>1.015561832553167</v>
      </c>
    </row>
    <row x14ac:dyDescent="0.25" r="872" customHeight="1" ht="19.5">
      <c r="A872" s="2" t="s">
        <v>907</v>
      </c>
      <c r="B872" s="2" t="s">
        <v>30</v>
      </c>
      <c r="C872" s="2" t="s">
        <v>31</v>
      </c>
      <c r="D872" s="2" t="s">
        <v>840</v>
      </c>
      <c r="E872" s="6">
        <v>1</v>
      </c>
      <c r="F872" s="6">
        <v>0</v>
      </c>
      <c r="G872" s="7">
        <v>0.6486861109733582</v>
      </c>
      <c r="H872" s="7">
        <v>54.4704875</v>
      </c>
      <c r="I872" s="7">
        <v>32.96213876940665</v>
      </c>
      <c r="J872" s="7">
        <v>10.54787223543717</v>
      </c>
      <c r="K872" s="7">
        <v>6.020505272294207</v>
      </c>
      <c r="L872" s="7">
        <v>0.8516577938166862</v>
      </c>
      <c r="M872" s="7">
        <v>0.6287579902641829</v>
      </c>
      <c r="N872" s="7">
        <v>0.4101034283995362</v>
      </c>
      <c r="O872" s="7">
        <v>0.1256983999204134</v>
      </c>
      <c r="P872" s="7">
        <v>8.742437813840683</v>
      </c>
      <c r="Q872" s="7">
        <v>0.0166613530329944</v>
      </c>
      <c r="R872" s="7">
        <v>0.0425719602374405</v>
      </c>
      <c r="S872" s="7">
        <v>0.0751462343795377</v>
      </c>
      <c r="T872" s="7">
        <v>1.053324798273982</v>
      </c>
    </row>
    <row x14ac:dyDescent="0.25" r="873" customHeight="1" ht="19.5">
      <c r="A873" s="2" t="s">
        <v>908</v>
      </c>
      <c r="B873" s="2" t="s">
        <v>30</v>
      </c>
      <c r="C873" s="2" t="s">
        <v>31</v>
      </c>
      <c r="D873" s="2" t="s">
        <v>840</v>
      </c>
      <c r="E873" s="6">
        <v>1</v>
      </c>
      <c r="F873" s="6">
        <v>0</v>
      </c>
      <c r="G873" s="7">
        <v>0.6592919826507568</v>
      </c>
      <c r="H873" s="7">
        <v>56.45841093750001</v>
      </c>
      <c r="I873" s="7">
        <v>34.12730238452686</v>
      </c>
      <c r="J873" s="7">
        <v>10.78657554386657</v>
      </c>
      <c r="K873" s="7">
        <v>6.03209889882142</v>
      </c>
      <c r="L873" s="7">
        <v>0.8604714422308074</v>
      </c>
      <c r="M873" s="7">
        <v>0.6085292630656529</v>
      </c>
      <c r="N873" s="7">
        <v>0.4028131659626599</v>
      </c>
      <c r="O873" s="7">
        <v>0.1145637206378736</v>
      </c>
      <c r="P873" s="7">
        <v>8.804456635355823</v>
      </c>
      <c r="Q873" s="7">
        <v>0.01845046734538</v>
      </c>
      <c r="R873" s="7">
        <v>0.0454353961804038</v>
      </c>
      <c r="S873" s="7">
        <v>0.074179398646533</v>
      </c>
      <c r="T873" s="7">
        <v>1.209001394292666</v>
      </c>
    </row>
    <row x14ac:dyDescent="0.25" r="874" customHeight="1" ht="19.5">
      <c r="A874" s="2" t="s">
        <v>909</v>
      </c>
      <c r="B874" s="2" t="s">
        <v>30</v>
      </c>
      <c r="C874" s="2" t="s">
        <v>31</v>
      </c>
      <c r="D874" s="2" t="s">
        <v>840</v>
      </c>
      <c r="E874" s="6">
        <v>1</v>
      </c>
      <c r="F874" s="6">
        <v>0</v>
      </c>
      <c r="G874" s="7">
        <v>0.6576621532440186</v>
      </c>
      <c r="H874" s="7">
        <v>54.816815625</v>
      </c>
      <c r="I874" s="7">
        <v>34.2324547361264</v>
      </c>
      <c r="J874" s="7">
        <v>10.73204115343748</v>
      </c>
      <c r="K874" s="7">
        <v>6.113652528281255</v>
      </c>
      <c r="L874" s="7">
        <v>0.8560309540110258</v>
      </c>
      <c r="M874" s="7">
        <v>0.5876758102339253</v>
      </c>
      <c r="N874" s="7">
        <v>0.4037504172775075</v>
      </c>
      <c r="O874" s="7">
        <v>0.1204203646475707</v>
      </c>
      <c r="P874" s="7">
        <v>8.762750599648882</v>
      </c>
      <c r="Q874" s="7">
        <v>0.0183540780800445</v>
      </c>
      <c r="R874" s="7">
        <v>0.0452866270928988</v>
      </c>
      <c r="S874" s="7">
        <v>0.0796535300737596</v>
      </c>
      <c r="T874" s="7">
        <v>1.167715804470558</v>
      </c>
    </row>
    <row x14ac:dyDescent="0.25" r="875" customHeight="1" ht="19.5">
      <c r="A875" s="2" t="s">
        <v>910</v>
      </c>
      <c r="B875" s="2" t="s">
        <v>30</v>
      </c>
      <c r="C875" s="2" t="s">
        <v>31</v>
      </c>
      <c r="D875" s="2" t="s">
        <v>840</v>
      </c>
      <c r="E875" s="6">
        <v>1</v>
      </c>
      <c r="F875" s="6">
        <v>0</v>
      </c>
      <c r="G875" s="7">
        <v>0.6567106246948242</v>
      </c>
      <c r="H875" s="7">
        <v>54.05489375000001</v>
      </c>
      <c r="I875" s="7">
        <v>32.59057923699629</v>
      </c>
      <c r="J875" s="7">
        <v>10.35845969532682</v>
      </c>
      <c r="K875" s="7">
        <v>6.043521172738428</v>
      </c>
      <c r="L875" s="7">
        <v>0.8475524552832407</v>
      </c>
      <c r="M875" s="7">
        <v>0.6392019120336331</v>
      </c>
      <c r="N875" s="7">
        <v>0.3949692886727469</v>
      </c>
      <c r="O875" s="7">
        <v>0.1077151295671806</v>
      </c>
      <c r="P875" s="7">
        <v>8.82897657676159</v>
      </c>
      <c r="Q875" s="7">
        <v>0.0184944217526301</v>
      </c>
      <c r="R875" s="7">
        <v>0.0456082117473013</v>
      </c>
      <c r="S875" s="7">
        <v>0.078061204394907</v>
      </c>
      <c r="T875" s="7">
        <v>1.160290016082284</v>
      </c>
    </row>
    <row x14ac:dyDescent="0.25" r="876" customHeight="1" ht="19.5">
      <c r="A876" s="2" t="s">
        <v>911</v>
      </c>
      <c r="B876" s="2" t="s">
        <v>30</v>
      </c>
      <c r="C876" s="2" t="s">
        <v>31</v>
      </c>
      <c r="D876" s="2" t="s">
        <v>840</v>
      </c>
      <c r="E876" s="6">
        <v>1</v>
      </c>
      <c r="F876" s="6">
        <v>0</v>
      </c>
      <c r="G876" s="7">
        <v>0.648967981338501</v>
      </c>
      <c r="H876" s="7">
        <v>55.63068671875001</v>
      </c>
      <c r="I876" s="7">
        <v>34.56535862616074</v>
      </c>
      <c r="J876" s="7">
        <v>10.81898235325669</v>
      </c>
      <c r="K876" s="7">
        <v>5.915977036573391</v>
      </c>
      <c r="L876" s="7">
        <v>0.8668491903886919</v>
      </c>
      <c r="M876" s="7">
        <v>0.5846791219161893</v>
      </c>
      <c r="N876" s="7">
        <v>0.4032117540963601</v>
      </c>
      <c r="O876" s="7">
        <v>0.1228952397216181</v>
      </c>
      <c r="P876" s="7">
        <v>8.747049668896967</v>
      </c>
      <c r="Q876" s="7">
        <v>0.0183005761984771</v>
      </c>
      <c r="R876" s="7">
        <v>0.0442629873079888</v>
      </c>
      <c r="S876" s="7">
        <v>0.074118791044337</v>
      </c>
      <c r="T876" s="7">
        <v>1.181598592278117</v>
      </c>
    </row>
    <row x14ac:dyDescent="0.25" r="877" customHeight="1" ht="19.5">
      <c r="A877" s="2" t="s">
        <v>912</v>
      </c>
      <c r="B877" s="2" t="s">
        <v>30</v>
      </c>
      <c r="C877" s="2" t="s">
        <v>31</v>
      </c>
      <c r="D877" s="2" t="s">
        <v>840</v>
      </c>
      <c r="E877" s="6">
        <v>1</v>
      </c>
      <c r="F877" s="6">
        <v>0</v>
      </c>
      <c r="G877" s="7">
        <v>0.6433889269828796</v>
      </c>
      <c r="H877" s="7">
        <v>55.49561875000001</v>
      </c>
      <c r="I877" s="7">
        <v>34.62002595987114</v>
      </c>
      <c r="J877" s="7">
        <v>10.12566534807257</v>
      </c>
      <c r="K877" s="7">
        <v>6.345946169143428</v>
      </c>
      <c r="L877" s="7">
        <v>0.8129676201773879</v>
      </c>
      <c r="M877" s="7">
        <v>0.5811637611647589</v>
      </c>
      <c r="N877" s="7">
        <v>0.4367376523358443</v>
      </c>
      <c r="O877" s="7">
        <v>0.1180373967544554</v>
      </c>
      <c r="P877" s="7">
        <v>8.602247004849584</v>
      </c>
      <c r="Q877" s="7">
        <v>0.0173747902033345</v>
      </c>
      <c r="R877" s="7">
        <v>0.0438257089197595</v>
      </c>
      <c r="S877" s="7">
        <v>0.0716270610031582</v>
      </c>
      <c r="T877" s="7">
        <v>1.119100390514036</v>
      </c>
    </row>
    <row x14ac:dyDescent="0.25" r="878" customHeight="1" ht="19.5">
      <c r="A878" s="2" t="s">
        <v>913</v>
      </c>
      <c r="B878" s="2" t="s">
        <v>30</v>
      </c>
      <c r="C878" s="2" t="s">
        <v>31</v>
      </c>
      <c r="D878" s="2" t="s">
        <v>840</v>
      </c>
      <c r="E878" s="6">
        <v>1</v>
      </c>
      <c r="F878" s="6">
        <v>0</v>
      </c>
      <c r="G878" s="7">
        <v>0.4991073608398437</v>
      </c>
      <c r="H878" s="7">
        <v>70.19724765625</v>
      </c>
      <c r="I878" s="7">
        <v>35.45222412701563</v>
      </c>
      <c r="J878" s="7">
        <v>10.47149376864613</v>
      </c>
      <c r="K878" s="7">
        <v>7.194994048565972</v>
      </c>
      <c r="L878" s="7">
        <v>0.7529311004702821</v>
      </c>
      <c r="M878" s="7">
        <v>0.7016747199877059</v>
      </c>
      <c r="N878" s="7">
        <v>0.510722544857944</v>
      </c>
      <c r="O878" s="7">
        <v>0.0668474659332624</v>
      </c>
      <c r="P878" s="7">
        <v>8.193489539830113</v>
      </c>
      <c r="Q878" s="7">
        <v>0.0246178859534968</v>
      </c>
      <c r="R878" s="7">
        <v>0.0608222597339898</v>
      </c>
      <c r="S878" s="7">
        <v>0.0847052347550072</v>
      </c>
      <c r="T878" s="7">
        <v>2.0056798888638</v>
      </c>
    </row>
    <row x14ac:dyDescent="0.25" r="879" customHeight="1" ht="19.5">
      <c r="A879" s="2" t="s">
        <v>914</v>
      </c>
      <c r="B879" s="2" t="s">
        <v>30</v>
      </c>
      <c r="C879" s="2" t="s">
        <v>31</v>
      </c>
      <c r="D879" s="2" t="s">
        <v>840</v>
      </c>
      <c r="E879" s="6">
        <v>1</v>
      </c>
      <c r="F879" s="6">
        <v>0</v>
      </c>
      <c r="G879" s="7">
        <v>0.6478798389434814</v>
      </c>
      <c r="H879" s="7">
        <v>57.15453046875</v>
      </c>
      <c r="I879" s="7">
        <v>33.41274195850433</v>
      </c>
      <c r="J879" s="7">
        <v>9.32798601003105</v>
      </c>
      <c r="K879" s="7">
        <v>6.684229183978237</v>
      </c>
      <c r="L879" s="7">
        <v>0.7272021029893097</v>
      </c>
      <c r="M879" s="7">
        <v>0.6430218226555701</v>
      </c>
      <c r="N879" s="7">
        <v>0.4609062000586235</v>
      </c>
      <c r="O879" s="7">
        <v>0.0754601203991367</v>
      </c>
      <c r="P879" s="7">
        <v>8.510472871895244</v>
      </c>
      <c r="Q879" s="7">
        <v>0.0179824608958069</v>
      </c>
      <c r="R879" s="7">
        <v>0.0496528790051468</v>
      </c>
      <c r="S879" s="7">
        <v>0.0706991569686748</v>
      </c>
      <c r="T879" s="7">
        <v>1.192862994579939</v>
      </c>
    </row>
    <row x14ac:dyDescent="0.25" r="880" customHeight="1" ht="19.5">
      <c r="A880" s="2" t="s">
        <v>915</v>
      </c>
      <c r="B880" s="2" t="s">
        <v>30</v>
      </c>
      <c r="C880" s="2" t="s">
        <v>31</v>
      </c>
      <c r="D880" s="2" t="s">
        <v>840</v>
      </c>
      <c r="E880" s="6">
        <v>1</v>
      </c>
      <c r="F880" s="6">
        <v>0</v>
      </c>
      <c r="G880" s="7">
        <v>0.6564679741859436</v>
      </c>
      <c r="H880" s="7">
        <v>59.06972500000001</v>
      </c>
      <c r="I880" s="7">
        <v>34.08792917020018</v>
      </c>
      <c r="J880" s="7">
        <v>10.36122424957392</v>
      </c>
      <c r="K880" s="7">
        <v>6.395092842084269</v>
      </c>
      <c r="L880" s="7">
        <v>0.8127754301642428</v>
      </c>
      <c r="M880" s="7">
        <v>0.6388127497686644</v>
      </c>
      <c r="N880" s="7">
        <v>0.4234600182646061</v>
      </c>
      <c r="O880" s="7">
        <v>0.0728987774927594</v>
      </c>
      <c r="P880" s="7">
        <v>8.694873189542317</v>
      </c>
      <c r="Q880" s="7">
        <v>0.0180916662547953</v>
      </c>
      <c r="R880" s="7">
        <v>0.0465466847692399</v>
      </c>
      <c r="S880" s="7">
        <v>0.0700446598901696</v>
      </c>
      <c r="T880" s="7">
        <v>1.240321570439492</v>
      </c>
    </row>
    <row x14ac:dyDescent="0.25" r="881" customHeight="1" ht="19.5">
      <c r="A881" s="2" t="s">
        <v>916</v>
      </c>
      <c r="B881" s="2" t="s">
        <v>30</v>
      </c>
      <c r="C881" s="2" t="s">
        <v>31</v>
      </c>
      <c r="D881" s="2" t="s">
        <v>840</v>
      </c>
      <c r="E881" s="6">
        <v>1</v>
      </c>
      <c r="F881" s="6">
        <v>0</v>
      </c>
      <c r="G881" s="7">
        <v>0.6703279614448547</v>
      </c>
      <c r="H881" s="7">
        <v>56.894784375</v>
      </c>
      <c r="I881" s="7">
        <v>31.44560962903174</v>
      </c>
      <c r="J881" s="7">
        <v>10.03692542567886</v>
      </c>
      <c r="K881" s="7">
        <v>6.17584655418731</v>
      </c>
      <c r="L881" s="7">
        <v>0.810177094223941</v>
      </c>
      <c r="M881" s="7">
        <v>0.7230399307998153</v>
      </c>
      <c r="N881" s="7">
        <v>0.3756609258498445</v>
      </c>
      <c r="O881" s="7">
        <v>0.0671440317396099</v>
      </c>
      <c r="P881" s="7">
        <v>8.957116041995043</v>
      </c>
      <c r="Q881" s="7">
        <v>0.0152662167379685</v>
      </c>
      <c r="R881" s="7">
        <v>0.0425992328507689</v>
      </c>
      <c r="S881" s="7">
        <v>0.0647565446636974</v>
      </c>
      <c r="T881" s="7">
        <v>1.008079213599963</v>
      </c>
    </row>
    <row x14ac:dyDescent="0.25" r="882" customHeight="1" ht="19.5">
      <c r="A882" s="2" t="s">
        <v>917</v>
      </c>
      <c r="B882" s="2" t="s">
        <v>30</v>
      </c>
      <c r="C882" s="2" t="s">
        <v>31</v>
      </c>
      <c r="D882" s="2" t="s">
        <v>840</v>
      </c>
      <c r="E882" s="6">
        <v>1</v>
      </c>
      <c r="F882" s="6">
        <v>0</v>
      </c>
      <c r="G882" s="7">
        <v>0.6716875433921814</v>
      </c>
      <c r="H882" s="7">
        <v>57.0956546875</v>
      </c>
      <c r="I882" s="7">
        <v>32.41403028840129</v>
      </c>
      <c r="J882" s="7">
        <v>10.23784528124697</v>
      </c>
      <c r="K882" s="7">
        <v>6.273332716291729</v>
      </c>
      <c r="L882" s="7">
        <v>0.8171841736128735</v>
      </c>
      <c r="M882" s="7">
        <v>0.6828838689923377</v>
      </c>
      <c r="N882" s="7">
        <v>0.3953266506605206</v>
      </c>
      <c r="O882" s="7">
        <v>0.1071217051411284</v>
      </c>
      <c r="P882" s="7">
        <v>8.78506242050389</v>
      </c>
      <c r="Q882" s="7">
        <v>0.0180041117060786</v>
      </c>
      <c r="R882" s="7">
        <v>0.0449577281405641</v>
      </c>
      <c r="S882" s="7">
        <v>0.0642628819646977</v>
      </c>
      <c r="T882" s="7">
        <v>1.193068930409642</v>
      </c>
    </row>
    <row x14ac:dyDescent="0.25" r="883" customHeight="1" ht="19.5">
      <c r="A883" s="2" t="s">
        <v>918</v>
      </c>
      <c r="B883" s="2" t="s">
        <v>30</v>
      </c>
      <c r="C883" s="2" t="s">
        <v>31</v>
      </c>
      <c r="D883" s="2" t="s">
        <v>840</v>
      </c>
      <c r="E883" s="6">
        <v>1</v>
      </c>
      <c r="F883" s="6">
        <v>0</v>
      </c>
      <c r="G883" s="7">
        <v>0.6681395173072815</v>
      </c>
      <c r="H883" s="7">
        <v>59.20132968750001</v>
      </c>
      <c r="I883" s="7">
        <v>32.57175881580059</v>
      </c>
      <c r="J883" s="7">
        <v>10.42542438880136</v>
      </c>
      <c r="K883" s="7">
        <v>6.049509498184205</v>
      </c>
      <c r="L883" s="7">
        <v>0.8257398099606961</v>
      </c>
      <c r="M883" s="7">
        <v>0.7012274438368262</v>
      </c>
      <c r="N883" s="7">
        <v>0.3738296819430943</v>
      </c>
      <c r="O883" s="7">
        <v>0.0699825319550614</v>
      </c>
      <c r="P883" s="7">
        <v>8.977493623983626</v>
      </c>
      <c r="Q883" s="7">
        <v>0.0185960585830131</v>
      </c>
      <c r="R883" s="7">
        <v>0.0459724682807656</v>
      </c>
      <c r="S883" s="7">
        <v>0.0663947138737967</v>
      </c>
      <c r="T883" s="7">
        <v>1.277741930887269</v>
      </c>
    </row>
    <row x14ac:dyDescent="0.25" r="884" customHeight="1" ht="19.5">
      <c r="A884" s="2" t="s">
        <v>919</v>
      </c>
      <c r="B884" s="2" t="s">
        <v>30</v>
      </c>
      <c r="C884" s="2" t="s">
        <v>31</v>
      </c>
      <c r="D884" s="2" t="s">
        <v>840</v>
      </c>
      <c r="E884" s="6">
        <v>1</v>
      </c>
      <c r="F884" s="6">
        <v>0</v>
      </c>
      <c r="G884" s="7">
        <v>0.6567376255989075</v>
      </c>
      <c r="H884" s="7">
        <v>60.17451171875</v>
      </c>
      <c r="I884" s="7">
        <v>32.41749503227188</v>
      </c>
      <c r="J884" s="7">
        <v>10.60783514777019</v>
      </c>
      <c r="K884" s="7">
        <v>6.068868454934577</v>
      </c>
      <c r="L884" s="7">
        <v>0.8368993879943923</v>
      </c>
      <c r="M884" s="7">
        <v>0.7195542340029976</v>
      </c>
      <c r="N884" s="7">
        <v>0.3750048849275502</v>
      </c>
      <c r="O884" s="7">
        <v>0.0707276405739803</v>
      </c>
      <c r="P884" s="7">
        <v>8.96048363660828</v>
      </c>
      <c r="Q884" s="7">
        <v>0.020160865846977</v>
      </c>
      <c r="R884" s="7">
        <v>0.0482021511091055</v>
      </c>
      <c r="S884" s="7">
        <v>0.0738757840457369</v>
      </c>
      <c r="T884" s="7">
        <v>1.408032031571467</v>
      </c>
    </row>
    <row x14ac:dyDescent="0.25" r="885" customHeight="1" ht="19.5">
      <c r="A885" s="2" t="s">
        <v>920</v>
      </c>
      <c r="B885" s="2" t="s">
        <v>30</v>
      </c>
      <c r="C885" s="2" t="s">
        <v>31</v>
      </c>
      <c r="D885" s="2" t="s">
        <v>840</v>
      </c>
      <c r="E885" s="6">
        <v>1</v>
      </c>
      <c r="F885" s="6">
        <v>0</v>
      </c>
      <c r="G885" s="7">
        <v>0.6641086935997009</v>
      </c>
      <c r="H885" s="7">
        <v>59.32254453125</v>
      </c>
      <c r="I885" s="7">
        <v>32.09295577388007</v>
      </c>
      <c r="J885" s="7">
        <v>10.40095651808649</v>
      </c>
      <c r="K885" s="7">
        <v>6.158611329172832</v>
      </c>
      <c r="L885" s="7">
        <v>0.8236139301458532</v>
      </c>
      <c r="M885" s="7">
        <v>0.723786035610839</v>
      </c>
      <c r="N885" s="7">
        <v>0.3748693717543265</v>
      </c>
      <c r="O885" s="7">
        <v>0.0720371743359201</v>
      </c>
      <c r="P885" s="7">
        <v>8.959240302790503</v>
      </c>
      <c r="Q885" s="7">
        <v>0.0169803003003512</v>
      </c>
      <c r="R885" s="7">
        <v>0.0440492152519827</v>
      </c>
      <c r="S885" s="7">
        <v>0.066290620316277</v>
      </c>
      <c r="T885" s="7">
        <v>1.169111460073887</v>
      </c>
    </row>
    <row x14ac:dyDescent="0.25" r="886" customHeight="1" ht="19.5">
      <c r="A886" s="2" t="s">
        <v>921</v>
      </c>
      <c r="B886" s="2" t="s">
        <v>30</v>
      </c>
      <c r="C886" s="2" t="s">
        <v>31</v>
      </c>
      <c r="D886" s="2" t="s">
        <v>840</v>
      </c>
      <c r="E886" s="6">
        <v>1</v>
      </c>
      <c r="F886" s="6">
        <v>0</v>
      </c>
      <c r="G886" s="7">
        <v>0.6640463471412659</v>
      </c>
      <c r="H886" s="7">
        <v>56.950196875</v>
      </c>
      <c r="I886" s="7">
        <v>32.66161704801642</v>
      </c>
      <c r="J886" s="7">
        <v>10.40589140643932</v>
      </c>
      <c r="K886" s="7">
        <v>6.13695391984408</v>
      </c>
      <c r="L886" s="7">
        <v>0.8294194674965172</v>
      </c>
      <c r="M886" s="7">
        <v>0.6708566494981952</v>
      </c>
      <c r="N886" s="7">
        <v>0.3854208998651899</v>
      </c>
      <c r="O886" s="7">
        <v>0.0957878001195521</v>
      </c>
      <c r="P886" s="7">
        <v>8.863444727455038</v>
      </c>
      <c r="Q886" s="7">
        <v>0.0149573116790766</v>
      </c>
      <c r="R886" s="7">
        <v>0.040918505640875</v>
      </c>
      <c r="S886" s="7">
        <v>0.0617040827145813</v>
      </c>
      <c r="T886" s="7">
        <v>0.988643131214745</v>
      </c>
    </row>
    <row x14ac:dyDescent="0.25" r="887" customHeight="1" ht="19.5">
      <c r="A887" s="2" t="s">
        <v>922</v>
      </c>
      <c r="B887" s="2" t="s">
        <v>30</v>
      </c>
      <c r="C887" s="2" t="s">
        <v>31</v>
      </c>
      <c r="D887" s="2" t="s">
        <v>840</v>
      </c>
      <c r="E887" s="6">
        <v>1</v>
      </c>
      <c r="F887" s="6">
        <v>0</v>
      </c>
      <c r="G887" s="7">
        <v>0.6662318706512451</v>
      </c>
      <c r="H887" s="7">
        <v>59.48878203125</v>
      </c>
      <c r="I887" s="7">
        <v>32.46833883613635</v>
      </c>
      <c r="J887" s="7">
        <v>10.40311077049416</v>
      </c>
      <c r="K887" s="7">
        <v>6.11097534831544</v>
      </c>
      <c r="L887" s="7">
        <v>0.8270546651123717</v>
      </c>
      <c r="M887" s="7">
        <v>0.7091282748153017</v>
      </c>
      <c r="N887" s="7">
        <v>0.3694867197556756</v>
      </c>
      <c r="O887" s="7">
        <v>0.0642983531930611</v>
      </c>
      <c r="P887" s="7">
        <v>8.990969042056253</v>
      </c>
      <c r="Q887" s="7">
        <v>0.0150207667355132</v>
      </c>
      <c r="R887" s="7">
        <v>0.0425331648265526</v>
      </c>
      <c r="S887" s="7">
        <v>0.0659173263508821</v>
      </c>
      <c r="T887" s="7">
        <v>1.03709361189229</v>
      </c>
    </row>
    <row x14ac:dyDescent="0.25" r="888" customHeight="1" ht="19.5">
      <c r="A888" s="2" t="s">
        <v>923</v>
      </c>
      <c r="B888" s="2" t="s">
        <v>30</v>
      </c>
      <c r="C888" s="2" t="s">
        <v>31</v>
      </c>
      <c r="D888" s="2" t="s">
        <v>840</v>
      </c>
      <c r="E888" s="6">
        <v>1</v>
      </c>
      <c r="F888" s="6">
        <v>0</v>
      </c>
      <c r="G888" s="7">
        <v>0.6565328240394592</v>
      </c>
      <c r="H888" s="7">
        <v>59.72082187500001</v>
      </c>
      <c r="I888" s="7">
        <v>34.24081936776893</v>
      </c>
      <c r="J888" s="7">
        <v>10.52334217990168</v>
      </c>
      <c r="K888" s="7">
        <v>6.261239808641769</v>
      </c>
      <c r="L888" s="7">
        <v>0.8316218670819921</v>
      </c>
      <c r="M888" s="7">
        <v>0.6400992858270227</v>
      </c>
      <c r="N888" s="7">
        <v>0.3907869872873007</v>
      </c>
      <c r="O888" s="7">
        <v>0.0950441774205705</v>
      </c>
      <c r="P888" s="7">
        <v>8.839926389545173</v>
      </c>
      <c r="Q888" s="7">
        <v>0.0172586214165665</v>
      </c>
      <c r="R888" s="7">
        <v>0.0441475723936988</v>
      </c>
      <c r="S888" s="7">
        <v>0.0660585949447734</v>
      </c>
      <c r="T888" s="7">
        <v>1.196251948297588</v>
      </c>
    </row>
    <row x14ac:dyDescent="0.25" r="889" customHeight="1" ht="19.5">
      <c r="A889" s="2" t="s">
        <v>924</v>
      </c>
      <c r="B889" s="2" t="s">
        <v>30</v>
      </c>
      <c r="C889" s="2" t="s">
        <v>31</v>
      </c>
      <c r="D889" s="2" t="s">
        <v>840</v>
      </c>
      <c r="E889" s="6">
        <v>1</v>
      </c>
      <c r="F889" s="6">
        <v>0</v>
      </c>
      <c r="G889" s="7">
        <v>0.6585793495178223</v>
      </c>
      <c r="H889" s="7">
        <v>56.38568203125001</v>
      </c>
      <c r="I889" s="7">
        <v>33.06346759116025</v>
      </c>
      <c r="J889" s="7">
        <v>10.33362450467288</v>
      </c>
      <c r="K889" s="7">
        <v>6.352260037697817</v>
      </c>
      <c r="L889" s="7">
        <v>0.8234678276961185</v>
      </c>
      <c r="M889" s="7">
        <v>0.6481595194951651</v>
      </c>
      <c r="N889" s="7">
        <v>0.382835505374861</v>
      </c>
      <c r="O889" s="7">
        <v>0.0865272167408347</v>
      </c>
      <c r="P889" s="7">
        <v>8.936999400143247</v>
      </c>
      <c r="Q889" s="7">
        <v>0.0162737710386664</v>
      </c>
      <c r="R889" s="7">
        <v>0.0428361244869368</v>
      </c>
      <c r="S889" s="7">
        <v>0.0641210293623801</v>
      </c>
      <c r="T889" s="7">
        <v>1.064995614654808</v>
      </c>
    </row>
    <row x14ac:dyDescent="0.25" r="890" customHeight="1" ht="19.5">
      <c r="A890" s="2" t="s">
        <v>925</v>
      </c>
      <c r="B890" s="2" t="s">
        <v>30</v>
      </c>
      <c r="C890" s="2" t="s">
        <v>31</v>
      </c>
      <c r="D890" s="2" t="s">
        <v>840</v>
      </c>
      <c r="E890" s="6">
        <v>1</v>
      </c>
      <c r="F890" s="6">
        <v>0</v>
      </c>
      <c r="G890" s="7">
        <v>0.6570055484771729</v>
      </c>
      <c r="H890" s="7">
        <v>55.72073203125</v>
      </c>
      <c r="I890" s="7">
        <v>32.93985360434036</v>
      </c>
      <c r="J890" s="7">
        <v>10.11638518492246</v>
      </c>
      <c r="K890" s="7">
        <v>6.024711140358685</v>
      </c>
      <c r="L890" s="7">
        <v>0.8201845680516461</v>
      </c>
      <c r="M890" s="7">
        <v>0.6453322184754183</v>
      </c>
      <c r="N890" s="7">
        <v>0.3846618653478022</v>
      </c>
      <c r="O890" s="7">
        <v>0.0871922263584187</v>
      </c>
      <c r="P890" s="7">
        <v>8.909226524949972</v>
      </c>
      <c r="Q890" s="7">
        <v>0.0169213522000534</v>
      </c>
      <c r="R890" s="7">
        <v>0.0435199254836281</v>
      </c>
      <c r="S890" s="7">
        <v>0.0657144459066056</v>
      </c>
      <c r="T890" s="7">
        <v>1.094315771334352</v>
      </c>
    </row>
    <row x14ac:dyDescent="0.25" r="891" customHeight="1" ht="19.5">
      <c r="A891" s="2" t="s">
        <v>926</v>
      </c>
      <c r="B891" s="2" t="s">
        <v>30</v>
      </c>
      <c r="C891" s="2" t="s">
        <v>31</v>
      </c>
      <c r="D891" s="2" t="s">
        <v>840</v>
      </c>
      <c r="E891" s="6">
        <v>1</v>
      </c>
      <c r="F891" s="6">
        <v>0</v>
      </c>
      <c r="G891" s="7">
        <v>0.6625420451164246</v>
      </c>
      <c r="H891" s="7">
        <v>59.75545468750001</v>
      </c>
      <c r="I891" s="7">
        <v>32.56966765788996</v>
      </c>
      <c r="J891" s="7">
        <v>10.61343163175562</v>
      </c>
      <c r="K891" s="7">
        <v>6.016554446992778</v>
      </c>
      <c r="L891" s="7">
        <v>0.8397964978016151</v>
      </c>
      <c r="M891" s="7">
        <v>0.7078818306004403</v>
      </c>
      <c r="N891" s="7">
        <v>0.3744344111062114</v>
      </c>
      <c r="O891" s="7">
        <v>0.069354980874985</v>
      </c>
      <c r="P891" s="7">
        <v>8.955564202627174</v>
      </c>
      <c r="Q891" s="7">
        <v>0.0187203344007821</v>
      </c>
      <c r="R891" s="7">
        <v>0.0463098168275882</v>
      </c>
      <c r="S891" s="7">
        <v>0.0705544611479804</v>
      </c>
      <c r="T891" s="7">
        <v>1.298320569301283</v>
      </c>
    </row>
    <row x14ac:dyDescent="0.25" r="892" customHeight="1" ht="19.5">
      <c r="A892" s="2" t="s">
        <v>927</v>
      </c>
      <c r="B892" s="2" t="s">
        <v>30</v>
      </c>
      <c r="C892" s="2" t="s">
        <v>31</v>
      </c>
      <c r="D892" s="2" t="s">
        <v>840</v>
      </c>
      <c r="E892" s="6">
        <v>1</v>
      </c>
      <c r="F892" s="6">
        <v>0</v>
      </c>
      <c r="G892" s="7">
        <v>0.6715952754020691</v>
      </c>
      <c r="H892" s="7">
        <v>54.4704875</v>
      </c>
      <c r="I892" s="7">
        <v>33.13695534606636</v>
      </c>
      <c r="J892" s="7">
        <v>10.07712311311841</v>
      </c>
      <c r="K892" s="7">
        <v>5.983335436219763</v>
      </c>
      <c r="L892" s="7">
        <v>0.817858690969779</v>
      </c>
      <c r="M892" s="7">
        <v>0.6233700334180777</v>
      </c>
      <c r="N892" s="7">
        <v>0.3849228182581941</v>
      </c>
      <c r="O892" s="7">
        <v>0.0910275969717796</v>
      </c>
      <c r="P892" s="7">
        <v>8.898482599926014</v>
      </c>
      <c r="Q892" s="7">
        <v>0.0143190718968891</v>
      </c>
      <c r="R892" s="7">
        <v>0.0409033371518527</v>
      </c>
      <c r="S892" s="7">
        <v>0.0637225631809792</v>
      </c>
      <c r="T892" s="7">
        <v>0.9052466199709792</v>
      </c>
    </row>
    <row x14ac:dyDescent="0.25" r="893" customHeight="1" ht="19.5">
      <c r="A893" s="2" t="s">
        <v>928</v>
      </c>
      <c r="B893" s="2" t="s">
        <v>30</v>
      </c>
      <c r="C893" s="2" t="s">
        <v>31</v>
      </c>
      <c r="D893" s="2" t="s">
        <v>840</v>
      </c>
      <c r="E893" s="6">
        <v>1</v>
      </c>
      <c r="F893" s="6">
        <v>0</v>
      </c>
      <c r="G893" s="7">
        <v>0.6590426564216614</v>
      </c>
      <c r="H893" s="7">
        <v>55.25665234375001</v>
      </c>
      <c r="I893" s="7">
        <v>32.03064138047781</v>
      </c>
      <c r="J893" s="7">
        <v>10.17457034270283</v>
      </c>
      <c r="K893" s="7">
        <v>6.094061479036677</v>
      </c>
      <c r="L893" s="7">
        <v>0.8268246246794447</v>
      </c>
      <c r="M893" s="7">
        <v>0.6768043854383999</v>
      </c>
      <c r="N893" s="7">
        <v>0.3840178823228076</v>
      </c>
      <c r="O893" s="7">
        <v>0.086437722751592</v>
      </c>
      <c r="P893" s="7">
        <v>8.91883167082721</v>
      </c>
      <c r="Q893" s="7">
        <v>0.0152658036716326</v>
      </c>
      <c r="R893" s="7">
        <v>0.0413763679106168</v>
      </c>
      <c r="S893" s="7">
        <v>0.0625943158092966</v>
      </c>
      <c r="T893" s="7">
        <v>0.9790277977870764</v>
      </c>
    </row>
    <row x14ac:dyDescent="0.25" r="894" customHeight="1" ht="19.5">
      <c r="A894" s="2" t="s">
        <v>929</v>
      </c>
      <c r="B894" s="2" t="s">
        <v>30</v>
      </c>
      <c r="C894" s="2" t="s">
        <v>31</v>
      </c>
      <c r="D894" s="2" t="s">
        <v>840</v>
      </c>
      <c r="E894" s="6">
        <v>1</v>
      </c>
      <c r="F894" s="6">
        <v>0</v>
      </c>
      <c r="G894" s="7">
        <v>0.6572421193122864</v>
      </c>
      <c r="H894" s="7">
        <v>56.21251796875001</v>
      </c>
      <c r="I894" s="7">
        <v>32.55819706835217</v>
      </c>
      <c r="J894" s="7">
        <v>10.11738233380232</v>
      </c>
      <c r="K894" s="7">
        <v>6.079714676002919</v>
      </c>
      <c r="L894" s="7">
        <v>0.8237464721030524</v>
      </c>
      <c r="M894" s="7">
        <v>0.6663803900277044</v>
      </c>
      <c r="N894" s="7">
        <v>0.3850056597111627</v>
      </c>
      <c r="O894" s="7">
        <v>0.0891583653759316</v>
      </c>
      <c r="P894" s="7">
        <v>8.906565174791588</v>
      </c>
      <c r="Q894" s="7">
        <v>0.0150858657953356</v>
      </c>
      <c r="R894" s="7">
        <v>0.0413716192731753</v>
      </c>
      <c r="S894" s="7">
        <v>0.0639264957409153</v>
      </c>
      <c r="T894" s="7">
        <v>0.9842242456455932</v>
      </c>
    </row>
    <row x14ac:dyDescent="0.25" r="895" customHeight="1" ht="19.5">
      <c r="A895" s="2" t="s">
        <v>930</v>
      </c>
      <c r="B895" s="2" t="s">
        <v>30</v>
      </c>
      <c r="C895" s="2" t="s">
        <v>31</v>
      </c>
      <c r="D895" s="2" t="s">
        <v>840</v>
      </c>
      <c r="E895" s="6">
        <v>1</v>
      </c>
      <c r="F895" s="6">
        <v>0</v>
      </c>
      <c r="G895" s="7">
        <v>0.662559449672699</v>
      </c>
      <c r="H895" s="7">
        <v>54.43931796875</v>
      </c>
      <c r="I895" s="7">
        <v>33.28321328392787</v>
      </c>
      <c r="J895" s="7">
        <v>10.11135349492271</v>
      </c>
      <c r="K895" s="7">
        <v>6.191818859139258</v>
      </c>
      <c r="L895" s="7">
        <v>0.8077296945797031</v>
      </c>
      <c r="M895" s="7">
        <v>0.617549882699774</v>
      </c>
      <c r="N895" s="7">
        <v>0.3978401933619147</v>
      </c>
      <c r="O895" s="7">
        <v>0.1122300864596815</v>
      </c>
      <c r="P895" s="7">
        <v>8.783848245702366</v>
      </c>
      <c r="Q895" s="7">
        <v>0.0144132572888861</v>
      </c>
      <c r="R895" s="7">
        <v>0.0397234211883557</v>
      </c>
      <c r="S895" s="7">
        <v>0.061415868136782</v>
      </c>
      <c r="T895" s="7">
        <v>0.9106795722686094</v>
      </c>
    </row>
    <row x14ac:dyDescent="0.25" r="896" customHeight="1" ht="19.5">
      <c r="A896" s="2" t="s">
        <v>931</v>
      </c>
      <c r="B896" s="2" t="s">
        <v>30</v>
      </c>
      <c r="C896" s="2" t="s">
        <v>31</v>
      </c>
      <c r="D896" s="2" t="s">
        <v>840</v>
      </c>
      <c r="E896" s="6">
        <v>1</v>
      </c>
      <c r="F896" s="6">
        <v>0</v>
      </c>
      <c r="G896" s="7">
        <v>0.6645390391349792</v>
      </c>
      <c r="H896" s="7">
        <v>58.26624375</v>
      </c>
      <c r="I896" s="7">
        <v>33.93820648846806</v>
      </c>
      <c r="J896" s="7">
        <v>10.51637475288252</v>
      </c>
      <c r="K896" s="7">
        <v>6.184780226777283</v>
      </c>
      <c r="L896" s="7">
        <v>0.834632470462041</v>
      </c>
      <c r="M896" s="7">
        <v>0.6356954602322883</v>
      </c>
      <c r="N896" s="7">
        <v>0.3907824713688896</v>
      </c>
      <c r="O896" s="7">
        <v>0.0944593608165987</v>
      </c>
      <c r="P896" s="7">
        <v>8.854474059826373</v>
      </c>
      <c r="Q896" s="7">
        <v>0.0174635935271657</v>
      </c>
      <c r="R896" s="7">
        <v>0.0439706977764272</v>
      </c>
      <c r="S896" s="7">
        <v>0.0653177556971168</v>
      </c>
      <c r="T896" s="7">
        <v>1.18097693523057</v>
      </c>
    </row>
    <row x14ac:dyDescent="0.25" r="897" customHeight="1" ht="19.5">
      <c r="A897" s="2" t="s">
        <v>932</v>
      </c>
      <c r="B897" s="2" t="s">
        <v>30</v>
      </c>
      <c r="C897" s="2" t="s">
        <v>31</v>
      </c>
      <c r="D897" s="2" t="s">
        <v>840</v>
      </c>
      <c r="E897" s="6">
        <v>1</v>
      </c>
      <c r="F897" s="6">
        <v>0</v>
      </c>
      <c r="G897" s="7">
        <v>0.6621758341789246</v>
      </c>
      <c r="H897" s="7">
        <v>57.24803906250001</v>
      </c>
      <c r="I897" s="7">
        <v>31.39267466725662</v>
      </c>
      <c r="J897" s="7">
        <v>10.06828770511783</v>
      </c>
      <c r="K897" s="7">
        <v>5.978632817709294</v>
      </c>
      <c r="L897" s="7">
        <v>0.8206125297227577</v>
      </c>
      <c r="M897" s="7">
        <v>0.7299848393578423</v>
      </c>
      <c r="N897" s="7">
        <v>0.3712322630252417</v>
      </c>
      <c r="O897" s="7">
        <v>0.0646410552300984</v>
      </c>
      <c r="P897" s="7">
        <v>8.983047224596536</v>
      </c>
      <c r="Q897" s="7">
        <v>0.0190700848451053</v>
      </c>
      <c r="R897" s="7">
        <v>0.0465110678797815</v>
      </c>
      <c r="S897" s="7">
        <v>0.0693739725122707</v>
      </c>
      <c r="T897" s="7">
        <v>1.26707995518789</v>
      </c>
    </row>
    <row x14ac:dyDescent="0.25" r="898" customHeight="1" ht="19.5">
      <c r="A898" s="2" t="s">
        <v>933</v>
      </c>
      <c r="B898" s="2" t="s">
        <v>30</v>
      </c>
      <c r="C898" s="2" t="s">
        <v>31</v>
      </c>
      <c r="D898" s="2" t="s">
        <v>840</v>
      </c>
      <c r="E898" s="6">
        <v>1</v>
      </c>
      <c r="F898" s="6">
        <v>0</v>
      </c>
      <c r="G898" s="7">
        <v>0.6734375357627869</v>
      </c>
      <c r="H898" s="7">
        <v>55.841946875</v>
      </c>
      <c r="I898" s="7">
        <v>34.04407641201828</v>
      </c>
      <c r="J898" s="7">
        <v>10.26579841581364</v>
      </c>
      <c r="K898" s="7">
        <v>6.254531902940107</v>
      </c>
      <c r="L898" s="7">
        <v>0.8201024931084582</v>
      </c>
      <c r="M898" s="7">
        <v>0.6054625726616547</v>
      </c>
      <c r="N898" s="7">
        <v>0.3932358079538597</v>
      </c>
      <c r="O898" s="7">
        <v>0.103402272716206</v>
      </c>
      <c r="P898" s="7">
        <v>8.845387271377618</v>
      </c>
      <c r="Q898" s="7">
        <v>0.0148537931912394</v>
      </c>
      <c r="R898" s="7">
        <v>0.0411182448102747</v>
      </c>
      <c r="S898" s="7">
        <v>0.0642458758362387</v>
      </c>
      <c r="T898" s="7">
        <v>0.9626949732942194</v>
      </c>
    </row>
    <row x14ac:dyDescent="0.25" r="899" customHeight="1" ht="19.5">
      <c r="A899" s="2" t="s">
        <v>934</v>
      </c>
      <c r="B899" s="2" t="s">
        <v>30</v>
      </c>
      <c r="C899" s="2" t="s">
        <v>31</v>
      </c>
      <c r="D899" s="2" t="s">
        <v>840</v>
      </c>
      <c r="E899" s="6">
        <v>1</v>
      </c>
      <c r="F899" s="6">
        <v>0</v>
      </c>
      <c r="G899" s="7">
        <v>0.6698196530342102</v>
      </c>
      <c r="H899" s="7">
        <v>58.20736796875001</v>
      </c>
      <c r="I899" s="7">
        <v>31.67891706924777</v>
      </c>
      <c r="J899" s="7">
        <v>10.33080714137113</v>
      </c>
      <c r="K899" s="7">
        <v>6.089912869328687</v>
      </c>
      <c r="L899" s="7">
        <v>0.8228088024660125</v>
      </c>
      <c r="M899" s="7">
        <v>0.7288651272009259</v>
      </c>
      <c r="N899" s="7">
        <v>0.3774045055820383</v>
      </c>
      <c r="O899" s="7">
        <v>0.0730760209598025</v>
      </c>
      <c r="P899" s="7">
        <v>8.959820135446419</v>
      </c>
      <c r="Q899" s="7">
        <v>0.0164709494977994</v>
      </c>
      <c r="R899" s="7">
        <v>0.0431303116270085</v>
      </c>
      <c r="S899" s="7">
        <v>0.0647677343616317</v>
      </c>
      <c r="T899" s="7">
        <v>1.112723800309529</v>
      </c>
    </row>
    <row x14ac:dyDescent="0.25" r="900" customHeight="1" ht="19.5">
      <c r="A900" s="2" t="s">
        <v>935</v>
      </c>
      <c r="B900" s="2" t="s">
        <v>30</v>
      </c>
      <c r="C900" s="2" t="s">
        <v>31</v>
      </c>
      <c r="D900" s="2" t="s">
        <v>840</v>
      </c>
      <c r="E900" s="6">
        <v>1</v>
      </c>
      <c r="F900" s="6">
        <v>0</v>
      </c>
      <c r="G900" s="7">
        <v>0.6586894989013672</v>
      </c>
      <c r="H900" s="7">
        <v>53.45574609375</v>
      </c>
      <c r="I900" s="7">
        <v>33.77629564524749</v>
      </c>
      <c r="J900" s="7">
        <v>10.16021558115827</v>
      </c>
      <c r="K900" s="7">
        <v>6.181453815359944</v>
      </c>
      <c r="L900" s="7">
        <v>0.8181122057952709</v>
      </c>
      <c r="M900" s="7">
        <v>0.58881684342714</v>
      </c>
      <c r="N900" s="7">
        <v>0.4191940497171685</v>
      </c>
      <c r="O900" s="7">
        <v>0.1250198936557068</v>
      </c>
      <c r="P900" s="7">
        <v>8.640588392408718</v>
      </c>
      <c r="Q900" s="7">
        <v>0.014205269031605</v>
      </c>
      <c r="R900" s="7">
        <v>0.0410595444595859</v>
      </c>
      <c r="S900" s="7">
        <v>0.0634263828243496</v>
      </c>
      <c r="T900" s="7">
        <v>0.8813220555651458</v>
      </c>
    </row>
    <row x14ac:dyDescent="0.25" r="901" customHeight="1" ht="19.5">
      <c r="A901" s="2" t="s">
        <v>936</v>
      </c>
      <c r="B901" s="2" t="s">
        <v>30</v>
      </c>
      <c r="C901" s="2" t="s">
        <v>31</v>
      </c>
      <c r="D901" s="2" t="s">
        <v>840</v>
      </c>
      <c r="E901" s="6">
        <v>1</v>
      </c>
      <c r="F901" s="6">
        <v>0</v>
      </c>
      <c r="G901" s="7">
        <v>0.6414132714271545</v>
      </c>
      <c r="H901" s="7">
        <v>57.68094921875</v>
      </c>
      <c r="I901" s="7">
        <v>33.05092064369646</v>
      </c>
      <c r="J901" s="7">
        <v>9.245768401568494</v>
      </c>
      <c r="K901" s="7">
        <v>6.769546203352569</v>
      </c>
      <c r="L901" s="7">
        <v>0.7172350737158047</v>
      </c>
      <c r="M901" s="7">
        <v>0.6625562454127657</v>
      </c>
      <c r="N901" s="7">
        <v>0.5019199422404509</v>
      </c>
      <c r="O901" s="7">
        <v>0.0716265905198576</v>
      </c>
      <c r="P901" s="7">
        <v>8.275627464825156</v>
      </c>
      <c r="Q901" s="7">
        <v>0.0182425682871115</v>
      </c>
      <c r="R901" s="7">
        <v>0.0472186871105738</v>
      </c>
      <c r="S901" s="7">
        <v>0.0668961909037915</v>
      </c>
      <c r="T901" s="7">
        <v>1.221262886577681</v>
      </c>
    </row>
    <row x14ac:dyDescent="0.25" r="902" customHeight="1" ht="19.5">
      <c r="A902" s="2" t="s">
        <v>937</v>
      </c>
      <c r="B902" s="2" t="s">
        <v>30</v>
      </c>
      <c r="C902" s="2" t="s">
        <v>31</v>
      </c>
      <c r="D902" s="2" t="s">
        <v>840</v>
      </c>
      <c r="E902" s="6">
        <v>1</v>
      </c>
      <c r="F902" s="6">
        <v>0</v>
      </c>
      <c r="G902" s="7">
        <v>0.3524118661880493</v>
      </c>
      <c r="H902" s="7">
        <v>59.75891796875</v>
      </c>
      <c r="I902" s="7">
        <v>37.33302452608437</v>
      </c>
      <c r="J902" s="7">
        <v>10.65159490882258</v>
      </c>
      <c r="K902" s="7">
        <v>8.075272935508963</v>
      </c>
      <c r="L902" s="7">
        <v>0.7070016652807445</v>
      </c>
      <c r="M902" s="7">
        <v>0.5382362649882357</v>
      </c>
      <c r="N902" s="7">
        <v>0.5396751716272958</v>
      </c>
      <c r="O902" s="7">
        <v>0.1129450846995794</v>
      </c>
      <c r="P902" s="7">
        <v>7.364171399149174</v>
      </c>
      <c r="Q902" s="7">
        <v>0.0269122088730572</v>
      </c>
      <c r="R902" s="7">
        <v>0.0537739492198103</v>
      </c>
      <c r="S902" s="7">
        <v>0.079073321006225</v>
      </c>
      <c r="T902" s="7">
        <v>1.86656384837434</v>
      </c>
    </row>
    <row x14ac:dyDescent="0.25" r="903" customHeight="1" ht="19.5">
      <c r="A903" s="2" t="s">
        <v>938</v>
      </c>
      <c r="B903" s="2" t="s">
        <v>30</v>
      </c>
      <c r="C903" s="2" t="s">
        <v>31</v>
      </c>
      <c r="D903" s="2" t="s">
        <v>840</v>
      </c>
      <c r="E903" s="6">
        <v>1</v>
      </c>
      <c r="F903" s="6">
        <v>0</v>
      </c>
      <c r="G903" s="7">
        <v>0.6150955557823181</v>
      </c>
      <c r="H903" s="7">
        <v>67.01102890625</v>
      </c>
      <c r="I903" s="7">
        <v>33.81423371567283</v>
      </c>
      <c r="J903" s="7">
        <v>10.61656322164691</v>
      </c>
      <c r="K903" s="7">
        <v>7.596997605637318</v>
      </c>
      <c r="L903" s="7">
        <v>0.7286977421363622</v>
      </c>
      <c r="M903" s="7">
        <v>0.7364733738322715</v>
      </c>
      <c r="N903" s="7">
        <v>0.4861434827737096</v>
      </c>
      <c r="O903" s="7">
        <v>0.1171487013649037</v>
      </c>
      <c r="P903" s="7">
        <v>7.772668714791901</v>
      </c>
      <c r="Q903" s="7">
        <v>0.0291120651377508</v>
      </c>
      <c r="R903" s="7">
        <v>0.0615064700808469</v>
      </c>
      <c r="S903" s="7">
        <v>0.0896664799720929</v>
      </c>
      <c r="T903" s="7">
        <v>2.264175468362454</v>
      </c>
    </row>
    <row x14ac:dyDescent="0.25" r="904" customHeight="1" ht="19.5">
      <c r="A904" s="2" t="s">
        <v>939</v>
      </c>
      <c r="B904" s="2" t="s">
        <v>30</v>
      </c>
      <c r="C904" s="2" t="s">
        <v>31</v>
      </c>
      <c r="D904" s="2" t="s">
        <v>840</v>
      </c>
      <c r="E904" s="6">
        <v>1</v>
      </c>
      <c r="F904" s="6">
        <v>0</v>
      </c>
      <c r="G904" s="7">
        <v>0.6439476609230042</v>
      </c>
      <c r="H904" s="7">
        <v>62.67846406250001</v>
      </c>
      <c r="I904" s="7">
        <v>32.55401475253091</v>
      </c>
      <c r="J904" s="7">
        <v>10.29495955349783</v>
      </c>
      <c r="K904" s="7">
        <v>7.016342612554344</v>
      </c>
      <c r="L904" s="7">
        <v>0.7580934627500674</v>
      </c>
      <c r="M904" s="7">
        <v>0.7432229257931511</v>
      </c>
      <c r="N904" s="7">
        <v>0.4227563221439875</v>
      </c>
      <c r="O904" s="7">
        <v>0.0999511955461267</v>
      </c>
      <c r="P904" s="7">
        <v>8.102792106742246</v>
      </c>
      <c r="Q904" s="7">
        <v>0.0212808367690722</v>
      </c>
      <c r="R904" s="7">
        <v>0.0508390422862749</v>
      </c>
      <c r="S904" s="7">
        <v>0.0820892948869564</v>
      </c>
      <c r="T904" s="7">
        <v>1.548095777721078</v>
      </c>
    </row>
    <row x14ac:dyDescent="0.25" r="905" customHeight="1" ht="19.5">
      <c r="A905" s="2" t="s">
        <v>940</v>
      </c>
      <c r="B905" s="2" t="s">
        <v>30</v>
      </c>
      <c r="C905" s="2" t="s">
        <v>31</v>
      </c>
      <c r="D905" s="2" t="s">
        <v>840</v>
      </c>
      <c r="E905" s="6">
        <v>1</v>
      </c>
      <c r="F905" s="6">
        <v>0</v>
      </c>
      <c r="G905" s="7">
        <v>0.7026029229164124</v>
      </c>
      <c r="H905" s="7">
        <v>53.44535625</v>
      </c>
      <c r="I905" s="7">
        <v>29.26470785248947</v>
      </c>
      <c r="J905" s="7">
        <v>8.96466576950662</v>
      </c>
      <c r="K905" s="7">
        <v>6.866646897035659</v>
      </c>
      <c r="L905" s="7">
        <v>0.6907724161237889</v>
      </c>
      <c r="M905" s="7">
        <v>0.7842083359339824</v>
      </c>
      <c r="N905" s="7">
        <v>0.4088876508468875</v>
      </c>
      <c r="O905" s="7">
        <v>0.1122130138510973</v>
      </c>
      <c r="P905" s="7">
        <v>8.129476181797088</v>
      </c>
      <c r="Q905" s="7">
        <v>0.0117337702233057</v>
      </c>
      <c r="R905" s="7">
        <v>0.035094206246287</v>
      </c>
      <c r="S905" s="7">
        <v>0.0673241061522159</v>
      </c>
      <c r="T905" s="7">
        <v>0.7278440494434524</v>
      </c>
    </row>
    <row x14ac:dyDescent="0.25" r="906" customHeight="1" ht="19.5">
      <c r="A906" s="2" t="s">
        <v>941</v>
      </c>
      <c r="B906" s="2" t="s">
        <v>30</v>
      </c>
      <c r="C906" s="2" t="s">
        <v>31</v>
      </c>
      <c r="D906" s="2" t="s">
        <v>840</v>
      </c>
      <c r="E906" s="6">
        <v>1</v>
      </c>
      <c r="F906" s="6">
        <v>0</v>
      </c>
      <c r="G906" s="7">
        <v>0.6870536804199219</v>
      </c>
      <c r="H906" s="7">
        <v>57.15799375</v>
      </c>
      <c r="I906" s="7">
        <v>31.09322930379241</v>
      </c>
      <c r="J906" s="7">
        <v>9.881135332391118</v>
      </c>
      <c r="K906" s="7">
        <v>6.66868811934768</v>
      </c>
      <c r="L906" s="7">
        <v>0.7656121252941519</v>
      </c>
      <c r="M906" s="7">
        <v>0.7429424631295651</v>
      </c>
      <c r="N906" s="7">
        <v>0.375808543329566</v>
      </c>
      <c r="O906" s="7">
        <v>0.0993666483825942</v>
      </c>
      <c r="P906" s="7">
        <v>8.386712738995499</v>
      </c>
      <c r="Q906" s="7">
        <v>0.0107077983630565</v>
      </c>
      <c r="R906" s="7">
        <v>0.0349184375233778</v>
      </c>
      <c r="S906" s="7">
        <v>0.0701792786892365</v>
      </c>
      <c r="T906" s="7">
        <v>0.7103427318075295</v>
      </c>
    </row>
    <row x14ac:dyDescent="0.25" r="907" customHeight="1" ht="19.5">
      <c r="A907" s="2" t="s">
        <v>942</v>
      </c>
      <c r="B907" s="2" t="s">
        <v>30</v>
      </c>
      <c r="C907" s="2" t="s">
        <v>31</v>
      </c>
      <c r="D907" s="2" t="s">
        <v>840</v>
      </c>
      <c r="E907" s="6">
        <v>1</v>
      </c>
      <c r="F907" s="6">
        <v>0</v>
      </c>
      <c r="G907" s="7">
        <v>0.7273721098899841</v>
      </c>
      <c r="H907" s="7">
        <v>57.72597187500001</v>
      </c>
      <c r="I907" s="7">
        <v>31.05875597723766</v>
      </c>
      <c r="J907" s="7">
        <v>9.929319650007235</v>
      </c>
      <c r="K907" s="7">
        <v>6.704072412576219</v>
      </c>
      <c r="L907" s="7">
        <v>0.7741691853944306</v>
      </c>
      <c r="M907" s="7">
        <v>0.7519916258110471</v>
      </c>
      <c r="N907" s="7">
        <v>0.3688712991965154</v>
      </c>
      <c r="O907" s="7">
        <v>0.1093489588160693</v>
      </c>
      <c r="P907" s="7">
        <v>8.437850487080324</v>
      </c>
      <c r="Q907" s="7">
        <v>0.0108928107655383</v>
      </c>
      <c r="R907" s="7">
        <v>0.0354459364313152</v>
      </c>
      <c r="S907" s="7">
        <v>0.0669307419831291</v>
      </c>
      <c r="T907" s="7">
        <v>0.7297968633667786</v>
      </c>
    </row>
    <row x14ac:dyDescent="0.25" r="908" customHeight="1" ht="19.5">
      <c r="A908" s="2" t="s">
        <v>943</v>
      </c>
      <c r="B908" s="2" t="s">
        <v>30</v>
      </c>
      <c r="C908" s="2" t="s">
        <v>31</v>
      </c>
      <c r="D908" s="2" t="s">
        <v>840</v>
      </c>
      <c r="E908" s="6">
        <v>1</v>
      </c>
      <c r="F908" s="6">
        <v>0</v>
      </c>
      <c r="G908" s="7">
        <v>0.6769775748252869</v>
      </c>
      <c r="H908" s="7">
        <v>59.0212390625</v>
      </c>
      <c r="I908" s="7">
        <v>32.03064138047781</v>
      </c>
      <c r="J908" s="7">
        <v>9.989258542496971</v>
      </c>
      <c r="K908" s="7">
        <v>6.708661645941717</v>
      </c>
      <c r="L908" s="7">
        <v>0.7750922514567573</v>
      </c>
      <c r="M908" s="7">
        <v>0.7229144679812731</v>
      </c>
      <c r="N908" s="7">
        <v>0.3611486567646624</v>
      </c>
      <c r="O908" s="7">
        <v>0.0969217381537883</v>
      </c>
      <c r="P908" s="7">
        <v>8.520789026259306</v>
      </c>
      <c r="Q908" s="7">
        <v>0.011494298261976</v>
      </c>
      <c r="R908" s="7">
        <v>0.0360409601690072</v>
      </c>
      <c r="S908" s="7">
        <v>0.0691768008348173</v>
      </c>
      <c r="T908" s="7">
        <v>0.7873748978299697</v>
      </c>
    </row>
    <row x14ac:dyDescent="0.25" r="909" customHeight="1" ht="19.5">
      <c r="A909" s="2" t="s">
        <v>944</v>
      </c>
      <c r="B909" s="2" t="s">
        <v>30</v>
      </c>
      <c r="C909" s="2" t="s">
        <v>31</v>
      </c>
      <c r="D909" s="2" t="s">
        <v>840</v>
      </c>
      <c r="E909" s="6">
        <v>1</v>
      </c>
      <c r="F909" s="6">
        <v>0</v>
      </c>
      <c r="G909" s="7">
        <v>0.7258138060569763</v>
      </c>
      <c r="H909" s="7">
        <v>57.88181953125</v>
      </c>
      <c r="I909" s="7">
        <v>31.05875597723766</v>
      </c>
      <c r="J909" s="7">
        <v>10.02784518834886</v>
      </c>
      <c r="K909" s="7">
        <v>6.783656730418695</v>
      </c>
      <c r="L909" s="7">
        <v>0.7677898347761325</v>
      </c>
      <c r="M909" s="7">
        <v>0.7540218407835391</v>
      </c>
      <c r="N909" s="7">
        <v>0.3742499303353477</v>
      </c>
      <c r="O909" s="7">
        <v>0.1093072499087125</v>
      </c>
      <c r="P909" s="7">
        <v>8.406856925577614</v>
      </c>
      <c r="Q909" s="7">
        <v>0.009783957598109</v>
      </c>
      <c r="R909" s="7">
        <v>0.0322196967644354</v>
      </c>
      <c r="S909" s="7">
        <v>0.064159063574239</v>
      </c>
      <c r="T909" s="7">
        <v>0.6572756098097167</v>
      </c>
    </row>
    <row x14ac:dyDescent="0.25" r="910" customHeight="1" ht="19.5">
      <c r="A910" s="2" t="s">
        <v>945</v>
      </c>
      <c r="B910" s="2" t="s">
        <v>30</v>
      </c>
      <c r="C910" s="2" t="s">
        <v>31</v>
      </c>
      <c r="D910" s="2" t="s">
        <v>840</v>
      </c>
      <c r="E910" s="6">
        <v>1</v>
      </c>
      <c r="F910" s="6">
        <v>0</v>
      </c>
      <c r="G910" s="7">
        <v>0.7095344662666321</v>
      </c>
      <c r="H910" s="7">
        <v>57.43505625</v>
      </c>
      <c r="I910" s="7">
        <v>30.91249803937614</v>
      </c>
      <c r="J910" s="7">
        <v>10.06102795969522</v>
      </c>
      <c r="K910" s="7">
        <v>6.772823278154087</v>
      </c>
      <c r="L910" s="7">
        <v>0.7699383744012923</v>
      </c>
      <c r="M910" s="7">
        <v>0.7552986546243841</v>
      </c>
      <c r="N910" s="7">
        <v>0.3759161303803632</v>
      </c>
      <c r="O910" s="7">
        <v>0.1097750209842881</v>
      </c>
      <c r="P910" s="7">
        <v>8.418798778803337</v>
      </c>
      <c r="Q910" s="7">
        <v>0.0106954770000845</v>
      </c>
      <c r="R910" s="7">
        <v>0.034758009030656</v>
      </c>
      <c r="S910" s="7">
        <v>0.0671086826334046</v>
      </c>
      <c r="T910" s="7">
        <v>0.7129646362279839</v>
      </c>
    </row>
    <row x14ac:dyDescent="0.25" r="911" customHeight="1" ht="19.5">
      <c r="A911" s="2" t="s">
        <v>946</v>
      </c>
      <c r="B911" s="2" t="s">
        <v>30</v>
      </c>
      <c r="C911" s="2" t="s">
        <v>31</v>
      </c>
      <c r="D911" s="2" t="s">
        <v>840</v>
      </c>
      <c r="E911" s="6">
        <v>1</v>
      </c>
      <c r="F911" s="6">
        <v>0</v>
      </c>
      <c r="G911" s="7">
        <v>0.6976040601730347</v>
      </c>
      <c r="H911" s="7">
        <v>58.5225265625</v>
      </c>
      <c r="I911" s="7">
        <v>31.33454258967564</v>
      </c>
      <c r="J911" s="7">
        <v>10.14479842213473</v>
      </c>
      <c r="K911" s="7">
        <v>6.647885548786432</v>
      </c>
      <c r="L911" s="7">
        <v>0.7851895855318917</v>
      </c>
      <c r="M911" s="7">
        <v>0.7490075796987651</v>
      </c>
      <c r="N911" s="7">
        <v>0.366377403903538</v>
      </c>
      <c r="O911" s="7">
        <v>0.1000078092829625</v>
      </c>
      <c r="P911" s="7">
        <v>8.50334900703842</v>
      </c>
      <c r="Q911" s="7">
        <v>0.0101377956104468</v>
      </c>
      <c r="R911" s="7">
        <v>0.0339183240342816</v>
      </c>
      <c r="S911" s="7">
        <v>0.0669611551279456</v>
      </c>
      <c r="T911" s="7">
        <v>0.6885847157288214</v>
      </c>
    </row>
    <row x14ac:dyDescent="0.25" r="912" customHeight="1" ht="19.5">
      <c r="A912" s="2" t="s">
        <v>947</v>
      </c>
      <c r="B912" s="2" t="s">
        <v>30</v>
      </c>
      <c r="C912" s="2" t="s">
        <v>31</v>
      </c>
      <c r="D912" s="2" t="s">
        <v>840</v>
      </c>
      <c r="E912" s="6">
        <v>1</v>
      </c>
      <c r="F912" s="6">
        <v>0</v>
      </c>
      <c r="G912" s="7">
        <v>0.7269256711006165</v>
      </c>
      <c r="H912" s="7">
        <v>58.29048671875</v>
      </c>
      <c r="I912" s="7">
        <v>31.19073459570009</v>
      </c>
      <c r="J912" s="7">
        <v>10.02526293654855</v>
      </c>
      <c r="K912" s="7">
        <v>6.610222086236536</v>
      </c>
      <c r="L912" s="7">
        <v>0.7824282828949776</v>
      </c>
      <c r="M912" s="7">
        <v>0.7529330122419566</v>
      </c>
      <c r="N912" s="7">
        <v>0.3715997563744717</v>
      </c>
      <c r="O912" s="7">
        <v>0.1065726489138987</v>
      </c>
      <c r="P912" s="7">
        <v>8.495255221771961</v>
      </c>
      <c r="Q912" s="7">
        <v>0.010571751226983</v>
      </c>
      <c r="R912" s="7">
        <v>0.0343063691913896</v>
      </c>
      <c r="S912" s="7">
        <v>0.0665120947693729</v>
      </c>
      <c r="T912" s="7">
        <v>0.7152129946608781</v>
      </c>
    </row>
    <row x14ac:dyDescent="0.25" r="913" customHeight="1" ht="19.5">
      <c r="A913" s="2" t="s">
        <v>948</v>
      </c>
      <c r="B913" s="2" t="s">
        <v>30</v>
      </c>
      <c r="C913" s="2" t="s">
        <v>31</v>
      </c>
      <c r="D913" s="2" t="s">
        <v>840</v>
      </c>
      <c r="E913" s="6">
        <v>1</v>
      </c>
      <c r="F913" s="6">
        <v>0</v>
      </c>
      <c r="G913" s="7">
        <v>0.6928070187568665</v>
      </c>
      <c r="H913" s="7">
        <v>59.19093984375</v>
      </c>
      <c r="I913" s="7">
        <v>31.66499653582401</v>
      </c>
      <c r="J913" s="7">
        <v>10.19963726138119</v>
      </c>
      <c r="K913" s="7">
        <v>6.643429009431431</v>
      </c>
      <c r="L913" s="7">
        <v>0.7811505734817485</v>
      </c>
      <c r="M913" s="7">
        <v>0.741833104868131</v>
      </c>
      <c r="N913" s="7">
        <v>0.3620617169945374</v>
      </c>
      <c r="O913" s="7">
        <v>0.0891110691564327</v>
      </c>
      <c r="P913" s="7">
        <v>8.536098391302739</v>
      </c>
      <c r="Q913" s="7">
        <v>0.0114988369303039</v>
      </c>
      <c r="R913" s="7">
        <v>0.0364459993347038</v>
      </c>
      <c r="S913" s="7">
        <v>0.0683555738640225</v>
      </c>
      <c r="T913" s="7">
        <v>0.7899505958366719</v>
      </c>
    </row>
    <row x14ac:dyDescent="0.25" r="914" customHeight="1" ht="19.5">
      <c r="A914" s="2" t="s">
        <v>949</v>
      </c>
      <c r="B914" s="2" t="s">
        <v>30</v>
      </c>
      <c r="C914" s="2" t="s">
        <v>31</v>
      </c>
      <c r="D914" s="2" t="s">
        <v>840</v>
      </c>
      <c r="E914" s="6">
        <v>1</v>
      </c>
      <c r="F914" s="6">
        <v>0</v>
      </c>
      <c r="G914" s="7">
        <v>0.7424993515014648</v>
      </c>
      <c r="H914" s="7">
        <v>59.82472031250001</v>
      </c>
      <c r="I914" s="7">
        <v>32.47568866779427</v>
      </c>
      <c r="J914" s="7">
        <v>10.35127228561803</v>
      </c>
      <c r="K914" s="7">
        <v>6.833101239687911</v>
      </c>
      <c r="L914" s="7">
        <v>0.7908225031005708</v>
      </c>
      <c r="M914" s="7">
        <v>0.7128100303351025</v>
      </c>
      <c r="N914" s="7">
        <v>0.3832081966131662</v>
      </c>
      <c r="O914" s="7">
        <v>0.1271658464725364</v>
      </c>
      <c r="P914" s="7">
        <v>8.433235441876725</v>
      </c>
      <c r="Q914" s="7">
        <v>0.0103758871806377</v>
      </c>
      <c r="R914" s="7">
        <v>0.0341226981109716</v>
      </c>
      <c r="S914" s="7">
        <v>0.0660879261944919</v>
      </c>
      <c r="T914" s="7">
        <v>0.7204381426368975</v>
      </c>
    </row>
    <row x14ac:dyDescent="0.25" r="915" customHeight="1" ht="19.5">
      <c r="A915" s="2" t="s">
        <v>950</v>
      </c>
      <c r="B915" s="2" t="s">
        <v>30</v>
      </c>
      <c r="C915" s="2" t="s">
        <v>31</v>
      </c>
      <c r="D915" s="2" t="s">
        <v>840</v>
      </c>
      <c r="E915" s="6">
        <v>1</v>
      </c>
      <c r="F915" s="6">
        <v>0</v>
      </c>
      <c r="G915" s="7">
        <v>0.7326783537864685</v>
      </c>
      <c r="H915" s="7">
        <v>58.529453125</v>
      </c>
      <c r="I915" s="7">
        <v>31.11342331094806</v>
      </c>
      <c r="J915" s="7">
        <v>10.05549822683164</v>
      </c>
      <c r="K915" s="7">
        <v>6.751017158949768</v>
      </c>
      <c r="L915" s="7">
        <v>0.7758439732638861</v>
      </c>
      <c r="M915" s="7">
        <v>0.7597815351069674</v>
      </c>
      <c r="N915" s="7">
        <v>0.3737668468558257</v>
      </c>
      <c r="O915" s="7">
        <v>0.1085024886145268</v>
      </c>
      <c r="P915" s="7">
        <v>8.468778069621944</v>
      </c>
      <c r="Q915" s="7">
        <v>0.0105386846377046</v>
      </c>
      <c r="R915" s="7">
        <v>0.0343437036115503</v>
      </c>
      <c r="S915" s="7">
        <v>0.0676616732902992</v>
      </c>
      <c r="T915" s="7">
        <v>0.7158988340396005</v>
      </c>
    </row>
    <row x14ac:dyDescent="0.25" r="916" customHeight="1" ht="19.5">
      <c r="A916" s="2" t="s">
        <v>951</v>
      </c>
      <c r="B916" s="2" t="s">
        <v>30</v>
      </c>
      <c r="C916" s="2" t="s">
        <v>31</v>
      </c>
      <c r="D916" s="2" t="s">
        <v>840</v>
      </c>
      <c r="E916" s="6">
        <v>1</v>
      </c>
      <c r="F916" s="6">
        <v>0</v>
      </c>
      <c r="G916" s="7">
        <v>0.7306298017501831</v>
      </c>
      <c r="H916" s="7">
        <v>57.01599921875</v>
      </c>
      <c r="I916" s="7">
        <v>30.99572401188473</v>
      </c>
      <c r="J916" s="7">
        <v>9.896184297538948</v>
      </c>
      <c r="K916" s="7">
        <v>6.584760147867921</v>
      </c>
      <c r="L916" s="7">
        <v>0.7884464659556697</v>
      </c>
      <c r="M916" s="7">
        <v>0.7457667790509653</v>
      </c>
      <c r="N916" s="7">
        <v>0.370609345762954</v>
      </c>
      <c r="O916" s="7">
        <v>0.1105876276705882</v>
      </c>
      <c r="P916" s="7">
        <v>8.510597761559737</v>
      </c>
      <c r="Q916" s="7">
        <v>0.0098997647833676</v>
      </c>
      <c r="R916" s="7">
        <v>0.0326823222156084</v>
      </c>
      <c r="S916" s="7">
        <v>0.0655642245933485</v>
      </c>
      <c r="T916" s="7">
        <v>0.6551072350920188</v>
      </c>
    </row>
    <row x14ac:dyDescent="0.25" r="917" customHeight="1" ht="19.5">
      <c r="A917" s="2" t="s">
        <v>952</v>
      </c>
      <c r="B917" s="2" t="s">
        <v>30</v>
      </c>
      <c r="C917" s="2" t="s">
        <v>31</v>
      </c>
      <c r="D917" s="2" t="s">
        <v>840</v>
      </c>
      <c r="E917" s="6">
        <v>1</v>
      </c>
      <c r="F917" s="6">
        <v>0</v>
      </c>
      <c r="G917" s="7">
        <v>0.7119131684303284</v>
      </c>
      <c r="H917" s="7">
        <v>60.58317890625001</v>
      </c>
      <c r="I917" s="7">
        <v>32.63759951101483</v>
      </c>
      <c r="J917" s="7">
        <v>10.39138753818164</v>
      </c>
      <c r="K917" s="7">
        <v>6.634698386026738</v>
      </c>
      <c r="L917" s="7">
        <v>0.8055617162328974</v>
      </c>
      <c r="M917" s="7">
        <v>0.7147028334109677</v>
      </c>
      <c r="N917" s="7">
        <v>0.3755197482847633</v>
      </c>
      <c r="O917" s="7">
        <v>0.1132074608195767</v>
      </c>
      <c r="P917" s="7">
        <v>8.46152754979034</v>
      </c>
      <c r="Q917" s="7">
        <v>0.0110947326313039</v>
      </c>
      <c r="R917" s="7">
        <v>0.0343743955462193</v>
      </c>
      <c r="S917" s="7">
        <v>0.0691929741958344</v>
      </c>
      <c r="T917" s="7">
        <v>0.7801168861863655</v>
      </c>
    </row>
    <row x14ac:dyDescent="0.25" r="918" customHeight="1" ht="19.5">
      <c r="A918" s="2" t="s">
        <v>953</v>
      </c>
      <c r="B918" s="2" t="s">
        <v>30</v>
      </c>
      <c r="C918" s="2" t="s">
        <v>31</v>
      </c>
      <c r="D918" s="2" t="s">
        <v>840</v>
      </c>
      <c r="E918" s="6">
        <v>1</v>
      </c>
      <c r="F918" s="6">
        <v>0</v>
      </c>
      <c r="G918" s="7">
        <v>0.7245726585388184</v>
      </c>
      <c r="H918" s="7">
        <v>56.51728671875</v>
      </c>
      <c r="I918" s="7">
        <v>30.62243210753907</v>
      </c>
      <c r="J918" s="7">
        <v>9.724897714617786</v>
      </c>
      <c r="K918" s="7">
        <v>6.650000291586804</v>
      </c>
      <c r="L918" s="7">
        <v>0.763876551725357</v>
      </c>
      <c r="M918" s="7">
        <v>0.7573764678451516</v>
      </c>
      <c r="N918" s="7">
        <v>0.3670184820823071</v>
      </c>
      <c r="O918" s="7">
        <v>0.1001427664445773</v>
      </c>
      <c r="P918" s="7">
        <v>8.49900791149193</v>
      </c>
      <c r="Q918" s="7">
        <v>0.0106199688823109</v>
      </c>
      <c r="R918" s="7">
        <v>0.0341398661825294</v>
      </c>
      <c r="S918" s="7">
        <v>0.0648669747100179</v>
      </c>
      <c r="T918" s="7">
        <v>0.696619020635799</v>
      </c>
    </row>
    <row x14ac:dyDescent="0.25" r="919" customHeight="1" ht="19.5">
      <c r="A919" s="2" t="s">
        <v>954</v>
      </c>
      <c r="B919" s="2" t="s">
        <v>30</v>
      </c>
      <c r="C919" s="2" t="s">
        <v>31</v>
      </c>
      <c r="D919" s="2" t="s">
        <v>840</v>
      </c>
      <c r="E919" s="6">
        <v>1</v>
      </c>
      <c r="F919" s="6">
        <v>0</v>
      </c>
      <c r="G919" s="7">
        <v>0.6895048022270203</v>
      </c>
      <c r="H919" s="7">
        <v>62.35984218750001</v>
      </c>
      <c r="I919" s="7">
        <v>32.74693417843564</v>
      </c>
      <c r="J919" s="7">
        <v>10.60656516888301</v>
      </c>
      <c r="K919" s="7">
        <v>6.754278344351779</v>
      </c>
      <c r="L919" s="7">
        <v>0.803290678881862</v>
      </c>
      <c r="M919" s="7">
        <v>0.7307579987043221</v>
      </c>
      <c r="N919" s="7">
        <v>0.3687453232162394</v>
      </c>
      <c r="O919" s="7">
        <v>0.1029645542169606</v>
      </c>
      <c r="P919" s="7">
        <v>8.541219112489467</v>
      </c>
      <c r="Q919" s="7">
        <v>0.0115338121144534</v>
      </c>
      <c r="R919" s="7">
        <v>0.0362135347156883</v>
      </c>
      <c r="S919" s="7">
        <v>0.0679322068742474</v>
      </c>
      <c r="T919" s="7">
        <v>0.8347735117949929</v>
      </c>
    </row>
    <row x14ac:dyDescent="0.25" r="920" customHeight="1" ht="19.5">
      <c r="A920" s="2" t="s">
        <v>955</v>
      </c>
      <c r="B920" s="2" t="s">
        <v>30</v>
      </c>
      <c r="C920" s="2" t="s">
        <v>31</v>
      </c>
      <c r="D920" s="2" t="s">
        <v>840</v>
      </c>
      <c r="E920" s="6">
        <v>1</v>
      </c>
      <c r="F920" s="6">
        <v>0</v>
      </c>
      <c r="G920" s="7">
        <v>0.7284483313560486</v>
      </c>
      <c r="H920" s="7">
        <v>57.93030546875001</v>
      </c>
      <c r="I920" s="7">
        <v>31.32271321416251</v>
      </c>
      <c r="J920" s="7">
        <v>9.831585179833075</v>
      </c>
      <c r="K920" s="7">
        <v>6.675477035032103</v>
      </c>
      <c r="L920" s="7">
        <v>0.7719015667407612</v>
      </c>
      <c r="M920" s="7">
        <v>0.741988089952977</v>
      </c>
      <c r="N920" s="7">
        <v>0.3627313685180247</v>
      </c>
      <c r="O920" s="7">
        <v>0.1003440124193205</v>
      </c>
      <c r="P920" s="7">
        <v>8.531599386213834</v>
      </c>
      <c r="Q920" s="7">
        <v>0.0109444195001045</v>
      </c>
      <c r="R920" s="7">
        <v>0.0347627711218185</v>
      </c>
      <c r="S920" s="7">
        <v>0.0681986035752495</v>
      </c>
      <c r="T920" s="7">
        <v>0.7358500603728426</v>
      </c>
    </row>
    <row x14ac:dyDescent="0.25" r="921" customHeight="1" ht="19.5">
      <c r="A921" s="2" t="s">
        <v>956</v>
      </c>
      <c r="B921" s="2" t="s">
        <v>30</v>
      </c>
      <c r="C921" s="2" t="s">
        <v>31</v>
      </c>
      <c r="D921" s="2" t="s">
        <v>840</v>
      </c>
      <c r="E921" s="6">
        <v>1</v>
      </c>
      <c r="F921" s="6">
        <v>0</v>
      </c>
      <c r="G921" s="7">
        <v>0.7047287225723267</v>
      </c>
      <c r="H921" s="7">
        <v>59.055871875</v>
      </c>
      <c r="I921" s="7">
        <v>31.41776856218422</v>
      </c>
      <c r="J921" s="7">
        <v>10.03021947152902</v>
      </c>
      <c r="K921" s="7">
        <v>6.747887415621028</v>
      </c>
      <c r="L921" s="7">
        <v>0.7738290718957684</v>
      </c>
      <c r="M921" s="7">
        <v>0.7517463648157141</v>
      </c>
      <c r="N921" s="7">
        <v>0.3610578575398502</v>
      </c>
      <c r="O921" s="7">
        <v>0.1021409572211574</v>
      </c>
      <c r="P921" s="7">
        <v>8.518626790120289</v>
      </c>
      <c r="Q921" s="7">
        <v>0.0108255279016268</v>
      </c>
      <c r="R921" s="7">
        <v>0.0340340864313452</v>
      </c>
      <c r="S921" s="7">
        <v>0.0672267163964932</v>
      </c>
      <c r="T921" s="7">
        <v>0.7419983668548519</v>
      </c>
    </row>
    <row x14ac:dyDescent="0.25" r="922" customHeight="1" ht="19.5">
      <c r="A922" s="2" t="s">
        <v>957</v>
      </c>
      <c r="B922" s="2" t="s">
        <v>30</v>
      </c>
      <c r="C922" s="2" t="s">
        <v>31</v>
      </c>
      <c r="D922" s="2" t="s">
        <v>840</v>
      </c>
      <c r="E922" s="6">
        <v>1</v>
      </c>
      <c r="F922" s="6">
        <v>0</v>
      </c>
      <c r="G922" s="7">
        <v>0.7096026539802551</v>
      </c>
      <c r="H922" s="7">
        <v>58.24200078125001</v>
      </c>
      <c r="I922" s="7">
        <v>30.99572401188473</v>
      </c>
      <c r="J922" s="7">
        <v>9.96557907623388</v>
      </c>
      <c r="K922" s="7">
        <v>6.675581896210199</v>
      </c>
      <c r="L922" s="7">
        <v>0.7760038108009882</v>
      </c>
      <c r="M922" s="7">
        <v>0.7618028259308803</v>
      </c>
      <c r="N922" s="7">
        <v>0.3695697007559617</v>
      </c>
      <c r="O922" s="7">
        <v>0.1066933274087829</v>
      </c>
      <c r="P922" s="7">
        <v>8.471076412791081</v>
      </c>
      <c r="Q922" s="7">
        <v>0.0111246307737882</v>
      </c>
      <c r="R922" s="7">
        <v>0.0350978798052881</v>
      </c>
      <c r="S922" s="7">
        <v>0.0676510178634257</v>
      </c>
      <c r="T922" s="7">
        <v>0.7519910496617858</v>
      </c>
    </row>
    <row x14ac:dyDescent="0.25" r="923" customHeight="1" ht="19.5">
      <c r="A923" s="2" t="s">
        <v>958</v>
      </c>
      <c r="B923" s="2" t="s">
        <v>30</v>
      </c>
      <c r="C923" s="2" t="s">
        <v>31</v>
      </c>
      <c r="D923" s="2" t="s">
        <v>840</v>
      </c>
      <c r="E923" s="6">
        <v>1</v>
      </c>
      <c r="F923" s="6">
        <v>0</v>
      </c>
      <c r="G923" s="7">
        <v>0.7131261825561523</v>
      </c>
      <c r="H923" s="7">
        <v>58.76149296875001</v>
      </c>
      <c r="I923" s="7">
        <v>31.67581111135251</v>
      </c>
      <c r="J923" s="7">
        <v>10.13561049186238</v>
      </c>
      <c r="K923" s="7">
        <v>6.668689565691212</v>
      </c>
      <c r="L923" s="7">
        <v>0.7869606130652158</v>
      </c>
      <c r="M923" s="7">
        <v>0.7359481136436745</v>
      </c>
      <c r="N923" s="7">
        <v>0.3664196413130859</v>
      </c>
      <c r="O923" s="7">
        <v>0.1056923515508735</v>
      </c>
      <c r="P923" s="7">
        <v>8.49338583788917</v>
      </c>
      <c r="Q923" s="7">
        <v>0.0111350605064652</v>
      </c>
      <c r="R923" s="7">
        <v>0.0346432246810364</v>
      </c>
      <c r="S923" s="7">
        <v>0.0697664499298195</v>
      </c>
      <c r="T923" s="7">
        <v>0.759409774695942</v>
      </c>
    </row>
    <row x14ac:dyDescent="0.25" r="924" customHeight="1" ht="19.5">
      <c r="A924" s="2" t="s">
        <v>959</v>
      </c>
      <c r="B924" s="2" t="s">
        <v>30</v>
      </c>
      <c r="C924" s="2" t="s">
        <v>31</v>
      </c>
      <c r="D924" s="2" t="s">
        <v>840</v>
      </c>
      <c r="E924" s="6">
        <v>1</v>
      </c>
      <c r="F924" s="6">
        <v>0</v>
      </c>
      <c r="G924" s="7">
        <v>0.7059667706489563</v>
      </c>
      <c r="H924" s="7">
        <v>55.55795781250001</v>
      </c>
      <c r="I924" s="7">
        <v>30.53329144727392</v>
      </c>
      <c r="J924" s="7">
        <v>9.424512755976274</v>
      </c>
      <c r="K924" s="7">
        <v>6.656096398767224</v>
      </c>
      <c r="L924" s="7">
        <v>0.7487076551258262</v>
      </c>
      <c r="M924" s="7">
        <v>0.7488742390907709</v>
      </c>
      <c r="N924" s="7">
        <v>0.3777683308355804</v>
      </c>
      <c r="O924" s="7">
        <v>0.1051984836328978</v>
      </c>
      <c r="P924" s="7">
        <v>8.399982892807463</v>
      </c>
      <c r="Q924" s="7">
        <v>0.0109684196861561</v>
      </c>
      <c r="R924" s="7">
        <v>0.0347967754309979</v>
      </c>
      <c r="S924" s="7">
        <v>0.0711782909943981</v>
      </c>
      <c r="T924" s="7">
        <v>0.707263284088512</v>
      </c>
    </row>
    <row x14ac:dyDescent="0.25" r="925" customHeight="1" ht="19.5">
      <c r="A925" s="2" t="s">
        <v>960</v>
      </c>
      <c r="B925" s="2" t="s">
        <v>30</v>
      </c>
      <c r="C925" s="2" t="s">
        <v>31</v>
      </c>
      <c r="D925" s="2" t="s">
        <v>840</v>
      </c>
      <c r="E925" s="6">
        <v>1</v>
      </c>
      <c r="F925" s="6">
        <v>0</v>
      </c>
      <c r="G925" s="7">
        <v>0.6704701781272888</v>
      </c>
      <c r="H925" s="7">
        <v>58.8688546875</v>
      </c>
      <c r="I925" s="7">
        <v>31.46652120813806</v>
      </c>
      <c r="J925" s="7">
        <v>10.15303739945325</v>
      </c>
      <c r="K925" s="7">
        <v>7.076119565459468</v>
      </c>
      <c r="L925" s="7">
        <v>0.739305170988318</v>
      </c>
      <c r="M925" s="7">
        <v>0.7471331160741458</v>
      </c>
      <c r="N925" s="7">
        <v>0.4853282198735863</v>
      </c>
      <c r="O925" s="7">
        <v>0.1312975964357502</v>
      </c>
      <c r="P925" s="7">
        <v>7.596365073209984</v>
      </c>
      <c r="Q925" s="7">
        <v>0.0200564574807472</v>
      </c>
      <c r="R925" s="7">
        <v>0.0457063185238356</v>
      </c>
      <c r="S925" s="7">
        <v>0.0760294337109029</v>
      </c>
      <c r="T925" s="7">
        <v>1.370347127555935</v>
      </c>
    </row>
    <row x14ac:dyDescent="0.25" r="926" customHeight="1" ht="19.5">
      <c r="A926" s="2" t="s">
        <v>961</v>
      </c>
      <c r="B926" s="2" t="s">
        <v>30</v>
      </c>
      <c r="C926" s="2" t="s">
        <v>31</v>
      </c>
      <c r="D926" s="2" t="s">
        <v>840</v>
      </c>
      <c r="E926" s="6">
        <v>1</v>
      </c>
      <c r="F926" s="6">
        <v>0</v>
      </c>
      <c r="G926" s="7">
        <v>0.3831385374069214</v>
      </c>
      <c r="H926" s="7">
        <v>64.74604296875</v>
      </c>
      <c r="I926" s="7">
        <v>32.16883191473075</v>
      </c>
      <c r="J926" s="7">
        <v>9.533418466254982</v>
      </c>
      <c r="K926" s="7">
        <v>8.139984360715488</v>
      </c>
      <c r="L926" s="7">
        <v>0.5745191477130531</v>
      </c>
      <c r="M926" s="7">
        <v>0.7862352520947004</v>
      </c>
      <c r="N926" s="7">
        <v>0.4933141870723008</v>
      </c>
      <c r="O926" s="7">
        <v>0.0636831185920719</v>
      </c>
      <c r="P926" s="7">
        <v>8.33187127815587</v>
      </c>
      <c r="Q926" s="7">
        <v>0.0062749891911226</v>
      </c>
      <c r="R926" s="7">
        <v>0.0271882521609587</v>
      </c>
      <c r="S926" s="7">
        <v>0.0525255310334012</v>
      </c>
      <c r="T926" s="7">
        <v>0.4715383215438004</v>
      </c>
    </row>
    <row x14ac:dyDescent="0.25" r="927" customHeight="1" ht="19.5">
      <c r="A927" s="2" t="s">
        <v>962</v>
      </c>
      <c r="B927" s="2" t="s">
        <v>30</v>
      </c>
      <c r="C927" s="2" t="s">
        <v>31</v>
      </c>
      <c r="D927" s="2" t="s">
        <v>840</v>
      </c>
      <c r="E927" s="6">
        <v>1</v>
      </c>
      <c r="F927" s="6">
        <v>0</v>
      </c>
      <c r="G927" s="7">
        <v>0.5592102408409119</v>
      </c>
      <c r="H927" s="7">
        <v>56.340659375</v>
      </c>
      <c r="I927" s="7">
        <v>32.91093617956684</v>
      </c>
      <c r="J927" s="7">
        <v>9.015105154986228</v>
      </c>
      <c r="K927" s="7">
        <v>8.019564193890417</v>
      </c>
      <c r="L927" s="7">
        <v>0.5389779637154963</v>
      </c>
      <c r="M927" s="7">
        <v>0.6536591076300093</v>
      </c>
      <c r="N927" s="7">
        <v>0.4522068796586433</v>
      </c>
      <c r="O927" s="7">
        <v>0.0938582455090536</v>
      </c>
      <c r="P927" s="7">
        <v>8.49813816052644</v>
      </c>
      <c r="Q927" s="7">
        <v>0.0068924391348148</v>
      </c>
      <c r="R927" s="7">
        <v>0.0267519590538585</v>
      </c>
      <c r="S927" s="7">
        <v>0.0486698691008144</v>
      </c>
      <c r="T927" s="7">
        <v>0.4506980147834004</v>
      </c>
    </row>
    <row x14ac:dyDescent="0.25" r="928" customHeight="1" ht="19.5">
      <c r="A928" s="2" t="s">
        <v>963</v>
      </c>
      <c r="B928" s="2" t="s">
        <v>30</v>
      </c>
      <c r="C928" s="2" t="s">
        <v>31</v>
      </c>
      <c r="D928" s="2" t="s">
        <v>840</v>
      </c>
      <c r="E928" s="6">
        <v>1</v>
      </c>
      <c r="F928" s="6">
        <v>0</v>
      </c>
      <c r="G928" s="7">
        <v>0.6178290843963623</v>
      </c>
      <c r="H928" s="7">
        <v>60.75287968750001</v>
      </c>
      <c r="I928" s="7">
        <v>31.73358440295817</v>
      </c>
      <c r="J928" s="7">
        <v>9.056335679249834</v>
      </c>
      <c r="K928" s="7">
        <v>8.133285943422553</v>
      </c>
      <c r="L928" s="7">
        <v>0.5122728098647221</v>
      </c>
      <c r="M928" s="7">
        <v>0.7581209059101489</v>
      </c>
      <c r="N928" s="7">
        <v>0.4127569947934157</v>
      </c>
      <c r="O928" s="7">
        <v>0.0711681933809024</v>
      </c>
      <c r="P928" s="7">
        <v>8.83970561124877</v>
      </c>
      <c r="Q928" s="7">
        <v>0.0086779006609862</v>
      </c>
      <c r="R928" s="7">
        <v>0.0285290142005508</v>
      </c>
      <c r="S928" s="7">
        <v>0.0528255063240788</v>
      </c>
      <c r="T928" s="7">
        <v>0.611888544611814</v>
      </c>
    </row>
    <row x14ac:dyDescent="0.25" r="929" customHeight="1" ht="19.5">
      <c r="A929" s="2" t="s">
        <v>964</v>
      </c>
      <c r="B929" s="2" t="s">
        <v>30</v>
      </c>
      <c r="C929" s="2" t="s">
        <v>31</v>
      </c>
      <c r="D929" s="2" t="s">
        <v>840</v>
      </c>
      <c r="E929" s="6">
        <v>1</v>
      </c>
      <c r="F929" s="6">
        <v>0</v>
      </c>
      <c r="G929" s="7">
        <v>0.61043781042099</v>
      </c>
      <c r="H929" s="7">
        <v>53.306825</v>
      </c>
      <c r="I929" s="7">
        <v>33.04572352789057</v>
      </c>
      <c r="J929" s="7">
        <v>9.425929764875049</v>
      </c>
      <c r="K929" s="7">
        <v>7.912506916651378</v>
      </c>
      <c r="L929" s="7">
        <v>0.6371477846117976</v>
      </c>
      <c r="M929" s="7">
        <v>0.6127484480537772</v>
      </c>
      <c r="N929" s="7">
        <v>0.4245308001293273</v>
      </c>
      <c r="O929" s="7">
        <v>0.1297635388629835</v>
      </c>
      <c r="P929" s="7">
        <v>8.608194019699326</v>
      </c>
      <c r="Q929" s="7">
        <v>0.0074798073654096</v>
      </c>
      <c r="R929" s="7">
        <v>0.025649662661691</v>
      </c>
      <c r="S929" s="7">
        <v>0.0480445991815805</v>
      </c>
      <c r="T929" s="7">
        <v>0.4627687345822279</v>
      </c>
    </row>
    <row x14ac:dyDescent="0.25" r="930" customHeight="1" ht="19.5">
      <c r="A930" s="2" t="s">
        <v>965</v>
      </c>
      <c r="B930" s="2" t="s">
        <v>30</v>
      </c>
      <c r="C930" s="2" t="s">
        <v>31</v>
      </c>
      <c r="D930" s="2" t="s">
        <v>840</v>
      </c>
      <c r="E930" s="6">
        <v>1</v>
      </c>
      <c r="F930" s="6">
        <v>0</v>
      </c>
      <c r="G930" s="7">
        <v>0.6544119715690613</v>
      </c>
      <c r="H930" s="7">
        <v>58.4532609375</v>
      </c>
      <c r="I930" s="7">
        <v>35.3993507231819</v>
      </c>
      <c r="J930" s="7">
        <v>8.927074465149417</v>
      </c>
      <c r="K930" s="7">
        <v>7.427292668802426</v>
      </c>
      <c r="L930" s="7">
        <v>0.6008301001027745</v>
      </c>
      <c r="M930" s="7">
        <v>0.5861759760260601</v>
      </c>
      <c r="N930" s="7">
        <v>0.4009073185259017</v>
      </c>
      <c r="O930" s="7">
        <v>0.1012122022330754</v>
      </c>
      <c r="P930" s="7">
        <v>8.878286295219484</v>
      </c>
      <c r="Q930" s="7">
        <v>0.0119338899597726</v>
      </c>
      <c r="R930" s="7">
        <v>0.0329219376662206</v>
      </c>
      <c r="S930" s="7">
        <v>0.0622049868280524</v>
      </c>
      <c r="T930" s="7">
        <v>0.8096206063563143</v>
      </c>
    </row>
    <row x14ac:dyDescent="0.25" r="931" customHeight="1" ht="19.5">
      <c r="A931" s="2" t="s">
        <v>966</v>
      </c>
      <c r="B931" s="2" t="s">
        <v>30</v>
      </c>
      <c r="C931" s="2" t="s">
        <v>31</v>
      </c>
      <c r="D931" s="2" t="s">
        <v>840</v>
      </c>
      <c r="E931" s="6">
        <v>1</v>
      </c>
      <c r="F931" s="6">
        <v>0</v>
      </c>
      <c r="G931" s="7">
        <v>0.6277678608894348</v>
      </c>
      <c r="H931" s="7">
        <v>59.59614375</v>
      </c>
      <c r="I931" s="7">
        <v>34.57545562973857</v>
      </c>
      <c r="J931" s="7">
        <v>9.072043995393944</v>
      </c>
      <c r="K931" s="7">
        <v>7.155643737188814</v>
      </c>
      <c r="L931" s="7">
        <v>0.6554480162947898</v>
      </c>
      <c r="M931" s="7">
        <v>0.6264583456890347</v>
      </c>
      <c r="N931" s="7">
        <v>0.3773043515938235</v>
      </c>
      <c r="O931" s="7">
        <v>0.0879697694402669</v>
      </c>
      <c r="P931" s="7">
        <v>9.057214691204416</v>
      </c>
      <c r="Q931" s="7">
        <v>0.0112958838964786</v>
      </c>
      <c r="R931" s="7">
        <v>0.0314573778407864</v>
      </c>
      <c r="S931" s="7">
        <v>0.0556592456002332</v>
      </c>
      <c r="T931" s="7">
        <v>0.7813203914451741</v>
      </c>
    </row>
    <row x14ac:dyDescent="0.25" r="932" customHeight="1" ht="19.5">
      <c r="A932" s="2" t="s">
        <v>967</v>
      </c>
      <c r="B932" s="2" t="s">
        <v>30</v>
      </c>
      <c r="C932" s="2" t="s">
        <v>31</v>
      </c>
      <c r="D932" s="2" t="s">
        <v>840</v>
      </c>
      <c r="E932" s="6">
        <v>1</v>
      </c>
      <c r="F932" s="6">
        <v>0</v>
      </c>
      <c r="G932" s="7">
        <v>0.633262574672699</v>
      </c>
      <c r="H932" s="7">
        <v>58.3285828125</v>
      </c>
      <c r="I932" s="7">
        <v>34.91636536544011</v>
      </c>
      <c r="J932" s="7">
        <v>9.263036127206608</v>
      </c>
      <c r="K932" s="7">
        <v>7.260407408954536</v>
      </c>
      <c r="L932" s="7">
        <v>0.6675458433536019</v>
      </c>
      <c r="M932" s="7">
        <v>0.6011483428039127</v>
      </c>
      <c r="N932" s="7">
        <v>0.3911607639573455</v>
      </c>
      <c r="O932" s="7">
        <v>0.1114073886330387</v>
      </c>
      <c r="P932" s="7">
        <v>8.905007387174532</v>
      </c>
      <c r="Q932" s="7">
        <v>0.0111143604443525</v>
      </c>
      <c r="R932" s="7">
        <v>0.0325113332423796</v>
      </c>
      <c r="S932" s="7">
        <v>0.0522476189567763</v>
      </c>
      <c r="T932" s="7">
        <v>0.752413677805754</v>
      </c>
    </row>
    <row x14ac:dyDescent="0.25" r="933" customHeight="1" ht="19.5">
      <c r="A933" s="2" t="s">
        <v>968</v>
      </c>
      <c r="B933" s="2" t="s">
        <v>30</v>
      </c>
      <c r="C933" s="2" t="s">
        <v>31</v>
      </c>
      <c r="D933" s="2" t="s">
        <v>840</v>
      </c>
      <c r="E933" s="6">
        <v>1</v>
      </c>
      <c r="F933" s="6">
        <v>0</v>
      </c>
      <c r="G933" s="7">
        <v>0.6102406978607178</v>
      </c>
      <c r="H933" s="7">
        <v>60.74595312500001</v>
      </c>
      <c r="I933" s="7">
        <v>35.83776575079113</v>
      </c>
      <c r="J933" s="7">
        <v>9.357336851387476</v>
      </c>
      <c r="K933" s="7">
        <v>7.286093870709754</v>
      </c>
      <c r="L933" s="7">
        <v>0.6682580497964068</v>
      </c>
      <c r="M933" s="7">
        <v>0.5943542353879362</v>
      </c>
      <c r="N933" s="7">
        <v>0.3809943666410814</v>
      </c>
      <c r="O933" s="7">
        <v>0.0983682495830427</v>
      </c>
      <c r="P933" s="7">
        <v>8.987434920193015</v>
      </c>
      <c r="Q933" s="7">
        <v>0.0125962703248371</v>
      </c>
      <c r="R933" s="7">
        <v>0.0343667850675751</v>
      </c>
      <c r="S933" s="7">
        <v>0.0573645138788685</v>
      </c>
      <c r="T933" s="7">
        <v>0.88807593771618</v>
      </c>
    </row>
    <row x14ac:dyDescent="0.25" r="934" customHeight="1" ht="19.5">
      <c r="A934" s="2" t="s">
        <v>969</v>
      </c>
      <c r="B934" s="2" t="s">
        <v>30</v>
      </c>
      <c r="C934" s="2" t="s">
        <v>31</v>
      </c>
      <c r="D934" s="2" t="s">
        <v>840</v>
      </c>
      <c r="E934" s="6">
        <v>1</v>
      </c>
      <c r="F934" s="6">
        <v>0</v>
      </c>
      <c r="G934" s="7">
        <v>0.6240752339363098</v>
      </c>
      <c r="H934" s="7">
        <v>58.79612578125001</v>
      </c>
      <c r="I934" s="7">
        <v>34.38253620383385</v>
      </c>
      <c r="J934" s="7">
        <v>9.17763524951603</v>
      </c>
      <c r="K934" s="7">
        <v>7.381193964320794</v>
      </c>
      <c r="L934" s="7">
        <v>0.6521046896895736</v>
      </c>
      <c r="M934" s="7">
        <v>0.6250039418356624</v>
      </c>
      <c r="N934" s="7">
        <v>0.3918177583750446</v>
      </c>
      <c r="O934" s="7">
        <v>0.1065627479135177</v>
      </c>
      <c r="P934" s="7">
        <v>8.9219980433667</v>
      </c>
      <c r="Q934" s="7">
        <v>0.011160543218721</v>
      </c>
      <c r="R934" s="7">
        <v>0.0320139769493059</v>
      </c>
      <c r="S934" s="7">
        <v>0.0549315928266335</v>
      </c>
      <c r="T934" s="7">
        <v>0.7615962973358893</v>
      </c>
    </row>
    <row x14ac:dyDescent="0.25" r="935" customHeight="1" ht="19.5">
      <c r="A935" s="2" t="s">
        <v>970</v>
      </c>
      <c r="B935" s="2" t="s">
        <v>30</v>
      </c>
      <c r="C935" s="2" t="s">
        <v>31</v>
      </c>
      <c r="D935" s="2" t="s">
        <v>840</v>
      </c>
      <c r="E935" s="6">
        <v>1</v>
      </c>
      <c r="F935" s="6">
        <v>0</v>
      </c>
      <c r="G935" s="7">
        <v>0.6233019828796387</v>
      </c>
      <c r="H935" s="7">
        <v>55.92160234375</v>
      </c>
      <c r="I935" s="7">
        <v>35.4665650043561</v>
      </c>
      <c r="J935" s="7">
        <v>9.12675109822191</v>
      </c>
      <c r="K935" s="7">
        <v>7.515220173504559</v>
      </c>
      <c r="L935" s="7">
        <v>0.6202939113701454</v>
      </c>
      <c r="M935" s="7">
        <v>0.5568309493926478</v>
      </c>
      <c r="N935" s="7">
        <v>0.375691714712058</v>
      </c>
      <c r="O935" s="7">
        <v>0.0941428216577941</v>
      </c>
      <c r="P935" s="7">
        <v>9.058215851239778</v>
      </c>
      <c r="Q935" s="7">
        <v>0.0121080666865076</v>
      </c>
      <c r="R935" s="7">
        <v>0.0332420884178401</v>
      </c>
      <c r="S935" s="7">
        <v>0.057390644576059</v>
      </c>
      <c r="T935" s="7">
        <v>0.7858600132277429</v>
      </c>
    </row>
    <row x14ac:dyDescent="0.25" r="936" customHeight="1" ht="19.5">
      <c r="A936" s="2" t="s">
        <v>971</v>
      </c>
      <c r="B936" s="2" t="s">
        <v>30</v>
      </c>
      <c r="C936" s="2" t="s">
        <v>31</v>
      </c>
      <c r="D936" s="2" t="s">
        <v>840</v>
      </c>
      <c r="E936" s="6">
        <v>1</v>
      </c>
      <c r="F936" s="6">
        <v>0</v>
      </c>
      <c r="G936" s="7">
        <v>0.6329591870307922</v>
      </c>
      <c r="H936" s="7">
        <v>57.44544609375</v>
      </c>
      <c r="I936" s="7">
        <v>34.55735278049355</v>
      </c>
      <c r="J936" s="7">
        <v>9.190281156462076</v>
      </c>
      <c r="K936" s="7">
        <v>7.533946097976898</v>
      </c>
      <c r="L936" s="7">
        <v>0.6401022204199633</v>
      </c>
      <c r="M936" s="7">
        <v>0.6044836202794501</v>
      </c>
      <c r="N936" s="7">
        <v>0.3800990338360434</v>
      </c>
      <c r="O936" s="7">
        <v>0.0946799761560656</v>
      </c>
      <c r="P936" s="7">
        <v>9.016846718323716</v>
      </c>
      <c r="Q936" s="7">
        <v>0.0111024351073955</v>
      </c>
      <c r="R936" s="7">
        <v>0.0314056120512532</v>
      </c>
      <c r="S936" s="7">
        <v>0.0537084896032411</v>
      </c>
      <c r="T936" s="7">
        <v>0.7402265018839254</v>
      </c>
    </row>
    <row x14ac:dyDescent="0.25" r="937" customHeight="1" ht="19.5">
      <c r="A937" s="2" t="s">
        <v>972</v>
      </c>
      <c r="B937" s="2" t="s">
        <v>30</v>
      </c>
      <c r="C937" s="2" t="s">
        <v>31</v>
      </c>
      <c r="D937" s="2" t="s">
        <v>840</v>
      </c>
      <c r="E937" s="6">
        <v>1</v>
      </c>
      <c r="F937" s="6">
        <v>0</v>
      </c>
      <c r="G937" s="7">
        <v>0.6055061221122742</v>
      </c>
      <c r="H937" s="7">
        <v>63.41960625</v>
      </c>
      <c r="I937" s="7">
        <v>34.04927352782417</v>
      </c>
      <c r="J937" s="7">
        <v>9.93698702715689</v>
      </c>
      <c r="K937" s="7">
        <v>7.458343638252346</v>
      </c>
      <c r="L937" s="7">
        <v>0.6902038874265816</v>
      </c>
      <c r="M937" s="7">
        <v>0.6858738463615812</v>
      </c>
      <c r="N937" s="7">
        <v>0.3778190354930288</v>
      </c>
      <c r="O937" s="7">
        <v>0.0955668104232459</v>
      </c>
      <c r="P937" s="7">
        <v>9.029778481362442</v>
      </c>
      <c r="Q937" s="7">
        <v>0.0132276711293988</v>
      </c>
      <c r="R937" s="7">
        <v>0.0346596972723537</v>
      </c>
      <c r="S937" s="7">
        <v>0.0669518043965141</v>
      </c>
      <c r="T937" s="7">
        <v>0.9736384362953348</v>
      </c>
    </row>
    <row x14ac:dyDescent="0.25" r="938" customHeight="1" ht="19.5">
      <c r="A938" s="2" t="s">
        <v>973</v>
      </c>
      <c r="B938" s="2" t="s">
        <v>30</v>
      </c>
      <c r="C938" s="2" t="s">
        <v>31</v>
      </c>
      <c r="D938" s="2" t="s">
        <v>840</v>
      </c>
      <c r="E938" s="6">
        <v>1</v>
      </c>
      <c r="F938" s="6">
        <v>0</v>
      </c>
      <c r="G938" s="7">
        <v>0.6182458996772766</v>
      </c>
      <c r="H938" s="7">
        <v>56.2921734375</v>
      </c>
      <c r="I938" s="7">
        <v>35.38543018975815</v>
      </c>
      <c r="J938" s="7">
        <v>8.793213416945573</v>
      </c>
      <c r="K938" s="7">
        <v>7.170807313908909</v>
      </c>
      <c r="L938" s="7">
        <v>0.6273383871255332</v>
      </c>
      <c r="M938" s="7">
        <v>0.5648443076042878</v>
      </c>
      <c r="N938" s="7">
        <v>0.3858598216638889</v>
      </c>
      <c r="O938" s="7">
        <v>0.104054667786421</v>
      </c>
      <c r="P938" s="7">
        <v>8.94245891398026</v>
      </c>
      <c r="Q938" s="7">
        <v>0.0108328266106246</v>
      </c>
      <c r="R938" s="7">
        <v>0.0308198823929485</v>
      </c>
      <c r="S938" s="7">
        <v>0.0549977900229626</v>
      </c>
      <c r="T938" s="7">
        <v>0.707751158710196</v>
      </c>
    </row>
    <row x14ac:dyDescent="0.25" r="939" customHeight="1" ht="19.5">
      <c r="A939" s="2" t="s">
        <v>974</v>
      </c>
      <c r="B939" s="2" t="s">
        <v>30</v>
      </c>
      <c r="C939" s="2" t="s">
        <v>31</v>
      </c>
      <c r="D939" s="2" t="s">
        <v>840</v>
      </c>
      <c r="E939" s="6">
        <v>1</v>
      </c>
      <c r="F939" s="6">
        <v>0</v>
      </c>
      <c r="G939" s="7">
        <v>0.6490748524665833</v>
      </c>
      <c r="H939" s="7">
        <v>52.58992578125</v>
      </c>
      <c r="I939" s="7">
        <v>34.32231296834222</v>
      </c>
      <c r="J939" s="7">
        <v>8.640065895736715</v>
      </c>
      <c r="K939" s="7">
        <v>7.201451047325176</v>
      </c>
      <c r="L939" s="7">
        <v>0.605766859080157</v>
      </c>
      <c r="M939" s="7">
        <v>0.5607368271848147</v>
      </c>
      <c r="N939" s="7">
        <v>0.4001025433254171</v>
      </c>
      <c r="O939" s="7">
        <v>0.1273043681689902</v>
      </c>
      <c r="P939" s="7">
        <v>8.787808242230918</v>
      </c>
      <c r="Q939" s="7">
        <v>0.0107108105004307</v>
      </c>
      <c r="R939" s="7">
        <v>0.0306579099683164</v>
      </c>
      <c r="S939" s="7">
        <v>0.056527943974674</v>
      </c>
      <c r="T939" s="7">
        <v>0.653755978804393</v>
      </c>
    </row>
    <row x14ac:dyDescent="0.25" r="940" customHeight="1" ht="19.5">
      <c r="A940" s="2" t="s">
        <v>975</v>
      </c>
      <c r="B940" s="2" t="s">
        <v>30</v>
      </c>
      <c r="C940" s="2" t="s">
        <v>31</v>
      </c>
      <c r="D940" s="2" t="s">
        <v>840</v>
      </c>
      <c r="E940" s="6">
        <v>1</v>
      </c>
      <c r="F940" s="6">
        <v>0</v>
      </c>
      <c r="G940" s="7">
        <v>0.6401640176773071</v>
      </c>
      <c r="H940" s="7">
        <v>55.68609921875</v>
      </c>
      <c r="I940" s="7">
        <v>37.86966241755194</v>
      </c>
      <c r="J940" s="7">
        <v>8.725991203703025</v>
      </c>
      <c r="K940" s="7">
        <v>7.178021382034039</v>
      </c>
      <c r="L940" s="7">
        <v>0.6306654581481821</v>
      </c>
      <c r="M940" s="7">
        <v>0.4879482822722224</v>
      </c>
      <c r="N940" s="7">
        <v>0.3779918872750921</v>
      </c>
      <c r="O940" s="7">
        <v>0.0983342799635844</v>
      </c>
      <c r="P940" s="7">
        <v>9.025196148813096</v>
      </c>
      <c r="Q940" s="7">
        <v>0.0111589366324686</v>
      </c>
      <c r="R940" s="7">
        <v>0.0315187214599291</v>
      </c>
      <c r="S940" s="7">
        <v>0.0524463384386071</v>
      </c>
      <c r="T940" s="7">
        <v>0.7212077555970423</v>
      </c>
    </row>
    <row x14ac:dyDescent="0.25" r="941" customHeight="1" ht="19.5">
      <c r="A941" s="2" t="s">
        <v>976</v>
      </c>
      <c r="B941" s="2" t="s">
        <v>30</v>
      </c>
      <c r="C941" s="2" t="s">
        <v>31</v>
      </c>
      <c r="D941" s="2" t="s">
        <v>840</v>
      </c>
      <c r="E941" s="6">
        <v>1</v>
      </c>
      <c r="F941" s="6">
        <v>0</v>
      </c>
      <c r="G941" s="7">
        <v>0.6428234577178955</v>
      </c>
      <c r="H941" s="7">
        <v>57.1372140625</v>
      </c>
      <c r="I941" s="7">
        <v>37.39259174756672</v>
      </c>
      <c r="J941" s="7">
        <v>9.091980672750754</v>
      </c>
      <c r="K941" s="7">
        <v>7.165901983926881</v>
      </c>
      <c r="L941" s="7">
        <v>0.6627116821901002</v>
      </c>
      <c r="M941" s="7">
        <v>0.51352050419991</v>
      </c>
      <c r="N941" s="7">
        <v>0.388300464389352</v>
      </c>
      <c r="O941" s="7">
        <v>0.1153018241608491</v>
      </c>
      <c r="P941" s="7">
        <v>8.922418747150276</v>
      </c>
      <c r="Q941" s="7">
        <v>0.0121174110928863</v>
      </c>
      <c r="R941" s="7">
        <v>0.0336306293712771</v>
      </c>
      <c r="S941" s="7">
        <v>0.0501185085682542</v>
      </c>
      <c r="T941" s="7">
        <v>0.8035625400857291</v>
      </c>
    </row>
    <row x14ac:dyDescent="0.25" r="942" customHeight="1" ht="19.5">
      <c r="A942" s="2" t="s">
        <v>977</v>
      </c>
      <c r="B942" s="2" t="s">
        <v>30</v>
      </c>
      <c r="C942" s="2" t="s">
        <v>31</v>
      </c>
      <c r="D942" s="2" t="s">
        <v>840</v>
      </c>
      <c r="E942" s="6">
        <v>1</v>
      </c>
      <c r="F942" s="6">
        <v>0</v>
      </c>
      <c r="G942" s="7">
        <v>0.6203386783599854</v>
      </c>
      <c r="H942" s="7">
        <v>57.22379609375</v>
      </c>
      <c r="I942" s="7">
        <v>32.65534357428452</v>
      </c>
      <c r="J942" s="7">
        <v>9.11971524775506</v>
      </c>
      <c r="K942" s="7">
        <v>7.27408875670196</v>
      </c>
      <c r="L942" s="7">
        <v>0.660059062185324</v>
      </c>
      <c r="M942" s="7">
        <v>0.6743385902393388</v>
      </c>
      <c r="N942" s="7">
        <v>0.3721899290628404</v>
      </c>
      <c r="O942" s="7">
        <v>0.0812357684076197</v>
      </c>
      <c r="P942" s="7">
        <v>9.080834721018018</v>
      </c>
      <c r="Q942" s="7">
        <v>0.0112989857038959</v>
      </c>
      <c r="R942" s="7">
        <v>0.0328237582332382</v>
      </c>
      <c r="S942" s="7">
        <v>0.0564785486234281</v>
      </c>
      <c r="T942" s="7">
        <v>0.7504243258210894</v>
      </c>
    </row>
    <row x14ac:dyDescent="0.25" r="943" customHeight="1" ht="19.5">
      <c r="A943" s="2" t="s">
        <v>978</v>
      </c>
      <c r="B943" s="2" t="s">
        <v>30</v>
      </c>
      <c r="C943" s="2" t="s">
        <v>31</v>
      </c>
      <c r="D943" s="2" t="s">
        <v>840</v>
      </c>
      <c r="E943" s="6">
        <v>1</v>
      </c>
      <c r="F943" s="6">
        <v>0</v>
      </c>
      <c r="G943" s="7">
        <v>0.6173356771469116</v>
      </c>
      <c r="H943" s="7">
        <v>59.9078390625</v>
      </c>
      <c r="I943" s="7">
        <v>36.61081704036999</v>
      </c>
      <c r="J943" s="7">
        <v>9.144486148804347</v>
      </c>
      <c r="K943" s="7">
        <v>7.233695868240002</v>
      </c>
      <c r="L943" s="7">
        <v>0.6479944824481556</v>
      </c>
      <c r="M943" s="7">
        <v>0.5614991781681048</v>
      </c>
      <c r="N943" s="7">
        <v>0.3772729892388974</v>
      </c>
      <c r="O943" s="7">
        <v>0.0936381220656194</v>
      </c>
      <c r="P943" s="7">
        <v>9.029303538336608</v>
      </c>
      <c r="Q943" s="7">
        <v>0.0125347536917533</v>
      </c>
      <c r="R943" s="7">
        <v>0.0338990378311726</v>
      </c>
      <c r="S943" s="7">
        <v>0.0545495417492514</v>
      </c>
      <c r="T943" s="7">
        <v>0.8715458493961453</v>
      </c>
    </row>
    <row x14ac:dyDescent="0.25" r="944" customHeight="1" ht="19.5">
      <c r="A944" s="2" t="s">
        <v>979</v>
      </c>
      <c r="B944" s="2" t="s">
        <v>30</v>
      </c>
      <c r="C944" s="2" t="s">
        <v>31</v>
      </c>
      <c r="D944" s="2" t="s">
        <v>840</v>
      </c>
      <c r="E944" s="6">
        <v>1</v>
      </c>
      <c r="F944" s="6">
        <v>0</v>
      </c>
      <c r="G944" s="7">
        <v>0.5968025922775269</v>
      </c>
      <c r="H944" s="7">
        <v>62.01697734375001</v>
      </c>
      <c r="I944" s="7">
        <v>33.70454026227669</v>
      </c>
      <c r="J944" s="7">
        <v>9.48966007843715</v>
      </c>
      <c r="K944" s="7">
        <v>7.411239422533072</v>
      </c>
      <c r="L944" s="7">
        <v>0.674249807453127</v>
      </c>
      <c r="M944" s="7">
        <v>0.6860308470794787</v>
      </c>
      <c r="N944" s="7">
        <v>0.3801031493221903</v>
      </c>
      <c r="O944" s="7">
        <v>0.094868238416449</v>
      </c>
      <c r="P944" s="7">
        <v>9.02357265921735</v>
      </c>
      <c r="Q944" s="7">
        <v>0.0130361078552999</v>
      </c>
      <c r="R944" s="7">
        <v>0.0352847593852745</v>
      </c>
      <c r="S944" s="7">
        <v>0.0556832503118751</v>
      </c>
      <c r="T944" s="7">
        <v>0.9383164286639242</v>
      </c>
    </row>
    <row x14ac:dyDescent="0.25" r="945" customHeight="1" ht="19.5">
      <c r="A945" s="2" t="s">
        <v>980</v>
      </c>
      <c r="B945" s="2" t="s">
        <v>30</v>
      </c>
      <c r="C945" s="2" t="s">
        <v>31</v>
      </c>
      <c r="D945" s="2" t="s">
        <v>840</v>
      </c>
      <c r="E945" s="6">
        <v>1</v>
      </c>
      <c r="F945" s="6">
        <v>0</v>
      </c>
      <c r="G945" s="7">
        <v>0.6436251997947693</v>
      </c>
      <c r="H945" s="7">
        <v>55.7934609375</v>
      </c>
      <c r="I945" s="7">
        <v>39.96841457951163</v>
      </c>
      <c r="J945" s="7">
        <v>9.034485846682792</v>
      </c>
      <c r="K945" s="7">
        <v>7.595039959674938</v>
      </c>
      <c r="L945" s="7">
        <v>0.6047318692146193</v>
      </c>
      <c r="M945" s="7">
        <v>0.4388936759033057</v>
      </c>
      <c r="N945" s="7">
        <v>0.3925933677933401</v>
      </c>
      <c r="O945" s="7">
        <v>0.1194067761702219</v>
      </c>
      <c r="P945" s="7">
        <v>8.882877721610333</v>
      </c>
      <c r="Q945" s="7">
        <v>0.0117320669918779</v>
      </c>
      <c r="R945" s="7">
        <v>0.0325754786557218</v>
      </c>
      <c r="S945" s="7">
        <v>0.0602590327930655</v>
      </c>
      <c r="T945" s="7">
        <v>0.7597113527581628</v>
      </c>
    </row>
    <row x14ac:dyDescent="0.25" r="946" customHeight="1" ht="19.5">
      <c r="A946" s="2" t="s">
        <v>981</v>
      </c>
      <c r="B946" s="2" t="s">
        <v>30</v>
      </c>
      <c r="C946" s="2" t="s">
        <v>31</v>
      </c>
      <c r="D946" s="2" t="s">
        <v>840</v>
      </c>
      <c r="E946" s="6">
        <v>1</v>
      </c>
      <c r="F946" s="6">
        <v>0</v>
      </c>
      <c r="G946" s="7">
        <v>0.6423119902610779</v>
      </c>
      <c r="H946" s="7">
        <v>58.7303234375</v>
      </c>
      <c r="I946" s="7">
        <v>36.92806802504528</v>
      </c>
      <c r="J946" s="7">
        <v>9.039861273284536</v>
      </c>
      <c r="K946" s="7">
        <v>7.476158859750187</v>
      </c>
      <c r="L946" s="7">
        <v>0.6158686499157606</v>
      </c>
      <c r="M946" s="7">
        <v>0.5403080143894425</v>
      </c>
      <c r="N946" s="7">
        <v>0.3868958912124879</v>
      </c>
      <c r="O946" s="7">
        <v>0.1083141349958877</v>
      </c>
      <c r="P946" s="7">
        <v>8.991699465893616</v>
      </c>
      <c r="Q946" s="7">
        <v>0.0113971493699588</v>
      </c>
      <c r="R946" s="7">
        <v>0.0323919937507694</v>
      </c>
      <c r="S946" s="7">
        <v>0.0565274043025106</v>
      </c>
      <c r="T946" s="7">
        <v>0.7768718996113418</v>
      </c>
    </row>
    <row x14ac:dyDescent="0.25" r="947" customHeight="1" ht="19.5">
      <c r="A947" s="2" t="s">
        <v>982</v>
      </c>
      <c r="B947" s="2" t="s">
        <v>30</v>
      </c>
      <c r="C947" s="2" t="s">
        <v>31</v>
      </c>
      <c r="D947" s="2" t="s">
        <v>840</v>
      </c>
      <c r="E947" s="6">
        <v>1</v>
      </c>
      <c r="F947" s="6">
        <v>0</v>
      </c>
      <c r="G947" s="7">
        <v>0.6063545942306519</v>
      </c>
      <c r="H947" s="7">
        <v>59.57190078125</v>
      </c>
      <c r="I947" s="7">
        <v>33.46495934832876</v>
      </c>
      <c r="J947" s="7">
        <v>9.131636773904166</v>
      </c>
      <c r="K947" s="7">
        <v>7.343986883192767</v>
      </c>
      <c r="L947" s="7">
        <v>0.6448890357140924</v>
      </c>
      <c r="M947" s="7">
        <v>0.668452755635952</v>
      </c>
      <c r="N947" s="7">
        <v>0.3772527144623346</v>
      </c>
      <c r="O947" s="7">
        <v>0.0897150223264753</v>
      </c>
      <c r="P947" s="7">
        <v>9.050508886102564</v>
      </c>
      <c r="Q947" s="7">
        <v>0.0117168260147887</v>
      </c>
      <c r="R947" s="7">
        <v>0.0327590850497612</v>
      </c>
      <c r="S947" s="7">
        <v>0.0546399458644745</v>
      </c>
      <c r="T947" s="7">
        <v>0.8101066899245066</v>
      </c>
    </row>
    <row x14ac:dyDescent="0.25" r="948" customHeight="1" ht="19.5">
      <c r="A948" s="2" t="s">
        <v>983</v>
      </c>
      <c r="B948" s="2" t="s">
        <v>30</v>
      </c>
      <c r="C948" s="2" t="s">
        <v>31</v>
      </c>
      <c r="D948" s="2" t="s">
        <v>840</v>
      </c>
      <c r="E948" s="6">
        <v>1</v>
      </c>
      <c r="F948" s="6">
        <v>0</v>
      </c>
      <c r="G948" s="7">
        <v>0.6076738238334656</v>
      </c>
      <c r="H948" s="7">
        <v>56.30948984375</v>
      </c>
      <c r="I948" s="7">
        <v>36.59725529292157</v>
      </c>
      <c r="J948" s="7">
        <v>8.743178603027633</v>
      </c>
      <c r="K948" s="7">
        <v>7.181300994613407</v>
      </c>
      <c r="L948" s="7">
        <v>0.6019056601329056</v>
      </c>
      <c r="M948" s="7">
        <v>0.528316805505486</v>
      </c>
      <c r="N948" s="7">
        <v>0.3781982399197761</v>
      </c>
      <c r="O948" s="7">
        <v>0.0979611528157998</v>
      </c>
      <c r="P948" s="7">
        <v>9.008418336923572</v>
      </c>
      <c r="Q948" s="7">
        <v>0.0117566100923551</v>
      </c>
      <c r="R948" s="7">
        <v>0.0323844723454697</v>
      </c>
      <c r="S948" s="7">
        <v>0.056223470919252</v>
      </c>
      <c r="T948" s="7">
        <v>0.7683418480340909</v>
      </c>
    </row>
    <row x14ac:dyDescent="0.25" r="949" customHeight="1" ht="19.5">
      <c r="A949" s="2" t="s">
        <v>984</v>
      </c>
      <c r="B949" s="2" t="s">
        <v>30</v>
      </c>
      <c r="C949" s="2" t="s">
        <v>31</v>
      </c>
      <c r="D949" s="2" t="s">
        <v>840</v>
      </c>
      <c r="E949" s="6">
        <v>1</v>
      </c>
      <c r="F949" s="6">
        <v>0</v>
      </c>
      <c r="G949" s="7">
        <v>0.6372848153114319</v>
      </c>
      <c r="H949" s="7">
        <v>52.5656828125</v>
      </c>
      <c r="I949" s="7">
        <v>33.46603570625477</v>
      </c>
      <c r="J949" s="7">
        <v>9.068579702438088</v>
      </c>
      <c r="K949" s="7">
        <v>7.844303611016668</v>
      </c>
      <c r="L949" s="7">
        <v>0.5899365434644865</v>
      </c>
      <c r="M949" s="7">
        <v>0.5897984596551495</v>
      </c>
      <c r="N949" s="7">
        <v>0.4218277960533325</v>
      </c>
      <c r="O949" s="7">
        <v>0.1365236291684443</v>
      </c>
      <c r="P949" s="7">
        <v>8.613933735730345</v>
      </c>
      <c r="Q949" s="7">
        <v>0.0088137244958616</v>
      </c>
      <c r="R949" s="7">
        <v>0.0282513990045401</v>
      </c>
      <c r="S949" s="7">
        <v>0.0549729687949767</v>
      </c>
      <c r="T949" s="7">
        <v>0.5377155070620742</v>
      </c>
    </row>
    <row x14ac:dyDescent="0.25" r="950" customHeight="1" ht="19.5">
      <c r="A950" s="2" t="s">
        <v>985</v>
      </c>
      <c r="B950" s="2" t="s">
        <v>30</v>
      </c>
      <c r="C950" s="2" t="s">
        <v>31</v>
      </c>
      <c r="D950" s="2" t="s">
        <v>840</v>
      </c>
      <c r="E950" s="6">
        <v>1</v>
      </c>
      <c r="F950" s="6">
        <v>0</v>
      </c>
      <c r="G950" s="7">
        <v>0.4711519479751587</v>
      </c>
      <c r="H950" s="7">
        <v>54.6436515625</v>
      </c>
      <c r="I950" s="7">
        <v>29.45481854853289</v>
      </c>
      <c r="J950" s="7">
        <v>8.67163422711284</v>
      </c>
      <c r="K950" s="7">
        <v>7.21908820732121</v>
      </c>
      <c r="L950" s="7">
        <v>0.5958077100501317</v>
      </c>
      <c r="M950" s="7">
        <v>0.7903708135463435</v>
      </c>
      <c r="N950" s="7">
        <v>0.5370248731780858</v>
      </c>
      <c r="O950" s="7">
        <v>0.0983811742949599</v>
      </c>
      <c r="P950" s="7">
        <v>8.004453425871638</v>
      </c>
      <c r="Q950" s="7">
        <v>0.0067640064859004</v>
      </c>
      <c r="R950" s="7">
        <v>0.0292745246195377</v>
      </c>
      <c r="S950" s="7">
        <v>0.0513192570187477</v>
      </c>
      <c r="T950" s="7">
        <v>0.4289774949630742</v>
      </c>
    </row>
    <row x14ac:dyDescent="0.25" r="951" customHeight="1" ht="19.5">
      <c r="A951" s="2" t="s">
        <v>986</v>
      </c>
      <c r="B951" s="2" t="s">
        <v>30</v>
      </c>
      <c r="C951" s="2" t="s">
        <v>31</v>
      </c>
      <c r="D951" s="2" t="s">
        <v>840</v>
      </c>
      <c r="E951" s="6">
        <v>1</v>
      </c>
      <c r="F951" s="6">
        <v>0</v>
      </c>
      <c r="G951" s="7">
        <v>0.3778801262378692</v>
      </c>
      <c r="H951" s="7">
        <v>71.7245546875</v>
      </c>
      <c r="I951" s="7">
        <v>33.62752620555862</v>
      </c>
      <c r="J951" s="7">
        <v>8.615626935846247</v>
      </c>
      <c r="K951" s="7">
        <v>8.236141713032108</v>
      </c>
      <c r="L951" s="7">
        <v>0.3601803239662776</v>
      </c>
      <c r="M951" s="7">
        <v>0.7970542557251407</v>
      </c>
      <c r="N951" s="7">
        <v>0.5670827573203626</v>
      </c>
      <c r="O951" s="7">
        <v>0.0711606513115758</v>
      </c>
      <c r="P951" s="7">
        <v>8.032351397610197</v>
      </c>
      <c r="Q951" s="7">
        <v>0.008183147605182</v>
      </c>
      <c r="R951" s="7">
        <v>0.0335903020536253</v>
      </c>
      <c r="S951" s="7">
        <v>0.0556359812826621</v>
      </c>
      <c r="T951" s="7">
        <v>0.6812068799461053</v>
      </c>
    </row>
    <row x14ac:dyDescent="0.25" r="952" customHeight="1" ht="19.5">
      <c r="A952" s="2" t="s">
        <v>987</v>
      </c>
      <c r="B952" s="2" t="s">
        <v>30</v>
      </c>
      <c r="C952" s="2" t="s">
        <v>31</v>
      </c>
      <c r="D952" s="2" t="s">
        <v>840</v>
      </c>
      <c r="E952" s="6">
        <v>1</v>
      </c>
      <c r="F952" s="6">
        <v>0</v>
      </c>
      <c r="G952" s="7">
        <v>0.3402568399906158</v>
      </c>
      <c r="H952" s="7">
        <v>76.4623234375</v>
      </c>
      <c r="I952" s="7">
        <v>36.66159928629306</v>
      </c>
      <c r="J952" s="7">
        <v>9.589143954539844</v>
      </c>
      <c r="K952" s="7">
        <v>7.993331617786783</v>
      </c>
      <c r="L952" s="7">
        <v>0.5830702083844037</v>
      </c>
      <c r="M952" s="7">
        <v>0.7148822964532976</v>
      </c>
      <c r="N952" s="7">
        <v>0.4816577864085976</v>
      </c>
      <c r="O952" s="7">
        <v>0.0590224424188074</v>
      </c>
      <c r="P952" s="7">
        <v>8.55306262202003</v>
      </c>
      <c r="Q952" s="7">
        <v>0.0101952795394475</v>
      </c>
      <c r="R952" s="7">
        <v>0.0357751908191732</v>
      </c>
      <c r="S952" s="7">
        <v>0.0605164577079305</v>
      </c>
      <c r="T952" s="7">
        <v>0.9047683681822436</v>
      </c>
    </row>
    <row x14ac:dyDescent="0.25" r="953" customHeight="1" ht="19.5">
      <c r="A953" s="2" t="s">
        <v>988</v>
      </c>
      <c r="B953" s="2" t="s">
        <v>30</v>
      </c>
      <c r="C953" s="2" t="s">
        <v>31</v>
      </c>
      <c r="D953" s="2" t="s">
        <v>840</v>
      </c>
      <c r="E953" s="6">
        <v>1</v>
      </c>
      <c r="F953" s="6">
        <v>0</v>
      </c>
      <c r="G953" s="7">
        <v>0.3007161021232605</v>
      </c>
      <c r="H953" s="7">
        <v>81.55681015625001</v>
      </c>
      <c r="I953" s="7">
        <v>42.36272701714822</v>
      </c>
      <c r="J953" s="7">
        <v>10.55548721977455</v>
      </c>
      <c r="K953" s="7">
        <v>8.27492339506679</v>
      </c>
      <c r="L953" s="7">
        <v>0.656414194243339</v>
      </c>
      <c r="M953" s="7">
        <v>0.5710870037136745</v>
      </c>
      <c r="N953" s="7">
        <v>0.4520398078875383</v>
      </c>
      <c r="O953" s="7">
        <v>0.0529536280524247</v>
      </c>
      <c r="P953" s="7">
        <v>8.888424629691155</v>
      </c>
      <c r="Q953" s="7">
        <v>0.0121461272718623</v>
      </c>
      <c r="R953" s="7">
        <v>0.0382615963879165</v>
      </c>
      <c r="S953" s="7">
        <v>0.0590483190721624</v>
      </c>
      <c r="T953" s="7">
        <v>1.149711403403221</v>
      </c>
    </row>
    <row x14ac:dyDescent="0.25" r="954" customHeight="1" ht="19.5">
      <c r="A954" s="2" t="s">
        <v>989</v>
      </c>
      <c r="B954" s="2" t="s">
        <v>30</v>
      </c>
      <c r="C954" s="2" t="s">
        <v>31</v>
      </c>
      <c r="D954" s="2" t="s">
        <v>840</v>
      </c>
      <c r="E954" s="6">
        <v>1</v>
      </c>
      <c r="F954" s="6">
        <v>0</v>
      </c>
      <c r="G954" s="7">
        <v>0.3420301675796509</v>
      </c>
      <c r="H954" s="7">
        <v>64.791065625</v>
      </c>
      <c r="I954" s="7">
        <v>42.59119612753371</v>
      </c>
      <c r="J954" s="7">
        <v>9.731306480368476</v>
      </c>
      <c r="K954" s="7">
        <v>7.705012488275383</v>
      </c>
      <c r="L954" s="7">
        <v>0.6739253739597776</v>
      </c>
      <c r="M954" s="7">
        <v>0.448833550377453</v>
      </c>
      <c r="N954" s="7">
        <v>0.4147105074150235</v>
      </c>
      <c r="O954" s="7">
        <v>0.052601079910046</v>
      </c>
      <c r="P954" s="7">
        <v>9.053382627991754</v>
      </c>
      <c r="Q954" s="7">
        <v>0.010358780809668</v>
      </c>
      <c r="R954" s="7">
        <v>0.0326302780742449</v>
      </c>
      <c r="S954" s="7">
        <v>0.0506876566521239</v>
      </c>
      <c r="T954" s="7">
        <v>0.7789589050160755</v>
      </c>
    </row>
    <row x14ac:dyDescent="0.25" r="955" customHeight="1" ht="19.5">
      <c r="A955" s="2" t="s">
        <v>990</v>
      </c>
      <c r="B955" s="2" t="s">
        <v>30</v>
      </c>
      <c r="C955" s="2" t="s">
        <v>31</v>
      </c>
      <c r="D955" s="2" t="s">
        <v>840</v>
      </c>
      <c r="E955" s="6">
        <v>1</v>
      </c>
      <c r="F955" s="6">
        <v>0</v>
      </c>
      <c r="G955" s="7">
        <v>0.4366166293621063</v>
      </c>
      <c r="H955" s="7">
        <v>50.4877140625</v>
      </c>
      <c r="I955" s="7">
        <v>29.01604473494833</v>
      </c>
      <c r="J955" s="7">
        <v>8.710428437865875</v>
      </c>
      <c r="K955" s="7">
        <v>7.879277953655828</v>
      </c>
      <c r="L955" s="7">
        <v>0.4940408901224137</v>
      </c>
      <c r="M955" s="7">
        <v>0.753562272754866</v>
      </c>
      <c r="N955" s="7">
        <v>0.4549357755881106</v>
      </c>
      <c r="O955" s="7">
        <v>0.0839502177034242</v>
      </c>
      <c r="P955" s="7">
        <v>8.722279276956211</v>
      </c>
      <c r="Q955" s="7">
        <v>0.0085851436002604</v>
      </c>
      <c r="R955" s="7">
        <v>0.0279462190415861</v>
      </c>
      <c r="S955" s="7">
        <v>0.0446859033987519</v>
      </c>
      <c r="T955" s="7">
        <v>0.503064940291394</v>
      </c>
    </row>
    <row x14ac:dyDescent="0.25" r="956" customHeight="1" ht="19.5">
      <c r="A956" s="2" t="s">
        <v>991</v>
      </c>
      <c r="B956" s="2" t="s">
        <v>30</v>
      </c>
      <c r="C956" s="2" t="s">
        <v>31</v>
      </c>
      <c r="D956" s="2" t="s">
        <v>840</v>
      </c>
      <c r="E956" s="6">
        <v>1</v>
      </c>
      <c r="F956" s="6">
        <v>0</v>
      </c>
      <c r="G956" s="7">
        <v>0.5299184322357178</v>
      </c>
      <c r="H956" s="7">
        <v>44.482384375</v>
      </c>
      <c r="I956" s="7">
        <v>27.33623116539289</v>
      </c>
      <c r="J956" s="7">
        <v>8.495114846230699</v>
      </c>
      <c r="K956" s="7">
        <v>7.607744970934077</v>
      </c>
      <c r="L956" s="7">
        <v>0.4669983206515387</v>
      </c>
      <c r="M956" s="7">
        <v>0.7480328076929554</v>
      </c>
      <c r="N956" s="7">
        <v>0.3920079346166357</v>
      </c>
      <c r="O956" s="7">
        <v>0.1149340717103054</v>
      </c>
      <c r="P956" s="7">
        <v>8.82904795556901</v>
      </c>
      <c r="Q956" s="7">
        <v>0.0086325223733924</v>
      </c>
      <c r="R956" s="7">
        <v>0.0258162405729648</v>
      </c>
      <c r="S956" s="7">
        <v>0.0430570420783272</v>
      </c>
      <c r="T956" s="7">
        <v>0.4456732329445256</v>
      </c>
    </row>
    <row x14ac:dyDescent="0.25" r="957" customHeight="1" ht="19.5">
      <c r="A957" s="2" t="s">
        <v>992</v>
      </c>
      <c r="B957" s="2" t="s">
        <v>30</v>
      </c>
      <c r="C957" s="2" t="s">
        <v>31</v>
      </c>
      <c r="D957" s="2" t="s">
        <v>840</v>
      </c>
      <c r="E957" s="6">
        <v>1</v>
      </c>
      <c r="F957" s="6">
        <v>0</v>
      </c>
      <c r="G957" s="7">
        <v>0.5226096510887146</v>
      </c>
      <c r="H957" s="7">
        <v>46.86165859375</v>
      </c>
      <c r="I957" s="7">
        <v>27.49640963667817</v>
      </c>
      <c r="J957" s="7">
        <v>8.761317405911015</v>
      </c>
      <c r="K957" s="7">
        <v>7.855910199557439</v>
      </c>
      <c r="L957" s="7">
        <v>0.5131521326959998</v>
      </c>
      <c r="M957" s="7">
        <v>0.7788889476221016</v>
      </c>
      <c r="N957" s="7">
        <v>0.4527793517419594</v>
      </c>
      <c r="O957" s="7">
        <v>0.1015131795336598</v>
      </c>
      <c r="P957" s="7">
        <v>8.639820210667938</v>
      </c>
      <c r="Q957" s="7">
        <v>0.008693186331336</v>
      </c>
      <c r="R957" s="7">
        <v>0.025882465871446</v>
      </c>
      <c r="S957" s="7">
        <v>0.0442759574085864</v>
      </c>
      <c r="T957" s="7">
        <v>0.4728108392355753</v>
      </c>
    </row>
    <row x14ac:dyDescent="0.25" r="958" customHeight="1" ht="19.5">
      <c r="A958" s="2" t="s">
        <v>993</v>
      </c>
      <c r="B958" s="2" t="s">
        <v>30</v>
      </c>
      <c r="C958" s="2" t="s">
        <v>31</v>
      </c>
      <c r="D958" s="2" t="s">
        <v>840</v>
      </c>
      <c r="E958" s="6">
        <v>1</v>
      </c>
      <c r="F958" s="6">
        <v>0</v>
      </c>
      <c r="G958" s="7">
        <v>0.488023579120636</v>
      </c>
      <c r="H958" s="7">
        <v>46.75776015625</v>
      </c>
      <c r="I958" s="7">
        <v>28.26946092625703</v>
      </c>
      <c r="J958" s="7">
        <v>8.056542377359106</v>
      </c>
      <c r="K958" s="7">
        <v>7.490762915408255</v>
      </c>
      <c r="L958" s="7">
        <v>0.4540013283480779</v>
      </c>
      <c r="M958" s="7">
        <v>0.7352389548554332</v>
      </c>
      <c r="N958" s="7">
        <v>0.3759611972952433</v>
      </c>
      <c r="O958" s="7">
        <v>0.0892335525228426</v>
      </c>
      <c r="P958" s="7">
        <v>9.002457959317725</v>
      </c>
      <c r="Q958" s="7">
        <v>0.0090084934966361</v>
      </c>
      <c r="R958" s="7">
        <v>0.0265157504126585</v>
      </c>
      <c r="S958" s="7">
        <v>0.0442095076557684</v>
      </c>
      <c r="T958" s="7">
        <v>0.4888736710063309</v>
      </c>
    </row>
    <row x14ac:dyDescent="0.25" r="959" customHeight="1" ht="19.5">
      <c r="A959" s="2" t="s">
        <v>994</v>
      </c>
      <c r="B959" s="2" t="s">
        <v>30</v>
      </c>
      <c r="C959" s="2" t="s">
        <v>31</v>
      </c>
      <c r="D959" s="2" t="s">
        <v>840</v>
      </c>
      <c r="E959" s="6">
        <v>1</v>
      </c>
      <c r="F959" s="6">
        <v>0</v>
      </c>
      <c r="G959" s="7">
        <v>0.5044358968734741</v>
      </c>
      <c r="H959" s="7">
        <v>45.9023296875</v>
      </c>
      <c r="I959" s="7">
        <v>28.26354623850046</v>
      </c>
      <c r="J959" s="7">
        <v>9.011043040571831</v>
      </c>
      <c r="K959" s="7">
        <v>8.029575701305967</v>
      </c>
      <c r="L959" s="7">
        <v>0.4544159037245405</v>
      </c>
      <c r="M959" s="7">
        <v>0.722089928891984</v>
      </c>
      <c r="N959" s="7">
        <v>0.3948877475331465</v>
      </c>
      <c r="O959" s="7">
        <v>0.1169229251610359</v>
      </c>
      <c r="P959" s="7">
        <v>8.851477317864534</v>
      </c>
      <c r="Q959" s="7">
        <v>0.0095678031140452</v>
      </c>
      <c r="R959" s="7">
        <v>0.0272603650850766</v>
      </c>
      <c r="S959" s="7">
        <v>0.0424639888550596</v>
      </c>
      <c r="T959" s="7">
        <v>0.5097271164735492</v>
      </c>
    </row>
    <row x14ac:dyDescent="0.25" r="960" customHeight="1" ht="19.5">
      <c r="A960" s="2" t="s">
        <v>995</v>
      </c>
      <c r="B960" s="2" t="s">
        <v>30</v>
      </c>
      <c r="C960" s="2" t="s">
        <v>31</v>
      </c>
      <c r="D960" s="2" t="s">
        <v>840</v>
      </c>
      <c r="E960" s="6">
        <v>1</v>
      </c>
      <c r="F960" s="6">
        <v>0</v>
      </c>
      <c r="G960" s="7">
        <v>0.5109110474586487</v>
      </c>
      <c r="H960" s="7">
        <v>45.62873046875</v>
      </c>
      <c r="I960" s="7">
        <v>27.0235212825142</v>
      </c>
      <c r="J960" s="7">
        <v>8.947466192438831</v>
      </c>
      <c r="K960" s="7">
        <v>8.061350601593345</v>
      </c>
      <c r="L960" s="7">
        <v>0.4154661830140629</v>
      </c>
      <c r="M960" s="7">
        <v>0.7851712190629931</v>
      </c>
      <c r="N960" s="7">
        <v>0.3867724516120856</v>
      </c>
      <c r="O960" s="7">
        <v>0.1090190608800518</v>
      </c>
      <c r="P960" s="7">
        <v>8.897407541253791</v>
      </c>
      <c r="Q960" s="7">
        <v>0.0102594897026072</v>
      </c>
      <c r="R960" s="7">
        <v>0.0276941549734672</v>
      </c>
      <c r="S960" s="7">
        <v>0.0446161482529136</v>
      </c>
      <c r="T960" s="7">
        <v>0.5433190410710332</v>
      </c>
    </row>
    <row x14ac:dyDescent="0.25" r="961" customHeight="1" ht="19.5">
      <c r="A961" s="2" t="s">
        <v>996</v>
      </c>
      <c r="B961" s="2" t="s">
        <v>30</v>
      </c>
      <c r="C961" s="2" t="s">
        <v>31</v>
      </c>
      <c r="D961" s="2" t="s">
        <v>840</v>
      </c>
      <c r="E961" s="6">
        <v>1</v>
      </c>
      <c r="F961" s="6">
        <v>0</v>
      </c>
      <c r="G961" s="7">
        <v>0.5247334837913513</v>
      </c>
      <c r="H961" s="7">
        <v>44.94646406250001</v>
      </c>
      <c r="I961" s="7">
        <v>27.22444655408611</v>
      </c>
      <c r="J961" s="7">
        <v>8.841949785628135</v>
      </c>
      <c r="K961" s="7">
        <v>8.047790948835154</v>
      </c>
      <c r="L961" s="7">
        <v>0.4419199915070552</v>
      </c>
      <c r="M961" s="7">
        <v>0.762056682909767</v>
      </c>
      <c r="N961" s="7">
        <v>0.3811593379711494</v>
      </c>
      <c r="O961" s="7">
        <v>0.1010720176278294</v>
      </c>
      <c r="P961" s="7">
        <v>8.941978425552419</v>
      </c>
      <c r="Q961" s="7">
        <v>0.0095590993595995</v>
      </c>
      <c r="R961" s="7">
        <v>0.0267926310620271</v>
      </c>
      <c r="S961" s="7">
        <v>0.0430690800268997</v>
      </c>
      <c r="T961" s="7">
        <v>0.498658570068942</v>
      </c>
    </row>
    <row x14ac:dyDescent="0.25" r="962" customHeight="1" ht="19.5">
      <c r="A962" s="2" t="s">
        <v>997</v>
      </c>
      <c r="B962" s="2" t="s">
        <v>30</v>
      </c>
      <c r="C962" s="2" t="s">
        <v>31</v>
      </c>
      <c r="D962" s="2" t="s">
        <v>840</v>
      </c>
      <c r="E962" s="6">
        <v>1</v>
      </c>
      <c r="F962" s="6">
        <v>0</v>
      </c>
      <c r="G962" s="7">
        <v>0.5242220163345337</v>
      </c>
      <c r="H962" s="7">
        <v>45.59409765625</v>
      </c>
      <c r="I962" s="7">
        <v>27.3031314247981</v>
      </c>
      <c r="J962" s="7">
        <v>8.89083278536437</v>
      </c>
      <c r="K962" s="7">
        <v>8.051997150261643</v>
      </c>
      <c r="L962" s="7">
        <v>0.432466935450557</v>
      </c>
      <c r="M962" s="7">
        <v>0.7685879476505738</v>
      </c>
      <c r="N962" s="7">
        <v>0.3803094685364365</v>
      </c>
      <c r="O962" s="7">
        <v>0.0967968518632949</v>
      </c>
      <c r="P962" s="7">
        <v>8.968629594731997</v>
      </c>
      <c r="Q962" s="7">
        <v>0.009292103968754</v>
      </c>
      <c r="R962" s="7">
        <v>0.0267931759879013</v>
      </c>
      <c r="S962" s="7">
        <v>0.0419901471074279</v>
      </c>
      <c r="T962" s="7">
        <v>0.4917150099130489</v>
      </c>
    </row>
    <row x14ac:dyDescent="0.25" r="963" customHeight="1" ht="19.5">
      <c r="A963" s="2" t="s">
        <v>998</v>
      </c>
      <c r="B963" s="2" t="s">
        <v>30</v>
      </c>
      <c r="C963" s="2" t="s">
        <v>31</v>
      </c>
      <c r="D963" s="2" t="s">
        <v>840</v>
      </c>
      <c r="E963" s="6">
        <v>1</v>
      </c>
      <c r="F963" s="6">
        <v>0</v>
      </c>
      <c r="G963" s="7">
        <v>0.5139995217323303</v>
      </c>
      <c r="H963" s="7">
        <v>47.29803203125</v>
      </c>
      <c r="I963" s="7">
        <v>27.63639410080778</v>
      </c>
      <c r="J963" s="7">
        <v>8.90384693676458</v>
      </c>
      <c r="K963" s="7">
        <v>7.906521825890222</v>
      </c>
      <c r="L963" s="7">
        <v>0.4597633705581098</v>
      </c>
      <c r="M963" s="7">
        <v>0.7781981261359122</v>
      </c>
      <c r="N963" s="7">
        <v>0.3916729774557915</v>
      </c>
      <c r="O963" s="7">
        <v>0.1124658886382931</v>
      </c>
      <c r="P963" s="7">
        <v>8.8878589623509</v>
      </c>
      <c r="Q963" s="7">
        <v>0.0097525539919685</v>
      </c>
      <c r="R963" s="7">
        <v>0.0270852046740421</v>
      </c>
      <c r="S963" s="7">
        <v>0.0432384341690767</v>
      </c>
      <c r="T963" s="7">
        <v>0.5353677601871162</v>
      </c>
    </row>
    <row x14ac:dyDescent="0.25" r="964" customHeight="1" ht="19.5">
      <c r="A964" s="2" t="s">
        <v>999</v>
      </c>
      <c r="B964" s="2" t="s">
        <v>30</v>
      </c>
      <c r="C964" s="2" t="s">
        <v>31</v>
      </c>
      <c r="D964" s="2" t="s">
        <v>840</v>
      </c>
      <c r="E964" s="6">
        <v>1</v>
      </c>
      <c r="F964" s="6">
        <v>0</v>
      </c>
      <c r="G964" s="7">
        <v>0.5217605233192444</v>
      </c>
      <c r="H964" s="7">
        <v>44.70057109375</v>
      </c>
      <c r="I964" s="7">
        <v>26.92601599060652</v>
      </c>
      <c r="J964" s="7">
        <v>8.820029451430685</v>
      </c>
      <c r="K964" s="7">
        <v>8.130707339620335</v>
      </c>
      <c r="L964" s="7">
        <v>0.4165763747583831</v>
      </c>
      <c r="M964" s="7">
        <v>0.7747805986656469</v>
      </c>
      <c r="N964" s="7">
        <v>0.388408525614882</v>
      </c>
      <c r="O964" s="7">
        <v>0.1059913191207009</v>
      </c>
      <c r="P964" s="7">
        <v>8.891083749986711</v>
      </c>
      <c r="Q964" s="7">
        <v>0.0095452144595643</v>
      </c>
      <c r="R964" s="7">
        <v>0.0269055508269345</v>
      </c>
      <c r="S964" s="7">
        <v>0.0425795653505968</v>
      </c>
      <c r="T964" s="7">
        <v>0.495210155336256</v>
      </c>
    </row>
    <row x14ac:dyDescent="0.25" r="965" customHeight="1" ht="19.5">
      <c r="A965" s="2" t="s">
        <v>1000</v>
      </c>
      <c r="B965" s="2" t="s">
        <v>30</v>
      </c>
      <c r="C965" s="2" t="s">
        <v>31</v>
      </c>
      <c r="D965" s="2" t="s">
        <v>840</v>
      </c>
      <c r="E965" s="6">
        <v>1</v>
      </c>
      <c r="F965" s="6">
        <v>0</v>
      </c>
      <c r="G965" s="7">
        <v>0.5023825168609619</v>
      </c>
      <c r="H965" s="7">
        <v>43.69275625</v>
      </c>
      <c r="I965" s="7">
        <v>27.15131758515536</v>
      </c>
      <c r="J965" s="7">
        <v>8.900422810927706</v>
      </c>
      <c r="K965" s="7">
        <v>8.037309382987212</v>
      </c>
      <c r="L965" s="7">
        <v>0.4104328143521827</v>
      </c>
      <c r="M965" s="7">
        <v>0.7447962591738801</v>
      </c>
      <c r="N965" s="7">
        <v>0.3848439396872569</v>
      </c>
      <c r="O965" s="7">
        <v>0.1040596984682208</v>
      </c>
      <c r="P965" s="7">
        <v>8.905368818211745</v>
      </c>
      <c r="Q965" s="7">
        <v>0.0088102579758554</v>
      </c>
      <c r="R965" s="7">
        <v>0.0255322403072846</v>
      </c>
      <c r="S965" s="7">
        <v>0.0407176387316174</v>
      </c>
      <c r="T965" s="7">
        <v>0.4467749833909221</v>
      </c>
    </row>
    <row x14ac:dyDescent="0.25" r="966" customHeight="1" ht="19.5">
      <c r="A966" s="2" t="s">
        <v>1001</v>
      </c>
      <c r="B966" s="2" t="s">
        <v>30</v>
      </c>
      <c r="C966" s="2" t="s">
        <v>31</v>
      </c>
      <c r="D966" s="2" t="s">
        <v>840</v>
      </c>
      <c r="E966" s="6">
        <v>1</v>
      </c>
      <c r="F966" s="6">
        <v>0</v>
      </c>
      <c r="G966" s="7">
        <v>0.4938928484916687</v>
      </c>
      <c r="H966" s="7">
        <v>43.40530390625</v>
      </c>
      <c r="I966" s="7">
        <v>26.3030461687351</v>
      </c>
      <c r="J966" s="7">
        <v>8.788414843654529</v>
      </c>
      <c r="K966" s="7">
        <v>7.899559484280131</v>
      </c>
      <c r="L966" s="7">
        <v>0.4091148068103071</v>
      </c>
      <c r="M966" s="7">
        <v>0.7883890266267305</v>
      </c>
      <c r="N966" s="7">
        <v>0.3979037935066888</v>
      </c>
      <c r="O966" s="7">
        <v>0.1166313850349571</v>
      </c>
      <c r="P966" s="7">
        <v>8.816650400717116</v>
      </c>
      <c r="Q966" s="7">
        <v>0.0086193491485903</v>
      </c>
      <c r="R966" s="7">
        <v>0.0259211624277624</v>
      </c>
      <c r="S966" s="7">
        <v>0.0402853671370785</v>
      </c>
      <c r="T966" s="7">
        <v>0.4342182319503766</v>
      </c>
    </row>
    <row x14ac:dyDescent="0.25" r="967" customHeight="1" ht="19.5">
      <c r="A967" s="2" t="s">
        <v>1002</v>
      </c>
      <c r="B967" s="2" t="s">
        <v>30</v>
      </c>
      <c r="C967" s="2" t="s">
        <v>31</v>
      </c>
      <c r="D967" s="2" t="s">
        <v>840</v>
      </c>
      <c r="E967" s="6">
        <v>1</v>
      </c>
      <c r="F967" s="6">
        <v>0</v>
      </c>
      <c r="G967" s="7">
        <v>0.4993529319763183</v>
      </c>
      <c r="H967" s="7">
        <v>47.225303125</v>
      </c>
      <c r="I967" s="7">
        <v>27.77428740702677</v>
      </c>
      <c r="J967" s="7">
        <v>8.995211232160344</v>
      </c>
      <c r="K967" s="7">
        <v>7.947854878630172</v>
      </c>
      <c r="L967" s="7">
        <v>0.5236501100455964</v>
      </c>
      <c r="M967" s="7">
        <v>0.7693053766762528</v>
      </c>
      <c r="N967" s="7">
        <v>0.4561616237332546</v>
      </c>
      <c r="O967" s="7">
        <v>0.1092564081474159</v>
      </c>
      <c r="P967" s="7">
        <v>8.633218713567885</v>
      </c>
      <c r="Q967" s="7">
        <v>0.0088483192855857</v>
      </c>
      <c r="R967" s="7">
        <v>0.0264191860034154</v>
      </c>
      <c r="S967" s="7">
        <v>0.0434513022807901</v>
      </c>
      <c r="T967" s="7">
        <v>0.4849827812311906</v>
      </c>
    </row>
    <row x14ac:dyDescent="0.25" r="968" customHeight="1" ht="19.5">
      <c r="A968" s="2" t="s">
        <v>1003</v>
      </c>
      <c r="B968" s="2" t="s">
        <v>30</v>
      </c>
      <c r="C968" s="2" t="s">
        <v>31</v>
      </c>
      <c r="D968" s="2" t="s">
        <v>840</v>
      </c>
      <c r="E968" s="6">
        <v>1</v>
      </c>
      <c r="F968" s="6">
        <v>0</v>
      </c>
      <c r="G968" s="7">
        <v>0.4929302930831909</v>
      </c>
      <c r="H968" s="7">
        <v>46.35255625000001</v>
      </c>
      <c r="I968" s="7">
        <v>27.92018655891295</v>
      </c>
      <c r="J968" s="7">
        <v>8.84744169654967</v>
      </c>
      <c r="K968" s="7">
        <v>8.382174403765287</v>
      </c>
      <c r="L968" s="7">
        <v>0.3934999319901286</v>
      </c>
      <c r="M968" s="7">
        <v>0.7472173060921654</v>
      </c>
      <c r="N968" s="7">
        <v>0.3773043060107004</v>
      </c>
      <c r="O968" s="7">
        <v>0.0901176010197839</v>
      </c>
      <c r="P968" s="7">
        <v>9.016366236413305</v>
      </c>
      <c r="Q968" s="7">
        <v>0.0094555619815659</v>
      </c>
      <c r="R968" s="7">
        <v>0.0271022145924402</v>
      </c>
      <c r="S968" s="7">
        <v>0.0434628082910749</v>
      </c>
      <c r="T968" s="7">
        <v>0.5086883780493227</v>
      </c>
    </row>
    <row x14ac:dyDescent="0.25" r="969" customHeight="1" ht="19.5">
      <c r="A969" s="2" t="s">
        <v>1004</v>
      </c>
      <c r="B969" s="2" t="s">
        <v>30</v>
      </c>
      <c r="C969" s="2" t="s">
        <v>31</v>
      </c>
      <c r="D969" s="2" t="s">
        <v>840</v>
      </c>
      <c r="E969" s="6">
        <v>1</v>
      </c>
      <c r="F969" s="6">
        <v>0</v>
      </c>
      <c r="G969" s="7">
        <v>0.4973684847354889</v>
      </c>
      <c r="H969" s="7">
        <v>47.93873906250001</v>
      </c>
      <c r="I969" s="7">
        <v>27.81885773715934</v>
      </c>
      <c r="J969" s="7">
        <v>8.718822789884769</v>
      </c>
      <c r="K969" s="7">
        <v>7.556910534905175</v>
      </c>
      <c r="L969" s="7">
        <v>0.5489683747675981</v>
      </c>
      <c r="M969" s="7">
        <v>0.7784269861409477</v>
      </c>
      <c r="N969" s="7">
        <v>0.4523749259088178</v>
      </c>
      <c r="O969" s="7">
        <v>0.1033971031162336</v>
      </c>
      <c r="P969" s="7">
        <v>8.655615156895855</v>
      </c>
      <c r="Q969" s="7">
        <v>0.0077781311237226</v>
      </c>
      <c r="R969" s="7">
        <v>0.025133260105522</v>
      </c>
      <c r="S969" s="7">
        <v>0.0410308491262649</v>
      </c>
      <c r="T969" s="7">
        <v>0.4327655151886316</v>
      </c>
    </row>
    <row x14ac:dyDescent="0.25" r="970" customHeight="1" ht="19.5">
      <c r="A970" s="2" t="s">
        <v>1005</v>
      </c>
      <c r="B970" s="2" t="s">
        <v>30</v>
      </c>
      <c r="C970" s="2" t="s">
        <v>31</v>
      </c>
      <c r="D970" s="2" t="s">
        <v>840</v>
      </c>
      <c r="E970" s="6">
        <v>1</v>
      </c>
      <c r="F970" s="6">
        <v>0</v>
      </c>
      <c r="G970" s="7">
        <v>0.5214709043502808</v>
      </c>
      <c r="H970" s="7">
        <v>45.202746875</v>
      </c>
      <c r="I970" s="7">
        <v>27.11266194277934</v>
      </c>
      <c r="J970" s="7">
        <v>8.806321615077874</v>
      </c>
      <c r="K970" s="7">
        <v>7.750722033281155</v>
      </c>
      <c r="L970" s="7">
        <v>0.4850344917857465</v>
      </c>
      <c r="M970" s="7">
        <v>0.7727346249354298</v>
      </c>
      <c r="N970" s="7">
        <v>0.3932348216199834</v>
      </c>
      <c r="O970" s="7">
        <v>0.1091005396812844</v>
      </c>
      <c r="P970" s="7">
        <v>8.884056408105424</v>
      </c>
      <c r="Q970" s="7">
        <v>0.0084387587684406</v>
      </c>
      <c r="R970" s="7">
        <v>0.0261768029037663</v>
      </c>
      <c r="S970" s="7">
        <v>0.0408151524278942</v>
      </c>
      <c r="T970" s="7">
        <v>0.4427251350500043</v>
      </c>
    </row>
    <row x14ac:dyDescent="0.25" r="971" customHeight="1" ht="19.5">
      <c r="A971" s="2" t="s">
        <v>1006</v>
      </c>
      <c r="B971" s="2" t="s">
        <v>30</v>
      </c>
      <c r="C971" s="2" t="s">
        <v>31</v>
      </c>
      <c r="D971" s="2" t="s">
        <v>840</v>
      </c>
      <c r="E971" s="6">
        <v>1</v>
      </c>
      <c r="F971" s="6">
        <v>0</v>
      </c>
      <c r="G971" s="7">
        <v>0.5335676670074463</v>
      </c>
      <c r="H971" s="7">
        <v>45.36205781250001</v>
      </c>
      <c r="I971" s="7">
        <v>26.9688539488038</v>
      </c>
      <c r="J971" s="7">
        <v>8.374554382614642</v>
      </c>
      <c r="K971" s="7">
        <v>7.822658613446523</v>
      </c>
      <c r="L971" s="7">
        <v>0.3972810191878679</v>
      </c>
      <c r="M971" s="7">
        <v>0.783750135781055</v>
      </c>
      <c r="N971" s="7">
        <v>0.387892613365997</v>
      </c>
      <c r="O971" s="7">
        <v>0.1133576952544269</v>
      </c>
      <c r="P971" s="7">
        <v>8.865525025935447</v>
      </c>
      <c r="Q971" s="7">
        <v>0.0096112623507109</v>
      </c>
      <c r="R971" s="7">
        <v>0.0270624327046372</v>
      </c>
      <c r="S971" s="7">
        <v>0.0447371086560697</v>
      </c>
      <c r="T971" s="7">
        <v>0.5060156627451098</v>
      </c>
    </row>
    <row x14ac:dyDescent="0.25" r="972" customHeight="1" ht="19.5">
      <c r="A972" s="2" t="s">
        <v>1007</v>
      </c>
      <c r="B972" s="2" t="s">
        <v>30</v>
      </c>
      <c r="C972" s="2" t="s">
        <v>31</v>
      </c>
      <c r="D972" s="2" t="s">
        <v>840</v>
      </c>
      <c r="E972" s="6">
        <v>1</v>
      </c>
      <c r="F972" s="6">
        <v>0</v>
      </c>
      <c r="G972" s="7">
        <v>0.4956222474575043</v>
      </c>
      <c r="H972" s="7">
        <v>44.39580234375001</v>
      </c>
      <c r="I972" s="7">
        <v>27.71370538555981</v>
      </c>
      <c r="J972" s="7">
        <v>8.618437014518687</v>
      </c>
      <c r="K972" s="7">
        <v>7.73322638761935</v>
      </c>
      <c r="L972" s="7">
        <v>0.4623222459861546</v>
      </c>
      <c r="M972" s="7">
        <v>0.7263778318021262</v>
      </c>
      <c r="N972" s="7">
        <v>0.4019710843930629</v>
      </c>
      <c r="O972" s="7">
        <v>0.124027336180967</v>
      </c>
      <c r="P972" s="7">
        <v>8.773919534409922</v>
      </c>
      <c r="Q972" s="7">
        <v>0.0075256594185785</v>
      </c>
      <c r="R972" s="7">
        <v>0.0237312622055837</v>
      </c>
      <c r="S972" s="7">
        <v>0.0409331924206832</v>
      </c>
      <c r="T972" s="7">
        <v>0.3877727166537466</v>
      </c>
    </row>
    <row x14ac:dyDescent="0.25" r="973" customHeight="1" ht="19.5">
      <c r="A973" s="2" t="s">
        <v>1008</v>
      </c>
      <c r="B973" s="2" t="s">
        <v>30</v>
      </c>
      <c r="C973" s="2" t="s">
        <v>31</v>
      </c>
      <c r="D973" s="2" t="s">
        <v>840</v>
      </c>
      <c r="E973" s="6">
        <v>1</v>
      </c>
      <c r="F973" s="6">
        <v>0</v>
      </c>
      <c r="G973" s="7">
        <v>0.4795122146606445</v>
      </c>
      <c r="H973" s="7">
        <v>48.05302734375</v>
      </c>
      <c r="I973" s="7">
        <v>28.12111183048487</v>
      </c>
      <c r="J973" s="7">
        <v>8.449854795058851</v>
      </c>
      <c r="K973" s="7">
        <v>7.800505411923696</v>
      </c>
      <c r="L973" s="7">
        <v>0.4581865837106716</v>
      </c>
      <c r="M973" s="7">
        <v>0.763599512581058</v>
      </c>
      <c r="N973" s="7">
        <v>0.376336050309195</v>
      </c>
      <c r="O973" s="7">
        <v>0.0867017167835323</v>
      </c>
      <c r="P973" s="7">
        <v>9.04284020756343</v>
      </c>
      <c r="Q973" s="7">
        <v>0.0099562272182043</v>
      </c>
      <c r="R973" s="7">
        <v>0.0277399092936311</v>
      </c>
      <c r="S973" s="7">
        <v>0.0461221159075574</v>
      </c>
      <c r="T973" s="7">
        <v>0.5552727140793773</v>
      </c>
    </row>
    <row x14ac:dyDescent="0.25" r="974" customHeight="1" ht="19.5">
      <c r="A974" s="2" t="s">
        <v>1009</v>
      </c>
      <c r="B974" s="2" t="s">
        <v>30</v>
      </c>
      <c r="C974" s="2" t="s">
        <v>31</v>
      </c>
      <c r="D974" s="2" t="s">
        <v>840</v>
      </c>
      <c r="E974" s="6">
        <v>1</v>
      </c>
      <c r="F974" s="6">
        <v>0</v>
      </c>
      <c r="G974" s="7">
        <v>0.5132406949996948</v>
      </c>
      <c r="H974" s="7">
        <v>47.12833125</v>
      </c>
      <c r="I974" s="7">
        <v>27.86342806729192</v>
      </c>
      <c r="J974" s="7">
        <v>8.436013393965867</v>
      </c>
      <c r="K974" s="7">
        <v>7.69567222469927</v>
      </c>
      <c r="L974" s="7">
        <v>0.4505213977539695</v>
      </c>
      <c r="M974" s="7">
        <v>0.7628213367102697</v>
      </c>
      <c r="N974" s="7">
        <v>0.3851546753976021</v>
      </c>
      <c r="O974" s="7">
        <v>0.1019487520646144</v>
      </c>
      <c r="P974" s="7">
        <v>8.925302186771631</v>
      </c>
      <c r="Q974" s="7">
        <v>0.0100381661364263</v>
      </c>
      <c r="R974" s="7">
        <v>0.027827662657315</v>
      </c>
      <c r="S974" s="7">
        <v>0.043954671145084</v>
      </c>
      <c r="T974" s="7">
        <v>0.5490693755255882</v>
      </c>
    </row>
    <row x14ac:dyDescent="0.25" r="975" customHeight="1" ht="19.5">
      <c r="A975" s="2" t="s">
        <v>1010</v>
      </c>
      <c r="B975" s="2" t="s">
        <v>30</v>
      </c>
      <c r="C975" s="2" t="s">
        <v>31</v>
      </c>
      <c r="D975" s="2" t="s">
        <v>840</v>
      </c>
      <c r="E975" s="6">
        <v>1</v>
      </c>
      <c r="F975" s="6">
        <v>0</v>
      </c>
      <c r="G975" s="7">
        <v>0.4566891193389892</v>
      </c>
      <c r="H975" s="7">
        <v>71.67260546875</v>
      </c>
      <c r="I975" s="7">
        <v>39.15109018783415</v>
      </c>
      <c r="J975" s="7">
        <v>11.11804382890992</v>
      </c>
      <c r="K975" s="7">
        <v>8.421899616915667</v>
      </c>
      <c r="L975" s="7">
        <v>0.7625873900123377</v>
      </c>
      <c r="M975" s="7">
        <v>0.5845532314932195</v>
      </c>
      <c r="N975" s="7">
        <v>0.4889380445549802</v>
      </c>
      <c r="O975" s="7">
        <v>0.0700291288326459</v>
      </c>
      <c r="P975" s="7">
        <v>8.87060802037573</v>
      </c>
      <c r="Q975" s="7">
        <v>0.0108707580223721</v>
      </c>
      <c r="R975" s="7">
        <v>0.0342281137761625</v>
      </c>
      <c r="S975" s="7">
        <v>0.0546483961531404</v>
      </c>
      <c r="T975" s="7">
        <v>0.9042818229290036</v>
      </c>
    </row>
    <row x14ac:dyDescent="0.25" r="976" customHeight="1" ht="19.5">
      <c r="A976" s="2" t="s">
        <v>1011</v>
      </c>
      <c r="B976" s="2" t="s">
        <v>30</v>
      </c>
      <c r="C976" s="2" t="s">
        <v>31</v>
      </c>
      <c r="D976" s="2" t="s">
        <v>840</v>
      </c>
      <c r="E976" s="6">
        <v>1</v>
      </c>
      <c r="F976" s="6">
        <v>0</v>
      </c>
      <c r="G976" s="7">
        <v>0.4570625424385071</v>
      </c>
      <c r="H976" s="7">
        <v>47.70669921875</v>
      </c>
      <c r="I976" s="7">
        <v>28.41571886411855</v>
      </c>
      <c r="J976" s="7">
        <v>9.092319249043356</v>
      </c>
      <c r="K976" s="7">
        <v>7.484649533638011</v>
      </c>
      <c r="L976" s="7">
        <v>0.5678087923676688</v>
      </c>
      <c r="M976" s="7">
        <v>0.7417573945606762</v>
      </c>
      <c r="N976" s="7">
        <v>0.5188276619022828</v>
      </c>
      <c r="O976" s="7">
        <v>0.0961030369543031</v>
      </c>
      <c r="P976" s="7">
        <v>7.681737680826416</v>
      </c>
      <c r="Q976" s="7">
        <v>0.0258290627726682</v>
      </c>
      <c r="R976" s="7">
        <v>0.0533004666797243</v>
      </c>
      <c r="S976" s="7">
        <v>0.0721086276151217</v>
      </c>
      <c r="T976" s="7">
        <v>1.430140801083785</v>
      </c>
    </row>
    <row x14ac:dyDescent="0.25" r="977" customHeight="1" ht="19.5">
      <c r="A977" s="2" t="s">
        <v>1012</v>
      </c>
      <c r="B977" s="2" t="s">
        <v>30</v>
      </c>
      <c r="C977" s="2" t="s">
        <v>31</v>
      </c>
      <c r="D977" s="2" t="s">
        <v>840</v>
      </c>
      <c r="E977" s="6">
        <v>1</v>
      </c>
      <c r="F977" s="6">
        <v>0</v>
      </c>
      <c r="G977" s="7">
        <v>0.5665230751037598</v>
      </c>
      <c r="H977" s="7">
        <v>50.03402421875001</v>
      </c>
      <c r="I977" s="7">
        <v>28.31474882834027</v>
      </c>
      <c r="J977" s="7">
        <v>8.729602786211634</v>
      </c>
      <c r="K977" s="7">
        <v>6.940756878825107</v>
      </c>
      <c r="L977" s="7">
        <v>0.6537561918813192</v>
      </c>
      <c r="M977" s="7">
        <v>0.7842415924539422</v>
      </c>
      <c r="N977" s="7">
        <v>0.4951475080776507</v>
      </c>
      <c r="O977" s="7">
        <v>0.1172464440230305</v>
      </c>
      <c r="P977" s="7">
        <v>7.894469697610866</v>
      </c>
      <c r="Q977" s="7">
        <v>0.0195031337128704</v>
      </c>
      <c r="R977" s="7">
        <v>0.044375940375692</v>
      </c>
      <c r="S977" s="7">
        <v>0.0633167682500346</v>
      </c>
      <c r="T977" s="7">
        <v>1.132558418956148</v>
      </c>
    </row>
    <row x14ac:dyDescent="0.25" r="978" customHeight="1" ht="19.5">
      <c r="A978" s="2" t="s">
        <v>1013</v>
      </c>
      <c r="B978" s="2" t="s">
        <v>30</v>
      </c>
      <c r="C978" s="2" t="s">
        <v>31</v>
      </c>
      <c r="D978" s="2" t="s">
        <v>840</v>
      </c>
      <c r="E978" s="6">
        <v>1</v>
      </c>
      <c r="F978" s="6">
        <v>0</v>
      </c>
      <c r="G978" s="7">
        <v>0.6039523482322693</v>
      </c>
      <c r="H978" s="7">
        <v>51.9699984375</v>
      </c>
      <c r="I978" s="7">
        <v>30.59351468276555</v>
      </c>
      <c r="J978" s="7">
        <v>9.4547802868387</v>
      </c>
      <c r="K978" s="7">
        <v>6.854237973773976</v>
      </c>
      <c r="L978" s="7">
        <v>0.7161074144584068</v>
      </c>
      <c r="M978" s="7">
        <v>0.6977563889359193</v>
      </c>
      <c r="N978" s="7">
        <v>0.4494929216212914</v>
      </c>
      <c r="O978" s="7">
        <v>0.0869974525307803</v>
      </c>
      <c r="P978" s="7">
        <v>8.295591943312232</v>
      </c>
      <c r="Q978" s="7">
        <v>0.0146224396468016</v>
      </c>
      <c r="R978" s="7">
        <v>0.0385754341340161</v>
      </c>
      <c r="S978" s="7">
        <v>0.0623196839415311</v>
      </c>
      <c r="T978" s="7">
        <v>0.8819893099492845</v>
      </c>
    </row>
    <row x14ac:dyDescent="0.25" r="979" customHeight="1" ht="19.5">
      <c r="A979" s="2" t="s">
        <v>1014</v>
      </c>
      <c r="B979" s="2" t="s">
        <v>30</v>
      </c>
      <c r="C979" s="2" t="s">
        <v>31</v>
      </c>
      <c r="D979" s="2" t="s">
        <v>840</v>
      </c>
      <c r="E979" s="6">
        <v>1</v>
      </c>
      <c r="F979" s="6">
        <v>0</v>
      </c>
      <c r="G979" s="7">
        <v>0.6316940784454346</v>
      </c>
      <c r="H979" s="7">
        <v>48.97426015625</v>
      </c>
      <c r="I979" s="7">
        <v>27.55735044412046</v>
      </c>
      <c r="J979" s="7">
        <v>8.865574171850243</v>
      </c>
      <c r="K979" s="7">
        <v>6.638281055055878</v>
      </c>
      <c r="L979" s="7">
        <v>0.693666659057723</v>
      </c>
      <c r="M979" s="7">
        <v>0.8104063394509865</v>
      </c>
      <c r="N979" s="7">
        <v>0.4268329781025458</v>
      </c>
      <c r="O979" s="7">
        <v>0.0881094214728578</v>
      </c>
      <c r="P979" s="7">
        <v>8.300876113535198</v>
      </c>
      <c r="Q979" s="7">
        <v>0.0093452792179431</v>
      </c>
      <c r="R979" s="7">
        <v>0.0305367498865179</v>
      </c>
      <c r="S979" s="7">
        <v>0.0546953296323271</v>
      </c>
      <c r="T979" s="7">
        <v>0.531191290595096</v>
      </c>
    </row>
    <row x14ac:dyDescent="0.25" r="980" customHeight="1" ht="19.5">
      <c r="A980" s="2" t="s">
        <v>1015</v>
      </c>
      <c r="B980" s="2" t="s">
        <v>30</v>
      </c>
      <c r="C980" s="2" t="s">
        <v>31</v>
      </c>
      <c r="D980" s="2" t="s">
        <v>840</v>
      </c>
      <c r="E980" s="6">
        <v>1</v>
      </c>
      <c r="F980" s="6">
        <v>0</v>
      </c>
      <c r="G980" s="7">
        <v>0.6600534915924072</v>
      </c>
      <c r="H980" s="7">
        <v>45.35859453125001</v>
      </c>
      <c r="I980" s="7">
        <v>26.69898202412238</v>
      </c>
      <c r="J980" s="7">
        <v>8.786805508306717</v>
      </c>
      <c r="K980" s="7">
        <v>6.646629826968976</v>
      </c>
      <c r="L980" s="7">
        <v>0.6610918982807272</v>
      </c>
      <c r="M980" s="7">
        <v>0.7996133702392312</v>
      </c>
      <c r="N980" s="7">
        <v>0.4219375863647222</v>
      </c>
      <c r="O980" s="7">
        <v>0.0962570626058011</v>
      </c>
      <c r="P980" s="7">
        <v>8.257770391241799</v>
      </c>
      <c r="Q980" s="7">
        <v>0.009282683764751</v>
      </c>
      <c r="R980" s="7">
        <v>0.0304389345881702</v>
      </c>
      <c r="S980" s="7">
        <v>0.055217383203941</v>
      </c>
      <c r="T980" s="7">
        <v>0.4886792793205639</v>
      </c>
    </row>
    <row x14ac:dyDescent="0.25" r="981" customHeight="1" ht="19.5">
      <c r="A981" s="2" t="s">
        <v>1016</v>
      </c>
      <c r="B981" s="2" t="s">
        <v>30</v>
      </c>
      <c r="C981" s="2" t="s">
        <v>31</v>
      </c>
      <c r="D981" s="2" t="s">
        <v>840</v>
      </c>
      <c r="E981" s="6">
        <v>1</v>
      </c>
      <c r="F981" s="6">
        <v>0</v>
      </c>
      <c r="G981" s="7">
        <v>0.6766861081123352</v>
      </c>
      <c r="H981" s="7">
        <v>45.285865625</v>
      </c>
      <c r="I981" s="7">
        <v>26.22818482786905</v>
      </c>
      <c r="J981" s="7">
        <v>8.726464598995527</v>
      </c>
      <c r="K981" s="7">
        <v>6.549776078978931</v>
      </c>
      <c r="L981" s="7">
        <v>0.6834164881010238</v>
      </c>
      <c r="M981" s="7">
        <v>0.8272486492297114</v>
      </c>
      <c r="N981" s="7">
        <v>0.4228241821193819</v>
      </c>
      <c r="O981" s="7">
        <v>0.0941742586087004</v>
      </c>
      <c r="P981" s="7">
        <v>8.278158057090382</v>
      </c>
      <c r="Q981" s="7">
        <v>0.0092745114555213</v>
      </c>
      <c r="R981" s="7">
        <v>0.0303077584798992</v>
      </c>
      <c r="S981" s="7">
        <v>0.0551765397894902</v>
      </c>
      <c r="T981" s="7">
        <v>0.4874661861912772</v>
      </c>
    </row>
    <row x14ac:dyDescent="0.25" r="982" customHeight="1" ht="19.5">
      <c r="A982" s="2" t="s">
        <v>1017</v>
      </c>
      <c r="B982" s="2" t="s">
        <v>30</v>
      </c>
      <c r="C982" s="2" t="s">
        <v>31</v>
      </c>
      <c r="D982" s="2" t="s">
        <v>840</v>
      </c>
      <c r="E982" s="6">
        <v>1</v>
      </c>
      <c r="F982" s="6">
        <v>0</v>
      </c>
      <c r="G982" s="7">
        <v>0.6632822751998901</v>
      </c>
      <c r="H982" s="7">
        <v>44.67286484375001</v>
      </c>
      <c r="I982" s="7">
        <v>26.92219246076059</v>
      </c>
      <c r="J982" s="7">
        <v>8.517835438416444</v>
      </c>
      <c r="K982" s="7">
        <v>6.598494368386343</v>
      </c>
      <c r="L982" s="7">
        <v>0.6532002632247699</v>
      </c>
      <c r="M982" s="7">
        <v>0.7745203253611616</v>
      </c>
      <c r="N982" s="7">
        <v>0.4120226288935119</v>
      </c>
      <c r="O982" s="7">
        <v>0.0895324639933269</v>
      </c>
      <c r="P982" s="7">
        <v>8.291532746985334</v>
      </c>
      <c r="Q982" s="7">
        <v>0.0087214834774804</v>
      </c>
      <c r="R982" s="7">
        <v>0.0300144925412887</v>
      </c>
      <c r="S982" s="7">
        <v>0.055430980904545</v>
      </c>
      <c r="T982" s="7">
        <v>0.4521941575320029</v>
      </c>
    </row>
    <row x14ac:dyDescent="0.25" r="983" customHeight="1" ht="19.5">
      <c r="A983" s="2" t="s">
        <v>1018</v>
      </c>
      <c r="B983" s="2" t="s">
        <v>30</v>
      </c>
      <c r="C983" s="2" t="s">
        <v>31</v>
      </c>
      <c r="D983" s="2" t="s">
        <v>840</v>
      </c>
      <c r="E983" s="6">
        <v>1</v>
      </c>
      <c r="F983" s="6">
        <v>0</v>
      </c>
      <c r="G983" s="7">
        <v>0.6203696727752686</v>
      </c>
      <c r="H983" s="7">
        <v>46.25904765625</v>
      </c>
      <c r="I983" s="7">
        <v>27.16768806246508</v>
      </c>
      <c r="J983" s="7">
        <v>8.806541834631854</v>
      </c>
      <c r="K983" s="7">
        <v>6.572507060346231</v>
      </c>
      <c r="L983" s="7">
        <v>0.6797234844503944</v>
      </c>
      <c r="M983" s="7">
        <v>0.7875918030848054</v>
      </c>
      <c r="N983" s="7">
        <v>0.4201852501043823</v>
      </c>
      <c r="O983" s="7">
        <v>0.0905833166095861</v>
      </c>
      <c r="P983" s="7">
        <v>8.326613689038988</v>
      </c>
      <c r="Q983" s="7">
        <v>0.0083261403965832</v>
      </c>
      <c r="R983" s="7">
        <v>0.0279888377726117</v>
      </c>
      <c r="S983" s="7">
        <v>0.0539298973048385</v>
      </c>
      <c r="T983" s="7">
        <v>0.4470243675752142</v>
      </c>
    </row>
    <row x14ac:dyDescent="0.25" r="984" customHeight="1" ht="19.5">
      <c r="A984" s="2" t="s">
        <v>1019</v>
      </c>
      <c r="B984" s="2" t="s">
        <v>30</v>
      </c>
      <c r="C984" s="2" t="s">
        <v>31</v>
      </c>
      <c r="D984" s="2" t="s">
        <v>840</v>
      </c>
      <c r="E984" s="6">
        <v>1</v>
      </c>
      <c r="F984" s="6">
        <v>0</v>
      </c>
      <c r="G984" s="7">
        <v>0.5772371888160706</v>
      </c>
      <c r="H984" s="7">
        <v>46.05817734375</v>
      </c>
      <c r="I984" s="7">
        <v>26.73937003843369</v>
      </c>
      <c r="J984" s="7">
        <v>8.726190888301101</v>
      </c>
      <c r="K984" s="7">
        <v>6.599056432021583</v>
      </c>
      <c r="L984" s="7">
        <v>0.6799123610178183</v>
      </c>
      <c r="M984" s="7">
        <v>0.8094951833661332</v>
      </c>
      <c r="N984" s="7">
        <v>0.4141153077804774</v>
      </c>
      <c r="O984" s="7">
        <v>0.0885288348719533</v>
      </c>
      <c r="P984" s="7">
        <v>8.319715579391266</v>
      </c>
      <c r="Q984" s="7">
        <v>0.008618475657183</v>
      </c>
      <c r="R984" s="7">
        <v>0.0290855476797264</v>
      </c>
      <c r="S984" s="7">
        <v>0.0537537617434267</v>
      </c>
      <c r="T984" s="7">
        <v>0.4607103692194915</v>
      </c>
    </row>
    <row x14ac:dyDescent="0.25" r="985" customHeight="1" ht="19.5">
      <c r="A985" s="2" t="s">
        <v>1020</v>
      </c>
      <c r="B985" s="2" t="s">
        <v>30</v>
      </c>
      <c r="C985" s="2" t="s">
        <v>31</v>
      </c>
      <c r="D985" s="2" t="s">
        <v>840</v>
      </c>
      <c r="E985" s="6">
        <v>1</v>
      </c>
      <c r="F985" s="6">
        <v>0</v>
      </c>
      <c r="G985" s="7">
        <v>0.6165847182273865</v>
      </c>
      <c r="H985" s="7">
        <v>47.85215703125</v>
      </c>
      <c r="I985" s="7">
        <v>27.56917981963358</v>
      </c>
      <c r="J985" s="7">
        <v>9.142529951150747</v>
      </c>
      <c r="K985" s="7">
        <v>6.495286738885101</v>
      </c>
      <c r="L985" s="7">
        <v>0.713909578775406</v>
      </c>
      <c r="M985" s="7">
        <v>0.7911588510699052</v>
      </c>
      <c r="N985" s="7">
        <v>0.4143996367354401</v>
      </c>
      <c r="O985" s="7">
        <v>0.0925387373048217</v>
      </c>
      <c r="P985" s="7">
        <v>8.319286272707437</v>
      </c>
      <c r="Q985" s="7">
        <v>0.007895529659984</v>
      </c>
      <c r="R985" s="7">
        <v>0.0277079317338373</v>
      </c>
      <c r="S985" s="7">
        <v>0.0522791906655679</v>
      </c>
      <c r="T985" s="7">
        <v>0.4385040094046253</v>
      </c>
    </row>
    <row x14ac:dyDescent="0.25" r="986" customHeight="1" ht="19.5">
      <c r="A986" s="2" t="s">
        <v>1021</v>
      </c>
      <c r="B986" s="2" t="s">
        <v>30</v>
      </c>
      <c r="C986" s="2" t="s">
        <v>31</v>
      </c>
      <c r="D986" s="2" t="s">
        <v>840</v>
      </c>
      <c r="E986" s="6">
        <v>1</v>
      </c>
      <c r="F986" s="6">
        <v>0</v>
      </c>
      <c r="G986" s="7">
        <v>0.6741671562194824</v>
      </c>
      <c r="H986" s="7">
        <v>45.4036171875</v>
      </c>
      <c r="I986" s="7">
        <v>26.50223906837173</v>
      </c>
      <c r="J986" s="7">
        <v>8.57738669453242</v>
      </c>
      <c r="K986" s="7">
        <v>6.453400572458204</v>
      </c>
      <c r="L986" s="7">
        <v>0.6769995410589933</v>
      </c>
      <c r="M986" s="7">
        <v>0.8123350323005951</v>
      </c>
      <c r="N986" s="7">
        <v>0.4147704206144171</v>
      </c>
      <c r="O986" s="7">
        <v>0.0906872814534181</v>
      </c>
      <c r="P986" s="7">
        <v>8.321759298288532</v>
      </c>
      <c r="Q986" s="7">
        <v>0.0089761229986196</v>
      </c>
      <c r="R986" s="7">
        <v>0.0294387553739705</v>
      </c>
      <c r="S986" s="7">
        <v>0.0574474862717577</v>
      </c>
      <c r="T986" s="7">
        <v>0.4730096798970535</v>
      </c>
    </row>
    <row x14ac:dyDescent="0.25" r="987" customHeight="1" ht="19.5">
      <c r="A987" s="2" t="s">
        <v>1022</v>
      </c>
      <c r="B987" s="2" t="s">
        <v>30</v>
      </c>
      <c r="C987" s="2" t="s">
        <v>31</v>
      </c>
      <c r="D987" s="2" t="s">
        <v>840</v>
      </c>
      <c r="E987" s="6">
        <v>1</v>
      </c>
      <c r="F987" s="6">
        <v>0</v>
      </c>
      <c r="G987" s="7">
        <v>0.6128138303756714</v>
      </c>
      <c r="H987" s="7">
        <v>46.48069765625</v>
      </c>
      <c r="I987" s="7">
        <v>27.03744181593796</v>
      </c>
      <c r="J987" s="7">
        <v>8.852480372659134</v>
      </c>
      <c r="K987" s="7">
        <v>6.625724721834319</v>
      </c>
      <c r="L987" s="7">
        <v>0.6717541891203724</v>
      </c>
      <c r="M987" s="7">
        <v>0.7990083286846165</v>
      </c>
      <c r="N987" s="7">
        <v>0.4108696734573268</v>
      </c>
      <c r="O987" s="7">
        <v>0.0852131083982201</v>
      </c>
      <c r="P987" s="7">
        <v>8.315393799893503</v>
      </c>
      <c r="Q987" s="7">
        <v>0.0089235336151053</v>
      </c>
      <c r="R987" s="7">
        <v>0.0294618369722184</v>
      </c>
      <c r="S987" s="7">
        <v>0.0562117914612026</v>
      </c>
      <c r="T987" s="7">
        <v>0.4813935666467633</v>
      </c>
    </row>
    <row x14ac:dyDescent="0.25" r="988" customHeight="1" ht="19.5">
      <c r="A988" s="2" t="s">
        <v>1023</v>
      </c>
      <c r="B988" s="2" t="s">
        <v>30</v>
      </c>
      <c r="C988" s="2" t="s">
        <v>31</v>
      </c>
      <c r="D988" s="2" t="s">
        <v>840</v>
      </c>
      <c r="E988" s="6">
        <v>1</v>
      </c>
      <c r="F988" s="6">
        <v>0</v>
      </c>
      <c r="G988" s="7">
        <v>0.658851683139801</v>
      </c>
      <c r="H988" s="7">
        <v>45.9369625</v>
      </c>
      <c r="I988" s="7">
        <v>26.8936338219624</v>
      </c>
      <c r="J988" s="7">
        <v>8.809726344888581</v>
      </c>
      <c r="K988" s="7">
        <v>6.53508342877925</v>
      </c>
      <c r="L988" s="7">
        <v>0.6744936174528132</v>
      </c>
      <c r="M988" s="7">
        <v>0.7981291342804622</v>
      </c>
      <c r="N988" s="7">
        <v>0.4170088009363962</v>
      </c>
      <c r="O988" s="7">
        <v>0.0920954625960548</v>
      </c>
      <c r="P988" s="7">
        <v>8.281194484695595</v>
      </c>
      <c r="Q988" s="7">
        <v>0.0090255122477016</v>
      </c>
      <c r="R988" s="7">
        <v>0.0296805937068907</v>
      </c>
      <c r="S988" s="7">
        <v>0.0554895247821546</v>
      </c>
      <c r="T988" s="7">
        <v>0.4811992201260863</v>
      </c>
    </row>
    <row x14ac:dyDescent="0.25" r="989" customHeight="1" ht="19.5">
      <c r="A989" s="2" t="s">
        <v>1024</v>
      </c>
      <c r="B989" s="2" t="s">
        <v>30</v>
      </c>
      <c r="C989" s="2" t="s">
        <v>31</v>
      </c>
      <c r="D989" s="2" t="s">
        <v>840</v>
      </c>
      <c r="E989" s="6">
        <v>1</v>
      </c>
      <c r="F989" s="6">
        <v>0</v>
      </c>
      <c r="G989" s="7">
        <v>0.4742513000965118</v>
      </c>
      <c r="H989" s="7">
        <v>47.32573828125</v>
      </c>
      <c r="I989" s="7">
        <v>27.17569390813228</v>
      </c>
      <c r="J989" s="7">
        <v>8.920025109616741</v>
      </c>
      <c r="K989" s="7">
        <v>6.585461765460879</v>
      </c>
      <c r="L989" s="7">
        <v>0.6995764225220711</v>
      </c>
      <c r="M989" s="7">
        <v>0.8052782647656149</v>
      </c>
      <c r="N989" s="7">
        <v>0.415750910794933</v>
      </c>
      <c r="O989" s="7">
        <v>0.0788246397834356</v>
      </c>
      <c r="P989" s="7">
        <v>8.428501690900973</v>
      </c>
      <c r="Q989" s="7">
        <v>0.0085984664570147</v>
      </c>
      <c r="R989" s="7">
        <v>0.0286461832612709</v>
      </c>
      <c r="S989" s="7">
        <v>0.0517861481143866</v>
      </c>
      <c r="T989" s="7">
        <v>0.4722904665078347</v>
      </c>
    </row>
    <row x14ac:dyDescent="0.25" r="990" customHeight="1" ht="19.5">
      <c r="A990" s="2" t="s">
        <v>1025</v>
      </c>
      <c r="B990" s="2" t="s">
        <v>30</v>
      </c>
      <c r="C990" s="2" t="s">
        <v>31</v>
      </c>
      <c r="D990" s="2" t="s">
        <v>840</v>
      </c>
      <c r="E990" s="6">
        <v>1</v>
      </c>
      <c r="F990" s="6">
        <v>0</v>
      </c>
      <c r="G990" s="7">
        <v>0.6337639689445496</v>
      </c>
      <c r="H990" s="7">
        <v>43.87631015625</v>
      </c>
      <c r="I990" s="7">
        <v>26.22227014011249</v>
      </c>
      <c r="J990" s="7">
        <v>8.6367046361698</v>
      </c>
      <c r="K990" s="7">
        <v>6.507113454476624</v>
      </c>
      <c r="L990" s="7">
        <v>0.6650225394874912</v>
      </c>
      <c r="M990" s="7">
        <v>0.8018615469782345</v>
      </c>
      <c r="N990" s="7">
        <v>0.4281844833409424</v>
      </c>
      <c r="O990" s="7">
        <v>0.0999972056812699</v>
      </c>
      <c r="P990" s="7">
        <v>8.298660769899374</v>
      </c>
      <c r="Q990" s="7">
        <v>0.0088908116633249</v>
      </c>
      <c r="R990" s="7">
        <v>0.0282679673047699</v>
      </c>
      <c r="S990" s="7">
        <v>0.056823557970013</v>
      </c>
      <c r="T990" s="7">
        <v>0.4527539921816281</v>
      </c>
    </row>
    <row x14ac:dyDescent="0.25" r="991" customHeight="1" ht="19.5">
      <c r="A991" s="2" t="s">
        <v>1026</v>
      </c>
      <c r="B991" s="2" t="s">
        <v>30</v>
      </c>
      <c r="C991" s="2" t="s">
        <v>31</v>
      </c>
      <c r="D991" s="2" t="s">
        <v>840</v>
      </c>
      <c r="E991" s="6">
        <v>1</v>
      </c>
      <c r="F991" s="6">
        <v>0</v>
      </c>
      <c r="G991" s="7">
        <v>0.6456462740898132</v>
      </c>
      <c r="H991" s="7">
        <v>48.46169453125</v>
      </c>
      <c r="I991" s="7">
        <v>27.39334844298926</v>
      </c>
      <c r="J991" s="7">
        <v>8.954910901877234</v>
      </c>
      <c r="K991" s="7">
        <v>6.567101116749368</v>
      </c>
      <c r="L991" s="7">
        <v>0.7048562847881482</v>
      </c>
      <c r="M991" s="7">
        <v>0.8115554830680685</v>
      </c>
      <c r="N991" s="7">
        <v>0.4246504439803354</v>
      </c>
      <c r="O991" s="7">
        <v>0.0969668655964902</v>
      </c>
      <c r="P991" s="7">
        <v>8.333164130045333</v>
      </c>
      <c r="Q991" s="7">
        <v>0.0091896413190573</v>
      </c>
      <c r="R991" s="7">
        <v>0.0302362135184728</v>
      </c>
      <c r="S991" s="7">
        <v>0.0541694557267129</v>
      </c>
      <c r="T991" s="7">
        <v>0.516877867932071</v>
      </c>
    </row>
    <row x14ac:dyDescent="0.25" r="992" customHeight="1" ht="19.5">
      <c r="A992" s="2" t="s">
        <v>1027</v>
      </c>
      <c r="B992" s="2" t="s">
        <v>30</v>
      </c>
      <c r="C992" s="2" t="s">
        <v>31</v>
      </c>
      <c r="D992" s="2" t="s">
        <v>840</v>
      </c>
      <c r="E992" s="6">
        <v>1</v>
      </c>
      <c r="F992" s="6">
        <v>0</v>
      </c>
      <c r="G992" s="7">
        <v>0.6082162857055664</v>
      </c>
      <c r="H992" s="7">
        <v>48.195021875</v>
      </c>
      <c r="I992" s="7">
        <v>27.66668511154126</v>
      </c>
      <c r="J992" s="7">
        <v>9.139900654768184</v>
      </c>
      <c r="K992" s="7">
        <v>6.476614322282288</v>
      </c>
      <c r="L992" s="7">
        <v>0.7148733717016499</v>
      </c>
      <c r="M992" s="7">
        <v>0.7912209743119861</v>
      </c>
      <c r="N992" s="7">
        <v>0.4119342074898202</v>
      </c>
      <c r="O992" s="7">
        <v>0.0856549004267315</v>
      </c>
      <c r="P992" s="7">
        <v>8.383964206578506</v>
      </c>
      <c r="Q992" s="7">
        <v>0.0087572394293375</v>
      </c>
      <c r="R992" s="7">
        <v>0.0301110858163193</v>
      </c>
      <c r="S992" s="7">
        <v>0.05785890902301</v>
      </c>
      <c r="T992" s="7">
        <v>0.4898466988185903</v>
      </c>
    </row>
    <row x14ac:dyDescent="0.25" r="993" customHeight="1" ht="19.5">
      <c r="A993" s="2" t="s">
        <v>1028</v>
      </c>
      <c r="B993" s="2" t="s">
        <v>30</v>
      </c>
      <c r="C993" s="2" t="s">
        <v>31</v>
      </c>
      <c r="D993" s="2" t="s">
        <v>840</v>
      </c>
      <c r="E993" s="6">
        <v>1</v>
      </c>
      <c r="F993" s="6">
        <v>0</v>
      </c>
      <c r="G993" s="7">
        <v>0.5361056327819824</v>
      </c>
      <c r="H993" s="7">
        <v>46.3317765625</v>
      </c>
      <c r="I993" s="7">
        <v>26.91173667120743</v>
      </c>
      <c r="J993" s="7">
        <v>8.818803419814568</v>
      </c>
      <c r="K993" s="7">
        <v>6.389379908578233</v>
      </c>
      <c r="L993" s="7">
        <v>0.7086944067583989</v>
      </c>
      <c r="M993" s="7">
        <v>0.8039061814349416</v>
      </c>
      <c r="N993" s="7">
        <v>0.4092689356875918</v>
      </c>
      <c r="O993" s="7">
        <v>0.0753359017675773</v>
      </c>
      <c r="P993" s="7">
        <v>8.441846444644256</v>
      </c>
      <c r="Q993" s="7">
        <v>0.0091281696268573</v>
      </c>
      <c r="R993" s="7">
        <v>0.0295445482662009</v>
      </c>
      <c r="S993" s="7">
        <v>0.0537636843419127</v>
      </c>
      <c r="T993" s="7">
        <v>0.4908552441438725</v>
      </c>
    </row>
    <row x14ac:dyDescent="0.25" r="994" customHeight="1" ht="19.5">
      <c r="A994" s="2" t="s">
        <v>1029</v>
      </c>
      <c r="B994" s="2" t="s">
        <v>30</v>
      </c>
      <c r="C994" s="2" t="s">
        <v>31</v>
      </c>
      <c r="D994" s="2" t="s">
        <v>840</v>
      </c>
      <c r="E994" s="6">
        <v>1</v>
      </c>
      <c r="F994" s="6">
        <v>0</v>
      </c>
      <c r="G994" s="7">
        <v>0.6013016104698181</v>
      </c>
      <c r="H994" s="7">
        <v>46.00969140625001</v>
      </c>
      <c r="I994" s="7">
        <v>26.71917603127804</v>
      </c>
      <c r="J994" s="7">
        <v>8.682796205163289</v>
      </c>
      <c r="K994" s="7">
        <v>6.790117925173462</v>
      </c>
      <c r="L994" s="7">
        <v>0.6182778902413825</v>
      </c>
      <c r="M994" s="7">
        <v>0.8097438830107413</v>
      </c>
      <c r="N994" s="7">
        <v>0.4185302443536691</v>
      </c>
      <c r="O994" s="7">
        <v>0.0890232349288205</v>
      </c>
      <c r="P994" s="7">
        <v>8.326495498994475</v>
      </c>
      <c r="Q994" s="7">
        <v>0.0098669234885129</v>
      </c>
      <c r="R994" s="7">
        <v>0.0315372028719068</v>
      </c>
      <c r="S994" s="7">
        <v>0.0568594383715623</v>
      </c>
      <c r="T994" s="7">
        <v>0.5268923111230547</v>
      </c>
    </row>
    <row x14ac:dyDescent="0.25" r="995" customHeight="1" ht="19.5">
      <c r="A995" s="2" t="s">
        <v>1030</v>
      </c>
      <c r="B995" s="2" t="s">
        <v>30</v>
      </c>
      <c r="C995" s="2" t="s">
        <v>31</v>
      </c>
      <c r="D995" s="2" t="s">
        <v>840</v>
      </c>
      <c r="E995" s="6">
        <v>1</v>
      </c>
      <c r="F995" s="6">
        <v>0</v>
      </c>
      <c r="G995" s="7">
        <v>0.5752902626991272</v>
      </c>
      <c r="H995" s="7">
        <v>48.0495640625</v>
      </c>
      <c r="I995" s="7">
        <v>27.18997322753137</v>
      </c>
      <c r="J995" s="7">
        <v>8.879166707973837</v>
      </c>
      <c r="K995" s="7">
        <v>6.566926493588019</v>
      </c>
      <c r="L995" s="7">
        <v>0.6988184454255699</v>
      </c>
      <c r="M995" s="7">
        <v>0.8167361074169566</v>
      </c>
      <c r="N995" s="7">
        <v>0.4166660909135712</v>
      </c>
      <c r="O995" s="7">
        <v>0.0835854870740538</v>
      </c>
      <c r="P995" s="7">
        <v>8.38460142529736</v>
      </c>
      <c r="Q995" s="7">
        <v>0.0087046975088849</v>
      </c>
      <c r="R995" s="7">
        <v>0.028656222806744</v>
      </c>
      <c r="S995" s="7">
        <v>0.0529124974586817</v>
      </c>
      <c r="T995" s="7">
        <v>0.4854381630794518</v>
      </c>
    </row>
    <row x14ac:dyDescent="0.25" r="996" customHeight="1" ht="19.5">
      <c r="A996" s="2" t="s">
        <v>1031</v>
      </c>
      <c r="B996" s="2" t="s">
        <v>30</v>
      </c>
      <c r="C996" s="2" t="s">
        <v>31</v>
      </c>
      <c r="D996" s="2" t="s">
        <v>840</v>
      </c>
      <c r="E996" s="6">
        <v>1</v>
      </c>
      <c r="F996" s="6">
        <v>0</v>
      </c>
      <c r="G996" s="7">
        <v>0.578244686126709</v>
      </c>
      <c r="H996" s="7">
        <v>48.15692578125</v>
      </c>
      <c r="I996" s="7">
        <v>27.39681318685985</v>
      </c>
      <c r="J996" s="7">
        <v>8.953945389337937</v>
      </c>
      <c r="K996" s="7">
        <v>6.647981853396136</v>
      </c>
      <c r="L996" s="7">
        <v>0.6915470482771049</v>
      </c>
      <c r="M996" s="7">
        <v>0.8062477620118688</v>
      </c>
      <c r="N996" s="7">
        <v>0.417591463126058</v>
      </c>
      <c r="O996" s="7">
        <v>0.0844048261257285</v>
      </c>
      <c r="P996" s="7">
        <v>8.375017331589527</v>
      </c>
      <c r="Q996" s="7">
        <v>0.0090133030815288</v>
      </c>
      <c r="R996" s="7">
        <v>0.029596731425324</v>
      </c>
      <c r="S996" s="7">
        <v>0.0558339513535251</v>
      </c>
      <c r="T996" s="7">
        <v>0.5037714018961227</v>
      </c>
    </row>
    <row x14ac:dyDescent="0.25" r="997" customHeight="1" ht="19.5">
      <c r="A997" s="2" t="s">
        <v>1032</v>
      </c>
      <c r="B997" s="2" t="s">
        <v>30</v>
      </c>
      <c r="C997" s="2" t="s">
        <v>31</v>
      </c>
      <c r="D997" s="2" t="s">
        <v>840</v>
      </c>
      <c r="E997" s="6">
        <v>1</v>
      </c>
      <c r="F997" s="6">
        <v>0</v>
      </c>
      <c r="G997" s="7">
        <v>0.6103286147117615</v>
      </c>
      <c r="H997" s="7">
        <v>48.31623671875001</v>
      </c>
      <c r="I997" s="7">
        <v>27.64266757453968</v>
      </c>
      <c r="J997" s="7">
        <v>9.205285336287645</v>
      </c>
      <c r="K997" s="7">
        <v>6.591640076255864</v>
      </c>
      <c r="L997" s="7">
        <v>0.7063556024315268</v>
      </c>
      <c r="M997" s="7">
        <v>0.7945899399854518</v>
      </c>
      <c r="N997" s="7">
        <v>0.4224115138836952</v>
      </c>
      <c r="O997" s="7">
        <v>0.0965371764539795</v>
      </c>
      <c r="P997" s="7">
        <v>8.329153343110685</v>
      </c>
      <c r="Q997" s="7">
        <v>0.0086300335711278</v>
      </c>
      <c r="R997" s="7">
        <v>0.029389458704102</v>
      </c>
      <c r="S997" s="7">
        <v>0.0574644845226668</v>
      </c>
      <c r="T997" s="7">
        <v>0.4839453993475841</v>
      </c>
    </row>
    <row x14ac:dyDescent="0.25" r="998" customHeight="1" ht="19.5">
      <c r="A998" s="2" t="s">
        <v>1033</v>
      </c>
      <c r="B998" s="2" t="s">
        <v>30</v>
      </c>
      <c r="C998" s="2" t="s">
        <v>31</v>
      </c>
      <c r="D998" s="2" t="s">
        <v>840</v>
      </c>
      <c r="E998" s="6">
        <v>1</v>
      </c>
      <c r="F998" s="6">
        <v>0</v>
      </c>
      <c r="G998" s="7">
        <v>0.5947586297988892</v>
      </c>
      <c r="H998" s="7">
        <v>47.45387968750001</v>
      </c>
      <c r="I998" s="7">
        <v>27.16141458873318</v>
      </c>
      <c r="J998" s="7">
        <v>8.982343319785628</v>
      </c>
      <c r="K998" s="7">
        <v>6.680845270826657</v>
      </c>
      <c r="L998" s="7">
        <v>0.6764451000376395</v>
      </c>
      <c r="M998" s="7">
        <v>0.8083078929999625</v>
      </c>
      <c r="N998" s="7">
        <v>0.4178684976453699</v>
      </c>
      <c r="O998" s="7">
        <v>0.0861200848196671</v>
      </c>
      <c r="P998" s="7">
        <v>8.327445153839435</v>
      </c>
      <c r="Q998" s="7">
        <v>0.0091059518202218</v>
      </c>
      <c r="R998" s="7">
        <v>0.030099672979758</v>
      </c>
      <c r="S998" s="7">
        <v>0.0560198023684388</v>
      </c>
      <c r="T998" s="7">
        <v>0.5015195336795791</v>
      </c>
    </row>
    <row x14ac:dyDescent="0.25" r="999" customHeight="1" ht="19.5">
      <c r="A999" s="2" t="s">
        <v>1034</v>
      </c>
      <c r="B999" s="2" t="s">
        <v>30</v>
      </c>
      <c r="C999" s="2" t="s">
        <v>31</v>
      </c>
      <c r="D999" s="2" t="s">
        <v>840</v>
      </c>
      <c r="E999" s="6">
        <v>1</v>
      </c>
      <c r="F999" s="6">
        <v>0</v>
      </c>
      <c r="G999" s="7">
        <v>0.6174505352973938</v>
      </c>
      <c r="H999" s="7">
        <v>45.0295828125</v>
      </c>
      <c r="I999" s="7">
        <v>26.50887132807896</v>
      </c>
      <c r="J999" s="7">
        <v>8.447689934695992</v>
      </c>
      <c r="K999" s="7">
        <v>6.660810531575921</v>
      </c>
      <c r="L999" s="7">
        <v>0.6548580095463405</v>
      </c>
      <c r="M999" s="7">
        <v>0.8052399499136551</v>
      </c>
      <c r="N999" s="7">
        <v>0.4914353088519274</v>
      </c>
      <c r="O999" s="7">
        <v>0.1238869964838408</v>
      </c>
      <c r="P999" s="7">
        <v>7.889831320885312</v>
      </c>
      <c r="Q999" s="7">
        <v>0.0148524275231857</v>
      </c>
      <c r="R999" s="7">
        <v>0.0356560227232736</v>
      </c>
      <c r="S999" s="7">
        <v>0.053836403004878</v>
      </c>
      <c r="T999" s="7">
        <v>0.7762223533105314</v>
      </c>
    </row>
    <row x14ac:dyDescent="0.25" r="1000" customHeight="1" ht="19.5">
      <c r="A1000" s="2" t="s">
        <v>1035</v>
      </c>
      <c r="B1000" s="2" t="s">
        <v>30</v>
      </c>
      <c r="C1000" s="2" t="s">
        <v>31</v>
      </c>
      <c r="D1000" s="2" t="s">
        <v>840</v>
      </c>
      <c r="E1000" s="6">
        <v>1</v>
      </c>
      <c r="F1000" s="6">
        <v>0</v>
      </c>
      <c r="G1000" s="7">
        <v>0.5284062623977661</v>
      </c>
      <c r="H1000" s="7">
        <v>66.6612375</v>
      </c>
      <c r="I1000" s="7">
        <v>36.20161666556823</v>
      </c>
      <c r="J1000" s="7">
        <v>10.41094349552567</v>
      </c>
      <c r="K1000" s="7">
        <v>7.305822600229456</v>
      </c>
      <c r="L1000" s="7">
        <v>0.7467441661340402</v>
      </c>
      <c r="M1000" s="7">
        <v>0.6391860747669769</v>
      </c>
      <c r="N1000" s="7">
        <v>0.4868808838395922</v>
      </c>
      <c r="O1000" s="7">
        <v>0.063033710297349</v>
      </c>
      <c r="P1000" s="7">
        <v>8.509439247930903</v>
      </c>
      <c r="Q1000" s="7">
        <v>0.01954672428514</v>
      </c>
      <c r="R1000" s="7">
        <v>0.0539769072306495</v>
      </c>
      <c r="S1000" s="7">
        <v>0.0823330696096875</v>
      </c>
      <c r="T1000" s="7">
        <v>1.512300649963974</v>
      </c>
    </row>
    <row x14ac:dyDescent="0.25" r="1001" customHeight="1" ht="19.5">
      <c r="A1001" s="2" t="s">
        <v>1036</v>
      </c>
      <c r="B1001" s="2" t="s">
        <v>30</v>
      </c>
      <c r="C1001" s="2" t="s">
        <v>31</v>
      </c>
      <c r="D1001" s="2" t="s">
        <v>840</v>
      </c>
      <c r="E1001" s="6">
        <v>1</v>
      </c>
      <c r="F1001" s="6">
        <v>0</v>
      </c>
      <c r="G1001" s="7">
        <v>0.5859946012496948</v>
      </c>
      <c r="H1001" s="7">
        <v>63.92178203125</v>
      </c>
      <c r="I1001" s="7">
        <v>35.57344972789093</v>
      </c>
      <c r="J1001" s="7">
        <v>10.12968054067331</v>
      </c>
      <c r="K1001" s="7">
        <v>7.325555933099601</v>
      </c>
      <c r="L1001" s="7">
        <v>0.7172492079291569</v>
      </c>
      <c r="M1001" s="7">
        <v>0.6345839825298821</v>
      </c>
      <c r="N1001" s="7">
        <v>0.4612406612038541</v>
      </c>
      <c r="O1001" s="7">
        <v>0.0662124229083305</v>
      </c>
      <c r="P1001" s="7">
        <v>8.728307734563495</v>
      </c>
      <c r="Q1001" s="7">
        <v>0.0133736159028648</v>
      </c>
      <c r="R1001" s="7">
        <v>0.0409253452484151</v>
      </c>
      <c r="S1001" s="7">
        <v>0.0694541548032757</v>
      </c>
      <c r="T1001" s="7">
        <v>0.9921755025389596</v>
      </c>
    </row>
    <row x14ac:dyDescent="0.25" r="1002" customHeight="1" ht="19.5">
      <c r="A1002" s="2" t="s">
        <v>1037</v>
      </c>
      <c r="B1002" s="2" t="s">
        <v>30</v>
      </c>
      <c r="C1002" s="2" t="s">
        <v>31</v>
      </c>
      <c r="D1002" s="2" t="s">
        <v>840</v>
      </c>
      <c r="E1002" s="6">
        <v>1</v>
      </c>
      <c r="F1002" s="6">
        <v>0</v>
      </c>
      <c r="G1002" s="7">
        <v>0.5784562826156616</v>
      </c>
      <c r="H1002" s="7">
        <v>55.59259062500001</v>
      </c>
      <c r="I1002" s="7">
        <v>35.33213644200771</v>
      </c>
      <c r="J1002" s="7">
        <v>10.35651652783432</v>
      </c>
      <c r="K1002" s="7">
        <v>7.130191440582733</v>
      </c>
      <c r="L1002" s="7">
        <v>0.7553425379017962</v>
      </c>
      <c r="M1002" s="7">
        <v>0.5596119488306298</v>
      </c>
      <c r="N1002" s="7">
        <v>0.4482377510704262</v>
      </c>
      <c r="O1002" s="7">
        <v>0.0921655402728563</v>
      </c>
      <c r="P1002" s="7">
        <v>8.712250338959793</v>
      </c>
      <c r="Q1002" s="7">
        <v>0.0118337147063751</v>
      </c>
      <c r="R1002" s="7">
        <v>0.0347467717648142</v>
      </c>
      <c r="S1002" s="7">
        <v>0.0623496439036421</v>
      </c>
      <c r="T1002" s="7">
        <v>0.7635347151582595</v>
      </c>
    </row>
    <row x14ac:dyDescent="0.25" r="1003" customHeight="1" ht="19.5">
      <c r="A1003" s="2" t="s">
        <v>1038</v>
      </c>
      <c r="B1003" s="2" t="s">
        <v>30</v>
      </c>
      <c r="C1003" s="2" t="s">
        <v>31</v>
      </c>
      <c r="D1003" s="2" t="s">
        <v>840</v>
      </c>
      <c r="E1003" s="6">
        <v>1</v>
      </c>
      <c r="F1003" s="6">
        <v>0</v>
      </c>
      <c r="G1003" s="7">
        <v>0.6049909591674805</v>
      </c>
      <c r="H1003" s="7">
        <v>52.960496875</v>
      </c>
      <c r="I1003" s="7">
        <v>35.31021006291675</v>
      </c>
      <c r="J1003" s="7">
        <v>9.681715995497123</v>
      </c>
      <c r="K1003" s="7">
        <v>6.782262849792813</v>
      </c>
      <c r="L1003" s="7">
        <v>0.7562832047946026</v>
      </c>
      <c r="M1003" s="7">
        <v>0.5296948164455815</v>
      </c>
      <c r="N1003" s="7">
        <v>0.4452198425778881</v>
      </c>
      <c r="O1003" s="7">
        <v>0.1189539778104018</v>
      </c>
      <c r="P1003" s="7">
        <v>8.67171926057038</v>
      </c>
      <c r="Q1003" s="7">
        <v>0.0088440369382805</v>
      </c>
      <c r="R1003" s="7">
        <v>0.0302883115899651</v>
      </c>
      <c r="S1003" s="7">
        <v>0.0589638229419683</v>
      </c>
      <c r="T1003" s="7">
        <v>0.5436174372589251</v>
      </c>
    </row>
    <row x14ac:dyDescent="0.25" r="1004" customHeight="1" ht="19.5">
      <c r="A1004" s="2" t="s">
        <v>1039</v>
      </c>
      <c r="B1004" s="2" t="s">
        <v>30</v>
      </c>
      <c r="C1004" s="2" t="s">
        <v>31</v>
      </c>
      <c r="D1004" s="2" t="s">
        <v>840</v>
      </c>
      <c r="E1004" s="6">
        <v>1</v>
      </c>
      <c r="F1004" s="6">
        <v>0</v>
      </c>
      <c r="G1004" s="7">
        <v>0.6079331636428833</v>
      </c>
      <c r="H1004" s="7">
        <v>57.0194625</v>
      </c>
      <c r="I1004" s="7">
        <v>38.90212984225906</v>
      </c>
      <c r="J1004" s="7">
        <v>10.15264277902173</v>
      </c>
      <c r="K1004" s="7">
        <v>6.459317321975852</v>
      </c>
      <c r="L1004" s="7">
        <v>0.7915945082980251</v>
      </c>
      <c r="M1004" s="7">
        <v>0.4733769231355718</v>
      </c>
      <c r="N1004" s="7">
        <v>0.4513066082783502</v>
      </c>
      <c r="O1004" s="7">
        <v>0.116365175460052</v>
      </c>
      <c r="P1004" s="7">
        <v>8.661101477780797</v>
      </c>
      <c r="Q1004" s="7">
        <v>0.0110923512779776</v>
      </c>
      <c r="R1004" s="7">
        <v>0.0324149323894753</v>
      </c>
      <c r="S1004" s="7">
        <v>0.0660180181663904</v>
      </c>
      <c r="T1004" s="7">
        <v>0.7340700642919761</v>
      </c>
    </row>
    <row x14ac:dyDescent="0.25" r="1005" customHeight="1" ht="19.5">
      <c r="A1005" s="2" t="s">
        <v>1040</v>
      </c>
      <c r="B1005" s="2" t="s">
        <v>30</v>
      </c>
      <c r="C1005" s="2" t="s">
        <v>31</v>
      </c>
      <c r="D1005" s="2" t="s">
        <v>840</v>
      </c>
      <c r="E1005" s="6">
        <v>1</v>
      </c>
      <c r="F1005" s="6">
        <v>0</v>
      </c>
      <c r="G1005" s="7">
        <v>0.5931975245475769</v>
      </c>
      <c r="H1005" s="7">
        <v>54.97266328125</v>
      </c>
      <c r="I1005" s="7">
        <v>33.5119796223473</v>
      </c>
      <c r="J1005" s="7">
        <v>9.962354120848138</v>
      </c>
      <c r="K1005" s="7">
        <v>6.404843494031184</v>
      </c>
      <c r="L1005" s="7">
        <v>0.795514466646492</v>
      </c>
      <c r="M1005" s="7">
        <v>0.6073260114426067</v>
      </c>
      <c r="N1005" s="7">
        <v>0.46622413269669</v>
      </c>
      <c r="O1005" s="7">
        <v>0.1297307177331643</v>
      </c>
      <c r="P1005" s="7">
        <v>8.544941296898148</v>
      </c>
      <c r="Q1005" s="7">
        <v>0.0129911794780348</v>
      </c>
      <c r="R1005" s="7">
        <v>0.0373348943292327</v>
      </c>
      <c r="S1005" s="7">
        <v>0.0641211205942846</v>
      </c>
      <c r="T1005" s="7">
        <v>0.8288694648333921</v>
      </c>
    </row>
    <row x14ac:dyDescent="0.25" r="1006" customHeight="1" ht="19.5">
      <c r="A1006" s="2" t="s">
        <v>1041</v>
      </c>
      <c r="B1006" s="2" t="s">
        <v>30</v>
      </c>
      <c r="C1006" s="2" t="s">
        <v>31</v>
      </c>
      <c r="D1006" s="2" t="s">
        <v>840</v>
      </c>
      <c r="E1006" s="6">
        <v>1</v>
      </c>
      <c r="F1006" s="6">
        <v>0</v>
      </c>
      <c r="G1006" s="7">
        <v>0.5786086320877075</v>
      </c>
      <c r="H1006" s="7">
        <v>59.3467875</v>
      </c>
      <c r="I1006" s="7">
        <v>31.83491322471178</v>
      </c>
      <c r="J1006" s="7">
        <v>10.39883945118902</v>
      </c>
      <c r="K1006" s="7">
        <v>6.981420147555522</v>
      </c>
      <c r="L1006" s="7">
        <v>0.7831214492755245</v>
      </c>
      <c r="M1006" s="7">
        <v>0.7356959251399054</v>
      </c>
      <c r="N1006" s="7">
        <v>0.4361779655164352</v>
      </c>
      <c r="O1006" s="7">
        <v>0.0849350791762043</v>
      </c>
      <c r="P1006" s="7">
        <v>8.788394000025047</v>
      </c>
      <c r="Q1006" s="7">
        <v>0.0128507710763851</v>
      </c>
      <c r="R1006" s="7">
        <v>0.0364414990716485</v>
      </c>
      <c r="S1006" s="7">
        <v>0.0680603733516771</v>
      </c>
      <c r="T1006" s="7">
        <v>0.8851506290619404</v>
      </c>
    </row>
    <row x14ac:dyDescent="0.25" r="1007" customHeight="1" ht="19.5">
      <c r="A1007" s="2" t="s">
        <v>1042</v>
      </c>
      <c r="B1007" s="2" t="s">
        <v>30</v>
      </c>
      <c r="C1007" s="2" t="s">
        <v>31</v>
      </c>
      <c r="D1007" s="2" t="s">
        <v>840</v>
      </c>
      <c r="E1007" s="6">
        <v>1</v>
      </c>
      <c r="F1007" s="6">
        <v>0</v>
      </c>
      <c r="G1007" s="7">
        <v>0.5849927067756653</v>
      </c>
      <c r="H1007" s="7">
        <v>57.836796875</v>
      </c>
      <c r="I1007" s="7">
        <v>32.48853284329201</v>
      </c>
      <c r="J1007" s="7">
        <v>10.077333514447</v>
      </c>
      <c r="K1007" s="7">
        <v>7.093402596733561</v>
      </c>
      <c r="L1007" s="7">
        <v>0.7447747771705572</v>
      </c>
      <c r="M1007" s="7">
        <v>0.6883318035260616</v>
      </c>
      <c r="N1007" s="7">
        <v>0.4280302004038933</v>
      </c>
      <c r="O1007" s="7">
        <v>0.078444220294342</v>
      </c>
      <c r="P1007" s="7">
        <v>8.84238236833175</v>
      </c>
      <c r="Q1007" s="7">
        <v>0.0090880248610306</v>
      </c>
      <c r="R1007" s="7">
        <v>0.0309495839582215</v>
      </c>
      <c r="S1007" s="7">
        <v>0.0643373302496723</v>
      </c>
      <c r="T1007" s="7">
        <v>0.6100487186703256</v>
      </c>
    </row>
    <row x14ac:dyDescent="0.25" r="1008" customHeight="1" ht="19.5">
      <c r="A1008" s="2" t="s">
        <v>1043</v>
      </c>
      <c r="B1008" s="2" t="s">
        <v>30</v>
      </c>
      <c r="C1008" s="2" t="s">
        <v>31</v>
      </c>
      <c r="D1008" s="2" t="s">
        <v>840</v>
      </c>
      <c r="E1008" s="6">
        <v>1</v>
      </c>
      <c r="F1008" s="6">
        <v>0</v>
      </c>
      <c r="G1008" s="7">
        <v>0.6088789105415344</v>
      </c>
      <c r="H1008" s="7">
        <v>58.4601875</v>
      </c>
      <c r="I1008" s="7">
        <v>36.36705381060079</v>
      </c>
      <c r="J1008" s="7">
        <v>9.972182587695745</v>
      </c>
      <c r="K1008" s="7">
        <v>6.883605044052473</v>
      </c>
      <c r="L1008" s="7">
        <v>0.7484767889772148</v>
      </c>
      <c r="M1008" s="7">
        <v>0.555461329935965</v>
      </c>
      <c r="N1008" s="7">
        <v>0.4413101631095284</v>
      </c>
      <c r="O1008" s="7">
        <v>0.0926842164733926</v>
      </c>
      <c r="P1008" s="7">
        <v>8.775241251542091</v>
      </c>
      <c r="Q1008" s="7">
        <v>0.0109395610224134</v>
      </c>
      <c r="R1008" s="7">
        <v>0.032250381542398</v>
      </c>
      <c r="S1008" s="7">
        <v>0.0652729955524489</v>
      </c>
      <c r="T1008" s="7">
        <v>0.7422511500839017</v>
      </c>
    </row>
    <row x14ac:dyDescent="0.25" r="1009" customHeight="1" ht="19.5">
      <c r="A1009" s="2" t="s">
        <v>1044</v>
      </c>
      <c r="B1009" s="2" t="s">
        <v>30</v>
      </c>
      <c r="C1009" s="2" t="s">
        <v>31</v>
      </c>
      <c r="D1009" s="2" t="s">
        <v>840</v>
      </c>
      <c r="E1009" s="6">
        <v>1</v>
      </c>
      <c r="F1009" s="6">
        <v>0</v>
      </c>
      <c r="G1009" s="7">
        <v>0.5908135175704956</v>
      </c>
      <c r="H1009" s="7">
        <v>56.46880078125</v>
      </c>
      <c r="I1009" s="7">
        <v>36.41789761446525</v>
      </c>
      <c r="J1009" s="7">
        <v>9.806963117962852</v>
      </c>
      <c r="K1009" s="7">
        <v>6.904791881966755</v>
      </c>
      <c r="L1009" s="7">
        <v>0.7430234662549037</v>
      </c>
      <c r="M1009" s="7">
        <v>0.5350430013445899</v>
      </c>
      <c r="N1009" s="7">
        <v>0.4263785043724877</v>
      </c>
      <c r="O1009" s="7">
        <v>0.0773740150311863</v>
      </c>
      <c r="P1009" s="7">
        <v>8.880920767135184</v>
      </c>
      <c r="Q1009" s="7">
        <v>0.0121264276861957</v>
      </c>
      <c r="R1009" s="7">
        <v>0.0357311415847541</v>
      </c>
      <c r="S1009" s="7">
        <v>0.0656531578597588</v>
      </c>
      <c r="T1009" s="7">
        <v>0.7947530918391779</v>
      </c>
    </row>
    <row x14ac:dyDescent="0.25" r="1010" customHeight="1" ht="19.5">
      <c r="A1010" s="2" t="s">
        <v>1045</v>
      </c>
      <c r="B1010" s="2" t="s">
        <v>30</v>
      </c>
      <c r="C1010" s="2" t="s">
        <v>31</v>
      </c>
      <c r="D1010" s="2" t="s">
        <v>840</v>
      </c>
      <c r="E1010" s="6">
        <v>1</v>
      </c>
      <c r="F1010" s="6">
        <v>0</v>
      </c>
      <c r="G1010" s="7">
        <v>0.5659871101379395</v>
      </c>
      <c r="H1010" s="7">
        <v>56.27485703125</v>
      </c>
      <c r="I1010" s="7">
        <v>38.98708818670294</v>
      </c>
      <c r="J1010" s="7">
        <v>9.758466641650358</v>
      </c>
      <c r="K1010" s="7">
        <v>6.431976200940253</v>
      </c>
      <c r="L1010" s="7">
        <v>0.7611715877198202</v>
      </c>
      <c r="M1010" s="7">
        <v>0.4652460166984124</v>
      </c>
      <c r="N1010" s="7">
        <v>0.4352141431471664</v>
      </c>
      <c r="O1010" s="7">
        <v>0.0883867288934854</v>
      </c>
      <c r="P1010" s="7">
        <v>8.823498891784643</v>
      </c>
      <c r="Q1010" s="7">
        <v>0.0105746378603007</v>
      </c>
      <c r="R1010" s="7">
        <v>0.0316812137623068</v>
      </c>
      <c r="S1010" s="7">
        <v>0.0638913681474821</v>
      </c>
      <c r="T1010" s="7">
        <v>0.6906701454466045</v>
      </c>
    </row>
    <row x14ac:dyDescent="0.25" r="1011" customHeight="1" ht="19.5">
      <c r="A1011" s="2" t="s">
        <v>1046</v>
      </c>
      <c r="B1011" s="2" t="s">
        <v>30</v>
      </c>
      <c r="C1011" s="2" t="s">
        <v>31</v>
      </c>
      <c r="D1011" s="2" t="s">
        <v>840</v>
      </c>
      <c r="E1011" s="6">
        <v>1</v>
      </c>
      <c r="F1011" s="6">
        <v>0</v>
      </c>
      <c r="G1011" s="7">
        <v>0.5985361337661743</v>
      </c>
      <c r="H1011" s="7">
        <v>57.35540078125</v>
      </c>
      <c r="I1011" s="7">
        <v>34.74955463444761</v>
      </c>
      <c r="J1011" s="7">
        <v>9.8301718915834</v>
      </c>
      <c r="K1011" s="7">
        <v>6.855900947953987</v>
      </c>
      <c r="L1011" s="7">
        <v>0.7524891821252229</v>
      </c>
      <c r="M1011" s="7">
        <v>0.5968781723080986</v>
      </c>
      <c r="N1011" s="7">
        <v>0.4348470341635678</v>
      </c>
      <c r="O1011" s="7">
        <v>0.0864856863199886</v>
      </c>
      <c r="P1011" s="7">
        <v>8.817475538631083</v>
      </c>
      <c r="Q1011" s="7">
        <v>0.0131245208290712</v>
      </c>
      <c r="R1011" s="7">
        <v>0.0362057963435001</v>
      </c>
      <c r="S1011" s="7">
        <v>0.0647628764104843</v>
      </c>
      <c r="T1011" s="7">
        <v>0.8736722775173895</v>
      </c>
    </row>
    <row x14ac:dyDescent="0.25" r="1012" customHeight="1" ht="19.5">
      <c r="A1012" s="2" t="s">
        <v>1047</v>
      </c>
      <c r="B1012" s="2" t="s">
        <v>30</v>
      </c>
      <c r="C1012" s="2" t="s">
        <v>31</v>
      </c>
      <c r="D1012" s="2" t="s">
        <v>840</v>
      </c>
      <c r="E1012" s="6">
        <v>1</v>
      </c>
      <c r="F1012" s="6">
        <v>0</v>
      </c>
      <c r="G1012" s="7">
        <v>0.5978513956069946</v>
      </c>
      <c r="H1012" s="7">
        <v>54.71984375</v>
      </c>
      <c r="I1012" s="7">
        <v>32.71419322381618</v>
      </c>
      <c r="J1012" s="7">
        <v>9.614784255965262</v>
      </c>
      <c r="K1012" s="7">
        <v>6.361934608628298</v>
      </c>
      <c r="L1012" s="7">
        <v>0.7658418942004754</v>
      </c>
      <c r="M1012" s="7">
        <v>0.6350311030681783</v>
      </c>
      <c r="N1012" s="7">
        <v>0.4428089844047454</v>
      </c>
      <c r="O1012" s="7">
        <v>0.1007865987310884</v>
      </c>
      <c r="P1012" s="7">
        <v>8.72086908373105</v>
      </c>
      <c r="Q1012" s="7">
        <v>0.0124484793982591</v>
      </c>
      <c r="R1012" s="7">
        <v>0.0353066891383201</v>
      </c>
      <c r="S1012" s="7">
        <v>0.0642485607878128</v>
      </c>
      <c r="T1012" s="7">
        <v>0.7905911228768577</v>
      </c>
    </row>
    <row x14ac:dyDescent="0.25" r="1013" customHeight="1" ht="19.5">
      <c r="A1013" s="2" t="s">
        <v>1048</v>
      </c>
      <c r="B1013" s="2" t="s">
        <v>30</v>
      </c>
      <c r="C1013" s="2" t="s">
        <v>31</v>
      </c>
      <c r="D1013" s="2" t="s">
        <v>840</v>
      </c>
      <c r="E1013" s="6">
        <v>1</v>
      </c>
      <c r="F1013" s="6">
        <v>0</v>
      </c>
      <c r="G1013" s="7">
        <v>0.6000514626502991</v>
      </c>
      <c r="H1013" s="7">
        <v>56.55538281250001</v>
      </c>
      <c r="I1013" s="7">
        <v>31.63016442329393</v>
      </c>
      <c r="J1013" s="7">
        <v>9.642579193047087</v>
      </c>
      <c r="K1013" s="7">
        <v>6.78021811428141</v>
      </c>
      <c r="L1013" s="7">
        <v>0.7535068704233503</v>
      </c>
      <c r="M1013" s="7">
        <v>0.7103639465604082</v>
      </c>
      <c r="N1013" s="7">
        <v>0.4241721806713113</v>
      </c>
      <c r="O1013" s="7">
        <v>0.0684588798018195</v>
      </c>
      <c r="P1013" s="7">
        <v>8.88970521254418</v>
      </c>
      <c r="Q1013" s="7">
        <v>0.0105815538625775</v>
      </c>
      <c r="R1013" s="7">
        <v>0.0319220844970185</v>
      </c>
      <c r="S1013" s="7">
        <v>0.0639520327316442</v>
      </c>
      <c r="T1013" s="7">
        <v>0.6945670447216656</v>
      </c>
    </row>
    <row x14ac:dyDescent="0.25" r="1014" customHeight="1" ht="19.5">
      <c r="A1014" s="2" t="s">
        <v>1049</v>
      </c>
      <c r="B1014" s="2" t="s">
        <v>30</v>
      </c>
      <c r="C1014" s="2" t="s">
        <v>31</v>
      </c>
      <c r="D1014" s="2" t="s">
        <v>840</v>
      </c>
      <c r="E1014" s="6">
        <v>1</v>
      </c>
      <c r="F1014" s="6">
        <v>0</v>
      </c>
      <c r="G1014" s="7">
        <v>0.5875484347343445</v>
      </c>
      <c r="H1014" s="7">
        <v>60.46542734375</v>
      </c>
      <c r="I1014" s="7">
        <v>38.56086132058218</v>
      </c>
      <c r="J1014" s="7">
        <v>10.48956402983241</v>
      </c>
      <c r="K1014" s="7">
        <v>6.493102292722508</v>
      </c>
      <c r="L1014" s="7">
        <v>0.7920455815946232</v>
      </c>
      <c r="M1014" s="7">
        <v>0.5099786982371567</v>
      </c>
      <c r="N1014" s="7">
        <v>0.4540547368513237</v>
      </c>
      <c r="O1014" s="7">
        <v>0.1051145216173722</v>
      </c>
      <c r="P1014" s="7">
        <v>8.724957918479591</v>
      </c>
      <c r="Q1014" s="7">
        <v>0.0130643463216618</v>
      </c>
      <c r="R1014" s="7">
        <v>0.0352715362570884</v>
      </c>
      <c r="S1014" s="7">
        <v>0.0655129111345024</v>
      </c>
      <c r="T1014" s="7">
        <v>0.91682319317175</v>
      </c>
    </row>
    <row x14ac:dyDescent="0.25" r="1015" customHeight="1" ht="19.5">
      <c r="A1015" s="2" t="s">
        <v>1050</v>
      </c>
      <c r="B1015" s="2" t="s">
        <v>30</v>
      </c>
      <c r="C1015" s="2" t="s">
        <v>31</v>
      </c>
      <c r="D1015" s="2" t="s">
        <v>840</v>
      </c>
      <c r="E1015" s="6">
        <v>1</v>
      </c>
      <c r="F1015" s="6">
        <v>0</v>
      </c>
      <c r="G1015" s="7">
        <v>0.5870488286018372</v>
      </c>
      <c r="H1015" s="7">
        <v>60.24377734375</v>
      </c>
      <c r="I1015" s="7">
        <v>40.15852527555505</v>
      </c>
      <c r="J1015" s="7">
        <v>10.464378220402</v>
      </c>
      <c r="K1015" s="7">
        <v>6.653343756441137</v>
      </c>
      <c r="L1015" s="7">
        <v>0.7924954162434782</v>
      </c>
      <c r="M1015" s="7">
        <v>0.4694253586135261</v>
      </c>
      <c r="N1015" s="7">
        <v>0.4333067608208081</v>
      </c>
      <c r="O1015" s="7">
        <v>0.0877048693686425</v>
      </c>
      <c r="P1015" s="7">
        <v>8.871379888534552</v>
      </c>
      <c r="Q1015" s="7">
        <v>0.0100195326932417</v>
      </c>
      <c r="R1015" s="7">
        <v>0.0308241360925038</v>
      </c>
      <c r="S1015" s="7">
        <v>0.0629279110194856</v>
      </c>
      <c r="T1015" s="7">
        <v>0.7005682345864388</v>
      </c>
    </row>
    <row x14ac:dyDescent="0.25" r="1016" customHeight="1" ht="19.5">
      <c r="A1016" s="2" t="s">
        <v>1051</v>
      </c>
      <c r="B1016" s="2" t="s">
        <v>30</v>
      </c>
      <c r="C1016" s="2" t="s">
        <v>31</v>
      </c>
      <c r="D1016" s="2" t="s">
        <v>840</v>
      </c>
      <c r="E1016" s="6">
        <v>1</v>
      </c>
      <c r="F1016" s="6">
        <v>0</v>
      </c>
      <c r="G1016" s="7">
        <v>0.6016148328781128</v>
      </c>
      <c r="H1016" s="7">
        <v>53.38994375</v>
      </c>
      <c r="I1016" s="7">
        <v>30.92815094473519</v>
      </c>
      <c r="J1016" s="7">
        <v>9.548718224333577</v>
      </c>
      <c r="K1016" s="7">
        <v>6.291732897313516</v>
      </c>
      <c r="L1016" s="7">
        <v>0.7642701241497737</v>
      </c>
      <c r="M1016" s="7">
        <v>0.6937948592601404</v>
      </c>
      <c r="N1016" s="7">
        <v>0.4569467162319967</v>
      </c>
      <c r="O1016" s="7">
        <v>0.1095945630956396</v>
      </c>
      <c r="P1016" s="7">
        <v>8.659702772821174</v>
      </c>
      <c r="Q1016" s="7">
        <v>0.0115883200030364</v>
      </c>
      <c r="R1016" s="7">
        <v>0.0340306035439009</v>
      </c>
      <c r="S1016" s="7">
        <v>0.0645574783750753</v>
      </c>
      <c r="T1016" s="7">
        <v>0.7180765143647865</v>
      </c>
    </row>
    <row x14ac:dyDescent="0.25" r="1017" customHeight="1" ht="19.5">
      <c r="A1017" s="2" t="s">
        <v>1052</v>
      </c>
      <c r="B1017" s="2" t="s">
        <v>30</v>
      </c>
      <c r="C1017" s="2" t="s">
        <v>31</v>
      </c>
      <c r="D1017" s="2" t="s">
        <v>840</v>
      </c>
      <c r="E1017" s="6">
        <v>1</v>
      </c>
      <c r="F1017" s="6">
        <v>0</v>
      </c>
      <c r="G1017" s="7">
        <v>0.6028713583946228</v>
      </c>
      <c r="H1017" s="7">
        <v>55.1562171875</v>
      </c>
      <c r="I1017" s="7">
        <v>39.15389891769546</v>
      </c>
      <c r="J1017" s="7">
        <v>9.7629581707552</v>
      </c>
      <c r="K1017" s="7">
        <v>6.476896551109597</v>
      </c>
      <c r="L1017" s="7">
        <v>0.7616747341820185</v>
      </c>
      <c r="M1017" s="7">
        <v>0.4521206116794112</v>
      </c>
      <c r="N1017" s="7">
        <v>0.4440866469467735</v>
      </c>
      <c r="O1017" s="7">
        <v>0.1003880171104086</v>
      </c>
      <c r="P1017" s="7">
        <v>8.774106335029707</v>
      </c>
      <c r="Q1017" s="7">
        <v>0.0118201637657915</v>
      </c>
      <c r="R1017" s="7">
        <v>0.0334558464887333</v>
      </c>
      <c r="S1017" s="7">
        <v>0.0627869433669841</v>
      </c>
      <c r="T1017" s="7">
        <v>0.7566738872291915</v>
      </c>
    </row>
    <row x14ac:dyDescent="0.25" r="1018" customHeight="1" ht="19.5">
      <c r="A1018" s="2" t="s">
        <v>1053</v>
      </c>
      <c r="B1018" s="2" t="s">
        <v>30</v>
      </c>
      <c r="C1018" s="2" t="s">
        <v>31</v>
      </c>
      <c r="D1018" s="2" t="s">
        <v>840</v>
      </c>
      <c r="E1018" s="6">
        <v>1</v>
      </c>
      <c r="F1018" s="6">
        <v>0</v>
      </c>
      <c r="G1018" s="7">
        <v>0.6031423807144165</v>
      </c>
      <c r="H1018" s="7">
        <v>56.61425859375</v>
      </c>
      <c r="I1018" s="7">
        <v>36.68358722332541</v>
      </c>
      <c r="J1018" s="7">
        <v>9.941092400355576</v>
      </c>
      <c r="K1018" s="7">
        <v>6.445232022217837</v>
      </c>
      <c r="L1018" s="7">
        <v>0.7719200843732846</v>
      </c>
      <c r="M1018" s="7">
        <v>0.5281292418324529</v>
      </c>
      <c r="N1018" s="7">
        <v>0.4464235741360178</v>
      </c>
      <c r="O1018" s="7">
        <v>0.0966429418021254</v>
      </c>
      <c r="P1018" s="7">
        <v>8.759798021050859</v>
      </c>
      <c r="Q1018" s="7">
        <v>0.0124227856088591</v>
      </c>
      <c r="R1018" s="7">
        <v>0.0346398591643219</v>
      </c>
      <c r="S1018" s="7">
        <v>0.0661837572346176</v>
      </c>
      <c r="T1018" s="7">
        <v>0.8162733065780238</v>
      </c>
    </row>
    <row x14ac:dyDescent="0.25" r="1019" customHeight="1" ht="19.5">
      <c r="A1019" s="2" t="s">
        <v>1054</v>
      </c>
      <c r="B1019" s="2" t="s">
        <v>30</v>
      </c>
      <c r="C1019" s="2" t="s">
        <v>31</v>
      </c>
      <c r="D1019" s="2" t="s">
        <v>840</v>
      </c>
      <c r="E1019" s="6">
        <v>1</v>
      </c>
      <c r="F1019" s="6">
        <v>0</v>
      </c>
      <c r="G1019" s="7">
        <v>0.601552426815033</v>
      </c>
      <c r="H1019" s="7">
        <v>54.73023359375</v>
      </c>
      <c r="I1019" s="7">
        <v>33.47332397997129</v>
      </c>
      <c r="J1019" s="7">
        <v>9.838472163017824</v>
      </c>
      <c r="K1019" s="7">
        <v>6.469902112259082</v>
      </c>
      <c r="L1019" s="7">
        <v>0.7756663696563479</v>
      </c>
      <c r="M1019" s="7">
        <v>0.606826274229636</v>
      </c>
      <c r="N1019" s="7">
        <v>0.4520552659486431</v>
      </c>
      <c r="O1019" s="7">
        <v>0.1127556961003183</v>
      </c>
      <c r="P1019" s="7">
        <v>8.674551433852017</v>
      </c>
      <c r="Q1019" s="7">
        <v>0.0132733698971222</v>
      </c>
      <c r="R1019" s="7">
        <v>0.0362997278001082</v>
      </c>
      <c r="S1019" s="7">
        <v>0.0692207571843913</v>
      </c>
      <c r="T1019" s="7">
        <v>0.8431391956242842</v>
      </c>
    </row>
    <row x14ac:dyDescent="0.25" r="1020" customHeight="1" ht="19.5">
      <c r="A1020" s="2" t="s">
        <v>1055</v>
      </c>
      <c r="B1020" s="2" t="s">
        <v>30</v>
      </c>
      <c r="C1020" s="2" t="s">
        <v>31</v>
      </c>
      <c r="D1020" s="2" t="s">
        <v>840</v>
      </c>
      <c r="E1020" s="6">
        <v>1</v>
      </c>
      <c r="F1020" s="6">
        <v>0</v>
      </c>
      <c r="G1020" s="7">
        <v>0.6128891110420227</v>
      </c>
      <c r="H1020" s="7">
        <v>55.2808953125</v>
      </c>
      <c r="I1020" s="7">
        <v>35.70751950426399</v>
      </c>
      <c r="J1020" s="7">
        <v>9.607153570862597</v>
      </c>
      <c r="K1020" s="7">
        <v>6.480387745224803</v>
      </c>
      <c r="L1020" s="7">
        <v>0.7594996388212241</v>
      </c>
      <c r="M1020" s="7">
        <v>0.5448357141431374</v>
      </c>
      <c r="N1020" s="7">
        <v>0.4355372581560204</v>
      </c>
      <c r="O1020" s="7">
        <v>0.0888820059554892</v>
      </c>
      <c r="P1020" s="7">
        <v>8.799861450622597</v>
      </c>
      <c r="Q1020" s="7">
        <v>0.0120437038796288</v>
      </c>
      <c r="R1020" s="7">
        <v>0.0355063933413509</v>
      </c>
      <c r="S1020" s="7">
        <v>0.0628342647170477</v>
      </c>
      <c r="T1020" s="7">
        <v>0.772726697206721</v>
      </c>
    </row>
    <row x14ac:dyDescent="0.25" r="1021" customHeight="1" ht="19.5">
      <c r="A1021" s="2" t="s">
        <v>1056</v>
      </c>
      <c r="B1021" s="2" t="s">
        <v>30</v>
      </c>
      <c r="C1021" s="2" t="s">
        <v>31</v>
      </c>
      <c r="D1021" s="2" t="s">
        <v>840</v>
      </c>
      <c r="E1021" s="6">
        <v>1</v>
      </c>
      <c r="F1021" s="6">
        <v>0</v>
      </c>
      <c r="G1021" s="7">
        <v>0.5794619917869568</v>
      </c>
      <c r="H1021" s="7">
        <v>58.6472046875</v>
      </c>
      <c r="I1021" s="7">
        <v>35.95092394805785</v>
      </c>
      <c r="J1021" s="7">
        <v>10.16565482289566</v>
      </c>
      <c r="K1021" s="7">
        <v>6.973997996321263</v>
      </c>
      <c r="L1021" s="7">
        <v>0.7669241356223865</v>
      </c>
      <c r="M1021" s="7">
        <v>0.5699772310344142</v>
      </c>
      <c r="N1021" s="7">
        <v>0.4298631854982681</v>
      </c>
      <c r="O1021" s="7">
        <v>0.0840207679434624</v>
      </c>
      <c r="P1021" s="7">
        <v>8.834238794120115</v>
      </c>
      <c r="Q1021" s="7">
        <v>0.0107062678171651</v>
      </c>
      <c r="R1021" s="7">
        <v>0.0335756029057317</v>
      </c>
      <c r="S1021" s="7">
        <v>0.0649160583039444</v>
      </c>
      <c r="T1021" s="7">
        <v>0.7287460272244951</v>
      </c>
    </row>
    <row x14ac:dyDescent="0.25" r="1022" customHeight="1" ht="19.5">
      <c r="A1022" s="2" t="s">
        <v>1057</v>
      </c>
      <c r="B1022" s="2" t="s">
        <v>30</v>
      </c>
      <c r="C1022" s="2" t="s">
        <v>31</v>
      </c>
      <c r="D1022" s="2" t="s">
        <v>840</v>
      </c>
      <c r="E1022" s="6">
        <v>1</v>
      </c>
      <c r="F1022" s="6">
        <v>0</v>
      </c>
      <c r="G1022" s="7">
        <v>0.6048708558082581</v>
      </c>
      <c r="H1022" s="7">
        <v>56.43416796875</v>
      </c>
      <c r="I1022" s="7">
        <v>36.60454356663809</v>
      </c>
      <c r="J1022" s="7">
        <v>9.718727161636885</v>
      </c>
      <c r="K1022" s="7">
        <v>6.417590273286597</v>
      </c>
      <c r="L1022" s="7">
        <v>0.7706622315751229</v>
      </c>
      <c r="M1022" s="7">
        <v>0.5292757530437444</v>
      </c>
      <c r="N1022" s="7">
        <v>0.4389213364636368</v>
      </c>
      <c r="O1022" s="7">
        <v>0.0817471470335756</v>
      </c>
      <c r="P1022" s="7">
        <v>8.837191329489947</v>
      </c>
      <c r="Q1022" s="7">
        <v>0.0134847142610645</v>
      </c>
      <c r="R1022" s="7">
        <v>0.0368726026711526</v>
      </c>
      <c r="S1022" s="7">
        <v>0.0645785663646553</v>
      </c>
      <c r="T1022" s="7">
        <v>0.8832317139915774</v>
      </c>
    </row>
    <row x14ac:dyDescent="0.25" r="1023" customHeight="1" ht="19.5">
      <c r="A1023" s="2" t="s">
        <v>1058</v>
      </c>
      <c r="B1023" s="2" t="s">
        <v>30</v>
      </c>
      <c r="C1023" s="2" t="s">
        <v>31</v>
      </c>
      <c r="D1023" s="2" t="s">
        <v>840</v>
      </c>
      <c r="E1023" s="6">
        <v>1</v>
      </c>
      <c r="F1023" s="6">
        <v>0</v>
      </c>
      <c r="G1023" s="7">
        <v>0.5762212872505188</v>
      </c>
      <c r="H1023" s="7">
        <v>61.55982421875</v>
      </c>
      <c r="I1023" s="7">
        <v>33.30442209106815</v>
      </c>
      <c r="J1023" s="7">
        <v>10.35161911481422</v>
      </c>
      <c r="K1023" s="7">
        <v>7.371736396593311</v>
      </c>
      <c r="L1023" s="7">
        <v>0.737323664533356</v>
      </c>
      <c r="M1023" s="7">
        <v>0.6974345066962845</v>
      </c>
      <c r="N1023" s="7">
        <v>0.4947436987371093</v>
      </c>
      <c r="O1023" s="7">
        <v>0.0743689233150067</v>
      </c>
      <c r="P1023" s="7">
        <v>8.52194241170899</v>
      </c>
      <c r="Q1023" s="7">
        <v>0.0140813524587401</v>
      </c>
      <c r="R1023" s="7">
        <v>0.0401387473700816</v>
      </c>
      <c r="S1023" s="7">
        <v>0.0715935577553448</v>
      </c>
      <c r="T1023" s="7">
        <v>1.00608001048137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9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" width="10.005" customWidth="1" bestFit="1"/>
  </cols>
  <sheetData>
    <row x14ac:dyDescent="0.25" r="1" customHeight="1" ht="19.5">
      <c r="A1" s="1" t="s">
        <v>0</v>
      </c>
    </row>
    <row x14ac:dyDescent="0.25" r="2" customHeight="1" ht="19.5">
      <c r="A2" s="2" t="s">
        <v>1</v>
      </c>
    </row>
    <row x14ac:dyDescent="0.25" r="3" customHeight="1" ht="19.5">
      <c r="A3" s="2" t="s">
        <v>2</v>
      </c>
    </row>
    <row x14ac:dyDescent="0.25" r="4" customHeight="1" ht="19.5">
      <c r="A4" s="2" t="s">
        <v>3</v>
      </c>
    </row>
    <row x14ac:dyDescent="0.25" r="5" customHeight="1" ht="19.5">
      <c r="A5" s="2" t="s">
        <v>4</v>
      </c>
    </row>
    <row x14ac:dyDescent="0.25" r="6" customHeight="1" ht="19.5">
      <c r="A6" s="2" t="s">
        <v>5</v>
      </c>
    </row>
    <row x14ac:dyDescent="0.25" r="7" customHeight="1" ht="19.5">
      <c r="A7" s="2" t="s">
        <v>6</v>
      </c>
    </row>
    <row x14ac:dyDescent="0.25" r="8" customHeight="1" ht="19.5">
      <c r="A8" s="2" t="s">
        <v>7</v>
      </c>
    </row>
    <row x14ac:dyDescent="0.25" r="9" customHeight="1" ht="19.5">
      <c r="A9" s="2" t="s">
        <v>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10</vt:i4>
      </vt:variant>
    </vt:vector>
  </HeadingPairs>
  <TitlesOfParts>
    <vt:vector baseType="lpstr" size="10">
      <vt:lpstr>Rangos Globales 3D</vt:lpstr>
      <vt:lpstr>Por tela</vt:lpstr>
      <vt:lpstr>Umbrales propuestos</vt:lpstr>
      <vt:lpstr>Percentiles profundidad</vt:lpstr>
      <vt:lpstr>Cobertura deteccion</vt:lpstr>
      <vt:lpstr>Material loss - Holes</vt:lpstr>
      <vt:lpstr>Crack (cut)</vt:lpstr>
      <vt:lpstr>Scratch-Friction</vt:lpstr>
      <vt:lpstr>Scratch-Abrasion</vt:lpstr>
      <vt:lpstr>Notas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2026-10-16T14:00:08.367Z</dcterms:created>
  <dcterms:modified xsi:type="dcterms:W3CDTF">2026-10-16T14:00:08.367Z</dcterms:modified>
</cp:coreProperties>
</file>