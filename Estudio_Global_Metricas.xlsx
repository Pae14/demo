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gos Globales Umbrales" sheetId="1" r:id="rId5"/>
    <sheet state="visible" name="Crack" sheetId="2" r:id="rId6"/>
    <sheet state="visible" name="Material loss - Holes" sheetId="3" r:id="rId7"/>
    <sheet state="visible" name="Scratch-Friction" sheetId="4" r:id="rId8"/>
    <sheet state="visible" name="Scratch-Abrasion" sheetId="5" r:id="rId9"/>
  </sheets>
  <definedNames/>
  <calcPr/>
</workbook>
</file>

<file path=xl/sharedStrings.xml><?xml version="1.0" encoding="utf-8"?>
<sst xmlns="http://schemas.openxmlformats.org/spreadsheetml/2006/main" count="14020" uniqueCount="4132">
  <si>
    <t>area_mm2</t>
  </si>
  <si>
    <t>perimeter_mm</t>
  </si>
  <si>
    <t>eccentricity</t>
  </si>
  <si>
    <t>compactation</t>
  </si>
  <si>
    <t>glcm_energy</t>
  </si>
  <si>
    <t>glcm_entropy</t>
  </si>
  <si>
    <t>min</t>
  </si>
  <si>
    <t>max</t>
  </si>
  <si>
    <t>mean</t>
  </si>
  <si>
    <t>Crack</t>
  </si>
  <si>
    <t>filename</t>
  </si>
  <si>
    <t>relative_path</t>
  </si>
  <si>
    <t>class_id</t>
  </si>
  <si>
    <t>class_name</t>
  </si>
  <si>
    <t>confidence</t>
  </si>
  <si>
    <t>glcm_homogeneity</t>
  </si>
  <si>
    <t>source_file</t>
  </si>
  <si>
    <t>rgb_0380.png</t>
  </si>
  <si>
    <t>rgb_0189.png</t>
  </si>
  <si>
    <t>fabric05_thin_cut_img/rgb_0189.png</t>
  </si>
  <si>
    <t>fabric06_thin_frction_img/rgb_0380.png</t>
  </si>
  <si>
    <t>rgb_0136.png</t>
  </si>
  <si>
    <t>Scratch-Friction</t>
  </si>
  <si>
    <t>fabirc01_hole_img</t>
  </si>
  <si>
    <t>Material loss - Holes</t>
  </si>
  <si>
    <t>analisis_defectos_thin_friction.csv</t>
  </si>
  <si>
    <t>analisis_thin_cut.csv</t>
  </si>
  <si>
    <t>rgb_0613.png</t>
  </si>
  <si>
    <t>rgb_0202.png</t>
  </si>
  <si>
    <t>fabric01_thin_frction_img/rgb_0613.png</t>
  </si>
  <si>
    <t>fabric05_thin_cut_img/rgb_0202.png</t>
  </si>
  <si>
    <t>analisis_defectos_hole.csv</t>
  </si>
  <si>
    <t>rgb_0621.png</t>
  </si>
  <si>
    <t>rgb_0631.png</t>
  </si>
  <si>
    <t>fabric03_thin_frction_img/rgb_0631.png</t>
  </si>
  <si>
    <t>rgb_0159.png</t>
  </si>
  <si>
    <t>rgb_0206.png</t>
  </si>
  <si>
    <t>fabric05_thin_cut_img/rgb_0206.png</t>
  </si>
  <si>
    <t>rgb_0561.png</t>
  </si>
  <si>
    <t>fabric06_thin_frction_img/rgb_0561.png</t>
  </si>
  <si>
    <t>rgb_0784.png</t>
  </si>
  <si>
    <t>rgb_0197.png</t>
  </si>
  <si>
    <t>fabric05_thin_cut_img/rgb_0197.png</t>
  </si>
  <si>
    <t>rgb_0562.png</t>
  </si>
  <si>
    <t>fabric06_thin_frction_img/rgb_0562.png</t>
  </si>
  <si>
    <t>rgb_0252.png</t>
  </si>
  <si>
    <t>rgb_0196.png</t>
  </si>
  <si>
    <t>fabric05_thin_cut_img/rgb_0196.png</t>
  </si>
  <si>
    <t>rgb_0556.png</t>
  </si>
  <si>
    <t>fabric03_thin_frction_img/rgb_0556.png</t>
  </si>
  <si>
    <t>rgb_0692.png</t>
  </si>
  <si>
    <t>rgb_0200.png</t>
  </si>
  <si>
    <t>fabric05_thin_cut_img/rgb_0200.png</t>
  </si>
  <si>
    <t>rgb_0598.png</t>
  </si>
  <si>
    <t>rgb_0194.png</t>
  </si>
  <si>
    <t>fabric05_thin_cut_img/rgb_0194.png</t>
  </si>
  <si>
    <t>rgb_0546.png</t>
  </si>
  <si>
    <t>fabric03_thin_frction_img/rgb_0546.png</t>
  </si>
  <si>
    <t>rgb_0137.png</t>
  </si>
  <si>
    <t>rgb_0552.png</t>
  </si>
  <si>
    <t>Scratch-Abrasion</t>
  </si>
  <si>
    <t>rgb_0191.png</t>
  </si>
  <si>
    <t>fabric03_thin_frction_img/rgb_0552.png</t>
  </si>
  <si>
    <t>fabric05_thin_cut_img/rgb_0191.png</t>
  </si>
  <si>
    <t>rgb_0714.png</t>
  </si>
  <si>
    <t>rgb_0547.png</t>
  </si>
  <si>
    <t>rgb_0207.png</t>
  </si>
  <si>
    <t>fabric03_thin_frction_img/rgb_0547.png</t>
  </si>
  <si>
    <t>fabric05_thin_cut_img/rgb_0207.png</t>
  </si>
  <si>
    <t>rgb_0322.png</t>
  </si>
  <si>
    <t>rgb_0538.png</t>
  </si>
  <si>
    <t>rgb_0192.png</t>
  </si>
  <si>
    <t>fabric03_thin_frction_img/rgb_0538.png</t>
  </si>
  <si>
    <t>fabric05_thin_cut_img/rgb_0192.png</t>
  </si>
  <si>
    <t>rgb_0506.png</t>
  </si>
  <si>
    <t>rgb_0205.png</t>
  </si>
  <si>
    <t>rgb_0554.png</t>
  </si>
  <si>
    <t>fabric05_thin_cut_img/rgb_0205.png</t>
  </si>
  <si>
    <t>fabric03_thin_frction_img/rgb_0554.png</t>
  </si>
  <si>
    <t>rgb_0158.png</t>
  </si>
  <si>
    <t>rgb_0199.png</t>
  </si>
  <si>
    <t>fabric05_thin_cut_img/rgb_0199.png</t>
  </si>
  <si>
    <t>rgb_0541.png</t>
  </si>
  <si>
    <t>fabric03_thin_frction_img/rgb_0541.png</t>
  </si>
  <si>
    <t>rgb_0148.png</t>
  </si>
  <si>
    <t>rgb_0210.png</t>
  </si>
  <si>
    <t>fabric05_thin_cut_img/rgb_0210.png</t>
  </si>
  <si>
    <t>rgb_0824.png</t>
  </si>
  <si>
    <t>fabric06_thin_frction_img/rgb_0824.png</t>
  </si>
  <si>
    <t>rgb_0437.png</t>
  </si>
  <si>
    <t>rgb_0204.png</t>
  </si>
  <si>
    <t>fabric05_thin_cut_img/rgb_0204.png</t>
  </si>
  <si>
    <t>rgb_0553.png</t>
  </si>
  <si>
    <t>rgb_0157.png</t>
  </si>
  <si>
    <t>fabric03_thin_frction_img/rgb_0553.png</t>
  </si>
  <si>
    <t>rgb_0195.png</t>
  </si>
  <si>
    <t>fabric05_thin_cut_img/rgb_0195.png</t>
  </si>
  <si>
    <t>rgb_0143.png</t>
  </si>
  <si>
    <t>rgb_0555.png</t>
  </si>
  <si>
    <t>fabric03_thin_frction_img/rgb_0555.png</t>
  </si>
  <si>
    <t>rgb_0190.png</t>
  </si>
  <si>
    <t>fabric05_thin_cut_img/rgb_0190.png</t>
  </si>
  <si>
    <t>rgb_0145.png</t>
  </si>
  <si>
    <t>rgb_0201.png</t>
  </si>
  <si>
    <t>fabric05_thin_cut_img/rgb_0201.png</t>
  </si>
  <si>
    <t>rgb_0550.png</t>
  </si>
  <si>
    <t>rgb_0599.png</t>
  </si>
  <si>
    <t>fabric03_thin_frction_img/rgb_0550.png</t>
  </si>
  <si>
    <t>rgb_0198.png</t>
  </si>
  <si>
    <t>fabric05_thin_cut_img/rgb_0198.png</t>
  </si>
  <si>
    <t>rgb_0543.png</t>
  </si>
  <si>
    <t>fabric03_thin_frction_img/rgb_0543.png</t>
  </si>
  <si>
    <t>rgb_0147.png</t>
  </si>
  <si>
    <t>rgb_0193.png</t>
  </si>
  <si>
    <t>fabric05_thin_cut_img/rgb_0193.png</t>
  </si>
  <si>
    <t>rgb_0539.png</t>
  </si>
  <si>
    <t>fabric03_thin_frction_img/rgb_0539.png</t>
  </si>
  <si>
    <t>rgb_0150.png</t>
  </si>
  <si>
    <t>rgb_0203.png</t>
  </si>
  <si>
    <t>fabric05_thin_cut_img/rgb_0203.png</t>
  </si>
  <si>
    <t>rgb_0548.png</t>
  </si>
  <si>
    <t>rgb_0151.png</t>
  </si>
  <si>
    <t>fabric03_thin_frction_img/rgb_0548.png</t>
  </si>
  <si>
    <t>rgb_0208.png</t>
  </si>
  <si>
    <t>fabric05_thin_cut_img/rgb_0208.png</t>
  </si>
  <si>
    <t>rgb_0577.png</t>
  </si>
  <si>
    <t>rgb_0154.png</t>
  </si>
  <si>
    <t>fabric06_thin_frction_img/rgb_0577.png</t>
  </si>
  <si>
    <t>rgb_0281.png</t>
  </si>
  <si>
    <t>fabric05_thin_cut_img/rgb_0281.png</t>
  </si>
  <si>
    <t>rgb_0544.png</t>
  </si>
  <si>
    <t>fabric03_thin_frction_img/rgb_0544.png</t>
  </si>
  <si>
    <t>rgb_0155.png</t>
  </si>
  <si>
    <t>rgb_0295.png</t>
  </si>
  <si>
    <t>fabric05_thin_cut_img/rgb_0295.png</t>
  </si>
  <si>
    <t>rgb_0579.png</t>
  </si>
  <si>
    <t>fabric06_thin_frction_img/rgb_0579.png</t>
  </si>
  <si>
    <t>rgb_0153.png</t>
  </si>
  <si>
    <t>rgb_0296.png</t>
  </si>
  <si>
    <t>fabric05_thin_cut_img/rgb_0296.png</t>
  </si>
  <si>
    <t>rgb_0634.png</t>
  </si>
  <si>
    <t>fabric03_thin_frction_img/rgb_0634.png</t>
  </si>
  <si>
    <t>rgb_0149.png</t>
  </si>
  <si>
    <t>rgb_0209.png</t>
  </si>
  <si>
    <t>fabric05_thin_cut_img/rgb_0209.png</t>
  </si>
  <si>
    <t>rgb_0542.png</t>
  </si>
  <si>
    <t>fabric03_thin_frction_img/rgb_0542.png</t>
  </si>
  <si>
    <t>rgb_0152.png</t>
  </si>
  <si>
    <t>rgb_0293.png</t>
  </si>
  <si>
    <t>fabric05_thin_cut_img/rgb_0293.png</t>
  </si>
  <si>
    <t>rgb_0637.png</t>
  </si>
  <si>
    <t>fabric03_thin_frction_img/rgb_0637.png</t>
  </si>
  <si>
    <t>rgb_0142.png</t>
  </si>
  <si>
    <t>rgb_0285.png</t>
  </si>
  <si>
    <t>fabric05_thin_cut_img/rgb_0285.png</t>
  </si>
  <si>
    <t>rgb_0646.png</t>
  </si>
  <si>
    <t>fabric03_thin_frction_img/rgb_0646.png</t>
  </si>
  <si>
    <t>rgb_0140.png</t>
  </si>
  <si>
    <t>rgb_0298.png</t>
  </si>
  <si>
    <t>fabric05_thin_cut_img/rgb_0298.png</t>
  </si>
  <si>
    <t>rgb_0636.png</t>
  </si>
  <si>
    <t>fabric03_thin_frction_img/rgb_0636.png</t>
  </si>
  <si>
    <t>rgb_0879.png</t>
  </si>
  <si>
    <t>rgb_0288.png</t>
  </si>
  <si>
    <t>fabric05_thin_cut_img/rgb_0288.png</t>
  </si>
  <si>
    <t>rgb_0632.png</t>
  </si>
  <si>
    <t>fabric03_thin_frction_img/rgb_0632.png</t>
  </si>
  <si>
    <t>rgb_0146.png</t>
  </si>
  <si>
    <t>rgb_0294.png</t>
  </si>
  <si>
    <t>fabric05_thin_cut_img/rgb_0294.png</t>
  </si>
  <si>
    <t>rgb_0549.png</t>
  </si>
  <si>
    <t>fabric03_thin_frction_img/rgb_0549.png</t>
  </si>
  <si>
    <t>rgb_0156.png</t>
  </si>
  <si>
    <t>rgb_0299.png</t>
  </si>
  <si>
    <t>fabric05_thin_cut_img/rgb_0299.png</t>
  </si>
  <si>
    <t>rgb_0650.png</t>
  </si>
  <si>
    <t>fabric03_thin_frction_img/rgb_0650.png</t>
  </si>
  <si>
    <t>rgb_0144.png</t>
  </si>
  <si>
    <t>rgb_0284.png</t>
  </si>
  <si>
    <t>fabric05_thin_cut_img/rgb_0284.png</t>
  </si>
  <si>
    <t>rgb_0540.png</t>
  </si>
  <si>
    <t>fabric03_thin_frction_img/rgb_0540.png</t>
  </si>
  <si>
    <t>rgb_0620.png</t>
  </si>
  <si>
    <t>rgb_0301.png</t>
  </si>
  <si>
    <t>fabric05_thin_cut_img/rgb_0301.png</t>
  </si>
  <si>
    <t>rgb_0644.png</t>
  </si>
  <si>
    <t>fabric03_thin_frction_img/rgb_0644.png</t>
  </si>
  <si>
    <t>rgb_0139.png</t>
  </si>
  <si>
    <t>rgb_0283.png</t>
  </si>
  <si>
    <t>fabric05_thin_cut_img/rgb_0283.png</t>
  </si>
  <si>
    <t>rgb_0141.png</t>
  </si>
  <si>
    <t>rgb_0545.png</t>
  </si>
  <si>
    <t>fabric03_thin_frction_img/rgb_0545.png</t>
  </si>
  <si>
    <t>rgb_0297.png</t>
  </si>
  <si>
    <t>fabric05_thin_cut_img/rgb_0297.png</t>
  </si>
  <si>
    <t>rgb_0138.png</t>
  </si>
  <si>
    <t>rgb_0291.png</t>
  </si>
  <si>
    <t>rgb_0638.png</t>
  </si>
  <si>
    <t>fabric05_thin_cut_img/rgb_0291.png</t>
  </si>
  <si>
    <t>rgb_0616.png</t>
  </si>
  <si>
    <t>fabric03_thin_frction_img/rgb_0638.png</t>
  </si>
  <si>
    <t>rgb_0292.png</t>
  </si>
  <si>
    <t>fabric05_thin_cut_img/rgb_0292.png</t>
  </si>
  <si>
    <t>rgb_0617.png</t>
  </si>
  <si>
    <t>rgb_0643.png</t>
  </si>
  <si>
    <t>fabric03_thin_frction_img/rgb_0643.png</t>
  </si>
  <si>
    <t>rgb_0286.png</t>
  </si>
  <si>
    <t>fabric05_thin_cut_img/rgb_0286.png</t>
  </si>
  <si>
    <t>rgb_0612.png</t>
  </si>
  <si>
    <t>rgb_0640.png</t>
  </si>
  <si>
    <t>fabric03_thin_frction_img/rgb_0640.png</t>
  </si>
  <si>
    <t>rgb_0287.png</t>
  </si>
  <si>
    <t>rgb_0602.png</t>
  </si>
  <si>
    <t>fabric05_thin_cut_img/rgb_0287.png</t>
  </si>
  <si>
    <t>rgb_0641.png</t>
  </si>
  <si>
    <t>fabric03_thin_frction_img/rgb_0641.png</t>
  </si>
  <si>
    <t>rgb_0290.png</t>
  </si>
  <si>
    <t>fabric05_thin_cut_img/rgb_0290.png</t>
  </si>
  <si>
    <t>rgb_0605.png</t>
  </si>
  <si>
    <t>rgb_0163.png</t>
  </si>
  <si>
    <t>fabric04_thin_abrasion_img/rgb_0163.png</t>
  </si>
  <si>
    <t>rgb_0649.png</t>
  </si>
  <si>
    <t>fabric03_thin_frction_img/rgb_0649.png</t>
  </si>
  <si>
    <t>rgb_0300.png</t>
  </si>
  <si>
    <t>fabric05_thin_cut_img/rgb_0300.png</t>
  </si>
  <si>
    <t>analisis_defectos_thin_abrasion.csv</t>
  </si>
  <si>
    <t>rgb_0645.png</t>
  </si>
  <si>
    <t>rgb_0267.png</t>
  </si>
  <si>
    <t>fabric03_thin_frction_img/rgb_0645.png</t>
  </si>
  <si>
    <t>fabric02_thin_abrasion_img/rgb_0267.png</t>
  </si>
  <si>
    <t>rgb_0289.png</t>
  </si>
  <si>
    <t>fabric05_thin_cut_img/rgb_0289.png</t>
  </si>
  <si>
    <t>rgb_0608.png</t>
  </si>
  <si>
    <t>rgb_0635.png</t>
  </si>
  <si>
    <t>fabric03_thin_frction_img/rgb_0635.png</t>
  </si>
  <si>
    <t>rgb_0619.png</t>
  </si>
  <si>
    <t>fabric02_thin_abrasion_img/rgb_0619.png</t>
  </si>
  <si>
    <t>rgb_0282.png</t>
  </si>
  <si>
    <t>fabric05_thin_cut_img/rgb_0282.png</t>
  </si>
  <si>
    <t>rgb_0633.png</t>
  </si>
  <si>
    <t>rgb_0600.png</t>
  </si>
  <si>
    <t>fabric03_thin_frction_img/rgb_0633.png</t>
  </si>
  <si>
    <t>rgb_0332.png</t>
  </si>
  <si>
    <t>fabric05_thin_abrasion_img/rgb_0332.png</t>
  </si>
  <si>
    <t>rgb_0302.png</t>
  </si>
  <si>
    <t>fabric05_thin_cut_img/rgb_0302.png</t>
  </si>
  <si>
    <t>rgb_0551.png</t>
  </si>
  <si>
    <t>fabric03_thin_frction_img/rgb_0551.png</t>
  </si>
  <si>
    <t>fabric04_thin_abrasion_img/rgb_0599.png</t>
  </si>
  <si>
    <t>rgb_0606.png</t>
  </si>
  <si>
    <t>rgb_0188.png</t>
  </si>
  <si>
    <t>fabric05_thin_cut_img/rgb_0188.png</t>
  </si>
  <si>
    <t>rgb_0630.png</t>
  </si>
  <si>
    <t>fabric03_thin_frction_img/rgb_0630.png</t>
  </si>
  <si>
    <t>rgb_0594.png</t>
  </si>
  <si>
    <t>fabric06_thin_abrasion_img/rgb_0594.png</t>
  </si>
  <si>
    <t>rgb_0611.png</t>
  </si>
  <si>
    <t>rgb_0386.png</t>
  </si>
  <si>
    <t>fabric05_thin_cut_img/rgb_0386.png</t>
  </si>
  <si>
    <t>rgb_0639.png</t>
  </si>
  <si>
    <t>fabric03_thin_frction_img/rgb_0639.png</t>
  </si>
  <si>
    <t>rgb_0350.png</t>
  </si>
  <si>
    <t>rgb_0610.png</t>
  </si>
  <si>
    <t>fabric05_thin_abrasion_img/rgb_0350.png</t>
  </si>
  <si>
    <t>rgb_0478.png</t>
  </si>
  <si>
    <t>fabric05_thin_cut_img/rgb_0478.png</t>
  </si>
  <si>
    <t>rgb_0648.png</t>
  </si>
  <si>
    <t>fabric03_thin_frction_img/rgb_0648.png</t>
  </si>
  <si>
    <t>rgb_0337.png</t>
  </si>
  <si>
    <t>rgb_0415.png</t>
  </si>
  <si>
    <t>fabric03_thin_abrasion_img/rgb_0337.png</t>
  </si>
  <si>
    <t>rgb_0377.png</t>
  </si>
  <si>
    <t>fabric05_thin_cut_img/rgb_0377.png</t>
  </si>
  <si>
    <t>rgb_0642.png</t>
  </si>
  <si>
    <t>fabric03_thin_frction_img/rgb_0642.png</t>
  </si>
  <si>
    <t>rgb_0615.png</t>
  </si>
  <si>
    <t>rgb_0775.png</t>
  </si>
  <si>
    <t>fabric05_thin_abrasion_img/rgb_0775.png</t>
  </si>
  <si>
    <t>fabric05_thin_cut_img/rgb_0380.png</t>
  </si>
  <si>
    <t>rgb_0566.png</t>
  </si>
  <si>
    <t>rgb_0901.png</t>
  </si>
  <si>
    <t>fabric06_thin_frction_img/rgb_0566.png</t>
  </si>
  <si>
    <t>rgb_0346.png</t>
  </si>
  <si>
    <t>fabric05_thin_abrasion_img/rgb_0346.png</t>
  </si>
  <si>
    <t>rgb_0388.png</t>
  </si>
  <si>
    <t>fabric05_thin_cut_img/rgb_0388.png</t>
  </si>
  <si>
    <t>rgb_0702.png</t>
  </si>
  <si>
    <t>rgb_0647.png</t>
  </si>
  <si>
    <t>fabric03_thin_frction_img/rgb_0647.png</t>
  </si>
  <si>
    <t>rgb_0338.png</t>
  </si>
  <si>
    <t>fabric03_thin_abrasion_img/rgb_0338.png</t>
  </si>
  <si>
    <t>rgb_0464.png</t>
  </si>
  <si>
    <t>fabric05_thin_cut_img/rgb_0464.png</t>
  </si>
  <si>
    <t>rgb_0529.png</t>
  </si>
  <si>
    <t>rgb_0557.png</t>
  </si>
  <si>
    <t>fabric03_thin_frction_img/rgb_0557.png</t>
  </si>
  <si>
    <t>rgb_0707.png</t>
  </si>
  <si>
    <t>fabric02_thin_abrasion_img/rgb_0707.png</t>
  </si>
  <si>
    <t>rgb_0474.png</t>
  </si>
  <si>
    <t>fabric05_thin_cut_img/rgb_0474.png</t>
  </si>
  <si>
    <t>rgb_0693.png</t>
  </si>
  <si>
    <t>rgb_0537.png</t>
  </si>
  <si>
    <t>fabric03_thin_frction_img/rgb_0537.png</t>
  </si>
  <si>
    <t>rgb_0786.png</t>
  </si>
  <si>
    <t>fabric03_thin_abrasion_img/rgb_0786.png</t>
  </si>
  <si>
    <t>rgb_0477.png</t>
  </si>
  <si>
    <t>fabric05_thin_cut_img/rgb_0477.png</t>
  </si>
  <si>
    <t>rgb_0609.png</t>
  </si>
  <si>
    <t>rgb_0536.png</t>
  </si>
  <si>
    <t>fabric03_thin_frction_img/rgb_0536.png</t>
  </si>
  <si>
    <t>rgb_0776.png</t>
  </si>
  <si>
    <t>fabric05_thin_abrasion_img/rgb_0776.png</t>
  </si>
  <si>
    <t>rgb_0481.png</t>
  </si>
  <si>
    <t>fabric05_thin_cut_img/rgb_0481.png</t>
  </si>
  <si>
    <t>rgb_0614.png</t>
  </si>
  <si>
    <t>rgb_0584.png</t>
  </si>
  <si>
    <t>fabric06_thin_frction_img/rgb_0584.png</t>
  </si>
  <si>
    <t>rgb_0352.png</t>
  </si>
  <si>
    <t>fabric05_thin_abrasion_img/rgb_0352.png</t>
  </si>
  <si>
    <t>rgb_0382.png</t>
  </si>
  <si>
    <t>fabric05_thin_cut_img/rgb_0382.png</t>
  </si>
  <si>
    <t>rgb_0603.png</t>
  </si>
  <si>
    <t>rgb_0583.png</t>
  </si>
  <si>
    <t>fabric06_thin_frction_img/rgb_0583.png</t>
  </si>
  <si>
    <t>rgb_0785.png</t>
  </si>
  <si>
    <t>fabric03_thin_abrasion_img/rgb_0785.png</t>
  </si>
  <si>
    <t>rgb_0383.png</t>
  </si>
  <si>
    <t>fabric05_thin_cut_img/rgb_0383.png</t>
  </si>
  <si>
    <t>rgb_0618.png</t>
  </si>
  <si>
    <t>rgb_0563.png</t>
  </si>
  <si>
    <t>fabric06_thin_frction_img/rgb_0563.png</t>
  </si>
  <si>
    <t>rgb_0345.png</t>
  </si>
  <si>
    <t>fabric05_thin_abrasion_img/rgb_0345.png</t>
  </si>
  <si>
    <t>rgb_0472.png</t>
  </si>
  <si>
    <t>fabric05_thin_cut_img/rgb_0472.png</t>
  </si>
  <si>
    <t>rgb_0629.png</t>
  </si>
  <si>
    <t>fabric03_thin_frction_img/rgb_0629.png</t>
  </si>
  <si>
    <t>rgb_0789.png</t>
  </si>
  <si>
    <t>rgb_0384.png</t>
  </si>
  <si>
    <t>fabric03_thin_abrasion_img/rgb_0789.png</t>
  </si>
  <si>
    <t>fabric05_thin_cut_img/rgb_0384.png</t>
  </si>
  <si>
    <t>rgb_0601.png</t>
  </si>
  <si>
    <t>rgb_0564.png</t>
  </si>
  <si>
    <t>fabric06_thin_frction_img/rgb_0564.png</t>
  </si>
  <si>
    <t>rgb_0476.png</t>
  </si>
  <si>
    <t>fabric05_thin_cut_img/rgb_0476.png</t>
  </si>
  <si>
    <t>rgb_0607.png</t>
  </si>
  <si>
    <t>rgb_0342.png</t>
  </si>
  <si>
    <t>fabric05_thin_abrasion_img/rgb_0342.png</t>
  </si>
  <si>
    <t>rgb_0378.png</t>
  </si>
  <si>
    <t>rgb_0790.png</t>
  </si>
  <si>
    <t>fabric05_thin_cut_img/rgb_0378.png</t>
  </si>
  <si>
    <t>fabric01_thin_frction_img/rgb_0790.png</t>
  </si>
  <si>
    <t>rgb_0604.png</t>
  </si>
  <si>
    <t>rgb_0344.png</t>
  </si>
  <si>
    <t>fabric05_thin_abrasion_img/rgb_0344.png</t>
  </si>
  <si>
    <t>rgb_0392.png</t>
  </si>
  <si>
    <t>rgb_0670.png</t>
  </si>
  <si>
    <t>fabric05_thin_cut_img/rgb_0392.png</t>
  </si>
  <si>
    <t>fabric06_thin_frction_img/rgb_0670.png</t>
  </si>
  <si>
    <t>rgb_0712.png</t>
  </si>
  <si>
    <t>rgb_0351.png</t>
  </si>
  <si>
    <t>fabric05_thin_abrasion_img/rgb_0351.png</t>
  </si>
  <si>
    <t>rgb_0673.png</t>
  </si>
  <si>
    <t>rgb_0484.png</t>
  </si>
  <si>
    <t>fabric06_thin_frction_img/rgb_0673.png</t>
  </si>
  <si>
    <t>rgb_0708.png</t>
  </si>
  <si>
    <t>fabric05_thin_cut_img/rgb_0484.png</t>
  </si>
  <si>
    <t>rgb_0339.png</t>
  </si>
  <si>
    <t>fabric05_thin_abrasion_img/rgb_0339.png</t>
  </si>
  <si>
    <t>rgb_0578.png</t>
  </si>
  <si>
    <t>fabric06_thin_frction_img/rgb_0578.png</t>
  </si>
  <si>
    <t>rgb_0381.png</t>
  </si>
  <si>
    <t>fabric05_thin_cut_img/rgb_0381.png</t>
  </si>
  <si>
    <t>rgb_0795.png</t>
  </si>
  <si>
    <t>fabric03_thin_abrasion_img/rgb_0795.png</t>
  </si>
  <si>
    <t>rgb_0575.png</t>
  </si>
  <si>
    <t>rgb_0323.png</t>
  </si>
  <si>
    <t>fabric06_thin_frction_img/rgb_0575.png</t>
  </si>
  <si>
    <t>rgb_0387.png</t>
  </si>
  <si>
    <t>fabric05_thin_cut_img/rgb_0387.png</t>
  </si>
  <si>
    <t>rgb_0245.png</t>
  </si>
  <si>
    <t>fabric05_thin_abrasion_img/rgb_0245.png</t>
  </si>
  <si>
    <t>rgb_0700.png</t>
  </si>
  <si>
    <t>rgb_0565.png</t>
  </si>
  <si>
    <t>fabric06_thin_frction_img/rgb_0565.png</t>
  </si>
  <si>
    <t>rgb_0393.png</t>
  </si>
  <si>
    <t>fabric05_thin_cut_img/rgb_0393.png</t>
  </si>
  <si>
    <t>rgb_0705.png</t>
  </si>
  <si>
    <t>rgb_0782.png</t>
  </si>
  <si>
    <t>rgb_0576.png</t>
  </si>
  <si>
    <t>fabric03_thin_abrasion_img/rgb_0782.png</t>
  </si>
  <si>
    <t>fabric06_thin_frction_img/rgb_0576.png</t>
  </si>
  <si>
    <t>rgb_0390.png</t>
  </si>
  <si>
    <t>fabric05_thin_cut_img/rgb_0390.png</t>
  </si>
  <si>
    <t>rgb_0709.png</t>
  </si>
  <si>
    <t>rgb_0582.png</t>
  </si>
  <si>
    <t>rgb_0781.png</t>
  </si>
  <si>
    <t>fabric06_thin_frction_img/rgb_0582.png</t>
  </si>
  <si>
    <t>fabric03_thin_abrasion_img/rgb_0781.png</t>
  </si>
  <si>
    <t>rgb_0374.png</t>
  </si>
  <si>
    <t>fabric05_thin_cut_img/rgb_0374.png</t>
  </si>
  <si>
    <t>rgb_0701.png</t>
  </si>
  <si>
    <t>rgb_0580.png</t>
  </si>
  <si>
    <t>fabric06_thin_frction_img/rgb_0580.png</t>
  </si>
  <si>
    <t>rgb_0359.png</t>
  </si>
  <si>
    <t>fabric03_thin_abrasion_img/rgb_0359.png</t>
  </si>
  <si>
    <t>rgb_0379.png</t>
  </si>
  <si>
    <t>fabric05_thin_cut_img/rgb_0379.png</t>
  </si>
  <si>
    <t>rgb_0698.png</t>
  </si>
  <si>
    <t>rgb_0353.png</t>
  </si>
  <si>
    <t>fabric05_thin_abrasion_img/rgb_0353.png</t>
  </si>
  <si>
    <t>rgb_0581.png</t>
  </si>
  <si>
    <t>fabric06_thin_frction_img/rgb_0581.png</t>
  </si>
  <si>
    <t>rgb_0482.png</t>
  </si>
  <si>
    <t>fabric05_thin_cut_img/rgb_0482.png</t>
  </si>
  <si>
    <t>rgb_0699.png</t>
  </si>
  <si>
    <t>rgb_0593.png</t>
  </si>
  <si>
    <t>rgb_0822.png</t>
  </si>
  <si>
    <t>fabric06_thin_abrasion_img/rgb_0593.png</t>
  </si>
  <si>
    <t>fabric03_thin_frction_img/rgb_0822.png</t>
  </si>
  <si>
    <t>rgb_0385.png</t>
  </si>
  <si>
    <t>fabric05_thin_cut_img/rgb_0385.png</t>
  </si>
  <si>
    <t>rgb_0703.png</t>
  </si>
  <si>
    <t>rgb_0348.png</t>
  </si>
  <si>
    <t>rgb_0573.png</t>
  </si>
  <si>
    <t>fabric05_thin_abrasion_img/rgb_0348.png</t>
  </si>
  <si>
    <t>fabric06_thin_frction_img/rgb_0573.png</t>
  </si>
  <si>
    <t>rgb_0389.png</t>
  </si>
  <si>
    <t>fabric05_thin_cut_img/rgb_0389.png</t>
  </si>
  <si>
    <t>rgb_0713.png</t>
  </si>
  <si>
    <t>rgb_0570.png</t>
  </si>
  <si>
    <t>rgb_0333.png</t>
  </si>
  <si>
    <t>fabric06_thin_frction_img/rgb_0570.png</t>
  </si>
  <si>
    <t>fabric05_thin_abrasion_img/rgb_0333.png</t>
  </si>
  <si>
    <t>rgb_0471.png</t>
  </si>
  <si>
    <t>fabric05_thin_cut_img/rgb_0471.png</t>
  </si>
  <si>
    <t>rgb_0710.png</t>
  </si>
  <si>
    <t>rgb_0341.png</t>
  </si>
  <si>
    <t>rgb_0391.png</t>
  </si>
  <si>
    <t>fabric05_thin_abrasion_img/rgb_0341.png</t>
  </si>
  <si>
    <t>fabric05_thin_cut_img/rgb_0391.png</t>
  </si>
  <si>
    <t>rgb_0659.png</t>
  </si>
  <si>
    <t>fabric06_thin_frction_img/rgb_0659.png</t>
  </si>
  <si>
    <t>rgb_0704.png</t>
  </si>
  <si>
    <t>rgb_0376.png</t>
  </si>
  <si>
    <t>rgb_0164.png</t>
  </si>
  <si>
    <t>fabric05_thin_cut_img/rgb_0376.png</t>
  </si>
  <si>
    <t>fabric04_thin_abrasion_img/rgb_0164.png</t>
  </si>
  <si>
    <t>rgb_0572.png</t>
  </si>
  <si>
    <t>fabric06_thin_frction_img/rgb_0572.png</t>
  </si>
  <si>
    <t>rgb_0711.png</t>
  </si>
  <si>
    <t>rgb_0483.png</t>
  </si>
  <si>
    <t>fabric05_thin_cut_img/rgb_0483.png</t>
  </si>
  <si>
    <t>rgb_0787.png</t>
  </si>
  <si>
    <t>rgb_0661.png</t>
  </si>
  <si>
    <t>fabric03_thin_abrasion_img/rgb_0787.png</t>
  </si>
  <si>
    <t>fabric06_thin_frction_img/rgb_0661.png</t>
  </si>
  <si>
    <t>rgb_0480.png</t>
  </si>
  <si>
    <t>rgb_0706.png</t>
  </si>
  <si>
    <t>fabric05_thin_cut_img/rgb_0480.png</t>
  </si>
  <si>
    <t>rgb_0574.png</t>
  </si>
  <si>
    <t>fabric05_thin_abrasion_img/rgb_0337.png</t>
  </si>
  <si>
    <t>fabric06_thin_frction_img/rgb_0574.png</t>
  </si>
  <si>
    <t>rgb_0465.png</t>
  </si>
  <si>
    <t>fabric05_thin_cut_img/rgb_0465.png</t>
  </si>
  <si>
    <t>rgb_0250.png</t>
  </si>
  <si>
    <t>rgb_0658.png</t>
  </si>
  <si>
    <t>rgb_0697.png</t>
  </si>
  <si>
    <t>fabric03_thin_abrasion_img/rgb_0250.png</t>
  </si>
  <si>
    <t>fabric06_thin_frction_img/rgb_0658.png</t>
  </si>
  <si>
    <t>rgb_0375.png</t>
  </si>
  <si>
    <t>fabric05_thin_cut_img/rgb_0375.png</t>
  </si>
  <si>
    <t>rgb_0571.png</t>
  </si>
  <si>
    <t>fabric06_thin_frction_img/rgb_0571.png</t>
  </si>
  <si>
    <t>rgb_0695.png</t>
  </si>
  <si>
    <t>fabric05_thin_abrasion_img/rgb_0338.png</t>
  </si>
  <si>
    <t>rgb_0473.png</t>
  </si>
  <si>
    <t>fabric05_thin_cut_img/rgb_0473.png</t>
  </si>
  <si>
    <t>rgb_0569.png</t>
  </si>
  <si>
    <t>fabric06_thin_frction_img/rgb_0569.png</t>
  </si>
  <si>
    <t>rgb_0867.png</t>
  </si>
  <si>
    <t>fabric04_thin_abrasion_img/rgb_0867.png</t>
  </si>
  <si>
    <t>rgb_0694.png</t>
  </si>
  <si>
    <t>rgb_0470.png</t>
  </si>
  <si>
    <t>fabric05_thin_cut_img/rgb_0470.png</t>
  </si>
  <si>
    <t>rgb_0662.png</t>
  </si>
  <si>
    <t>fabric06_thin_frction_img/rgb_0662.png</t>
  </si>
  <si>
    <t>rgb_0783.png</t>
  </si>
  <si>
    <t>fabric03_thin_abrasion_img/rgb_0783.png</t>
  </si>
  <si>
    <t>rgb_0466.png</t>
  </si>
  <si>
    <t>fabric05_thin_cut_img/rgb_0466.png</t>
  </si>
  <si>
    <t>rgb_0807.png</t>
  </si>
  <si>
    <t>rgb_0655.png</t>
  </si>
  <si>
    <t>fabric06_thin_frction_img/rgb_0655.png</t>
  </si>
  <si>
    <t>rgb_0468.png</t>
  </si>
  <si>
    <t>fabric05_thin_cut_img/rgb_0468.png</t>
  </si>
  <si>
    <t>rgb_0696.png</t>
  </si>
  <si>
    <t>rgb_0340.png</t>
  </si>
  <si>
    <t>fabric05_thin_abrasion_img/rgb_0340.png</t>
  </si>
  <si>
    <t>rgb_0660.png</t>
  </si>
  <si>
    <t>fabric06_thin_frction_img/rgb_0660.png</t>
  </si>
  <si>
    <t>rgb_0475.png</t>
  </si>
  <si>
    <t>fabric05_thin_cut_img/rgb_0475.png</t>
  </si>
  <si>
    <t>rgb_0229.png</t>
  </si>
  <si>
    <t>rgb_0780.png</t>
  </si>
  <si>
    <t>fabric03_thin_abrasion_img/rgb_0780.png</t>
  </si>
  <si>
    <t>rgb_0812.png</t>
  </si>
  <si>
    <t>fabric03_thin_frction_img/rgb_0812.png</t>
  </si>
  <si>
    <t>rgb_0251.png</t>
  </si>
  <si>
    <t>rgb_0479.png</t>
  </si>
  <si>
    <t>fabric05_thin_cut_img/rgb_0479.png</t>
  </si>
  <si>
    <t>rgb_0347.png</t>
  </si>
  <si>
    <t>fabric05_thin_abrasion_img/rgb_0347.png</t>
  </si>
  <si>
    <t>rgb_0654.png</t>
  </si>
  <si>
    <t>rgb_0485.png</t>
  </si>
  <si>
    <t>fabric06_thin_frction_img/rgb_0654.png</t>
  </si>
  <si>
    <t>fabric05_thin_cut_img/rgb_0485.png</t>
  </si>
  <si>
    <t>rgb_0791.png</t>
  </si>
  <si>
    <t>fabric03_thin_abrasion_img/rgb_0791.png</t>
  </si>
  <si>
    <t>rgb_0230.png</t>
  </si>
  <si>
    <t>rgb_0280.png</t>
  </si>
  <si>
    <t>fabric05_thin_cut_img/rgb_0280.png</t>
  </si>
  <si>
    <t>rgb_0651.png</t>
  </si>
  <si>
    <t>fabric06_thin_frction_img/rgb_0651.png</t>
  </si>
  <si>
    <t>fabric03_thin_abrasion_img/rgb_0784.png</t>
  </si>
  <si>
    <t>rgb_0244.png</t>
  </si>
  <si>
    <t>rgb_0467.png</t>
  </si>
  <si>
    <t>rgb_0798.png</t>
  </si>
  <si>
    <t>rgb_0568.png</t>
  </si>
  <si>
    <t>fabric05_thin_cut_img/rgb_0467.png</t>
  </si>
  <si>
    <t>fabric03_thin_abrasion_img/rgb_0798.png</t>
  </si>
  <si>
    <t>fabric06_thin_frction_img/rgb_0568.png</t>
  </si>
  <si>
    <t>rgb_0240.png</t>
  </si>
  <si>
    <t>rgb_0567.png</t>
  </si>
  <si>
    <t>fabric06_thin_frction_img/rgb_0567.png</t>
  </si>
  <si>
    <t>rgb_0336.png</t>
  </si>
  <si>
    <t>fabric05_thin_abrasion_img/rgb_0336.png</t>
  </si>
  <si>
    <t>rgb_0213.png</t>
  </si>
  <si>
    <t>fabric06_thin_cut_img/rgb_0213.png</t>
  </si>
  <si>
    <t>rgb_0247.png</t>
  </si>
  <si>
    <t>rgb_0365.png</t>
  </si>
  <si>
    <t>fabric03_thin_frction_img/rgb_0365.png</t>
  </si>
  <si>
    <t>fabric03_thin_abrasion_img/rgb_0790.png</t>
  </si>
  <si>
    <t>rgb_0462.png</t>
  </si>
  <si>
    <t>fabric05_thin_cut_img/rgb_0462.png</t>
  </si>
  <si>
    <t>fabric03_thin_frction_img/rgb_0374.png</t>
  </si>
  <si>
    <t>rgb_0469.png</t>
  </si>
  <si>
    <t>fabric05_thin_cut_img/rgb_0469.png</t>
  </si>
  <si>
    <t>rgb_0246.png</t>
  </si>
  <si>
    <t>rgb_0343.png</t>
  </si>
  <si>
    <t>fabric05_thin_abrasion_img/rgb_0343.png</t>
  </si>
  <si>
    <t>fabric03_thin_frction_img/rgb_0380.png</t>
  </si>
  <si>
    <t>rgb_0394.png</t>
  </si>
  <si>
    <t>fabric05_thin_cut_img/rgb_0394.png</t>
  </si>
  <si>
    <t>rgb_0238.png</t>
  </si>
  <si>
    <t>rgb_0796.png</t>
  </si>
  <si>
    <t>fabric03_thin_abrasion_img/rgb_0796.png</t>
  </si>
  <si>
    <t>rgb_0373.png</t>
  </si>
  <si>
    <t>fabric03_thin_frction_img/rgb_0373.png</t>
  </si>
  <si>
    <t>rgb_0212.png</t>
  </si>
  <si>
    <t>rgb_0507.png</t>
  </si>
  <si>
    <t>fabric06_thin_cut_img/rgb_0212.png</t>
  </si>
  <si>
    <t>rgb_0774.png</t>
  </si>
  <si>
    <t>fabric05_thin_abrasion_img/rgb_0774.png</t>
  </si>
  <si>
    <t>rgb_0627.png</t>
  </si>
  <si>
    <t>fabric03_thin_frction_img/rgb_0627.png</t>
  </si>
  <si>
    <t>rgb_0216.png</t>
  </si>
  <si>
    <t>rgb_0233.png</t>
  </si>
  <si>
    <t>fabric06_thin_cut_img/rgb_0216.png</t>
  </si>
  <si>
    <t>rgb_0366.png</t>
  </si>
  <si>
    <t>fabric03_thin_frction_img/rgb_0366.png</t>
  </si>
  <si>
    <t>rgb_0249.png</t>
  </si>
  <si>
    <t>fabric03_thin_abrasion_img/rgb_0249.png</t>
  </si>
  <si>
    <t>rgb_0234.png</t>
  </si>
  <si>
    <t>rgb_0211.png</t>
  </si>
  <si>
    <t>fabric06_thin_cut_img/rgb_0211.png</t>
  </si>
  <si>
    <t>fabric03_thin_frction_img/rgb_0379.png</t>
  </si>
  <si>
    <t>rgb_0596.png</t>
  </si>
  <si>
    <t>fabric06_thin_abrasion_img/rgb_0596.png</t>
  </si>
  <si>
    <t>rgb_0232.png</t>
  </si>
  <si>
    <t>rgb_0231.png</t>
  </si>
  <si>
    <t>fabric06_thin_cut_img/rgb_0231.png</t>
  </si>
  <si>
    <t>rgb_0825.png</t>
  </si>
  <si>
    <t>fabric03_thin_frction_img/rgb_0825.png</t>
  </si>
  <si>
    <t>rgb_0349.png</t>
  </si>
  <si>
    <t>fabric05_thin_abrasion_img/rgb_0349.png</t>
  </si>
  <si>
    <t>rgb_0236.png</t>
  </si>
  <si>
    <t>rgb_0215.png</t>
  </si>
  <si>
    <t>fabric06_thin_cut_img/rgb_0215.png</t>
  </si>
  <si>
    <t>rgb_0370.png</t>
  </si>
  <si>
    <t>fabric03_thin_frction_img/rgb_0370.png</t>
  </si>
  <si>
    <t>fabric05_thin_abrasion_img/rgb_0785.png</t>
  </si>
  <si>
    <t>rgb_0372.png</t>
  </si>
  <si>
    <t>fabric05_thin_cut_img/rgb_0372.png</t>
  </si>
  <si>
    <t>rgb_0243.png</t>
  </si>
  <si>
    <t>fabric05_thin_abrasion_img/rgb_0250.png</t>
  </si>
  <si>
    <t>rgb_0371.png</t>
  </si>
  <si>
    <t>fabric03_thin_frction_img/rgb_0371.png</t>
  </si>
  <si>
    <t>rgb_0214.png</t>
  </si>
  <si>
    <t>fabric06_thin_cut_img/rgb_0214.png</t>
  </si>
  <si>
    <t>rgb_0242.png</t>
  </si>
  <si>
    <t>fabric05_thin_cut_img/rgb_0373.png</t>
  </si>
  <si>
    <t>rgb_0257.png</t>
  </si>
  <si>
    <t>fabric05_thin_abrasion_img/rgb_0257.png</t>
  </si>
  <si>
    <t>fabric03_thin_frction_img/rgb_0376.png</t>
  </si>
  <si>
    <t>rgb_0237.png</t>
  </si>
  <si>
    <t>rgb_0463.png</t>
  </si>
  <si>
    <t>fabric05_thin_cut_img/rgb_0463.png</t>
  </si>
  <si>
    <t>fabric06_thin_abrasion_img/rgb_0616.png</t>
  </si>
  <si>
    <t>rgb_0235.png</t>
  </si>
  <si>
    <t>rgb_0362.png</t>
  </si>
  <si>
    <t>fabric03_thin_frction_img/rgb_0362.png</t>
  </si>
  <si>
    <t>rgb_0222.png</t>
  </si>
  <si>
    <t>fabric06_thin_cut_img/rgb_0222.png</t>
  </si>
  <si>
    <t>rgb_0793.png</t>
  </si>
  <si>
    <t>fabric05_thin_abrasion_img/rgb_0793.png</t>
  </si>
  <si>
    <t>rgb_0239.png</t>
  </si>
  <si>
    <t>rgb_0827.png</t>
  </si>
  <si>
    <t>fabric06_thin_cut_img/rgb_0299.png</t>
  </si>
  <si>
    <t>fabric03_thin_frction_img/rgb_0827.png</t>
  </si>
  <si>
    <t>rgb_0792.png</t>
  </si>
  <si>
    <t>fabric03_thin_abrasion_img/rgb_0792.png</t>
  </si>
  <si>
    <t>rgb_0228.png</t>
  </si>
  <si>
    <t>fabric06_thin_cut_img/rgb_0228.png</t>
  </si>
  <si>
    <t>rgb_0368.png</t>
  </si>
  <si>
    <t>fabric03_thin_frction_img/rgb_0368.png</t>
  </si>
  <si>
    <t>rgb_0592.png</t>
  </si>
  <si>
    <t>fabric06_thin_abrasion_img/rgb_0592.png</t>
  </si>
  <si>
    <t>rgb_0241.png</t>
  </si>
  <si>
    <t>fabric06_thin_cut_img/rgb_0298.png</t>
  </si>
  <si>
    <t>rgb_0255.png</t>
  </si>
  <si>
    <t>fabric03_thin_frction_img/rgb_0375.png</t>
  </si>
  <si>
    <t>fabric05_thin_abrasion_img/rgb_0255.png</t>
  </si>
  <si>
    <t>rgb_0248.png</t>
  </si>
  <si>
    <t>rgb_0741.png</t>
  </si>
  <si>
    <t>fabric05_thin_cut_img/rgb_0741.png</t>
  </si>
  <si>
    <t>rgb_0811.png</t>
  </si>
  <si>
    <t>rgb_0331.png</t>
  </si>
  <si>
    <t>fabric03_thin_frction_img/rgb_0811.png</t>
  </si>
  <si>
    <t>fabric05_thin_abrasion_img/rgb_0331.png</t>
  </si>
  <si>
    <t>fabric06_thin_cut_img/rgb_0209.png</t>
  </si>
  <si>
    <t>rgb_0369.png</t>
  </si>
  <si>
    <t>fabric03_thin_frction_img/rgb_0369.png</t>
  </si>
  <si>
    <t>fabric06_thin_abrasion_img/rgb_0599.png</t>
  </si>
  <si>
    <t>rgb_0363.png</t>
  </si>
  <si>
    <t>fabric06_thin_cut_img/rgb_0210.png</t>
  </si>
  <si>
    <t>fabric03_thin_frction_img/rgb_0363.png</t>
  </si>
  <si>
    <t>rgb_0880.png</t>
  </si>
  <si>
    <t>rgb_0335.png</t>
  </si>
  <si>
    <t>fabric05_thin_abrasion_img/rgb_0335.png</t>
  </si>
  <si>
    <t>rgb_0628.png</t>
  </si>
  <si>
    <t>fabric03_thin_frction_img/rgb_0628.png</t>
  </si>
  <si>
    <t>rgb_0187.png</t>
  </si>
  <si>
    <t>fabric05_thin_cut_img/rgb_0187.png</t>
  </si>
  <si>
    <t>rgb_0330.png</t>
  </si>
  <si>
    <t>fabric06_thin_abrasion_img/rgb_0330.png</t>
  </si>
  <si>
    <t>rgb_0818.png</t>
  </si>
  <si>
    <t>fabric03_thin_frction_img/rgb_0818.png</t>
  </si>
  <si>
    <t>rgb_0486.png</t>
  </si>
  <si>
    <t>rgb_0525.png</t>
  </si>
  <si>
    <t>fabric06_thin_cut_img/rgb_0486.png</t>
  </si>
  <si>
    <t>rgb_0334.png</t>
  </si>
  <si>
    <t>fabric05_thin_abrasion_img/rgb_0334.png</t>
  </si>
  <si>
    <t>rgb_0527.png</t>
  </si>
  <si>
    <t>rgb_0809.png</t>
  </si>
  <si>
    <t>fabric03_thin_frction_img/rgb_0809.png</t>
  </si>
  <si>
    <t>fabric06_thin_cut_img/rgb_0484.png</t>
  </si>
  <si>
    <t>rgb_0788.png</t>
  </si>
  <si>
    <t>fabric03_thin_abrasion_img/rgb_0788.png</t>
  </si>
  <si>
    <t>rgb_0520.png</t>
  </si>
  <si>
    <t>rgb_0820.png</t>
  </si>
  <si>
    <t>fabric03_thin_frction_img/rgb_0820.png</t>
  </si>
  <si>
    <t>fabric06_thin_cut_img/rgb_0483.png</t>
  </si>
  <si>
    <t>rgb_0778.png</t>
  </si>
  <si>
    <t>fabric05_thin_abrasion_img/rgb_0778.png</t>
  </si>
  <si>
    <t>rgb_0810.png</t>
  </si>
  <si>
    <t>fabric03_thin_frction_img/rgb_0810.png</t>
  </si>
  <si>
    <t>rgb_0494.png</t>
  </si>
  <si>
    <t>fabric06_thin_cut_img/rgb_0494.png</t>
  </si>
  <si>
    <t>rgb_0524.png</t>
  </si>
  <si>
    <t>rgb_0808.png</t>
  </si>
  <si>
    <t>fabric03_thin_frction_img/rgb_0808.png</t>
  </si>
  <si>
    <t>rgb_0354.png</t>
  </si>
  <si>
    <t>fabric05_thin_abrasion_img/rgb_0354.png</t>
  </si>
  <si>
    <t>rgb_0490.png</t>
  </si>
  <si>
    <t>fabric06_thin_cut_img/rgb_0490.png</t>
  </si>
  <si>
    <t>rgb_0813.png</t>
  </si>
  <si>
    <t>fabric03_thin_frction_img/rgb_0813.png</t>
  </si>
  <si>
    <t>rgb_0802.png</t>
  </si>
  <si>
    <t>rgb_0528.png</t>
  </si>
  <si>
    <t>fabric03_thin_abrasion_img/rgb_0802.png</t>
  </si>
  <si>
    <t>rgb_0821.png</t>
  </si>
  <si>
    <t>fabric03_thin_frction_img/rgb_0821.png</t>
  </si>
  <si>
    <t>fabric06_thin_cut_img/rgb_0485.png</t>
  </si>
  <si>
    <t>rgb_0519.png</t>
  </si>
  <si>
    <t>rgb_0258.png</t>
  </si>
  <si>
    <t>rgb_0817.png</t>
  </si>
  <si>
    <t>fabric05_thin_abrasion_img/rgb_0258.png</t>
  </si>
  <si>
    <t>fabric03_thin_frction_img/rgb_0817.png</t>
  </si>
  <si>
    <t>rgb_0493.png</t>
  </si>
  <si>
    <t>fabric06_thin_cut_img/rgb_0493.png</t>
  </si>
  <si>
    <t>rgb_0801.png</t>
  </si>
  <si>
    <t>fabric03_thin_abrasion_img/rgb_0801.png</t>
  </si>
  <si>
    <t>fabric03_thin_frction_img/rgb_0651.png</t>
  </si>
  <si>
    <t>rgb_0487.png</t>
  </si>
  <si>
    <t>fabric06_thin_cut_img/rgb_0487.png</t>
  </si>
  <si>
    <t>rgb_0515.png</t>
  </si>
  <si>
    <t>fabric05_thin_abrasion_img/rgb_0246.png</t>
  </si>
  <si>
    <t>rgb_0826.png</t>
  </si>
  <si>
    <t>fabric03_thin_frction_img/rgb_0826.png</t>
  </si>
  <si>
    <t>rgb_0491.png</t>
  </si>
  <si>
    <t>fabric06_thin_cut_img/rgb_0491.png</t>
  </si>
  <si>
    <t>fabric05_thin_abrasion_img/rgb_0251.png</t>
  </si>
  <si>
    <t>rgb_0522.png</t>
  </si>
  <si>
    <t>rgb_0814.png</t>
  </si>
  <si>
    <t>fabric03_thin_frction_img/rgb_0814.png</t>
  </si>
  <si>
    <t>fabric06_thin_cut_img/rgb_0482.png</t>
  </si>
  <si>
    <t>fabric05_thin_abrasion_img/rgb_0784.png</t>
  </si>
  <si>
    <t>rgb_0815.png</t>
  </si>
  <si>
    <t>fabric03_thin_frction_img/rgb_0815.png</t>
  </si>
  <si>
    <t>rgb_0804.png</t>
  </si>
  <si>
    <t>fabric05_thin_cut_img/rgb_0371.png</t>
  </si>
  <si>
    <t>rgb_0819.png</t>
  </si>
  <si>
    <t>fabric05_thin_abrasion_img/rgb_0249.png</t>
  </si>
  <si>
    <t>fabric03_thin_frction_img/rgb_0819.png</t>
  </si>
  <si>
    <t>rgb_0492.png</t>
  </si>
  <si>
    <t>fabric06_thin_cut_img/rgb_0492.png</t>
  </si>
  <si>
    <t>rgb_0777.png</t>
  </si>
  <si>
    <t>fabric05_thin_abrasion_img/rgb_0777.png</t>
  </si>
  <si>
    <t>rgb_0364.png</t>
  </si>
  <si>
    <t>rgb_0523.png</t>
  </si>
  <si>
    <t>fabric03_thin_frction_img/rgb_0364.png</t>
  </si>
  <si>
    <t>rgb_0856.png</t>
  </si>
  <si>
    <t>fabric05_thin_cut_img/rgb_0856.png</t>
  </si>
  <si>
    <t>rgb_0262.png</t>
  </si>
  <si>
    <t>fabric05_thin_abrasion_img/rgb_0262.png</t>
  </si>
  <si>
    <t>fabric03_thin_frction_img/rgb_0372.png</t>
  </si>
  <si>
    <t>rgb_0512.png</t>
  </si>
  <si>
    <t>rgb_0488.png</t>
  </si>
  <si>
    <t>fabric06_thin_cut_img/rgb_0488.png</t>
  </si>
  <si>
    <t>rgb_0266.png</t>
  </si>
  <si>
    <t>fabric05_thin_abrasion_img/rgb_0266.png</t>
  </si>
  <si>
    <t>rgb_0823.png</t>
  </si>
  <si>
    <t>fabric03_thin_frction_img/rgb_0823.png</t>
  </si>
  <si>
    <t>rgb_0513.png</t>
  </si>
  <si>
    <t>fabric06_thin_cut_img/rgb_0477.png</t>
  </si>
  <si>
    <t>fabric06_thin_abrasion_img/rgb_0604.png</t>
  </si>
  <si>
    <t>fabric06_thin_frction_img/rgb_0485.png</t>
  </si>
  <si>
    <t>fabric06_thin_cut_img/rgb_0476.png</t>
  </si>
  <si>
    <t>rgb_0067.png</t>
  </si>
  <si>
    <t>fabric06_thin_abrasion_img/rgb_0067.png</t>
  </si>
  <si>
    <t>rgb_0517.png</t>
  </si>
  <si>
    <t>rgb_0816.png</t>
  </si>
  <si>
    <t>fabric03_thin_frction_img/rgb_0816.png</t>
  </si>
  <si>
    <t>fabric06_thin_cut_img/rgb_0480.png</t>
  </si>
  <si>
    <t>rgb_0797.png</t>
  </si>
  <si>
    <t>fabric03_thin_abrasion_img/rgb_0797.png</t>
  </si>
  <si>
    <t>rgb_0514.png</t>
  </si>
  <si>
    <t>rgb_0367.png</t>
  </si>
  <si>
    <t>fabric03_thin_frction_img/rgb_0367.png</t>
  </si>
  <si>
    <t>rgb_0263.png</t>
  </si>
  <si>
    <t>fabric06_thin_cut_img/rgb_0481.png</t>
  </si>
  <si>
    <t>fabric05_thin_abrasion_img/rgb_0263.png</t>
  </si>
  <si>
    <t>rgb_0526.png</t>
  </si>
  <si>
    <t>fabric03_thin_frction_img/rgb_0378.png</t>
  </si>
  <si>
    <t>fabric06_thin_cut_img/rgb_0479.png</t>
  </si>
  <si>
    <t>rgb_0511.png</t>
  </si>
  <si>
    <t>fabric05_thin_abrasion_img/rgb_0252.png</t>
  </si>
  <si>
    <t>fabric03_thin_frction_img/rgb_0377.png</t>
  </si>
  <si>
    <t>rgb_0489.png</t>
  </si>
  <si>
    <t>fabric06_thin_cut_img/rgb_0489.png</t>
  </si>
  <si>
    <t>rgb_0508.png</t>
  </si>
  <si>
    <t>fabric06_thin_abrasion_img/rgb_0601.png</t>
  </si>
  <si>
    <t>fabric06_thin_cut_img/rgb_0478.png</t>
  </si>
  <si>
    <t>rgb_0361.png</t>
  </si>
  <si>
    <t>fabric03_thin_frction_img/rgb_0361.png</t>
  </si>
  <si>
    <t>rgb_0794.png</t>
  </si>
  <si>
    <t>rgb_0254.png</t>
  </si>
  <si>
    <t>fabric05_thin_abrasion_img/rgb_0254.png</t>
  </si>
  <si>
    <t>rgb_0495.png</t>
  </si>
  <si>
    <t>fabric06_thin_cut_img/rgb_0495.png</t>
  </si>
  <si>
    <t>rgb_0805.png</t>
  </si>
  <si>
    <t>fabric06_thin_frction_img/rgb_0493.png</t>
  </si>
  <si>
    <t>fabric05_thin_abrasion_img/rgb_0248.png</t>
  </si>
  <si>
    <t>rgb_0320.png</t>
  </si>
  <si>
    <t>fabric06_thin_cut_img/rgb_0320.png</t>
  </si>
  <si>
    <t>rgb_0521.png</t>
  </si>
  <si>
    <t>fabric06_thin_abrasion_img/rgb_0615.png</t>
  </si>
  <si>
    <t>fabric06_thin_frction_img/rgb_0649.png</t>
  </si>
  <si>
    <t>rgb_0516.png</t>
  </si>
  <si>
    <t>rgb_0746.png</t>
  </si>
  <si>
    <t>fabric06_thin_cut_img/rgb_0746.png</t>
  </si>
  <si>
    <t>fabric05_thin_abrasion_img/rgb_0782.png</t>
  </si>
  <si>
    <t>rgb_0800.png</t>
  </si>
  <si>
    <t>fabric06_thin_frction_img/rgb_0479.png</t>
  </si>
  <si>
    <t>rgb_0745.png</t>
  </si>
  <si>
    <t>fabric06_thin_cut_img/rgb_0745.png</t>
  </si>
  <si>
    <t>rgb_0799.png</t>
  </si>
  <si>
    <t>fabric03_thin_abrasion_img/rgb_0799.png</t>
  </si>
  <si>
    <t>rgb_0748.png</t>
  </si>
  <si>
    <t>fabric06_thin_cut_img/rgb_0748.png</t>
  </si>
  <si>
    <t>fabric06_thin_frction_img/rgb_0488.png</t>
  </si>
  <si>
    <t>fabric05_thin_abrasion_img/rgb_0780.png</t>
  </si>
  <si>
    <t>rgb_0728.png</t>
  </si>
  <si>
    <t>rgb_0749.png</t>
  </si>
  <si>
    <t>fabric03_thin_frction_img/rgb_0728.png</t>
  </si>
  <si>
    <t>fabric06_thin_cut_img/rgb_0749.png</t>
  </si>
  <si>
    <t>rgb_0518.png</t>
  </si>
  <si>
    <t>rgb_0260.png</t>
  </si>
  <si>
    <t>fabric05_thin_abrasion_img/rgb_0260.png</t>
  </si>
  <si>
    <t>rgb_0730.png</t>
  </si>
  <si>
    <t>rgb_0747.png</t>
  </si>
  <si>
    <t>fabric03_thin_frction_img/rgb_0730.png</t>
  </si>
  <si>
    <t>fabric06_thin_cut_img/rgb_0747.png</t>
  </si>
  <si>
    <t>rgb_0261.png</t>
  </si>
  <si>
    <t>fabric05_thin_abrasion_img/rgb_0261.png</t>
  </si>
  <si>
    <t>rgb_0509.png</t>
  </si>
  <si>
    <t>fabric03_thin_frction_img/rgb_0381.png</t>
  </si>
  <si>
    <t>rgb_0219.png</t>
  </si>
  <si>
    <t>fabric06_thin_cut_img/rgb_0219.png</t>
  </si>
  <si>
    <t>fabric05_thin_abrasion_img/rgb_0783.png</t>
  </si>
  <si>
    <t>rgb_0270.png</t>
  </si>
  <si>
    <t>fabric03_thin_frction_img/rgb_0270.png</t>
  </si>
  <si>
    <t>rgb_0221.png</t>
  </si>
  <si>
    <t>fabric06_thin_cut_img/rgb_0221.png</t>
  </si>
  <si>
    <t>fabric06_thin_abrasion_img/rgb_0609.png</t>
  </si>
  <si>
    <t>fabric06_thin_frction_img/rgb_0489.png</t>
  </si>
  <si>
    <t>rgb_0226.png</t>
  </si>
  <si>
    <t>fabric06_thin_cut_img/rgb_0226.png</t>
  </si>
  <si>
    <t>rgb_0256.png</t>
  </si>
  <si>
    <t>fabric05_thin_abrasion_img/rgb_0256.png</t>
  </si>
  <si>
    <t>fabric06_thin_frction_img/rgb_0492.png</t>
  </si>
  <si>
    <t>fabric06_thin_cut_img/rgb_0390.png</t>
  </si>
  <si>
    <t>rgb_0773.png</t>
  </si>
  <si>
    <t>fabric06_thin_abrasion_img/rgb_0773.png</t>
  </si>
  <si>
    <t>rgb_0510.png</t>
  </si>
  <si>
    <t>fabric06_thin_frction_img/rgb_0480.png</t>
  </si>
  <si>
    <t>rgb_0764.png</t>
  </si>
  <si>
    <t>fabric06_thin_cut_img/rgb_0764.png</t>
  </si>
  <si>
    <t>rgb_0253.png</t>
  </si>
  <si>
    <t>fabric05_thin_abrasion_img/rgb_0253.png</t>
  </si>
  <si>
    <t>fabric06_thin_frction_img/rgb_0490.png</t>
  </si>
  <si>
    <t>rgb_0224.png</t>
  </si>
  <si>
    <t>fabric06_thin_cut_img/rgb_0224.png</t>
  </si>
  <si>
    <t>fabric06_thin_abrasion_img/rgb_0415.png</t>
  </si>
  <si>
    <t>fabric06_thin_frction_img/rgb_0476.png</t>
  </si>
  <si>
    <t>rgb_0750.png</t>
  </si>
  <si>
    <t>fabric06_thin_cut_img/rgb_0750.png</t>
  </si>
  <si>
    <t>fabric05_thin_abrasion_img/rgb_0781.png</t>
  </si>
  <si>
    <t>rgb_0273.png</t>
  </si>
  <si>
    <t>fabric03_thin_frction_img/rgb_0273.png</t>
  </si>
  <si>
    <t>rgb_0218.png</t>
  </si>
  <si>
    <t>fabric06_thin_cut_img/rgb_0218.png</t>
  </si>
  <si>
    <t>fabric05_thin_abrasion_img/rgb_0789.png</t>
  </si>
  <si>
    <t>rgb_0225.png</t>
  </si>
  <si>
    <t>fabric06_thin_cut_img/rgb_0225.png</t>
  </si>
  <si>
    <t>fabric03_thin_frction_img/rgb_0824.png</t>
  </si>
  <si>
    <t>fabric06_thin_abrasion_img/rgb_0598.png</t>
  </si>
  <si>
    <t>rgb_0742.png</t>
  </si>
  <si>
    <t>fabric05_thin_cut_img/rgb_0742.png</t>
  </si>
  <si>
    <t>fabric03_thin_frction_img/rgb_0280.png</t>
  </si>
  <si>
    <t>fabric05_thin_abrasion_img/rgb_0267.png</t>
  </si>
  <si>
    <t>fabric06_thin_cut_img/rgb_0389.png</t>
  </si>
  <si>
    <t>rgb_0274.png</t>
  </si>
  <si>
    <t>fabric03_thin_frction_img/rgb_0274.png</t>
  </si>
  <si>
    <t>rgb_0779.png</t>
  </si>
  <si>
    <t>fabric05_thin_abrasion_img/rgb_0779.png</t>
  </si>
  <si>
    <t>rgb_0806.png</t>
  </si>
  <si>
    <t>rgb_0753.png</t>
  </si>
  <si>
    <t>fabric06_thin_cut_img/rgb_0753.png</t>
  </si>
  <si>
    <t>fabric04_thin_frction_img/rgb_0197.png</t>
  </si>
  <si>
    <t>rgb_0265.png</t>
  </si>
  <si>
    <t>fabric05_thin_abrasion_img/rgb_0265.png</t>
  </si>
  <si>
    <t>rgb_0325.png</t>
  </si>
  <si>
    <t>rgb_0762.png</t>
  </si>
  <si>
    <t>fabric05_thin_cut_img/rgb_0762.png</t>
  </si>
  <si>
    <t>rgb_0534.png</t>
  </si>
  <si>
    <t>fabric03_thin_frction_img/rgb_0534.png</t>
  </si>
  <si>
    <t>fabric05_thin_abrasion_img/rgb_0773.png</t>
  </si>
  <si>
    <t>fabric06_thin_cut_img/rgb_0230.png</t>
  </si>
  <si>
    <t>rgb_0271.png</t>
  </si>
  <si>
    <t>fabric03_thin_frction_img/rgb_0271.png</t>
  </si>
  <si>
    <t>rgb_0264.png</t>
  </si>
  <si>
    <t>fabric05_thin_abrasion_img/rgb_0264.png</t>
  </si>
  <si>
    <t>rgb_0227.png</t>
  </si>
  <si>
    <t>fabric06_thin_cut_img/rgb_0227.png</t>
  </si>
  <si>
    <t>rgb_0279.png</t>
  </si>
  <si>
    <t>fabric03_thin_frction_img/rgb_0279.png</t>
  </si>
  <si>
    <t>fabric03_thin_abrasion_img/rgb_0794.png</t>
  </si>
  <si>
    <t>rgb_0803.png</t>
  </si>
  <si>
    <t>rgb_0752.png</t>
  </si>
  <si>
    <t>fabric06_thin_cut_img/rgb_0752.png</t>
  </si>
  <si>
    <t>fabric06_thin_frction_img/rgb_0483.png</t>
  </si>
  <si>
    <t>rgb_0259.png</t>
  </si>
  <si>
    <t>fabric05_thin_abrasion_img/rgb_0259.png</t>
  </si>
  <si>
    <t>fabric06_thin_cut_img/rgb_0391.png</t>
  </si>
  <si>
    <t>fabric06_thin_frction_img/rgb_0825.png</t>
  </si>
  <si>
    <t>fabric05_thin_abrasion_img/rgb_0247.png</t>
  </si>
  <si>
    <t>rgb_0751.png</t>
  </si>
  <si>
    <t>rgb_0272.png</t>
  </si>
  <si>
    <t>fabric06_thin_cut_img/rgb_0751.png</t>
  </si>
  <si>
    <t>fabric03_thin_frction_img/rgb_0272.png</t>
  </si>
  <si>
    <t>fabric06_thin_abrasion_img/rgb_0606.png</t>
  </si>
  <si>
    <t>rgb_0217.png</t>
  </si>
  <si>
    <t>rgb_0828.png</t>
  </si>
  <si>
    <t>fabric06_thin_cut_img/rgb_0217.png</t>
  </si>
  <si>
    <t>fabric03_thin_frction_img/rgb_0828.png</t>
  </si>
  <si>
    <t>fabric06_thin_abrasion_img/rgb_0156.png</t>
  </si>
  <si>
    <t>rgb_0277.png</t>
  </si>
  <si>
    <t>fabric03_thin_frction_img/rgb_0277.png</t>
  </si>
  <si>
    <t>rgb_0756.png</t>
  </si>
  <si>
    <t>fabric06_thin_cut_img/rgb_0756.png</t>
  </si>
  <si>
    <t>fabric06_thin_abrasion_img/rgb_0244.png</t>
  </si>
  <si>
    <t>fabric06_thin_frction_img/rgb_0486.png</t>
  </si>
  <si>
    <t>rgb_0839.png</t>
  </si>
  <si>
    <t>fabric06_thin_cut_img/rgb_0839.png</t>
  </si>
  <si>
    <t>fabric06_thin_abrasion_img/rgb_0613.png</t>
  </si>
  <si>
    <t>fabric06_thin_frction_img/rgb_0491.png</t>
  </si>
  <si>
    <t>rgb_0754.png</t>
  </si>
  <si>
    <t>fabric06_thin_cut_img/rgb_0754.png</t>
  </si>
  <si>
    <t>rgb_0073.png</t>
  </si>
  <si>
    <t>fabric06_thin_abrasion_img/rgb_0073.png</t>
  </si>
  <si>
    <t>rgb_0886.png</t>
  </si>
  <si>
    <t>rgb_0736.png</t>
  </si>
  <si>
    <t>rgb_0761.png</t>
  </si>
  <si>
    <t>fabric03_thin_frction_img/rgb_0736.png</t>
  </si>
  <si>
    <t>fabric06_thin_cut_img/rgb_0761.png</t>
  </si>
  <si>
    <t>rgb_0504.png</t>
  </si>
  <si>
    <t>fabric06_thin_abrasion_img/rgb_0504.png</t>
  </si>
  <si>
    <t>fabric03_thin_frction_img/rgb_0282.png</t>
  </si>
  <si>
    <t>rgb_0842.png</t>
  </si>
  <si>
    <t>fabric06_thin_cut_img/rgb_0842.png</t>
  </si>
  <si>
    <t>rgb_0327.png</t>
  </si>
  <si>
    <t>fabric05_thin_abrasion_img/rgb_0790.png</t>
  </si>
  <si>
    <t>fabric03_thin_frction_img/rgb_0287.png</t>
  </si>
  <si>
    <t>rgb_0841.png</t>
  </si>
  <si>
    <t>fabric06_thin_cut_img/rgb_0841.png</t>
  </si>
  <si>
    <t>rgb_0595.png</t>
  </si>
  <si>
    <t>fabric06_thin_abrasion_img/rgb_0595.png</t>
  </si>
  <si>
    <t>fabric03_thin_frction_img/rgb_0284.png</t>
  </si>
  <si>
    <t>rgb_0840.png</t>
  </si>
  <si>
    <t>fabric06_thin_cut_img/rgb_0840.png</t>
  </si>
  <si>
    <t>rgb_0881.png</t>
  </si>
  <si>
    <t>fabric05_thin_abrasion_img/rgb_0788.png</t>
  </si>
  <si>
    <t>fabric03_thin_frction_img/rgb_0285.png</t>
  </si>
  <si>
    <t>rgb_0406.png</t>
  </si>
  <si>
    <t>fabric06_thin_cut_img/rgb_0406.png</t>
  </si>
  <si>
    <t>rgb_0326.png</t>
  </si>
  <si>
    <t>fabric05_thin_abrasion_img/rgb_0792.png</t>
  </si>
  <si>
    <t>rgb_0846.png</t>
  </si>
  <si>
    <t>fabric06_thin_cut_img/rgb_0846.png</t>
  </si>
  <si>
    <t>rgb_0535.png</t>
  </si>
  <si>
    <t>fabric03_thin_frction_img/rgb_0535.png</t>
  </si>
  <si>
    <t>rgb_0324.png</t>
  </si>
  <si>
    <t>fabric05_thin_abrasion_img/rgb_0786.png</t>
  </si>
  <si>
    <t>rgb_0843.png</t>
  </si>
  <si>
    <t>fabric06_thin_cut_img/rgb_0843.png</t>
  </si>
  <si>
    <t>fabric03_thin_frction_img/rgb_0289.png</t>
  </si>
  <si>
    <t>rgb_0894.png</t>
  </si>
  <si>
    <t>fabric06_thin_abrasion_img/rgb_0611.png</t>
  </si>
  <si>
    <t>rgb_0758.png</t>
  </si>
  <si>
    <t>fabric06_thin_cut_img/rgb_0758.png</t>
  </si>
  <si>
    <t>rgb_0278.png</t>
  </si>
  <si>
    <t>fabric03_thin_frction_img/rgb_0278.png</t>
  </si>
  <si>
    <t>rgb_0900.png</t>
  </si>
  <si>
    <t>fabric01_thin_abrasion_img/rgb_0284.png</t>
  </si>
  <si>
    <t>rgb_0760.png</t>
  </si>
  <si>
    <t>fabric06_thin_cut_img/rgb_0760.png</t>
  </si>
  <si>
    <t>rgb_0653.png</t>
  </si>
  <si>
    <t>fabric06_thin_frction_img/rgb_0653.png</t>
  </si>
  <si>
    <t>fabric05_thin_abrasion_img/rgb_0787.png</t>
  </si>
  <si>
    <t>rgb_0845.png</t>
  </si>
  <si>
    <t>fabric06_thin_cut_img/rgb_0845.png</t>
  </si>
  <si>
    <t>rgb_0671.png</t>
  </si>
  <si>
    <t>fabric06_thin_frction_img/rgb_0671.png</t>
  </si>
  <si>
    <t>fabric06_thin_abrasion_img/rgb_0600.png</t>
  </si>
  <si>
    <t>rgb_0759.png</t>
  </si>
  <si>
    <t>fabric06_thin_cut_img/rgb_0759.png</t>
  </si>
  <si>
    <t>rgb_0731.png</t>
  </si>
  <si>
    <t>fabric03_thin_frction_img/rgb_0731.png</t>
  </si>
  <si>
    <t>rgb_0329.png</t>
  </si>
  <si>
    <t>rgb_0837.png</t>
  </si>
  <si>
    <t>fabric01_thin_abrasion_img/rgb_0278.png</t>
  </si>
  <si>
    <t>fabric06_thin_cut_img/rgb_0837.png</t>
  </si>
  <si>
    <t>rgb_0276.png</t>
  </si>
  <si>
    <t>fabric03_thin_frction_img/rgb_0276.png</t>
  </si>
  <si>
    <t>rgb_0883.png</t>
  </si>
  <si>
    <t>rgb_0852.png</t>
  </si>
  <si>
    <t>fabric06_thin_cut_img/rgb_0852.png</t>
  </si>
  <si>
    <t>fabric01_thin_abrasion_img/rgb_0274.png</t>
  </si>
  <si>
    <t>rgb_0275.png</t>
  </si>
  <si>
    <t>fabric03_thin_frction_img/rgb_0275.png</t>
  </si>
  <si>
    <t>rgb_0882.png</t>
  </si>
  <si>
    <t>rgb_0844.png</t>
  </si>
  <si>
    <t>fabric01_thin_abrasion_img/rgb_0364.png</t>
  </si>
  <si>
    <t>fabric06_thin_cut_img/rgb_0844.png</t>
  </si>
  <si>
    <t>rgb_0657.png</t>
  </si>
  <si>
    <t>fabric06_thin_frction_img/rgb_0657.png</t>
  </si>
  <si>
    <t>rgb_0891.png</t>
  </si>
  <si>
    <t>rgb_0854.png</t>
  </si>
  <si>
    <t>fabric06_thin_cut_img/rgb_0854.png</t>
  </si>
  <si>
    <t>fabric06_thin_abrasion_img/rgb_0515.png</t>
  </si>
  <si>
    <t>fabric03_thin_frction_img/rgb_0288.png</t>
  </si>
  <si>
    <t>rgb_0889.png</t>
  </si>
  <si>
    <t>rgb_0757.png</t>
  </si>
  <si>
    <t>fabric06_thin_cut_img/rgb_0757.png</t>
  </si>
  <si>
    <t>fabric05_thin_abrasion_img/rgb_0794.png</t>
  </si>
  <si>
    <t>rgb_0360.png</t>
  </si>
  <si>
    <t>fabric03_thin_frction_img/rgb_0360.png</t>
  </si>
  <si>
    <t>rgb_0898.png</t>
  </si>
  <si>
    <t>rgb_0223.png</t>
  </si>
  <si>
    <t>rgb_0268.png</t>
  </si>
  <si>
    <t>fabric06_thin_cut_img/rgb_0223.png</t>
  </si>
  <si>
    <t>fabric01_thin_abrasion_img/rgb_0268.png</t>
  </si>
  <si>
    <t>fabric03_thin_frction_img/rgb_0283.png</t>
  </si>
  <si>
    <t>rgb_0895.png</t>
  </si>
  <si>
    <t>rgb_0848.png</t>
  </si>
  <si>
    <t>fabric06_thin_cut_img/rgb_0848.png</t>
  </si>
  <si>
    <t>rgb_0077.png</t>
  </si>
  <si>
    <t>fabric06_thin_abrasion_img/rgb_0077.png</t>
  </si>
  <si>
    <t>fabric03_thin_frction_img/rgb_0286.png</t>
  </si>
  <si>
    <t>rgb_0416.png</t>
  </si>
  <si>
    <t>rgb_0849.png</t>
  </si>
  <si>
    <t>fabric06_thin_cut_img/rgb_0849.png</t>
  </si>
  <si>
    <t>fabric06_thin_abrasion_img/rgb_0603.png</t>
  </si>
  <si>
    <t>rgb_0663.png</t>
  </si>
  <si>
    <t>rgb_0893.png</t>
  </si>
  <si>
    <t>fabric06_thin_frction_img/rgb_0663.png</t>
  </si>
  <si>
    <t>fabric06_thin_cut_img/rgb_0229.png</t>
  </si>
  <si>
    <t>fabric05_thin_abrasion_img/rgb_0791.png</t>
  </si>
  <si>
    <t>rgb_0668.png</t>
  </si>
  <si>
    <t>rgb_0884.png</t>
  </si>
  <si>
    <t>fabric06_thin_frction_img/rgb_0668.png</t>
  </si>
  <si>
    <t>rgb_0850.png</t>
  </si>
  <si>
    <t>fabric06_thin_cut_img/rgb_0850.png</t>
  </si>
  <si>
    <t>fabric01_thin_abrasion_img/rgb_0619.png</t>
  </si>
  <si>
    <t>rgb_0558.png</t>
  </si>
  <si>
    <t>rgb_0892.png</t>
  </si>
  <si>
    <t>fabric03_thin_frction_img/rgb_0558.png</t>
  </si>
  <si>
    <t>rgb_0851.png</t>
  </si>
  <si>
    <t>fabric06_thin_cut_img/rgb_0851.png</t>
  </si>
  <si>
    <t>fabric01_thin_abrasion_img/rgb_0271.png</t>
  </si>
  <si>
    <t>fabric03_thin_frction_img/rgb_0281.png</t>
  </si>
  <si>
    <t>rgb_0890.png</t>
  </si>
  <si>
    <t>rgb_0855.png</t>
  </si>
  <si>
    <t>fabric06_thin_cut_img/rgb_0855.png</t>
  </si>
  <si>
    <t>fabric06_thin_abrasion_img/rgb_0416.png</t>
  </si>
  <si>
    <t>rgb_0726.png</t>
  </si>
  <si>
    <t>fabric03_thin_frction_img/rgb_0726.png</t>
  </si>
  <si>
    <t>rgb_0433.png</t>
  </si>
  <si>
    <t>rgb_0847.png</t>
  </si>
  <si>
    <t>fabric06_thin_cut_img/rgb_0847.png</t>
  </si>
  <si>
    <t>fabric06_thin_abrasion_img/rgb_0774.png</t>
  </si>
  <si>
    <t>rgb_0672.png</t>
  </si>
  <si>
    <t>rgb_0885.png</t>
  </si>
  <si>
    <t>fabric06_thin_frction_img/rgb_0672.png</t>
  </si>
  <si>
    <t>rgb_0853.png</t>
  </si>
  <si>
    <t>fabric06_thin_cut_img/rgb_0853.png</t>
  </si>
  <si>
    <t>fabric01_thin_abrasion_img/rgb_0279.png</t>
  </si>
  <si>
    <t>rgb_0667.png</t>
  </si>
  <si>
    <t>rgb_0888.png</t>
  </si>
  <si>
    <t>fabric06_thin_frction_img/rgb_0667.png</t>
  </si>
  <si>
    <t>fabric06_thin_cut_img/rgb_0762.png</t>
  </si>
  <si>
    <t>fabric01_thin_abrasion_img/rgb_0275.png</t>
  </si>
  <si>
    <t>rgb_0591.png</t>
  </si>
  <si>
    <t>rgb_0887.png</t>
  </si>
  <si>
    <t>fabric01_thin_frction_img/rgb_0591.png</t>
  </si>
  <si>
    <t>rgb_0755.png</t>
  </si>
  <si>
    <t>fabric06_thin_cut_img/rgb_0755.png</t>
  </si>
  <si>
    <t>fabric01_thin_abrasion_img/rgb_0362.png</t>
  </si>
  <si>
    <t>rgb_0899.png</t>
  </si>
  <si>
    <t>rgb_0733.png</t>
  </si>
  <si>
    <t>fabric03_thin_frction_img/rgb_0733.png</t>
  </si>
  <si>
    <t>fabric06_thin_cut_img/rgb_0394.png</t>
  </si>
  <si>
    <t>fabric01_thin_abrasion_img/rgb_0277.png</t>
  </si>
  <si>
    <t>rgb_0427.png</t>
  </si>
  <si>
    <t>fabric06_thin_frction_img/rgb_0484.png</t>
  </si>
  <si>
    <t>rgb_0395.png</t>
  </si>
  <si>
    <t>fabric06_thin_cut_img/rgb_0395.png</t>
  </si>
  <si>
    <t>rgb_0078.png</t>
  </si>
  <si>
    <t>fabric06_thin_abrasion_img/rgb_0078.png</t>
  </si>
  <si>
    <t>rgb_0436.png</t>
  </si>
  <si>
    <t>fabric06_thin_frction_img/rgb_0477.png</t>
  </si>
  <si>
    <t>fabric06_thin_cut_img/rgb_0392.png</t>
  </si>
  <si>
    <t>fabric01_thin_abrasion_img/rgb_0273.png</t>
  </si>
  <si>
    <t>rgb_0428.png</t>
  </si>
  <si>
    <t>fabric06_thin_frction_img/rgb_0482.png</t>
  </si>
  <si>
    <t>fabric06_thin_cut_img/rgb_0393.png</t>
  </si>
  <si>
    <t>rgb_0328.png</t>
  </si>
  <si>
    <t>fabric01_thin_abrasion_img/rgb_0266.png</t>
  </si>
  <si>
    <t>rgb_0737.png</t>
  </si>
  <si>
    <t>fabric03_thin_frction_img/rgb_0737.png</t>
  </si>
  <si>
    <t>rgb_0220.png</t>
  </si>
  <si>
    <t>fabric06_thin_cut_img/rgb_0220.png</t>
  </si>
  <si>
    <t>rgb_0896.png</t>
  </si>
  <si>
    <t>fabric01_thin_abrasion_img/rgb_0369.png</t>
  </si>
  <si>
    <t>rgb_0729.png</t>
  </si>
  <si>
    <t>fabric03_thin_frction_img/rgb_0729.png</t>
  </si>
  <si>
    <t>rgb_0430.png</t>
  </si>
  <si>
    <t>rgb_0838.png</t>
  </si>
  <si>
    <t>rgb_0431.png</t>
  </si>
  <si>
    <t>fabric06_thin_cut_img/rgb_0838.png</t>
  </si>
  <si>
    <t>fabric06_thin_abrasion_img/rgb_0431.png</t>
  </si>
  <si>
    <t>rgb_0669.png</t>
  </si>
  <si>
    <t>fabric06_thin_frction_img/rgb_0669.png</t>
  </si>
  <si>
    <t>rgb_0425.png</t>
  </si>
  <si>
    <t>fabric05_thin_cut_img/rgb_0279.png</t>
  </si>
  <si>
    <t>fabric06_thin_abrasion_img/rgb_0522.png</t>
  </si>
  <si>
    <t>rgb_0666.png</t>
  </si>
  <si>
    <t>fabric06_thin_frction_img/rgb_0666.png</t>
  </si>
  <si>
    <t>rgb_0834.png</t>
  </si>
  <si>
    <t>fabric05_thin_cut_img/rgb_0834.png</t>
  </si>
  <si>
    <t>rgb_0355.png</t>
  </si>
  <si>
    <t>fabric01_thin_abrasion_img/rgb_0355.png</t>
  </si>
  <si>
    <t>rgb_0738.png</t>
  </si>
  <si>
    <t>fabric06_thin_frction_img/rgb_0738.png</t>
  </si>
  <si>
    <t>rgb_0432.png</t>
  </si>
  <si>
    <t>rgb_0404.png</t>
  </si>
  <si>
    <t>fabric06_thin_cut_img/rgb_0404.png</t>
  </si>
  <si>
    <t>fabric04_thin_abrasion_img/rgb_0777.png</t>
  </si>
  <si>
    <t>rgb_0674.png</t>
  </si>
  <si>
    <t>fabric06_thin_frction_img/rgb_0674.png</t>
  </si>
  <si>
    <t>rgb_0420.png</t>
  </si>
  <si>
    <t>rgb_0744.png</t>
  </si>
  <si>
    <t>fabric06_thin_cut_img/rgb_0744.png</t>
  </si>
  <si>
    <t>fabric01_thin_abrasion_img/rgb_0283.png</t>
  </si>
  <si>
    <t>rgb_0732.png</t>
  </si>
  <si>
    <t>fabric03_thin_frction_img/rgb_0732.png</t>
  </si>
  <si>
    <t>rgb_0417.png</t>
  </si>
  <si>
    <t>rgb_0396.png</t>
  </si>
  <si>
    <t>fabric06_thin_cut_img/rgb_0396.png</t>
  </si>
  <si>
    <t>rgb_0082.png</t>
  </si>
  <si>
    <t>fabric06_thin_abrasion_img/rgb_0082.png</t>
  </si>
  <si>
    <t>rgb_0665.png</t>
  </si>
  <si>
    <t>fabric06_thin_frction_img/rgb_0665.png</t>
  </si>
  <si>
    <t>rgb_0897.png</t>
  </si>
  <si>
    <t>rgb_0836.png</t>
  </si>
  <si>
    <t>fabric06_thin_cut_img/rgb_0836.png</t>
  </si>
  <si>
    <t>fabric06_thin_abrasion_img/rgb_0605.png</t>
  </si>
  <si>
    <t>fabric06_thin_frction_img/rgb_0487.png</t>
  </si>
  <si>
    <t>rgb_0429.png</t>
  </si>
  <si>
    <t>fabric06_thin_cut_img/rgb_0301.png</t>
  </si>
  <si>
    <t>rgb_0269.png</t>
  </si>
  <si>
    <t>fabric01_thin_abrasion_img/rgb_0269.png</t>
  </si>
  <si>
    <t>rgb_0734.png</t>
  </si>
  <si>
    <t>fabric03_thin_frction_img/rgb_0734.png</t>
  </si>
  <si>
    <t>rgb_0422.png</t>
  </si>
  <si>
    <t>fabric06_thin_cut_img/rgb_0300.png</t>
  </si>
  <si>
    <t>fabric01_thin_abrasion_img/rgb_0368.png</t>
  </si>
  <si>
    <t>rgb_0652.png</t>
  </si>
  <si>
    <t>fabric06_thin_frction_img/rgb_0652.png</t>
  </si>
  <si>
    <t>rgb_0419.png</t>
  </si>
  <si>
    <t>rgb_0402.png</t>
  </si>
  <si>
    <t>fabric06_thin_cut_img/rgb_0402.png</t>
  </si>
  <si>
    <t>fabric01_thin_abrasion_img/rgb_0267.png</t>
  </si>
  <si>
    <t>fabric03_thin_frction_img/rgb_0807.png</t>
  </si>
  <si>
    <t>rgb_0426.png</t>
  </si>
  <si>
    <t>rgb_0083.png</t>
  </si>
  <si>
    <t>fabric01_thin_abrasion_img/rgb_0083.png</t>
  </si>
  <si>
    <t>fabric06_thin_cut_img/rgb_0302.png</t>
  </si>
  <si>
    <t>fabric03_thin_frction_img/rgb_0738.png</t>
  </si>
  <si>
    <t>rgb_0418.png</t>
  </si>
  <si>
    <t>rgb_0303.png</t>
  </si>
  <si>
    <t>fabric01_thin_abrasion_img/rgb_0276.png</t>
  </si>
  <si>
    <t>fabric06_thin_cut_img/rgb_0303.png</t>
  </si>
  <si>
    <t>fabric06_thin_frction_img/rgb_0481.png</t>
  </si>
  <si>
    <t>rgb_0423.png</t>
  </si>
  <si>
    <t>rgb_0397.png</t>
  </si>
  <si>
    <t>fabric01_thin_abrasion_img/rgb_0361.png</t>
  </si>
  <si>
    <t>fabric06_thin_cut_img/rgb_0397.png</t>
  </si>
  <si>
    <t>fabric06_thin_frction_img/rgb_0494.png</t>
  </si>
  <si>
    <t>rgb_0434.png</t>
  </si>
  <si>
    <t>rgb_0305.png</t>
  </si>
  <si>
    <t>rgb_0358.png</t>
  </si>
  <si>
    <t>fabric06_thin_cut_img/rgb_0305.png</t>
  </si>
  <si>
    <t>fabric01_thin_abrasion_img/rgb_0358.png</t>
  </si>
  <si>
    <t>fabric03_thin_frction_img/rgb_0290.png</t>
  </si>
  <si>
    <t>rgb_0435.png</t>
  </si>
  <si>
    <t>rgb_0068.png</t>
  </si>
  <si>
    <t>rgb_0461.png</t>
  </si>
  <si>
    <t>fabric03_thin_frction_img/rgb_0461.png</t>
  </si>
  <si>
    <t>fabric06_thin_abrasion_img/rgb_0068.png</t>
  </si>
  <si>
    <t>rgb_0401.png</t>
  </si>
  <si>
    <t>rgb_0421.png</t>
  </si>
  <si>
    <t>fabric06_thin_cut_img/rgb_0401.png</t>
  </si>
  <si>
    <t>fabric06_thin_frction_img/rgb_0495.png</t>
  </si>
  <si>
    <t>rgb_0400.png</t>
  </si>
  <si>
    <t>rgb_0424.png</t>
  </si>
  <si>
    <t>fabric01_thin_abrasion_img/rgb_0282.png</t>
  </si>
  <si>
    <t>fabric06_thin_cut_img/rgb_0400.png</t>
  </si>
  <si>
    <t>rgb_0456.png</t>
  </si>
  <si>
    <t>fabric03_thin_frction_img/rgb_0456.png</t>
  </si>
  <si>
    <t>rgb_0304.png</t>
  </si>
  <si>
    <t>fabric01_thin_abrasion_img/rgb_0272.png</t>
  </si>
  <si>
    <t>fabric06_thin_cut_img/rgb_0304.png</t>
  </si>
  <si>
    <t>rgb_0445.png</t>
  </si>
  <si>
    <t>fabric03_thin_frction_img/rgb_0445.png</t>
  </si>
  <si>
    <t>rgb_0315.png</t>
  </si>
  <si>
    <t>rgb_0180.png</t>
  </si>
  <si>
    <t>fabric06_thin_cut_img/rgb_0315.png</t>
  </si>
  <si>
    <t>fabric02_thin_abrasion_img/rgb_0180.png</t>
  </si>
  <si>
    <t>rgb_0722.png</t>
  </si>
  <si>
    <t>fabric03_thin_frction_img/rgb_0722.png</t>
  </si>
  <si>
    <t>rgb_0308.png</t>
  </si>
  <si>
    <t>rgb_0181.png</t>
  </si>
  <si>
    <t>fabric06_thin_cut_img/rgb_0308.png</t>
  </si>
  <si>
    <t>fabric02_thin_abrasion_img/rgb_0181.png</t>
  </si>
  <si>
    <t>rgb_0460.png</t>
  </si>
  <si>
    <t>rgb_0309.png</t>
  </si>
  <si>
    <t>fabric03_thin_frction_img/rgb_0460.png</t>
  </si>
  <si>
    <t>fabric06_thin_cut_img/rgb_0309.png</t>
  </si>
  <si>
    <t>fabric02_thin_abrasion_img/rgb_0276.png</t>
  </si>
  <si>
    <t>rgb_0310.png</t>
  </si>
  <si>
    <t>fabric06_thin_cut_img/rgb_0310.png</t>
  </si>
  <si>
    <t>fabric03_thin_frction_img/rgb_0465.png</t>
  </si>
  <si>
    <t>fabric01_thin_abrasion_img/rgb_0285.png</t>
  </si>
  <si>
    <t>rgb_0398.png</t>
  </si>
  <si>
    <t>fabric06_thin_frction_img/rgb_0475.png</t>
  </si>
  <si>
    <t>fabric06_thin_cut_img/rgb_0398.png</t>
  </si>
  <si>
    <t>fabric06_thin_abrasion_img/rgb_0429.png</t>
  </si>
  <si>
    <t>rgb_0399.png</t>
  </si>
  <si>
    <t>fabric06_thin_cut_img/rgb_0399.png</t>
  </si>
  <si>
    <t>fabric01_thin_abrasion_img/rgb_0365.png</t>
  </si>
  <si>
    <t>rgb_0459.png</t>
  </si>
  <si>
    <t>fabric03_thin_frction_img/rgb_0459.png</t>
  </si>
  <si>
    <t>rgb_0307.png</t>
  </si>
  <si>
    <t>fabric06_thin_cut_img/rgb_0307.png</t>
  </si>
  <si>
    <t>fabric06_thin_abrasion_img/rgb_0796.png</t>
  </si>
  <si>
    <t>fabric06_thin_frction_img/rgb_0478.png</t>
  </si>
  <si>
    <t>rgb_0306.png</t>
  </si>
  <si>
    <t>fabric06_thin_cut_img/rgb_0306.png</t>
  </si>
  <si>
    <t>fabric01_thin_abrasion_img/rgb_0281.png</t>
  </si>
  <si>
    <t>rgb_0721.png</t>
  </si>
  <si>
    <t>fabric03_thin_frction_img/rgb_0721.png</t>
  </si>
  <si>
    <t>rgb_0312.png</t>
  </si>
  <si>
    <t>fabric06_thin_cut_img/rgb_0312.png</t>
  </si>
  <si>
    <t>fabric01_thin_abrasion_img/rgb_0270.png</t>
  </si>
  <si>
    <t>fabric03_thin_frction_img/rgb_0464.png</t>
  </si>
  <si>
    <t>rgb_0311.png</t>
  </si>
  <si>
    <t>fabric06_thin_cut_img/rgb_0311.png</t>
  </si>
  <si>
    <t>fabric06_thin_abrasion_img/rgb_0521.png</t>
  </si>
  <si>
    <t>rgb_0457.png</t>
  </si>
  <si>
    <t>fabric03_thin_frction_img/rgb_0457.png</t>
  </si>
  <si>
    <t>rgb_0313.png</t>
  </si>
  <si>
    <t>fabric06_thin_cut_img/rgb_0313.png</t>
  </si>
  <si>
    <t>fabric06_thin_abrasion_img/rgb_0511.png</t>
  </si>
  <si>
    <t>rgb_0451.png</t>
  </si>
  <si>
    <t>fabric03_thin_frction_img/rgb_0451.png</t>
  </si>
  <si>
    <t>rgb_0318.png</t>
  </si>
  <si>
    <t>fabric06_thin_cut_img/rgb_0318.png</t>
  </si>
  <si>
    <t>fabric06_thin_abrasion_img/rgb_0506.png</t>
  </si>
  <si>
    <t>rgb_0724.png</t>
  </si>
  <si>
    <t>fabric03_thin_frction_img/rgb_0724.png</t>
  </si>
  <si>
    <t>rgb_0317.png</t>
  </si>
  <si>
    <t>fabric06_thin_cut_img/rgb_0317.png</t>
  </si>
  <si>
    <t>rgb_0454.png</t>
  </si>
  <si>
    <t>fabric03_thin_frction_img/rgb_0454.png</t>
  </si>
  <si>
    <t>fabric06_thin_abrasion_img/rgb_0336.png</t>
  </si>
  <si>
    <t>rgb_0405.png</t>
  </si>
  <si>
    <t>fabric06_thin_cut_img/rgb_0405.png</t>
  </si>
  <si>
    <t>rgb_0723.png</t>
  </si>
  <si>
    <t>fabric03_thin_frction_img/rgb_0723.png</t>
  </si>
  <si>
    <t>rgb_0689.png</t>
  </si>
  <si>
    <t>fabric04_thin_abrasion_img/rgb_0689.png</t>
  </si>
  <si>
    <t>fabric06_thin_cut_img/rgb_0387.png</t>
  </si>
  <si>
    <t>fabric06_thin_frction_img/rgb_0381.png</t>
  </si>
  <si>
    <t>fabric06_thin_abrasion_img/rgb_0788.png</t>
  </si>
  <si>
    <t>rgb_0403.png</t>
  </si>
  <si>
    <t>fabric06_thin_cut_img/rgb_0403.png</t>
  </si>
  <si>
    <t>rgb_0453.png</t>
  </si>
  <si>
    <t>fabric03_thin_frction_img/rgb_0453.png</t>
  </si>
  <si>
    <t>rgb_0091.png</t>
  </si>
  <si>
    <t>fabric06_thin_abrasion_img/rgb_0091.png</t>
  </si>
  <si>
    <t>rgb_0319.png</t>
  </si>
  <si>
    <t>fabric06_thin_cut_img/rgb_0319.png</t>
  </si>
  <si>
    <t>fabric06_thin_frction_img/rgb_0753.png</t>
  </si>
  <si>
    <t>fabric01_thin_abrasion_img/rgb_0821.png</t>
  </si>
  <si>
    <t>rgb_0407.png</t>
  </si>
  <si>
    <t>fabric06_thin_cut_img/rgb_0407.png</t>
  </si>
  <si>
    <t>rgb_0727.png</t>
  </si>
  <si>
    <t>fabric03_thin_frction_img/rgb_0727.png</t>
  </si>
  <si>
    <t>fabric06_thin_abrasion_img/rgb_0525.png</t>
  </si>
  <si>
    <t>fabric06_thin_cut_img/rgb_0388.png</t>
  </si>
  <si>
    <t>fabric03_thin_frction_img/rgb_0466.png</t>
  </si>
  <si>
    <t>rgb_0414.png</t>
  </si>
  <si>
    <t>fabric06_thin_abrasion_img/rgb_0414.png</t>
  </si>
  <si>
    <t>fabric06_thin_cut_img/rgb_0856.png</t>
  </si>
  <si>
    <t>rgb_0719.png</t>
  </si>
  <si>
    <t>fabric03_thin_frction_img/rgb_0719.png</t>
  </si>
  <si>
    <t>fabric06_thin_abrasion_img/rgb_0787.png</t>
  </si>
  <si>
    <t>rgb_0833.png</t>
  </si>
  <si>
    <t>fabric05_thin_cut_img/rgb_0833.png</t>
  </si>
  <si>
    <t>rgb_0725.png</t>
  </si>
  <si>
    <t>fabric03_thin_frction_img/rgb_0725.png</t>
  </si>
  <si>
    <t>rgb_0179.png</t>
  </si>
  <si>
    <t>fabric02_thin_abrasion_img/rgb_0179.png</t>
  </si>
  <si>
    <t>fabric06_thin_cut_img/rgb_0475.png</t>
  </si>
  <si>
    <t>rgb_0449.png</t>
  </si>
  <si>
    <t>fabric03_thin_frction_img/rgb_0449.png</t>
  </si>
  <si>
    <t>rgb_0072.png</t>
  </si>
  <si>
    <t>fabric06_thin_abrasion_img/rgb_0072.png</t>
  </si>
  <si>
    <t>fabric06_thin_cut_img/rgb_0742.png</t>
  </si>
  <si>
    <t>fabric06_thin_frction_img/rgb_0751.png</t>
  </si>
  <si>
    <t>rgb_0070.png</t>
  </si>
  <si>
    <t>fabric06_thin_abrasion_img/rgb_0070.png</t>
  </si>
  <si>
    <t>rgb_0316.png</t>
  </si>
  <si>
    <t>fabric06_thin_cut_img/rgb_0316.png</t>
  </si>
  <si>
    <t>rgb_0176.png</t>
  </si>
  <si>
    <t>fabric03_thin_frction_img/rgb_0176.png</t>
  </si>
  <si>
    <t>fabric01_thin_abrasion_img/rgb_0366.png</t>
  </si>
  <si>
    <t>rgb_0408.png</t>
  </si>
  <si>
    <t>fabric06_thin_cut_img/rgb_0408.png</t>
  </si>
  <si>
    <t>fabric03_thin_frction_img/rgb_0467.png</t>
  </si>
  <si>
    <t>fabric06_thin_abrasion_img/rgb_0509.png</t>
  </si>
  <si>
    <t>rgb_0314.png</t>
  </si>
  <si>
    <t>fabric06_thin_cut_img/rgb_0314.png</t>
  </si>
  <si>
    <t>fabric03_thin_frction_img/rgb_0462.png</t>
  </si>
  <si>
    <t>fabric03_thin_abrasion_img/rgb_0800.png</t>
  </si>
  <si>
    <t>fabric06_thin_cut_img/rgb_0834.png</t>
  </si>
  <si>
    <t>fabric06_thin_frction_img/rgb_0474.png</t>
  </si>
  <si>
    <t>fabric01_thin_abrasion_img/rgb_0280.png</t>
  </si>
  <si>
    <t>fabric06_thin_cut_img/rgb_0208.png</t>
  </si>
  <si>
    <t>fabric03_thin_frction_img/rgb_0359.png</t>
  </si>
  <si>
    <t>rgb_0356.png</t>
  </si>
  <si>
    <t>fabric01_thin_abrasion_img/rgb_0356.png</t>
  </si>
  <si>
    <t>rgb_0743.png</t>
  </si>
  <si>
    <t>fabric05_thin_cut_img/rgb_0743.png</t>
  </si>
  <si>
    <t>rgb_0720.png</t>
  </si>
  <si>
    <t>fabric03_thin_frction_img/rgb_0720.png</t>
  </si>
  <si>
    <t>fabric01_thin_abrasion_img/rgb_0363.png</t>
  </si>
  <si>
    <t>rgb_0496.png</t>
  </si>
  <si>
    <t>fabric06_thin_cut_img/rgb_0496.png</t>
  </si>
  <si>
    <t>fabric03_thin_frction_img/rgb_0463.png</t>
  </si>
  <si>
    <t>fabric06_thin_abrasion_img/rgb_0245.png</t>
  </si>
  <si>
    <t>fabric06_thin_cut_img/rgb_0386.png</t>
  </si>
  <si>
    <t>rgb_0450.png</t>
  </si>
  <si>
    <t>fabric03_thin_frction_img/rgb_0450.png</t>
  </si>
  <si>
    <t>fabric06_thin_abrasion_img/rgb_0340.png</t>
  </si>
  <si>
    <t>fabric06_thin_cut_img/rgb_0472.png</t>
  </si>
  <si>
    <t>rgb_0455.png</t>
  </si>
  <si>
    <t>fabric03_thin_frction_img/rgb_0455.png</t>
  </si>
  <si>
    <t>rgb_0763.png</t>
  </si>
  <si>
    <t>fabric06_thin_cut_img/rgb_0763.png</t>
  </si>
  <si>
    <t>fabric01_thin_abrasion_img/rgb_0807.png</t>
  </si>
  <si>
    <t>rgb_0452.png</t>
  </si>
  <si>
    <t>fabric03_thin_frction_img/rgb_0452.png</t>
  </si>
  <si>
    <t>fabric05_thin_cut_img/rgb_0843.png</t>
  </si>
  <si>
    <t>fabric06_thin_abrasion_img/rgb_0343.png</t>
  </si>
  <si>
    <t>fabric06_thin_frction_img/rgb_0384.png</t>
  </si>
  <si>
    <t>fabric06_thin_cut_img/rgb_0207.png</t>
  </si>
  <si>
    <t>fabric02_thin_abrasion_img/rgb_0279.png</t>
  </si>
  <si>
    <t>rgb_0086.png</t>
  </si>
  <si>
    <t>fabric05_thin_cut_img/rgb_0841.png</t>
  </si>
  <si>
    <t>fabric03_thin_frction_img/rgb_0086.png</t>
  </si>
  <si>
    <t>fabric01_thin_abrasion_img/rgb_0371.png</t>
  </si>
  <si>
    <t>fabric06_thin_cut_img/rgb_0474.png</t>
  </si>
  <si>
    <t>fabric06_thin_abrasion_img/rgb_0426.png</t>
  </si>
  <si>
    <t>fabric06_thin_frction_img/rgb_0398.png</t>
  </si>
  <si>
    <t>rgb_0857.png</t>
  </si>
  <si>
    <t>fabric06_thin_cut_img/rgb_0857.png</t>
  </si>
  <si>
    <t>rgb_0090.png</t>
  </si>
  <si>
    <t>fabric06_thin_abrasion_img/rgb_0158.png</t>
  </si>
  <si>
    <t>fabric03_thin_frction_img/rgb_0090.png</t>
  </si>
  <si>
    <t>fabric05_thin_cut_img/rgb_0842.png</t>
  </si>
  <si>
    <t>fabric06_thin_abrasion_img/rgb_0607.png</t>
  </si>
  <si>
    <t>fabric06_thin_frction_img/rgb_0391.png</t>
  </si>
  <si>
    <t>rgb_0740.png</t>
  </si>
  <si>
    <t>fabric06_thin_cut_img/rgb_0740.png</t>
  </si>
  <si>
    <t>fabric05_thin_abrasion_img/rgb_0157.png</t>
  </si>
  <si>
    <t>rgb_0458.png</t>
  </si>
  <si>
    <t>fabric03_thin_frction_img/rgb_0458.png</t>
  </si>
  <si>
    <t>fabric05_thin_cut_img/rgb_0851.png</t>
  </si>
  <si>
    <t>fabric01_thin_abrasion_img/rgb_0367.png</t>
  </si>
  <si>
    <t>fabric06_thin_frction_img/rgb_0404.png</t>
  </si>
  <si>
    <t>fabric05_thin_cut_img/rgb_0854.png</t>
  </si>
  <si>
    <t>fabric01_thin_abrasion_img/rgb_0359.png</t>
  </si>
  <si>
    <t>rgb_0095.png</t>
  </si>
  <si>
    <t>fabric03_thin_frction_img/rgb_0095.png</t>
  </si>
  <si>
    <t>fabric05_thin_cut_img/rgb_0850.png</t>
  </si>
  <si>
    <t>fabric06_thin_abrasion_img/rgb_0779.png</t>
  </si>
  <si>
    <t>fabric03_thin_frction_img/rgb_0091.png</t>
  </si>
  <si>
    <t>fabric06_thin_abrasion_img/rgb_0339.png</t>
  </si>
  <si>
    <t>fabric05_thin_cut_img/rgb_0852.png</t>
  </si>
  <si>
    <t>fabric06_thin_frction_img/rgb_0392.png</t>
  </si>
  <si>
    <t>rgb_0101.png</t>
  </si>
  <si>
    <t>fabric06_thin_abrasion_img/rgb_0425.png</t>
  </si>
  <si>
    <t>fabric05_thin_cut_img/rgb_0840.png</t>
  </si>
  <si>
    <t>fabric03_thin_frction_img/rgb_0101.png</t>
  </si>
  <si>
    <t>rgb_0104.png</t>
  </si>
  <si>
    <t>fabric06_thin_abrasion_img/rgb_0420.png</t>
  </si>
  <si>
    <t>fabric03_thin_frction_img/rgb_0104.png</t>
  </si>
  <si>
    <t>fabric05_thin_cut_img/rgb_0849.png</t>
  </si>
  <si>
    <t>rgb_0735.png</t>
  </si>
  <si>
    <t>fabric03_thin_frction_img/rgb_0735.png</t>
  </si>
  <si>
    <t>fabric05_thin_cut_img/rgb_0847.png</t>
  </si>
  <si>
    <t>fabric06_thin_abrasion_img/rgb_0159.png</t>
  </si>
  <si>
    <t>fabric05_thin_cut_img/rgb_0846.png</t>
  </si>
  <si>
    <t>fabric06_thin_frction_img/rgb_0746.png</t>
  </si>
  <si>
    <t>fabric06_thin_abrasion_img/rgb_0157.png</t>
  </si>
  <si>
    <t>fabric05_thin_cut_img/rgb_0839.png</t>
  </si>
  <si>
    <t>fabric06_thin_abrasion_img/rgb_0335.png</t>
  </si>
  <si>
    <t>fabric06_thin_frction_img/rgb_0400.png</t>
  </si>
  <si>
    <t>fabric05_thin_cut_img/rgb_0836.png</t>
  </si>
  <si>
    <t>fabric06_thin_abrasion_img/rgb_0332.png</t>
  </si>
  <si>
    <t>fabric06_thin_frction_img/rgb_0755.png</t>
  </si>
  <si>
    <t>fabric05_thin_cut_img/rgb_0844.png</t>
  </si>
  <si>
    <t>fabric06_thin_abrasion_img/rgb_0433.png</t>
  </si>
  <si>
    <t>fabric06_thin_frction_img/rgb_0394.png</t>
  </si>
  <si>
    <t>fabric05_thin_cut_img/rgb_0853.png</t>
  </si>
  <si>
    <t>fabric01_thin_abrasion_img/rgb_0360.png</t>
  </si>
  <si>
    <t>fabric06_thin_frction_img/rgb_0397.png</t>
  </si>
  <si>
    <t>fabric05_thin_cut_img/rgb_0855.png</t>
  </si>
  <si>
    <t>fabric06_thin_abrasion_img/rgb_0337.png</t>
  </si>
  <si>
    <t>fabric06_thin_frction_img/rgb_0396.png</t>
  </si>
  <si>
    <t>fabric06_thin_cut_img/rgb_0471.png</t>
  </si>
  <si>
    <t>fabric06_thin_abrasion_img/rgb_0246.png</t>
  </si>
  <si>
    <t>fabric06_thin_frction_img/rgb_0402.png</t>
  </si>
  <si>
    <t>fabric05_thin_cut_img/rgb_0845.png</t>
  </si>
  <si>
    <t>fabric01_thin_abrasion_img/rgb_0372.png</t>
  </si>
  <si>
    <t>fabric03_thin_frction_img/rgb_0806.png</t>
  </si>
  <si>
    <t>rgb_0835.png</t>
  </si>
  <si>
    <t>fabric05_thin_cut_img/rgb_0835.png</t>
  </si>
  <si>
    <t>rgb_0664.png</t>
  </si>
  <si>
    <t>fabric01_thin_abrasion_img/rgb_0370.png</t>
  </si>
  <si>
    <t>fabric06_thin_frction_img/rgb_0664.png</t>
  </si>
  <si>
    <t>fabric05_thin_cut_img/rgb_0848.png</t>
  </si>
  <si>
    <t>rgb_0080.png</t>
  </si>
  <si>
    <t>rgb_0656.png</t>
  </si>
  <si>
    <t>fabric06_thin_frction_img/rgb_0656.png</t>
  </si>
  <si>
    <t>fabric06_thin_abrasion_img/rgb_0080.png</t>
  </si>
  <si>
    <t>fabric03_thin_cut_img/rgb_0366.png</t>
  </si>
  <si>
    <t>fabric06_thin_frction_img/rgb_0393.png</t>
  </si>
  <si>
    <t>fabric01_thin_abrasion_img/rgb_0808.png</t>
  </si>
  <si>
    <t>fabric05_thin_cut_img/rgb_0763.png</t>
  </si>
  <si>
    <t>fabric06_thin_frction_img/rgb_0395.png</t>
  </si>
  <si>
    <t>fabric06_thin_abrasion_img/rgb_0524.png</t>
  </si>
  <si>
    <t>fabric06_thin_cut_img/rgb_0473.png</t>
  </si>
  <si>
    <t>rgb_0448.png</t>
  </si>
  <si>
    <t>fabric03_thin_frction_img/rgb_0448.png</t>
  </si>
  <si>
    <t>fabric06_thin_abrasion_img/rgb_0512.png</t>
  </si>
  <si>
    <t>fabric06_thin_cut_img/rgb_0833.png</t>
  </si>
  <si>
    <t>rgb_0088.png</t>
  </si>
  <si>
    <t>rgb_0089.png</t>
  </si>
  <si>
    <t>fabric03_thin_frction_img/rgb_0088.png</t>
  </si>
  <si>
    <t>fabric06_thin_abrasion_img/rgb_0089.png</t>
  </si>
  <si>
    <t>fabric05_thin_cut_img/rgb_0746.png</t>
  </si>
  <si>
    <t>fabric06_thin_frction_img/rgb_0403.png</t>
  </si>
  <si>
    <t>fabric06_thin_abrasion_img/rgb_0437.png</t>
  </si>
  <si>
    <t>fabric05_thin_cut_img/rgb_0838.png</t>
  </si>
  <si>
    <t>fabric06_thin_frction_img/rgb_0399.png</t>
  </si>
  <si>
    <t>fabric06_thin_cut_img/rgb_0297.png</t>
  </si>
  <si>
    <t>rgb_0173.png</t>
  </si>
  <si>
    <t>fabric06_thin_abrasion_img/rgb_0173.png</t>
  </si>
  <si>
    <t>rgb_0093.png</t>
  </si>
  <si>
    <t>fabric03_thin_frction_img/rgb_0093.png</t>
  </si>
  <si>
    <t>fabric05_thin_cut_img/rgb_0745.png</t>
  </si>
  <si>
    <t>fabric06_thin_abrasion_img/rgb_0794.png</t>
  </si>
  <si>
    <t>rgb_0102.png</t>
  </si>
  <si>
    <t>fabric03_thin_frction_img/rgb_0102.png</t>
  </si>
  <si>
    <t>fabric05_thin_cut_img/rgb_0837.png</t>
  </si>
  <si>
    <t>fabric06_thin_abrasion_img/rgb_0510.png</t>
  </si>
  <si>
    <t>fabric06_thin_abrasion_img/rgb_0423.png</t>
  </si>
  <si>
    <t>fabric05_thin_cut_img/rgb_0753.png</t>
  </si>
  <si>
    <t>fabric06_thin_frction_img/rgb_0388.png</t>
  </si>
  <si>
    <t>rgb_0160.png</t>
  </si>
  <si>
    <t>fabric06_thin_cut_img/rgb_0835.png</t>
  </si>
  <si>
    <t>fabric06_thin_abrasion_img/rgb_0160.png</t>
  </si>
  <si>
    <t>fabric06_thin_frction_img/rgb_0758.png</t>
  </si>
  <si>
    <t>fabric05_thin_cut_img/rgb_0747.png</t>
  </si>
  <si>
    <t>fabric06_thin_abrasion_img/rgb_0427.png</t>
  </si>
  <si>
    <t>rgb_0108.png</t>
  </si>
  <si>
    <t>fabric03_thin_frction_img/rgb_0108.png</t>
  </si>
  <si>
    <t>fabric05_thin_cut_img/rgb_0759.png</t>
  </si>
  <si>
    <t>fabric06_thin_abrasion_img/rgb_0435.png</t>
  </si>
  <si>
    <t>rgb_0165.png</t>
  </si>
  <si>
    <t>fabric05_thin_cut_img/rgb_0756.png</t>
  </si>
  <si>
    <t>fabric06_thin_abrasion_img/rgb_0165.png</t>
  </si>
  <si>
    <t>rgb_0099.png</t>
  </si>
  <si>
    <t>fabric03_thin_frction_img/rgb_0099.png</t>
  </si>
  <si>
    <t>fabric05_thin_cut_img/rgb_0749.png</t>
  </si>
  <si>
    <t>fabric06_thin_abrasion_img/rgb_0434.png</t>
  </si>
  <si>
    <t>fabric06_thin_frction_img/rgb_0650.png</t>
  </si>
  <si>
    <t>fabric05_thin_cut_img/rgb_0750.png</t>
  </si>
  <si>
    <t>fabric06_thin_abrasion_img/rgb_0421.png</t>
  </si>
  <si>
    <t>rgb_0096.png</t>
  </si>
  <si>
    <t>fabric03_thin_frction_img/rgb_0096.png</t>
  </si>
  <si>
    <t>fabric06_thin_cut_img/rgb_0385.png</t>
  </si>
  <si>
    <t>fabric01_thin_abrasion_img/rgb_0800.png</t>
  </si>
  <si>
    <t>fabric05_thin_cut_img/rgb_0752.png</t>
  </si>
  <si>
    <t>fabric06_thin_frction_img/rgb_0385.png</t>
  </si>
  <si>
    <t>fabric06_thin_abrasion_img/rgb_0781.png</t>
  </si>
  <si>
    <t>fabric05_thin_cut_img/rgb_0757.png</t>
  </si>
  <si>
    <t>rgb_0357.png</t>
  </si>
  <si>
    <t>fabric01_thin_abrasion_img/rgb_0357.png</t>
  </si>
  <si>
    <t>fabric06_thin_frction_img/rgb_0390.png</t>
  </si>
  <si>
    <t>fabric05_thin_cut_img/rgb_0754.png</t>
  </si>
  <si>
    <t>fabric06_thin_abrasion_img/rgb_0508.png</t>
  </si>
  <si>
    <t>rgb_0105.png</t>
  </si>
  <si>
    <t>fabric03_thin_frction_img/rgb_0105.png</t>
  </si>
  <si>
    <t>fabric06_thin_cut_img/rgb_0741.png</t>
  </si>
  <si>
    <t>fabric06_thin_abrasion_img/rgb_0424.png</t>
  </si>
  <si>
    <t>fabric05_thin_cut_img/rgb_0748.png</t>
  </si>
  <si>
    <t>rgb_0097.png</t>
  </si>
  <si>
    <t>rgb_0081.png</t>
  </si>
  <si>
    <t>fabric03_thin_frction_img/rgb_0097.png</t>
  </si>
  <si>
    <t>fabric06_thin_abrasion_img/rgb_0081.png</t>
  </si>
  <si>
    <t>fabric05_thin_cut_img/rgb_0755.png</t>
  </si>
  <si>
    <t>fabric06_thin_abrasion_img/rgb_0353.png</t>
  </si>
  <si>
    <t>fabric06_thin_frction_img/rgb_0389.png</t>
  </si>
  <si>
    <t>fabric05_thin_cut_img/rgb_0761.png</t>
  </si>
  <si>
    <t>fabric06_thin_abrasion_img/rgb_0348.png</t>
  </si>
  <si>
    <t>fabric06_thin_frction_img/rgb_0471.png</t>
  </si>
  <si>
    <t>fabric05_thin_cut_img/rgb_0758.png</t>
  </si>
  <si>
    <t>rgb_0177.png</t>
  </si>
  <si>
    <t>fabric06_thin_abrasion_img/rgb_0177.png</t>
  </si>
  <si>
    <t>fabric06_thin_frction_img/rgb_0761.png</t>
  </si>
  <si>
    <t>fabric05_thin_cut_img/rgb_0751.png</t>
  </si>
  <si>
    <t>fabric03_thin_frction_img/rgb_0196.png</t>
  </si>
  <si>
    <t>fabric01_thin_abrasion_img/rgb_0373.png</t>
  </si>
  <si>
    <t>fabric05_thin_cut_img/rgb_0760.png</t>
  </si>
  <si>
    <t>rgb_0092.png</t>
  </si>
  <si>
    <t>fabric03_thin_frction_img/rgb_0092.png</t>
  </si>
  <si>
    <t>fabric06_thin_abrasion_img/rgb_0519.png</t>
  </si>
  <si>
    <t>fabric05_thin_cut_img/rgb_0744.png</t>
  </si>
  <si>
    <t>rgb_0182.png</t>
  </si>
  <si>
    <t>fabric03_thin_frction_img/rgb_0182.png</t>
  </si>
  <si>
    <t>fabric06_thin_abrasion_img/rgb_0351.png</t>
  </si>
  <si>
    <t>fabric05_thin_cut_img/rgb_0461.png</t>
  </si>
  <si>
    <t>fabric06_thin_frction_img/rgb_0742.png</t>
  </si>
  <si>
    <t>fabric06_thin_abrasion_img/rgb_0331.png</t>
  </si>
  <si>
    <t>fabric05_thin_cut_img/rgb_0740.png</t>
  </si>
  <si>
    <t>rgb_0100.png</t>
  </si>
  <si>
    <t>fabric03_thin_frction_img/rgb_0100.png</t>
  </si>
  <si>
    <t>fabric06_thin_abrasion_img/rgb_0514.png</t>
  </si>
  <si>
    <t>fabric06_thin_cut_img/rgb_0743.png</t>
  </si>
  <si>
    <t>fabric06_thin_frction_img/rgb_0401.png</t>
  </si>
  <si>
    <t>fabric06_thin_abrasion_img/rgb_0432.png</t>
  </si>
  <si>
    <t>rgb_0832.png</t>
  </si>
  <si>
    <t>fabric05_thin_cut_img/rgb_0832.png</t>
  </si>
  <si>
    <t>fabric06_thin_frction_img/rgb_0743.png</t>
  </si>
  <si>
    <t>rgb_0772.png</t>
  </si>
  <si>
    <t>fabric05_thin_abrasion_img/rgb_0772.png</t>
  </si>
  <si>
    <t>fabric03_thin_cut_img/rgb_0344.png</t>
  </si>
  <si>
    <t>rgb_0094.png</t>
  </si>
  <si>
    <t>fabric03_thin_frction_img/rgb_0094.png</t>
  </si>
  <si>
    <t>fabric06_thin_abrasion_img/rgb_0520.png</t>
  </si>
  <si>
    <t>fabric05_thin_cut_img/rgb_0486.png</t>
  </si>
  <si>
    <t>fabric03_thin_frction_img/rgb_0181.png</t>
  </si>
  <si>
    <t>fabric06_thin_abrasion_img/rgb_0419.png</t>
  </si>
  <si>
    <t>fabric05_thin_cut_img/rgb_0395.png</t>
  </si>
  <si>
    <t>fabric03_thin_frction_img/rgb_0198.png</t>
  </si>
  <si>
    <t>rgb_0069.png</t>
  </si>
  <si>
    <t>fabric06_thin_abrasion_img/rgb_0069.png</t>
  </si>
  <si>
    <t>fabric03_thin_cut_img/rgb_0360.png</t>
  </si>
  <si>
    <t>fabric03_thin_frction_img/rgb_0179.png</t>
  </si>
  <si>
    <t>rgb_0175.png</t>
  </si>
  <si>
    <t>fabric03_thin_cut_img/rgb_0353.png</t>
  </si>
  <si>
    <t>fabric06_thin_abrasion_img/rgb_0175.png</t>
  </si>
  <si>
    <t>fabric02_thin_frction_img/rgb_0371.png</t>
  </si>
  <si>
    <t>fabric03_thin_cut_img/rgb_0362.png</t>
  </si>
  <si>
    <t>fabric06_thin_abrasion_img/rgb_0088.png</t>
  </si>
  <si>
    <t>fabric02_thin_frction_img/rgb_0374.png</t>
  </si>
  <si>
    <t>fabric03_thin_cut_img/rgb_0351.png</t>
  </si>
  <si>
    <t>fabric01_thin_abrasion_img/rgb_0809.png</t>
  </si>
  <si>
    <t>fabric03_thin_frction_img/rgb_0187.png</t>
  </si>
  <si>
    <t>fabric03_thin_cut_img/rgb_0358.png</t>
  </si>
  <si>
    <t>fabric06_thin_abrasion_img/rgb_0349.png</t>
  </si>
  <si>
    <t>fabric03_thin_cut_img/rgb_0361.png</t>
  </si>
  <si>
    <t>fabric06_thin_abrasion_img/rgb_0422.png</t>
  </si>
  <si>
    <t>fabric02_thin_frction_img/rgb_0544.png</t>
  </si>
  <si>
    <t>fabric06_thin_abrasion_img/rgb_0179.png</t>
  </si>
  <si>
    <t>fabric03_thin_cut_img/rgb_0349.png</t>
  </si>
  <si>
    <t>fabric03_thin_frction_img/rgb_0195.png</t>
  </si>
  <si>
    <t>fabric03_thin_cut_img/rgb_0359.png</t>
  </si>
  <si>
    <t>fabric06_thin_abrasion_img/rgb_0780.png</t>
  </si>
  <si>
    <t>fabric06_thin_frction_img/rgb_0762.png</t>
  </si>
  <si>
    <t>fabric03_thin_cut_img/rgb_0364.png</t>
  </si>
  <si>
    <t>fabric06_thin_abrasion_img/rgb_0428.png</t>
  </si>
  <si>
    <t>rgb_0186.png</t>
  </si>
  <si>
    <t>fabric03_thin_cut_img/rgb_0350.png</t>
  </si>
  <si>
    <t>fabric03_thin_frction_img/rgb_0186.png</t>
  </si>
  <si>
    <t>rgb_0505.png</t>
  </si>
  <si>
    <t>fabric06_thin_abrasion_img/rgb_0505.png</t>
  </si>
  <si>
    <t>rgb_0098.png</t>
  </si>
  <si>
    <t>fabric03_thin_cut_img/rgb_0346.png</t>
  </si>
  <si>
    <t>fabric03_thin_frction_img/rgb_0098.png</t>
  </si>
  <si>
    <t>rgb_0084.png</t>
  </si>
  <si>
    <t>fabric06_thin_abrasion_img/rgb_0084.png</t>
  </si>
  <si>
    <t>fabric03_thin_cut_img/rgb_0356.png</t>
  </si>
  <si>
    <t>fabric06_thin_frction_img/rgb_0752.png</t>
  </si>
  <si>
    <t>fabric06_thin_abrasion_img/rgb_0333.png</t>
  </si>
  <si>
    <t>fabric03_thin_frction_img/rgb_0089.png</t>
  </si>
  <si>
    <t>fabric03_thin_cut_img/rgb_0352.png</t>
  </si>
  <si>
    <t>fabric06_thin_abrasion_img/rgb_0784.png</t>
  </si>
  <si>
    <t>fabric06_thin_frction_img/rgb_0744.png</t>
  </si>
  <si>
    <t>fabric03_thin_cut_img/rgb_0354.png</t>
  </si>
  <si>
    <t>fabric06_thin_abrasion_img/rgb_0086.png</t>
  </si>
  <si>
    <t>rgb_0924.png</t>
  </si>
  <si>
    <t>fabric06_thin_frction_img/rgb_0386.png</t>
  </si>
  <si>
    <t>fabric03_thin_cut_img/rgb_0924.png</t>
  </si>
  <si>
    <t>fabric06_thin_abrasion_img/rgb_0418.png</t>
  </si>
  <si>
    <t>fabric03_thin_cut_img/rgb_0363.png</t>
  </si>
  <si>
    <t>fabric06_thin_frction_img/rgb_0747.png</t>
  </si>
  <si>
    <t>rgb_0171.png</t>
  </si>
  <si>
    <t>fabric06_thin_abrasion_img/rgb_0171.png</t>
  </si>
  <si>
    <t>fabric03_thin_cut_img/rgb_0347.png</t>
  </si>
  <si>
    <t>fabric03_thin_frction_img/rgb_0190.png</t>
  </si>
  <si>
    <t>fabric06_thin_abrasion_img/rgb_0777.png</t>
  </si>
  <si>
    <t>rgb_0178.png</t>
  </si>
  <si>
    <t>fabric06_thin_abrasion_img/rgb_0178.png</t>
  </si>
  <si>
    <t>fabric06_thin_frction_img/rgb_0473.png</t>
  </si>
  <si>
    <t>fabric03_thin_cut_img/rgb_0357.png</t>
  </si>
  <si>
    <t>fabric01_thin_abrasion_img/rgb_0817.png</t>
  </si>
  <si>
    <t>fabric06_thin_frction_img/rgb_0749.png</t>
  </si>
  <si>
    <t>fabric03_thin_cut_img/rgb_0348.png</t>
  </si>
  <si>
    <t>rgb_0071.png</t>
  </si>
  <si>
    <t>fabric06_thin_abrasion_img/rgb_0071.png</t>
  </si>
  <si>
    <t>rgb_0739.png</t>
  </si>
  <si>
    <t>fabric03_thin_cut_img/rgb_0355.png</t>
  </si>
  <si>
    <t>fabric03_thin_frction_img/rgb_0739.png</t>
  </si>
  <si>
    <t>fabric01_thin_abrasion_img/rgb_0803.png</t>
  </si>
  <si>
    <t>fabric03_thin_cut_img/rgb_0458.png</t>
  </si>
  <si>
    <t>fabric03_thin_frction_img/rgb_0197.png</t>
  </si>
  <si>
    <t>fabric06_thin_abrasion_img/rgb_0516.png</t>
  </si>
  <si>
    <t>fabric03_thin_cut_img/rgb_0365.png</t>
  </si>
  <si>
    <t>rgb_0103.png</t>
  </si>
  <si>
    <t>fabric03_thin_frction_img/rgb_0103.png</t>
  </si>
  <si>
    <t>rgb_0076.png</t>
  </si>
  <si>
    <t>fabric06_thin_abrasion_img/rgb_0076.png</t>
  </si>
  <si>
    <t>rgb_0923.png</t>
  </si>
  <si>
    <t>fabric03_thin_cut_img/rgb_0923.png</t>
  </si>
  <si>
    <t>fabric03_thin_frction_img/rgb_0188.png</t>
  </si>
  <si>
    <t>fabric06_thin_abrasion_img/rgb_0334.png</t>
  </si>
  <si>
    <t>fabric05_thin_cut_img/rgb_0278.png</t>
  </si>
  <si>
    <t>fabric03_thin_frction_img/rgb_0189.png</t>
  </si>
  <si>
    <t>rgb_0914.png</t>
  </si>
  <si>
    <t>fabric06_thin_abrasion_img/rgb_0526.png</t>
  </si>
  <si>
    <t>fabric03_thin_cut_img/rgb_0914.png</t>
  </si>
  <si>
    <t>rgb_0184.png</t>
  </si>
  <si>
    <t>fabric03_thin_frction_img/rgb_0184.png</t>
  </si>
  <si>
    <t>rgb_0918.png</t>
  </si>
  <si>
    <t>fabric03_thin_cut_img/rgb_0918.png</t>
  </si>
  <si>
    <t>fabric01_thin_abrasion_img/rgb_0374.png</t>
  </si>
  <si>
    <t>fabric03_thin_frction_img/rgb_0193.png</t>
  </si>
  <si>
    <t>rgb_0917.png</t>
  </si>
  <si>
    <t>fabric03_thin_cut_img/rgb_0917.png</t>
  </si>
  <si>
    <t>rgb_0074.png</t>
  </si>
  <si>
    <t>fabric06_thin_abrasion_img/rgb_0074.png</t>
  </si>
  <si>
    <t>fabric03_thin_frction_img/rgb_0199.png</t>
  </si>
  <si>
    <t>rgb_0921.png</t>
  </si>
  <si>
    <t>fabric03_thin_cut_img/rgb_0921.png</t>
  </si>
  <si>
    <t>fabric06_thin_abrasion_img/rgb_0430.png</t>
  </si>
  <si>
    <t>fabric03_thin_frction_img/rgb_0180.png</t>
  </si>
  <si>
    <t>rgb_0438.png</t>
  </si>
  <si>
    <t>fabric03_thin_cut_img/rgb_0438.png</t>
  </si>
  <si>
    <t>fabric06_thin_abrasion_img/rgb_0786.png</t>
  </si>
  <si>
    <t>rgb_0107.png</t>
  </si>
  <si>
    <t>fabric03_thin_frction_img/rgb_0107.png</t>
  </si>
  <si>
    <t>rgb_0915.png</t>
  </si>
  <si>
    <t>fabric03_thin_cut_img/rgb_0915.png</t>
  </si>
  <si>
    <t>fabric06_thin_abrasion_img/rgb_0782.png</t>
  </si>
  <si>
    <t>fabric06_thin_frction_img/rgb_0472.png</t>
  </si>
  <si>
    <t>rgb_0913.png</t>
  </si>
  <si>
    <t>fabric03_thin_cut_img/rgb_0913.png</t>
  </si>
  <si>
    <t>fabric02_thin_abrasion_img/rgb_0796.png</t>
  </si>
  <si>
    <t>rgb_0183.png</t>
  </si>
  <si>
    <t>fabric03_thin_frction_img/rgb_0183.png</t>
  </si>
  <si>
    <t>rgb_0922.png</t>
  </si>
  <si>
    <t>fabric03_thin_cut_img/rgb_0922.png</t>
  </si>
  <si>
    <t>fabric06_thin_abrasion_img/rgb_0254.png</t>
  </si>
  <si>
    <t>rgb_0106.png</t>
  </si>
  <si>
    <t>fabric03_thin_frction_img/rgb_0106.png</t>
  </si>
  <si>
    <t>rgb_0919.png</t>
  </si>
  <si>
    <t>fabric03_thin_cut_img/rgb_0919.png</t>
  </si>
  <si>
    <t>fabric06_thin_abrasion_img/rgb_0338.png</t>
  </si>
  <si>
    <t>fabric06_thin_frction_img/rgb_0759.png</t>
  </si>
  <si>
    <t>rgb_0920.png</t>
  </si>
  <si>
    <t>fabric03_thin_cut_img/rgb_0920.png</t>
  </si>
  <si>
    <t>fabric06_thin_abrasion_img/rgb_0257.png</t>
  </si>
  <si>
    <t>rgb_0911.png</t>
  </si>
  <si>
    <t>fabric03_thin_frction_img/rgb_0191.png</t>
  </si>
  <si>
    <t>fabric03_thin_cut_img/rgb_0911.png</t>
  </si>
  <si>
    <t>fabric06_thin_abrasion_img/rgb_0262.png</t>
  </si>
  <si>
    <t>rgb_0904.png</t>
  </si>
  <si>
    <t>fabric03_thin_cut_img/rgb_0904.png</t>
  </si>
  <si>
    <t>fabric02_thin_frction_img/rgb_0372.png</t>
  </si>
  <si>
    <t>rgb_0771.png</t>
  </si>
  <si>
    <t>fabric05_thin_abrasion_img/rgb_0771.png</t>
  </si>
  <si>
    <t>fabric03_thin_frction_img/rgb_0194.png</t>
  </si>
  <si>
    <t>fabric03_thin_cut_img/rgb_0437.png</t>
  </si>
  <si>
    <t>fabric06_thin_abrasion_img/rgb_0346.png</t>
  </si>
  <si>
    <t>fabric06_thin_frction_img/rgb_0748.png</t>
  </si>
  <si>
    <t>rgb_0439.png</t>
  </si>
  <si>
    <t>fabric03_thin_cut_img/rgb_0439.png</t>
  </si>
  <si>
    <t>fabric01_thin_abrasion_img/rgb_0810.png</t>
  </si>
  <si>
    <t>fabric06_thin_frction_img/rgb_0760.png</t>
  </si>
  <si>
    <t>fabric03_thin_cut_img/rgb_0819.png</t>
  </si>
  <si>
    <t>fabric05_thin_abrasion_img/rgb_0417.png</t>
  </si>
  <si>
    <t>fabric03_thin_frction_img/rgb_0192.png</t>
  </si>
  <si>
    <t>rgb_0441.png</t>
  </si>
  <si>
    <t>fabric03_thin_cut_img/rgb_0441.png</t>
  </si>
  <si>
    <t>fabric06_thin_abrasion_img/rgb_0523.png</t>
  </si>
  <si>
    <t>fabric06_thin_frction_img/rgb_0754.png</t>
  </si>
  <si>
    <t>fabric03_thin_cut_img/rgb_0822.png</t>
  </si>
  <si>
    <t>fabric06_thin_abrasion_img/rgb_0791.png</t>
  </si>
  <si>
    <t>rgb_0718.png</t>
  </si>
  <si>
    <t>fabric03_thin_frction_img/rgb_0718.png</t>
  </si>
  <si>
    <t>fabric03_thin_cut_img/rgb_0824.png</t>
  </si>
  <si>
    <t>fabric06_thin_abrasion_img/rgb_0795.png</t>
  </si>
  <si>
    <t>rgb_0185.png</t>
  </si>
  <si>
    <t>fabric03_thin_frction_img/rgb_0185.png</t>
  </si>
  <si>
    <t>fabric03_thin_cut_img/rgb_0825.png</t>
  </si>
  <si>
    <t>fabric06_thin_abrasion_img/rgb_0793.png</t>
  </si>
  <si>
    <t>fabric02_thin_frction_img/rgb_0365.png</t>
  </si>
  <si>
    <t>fabric03_thin_cut_img/rgb_0823.png</t>
  </si>
  <si>
    <t>fabric06_thin_abrasion_img/rgb_0518.png</t>
  </si>
  <si>
    <t>fabric02_thin_frction_img/rgb_0537.png</t>
  </si>
  <si>
    <t>fabric03_thin_cut_img/rgb_0820.png</t>
  </si>
  <si>
    <t>rgb_0447.png</t>
  </si>
  <si>
    <t>fabric06_thin_abrasion_img/rgb_0783.png</t>
  </si>
  <si>
    <t>fabric03_thin_frction_img/rgb_0447.png</t>
  </si>
  <si>
    <t>fabric03_thin_cut_img/rgb_0818.png</t>
  </si>
  <si>
    <t>fabric06_thin_abrasion_img/rgb_0164.png</t>
  </si>
  <si>
    <t>fabric06_thin_frction_img/rgb_0750.png</t>
  </si>
  <si>
    <t>rgb_0829.png</t>
  </si>
  <si>
    <t>fabric03_thin_cut_img/rgb_0829.png</t>
  </si>
  <si>
    <t>fabric01_thin_abrasion_img/rgb_0815.png</t>
  </si>
  <si>
    <t>fabric02_thin_frction_img/rgb_0356.png</t>
  </si>
  <si>
    <t>fabric03_thin_cut_img/rgb_0459.png</t>
  </si>
  <si>
    <t>fabric06_thin_frction_img/rgb_0756.png</t>
  </si>
  <si>
    <t>fabric06_thin_abrasion_img/rgb_0341.png</t>
  </si>
  <si>
    <t>fabric03_thin_cut_img/rgb_0449.png</t>
  </si>
  <si>
    <t>fabric06_thin_frction_img/rgb_0757.png</t>
  </si>
  <si>
    <t>fabric06_thin_abrasion_img/rgb_0513.png</t>
  </si>
  <si>
    <t>fabric03_thin_cut_img/rgb_0821.png</t>
  </si>
  <si>
    <t>fabric02_thin_frction_img/rgb_0355.png</t>
  </si>
  <si>
    <t>fabric05_thin_abrasion_img/rgb_0330.png</t>
  </si>
  <si>
    <t>rgb_0446.png</t>
  </si>
  <si>
    <t>fabric03_thin_cut_img/rgb_0446.png</t>
  </si>
  <si>
    <t>fabric02_thin_frction_img/rgb_0362.png</t>
  </si>
  <si>
    <t>fabric01_thin_abrasion_img/rgb_0804.png</t>
  </si>
  <si>
    <t>fabric03_thin_cut_img/rgb_0453.png</t>
  </si>
  <si>
    <t>fabric02_thin_frction_img/rgb_0363.png</t>
  </si>
  <si>
    <t>rgb_0169.png</t>
  </si>
  <si>
    <t>fabric06_thin_abrasion_img/rgb_0169.png</t>
  </si>
  <si>
    <t>fabric03_thin_cut_img/rgb_0451.png</t>
  </si>
  <si>
    <t>fabric02_thin_frction_img/rgb_0360.png</t>
  </si>
  <si>
    <t>fabric06_thin_abrasion_img/rgb_0083.png</t>
  </si>
  <si>
    <t>fabric03_thin_cut_img/rgb_0826.png</t>
  </si>
  <si>
    <t>fabric02_thin_frction_img/rgb_0364.png</t>
  </si>
  <si>
    <t>rgb_0167.png</t>
  </si>
  <si>
    <t>fabric06_thin_abrasion_img/rgb_0167.png</t>
  </si>
  <si>
    <t>fabric03_thin_cut_img/rgb_0448.png</t>
  </si>
  <si>
    <t>fabric06_thin_frction_img/rgb_0405.png</t>
  </si>
  <si>
    <t>rgb_0172.png</t>
  </si>
  <si>
    <t>fabric06_thin_abrasion_img/rgb_0172.png</t>
  </si>
  <si>
    <t>fabric03_thin_cut_img/rgb_0454.png</t>
  </si>
  <si>
    <t>fabric02_thin_frction_img/rgb_0358.png</t>
  </si>
  <si>
    <t>fabric03_thin_cut_img/rgb_0828.png</t>
  </si>
  <si>
    <t>fabric06_thin_abrasion_img/rgb_0265.png</t>
  </si>
  <si>
    <t>fabric02_thin_frction_img/rgb_0367.png</t>
  </si>
  <si>
    <t>fabric03_thin_cut_img/rgb_0457.png</t>
  </si>
  <si>
    <t>fabric06_thin_abrasion_img/rgb_0350.png</t>
  </si>
  <si>
    <t>fabric01_thin_frction_img/rgb_0776.png</t>
  </si>
  <si>
    <t>fabric03_thin_cut_img/rgb_0452.png</t>
  </si>
  <si>
    <t>fabric06_thin_abrasion_img/rgb_0253.png</t>
  </si>
  <si>
    <t>fabric02_thin_frction_img/rgb_0538.png</t>
  </si>
  <si>
    <t>fabric03_thin_cut_img/rgb_0810.png</t>
  </si>
  <si>
    <t>fabric01_thin_abrasion_img/rgb_0820.png</t>
  </si>
  <si>
    <t>fabric01_thin_frction_img/rgb_0789.png</t>
  </si>
  <si>
    <t>fabric03_thin_cut_img/rgb_0447.png</t>
  </si>
  <si>
    <t>fabric01_thin_abrasion_img/rgb_0805.png</t>
  </si>
  <si>
    <t>fabric06_thin_frction_img/rgb_0745.png</t>
  </si>
  <si>
    <t>fabric05_thin_cut_img/rgb_0857.png</t>
  </si>
  <si>
    <t>fabric06_thin_abrasion_img/rgb_0259.png</t>
  </si>
  <si>
    <t>rgb_0087.png</t>
  </si>
  <si>
    <t>fabric03_thin_frction_img/rgb_0087.png</t>
  </si>
  <si>
    <t>fabric03_thin_cut_img/rgb_0816.png</t>
  </si>
  <si>
    <t>fabric06_thin_abrasion_img/rgb_0250.png</t>
  </si>
  <si>
    <t>fabric02_thin_frction_img/rgb_0357.png</t>
  </si>
  <si>
    <t>fabric03_thin_cut_img/rgb_0450.png</t>
  </si>
  <si>
    <t>rgb_0161.png</t>
  </si>
  <si>
    <t>fabric06_thin_abrasion_img/rgb_0161.png</t>
  </si>
  <si>
    <t>fabric03_thin_frction_img/rgb_0178.png</t>
  </si>
  <si>
    <t>rgb_0903.png</t>
  </si>
  <si>
    <t>fabric03_thin_cut_img/rgb_0903.png</t>
  </si>
  <si>
    <t>fabric06_thin_abrasion_img/rgb_0087.png</t>
  </si>
  <si>
    <t>fabric01_thin_frction_img/rgb_0778.png</t>
  </si>
  <si>
    <t>fabric03_thin_cut_img/rgb_0272.png</t>
  </si>
  <si>
    <t>fabric06_thin_abrasion_img/rgb_0247.png</t>
  </si>
  <si>
    <t>fabric06_thin_frction_img/rgb_0741.png</t>
  </si>
  <si>
    <t>fabric03_thin_cut_img/rgb_0815.png</t>
  </si>
  <si>
    <t>fabric02_thin_abrasion_img/rgb_0369.png</t>
  </si>
  <si>
    <t>fabric02_thin_frction_img/rgb_0368.png</t>
  </si>
  <si>
    <t>fabric03_thin_cut_img/rgb_0827.png</t>
  </si>
  <si>
    <t>fabric02_thin_abrasion_img/rgb_0364.png</t>
  </si>
  <si>
    <t>fabric04_thin_frction_img/rgb_0487.png</t>
  </si>
  <si>
    <t>fabric06_thin_abrasion_img/rgb_0342.png</t>
  </si>
  <si>
    <t>fabric03_thin_cut_img/rgb_0535.png</t>
  </si>
  <si>
    <t>fabric06_thin_frction_img/rgb_0843.png</t>
  </si>
  <si>
    <t>fabric06_thin_abrasion_img/rgb_0436.png</t>
  </si>
  <si>
    <t>fabric03_thin_cut_img/rgb_0273.png</t>
  </si>
  <si>
    <t>fabric02_thin_frction_img/rgb_0465.png</t>
  </si>
  <si>
    <t>fabric02_thin_abrasion_img/rgb_0373.png</t>
  </si>
  <si>
    <t>fabric03_thin_cut_img/rgb_0817.png</t>
  </si>
  <si>
    <t>fabric06_thin_frction_img/rgb_0387.png</t>
  </si>
  <si>
    <t>fabric03_thin_cut_img/rgb_0536.png</t>
  </si>
  <si>
    <t>fabric01_thin_abrasion_img/rgb_0354.png</t>
  </si>
  <si>
    <t>fabric06_thin_frction_img/rgb_0844.png</t>
  </si>
  <si>
    <t>fabric06_thin_abrasion_img/rgb_0252.png</t>
  </si>
  <si>
    <t>fabric03_thin_cut_img/rgb_0541.png</t>
  </si>
  <si>
    <t>fabric06_thin_frction_img/rgb_0839.png</t>
  </si>
  <si>
    <t>fabric06_thin_abrasion_img/rgb_0266.png</t>
  </si>
  <si>
    <t>fabric03_thin_cut_img/rgb_0814.png</t>
  </si>
  <si>
    <t>fabric06_thin_abrasion_img/rgb_0778.png</t>
  </si>
  <si>
    <t>fabric06_thin_frction_img/rgb_0837.png</t>
  </si>
  <si>
    <t>fabric04_thin_cut_img/rgb_0165.png</t>
  </si>
  <si>
    <t>rgb_0716.png</t>
  </si>
  <si>
    <t>fabric03_thin_frction_img/rgb_0716.png</t>
  </si>
  <si>
    <t>fabric06_thin_abrasion_img/rgb_0258.png</t>
  </si>
  <si>
    <t>fabric03_thin_cut_img/rgb_0546.png</t>
  </si>
  <si>
    <t>rgb_0717.png</t>
  </si>
  <si>
    <t>fabric03_thin_frction_img/rgb_0717.png</t>
  </si>
  <si>
    <t>fabric06_thin_abrasion_img/rgb_0775.png</t>
  </si>
  <si>
    <t>fabric03_thin_cut_img/rgb_0543.png</t>
  </si>
  <si>
    <t>fabric06_thin_abrasion_img/rgb_0163.png</t>
  </si>
  <si>
    <t>fabric02_thin_frction_img/rgb_0375.png</t>
  </si>
  <si>
    <t>fabric03_thin_cut_img/rgb_0549.png</t>
  </si>
  <si>
    <t>fabric06_thin_abrasion_img/rgb_0528.png</t>
  </si>
  <si>
    <t>fabric06_thin_frction_img/rgb_0841.png</t>
  </si>
  <si>
    <t>fabric03_thin_cut_img/rgb_0537.png</t>
  </si>
  <si>
    <t>fabric06_thin_abrasion_img/rgb_0248.png</t>
  </si>
  <si>
    <t>fabric06_thin_frction_img/rgb_0838.png</t>
  </si>
  <si>
    <t>fabric03_thin_cut_img/rgb_0545.png</t>
  </si>
  <si>
    <t>fabric06_thin_abrasion_img/rgb_0345.png</t>
  </si>
  <si>
    <t>fabric02_thin_frction_img/rgb_0551.png</t>
  </si>
  <si>
    <t>fabric03_thin_cut_img/rgb_0548.png</t>
  </si>
  <si>
    <t>fabric01_thin_abrasion_img/rgb_0813.png</t>
  </si>
  <si>
    <t>fabric01_thin_frction_img/rgb_0782.png</t>
  </si>
  <si>
    <t>fabric03_thin_cut_img/rgb_0539.png</t>
  </si>
  <si>
    <t>fabric06_thin_abrasion_img/rgb_0180.png</t>
  </si>
  <si>
    <t>fabric06_thin_frction_img/rgb_0383.png</t>
  </si>
  <si>
    <t>fabric03_thin_cut_img/rgb_0534.png</t>
  </si>
  <si>
    <t>rgb_0075.png</t>
  </si>
  <si>
    <t>fabric06_thin_frction_img/rgb_0836.png</t>
  </si>
  <si>
    <t>fabric06_thin_abrasion_img/rgb_0075.png</t>
  </si>
  <si>
    <t>fabric03_thin_cut_img/rgb_0268.png</t>
  </si>
  <si>
    <t>rgb_0085.png</t>
  </si>
  <si>
    <t>fabric06_thin_frction_img/rgb_0382.png</t>
  </si>
  <si>
    <t>fabric06_thin_abrasion_img/rgb_0085.png</t>
  </si>
  <si>
    <t>fabric03_thin_cut_img/rgb_0544.png</t>
  </si>
  <si>
    <t>fabric03_thin_frction_img/rgb_0177.png</t>
  </si>
  <si>
    <t>fabric02_thin_abrasion_img/rgb_0362.png</t>
  </si>
  <si>
    <t>fabric03_thin_cut_img/rgb_0271.png</t>
  </si>
  <si>
    <t>fabric06_thin_frction_img/rgb_0833.png</t>
  </si>
  <si>
    <t>fabric06_thin_abrasion_img/rgb_0263.png</t>
  </si>
  <si>
    <t>fabric03_thin_cut_img/rgb_0345.png</t>
  </si>
  <si>
    <t>rgb_0682.png</t>
  </si>
  <si>
    <t>fabric05_thin_abrasion_img/rgb_0682.png</t>
  </si>
  <si>
    <t>fabric06_thin_frction_img/rgb_0834.png</t>
  </si>
  <si>
    <t>fabric03_thin_cut_img/rgb_0538.png</t>
  </si>
  <si>
    <t>fabric06_thin_abrasion_img/rgb_0790.png</t>
  </si>
  <si>
    <t>fabric02_thin_frction_img/rgb_0370.png</t>
  </si>
  <si>
    <t>fabric03_thin_cut_img/rgb_0262.png</t>
  </si>
  <si>
    <t>fabric06_thin_abrasion_img/rgb_0785.png</t>
  </si>
  <si>
    <t>fabric06_thin_frction_img/rgb_0848.png</t>
  </si>
  <si>
    <t>fabric03_thin_cut_img/rgb_0263.png</t>
  </si>
  <si>
    <t>fabric02_thin_abrasion_img/rgb_0372.png</t>
  </si>
  <si>
    <t>fabric06_thin_frction_img/rgb_0846.png</t>
  </si>
  <si>
    <t>fabric03_thin_cut_img/rgb_0267.png</t>
  </si>
  <si>
    <t>fabric06_thin_abrasion_img/rgb_0176.png</t>
  </si>
  <si>
    <t>fabric01_thin_frction_img/rgb_0605.png</t>
  </si>
  <si>
    <t>rgb_0907.png</t>
  </si>
  <si>
    <t>fabric03_thin_cut_img/rgb_0907.png</t>
  </si>
  <si>
    <t>fabric06_thin_abrasion_img/rgb_0256.png</t>
  </si>
  <si>
    <t>fabric02_thin_frction_img/rgb_0361.png</t>
  </si>
  <si>
    <t>fabric03_thin_cut_img/rgb_0274.png</t>
  </si>
  <si>
    <t>rgb_0830.png</t>
  </si>
  <si>
    <t>fabric06_thin_abrasion_img/rgb_0792.png</t>
  </si>
  <si>
    <t>fabric06_thin_frction_img/rgb_0830.png</t>
  </si>
  <si>
    <t>fabric04_thin_cut_img/rgb_0239.png</t>
  </si>
  <si>
    <t>fabric06_thin_abrasion_img/rgb_0344.png</t>
  </si>
  <si>
    <t>fabric01_thin_frction_img/rgb_0607.png</t>
  </si>
  <si>
    <t>rgb_0906.png</t>
  </si>
  <si>
    <t>fabric03_thin_cut_img/rgb_0906.png</t>
  </si>
  <si>
    <t>rgb_0831.png</t>
  </si>
  <si>
    <t>fabric06_thin_frction_img/rgb_0831.png</t>
  </si>
  <si>
    <t>fabric01_thin_abrasion_img/rgb_0811.png</t>
  </si>
  <si>
    <t>fabric03_thin_cut_img/rgb_0269.png</t>
  </si>
  <si>
    <t>fabric02_thin_frction_img/rgb_0542.png</t>
  </si>
  <si>
    <t>fabric06_thin_abrasion_img/rgb_0261.png</t>
  </si>
  <si>
    <t>fabric03_thin_cut_img/rgb_0830.png</t>
  </si>
  <si>
    <t>fabric06_thin_frction_img/rgb_0740.png</t>
  </si>
  <si>
    <t>fabric06_thin_abrasion_img/rgb_0347.png</t>
  </si>
  <si>
    <t>fabric01_thin_frction_img/rgb_0787.png</t>
  </si>
  <si>
    <t>fabric03_thin_cut_img/rgb_0547.png</t>
  </si>
  <si>
    <t>rgb_0174.png</t>
  </si>
  <si>
    <t>fabric06_thin_abrasion_img/rgb_0174.png</t>
  </si>
  <si>
    <t>fabric04_thin_cut_img/rgb_0151.png</t>
  </si>
  <si>
    <t>fabric01_thin_abrasion_img/rgb_0818.png</t>
  </si>
  <si>
    <t>fabric02_thin_frction_img/rgb_0712.png</t>
  </si>
  <si>
    <t>fabric03_thin_cut_img/rgb_0809.png</t>
  </si>
  <si>
    <t>fabric06_thin_abrasion_img/rgb_0264.png</t>
  </si>
  <si>
    <t>fabric03_thin_cut_img/rgb_0264.png</t>
  </si>
  <si>
    <t>rgb_0162.png</t>
  </si>
  <si>
    <t>fabric06_thin_abrasion_img/rgb_0162.png</t>
  </si>
  <si>
    <t>fabric02_thin_frction_img/rgb_0373.png</t>
  </si>
  <si>
    <t>rgb_0531.png</t>
  </si>
  <si>
    <t>fabric03_thin_cut_img/rgb_0531.png</t>
  </si>
  <si>
    <t>rgb_0170.png</t>
  </si>
  <si>
    <t>fabric06_thin_abrasion_img/rgb_0170.png</t>
  </si>
  <si>
    <t>fabric03_thin_cut_img/rgb_0266.png</t>
  </si>
  <si>
    <t>rgb_0168.png</t>
  </si>
  <si>
    <t>fabric03_thin_frction_img/rgb_0446.png</t>
  </si>
  <si>
    <t>fabric06_thin_abrasion_img/rgb_0168.png</t>
  </si>
  <si>
    <t>fabric03_thin_cut_img/rgb_0270.png</t>
  </si>
  <si>
    <t>fabric04_thin_abrasion_img/rgb_0424.png</t>
  </si>
  <si>
    <t>rgb_0413.png</t>
  </si>
  <si>
    <t>fabric05_thin_frction_img/rgb_0413.png</t>
  </si>
  <si>
    <t>fabric03_thin_cut_img/rgb_0258.png</t>
  </si>
  <si>
    <t>fabric06_thin_abrasion_img/rgb_0249.png</t>
  </si>
  <si>
    <t>fabric02_thin_frction_img/rgb_0552.png</t>
  </si>
  <si>
    <t>fabric04_thin_cut_img/rgb_0164.png</t>
  </si>
  <si>
    <t>fabric06_thin_abrasion_img/rgb_0417.png</t>
  </si>
  <si>
    <t>fabric01_thin_frction_img/rgb_0695.png</t>
  </si>
  <si>
    <t>fabric03_thin_cut_img/rgb_0265.png</t>
  </si>
  <si>
    <t>fabric01_thin_abrasion_img/rgb_0806.png</t>
  </si>
  <si>
    <t>fabric06_thin_frction_img/rgb_0827.png</t>
  </si>
  <si>
    <t>fabric03_thin_cut_img/rgb_0260.png</t>
  </si>
  <si>
    <t>fabric05_thin_abrasion_img/rgb_0418.png</t>
  </si>
  <si>
    <t>fabric01_thin_frction_img/rgb_0786.png</t>
  </si>
  <si>
    <t>fabric03_thin_cut_img/rgb_0261.png</t>
  </si>
  <si>
    <t>fabric02_thin_abrasion_img/rgb_0359.png</t>
  </si>
  <si>
    <t>fabric06_thin_frction_img/rgb_0829.png</t>
  </si>
  <si>
    <t>fabric03_thin_cut_img/rgb_0259.png</t>
  </si>
  <si>
    <t>fabric06_thin_abrasion_img/rgb_0789.png</t>
  </si>
  <si>
    <t>fabric02_thin_frction_img/rgb_0545.png</t>
  </si>
  <si>
    <t>fabric03_thin_cut_img/rgb_0255.png</t>
  </si>
  <si>
    <t>fabric02_thin_frction_img/rgb_0366.png</t>
  </si>
  <si>
    <t>fabric02_thin_abrasion_img/rgb_0361.png</t>
  </si>
  <si>
    <t>fabric03_thin_cut_img/rgb_0257.png</t>
  </si>
  <si>
    <t>rgb_0166.png</t>
  </si>
  <si>
    <t>fabric02_thin_frction_img/rgb_0369.png</t>
  </si>
  <si>
    <t>fabric06_thin_abrasion_img/rgb_0166.png</t>
  </si>
  <si>
    <t>fabric04_thin_cut_img/rgb_0259.png</t>
  </si>
  <si>
    <t>fabric02_thin_frction_img/rgb_0359.png</t>
  </si>
  <si>
    <t>fabric06_thin_abrasion_img/rgb_0251.png</t>
  </si>
  <si>
    <t>fabric03_thin_cut_img/rgb_0540.png</t>
  </si>
  <si>
    <t>fabric01_thin_frction_img/rgb_0780.png</t>
  </si>
  <si>
    <t>fabric06_thin_abrasion_img/rgb_0352.png</t>
  </si>
  <si>
    <t>fabric03_thin_cut_img/rgb_0256.png</t>
  </si>
  <si>
    <t>rgb_0690.png</t>
  </si>
  <si>
    <t>rgb_0868.png</t>
  </si>
  <si>
    <t>fabric01_thin_frction_img/rgb_0690.png</t>
  </si>
  <si>
    <t>fabric04_thin_abrasion_img/rgb_0868.png</t>
  </si>
  <si>
    <t>rgb_0905.png</t>
  </si>
  <si>
    <t>fabric03_thin_cut_img/rgb_0905.png</t>
  </si>
  <si>
    <t>fabric01_thin_frction_img/rgb_0794.png</t>
  </si>
  <si>
    <t>fabric06_thin_abrasion_img/rgb_0776.png</t>
  </si>
  <si>
    <t>fabric03_thin_cut_img/rgb_0811.png</t>
  </si>
  <si>
    <t>fabric06_thin_abrasion_img/rgb_0507.png</t>
  </si>
  <si>
    <t>fabric03_thin_frction_img/rgb_0468.png</t>
  </si>
  <si>
    <t>fabric04_thin_cut_img/rgb_0150.png</t>
  </si>
  <si>
    <t>fabric06_thin_abrasion_img/rgb_0260.png</t>
  </si>
  <si>
    <t>fabric06_thin_frction_img/rgb_0828.png</t>
  </si>
  <si>
    <t>fabric04_thin_cut_img/rgb_0147.png</t>
  </si>
  <si>
    <t>fabric01_thin_abrasion_img/rgb_0816.png</t>
  </si>
  <si>
    <t>fabric06_thin_frction_img/rgb_0739.png</t>
  </si>
  <si>
    <t>fabric04_thin_cut_img/rgb_0152.png</t>
  </si>
  <si>
    <t>fabric06_thin_abrasion_img/rgb_0255.png</t>
  </si>
  <si>
    <t>fabric04_thin_frction_img/rgb_0375.png</t>
  </si>
  <si>
    <t>fabric03_thin_cut_img/rgb_0254.png</t>
  </si>
  <si>
    <t>fabric01_thin_abrasion_img/rgb_0819.png</t>
  </si>
  <si>
    <t>fabric06_thin_frction_img/rgb_0842.png</t>
  </si>
  <si>
    <t>fabric04_thin_cut_img/rgb_0158.png</t>
  </si>
  <si>
    <t>fabric06_thin_abrasion_img/rgb_0527.png</t>
  </si>
  <si>
    <t>fabric04_thin_frction_img/rgb_0481.png</t>
  </si>
  <si>
    <t>fabric04_thin_cut_img/rgb_0157.png</t>
  </si>
  <si>
    <t>fabric01_thin_abrasion_img/rgb_0802.png</t>
  </si>
  <si>
    <t>fabric06_thin_frction_img/rgb_0826.png</t>
  </si>
  <si>
    <t>fabric03_thin_cut_img/rgb_0542.png</t>
  </si>
  <si>
    <t>rgb_0079.png</t>
  </si>
  <si>
    <t>fabric06_thin_abrasion_img/rgb_0079.png</t>
  </si>
  <si>
    <t>fabric06_thin_frction_img/rgb_0847.png</t>
  </si>
  <si>
    <t>fabric03_thin_cut_img/rgb_0812.png</t>
  </si>
  <si>
    <t>fabric01_thin_abrasion_img/rgb_0194.png</t>
  </si>
  <si>
    <t>fabric06_thin_frction_img/rgb_0832.png</t>
  </si>
  <si>
    <t>fabric04_thin_cut_img/rgb_0153.png</t>
  </si>
  <si>
    <t>fabric04_thin_frction_img/rgb_0476.png</t>
  </si>
  <si>
    <t>fabric01_thin_abrasion_img/rgb_0812.png</t>
  </si>
  <si>
    <t>fabric03_thin_cut_img/rgb_0813.png</t>
  </si>
  <si>
    <t>fabric04_thin_frction_img/rgb_0474.png</t>
  </si>
  <si>
    <t>fabric04_thin_cut_img/rgb_0155.png</t>
  </si>
  <si>
    <t>fabric01_thin_abrasion_img/rgb_0814.png</t>
  </si>
  <si>
    <t>fabric06_thin_frction_img/rgb_0845.png</t>
  </si>
  <si>
    <t>rgb_0909.png</t>
  </si>
  <si>
    <t>fabric03_thin_cut_img/rgb_0909.png</t>
  </si>
  <si>
    <t>fabric01_thin_abrasion_img/rgb_0183.png</t>
  </si>
  <si>
    <t>fabric04_thin_frction_img/rgb_0482.png</t>
  </si>
  <si>
    <t>fabric03_thin_cut_img/rgb_0831.png</t>
  </si>
  <si>
    <t>fabric06_thin_abrasion_img/rgb_0517.png</t>
  </si>
  <si>
    <t>fabric01_thin_frction_img/rgb_0598.png</t>
  </si>
  <si>
    <t>fabric04_thin_cut_img/rgb_0159.png</t>
  </si>
  <si>
    <t>rgb_0685.png</t>
  </si>
  <si>
    <t>fabric06_thin_abrasion_img/rgb_0685.png</t>
  </si>
  <si>
    <t>fabric04_thin_frction_img/rgb_0473.png</t>
  </si>
  <si>
    <t>rgb_0912.png</t>
  </si>
  <si>
    <t>fabric03_thin_cut_img/rgb_0912.png</t>
  </si>
  <si>
    <t>fabric01_thin_abrasion_img/rgb_0106.png</t>
  </si>
  <si>
    <t>fabric04_thin_frction_img/rgb_0472.png</t>
  </si>
  <si>
    <t>fabric04_thin_cut_img/rgb_0146.png</t>
  </si>
  <si>
    <t>fabric01_thin_abrasion_img/rgb_0801.png</t>
  </si>
  <si>
    <t>fabric04_thin_cut_img/rgb_0333.png</t>
  </si>
  <si>
    <t>fabric04_thin_frction_img/rgb_0466.png</t>
  </si>
  <si>
    <t>fabric04_thin_abrasion_img/rgb_0535.png</t>
  </si>
  <si>
    <t>fabric04_thin_cut_img/rgb_0162.png</t>
  </si>
  <si>
    <t>fabric04_thin_frction_img/rgb_0396.png</t>
  </si>
  <si>
    <t>fabric04_thin_cut_img/rgb_0160.png</t>
  </si>
  <si>
    <t>fabric04_thin_abrasion_img/rgb_0778.png</t>
  </si>
  <si>
    <t>fabric04_thin_frction_img/rgb_0469.png</t>
  </si>
  <si>
    <t>fabric04_thin_cut_img/rgb_0148.png</t>
  </si>
  <si>
    <t>fabric01_thin_abrasion_img/rgb_0177.png</t>
  </si>
  <si>
    <t>fabric04_thin_frction_img/rgb_0484.png</t>
  </si>
  <si>
    <t>rgb_0916.png</t>
  </si>
  <si>
    <t>fabric03_thin_cut_img/rgb_0916.png</t>
  </si>
  <si>
    <t>fabric02_thin_abrasion_img/rgb_0464.png</t>
  </si>
  <si>
    <t>rgb_0532.png</t>
  </si>
  <si>
    <t>fabric01_thin_frction_img/rgb_0779.png</t>
  </si>
  <si>
    <t>fabric03_thin_cut_img/rgb_0532.png</t>
  </si>
  <si>
    <t>fabric06_thin_abrasion_img/rgb_0090.png</t>
  </si>
  <si>
    <t>fabric04_thin_frction_img/rgb_0479.png</t>
  </si>
  <si>
    <t>fabric04_thin_cut_img/rgb_0156.png</t>
  </si>
  <si>
    <t>fabric01_thin_abrasion_img/rgb_0188.png</t>
  </si>
  <si>
    <t>fabric04_thin_cut_img/rgb_0166.png</t>
  </si>
  <si>
    <t>fabric02_thin_frction_img/rgb_0549.png</t>
  </si>
  <si>
    <t>fabric01_thin_abrasion_img/rgb_0179.png</t>
  </si>
  <si>
    <t>rgb_0533.png</t>
  </si>
  <si>
    <t>fabric03_thin_cut_img/rgb_0533.png</t>
  </si>
  <si>
    <t>fabric04_thin_frction_img/rgb_0465.png</t>
  </si>
  <si>
    <t>fabric01_thin_abrasion_img/rgb_0191.png</t>
  </si>
  <si>
    <t>fabric03_thin_cut_img/rgb_0551.png</t>
  </si>
  <si>
    <t>rgb_0910.png</t>
  </si>
  <si>
    <t>fabric03_thin_cut_img/rgb_0910.png</t>
  </si>
  <si>
    <t>fabric06_thin_frction_img/rgb_0835.png</t>
  </si>
  <si>
    <t>fabric05_thin_abrasion_img/rgb_0434.png</t>
  </si>
  <si>
    <t>fabric04_thin_cut_img/rgb_0161.png</t>
  </si>
  <si>
    <t>fabric01_thin_frction_img/rgb_0792.png</t>
  </si>
  <si>
    <t>fabric01_thin_abrasion_img/rgb_0722.png</t>
  </si>
  <si>
    <t>fabric04_thin_cut_img/rgb_0149.png</t>
  </si>
  <si>
    <t>fabric04_thin_frction_img/rgb_0486.png</t>
  </si>
  <si>
    <t>fabric01_thin_abrasion_img/rgb_0192.png</t>
  </si>
  <si>
    <t>rgb_0925.png</t>
  </si>
  <si>
    <t>fabric03_thin_cut_img/rgb_0925.png</t>
  </si>
  <si>
    <t>fabric04_thin_frction_img/rgb_0485.png</t>
  </si>
  <si>
    <t>fabric01_thin_abrasion_img/rgb_0178.png</t>
  </si>
  <si>
    <t>fabric03_thin_cut_img/rgb_0528.png</t>
  </si>
  <si>
    <t>fabric04_thin_frction_img/rgb_0475.png</t>
  </si>
  <si>
    <t>fabric01_thin_abrasion_img/rgb_0187.png</t>
  </si>
  <si>
    <t>fabric04_thin_cut_img/rgb_0336.png</t>
  </si>
  <si>
    <t>fabric02_thin_frction_img/rgb_0539.png</t>
  </si>
  <si>
    <t>fabric01_thin_abrasion_img/rgb_0182.png</t>
  </si>
  <si>
    <t>fabric04_thin_cut_img/rgb_0154.png</t>
  </si>
  <si>
    <t>fabric06_thin_frction_img/rgb_0840.png</t>
  </si>
  <si>
    <t>fabric01_thin_abrasion_img/rgb_0730.png</t>
  </si>
  <si>
    <t>rgb_0902.png</t>
  </si>
  <si>
    <t>fabric03_thin_cut_img/rgb_0902.png</t>
  </si>
  <si>
    <t>fabric04_thin_frction_img/rgb_0480.png</t>
  </si>
  <si>
    <t>fabric01_thin_abrasion_img/rgb_0713.png</t>
  </si>
  <si>
    <t>fabric03_thin_cut_img/rgb_0436.png</t>
  </si>
  <si>
    <t>fabric01_thin_frction_img/rgb_0781.png</t>
  </si>
  <si>
    <t>rgb_0908.png</t>
  </si>
  <si>
    <t>fabric03_thin_cut_img/rgb_0908.png</t>
  </si>
  <si>
    <t>fabric04_thin_frction_img/rgb_0467.png</t>
  </si>
  <si>
    <t>fabric01_thin_abrasion_img/rgb_0711.png</t>
  </si>
  <si>
    <t>fabric03_thin_cut_img/rgb_0529.png</t>
  </si>
  <si>
    <t>fabric04_thin_frction_img/rgb_0483.png</t>
  </si>
  <si>
    <t>fabric01_thin_abrasion_img/rgb_0176.png</t>
  </si>
  <si>
    <t>fabric04_thin_frction_img/rgb_0822.png</t>
  </si>
  <si>
    <t>fabric03_thin_cut_img/rgb_0550.png</t>
  </si>
  <si>
    <t>fabric01_thin_abrasion_img/rgb_0186.png</t>
  </si>
  <si>
    <t>fabric04_thin_frction_img/rgb_0477.png</t>
  </si>
  <si>
    <t>fabric06_thin_cut_img/rgb_0384.png</t>
  </si>
  <si>
    <t>fabric04_thin_frction_img/rgb_0478.png</t>
  </si>
  <si>
    <t>fabric05_thin_cut_img/rgb_0370.png</t>
  </si>
  <si>
    <t>fabric01_thin_abrasion_img/rgb_0185.png</t>
  </si>
  <si>
    <t>fabric04_thin_frction_img/rgb_0471.png</t>
  </si>
  <si>
    <t>fabric04_thin_cut_img/rgb_0163.png</t>
  </si>
  <si>
    <t>fabric02_thin_abrasion_img/rgb_0182.png</t>
  </si>
  <si>
    <t>fabric04_thin_frction_img/rgb_0470.png</t>
  </si>
  <si>
    <t>fabric04_thin_cut_img/rgb_0346.png</t>
  </si>
  <si>
    <t>fabric03_thin_frction_img/rgb_0085.png</t>
  </si>
  <si>
    <t>fabric04_thin_abrasion_img/rgb_0690.png</t>
  </si>
  <si>
    <t>rgb_0530.png</t>
  </si>
  <si>
    <t>fabric03_thin_cut_img/rgb_0530.png</t>
  </si>
  <si>
    <t>fabric01_thin_frction_img/rgb_0608.png</t>
  </si>
  <si>
    <t>fabric03_thin_cut_img/rgb_0807.png</t>
  </si>
  <si>
    <t>fabric01_thin_frction_img/rgb_0700.png</t>
  </si>
  <si>
    <t>fabric01_thin_abrasion_img/rgb_0193.png</t>
  </si>
  <si>
    <t>fabric03_thin_cut_img/rgb_0808.png</t>
  </si>
  <si>
    <t>fabric01_thin_frction_img/rgb_0609.png</t>
  </si>
  <si>
    <t>fabric01_thin_abrasion_img/rgb_0190.png</t>
  </si>
  <si>
    <t>fabric04_thin_cut_img/rgb_0243.png</t>
  </si>
  <si>
    <t>fabric01_thin_frction_img/rgb_0777.png</t>
  </si>
  <si>
    <t>fabric01_thin_abrasion_img/rgb_0265.png</t>
  </si>
  <si>
    <t>fabric03_thin_cut_img/rgb_0253.png</t>
  </si>
  <si>
    <t>rgb_0442.png</t>
  </si>
  <si>
    <t>fabric02_thin_frction_img/rgb_0442.png</t>
  </si>
  <si>
    <t>fabric04_thin_cut_img/rgb_0246.png</t>
  </si>
  <si>
    <t>fabric01_thin_abrasion_img/rgb_0184.png</t>
  </si>
  <si>
    <t>fabric04_thin_frction_img/rgb_0464.png</t>
  </si>
  <si>
    <t>fabric04_thin_cut_img/rgb_0252.png</t>
  </si>
  <si>
    <t>fabric01_thin_abrasion_img/rgb_0723.png</t>
  </si>
  <si>
    <t>fabric04_thin_frction_img/rgb_0468.png</t>
  </si>
  <si>
    <t>fabric04_thin_cut_img/rgb_0257.png</t>
  </si>
  <si>
    <t>fabric01_thin_abrasion_img/rgb_0727.png</t>
  </si>
  <si>
    <t>fabric02_thin_frction_img/rgb_0464.png</t>
  </si>
  <si>
    <t>fabric04_thin_cut_img/rgb_0241.png</t>
  </si>
  <si>
    <t>fabric05_thin_abrasion_img/rgb_0419.png</t>
  </si>
  <si>
    <t>rgb_0687.png</t>
  </si>
  <si>
    <t>fabric01_thin_frction_img/rgb_0687.png</t>
  </si>
  <si>
    <t>fabric04_thin_cut_img/rgb_0255.png</t>
  </si>
  <si>
    <t>fabric05_thin_abrasion_img/rgb_0698.png</t>
  </si>
  <si>
    <t>rgb_0443.png</t>
  </si>
  <si>
    <t>fabric02_thin_frction_img/rgb_0443.png</t>
  </si>
  <si>
    <t>fabric04_thin_cut_img/rgb_0247.png</t>
  </si>
  <si>
    <t>fabric01_thin_abrasion_img/rgb_0181.png</t>
  </si>
  <si>
    <t>fabric05_thin_frction_img/rgb_0747.png</t>
  </si>
  <si>
    <t>fabric04_thin_cut_img/rgb_0244.png</t>
  </si>
  <si>
    <t>fabric01_thin_abrasion_img/rgb_0180.png</t>
  </si>
  <si>
    <t>fabric04_thin_cut_img/rgb_0256.png</t>
  </si>
  <si>
    <t>fabric02_thin_frction_img/rgb_0456.png</t>
  </si>
  <si>
    <t>fabric01_thin_abrasion_img/rgb_0189.png</t>
  </si>
  <si>
    <t>fabric04_thin_cut_img/rgb_0242.png</t>
  </si>
  <si>
    <t>rgb_0684.png</t>
  </si>
  <si>
    <t>fabric06_thin_abrasion_img/rgb_0684.png</t>
  </si>
  <si>
    <t>fabric01_thin_frction_img/rgb_0696.png</t>
  </si>
  <si>
    <t>fabric04_thin_cut_img/rgb_0248.png</t>
  </si>
  <si>
    <t>fabric01_thin_frction_img/rgb_0693.png</t>
  </si>
  <si>
    <t>fabric01_thin_abrasion_img/rgb_0724.png</t>
  </si>
  <si>
    <t>fabric04_thin_cut_img/rgb_0245.png</t>
  </si>
  <si>
    <t>fabric01_thin_frction_img/rgb_0694.png</t>
  </si>
  <si>
    <t>fabric01_thin_abrasion_img/rgb_0717.png</t>
  </si>
  <si>
    <t>fabric04_thin_cut_img/rgb_0240.png</t>
  </si>
  <si>
    <t>fabric01_thin_frction_img/rgb_0705.png</t>
  </si>
  <si>
    <t>fabric02_thin_abrasion_img/rgb_0441.png</t>
  </si>
  <si>
    <t>fabric03_thin_cut_img/rgb_0456.png</t>
  </si>
  <si>
    <t>fabric02_thin_frction_img/rgb_0353.png</t>
  </si>
  <si>
    <t>fabric01_thin_abrasion_img/rgb_0719.png</t>
  </si>
  <si>
    <t>fabric02_thin_frction_img/rgb_0533.png</t>
  </si>
  <si>
    <t>fabric04_thin_cut_img/rgb_0251.png</t>
  </si>
  <si>
    <t>rgb_0715.png</t>
  </si>
  <si>
    <t>fabric01_thin_abrasion_img/rgb_0715.png</t>
  </si>
  <si>
    <t>fabric04_thin_cut_img/rgb_0250.png</t>
  </si>
  <si>
    <t>fabric01_thin_abrasion_img/rgb_0729.png</t>
  </si>
  <si>
    <t>fabric02_thin_frction_img/rgb_0445.png</t>
  </si>
  <si>
    <t>fabric04_thin_cut_img/rgb_0249.png</t>
  </si>
  <si>
    <t>fabric01_thin_abrasion_img/rgb_0728.png</t>
  </si>
  <si>
    <t>fabric02_thin_frction_img/rgb_0463.png</t>
  </si>
  <si>
    <t>fabric03_thin_cut_img/rgb_0455.png</t>
  </si>
  <si>
    <t>fabric01_thin_abrasion_img/rgb_0726.png</t>
  </si>
  <si>
    <t>fabric04_thin_frction_img/rgb_0744.png</t>
  </si>
  <si>
    <t>fabric04_thin_cut_img/rgb_0253.png</t>
  </si>
  <si>
    <t>fabric05_thin_abrasion_img/rgb_0694.png</t>
  </si>
  <si>
    <t>fabric04_thin_frction_img/rgb_0753.png</t>
  </si>
  <si>
    <t>fabric04_thin_cut_img/rgb_0254.png</t>
  </si>
  <si>
    <t>fabric04_thin_frction_img/rgb_0748.png</t>
  </si>
  <si>
    <t>fabric01_thin_abrasion_img/rgb_0718.png</t>
  </si>
  <si>
    <t>fabric04_thin_cut_img/rgb_0258.png</t>
  </si>
  <si>
    <t>fabric04_thin_frction_img/rgb_0746.png</t>
  </si>
  <si>
    <t>fabric02_thin_abrasion_img/rgb_0092.png</t>
  </si>
  <si>
    <t>fabric03_thin_cut_img/rgb_0252.png</t>
  </si>
  <si>
    <t>fabric04_thin_frction_img/rgb_0754.png</t>
  </si>
  <si>
    <t>fabric01_thin_abrasion_img/rgb_0712.png</t>
  </si>
  <si>
    <t>fabric04_thin_cut_img/rgb_0339.png</t>
  </si>
  <si>
    <t>fabric02_thin_frction_img/rgb_0451.png</t>
  </si>
  <si>
    <t>fabric01_thin_abrasion_img/rgb_0721.png</t>
  </si>
  <si>
    <t>fabric04_thin_cut_img/rgb_0349.png</t>
  </si>
  <si>
    <t>fabric02_thin_frction_img/rgb_0450.png</t>
  </si>
  <si>
    <t>fabric04_thin_abrasion_img/rgb_0251.png</t>
  </si>
  <si>
    <t>fabric03_thin_cut_img/rgb_0445.png</t>
  </si>
  <si>
    <t>fabric04_thin_frction_img/rgb_0742.png</t>
  </si>
  <si>
    <t>fabric04_thin_abrasion_img/rgb_0275.png</t>
  </si>
  <si>
    <t>fabric05_thin_cut_img/rgb_0186.png</t>
  </si>
  <si>
    <t>fabric02_thin_frction_img/rgb_0548.png</t>
  </si>
  <si>
    <t>fabric01_thin_abrasion_img/rgb_0731.png</t>
  </si>
  <si>
    <t>fabric03_thin_cut_img/rgb_0251.png</t>
  </si>
  <si>
    <t>fabric01_thin_frction_img/rgb_0602.png</t>
  </si>
  <si>
    <t>fabric01_thin_abrasion_img/rgb_0725.png</t>
  </si>
  <si>
    <t>fabric03_thin_cut_img/rgb_0443.png</t>
  </si>
  <si>
    <t>fabric01_thin_frction_img/rgb_0603.png</t>
  </si>
  <si>
    <t>fabric05_thin_abrasion_img/rgb_0697.png</t>
  </si>
  <si>
    <t>fabric03_thin_cut_img/rgb_0442.png</t>
  </si>
  <si>
    <t>fabric01_thin_frction_img/rgb_0601.png</t>
  </si>
  <si>
    <t>fabric05_thin_abrasion_img/rgb_0430.png</t>
  </si>
  <si>
    <t>fabric04_thin_cut_img/rgb_0344.png</t>
  </si>
  <si>
    <t>fabric01_thin_frction_img/rgb_0610.png</t>
  </si>
  <si>
    <t>fabric01_thin_abrasion_img/rgb_0714.png</t>
  </si>
  <si>
    <t>fabric04_thin_cut_img/rgb_0337.png</t>
  </si>
  <si>
    <t>fabric01_thin_frction_img/rgb_0592.png</t>
  </si>
  <si>
    <t>fabric01_thin_abrasion_img/rgb_0716.png</t>
  </si>
  <si>
    <t>fabric04_thin_cut_img/rgb_0334.png</t>
  </si>
  <si>
    <t>rgb_0597.png</t>
  </si>
  <si>
    <t>fabric01_thin_frction_img/rgb_0597.png</t>
  </si>
  <si>
    <t>fabric01_thin_abrasion_img/rgb_0720.png</t>
  </si>
  <si>
    <t>rgb_0444.png</t>
  </si>
  <si>
    <t>fabric03_thin_cut_img/rgb_0444.png</t>
  </si>
  <si>
    <t>fabric01_thin_frction_img/rgb_0596.png</t>
  </si>
  <si>
    <t>fabric06_thin_abrasion_img/rgb_0703.png</t>
  </si>
  <si>
    <t>fabric04_thin_cut_img/rgb_0335.png</t>
  </si>
  <si>
    <t>fabric01_thin_frction_img/rgb_0604.png</t>
  </si>
  <si>
    <t>rgb_0686.png</t>
  </si>
  <si>
    <t>fabric06_thin_abrasion_img/rgb_0686.png</t>
  </si>
  <si>
    <t>fabric04_thin_cut_img/rgb_0430.png</t>
  </si>
  <si>
    <t>fabric04_thin_frction_img/rgb_0750.png</t>
  </si>
  <si>
    <t>fabric04_thin_abrasion_img/rgb_0513.png</t>
  </si>
  <si>
    <t>fabric04_thin_cut_img/rgb_0424.png</t>
  </si>
  <si>
    <t>fabric04_thin_frction_img/rgb_0749.png</t>
  </si>
  <si>
    <t>fabric01_thin_abrasion_img/rgb_0353.png</t>
  </si>
  <si>
    <t>fabric04_thin_cut_img/rgb_0433.png</t>
  </si>
  <si>
    <t>fabric04_thin_frction_img/rgb_0747.png</t>
  </si>
  <si>
    <t>fabric04_thin_abrasion_img/rgb_0784.png</t>
  </si>
  <si>
    <t>fabric04_thin_cut_img/rgb_0432.png</t>
  </si>
  <si>
    <t>fabric01_thin_frction_img/rgb_0600.png</t>
  </si>
  <si>
    <t>rgb_0683.png</t>
  </si>
  <si>
    <t>fabric06_thin_abrasion_img/rgb_0683.png</t>
  </si>
  <si>
    <t>fabric04_thin_cut_img/rgb_0238.png</t>
  </si>
  <si>
    <t>fabric01_thin_frction_img/rgb_0593.png</t>
  </si>
  <si>
    <t>fabric01_thin_abrasion_img/rgb_0441.png</t>
  </si>
  <si>
    <t>fabric04_thin_cut_img/rgb_0425.png</t>
  </si>
  <si>
    <t>fabric04_thin_frction_img/rgb_0741.png</t>
  </si>
  <si>
    <t>fabric01_thin_abrasion_img/rgb_0175.png</t>
  </si>
  <si>
    <t>rgb_0440.png</t>
  </si>
  <si>
    <t>fabric03_thin_cut_img/rgb_0440.png</t>
  </si>
  <si>
    <t>fabric04_thin_frction_img/rgb_0739.png</t>
  </si>
  <si>
    <t>fabric06_thin_abrasion_img/rgb_0610.png</t>
  </si>
  <si>
    <t>fabric04_thin_cut_img/rgb_0435.png</t>
  </si>
  <si>
    <t>fabric01_thin_frction_img/rgb_0415.png</t>
  </si>
  <si>
    <t>fabric06_thin_abrasion_img/rgb_0704.png</t>
  </si>
  <si>
    <t>fabric04_thin_cut_img/rgb_0438.png</t>
  </si>
  <si>
    <t>fabric04_thin_frction_img/rgb_0745.png</t>
  </si>
  <si>
    <t>fabric06_thin_abrasion_img/rgb_0702.png</t>
  </si>
  <si>
    <t>fabric04_thin_cut_img/rgb_0431.png</t>
  </si>
  <si>
    <t>fabric02_thin_frction_img/rgb_0543.png</t>
  </si>
  <si>
    <t>fabric01_thin_abrasion_img/rgb_0084.png</t>
  </si>
  <si>
    <t>fabric04_thin_cut_img/rgb_0331.png</t>
  </si>
  <si>
    <t>fabric04_thin_frction_img/rgb_0740.png</t>
  </si>
  <si>
    <t>fabric04_thin_cut_img/rgb_0439.png</t>
  </si>
  <si>
    <t>fabric01_thin_abrasion_img/rgb_0709.png</t>
  </si>
  <si>
    <t>fabric04_thin_frction_img/rgb_0751.png</t>
  </si>
  <si>
    <t>fabric04_thin_cut_img/rgb_0609.png</t>
  </si>
  <si>
    <t>fabric05_thin_abrasion_img/rgb_0435.png</t>
  </si>
  <si>
    <t>fabric04_thin_cut_img/rgb_0429.png</t>
  </si>
  <si>
    <t>fabric06_thin_abrasion_img/rgb_0698.png</t>
  </si>
  <si>
    <t>fabric04_thin_frction_img/rgb_0737.png</t>
  </si>
  <si>
    <t>fabric04_thin_cut_img/rgb_0345.png</t>
  </si>
  <si>
    <t>fabric01_thin_abrasion_img/rgb_0174.png</t>
  </si>
  <si>
    <t>fabric04_thin_frction_img/rgb_0752.png</t>
  </si>
  <si>
    <t>fabric04_thin_abrasion_img/rgb_0600.png</t>
  </si>
  <si>
    <t>rgb_0503.png</t>
  </si>
  <si>
    <t>fabric05_thin_frction_img/rgb_0503.png</t>
  </si>
  <si>
    <t>rgb_0623.png</t>
  </si>
  <si>
    <t>fabric04_thin_cut_img/rgb_0623.png</t>
  </si>
  <si>
    <t>fabric01_thin_abrasion_img/rgb_0710.png</t>
  </si>
  <si>
    <t>fabric04_thin_cut_img/rgb_0611.png</t>
  </si>
  <si>
    <t>fabric01_thin_frction_img/rgb_0599.png</t>
  </si>
  <si>
    <t>fabric05_thin_abrasion_img/rgb_0686.png</t>
  </si>
  <si>
    <t>fabric04_thin_cut_img/rgb_0423.png</t>
  </si>
  <si>
    <t>fabric02_thin_frction_img/rgb_0553.png</t>
  </si>
  <si>
    <t>fabric04_thin_abrasion_img/rgb_0789.png</t>
  </si>
  <si>
    <t>fabric01_thin_frction_img/rgb_0704.png</t>
  </si>
  <si>
    <t>fabric03_thin_cut_img/rgb_0527.png</t>
  </si>
  <si>
    <t>fabric01_thin_abrasion_img/rgb_0444.png</t>
  </si>
  <si>
    <t>fabric02_thin_frction_img/rgb_0453.png</t>
  </si>
  <si>
    <t>fabric04_thin_cut_img/rgb_0618.png</t>
  </si>
  <si>
    <t>fabric06_thin_abrasion_img/rgb_0692.png</t>
  </si>
  <si>
    <t>fabric02_thin_frction_img/rgb_0547.png</t>
  </si>
  <si>
    <t>fabric05_thin_abrasion_img/rgb_0433.png</t>
  </si>
  <si>
    <t>fabric04_thin_cut_img/rgb_0342.png</t>
  </si>
  <si>
    <t>fabric05_thin_frction_img/rgb_0838.png</t>
  </si>
  <si>
    <t>fabric02_thin_abrasion_img/rgb_0198.png</t>
  </si>
  <si>
    <t>fabric04_thin_cut_img/rgb_0428.png</t>
  </si>
  <si>
    <t>fabric04_thin_frction_img/rgb_0738.png</t>
  </si>
  <si>
    <t>fabric05_thin_abrasion_img/rgb_0244.png</t>
  </si>
  <si>
    <t>fabric01_thin_frction_img/rgb_0699.png</t>
  </si>
  <si>
    <t>fabric04_thin_cut_img/rgb_0145.png</t>
  </si>
  <si>
    <t>fabric06_thin_abrasion_img/rgb_0614.png</t>
  </si>
  <si>
    <t>fabric01_thin_frction_img/rgb_0612.png</t>
  </si>
  <si>
    <t>fabric04_thin_cut_img/rgb_0443.png</t>
  </si>
  <si>
    <t>fabric04_thin_abrasion_img/rgb_0799.png</t>
  </si>
  <si>
    <t>fabric02_thin_frction_img/rgb_0554.png</t>
  </si>
  <si>
    <t>fabric04_thin_cut_img/rgb_0351.png</t>
  </si>
  <si>
    <t>fabric06_thin_abrasion_img/rgb_0699.png</t>
  </si>
  <si>
    <t>fabric02_thin_frction_img/rgb_0536.png</t>
  </si>
  <si>
    <t>fabric04_thin_cut_img/rgb_0426.png</t>
  </si>
  <si>
    <t>fabric04_thin_abrasion_img/rgb_0792.png</t>
  </si>
  <si>
    <t>fabric02_thin_frction_img/rgb_0534.png</t>
  </si>
  <si>
    <t>fabric04_thin_cut_img/rgb_0615.png</t>
  </si>
  <si>
    <t>fabric06_thin_abrasion_img/rgb_0608.png</t>
  </si>
  <si>
    <t>fabric02_thin_frction_img/rgb_0447.png</t>
  </si>
  <si>
    <t>rgb_0622.png</t>
  </si>
  <si>
    <t>fabric04_thin_cut_img/rgb_0622.png</t>
  </si>
  <si>
    <t>fabric05_thin_abrasion_img/rgb_0423.png</t>
  </si>
  <si>
    <t>fabric04_thin_frction_img/rgb_0736.png</t>
  </si>
  <si>
    <t>fabric04_thin_cut_img/rgb_0613.png</t>
  </si>
  <si>
    <t>fabric04_thin_abrasion_img/rgb_0782.png</t>
  </si>
  <si>
    <t>fabric02_thin_frction_img/rgb_0541.png</t>
  </si>
  <si>
    <t>fabric04_thin_cut_img/rgb_0441.png</t>
  </si>
  <si>
    <t>fabric05_thin_abrasion_img/rgb_0420.png</t>
  </si>
  <si>
    <t>fabric03_thin_frction_img/rgb_0200.png</t>
  </si>
  <si>
    <t>fabric04_thin_cut_img/rgb_0440.png</t>
  </si>
  <si>
    <t>fabric05_thin_abrasion_img/rgb_0700.png</t>
  </si>
  <si>
    <t>fabric04_thin_frction_img/rgb_0743.png</t>
  </si>
  <si>
    <t>fabric04_thin_cut_img/rgb_0515.png</t>
  </si>
  <si>
    <t>fabric04_thin_abrasion_img/rgb_0798.png</t>
  </si>
  <si>
    <t>rgb_0688.png</t>
  </si>
  <si>
    <t>fabric04_thin_cut_img/rgb_0442.png</t>
  </si>
  <si>
    <t>fabric01_thin_frction_img/rgb_0688.png</t>
  </si>
  <si>
    <t>fabric06_thin_abrasion_img/rgb_0696.png</t>
  </si>
  <si>
    <t>fabric04_thin_cut_img/rgb_0610.png</t>
  </si>
  <si>
    <t>fabric02_thin_frction_img/rgb_0449.png</t>
  </si>
  <si>
    <t>fabric02_thin_abrasion_img/rgb_0443.png</t>
  </si>
  <si>
    <t>fabric04_thin_cut_img/rgb_0619.png</t>
  </si>
  <si>
    <t>fabric02_thin_frction_img/rgb_0550.png</t>
  </si>
  <si>
    <t>fabric01_thin_abrasion_img/rgb_0453.png</t>
  </si>
  <si>
    <t>fabric04_thin_cut_img/rgb_0437.png</t>
  </si>
  <si>
    <t>fabric05_thin_abrasion_img/rgb_0689.png</t>
  </si>
  <si>
    <t>fabric01_thin_frction_img/rgb_0701.png</t>
  </si>
  <si>
    <t>fabric04_thin_cut_img/rgb_0612.png</t>
  </si>
  <si>
    <t>fabric02_thin_abrasion_img/rgb_0200.png</t>
  </si>
  <si>
    <t>fabric01_thin_frction_img/rgb_0698.png</t>
  </si>
  <si>
    <t>fabric04_thin_cut_img/rgb_0436.png</t>
  </si>
  <si>
    <t>fabric01_thin_abrasion_img/rgb_0455.png</t>
  </si>
  <si>
    <t>fabric01_thin_frction_img/rgb_0702.png</t>
  </si>
  <si>
    <t>fabric04_thin_cut_img/rgb_0516.png</t>
  </si>
  <si>
    <t>fabric02_thin_abrasion_img/rgb_0184.png</t>
  </si>
  <si>
    <t>fabric01_thin_frction_img/rgb_0784.png</t>
  </si>
  <si>
    <t>fabric04_thin_cut_img/rgb_0167.png</t>
  </si>
  <si>
    <t>fabric04_thin_cut_img/rgb_0616.png</t>
  </si>
  <si>
    <t>fabric01_thin_frction_img/rgb_0703.png</t>
  </si>
  <si>
    <t>fabric04_thin_abrasion_img/rgb_0515.png</t>
  </si>
  <si>
    <t>fabric04_thin_cut_img/rgb_0237.png</t>
  </si>
  <si>
    <t>fabric01_thin_frction_img/rgb_0685.png</t>
  </si>
  <si>
    <t>fabric06_thin_abrasion_img/rgb_0705.png</t>
  </si>
  <si>
    <t>fabric04_thin_frction_img/rgb_0755.png</t>
  </si>
  <si>
    <t>fabric04_thin_cut_img/rgb_0434.png</t>
  </si>
  <si>
    <t>fabric01_thin_abrasion_img/rgb_0799.png</t>
  </si>
  <si>
    <t>fabric02_thin_frction_img/rgb_0444.png</t>
  </si>
  <si>
    <t>fabric05_thin_abrasion_img/rgb_0439.png</t>
  </si>
  <si>
    <t>fabric04_thin_cut_img/rgb_0427.png</t>
  </si>
  <si>
    <t>fabric04_thin_frction_img/rgb_0735.png</t>
  </si>
  <si>
    <t>fabric04_thin_cut_img/rgb_0332.png</t>
  </si>
  <si>
    <t>fabric04_thin_abrasion_img/rgb_0800.png</t>
  </si>
  <si>
    <t>fabric04_thin_cut_img/rgb_0341.png</t>
  </si>
  <si>
    <t>fabric02_thin_abrasion_img/rgb_0190.png</t>
  </si>
  <si>
    <t>fabric04_thin_frction_img/rgb_0393.png</t>
  </si>
  <si>
    <t>fabric04_thin_cut_img/rgb_0340.png</t>
  </si>
  <si>
    <t>fabric01_thin_abrasion_img/rgb_0442.png</t>
  </si>
  <si>
    <t>fabric01_thin_frction_img/rgb_0611.png</t>
  </si>
  <si>
    <t>fabric04_thin_cut_img/rgb_0517.png</t>
  </si>
  <si>
    <t>fabric02_thin_abrasion_img/rgb_0197.png</t>
  </si>
  <si>
    <t>fabric01_thin_frction_img/rgb_0594.png</t>
  </si>
  <si>
    <t>fabric04_thin_cut_img/rgb_0617.png</t>
  </si>
  <si>
    <t>fabric04_thin_abrasion_img/rgb_0786.png</t>
  </si>
  <si>
    <t>fabric04_thin_cut_img/rgb_0347.png</t>
  </si>
  <si>
    <t>fabric01_thin_frction_img/rgb_0686.png</t>
  </si>
  <si>
    <t>fabric05_thin_abrasion_img/rgb_0425.png</t>
  </si>
  <si>
    <t>fabric04_thin_cut_img/rgb_0608.png</t>
  </si>
  <si>
    <t>fabric02_thin_abrasion_img/rgb_0193.png</t>
  </si>
  <si>
    <t>fabric02_thin_frction_img/rgb_0454.png</t>
  </si>
  <si>
    <t>rgb_0118.png</t>
  </si>
  <si>
    <t>fabric05_thin_cut_img/rgb_0118.png</t>
  </si>
  <si>
    <t>fabric02_thin_abrasion_img/rgb_0201.png</t>
  </si>
  <si>
    <t>fabric02_thin_frction_img/rgb_0455.png</t>
  </si>
  <si>
    <t>fabric04_thin_cut_img/rgb_0338.png</t>
  </si>
  <si>
    <t>fabric05_thin_abrasion_img/rgb_0438.png</t>
  </si>
  <si>
    <t>rgb_0625.png</t>
  </si>
  <si>
    <t>fabric04_thin_cut_img/rgb_0625.png</t>
  </si>
  <si>
    <t>fabric02_thin_frction_img/rgb_0461.png</t>
  </si>
  <si>
    <t>fabric04_thin_abrasion_img/rgb_0790.png</t>
  </si>
  <si>
    <t>fabric04_thin_cut_img/rgb_0343.png</t>
  </si>
  <si>
    <t>fabric04_thin_abrasion_img/rgb_0788.png</t>
  </si>
  <si>
    <t>fabric01_thin_frction_img/rgb_0595.png</t>
  </si>
  <si>
    <t>fabric04_thin_cut_img/rgb_0348.png</t>
  </si>
  <si>
    <t>fabric01_thin_abrasion_img/rgb_0454.png</t>
  </si>
  <si>
    <t>fabric04_thin_cut_img/rgb_0614.png</t>
  </si>
  <si>
    <t>fabric04_thin_frction_img/rgb_0380.png</t>
  </si>
  <si>
    <t>fabric01_thin_abrasion_img/rgb_0458.png</t>
  </si>
  <si>
    <t>fabric04_thin_cut_img/rgb_0620.png</t>
  </si>
  <si>
    <t>fabric02_thin_frction_img/rgb_0535.png</t>
  </si>
  <si>
    <t>fabric04_thin_cut_img/rgb_0350.png</t>
  </si>
  <si>
    <t>fabric05_thin_abrasion_img/rgb_0436.png</t>
  </si>
  <si>
    <t>fabric04_thin_frction_img/rgb_0395.png</t>
  </si>
  <si>
    <t>fabric04_thin_cut_img/rgb_0518.png</t>
  </si>
  <si>
    <t>fabric04_thin_abrasion_img/rgb_0793.png</t>
  </si>
  <si>
    <t>fabric04_thin_cut_img/rgb_0352.png</t>
  </si>
  <si>
    <t>fabric02_thin_frction_img/rgb_0546.png</t>
  </si>
  <si>
    <t>fabric04_thin_cut_img/rgb_0621.png</t>
  </si>
  <si>
    <t>fabric04_thin_abrasion_img/rgb_0796.png</t>
  </si>
  <si>
    <t>fabric02_thin_frction_img/rgb_0540.png</t>
  </si>
  <si>
    <t>fabric04_thin_cut_img/rgb_0627.png</t>
  </si>
  <si>
    <t>fabric02_thin_abrasion_img/rgb_0189.png</t>
  </si>
  <si>
    <t>fabric01_thin_frction_img/rgb_0414.png</t>
  </si>
  <si>
    <t>rgb_0626.png</t>
  </si>
  <si>
    <t>fabric04_thin_cut_img/rgb_0626.png</t>
  </si>
  <si>
    <t>fabric04_thin_frction_img/rgb_0376.png</t>
  </si>
  <si>
    <t>fabric04_thin_cut_img/rgb_0522.png</t>
  </si>
  <si>
    <t>fabric04_thin_cut_img/rgb_0530.png</t>
  </si>
  <si>
    <t>fabric01_thin_frction_img/rgb_0689.png</t>
  </si>
  <si>
    <t>fabric04_thin_cut_img/rgb_0533.png</t>
  </si>
  <si>
    <t>fabric05_thin_abrasion_img/rgb_0690.png</t>
  </si>
  <si>
    <t>fabric02_thin_frction_img/rgb_0822.png</t>
  </si>
  <si>
    <t>rgb_0624.png</t>
  </si>
  <si>
    <t>fabric04_thin_cut_img/rgb_0624.png</t>
  </si>
  <si>
    <t>fabric05_thin_abrasion_img/rgb_0687.png</t>
  </si>
  <si>
    <t>fabric04_thin_frction_img/rgb_0381.png</t>
  </si>
  <si>
    <t>fabric04_thin_cut_img/rgb_0607.png</t>
  </si>
  <si>
    <t>fabric05_thin_abrasion_img/rgb_0692.png</t>
  </si>
  <si>
    <t>fabric04_thin_cut_img/rgb_0606.png</t>
  </si>
  <si>
    <t>fabric02_thin_frction_img/rgb_0462.png</t>
  </si>
  <si>
    <t>fabric05_thin_abrasion_img/rgb_0685.png</t>
  </si>
  <si>
    <t>fabric04_thin_cut_img/rgb_0519.png</t>
  </si>
  <si>
    <t>fabric04_thin_abrasion_img/rgb_0514.png</t>
  </si>
  <si>
    <t>fabric01_thin_frction_img/rgb_0684.png</t>
  </si>
  <si>
    <t>fabric05_thin_cut_img/rgb_0557.png</t>
  </si>
  <si>
    <t>fabric04_thin_abrasion_img/rgb_0794.png</t>
  </si>
  <si>
    <t>fabric05_thin_cut_img/rgb_0575.png</t>
  </si>
  <si>
    <t>fabric04_thin_frction_img/rgb_0379.png</t>
  </si>
  <si>
    <t>fabric01_thin_abrasion_img/rgb_0447.png</t>
  </si>
  <si>
    <t>fabric05_thin_cut_img/rgb_0096.png</t>
  </si>
  <si>
    <t>fabric04_thin_frction_img/rgb_0389.png</t>
  </si>
  <si>
    <t>fabric02_thin_abrasion_img/rgb_0354.png</t>
  </si>
  <si>
    <t>rgb_0559.png</t>
  </si>
  <si>
    <t>fabric05_thin_cut_img/rgb_0559.png</t>
  </si>
  <si>
    <t>fabric02_thin_abrasion_img/rgb_0192.png</t>
  </si>
  <si>
    <t>fabric04_thin_frction_img/rgb_0387.png</t>
  </si>
  <si>
    <t>fabric04_thin_cut_img/rgb_0520.png</t>
  </si>
  <si>
    <t>fabric04_thin_abrasion_img/rgb_0787.png</t>
  </si>
  <si>
    <t>fabric01_thin_frction_img/rgb_0697.png</t>
  </si>
  <si>
    <t>fabric04_thin_cut_img/rgb_0536.png</t>
  </si>
  <si>
    <t>fabric06_thin_abrasion_img/rgb_0694.png</t>
  </si>
  <si>
    <t>fabric05_thin_frction_img/rgb_0389.png</t>
  </si>
  <si>
    <t>fabric04_thin_abrasion_img/rgb_0785.png</t>
  </si>
  <si>
    <t>fabric04_thin_cut_img/rgb_0523.png</t>
  </si>
  <si>
    <t>fabric05_thin_abrasion_img/rgb_0429.png</t>
  </si>
  <si>
    <t>fabric01_thin_frction_img/rgb_0344.png</t>
  </si>
  <si>
    <t>fabric04_thin_cut_img/rgb_0525.png</t>
  </si>
  <si>
    <t>fabric02_thin_abrasion_img/rgb_0195.png</t>
  </si>
  <si>
    <t>fabric04_thin_cut_img/rgb_0529.png</t>
  </si>
  <si>
    <t>rgb_0691.png</t>
  </si>
  <si>
    <t>fabric01_thin_frction_img/rgb_0691.png</t>
  </si>
  <si>
    <t>fabric05_thin_abrasion_img/rgb_0691.png</t>
  </si>
  <si>
    <t>fabric05_thin_cut_img/rgb_0571.png</t>
  </si>
  <si>
    <t>fabric05_thin_frction_img/rgb_0391.png</t>
  </si>
  <si>
    <t>fabric05_thin_cut_img/rgb_0561.png</t>
  </si>
  <si>
    <t>fabric04_thin_abrasion_img/rgb_0783.png</t>
  </si>
  <si>
    <t>fabric05_thin_cut_img/rgb_0570.png</t>
  </si>
  <si>
    <t>fabric04_thin_abrasion_img/rgb_0520.png</t>
  </si>
  <si>
    <t>fabric04_thin_frction_img/rgb_0384.png</t>
  </si>
  <si>
    <t>fabric05_thin_cut_img/rgb_0104.png</t>
  </si>
  <si>
    <t>fabric05_thin_abrasion_img/rgb_0688.png</t>
  </si>
  <si>
    <t>fabric04_thin_frction_img/rgb_0383.png</t>
  </si>
  <si>
    <t>fabric05_thin_cut_img/rgb_0569.png</t>
  </si>
  <si>
    <t>fabric02_thin_abrasion_img/rgb_0459.png</t>
  </si>
  <si>
    <t>fabric05_thin_cut_img/rgb_0573.png</t>
  </si>
  <si>
    <t>fabric04_thin_abrasion_img/rgb_0534.png</t>
  </si>
  <si>
    <t>fabric04_thin_frction_img/rgb_0377.png</t>
  </si>
  <si>
    <t>fabric04_thin_cut_img/rgb_0260.png</t>
  </si>
  <si>
    <t>fabric04_thin_abrasion_img/rgb_0533.png</t>
  </si>
  <si>
    <t>fabric06_thin_frction_img/rgb_0225.png</t>
  </si>
  <si>
    <t>fabric03_thin_cut_img/rgb_0435.png</t>
  </si>
  <si>
    <t>fabric01_thin_abrasion_img/rgb_0449.png</t>
  </si>
  <si>
    <t>fabric04_thin_cut_img/rgb_0524.png</t>
  </si>
  <si>
    <t>fabric04_thin_frction_img/rgb_0392.png</t>
  </si>
  <si>
    <t>fabric04_thin_abrasion_img/rgb_0780.png</t>
  </si>
  <si>
    <t>fabric04_thin_cut_img/rgb_0521.png</t>
  </si>
  <si>
    <t>fabric02_thin_abrasion_img/rgb_0185.png</t>
  </si>
  <si>
    <t>fabric04_thin_frction_img/rgb_0378.png</t>
  </si>
  <si>
    <t>fabric04_thin_cut_img/rgb_0531.png</t>
  </si>
  <si>
    <t>fabric02_thin_abrasion_img/rgb_0187.png</t>
  </si>
  <si>
    <t>fabric01_thin_frction_img/rgb_0783.png</t>
  </si>
  <si>
    <t>fabric05_thin_cut_img/rgb_0567.png</t>
  </si>
  <si>
    <t>fabric02_thin_abrasion_img/rgb_0093.png</t>
  </si>
  <si>
    <t>fabric05_thin_cut_img/rgb_0097.png</t>
  </si>
  <si>
    <t>fabric02_thin_frction_img/rgb_0354.png</t>
  </si>
  <si>
    <t>fabric02_thin_abrasion_img/rgb_0199.png</t>
  </si>
  <si>
    <t>fabric06_thin_cut_img/rgb_0143.png</t>
  </si>
  <si>
    <t>rgb_0499.png</t>
  </si>
  <si>
    <t>fabric05_thin_abrasion_img/rgb_0704.png</t>
  </si>
  <si>
    <t>fabric05_thin_frction_img/rgb_0499.png</t>
  </si>
  <si>
    <t>fabric05_thin_cut_img/rgb_0558.png</t>
  </si>
  <si>
    <t>fabric01_thin_abrasion_img/rgb_0462.png</t>
  </si>
  <si>
    <t>rgb_0765.png</t>
  </si>
  <si>
    <t>rgb_0560.png</t>
  </si>
  <si>
    <t>fabric05_thin_frction_img/rgb_0765.png</t>
  </si>
  <si>
    <t>fabric05_thin_cut_img/rgb_0560.png</t>
  </si>
  <si>
    <t>fabric01_thin_abrasion_img/rgb_0459.png</t>
  </si>
  <si>
    <t>fabric04_thin_cut_img/rgb_0528.png</t>
  </si>
  <si>
    <t>fabric04_thin_frction_img/rgb_0390.png</t>
  </si>
  <si>
    <t>fabric02_thin_abrasion_img/rgb_0186.png</t>
  </si>
  <si>
    <t>fabric05_thin_cut_img/rgb_0568.png</t>
  </si>
  <si>
    <t>fabric04_thin_frction_img/rgb_0391.png</t>
  </si>
  <si>
    <t>fabric05_thin_abrasion_img/rgb_0424.png</t>
  </si>
  <si>
    <t>fabric04_thin_cut_img/rgb_0527.png</t>
  </si>
  <si>
    <t>fabric05_thin_abrasion_img/rgb_0431.png</t>
  </si>
  <si>
    <t>fabric05_thin_cut_img/rgb_0564.png</t>
  </si>
  <si>
    <t>fabric01_thin_frction_img/rgb_0785.png</t>
  </si>
  <si>
    <t>fabric01_thin_abrasion_img/rgb_0446.png</t>
  </si>
  <si>
    <t>fabric05_thin_cut_img/rgb_0562.png</t>
  </si>
  <si>
    <t>fabric04_thin_frction_img/rgb_0394.png</t>
  </si>
  <si>
    <t>fabric02_thin_abrasion_img/rgb_0191.png</t>
  </si>
  <si>
    <t>fabric04_thin_cut_img/rgb_0535.png</t>
  </si>
  <si>
    <t>fabric05_thin_frction_img/rgb_0487.png</t>
  </si>
  <si>
    <t>fabric04_thin_abrasion_img/rgb_0529.png</t>
  </si>
  <si>
    <t>fabric04_thin_cut_img/rgb_0534.png</t>
  </si>
  <si>
    <t>fabric05_thin_abrasion_img/rgb_0426.png</t>
  </si>
  <si>
    <t>fabric01_thin_frction_img/rgb_0683.png</t>
  </si>
  <si>
    <t>fabric04_thin_cut_img/rgb_0526.png</t>
  </si>
  <si>
    <t>fabric02_thin_abrasion_img/rgb_0183.png</t>
  </si>
  <si>
    <t>fabric05_thin_cut_img/rgb_0577.png</t>
  </si>
  <si>
    <t>fabric02_thin_frction_img/rgb_0458.png</t>
  </si>
  <si>
    <t>fabric02_thin_abrasion_img/rgb_0194.png</t>
  </si>
  <si>
    <t>fabric04_thin_cut_img/rgb_0532.png</t>
  </si>
  <si>
    <t>fabric01_thin_frction_img/rgb_0432.png</t>
  </si>
  <si>
    <t>fabric04_thin_abrasion_img/rgb_0523.png</t>
  </si>
  <si>
    <t>fabric05_thin_cut_img/rgb_0102.png</t>
  </si>
  <si>
    <t>fabric01_thin_frction_img/rgb_0433.png</t>
  </si>
  <si>
    <t>fabric02_thin_abrasion_img/rgb_0188.png</t>
  </si>
  <si>
    <t>fabric05_thin_cut_img/rgb_0103.png</t>
  </si>
  <si>
    <t>fabric01_thin_frction_img/rgb_0421.png</t>
  </si>
  <si>
    <t>fabric06_thin_abrasion_img/rgb_0700.png</t>
  </si>
  <si>
    <t>fabric05_thin_cut_img/rgb_0101.png</t>
  </si>
  <si>
    <t>fabric01_thin_frction_img/rgb_0434.png</t>
  </si>
  <si>
    <t>fabric02_thin_abrasion_img/rgb_0099.png</t>
  </si>
  <si>
    <t>fabric05_thin_cut_img/rgb_0574.png</t>
  </si>
  <si>
    <t>fabric01_thin_frction_img/rgb_0425.png</t>
  </si>
  <si>
    <t>fabric05_thin_abrasion_img/rgb_0437.png</t>
  </si>
  <si>
    <t>fabric04_thin_cut_img/rgb_0514.png</t>
  </si>
  <si>
    <t>fabric01_thin_frction_img/rgb_0424.png</t>
  </si>
  <si>
    <t>fabric01_thin_abrasion_img/rgb_0445.png</t>
  </si>
  <si>
    <t>fabric04_thin_cut_img/rgb_0628.png</t>
  </si>
  <si>
    <t>fabric01_thin_frction_img/rgb_0430.png</t>
  </si>
  <si>
    <t>fabric01_thin_abrasion_img/rgb_0448.png</t>
  </si>
  <si>
    <t>fabric05_thin_cut_img/rgb_0566.png</t>
  </si>
  <si>
    <t>fabric01_thin_frction_img/rgb_0428.png</t>
  </si>
  <si>
    <t>fabric06_thin_abrasion_img/rgb_0693.png</t>
  </si>
  <si>
    <t>fabric05_thin_cut_img/rgb_0576.png</t>
  </si>
  <si>
    <t>fabric02_thin_frction_img/rgb_0452.png</t>
  </si>
  <si>
    <t>fabric06_thin_abrasion_img/rgb_0690.png</t>
  </si>
  <si>
    <t>fabric05_thin_cut_img/rgb_0572.png</t>
  </si>
  <si>
    <t>fabric05_thin_frction_img/rgb_0491.png</t>
  </si>
  <si>
    <t>fabric04_thin_abrasion_img/rgb_0530.png</t>
  </si>
  <si>
    <t>rgb_0111.png</t>
  </si>
  <si>
    <t>fabric05_thin_cut_img/rgb_0111.png</t>
  </si>
  <si>
    <t>fabric02_thin_frction_img/rgb_0446.png</t>
  </si>
  <si>
    <t>fabric01_thin_abrasion_img/rgb_0451.png</t>
  </si>
  <si>
    <t>fabric04_thin_cut_img/rgb_0422.png</t>
  </si>
  <si>
    <t>fabric05_thin_frction_img/rgb_0485.png</t>
  </si>
  <si>
    <t>rgb_0133.png</t>
  </si>
  <si>
    <t>fabric06_thin_cut_img/rgb_0133.png</t>
  </si>
  <si>
    <t>fabric02_thin_abrasion_img/rgb_0460.png</t>
  </si>
  <si>
    <t>fabric01_thin_frction_img/rgb_0427.png</t>
  </si>
  <si>
    <t>rgb_0120.png</t>
  </si>
  <si>
    <t>fabric06_thin_cut_img/rgb_0120.png</t>
  </si>
  <si>
    <t>fabric01_thin_abrasion_img/rgb_0529.png</t>
  </si>
  <si>
    <t>fabric02_thin_frction_img/rgb_0457.png</t>
  </si>
  <si>
    <t>fabric05_thin_cut_img/rgb_0099.png</t>
  </si>
  <si>
    <t>fabric04_thin_abrasion_img/rgb_0795.png</t>
  </si>
  <si>
    <t>fabric01_thin_frction_img/rgb_0431.png</t>
  </si>
  <si>
    <t>fabric05_thin_cut_img/rgb_0565.png</t>
  </si>
  <si>
    <t>fabric04_thin_abrasion_img/rgb_0528.png</t>
  </si>
  <si>
    <t>fabric02_thin_frction_img/rgb_0460.png</t>
  </si>
  <si>
    <t>fabric04_thin_abrasion_img/rgb_0526.png</t>
  </si>
  <si>
    <t>fabric05_thin_cut_img/rgb_0563.png</t>
  </si>
  <si>
    <t>fabric01_thin_frction_img/rgb_0426.png</t>
  </si>
  <si>
    <t>fabric04_thin_abrasion_img/rgb_0521.png</t>
  </si>
  <si>
    <t>fabric05_thin_cut_img/rgb_0098.png</t>
  </si>
  <si>
    <t>fabric04_thin_frction_img/rgb_0756.png</t>
  </si>
  <si>
    <t>fabric02_thin_abrasion_img/rgb_0196.png</t>
  </si>
  <si>
    <t>fabric05_thin_cut_img/rgb_0100.png</t>
  </si>
  <si>
    <t>fabric05_thin_frction_img/rgb_0482.png</t>
  </si>
  <si>
    <t>fabric04_thin_frction_img/rgb_0734.png</t>
  </si>
  <si>
    <t>fabric01_thin_abrasion_img/rgb_0457.png</t>
  </si>
  <si>
    <t>fabric04_thin_cut_img/rgb_0144.png</t>
  </si>
  <si>
    <t>fabric04_thin_frction_img/rgb_0388.png</t>
  </si>
  <si>
    <t>fabric05_thin_cut_img/rgb_0556.png</t>
  </si>
  <si>
    <t>fabric02_thin_abrasion_img/rgb_0452.png</t>
  </si>
  <si>
    <t>rgb_0132.png</t>
  </si>
  <si>
    <t>fabric06_thin_cut_img/rgb_0132.png</t>
  </si>
  <si>
    <t>fabric01_thin_frction_img/rgb_0692.png</t>
  </si>
  <si>
    <t>fabric04_thin_abrasion_img/rgb_0518.png</t>
  </si>
  <si>
    <t>rgb_0124.png</t>
  </si>
  <si>
    <t>fabric06_thin_cut_img/rgb_0124.png</t>
  </si>
  <si>
    <t>fabric05_thin_frction_img/rgb_0748.png</t>
  </si>
  <si>
    <t>fabric04_thin_abrasion_img/rgb_0531.png</t>
  </si>
  <si>
    <t>fabric03_thin_cut_img/rgb_0901.png</t>
  </si>
  <si>
    <t>fabric02_thin_frction_img/rgb_0459.png</t>
  </si>
  <si>
    <t>fabric02_thin_abrasion_img/rgb_0458.png</t>
  </si>
  <si>
    <t>rgb_0127.png</t>
  </si>
  <si>
    <t>fabric06_thin_cut_img/rgb_0127.png</t>
  </si>
  <si>
    <t>fabric02_thin_frction_img/rgb_0448.png</t>
  </si>
  <si>
    <t>fabric04_thin_abrasion_img/rgb_0791.png</t>
  </si>
  <si>
    <t>fabric06_thin_cut_img/rgb_0136.png</t>
  </si>
  <si>
    <t>fabric01_thin_frction_img/rgb_0791.png</t>
  </si>
  <si>
    <t>fabric04_thin_abrasion_img/rgb_0797.png</t>
  </si>
  <si>
    <t>fabric04_thin_cut_img/rgb_0792.png</t>
  </si>
  <si>
    <t>fabric05_thin_abrasion_img/rgb_0428.png</t>
  </si>
  <si>
    <t>fabric06_thin_frction_img/rgb_0218.png</t>
  </si>
  <si>
    <t>rgb_0115.png</t>
  </si>
  <si>
    <t>fabric05_thin_cut_img/rgb_0115.png</t>
  </si>
  <si>
    <t>fabric04_thin_abrasion_img/rgb_0779.png</t>
  </si>
  <si>
    <t>fabric05_thin_frction_img/rgb_0390.png</t>
  </si>
  <si>
    <t>rgb_0130.png</t>
  </si>
  <si>
    <t>fabric06_thin_cut_img/rgb_0130.png</t>
  </si>
  <si>
    <t>fabric05_thin_frction_img/rgb_0493.png</t>
  </si>
  <si>
    <t>fabric06_thin_cut_img/rgb_0137.png</t>
  </si>
  <si>
    <t>fabric04_thin_abrasion_img/rgb_0519.png</t>
  </si>
  <si>
    <t>fabric05_thin_frction_img/rgb_0486.png</t>
  </si>
  <si>
    <t>rgb_0129.png</t>
  </si>
  <si>
    <t>fabric06_thin_cut_img/rgb_0129.png</t>
  </si>
  <si>
    <t>fabric01_thin_abrasion_img/rgb_0450.png</t>
  </si>
  <si>
    <t>fabric06_thin_frction_img/rgb_0221.png</t>
  </si>
  <si>
    <t>fabric03_thin_cut_img/rgb_0250.png</t>
  </si>
  <si>
    <t>fabric04_thin_abrasion_img/rgb_0525.png</t>
  </si>
  <si>
    <t>fabric01_thin_frction_img/rgb_0795.png</t>
  </si>
  <si>
    <t>fabric05_thin_cut_img/rgb_0662.png</t>
  </si>
  <si>
    <t>fabric04_thin_abrasion_img/rgb_0266.png</t>
  </si>
  <si>
    <t>fabric04_thin_frction_img/rgb_0842.png</t>
  </si>
  <si>
    <t>fabric05_thin_cut_img/rgb_0108.png</t>
  </si>
  <si>
    <t>fabric06_thin_abrasion_img/rgb_0701.png</t>
  </si>
  <si>
    <t>fabric04_thin_frction_img/rgb_0386.png</t>
  </si>
  <si>
    <t>fabric06_thin_cut_img/rgb_0142.png</t>
  </si>
  <si>
    <t>fabric01_thin_abrasion_img/rgb_0264.png</t>
  </si>
  <si>
    <t>fabric05_thin_frction_img/rgb_0496.png</t>
  </si>
  <si>
    <t>rgb_0113.png</t>
  </si>
  <si>
    <t>fabric05_thin_cut_img/rgb_0113.png</t>
  </si>
  <si>
    <t>fabric01_thin_abrasion_img/rgb_0461.png</t>
  </si>
  <si>
    <t>fabric02_thin_frction_img/rgb_0803.png</t>
  </si>
  <si>
    <t>fabric06_thin_cut_img/rgb_0141.png</t>
  </si>
  <si>
    <t>fabric02_thin_abrasion_img/rgb_0202.png</t>
  </si>
  <si>
    <t>fabric05_thin_frction_img/rgb_0484.png</t>
  </si>
  <si>
    <t>fabric04_thin_cut_img/rgb_0814.png</t>
  </si>
  <si>
    <t>fabric02_thin_abrasion_img/rgb_0457.png</t>
  </si>
  <si>
    <t>fabric06_thin_frction_img/rgb_0222.png</t>
  </si>
  <si>
    <t>fabric05_thin_cut_img/rgb_0649.png</t>
  </si>
  <si>
    <t>fabric05_thin_abrasion_img/rgb_0705.png</t>
  </si>
  <si>
    <t>rgb_0125.png</t>
  </si>
  <si>
    <t>fabric06_thin_cut_img/rgb_0125.png</t>
  </si>
  <si>
    <t>fabric04_thin_frction_img/rgb_0844.png</t>
  </si>
  <si>
    <t>fabric04_thin_abrasion_img/rgb_0601.png</t>
  </si>
  <si>
    <t>fabric05_thin_cut_img/rgb_0672.png</t>
  </si>
  <si>
    <t>fabric04_thin_frction_img/rgb_0733.png</t>
  </si>
  <si>
    <t>rgb_0134.png</t>
  </si>
  <si>
    <t>fabric06_thin_cut_img/rgb_0134.png</t>
  </si>
  <si>
    <t>fabric05_thin_abrasion_img/rgb_0180.png</t>
  </si>
  <si>
    <t>fabric05_thin_frction_img/rgb_0489.png</t>
  </si>
  <si>
    <t>fabric05_thin_cut_img/rgb_0660.png</t>
  </si>
  <si>
    <t>fabric04_thin_abrasion_img/rgb_0522.png</t>
  </si>
  <si>
    <t>rgb_0114.png</t>
  </si>
  <si>
    <t>fabric04_thin_frction_img/rgb_0385.png</t>
  </si>
  <si>
    <t>fabric02_thin_abrasion_img/rgb_0448.png</t>
  </si>
  <si>
    <t>fabric05_thin_cut_img/rgb_0114.png</t>
  </si>
  <si>
    <t>fabric06_thin_cut_img/rgb_0140.png</t>
  </si>
  <si>
    <t>fabric04_thin_frction_img/rgb_0382.png</t>
  </si>
  <si>
    <t>fabric04_thin_abrasion_img/rgb_0622.png</t>
  </si>
  <si>
    <t>fabric03_thin_cut_img/rgb_0342.png</t>
  </si>
  <si>
    <t>fabric06_thin_frction_img/rgb_0208.png</t>
  </si>
  <si>
    <t>fabric04_thin_abrasion_img/rgb_0605.png</t>
  </si>
  <si>
    <t>rgb_0110.png</t>
  </si>
  <si>
    <t>rgb_0502.png</t>
  </si>
  <si>
    <t>fabric05_thin_frction_img/rgb_0502.png</t>
  </si>
  <si>
    <t>fabric05_thin_cut_img/rgb_0110.png</t>
  </si>
  <si>
    <t>fabric01_thin_abrasion_img/rgb_0463.png</t>
  </si>
  <si>
    <t>rgb_0117.png</t>
  </si>
  <si>
    <t>fabric04_thin_frction_img/rgb_0828.png</t>
  </si>
  <si>
    <t>fabric05_thin_cut_img/rgb_0117.png</t>
  </si>
  <si>
    <t>fabric04_thin_abrasion_img/rgb_0268.png</t>
  </si>
  <si>
    <t>fabric04_thin_frction_img/rgb_0838.png</t>
  </si>
  <si>
    <t>fabric05_thin_cut_img/rgb_0106.png</t>
  </si>
  <si>
    <t>fabric04_thin_abrasion_img/rgb_0603.png</t>
  </si>
  <si>
    <t>fabric04_thin_frction_img/rgb_0834.png</t>
  </si>
  <si>
    <t>fabric04_thin_cut_img/rgb_0791.png</t>
  </si>
  <si>
    <t>fabric04_thin_abrasion_img/rgb_0516.png</t>
  </si>
  <si>
    <t>fabric06_thin_frction_img/rgb_0216.png</t>
  </si>
  <si>
    <t>rgb_0123.png</t>
  </si>
  <si>
    <t>fabric06_thin_cut_img/rgb_0123.png</t>
  </si>
  <si>
    <t>fabric04_thin_abrasion_img/rgb_0781.png</t>
  </si>
  <si>
    <t>fabric05_thin_frction_img/rgb_0495.png</t>
  </si>
  <si>
    <t>fabric04_thin_cut_img/rgb_0709.png</t>
  </si>
  <si>
    <t>fabric04_thin_abrasion_img/rgb_0517.png</t>
  </si>
  <si>
    <t>fabric05_thin_frction_img/rgb_0490.png</t>
  </si>
  <si>
    <t>fabric05_thin_cut_img/rgb_0107.png</t>
  </si>
  <si>
    <t>fabric04_thin_abrasion_img/rgb_0527.png</t>
  </si>
  <si>
    <t>fabric02_thin_frction_img/rgb_0804.png</t>
  </si>
  <si>
    <t>rgb_0109.png</t>
  </si>
  <si>
    <t>fabric05_thin_cut_img/rgb_0109.png</t>
  </si>
  <si>
    <t>fabric06_thin_abrasion_img/rgb_0691.png</t>
  </si>
  <si>
    <t>fabric05_thin_frction_img/rgb_0480.png</t>
  </si>
  <si>
    <t>fabric05_thin_cut_img/rgb_0105.png</t>
  </si>
  <si>
    <t>rgb_0500.png</t>
  </si>
  <si>
    <t>fabric02_thin_abrasion_img/rgb_0531.png</t>
  </si>
  <si>
    <t>fabric05_thin_frction_img/rgb_0500.png</t>
  </si>
  <si>
    <t>fabric04_thin_cut_img/rgb_0719.png</t>
  </si>
  <si>
    <t>fabric06_thin_abrasion_img/rgb_0688.png</t>
  </si>
  <si>
    <t>fabric05_thin_frction_img/rgb_0839.png</t>
  </si>
  <si>
    <t>fabric05_thin_cut_img/rgb_0652.png</t>
  </si>
  <si>
    <t>fabric04_thin_abrasion_img/rgb_0269.png</t>
  </si>
  <si>
    <t>fabric05_thin_frction_img/rgb_0488.png</t>
  </si>
  <si>
    <t>rgb_0112.png</t>
  </si>
  <si>
    <t>fabric05_thin_cut_img/rgb_0112.png</t>
  </si>
  <si>
    <t>fabric04_thin_abrasion_img/rgb_0615.png</t>
  </si>
  <si>
    <t>fabric04_thin_frction_img/rgb_0831.png</t>
  </si>
  <si>
    <t>fabric04_thin_cut_img/rgb_0700.png</t>
  </si>
  <si>
    <t>fabric02_thin_abrasion_img/rgb_0456.png</t>
  </si>
  <si>
    <t>rgb_0116.png</t>
  </si>
  <si>
    <t>fabric05_thin_cut_img/rgb_0116.png</t>
  </si>
  <si>
    <t>fabric05_thin_frction_img/rgb_0483.png</t>
  </si>
  <si>
    <t>fabric04_thin_abrasion_img/rgb_0612.png</t>
  </si>
  <si>
    <t>fabric05_thin_cut_img/rgb_0651.png</t>
  </si>
  <si>
    <t>fabric04_thin_abrasion_img/rgb_0606.png</t>
  </si>
  <si>
    <t>fabric04_thin_frction_img/rgb_0829.png</t>
  </si>
  <si>
    <t>fabric06_thin_cut_img/rgb_0138.png</t>
  </si>
  <si>
    <t>fabric04_thin_abrasion_img/rgb_0616.png</t>
  </si>
  <si>
    <t>rgb_0126.png</t>
  </si>
  <si>
    <t>fabric06_thin_cut_img/rgb_0126.png</t>
  </si>
  <si>
    <t>fabric05_thin_frction_img/rgb_0843.png</t>
  </si>
  <si>
    <t>fabric04_thin_abrasion_img/rgb_0604.png</t>
  </si>
  <si>
    <t>fabric05_thin_cut_img/rgb_0650.png</t>
  </si>
  <si>
    <t>fabric01_thin_abrasion_img/rgb_0456.png</t>
  </si>
  <si>
    <t>fabric02_thin_frction_img/rgb_0639.png</t>
  </si>
  <si>
    <t>fabric04_thin_cut_img/rgb_0887.png</t>
  </si>
  <si>
    <t>fabric06_thin_abrasion_img/rgb_0695.png</t>
  </si>
  <si>
    <t>rgb_0766.png</t>
  </si>
  <si>
    <t>rgb_0121.png</t>
  </si>
  <si>
    <t>fabric06_thin_cut_img/rgb_0121.png</t>
  </si>
  <si>
    <t>fabric05_thin_frction_img/rgb_0766.png</t>
  </si>
  <si>
    <t>fabric04_thin_abrasion_img/rgb_0270.png</t>
  </si>
  <si>
    <t>fabric05_thin_cut_img/rgb_0669.png</t>
  </si>
  <si>
    <t>rgb_0498.png</t>
  </si>
  <si>
    <t>fabric05_thin_frction_img/rgb_0498.png</t>
  </si>
  <si>
    <t>fabric04_thin_abrasion_img/rgb_0261.png</t>
  </si>
  <si>
    <t>rgb_0131.png</t>
  </si>
  <si>
    <t>fabric06_thin_cut_img/rgb_0131.png</t>
  </si>
  <si>
    <t>fabric01_thin_frction_img/rgb_0339.png</t>
  </si>
  <si>
    <t>fabric01_thin_cut_img/rgb_0797.png</t>
  </si>
  <si>
    <t>fabric04_thin_abrasion_img/rgb_0614.png</t>
  </si>
  <si>
    <t>rgb_0410.png</t>
  </si>
  <si>
    <t>fabric05_thin_cut_img/rgb_0663.png</t>
  </si>
  <si>
    <t>fabric05_thin_frction_img/rgb_0410.png</t>
  </si>
  <si>
    <t>fabric04_thin_abrasion_img/rgb_0260.png</t>
  </si>
  <si>
    <t>fabric06_thin_cut_img/rgb_0139.png</t>
  </si>
  <si>
    <t>fabric02_thin_frction_img/rgb_0633.png</t>
  </si>
  <si>
    <t>fabric04_thin_abrasion_img/rgb_0262.png</t>
  </si>
  <si>
    <t>rgb_0135.png</t>
  </si>
  <si>
    <t>fabric06_thin_cut_img/rgb_0135.png</t>
  </si>
  <si>
    <t>fabric04_thin_abrasion_img/rgb_0273.png</t>
  </si>
  <si>
    <t>rgb_0858.png</t>
  </si>
  <si>
    <t>fabric05_thin_cut_img/rgb_0659.png</t>
  </si>
  <si>
    <t>fabric05_thin_frction_img/rgb_0858.png</t>
  </si>
  <si>
    <t>fabric04_thin_abrasion_img/rgb_0272.png</t>
  </si>
  <si>
    <t>fabric05_thin_cut_img/rgb_0555.png</t>
  </si>
  <si>
    <t>fabric05_thin_frction_img/rgb_0492.png</t>
  </si>
  <si>
    <t>fabric05_thin_abrasion_img/rgb_0422.png</t>
  </si>
  <si>
    <t>fabric01_thin_cut_img/rgb_0242.png</t>
  </si>
  <si>
    <t>rgb_0412.png</t>
  </si>
  <si>
    <t>fabric05_thin_frction_img/rgb_0412.png</t>
  </si>
  <si>
    <t>rgb_0128.png</t>
  </si>
  <si>
    <t>fabric05_thin_abrasion_img/rgb_0421.png</t>
  </si>
  <si>
    <t>fabric06_thin_cut_img/rgb_0128.png</t>
  </si>
  <si>
    <t>fabric04_thin_abrasion_img/rgb_0608.png</t>
  </si>
  <si>
    <t>rgb_0501.png</t>
  </si>
  <si>
    <t>fabric05_thin_cut_img/rgb_0671.png</t>
  </si>
  <si>
    <t>fabric05_thin_frction_img/rgb_0501.png</t>
  </si>
  <si>
    <t>fabric04_thin_abrasion_img/rgb_0532.png</t>
  </si>
  <si>
    <t>fabric05_thin_cut_img/rgb_0668.png</t>
  </si>
  <si>
    <t>fabric02_thin_frction_img/rgb_0820.png</t>
  </si>
  <si>
    <t>fabric04_thin_abrasion_img/rgb_0257.png</t>
  </si>
  <si>
    <t>fabric05_thin_cut_img/rgb_0578.png</t>
  </si>
  <si>
    <t>fabric04_thin_abrasion_img/rgb_0267.png</t>
  </si>
  <si>
    <t>fabric04_thin_frction_img/rgb_0841.png</t>
  </si>
  <si>
    <t>fabric04_thin_cut_img/rgb_0891.png</t>
  </si>
  <si>
    <t>fabric05_thin_abrasion_img/rgb_0440.png</t>
  </si>
  <si>
    <t>fabric02_thin_frction_img/rgb_0637.png</t>
  </si>
  <si>
    <t>fabric04_thin_cut_img/rgb_0904.png</t>
  </si>
  <si>
    <t>fabric04_thin_abrasion_img/rgb_0259.png</t>
  </si>
  <si>
    <t>fabric05_thin_cut_img/rgb_0665.png</t>
  </si>
  <si>
    <t>fabric05_thin_frction_img/rgb_0481.png</t>
  </si>
  <si>
    <t>fabric04_thin_abrasion_img/rgb_0263.png</t>
  </si>
  <si>
    <t>fabric04_thin_cut_img/rgb_0794.png</t>
  </si>
  <si>
    <t>fabric01_thin_frction_img/rgb_0503.png</t>
  </si>
  <si>
    <t>fabric04_thin_abrasion_img/rgb_0256.png</t>
  </si>
  <si>
    <t>fabric04_thin_cut_img/rgb_0889.png</t>
  </si>
  <si>
    <t>fabric01_thin_frction_img/rgb_0606.png</t>
  </si>
  <si>
    <t>fabric02_thin_abrasion_img/rgb_0463.png</t>
  </si>
  <si>
    <t>fabric04_thin_cut_img/rgb_0708.png</t>
  </si>
  <si>
    <t>fabric01_thin_frction_img/rgb_0420.png</t>
  </si>
  <si>
    <t>fabric04_thin_abrasion_img/rgb_0265.png</t>
  </si>
  <si>
    <t>fabric05_thin_cut_img/rgb_0670.png</t>
  </si>
  <si>
    <t>fabric01_thin_frction_img/rgb_0328.png</t>
  </si>
  <si>
    <t>fabric04_thin_abrasion_img/rgb_0271.png</t>
  </si>
  <si>
    <t>fabric05_thin_cut_img/rgb_0664.png</t>
  </si>
  <si>
    <t>fabric04_thin_frction_img/rgb_0837.png</t>
  </si>
  <si>
    <t>fabric02_thin_abrasion_img/rgb_0461.png</t>
  </si>
  <si>
    <t>fabric04_thin_cut_img/rgb_0707.png</t>
  </si>
  <si>
    <t>fabric01_thin_frction_img/rgb_0419.png</t>
  </si>
  <si>
    <t>fabric04_thin_abrasion_img/rgb_0602.png</t>
  </si>
  <si>
    <t>fabric04_thin_cut_img/rgb_0712.png</t>
  </si>
  <si>
    <t>fabric02_thin_frction_img/rgb_0628.png</t>
  </si>
  <si>
    <t>fabric06_thin_abrasion_img/rgb_0612.png</t>
  </si>
  <si>
    <t>fabric01_thin_cut_img/rgb_0357.png</t>
  </si>
  <si>
    <t>fabric04_thin_frction_img/rgb_0833.png</t>
  </si>
  <si>
    <t>fabric04_thin_cut_img/rgb_0793.png</t>
  </si>
  <si>
    <t>fabric05_thin_frction_img/rgb_0853.png</t>
  </si>
  <si>
    <t>fabric01_thin_abrasion_img/rgb_0460.png</t>
  </si>
  <si>
    <t>fabric04_thin_cut_img/rgb_0704.png</t>
  </si>
  <si>
    <t>fabric06_thin_frction_img/rgb_0203.png</t>
  </si>
  <si>
    <t>fabric04_thin_abrasion_img/rgb_0258.png</t>
  </si>
  <si>
    <t>fabric04_thin_cut_img/rgb_0718.png</t>
  </si>
  <si>
    <t>fabric05_thin_frction_img/rgb_0847.png</t>
  </si>
  <si>
    <t>fabric01_thin_abrasion_img/rgb_0452.png</t>
  </si>
  <si>
    <t>fabric04_thin_cut_img/rgb_0714.png</t>
  </si>
  <si>
    <t>fabric02_thin_frction_img/rgb_0642.png</t>
  </si>
  <si>
    <t>fabric04_thin_abrasion_img/rgb_0524.png</t>
  </si>
  <si>
    <t>fabric04_thin_cut_img/rgb_0706.png</t>
  </si>
  <si>
    <t>fabric04_thin_frction_img/rgb_0836.png</t>
  </si>
  <si>
    <t>fabric04_thin_abrasion_img/rgb_0264.png</t>
  </si>
  <si>
    <t>fabric05_thin_cut_img/rgb_0667.png</t>
  </si>
  <si>
    <t>fabric04_thin_frction_img/rgb_0843.png</t>
  </si>
  <si>
    <t>fabric04_thin_abrasion_img/rgb_0274.png</t>
  </si>
  <si>
    <t>fabric04_thin_cut_img/rgb_0892.png</t>
  </si>
  <si>
    <t>fabric05_thin_frction_img/rgb_0402.png</t>
  </si>
  <si>
    <t>fabric06_thin_abrasion_img/rgb_0687.png</t>
  </si>
  <si>
    <t>fabric04_thin_cut_img/rgb_0713.png</t>
  </si>
  <si>
    <t>fabric01_thin_frction_img/rgb_0416.png</t>
  </si>
  <si>
    <t>fabric02_thin_abrasion_img/rgb_0095.png</t>
  </si>
  <si>
    <t>fabric04_thin_cut_img/rgb_0710.png</t>
  </si>
  <si>
    <t>fabric04_thin_frction_img/rgb_0832.png</t>
  </si>
  <si>
    <t>fabric02_thin_abrasion_img/rgb_0451.png</t>
  </si>
  <si>
    <t>fabric04_thin_cut_img/rgb_0808.png</t>
  </si>
  <si>
    <t>rgb_0497.png</t>
  </si>
  <si>
    <t>fabric05_thin_frction_img/rgb_0497.png</t>
  </si>
  <si>
    <t>fabric05_thin_abrasion_img/rgb_0432.png</t>
  </si>
  <si>
    <t>fabric04_thin_cut_img/rgb_0715.png</t>
  </si>
  <si>
    <t>fabric02_thin_frction_img/rgb_0376.png</t>
  </si>
  <si>
    <t>fabric04_thin_abrasion_img/rgb_0607.png</t>
  </si>
  <si>
    <t>fabric06_thin_cut_img/rgb_0577.png</t>
  </si>
  <si>
    <t>fabric05_thin_frction_img/rgb_0841.png</t>
  </si>
  <si>
    <t>fabric01_thin_abrasion_img/rgb_0443.png</t>
  </si>
  <si>
    <t>fabric06_thin_cut_img/rgb_0584.png</t>
  </si>
  <si>
    <t>fabric05_thin_frction_img/rgb_0852.png</t>
  </si>
  <si>
    <t>fabric02_thin_abrasion_img/rgb_0098.png</t>
  </si>
  <si>
    <t>fabric06_thin_cut_img/rgb_0583.png</t>
  </si>
  <si>
    <t>fabric05_thin_frction_img/rgb_0771.png</t>
  </si>
  <si>
    <t>fabric06_thin_cut_img/rgb_0674.png</t>
  </si>
  <si>
    <t>fabric02_thin_abrasion_img/rgb_0444.png</t>
  </si>
  <si>
    <t>fabric05_thin_frction_img/rgb_0395.png</t>
  </si>
  <si>
    <t>fabric04_thin_cut_img/rgb_0898.png</t>
  </si>
  <si>
    <t>fabric01_thin_abrasion_img/rgb_0620.png</t>
  </si>
  <si>
    <t>fabric04_thin_frction_img/rgb_0824.png</t>
  </si>
  <si>
    <t>fabric06_thin_cut_img/rgb_0578.png</t>
  </si>
  <si>
    <t>fabric04_thin_abrasion_img/rgb_0609.png</t>
  </si>
  <si>
    <t>fabric05_thin_frction_img/rgb_0846.png</t>
  </si>
  <si>
    <t>fabric04_thin_cut_img/rgb_0903.png</t>
  </si>
  <si>
    <t>fabric02_thin_abrasion_img/rgb_0462.png</t>
  </si>
  <si>
    <t>fabric02_thin_frction_img/rgb_0625.png</t>
  </si>
  <si>
    <t>fabric04_thin_cut_img/rgb_0895.png</t>
  </si>
  <si>
    <t>fabric04_thin_abrasion_img/rgb_0621.png</t>
  </si>
  <si>
    <t>fabric05_thin_frction_img/rgb_0479.png</t>
  </si>
  <si>
    <t>fabric06_thin_cut_img/rgb_0576.png</t>
  </si>
  <si>
    <t>fabric05_thin_abrasion_img/rgb_0427.png</t>
  </si>
  <si>
    <t>fabric05_thin_frction_img/rgb_0845.png</t>
  </si>
  <si>
    <t>fabric06_thin_cut_img/rgb_0651.png</t>
  </si>
  <si>
    <t>fabric04_thin_abrasion_img/rgb_0617.png</t>
  </si>
  <si>
    <t>fabric04_thin_frction_img/rgb_0825.png</t>
  </si>
  <si>
    <t>fabric04_thin_cut_img/rgb_0605.png</t>
  </si>
  <si>
    <t>fabric01_thin_frction_img/rgb_0325.png</t>
  </si>
  <si>
    <t>fabric04_thin_abrasion_img/rgb_0611.png</t>
  </si>
  <si>
    <t>fabric06_thin_cut_img/rgb_0581.png</t>
  </si>
  <si>
    <t>fabric06_thin_frction_img/rgb_0205.png</t>
  </si>
  <si>
    <t>fabric04_thin_cut_img/rgb_0894.png</t>
  </si>
  <si>
    <t>fabric05_thin_abrasion_img/rgb_0695.png</t>
  </si>
  <si>
    <t>fabric05_thin_frction_img/rgb_0397.png</t>
  </si>
  <si>
    <t>fabric05_thin_cut_img/rgb_0657.png</t>
  </si>
  <si>
    <t>fabric04_thin_abrasion_img/rgb_0610.png</t>
  </si>
  <si>
    <t>fabric05_thin_frction_img/rgb_0849.png</t>
  </si>
  <si>
    <t>fabric06_thin_cut_img/rgb_0568.png</t>
  </si>
  <si>
    <t>fabric06_thin_abrasion_img/rgb_0689.png</t>
  </si>
  <si>
    <t>fabric04_thin_frction_img/rgb_0823.png</t>
  </si>
  <si>
    <t>fabric05_thin_cut_img/rgb_0661.png</t>
  </si>
  <si>
    <t>fabric02_thin_abrasion_img/rgb_0442.png</t>
  </si>
  <si>
    <t>fabric04_thin_frction_img/rgb_0840.png</t>
  </si>
  <si>
    <t>fabric04_thin_cut_img/rgb_0803.png</t>
  </si>
  <si>
    <t>fabric04_thin_abrasion_img/rgb_0618.png</t>
  </si>
  <si>
    <t>fabric05_thin_frction_img/rgb_0761.png</t>
  </si>
  <si>
    <t>fabric05_thin_cut_img/rgb_0666.png</t>
  </si>
  <si>
    <t>fabric02_thin_abrasion_img/rgb_0449.png</t>
  </si>
  <si>
    <t>fabric04_thin_frction_img/rgb_0826.png</t>
  </si>
  <si>
    <t>fabric06_thin_cut_img/rgb_0572.png</t>
  </si>
  <si>
    <t>fabric06_thin_abrasion_img/rgb_0706.png</t>
  </si>
  <si>
    <t>rgb_0768.png</t>
  </si>
  <si>
    <t>fabric05_thin_frction_img/rgb_0768.png</t>
  </si>
  <si>
    <t>fabric04_thin_cut_img/rgb_0901.png</t>
  </si>
  <si>
    <t>fabric05_thin_frction_img/rgb_0398.png</t>
  </si>
  <si>
    <t>fabric04_thin_cut_img/rgb_0806.png</t>
  </si>
  <si>
    <t>fabric02_thin_abrasion_img/rgb_0454.png</t>
  </si>
  <si>
    <t>fabric01_thin_frction_img/rgb_0343.png</t>
  </si>
  <si>
    <t>fabric04_thin_cut_img/rgb_0893.png</t>
  </si>
  <si>
    <t>fabric04_thin_abrasion_img/rgb_0620.png</t>
  </si>
  <si>
    <t>fabric05_thin_frction_img/rgb_0848.png</t>
  </si>
  <si>
    <t>fabric04_thin_abrasion_img/rgb_0255.png</t>
  </si>
  <si>
    <t>fabric05_thin_frction_img/rgb_0755.png</t>
  </si>
  <si>
    <t>fabric04_thin_cut_img/rgb_0703.png</t>
  </si>
  <si>
    <t>fabric04_thin_abrasion_img/rgb_0179.png</t>
  </si>
  <si>
    <t>fabric04_thin_frction_img/rgb_0827.png</t>
  </si>
  <si>
    <t>fabric06_thin_cut_img/rgb_0580.png</t>
  </si>
  <si>
    <t>fabric02_thin_abrasion_img/rgb_0102.png</t>
  </si>
  <si>
    <t>fabric04_thin_frction_img/rgb_0830.png</t>
  </si>
  <si>
    <t>fabric04_thin_cut_img/rgb_0711.png</t>
  </si>
  <si>
    <t>fabric06_thin_abrasion_img/rgb_0602.png</t>
  </si>
  <si>
    <t>fabric05_thin_frction_img/rgb_0763.png</t>
  </si>
  <si>
    <t>fabric04_thin_cut_img/rgb_0899.png</t>
  </si>
  <si>
    <t>fabric05_thin_frction_img/rgb_0844.png</t>
  </si>
  <si>
    <t>fabric04_thin_cut_img/rgb_0905.png</t>
  </si>
  <si>
    <t>fabric02_thin_abrasion_img/rgb_0445.png</t>
  </si>
  <si>
    <t>fabric05_thin_frction_img/rgb_0759.png</t>
  </si>
  <si>
    <t>fabric04_thin_cut_img/rgb_0813.png</t>
  </si>
  <si>
    <t>fabric04_thin_frction_img/rgb_0835.png</t>
  </si>
  <si>
    <t>fabric04_thin_abrasion_img/rgb_0613.png</t>
  </si>
  <si>
    <t>fabric06_thin_cut_img/rgb_0573.png</t>
  </si>
  <si>
    <t>fabric05_thin_frction_img/rgb_0494.png</t>
  </si>
  <si>
    <t>fabric04_thin_cut_img/rgb_0801.png</t>
  </si>
  <si>
    <t>fabric02_thin_abrasion_img/rgb_0097.png</t>
  </si>
  <si>
    <t>rgb_0860.png</t>
  </si>
  <si>
    <t>fabric05_thin_frction_img/rgb_0860.png</t>
  </si>
  <si>
    <t>fabric04_thin_cut_img/rgb_0798.png</t>
  </si>
  <si>
    <t>fabric05_thin_abrasion_img/rgb_0703.png</t>
  </si>
  <si>
    <t>fabric05_thin_frction_img/rgb_0392.png</t>
  </si>
  <si>
    <t>fabric06_thin_cut_img/rgb_0569.png</t>
  </si>
  <si>
    <t>fabric05_thin_abrasion_img/rgb_0701.png</t>
  </si>
  <si>
    <t>fabric05_thin_frction_img/rgb_0850.png</t>
  </si>
  <si>
    <t>fabric04_thin_cut_img/rgb_0807.png</t>
  </si>
  <si>
    <t>fabric05_thin_abrasion_img/rgb_0699.png</t>
  </si>
  <si>
    <t>fabric05_thin_frction_img/rgb_0854.png</t>
  </si>
  <si>
    <t>fabric04_thin_cut_img/rgb_0888.png</t>
  </si>
  <si>
    <t>fabric04_thin_abrasion_img/rgb_0623.png</t>
  </si>
  <si>
    <t>fabric05_thin_frction_img/rgb_0406.png</t>
  </si>
  <si>
    <t>fabric04_thin_cut_img/rgb_0902.png</t>
  </si>
  <si>
    <t>fabric02_thin_abrasion_img/rgb_0446.png</t>
  </si>
  <si>
    <t>fabric02_thin_frction_img/rgb_0634.png</t>
  </si>
  <si>
    <t>fabric04_thin_cut_img/rgb_0802.png</t>
  </si>
  <si>
    <t>fabric06_thin_frction_img/rgb_0224.png</t>
  </si>
  <si>
    <t>fabric01_thin_cut_img/rgb_0518.png</t>
  </si>
  <si>
    <t>fabric04_thin_abrasion_img/rgb_0187.png</t>
  </si>
  <si>
    <t>fabric02_thin_frction_img/rgb_0638.png</t>
  </si>
  <si>
    <t>fabric04_thin_cut_img/rgb_0795.png</t>
  </si>
  <si>
    <t>rgb_0411.png</t>
  </si>
  <si>
    <t>fabric05_thin_frction_img/rgb_0411.png</t>
  </si>
  <si>
    <t>fabric02_thin_abrasion_img/rgb_0455.png</t>
  </si>
  <si>
    <t>fabric04_thin_cut_img/rgb_0444.png</t>
  </si>
  <si>
    <t>fabric01_thin_frction_img/rgb_0788.png</t>
  </si>
  <si>
    <t>fabric04_thin_cut_img/rgb_0805.png</t>
  </si>
  <si>
    <t>fabric02_thin_abrasion_img/rgb_0104.png</t>
  </si>
  <si>
    <t>fabric02_thin_frction_img/rgb_0640.png</t>
  </si>
  <si>
    <t>fabric04_thin_cut_img/rgb_0800.png</t>
  </si>
  <si>
    <t>fabric04_thin_abrasion_img/rgb_0619.png</t>
  </si>
  <si>
    <t>fabric02_thin_frction_img/rgb_0647.png</t>
  </si>
  <si>
    <t>fabric06_thin_cut_img/rgb_0574.png</t>
  </si>
  <si>
    <t>fabric02_thin_abrasion_img/rgb_0094.png</t>
  </si>
  <si>
    <t>fabric05_thin_frction_img/rgb_0394.png</t>
  </si>
  <si>
    <t>fabric06_thin_cut_img/rgb_0575.png</t>
  </si>
  <si>
    <t>fabric05_thin_abrasion_img/rgb_0156.png</t>
  </si>
  <si>
    <t>fabric05_thin_frction_img/rgb_0753.png</t>
  </si>
  <si>
    <t>fabric02_thin_abrasion_img/rgb_0450.png</t>
  </si>
  <si>
    <t>fabric04_thin_cut_img/rgb_0804.png</t>
  </si>
  <si>
    <t>fabric05_thin_frction_img/rgb_0840.png</t>
  </si>
  <si>
    <t>fabric05_thin_abrasion_img/rgb_0161.png</t>
  </si>
  <si>
    <t>fabric04_thin_cut_img/rgb_0699.png</t>
  </si>
  <si>
    <t>fabric05_thin_frction_img/rgb_0393.png</t>
  </si>
  <si>
    <t>fabric02_thin_abrasion_img/rgb_0108.png</t>
  </si>
  <si>
    <t>fabric04_thin_cut_img/rgb_0717.png</t>
  </si>
  <si>
    <t>rgb_0769.png</t>
  </si>
  <si>
    <t>fabric05_thin_frction_img/rgb_0769.png</t>
  </si>
  <si>
    <t>fabric02_thin_abrasion_img/rgb_0112.png</t>
  </si>
  <si>
    <t>fabric04_thin_cut_img/rgb_0812.png</t>
  </si>
  <si>
    <t>fabric02_thin_frction_img/rgb_0644.png</t>
  </si>
  <si>
    <t>fabric04_thin_abrasion_img/rgb_0254.png</t>
  </si>
  <si>
    <t>fabric04_thin_cut_img/rgb_0900.png</t>
  </si>
  <si>
    <t>fabric05_thin_frction_img/rgb_0756.png</t>
  </si>
  <si>
    <t>fabric06_thin_abrasion_img/rgb_0697.png</t>
  </si>
  <si>
    <t>fabric04_thin_cut_img/rgb_0513.png</t>
  </si>
  <si>
    <t>fabric05_thin_frction_img/rgb_0851.png</t>
  </si>
  <si>
    <t>fabric04_thin_abrasion_img/rgb_0186.png</t>
  </si>
  <si>
    <t>fabric04_thin_cut_img/rgb_0811.png</t>
  </si>
  <si>
    <t>fabric05_thin_frction_img/rgb_0842.png</t>
  </si>
  <si>
    <t>fabric04_thin_abrasion_img/rgb_0174.png</t>
  </si>
  <si>
    <t>fabric04_thin_cut_img/rgb_0906.png</t>
  </si>
  <si>
    <t>fabric05_thin_frction_img/rgb_0396.png</t>
  </si>
  <si>
    <t>fabric06_thin_cut_img/rgb_0566.png</t>
  </si>
  <si>
    <t>fabric05_thin_frction_img/rgb_0855.png</t>
  </si>
  <si>
    <t>fabric06_thin_abrasion_img/rgb_0597.png</t>
  </si>
  <si>
    <t>fabric04_thin_cut_img/rgb_0896.png</t>
  </si>
  <si>
    <t>fabric05_thin_frction_img/rgb_0408.png</t>
  </si>
  <si>
    <t>fabric02_thin_abrasion_img/rgb_0103.png</t>
  </si>
  <si>
    <t>fabric04_thin_cut_img/rgb_0797.png</t>
  </si>
  <si>
    <t>fabric05_thin_frction_img/rgb_0857.png</t>
  </si>
  <si>
    <t>fabric04_thin_abrasion_img/rgb_0175.png</t>
  </si>
  <si>
    <t>fabric02_thin_frction_img/rgb_0630.png</t>
  </si>
  <si>
    <t>fabric05_thin_cut_img/rgb_0658.png</t>
  </si>
  <si>
    <t>fabric02_thin_abrasion_img/rgb_0447.png</t>
  </si>
  <si>
    <t>fabric05_thin_frction_img/rgb_0399.png</t>
  </si>
  <si>
    <t>fabric02_thin_abrasion_img/rgb_0453.png</t>
  </si>
  <si>
    <t>fabric04_thin_cut_img/rgb_0809.png</t>
  </si>
  <si>
    <t>fabric02_thin_abrasion_img/rgb_0820.png</t>
  </si>
  <si>
    <t>fabric02_thin_frction_img/rgb_0645.png</t>
  </si>
  <si>
    <t>fabric04_thin_cut_img/rgb_0907.png</t>
  </si>
  <si>
    <t>fabric05_thin_abrasion_img/rgb_0162.png</t>
  </si>
  <si>
    <t>fabric02_thin_frction_img/rgb_0814.png</t>
  </si>
  <si>
    <t>fabric05_thin_cut_img/rgb_0095.png</t>
  </si>
  <si>
    <t>fabric04_thin_abrasion_img/rgb_0185.png</t>
  </si>
  <si>
    <t>fabric02_thin_frction_img/rgb_0631.png</t>
  </si>
  <si>
    <t>fabric04_thin_cut_img/rgb_0890.png</t>
  </si>
  <si>
    <t>fabric04_thin_abrasion_img/rgb_0167.png</t>
  </si>
  <si>
    <t>fabric05_thin_frction_img/rgb_0404.png</t>
  </si>
  <si>
    <t>fabric04_thin_abrasion_img/rgb_0178.png</t>
  </si>
  <si>
    <t>fabric04_thin_cut_img/rgb_0897.png</t>
  </si>
  <si>
    <t>fabric02_thin_frction_img/rgb_0632.png</t>
  </si>
  <si>
    <t>fabric04_thin_abrasion_img/rgb_0182.png</t>
  </si>
  <si>
    <t>fabric05_thin_frction_img/rgb_0403.png</t>
  </si>
  <si>
    <t>fabric04_thin_cut_img/rgb_0796.png</t>
  </si>
  <si>
    <t>fabric02_thin_abrasion_img/rgb_0114.png</t>
  </si>
  <si>
    <t>fabric02_thin_frction_img/rgb_0816.png</t>
  </si>
  <si>
    <t>fabric06_thin_cut_img/rgb_0652.png</t>
  </si>
  <si>
    <t>fabric02_thin_abrasion_img/rgb_0105.png</t>
  </si>
  <si>
    <t>fabric02_thin_frction_img/rgb_0646.png</t>
  </si>
  <si>
    <t>fabric02_thin_abrasion_img/rgb_0708.png</t>
  </si>
  <si>
    <t>fabric04_thin_cut_img/rgb_0810.png</t>
  </si>
  <si>
    <t>fabric05_thin_frction_img/rgb_0754.png</t>
  </si>
  <si>
    <t>fabric04_thin_abrasion_img/rgb_0180.png</t>
  </si>
  <si>
    <t>fabric05_thin_frction_img/rgb_0751.png</t>
  </si>
  <si>
    <t>fabric04_thin_cut_img/rgb_0705.png</t>
  </si>
  <si>
    <t>fabric04_thin_abrasion_img/rgb_0181.png</t>
  </si>
  <si>
    <t>fabric04_thin_cut_img/rgb_0799.png</t>
  </si>
  <si>
    <t>fabric05_thin_frction_img/rgb_0405.png</t>
  </si>
  <si>
    <t>fabric05_thin_abrasion_img/rgb_0163.png</t>
  </si>
  <si>
    <t>fabric02_thin_abrasion_img/rgb_0115.png</t>
  </si>
  <si>
    <t>fabric06_thin_cut_img/rgb_0565.png</t>
  </si>
  <si>
    <t>fabric05_thin_frction_img/rgb_0401.png</t>
  </si>
  <si>
    <t>fabric04_thin_abrasion_img/rgb_0184.png</t>
  </si>
  <si>
    <t>fabric05_thin_frction_img/rgb_0764.png</t>
  </si>
  <si>
    <t>fabric06_thin_cut_img/rgb_0571.png</t>
  </si>
  <si>
    <t>fabric04_thin_abrasion_img/rgb_0171.png</t>
  </si>
  <si>
    <t>fabric01_thin_frction_img/rgb_0418.png</t>
  </si>
  <si>
    <t>fabric04_thin_abrasion_img/rgb_0177.png</t>
  </si>
  <si>
    <t>fabric04_thin_cut_img/rgb_0697.png</t>
  </si>
  <si>
    <t>fabric04_thin_abrasion_img/rgb_0183.png</t>
  </si>
  <si>
    <t>fabric01_thin_frction_img/rgb_0417.png</t>
  </si>
  <si>
    <t>fabric06_thin_cut_img/rgb_0582.png</t>
  </si>
  <si>
    <t>fabric04_thin_abrasion_img/rgb_0176.png</t>
  </si>
  <si>
    <t>fabric05_thin_frction_img/rgb_0760.png</t>
  </si>
  <si>
    <t>fabric04_thin_cut_img/rgb_0886.png</t>
  </si>
  <si>
    <t>fabric04_thin_abrasion_img/rgb_0170.png</t>
  </si>
  <si>
    <t>fabric06_thin_frction_img/rgb_0206.png</t>
  </si>
  <si>
    <t>fabric04_thin_cut_img/rgb_0716.png</t>
  </si>
  <si>
    <t>fabric04_thin_abrasion_img/rgb_0173.png</t>
  </si>
  <si>
    <t>rgb_0859.png</t>
  </si>
  <si>
    <t>fabric05_thin_frction_img/rgb_0859.png</t>
  </si>
  <si>
    <t>fabric06_thin_cut_img/rgb_0579.png</t>
  </si>
  <si>
    <t>fabric02_thin_abrasion_img/rgb_0101.png</t>
  </si>
  <si>
    <t>fabric05_thin_frction_img/rgb_0400.png</t>
  </si>
  <si>
    <t>fabric04_thin_abrasion_img/rgb_0168.png</t>
  </si>
  <si>
    <t>fabric04_thin_cut_img/rgb_0701.png</t>
  </si>
  <si>
    <t>fabric05_thin_frction_img/rgb_0757.png</t>
  </si>
  <si>
    <t>fabric01_thin_abrasion_img/rgb_0173.png</t>
  </si>
  <si>
    <t>fabric01_thin_frction_img/rgb_0423.png</t>
  </si>
  <si>
    <t>fabric04_thin_abrasion_img/rgb_0172.png</t>
  </si>
  <si>
    <t>fabric05_thin_cut_img/rgb_0656.png</t>
  </si>
  <si>
    <t>fabric03_thin_abrasion_img/rgb_0512.png</t>
  </si>
  <si>
    <t>fabric06_thin_cut_img/rgb_0570.png</t>
  </si>
  <si>
    <t>fabric01_thin_frction_img/rgb_0521.png</t>
  </si>
  <si>
    <t>fabric04_thin_abrasion_img/rgb_0166.png</t>
  </si>
  <si>
    <t>fabric06_thin_cut_img/rgb_0656.png</t>
  </si>
  <si>
    <t>fabric02_thin_abrasion_img/rgb_0110.png</t>
  </si>
  <si>
    <t>fabric06_thin_frction_img/rgb_0209.png</t>
  </si>
  <si>
    <t>fabric06_thin_cut_img/rgb_0658.png</t>
  </si>
  <si>
    <t>fabric02_thin_abrasion_img/rgb_0096.png</t>
  </si>
  <si>
    <t>fabric02_thin_frction_img/rgb_0805.png</t>
  </si>
  <si>
    <t>fabric04_thin_abrasion_img/rgb_0169.png</t>
  </si>
  <si>
    <t>fabric06_thin_cut_img/rgb_0657.png</t>
  </si>
  <si>
    <t>fabric05_thin_frction_img/rgb_0407.png</t>
  </si>
  <si>
    <t>fabric02_thin_abrasion_img/rgb_0106.png</t>
  </si>
  <si>
    <t>fabric06_thin_cut_img/rgb_0665.png</t>
  </si>
  <si>
    <t>fabric04_thin_frction_img/rgb_0214.png</t>
  </si>
  <si>
    <t>fabric04_thin_abrasion_img/rgb_0890.png</t>
  </si>
  <si>
    <t>fabric01_thin_frction_img/rgb_0510.png</t>
  </si>
  <si>
    <t>fabric02_thin_abrasion_img/rgb_0113.png</t>
  </si>
  <si>
    <t>fabric01_thin_cut_img/rgb_0798.png</t>
  </si>
  <si>
    <t>fabric06_thin_frction_img/rgb_0212.png</t>
  </si>
  <si>
    <t>fabric02_thin_abrasion_img/rgb_0107.png</t>
  </si>
  <si>
    <t>fabric06_thin_cut_img/rgb_0655.png</t>
  </si>
  <si>
    <t>fabric05_thin_frction_img/rgb_0752.png</t>
  </si>
  <si>
    <t>fabric02_thin_abrasion_img/rgb_0111.png</t>
  </si>
  <si>
    <t>fabric04_thin_frction_img/rgb_0210.png</t>
  </si>
  <si>
    <t>fabric04_thin_cut_img/rgb_0702.png</t>
  </si>
  <si>
    <t>fabric05_thin_abrasion_img/rgb_0683.png</t>
  </si>
  <si>
    <t>fabric05_thin_frction_img/rgb_0856.png</t>
  </si>
  <si>
    <t>fabric02_thin_abrasion_img/rgb_0100.png</t>
  </si>
  <si>
    <t>fabric06_thin_cut_img/rgb_0672.png</t>
  </si>
  <si>
    <t>rgb_0409.png</t>
  </si>
  <si>
    <t>fabric05_thin_frction_img/rgb_0409.png</t>
  </si>
  <si>
    <t>fabric05_thin_abrasion_img/rgb_0696.png</t>
  </si>
  <si>
    <t>fabric06_thin_cut_img/rgb_0663.png</t>
  </si>
  <si>
    <t>fabric04_thin_frction_img/rgb_0200.png</t>
  </si>
  <si>
    <t>fabric05_thin_abrasion_img/rgb_0178.png</t>
  </si>
  <si>
    <t>fabric03_thin_frction_img/rgb_0269.png</t>
  </si>
  <si>
    <t>fabric06_thin_cut_img/rgb_0667.png</t>
  </si>
  <si>
    <t>fabric05_thin_abrasion_img/rgb_0684.png</t>
  </si>
  <si>
    <t>rgb_0770.png</t>
  </si>
  <si>
    <t>fabric05_thin_frction_img/rgb_0770.png</t>
  </si>
  <si>
    <t>fabric04_thin_abrasion_img/rgb_0188.png</t>
  </si>
  <si>
    <t>fabric06_thin_cut_img/rgb_0668.png</t>
  </si>
  <si>
    <t>rgb_0767.png</t>
  </si>
  <si>
    <t>fabric05_thin_frction_img/rgb_0767.png</t>
  </si>
  <si>
    <t>fabric05_thin_abrasion_img/rgb_0160.png</t>
  </si>
  <si>
    <t>fabric04_thin_cut_img/rgb_0698.png</t>
  </si>
  <si>
    <t>fabric05_thin_abrasion_img/rgb_0159.png</t>
  </si>
  <si>
    <t>fabric06_thin_frction_img/rgb_0215.png</t>
  </si>
  <si>
    <t>fabric06_thin_cut_img/rgb_0666.png</t>
  </si>
  <si>
    <t>fabric04_thin_abrasion_img/rgb_0165.png</t>
  </si>
  <si>
    <t>fabric01_thin_frction_img/rgb_0340.png</t>
  </si>
  <si>
    <t>fabric06_thin_cut_img/rgb_0661.png</t>
  </si>
  <si>
    <t>fabric05_thin_abrasion_img/rgb_0702.png</t>
  </si>
  <si>
    <t>fabric04_thin_frction_img/rgb_0205.png</t>
  </si>
  <si>
    <t>fabric06_thin_cut_img/rgb_0664.png</t>
  </si>
  <si>
    <t>fabric06_thin_frction_img/rgb_0220.png</t>
  </si>
  <si>
    <t>fabric01_thin_abrasion_img/rgb_0530.png</t>
  </si>
  <si>
    <t>fabric06_thin_cut_img/rgb_0660.png</t>
  </si>
  <si>
    <t>fabric06_thin_frction_img/rgb_0217.png</t>
  </si>
  <si>
    <t>fabric02_thin_abrasion_img/rgb_0797.png</t>
  </si>
  <si>
    <t>fabric06_thin_frction_img/rgb_0207.png</t>
  </si>
  <si>
    <t>fabric06_thin_cut_img/rgb_0669.png</t>
  </si>
  <si>
    <t>fabric02_thin_abrasion_img/rgb_0532.png</t>
  </si>
  <si>
    <t>fabric06_thin_frction_img/rgb_0137.png</t>
  </si>
  <si>
    <t>fabric06_thin_cut_img/rgb_0659.png</t>
  </si>
  <si>
    <t>fabric01_thin_abrasion_img/rgb_0096.png</t>
  </si>
  <si>
    <t>fabric06_thin_frction_img/rgb_0116.png</t>
  </si>
  <si>
    <t>fabric06_thin_cut_img/rgb_0662.png</t>
  </si>
  <si>
    <t>fabric02_thin_frction_img/rgb_0810.png</t>
  </si>
  <si>
    <t>fabric04_thin_abrasion_img/rgb_0253.png</t>
  </si>
  <si>
    <t>fabric01_thin_frction_img/rgb_0334.png</t>
  </si>
  <si>
    <t>fabric01_thin_abrasion_img/rgb_0621.png</t>
  </si>
  <si>
    <t>fabric01_thin_cut_img/rgb_0820.png</t>
  </si>
  <si>
    <t>fabric06_thin_frction_img/rgb_0219.png</t>
  </si>
  <si>
    <t>fabric02_thin_abrasion_img/rgb_0109.png</t>
  </si>
  <si>
    <t>fabric06_thin_cut_img/rgb_0671.png</t>
  </si>
  <si>
    <t>fabric06_thin_frction_img/rgb_0214.png</t>
  </si>
  <si>
    <t>fabric01_thin_abrasion_img/rgb_0099.png</t>
  </si>
  <si>
    <t>fabric06_thin_cut_img/rgb_0670.png</t>
  </si>
  <si>
    <t>fabric01_thin_abrasion_img/rgb_0102.png</t>
  </si>
  <si>
    <t>fabric04_thin_frction_img/rgb_0203.png</t>
  </si>
  <si>
    <t>fabric06_thin_cut_img/rgb_0564.png</t>
  </si>
  <si>
    <t>fabric01_thin_abrasion_img/rgb_0095.png</t>
  </si>
  <si>
    <t>fabric05_thin_cut_img/rgb_0655.png</t>
  </si>
  <si>
    <t>fabric01_thin_frction_img/rgb_0324.png</t>
  </si>
  <si>
    <t>fabric05_thin_abrasion_img/rgb_0177.png</t>
  </si>
  <si>
    <t>fabric04_thin_cut_img/rgb_0908.png</t>
  </si>
  <si>
    <t>fabric06_thin_frction_img/rgb_0213.png</t>
  </si>
  <si>
    <t>fabric01_thin_abrasion_img/rgb_0091.png</t>
  </si>
  <si>
    <t>fabric03_thin_cut_img/rgb_0343.png</t>
  </si>
  <si>
    <t>fabric06_thin_frction_img/rgb_0115.png</t>
  </si>
  <si>
    <t>fabric05_thin_abrasion_img/rgb_0167.png</t>
  </si>
  <si>
    <t>fabric05_thin_cut_img/rgb_0554.png</t>
  </si>
  <si>
    <t>fabric06_thin_frction_img/rgb_0210.png</t>
  </si>
  <si>
    <t>fabric05_thin_abrasion_img/rgb_0170.png</t>
  </si>
  <si>
    <t>fabric06_thin_cut_img/rgb_0673.png</t>
  </si>
  <si>
    <t>fabric02_thin_frction_img/rgb_0641.png</t>
  </si>
  <si>
    <t>fabric04_thin_abrasion_img/rgb_0704.png</t>
  </si>
  <si>
    <t>fabric01_thin_cut_img/rgb_0336.png</t>
  </si>
  <si>
    <t>fabric04_thin_frction_img/rgb_0839.png</t>
  </si>
  <si>
    <t>fabric04_thin_abrasion_img/rgb_0698.png</t>
  </si>
  <si>
    <t>fabric06_thin_cut_img/rgb_0654.png</t>
  </si>
  <si>
    <t>fabric02_thin_frction_img/rgb_0713.png</t>
  </si>
  <si>
    <t>fabric05_thin_abrasion_img/rgb_0693.png</t>
  </si>
  <si>
    <t>fabric05_thin_cut_img/rgb_0654.png</t>
  </si>
  <si>
    <t>fabric05_thin_frction_img/rgb_0749.png</t>
  </si>
  <si>
    <t>fabric01_thin_abrasion_img/rgb_0089.png</t>
  </si>
  <si>
    <t>rgb_0122.png</t>
  </si>
  <si>
    <t>fabric06_thin_cut_img/rgb_0122.png</t>
  </si>
  <si>
    <t>fabric05_thin_frction_img/rgb_0762.png</t>
  </si>
  <si>
    <t>fabric04_thin_abrasion_img/rgb_0708.png</t>
  </si>
  <si>
    <t>fabric06_thin_cut_img/rgb_0563.png</t>
  </si>
  <si>
    <t>fabric06_thin_frction_img/rgb_0211.png</t>
  </si>
  <si>
    <t>fabric05_thin_abrasion_img/rgb_0171.png</t>
  </si>
  <si>
    <t>fabric04_thin_cut_img/rgb_0330.png</t>
  </si>
  <si>
    <t>fabric02_thin_frction_img/rgb_0627.png</t>
  </si>
  <si>
    <t>fabric01_thin_abrasion_img/rgb_0097.png</t>
  </si>
  <si>
    <t>rgb_0585.png</t>
  </si>
  <si>
    <t>fabric06_thin_cut_img/rgb_0585.png</t>
  </si>
  <si>
    <t>fabric01_thin_frction_img/rgb_0413.png</t>
  </si>
  <si>
    <t>fabric05_thin_abrasion_img/rgb_0169.png</t>
  </si>
  <si>
    <t>fabric04_thin_cut_img/rgb_0720.png</t>
  </si>
  <si>
    <t>fabric02_thin_frction_img/rgb_0635.png</t>
  </si>
  <si>
    <t>fabric04_thin_abrasion_img/rgb_0700.png</t>
  </si>
  <si>
    <t>fabric01_thin_cut_img/rgb_0891.png</t>
  </si>
  <si>
    <t>fabric02_thin_frction_img/rgb_0636.png</t>
  </si>
  <si>
    <t>fabric01_thin_abrasion_img/rgb_0195.png</t>
  </si>
  <si>
    <t>fabric06_thin_cut_img/rgb_0562.png</t>
  </si>
  <si>
    <t>fabric02_thin_frction_img/rgb_0806.png</t>
  </si>
  <si>
    <t>fabric01_thin_abrasion_img/rgb_0638.png</t>
  </si>
  <si>
    <t>fabric01_thin_cut_img/rgb_0799.png</t>
  </si>
  <si>
    <t>fabric02_thin_frction_img/rgb_0643.png</t>
  </si>
  <si>
    <t>fabric05_thin_abrasion_img/rgb_0166.png</t>
  </si>
  <si>
    <t>fabric01_thin_cut_img/rgb_0803.png</t>
  </si>
  <si>
    <t>fabric06_thin_frction_img/rgb_0204.png</t>
  </si>
  <si>
    <t>fabric01_thin_abrasion_img/rgb_0093.png</t>
  </si>
  <si>
    <t>fabric01_thin_cut_img/rgb_0804.png</t>
  </si>
  <si>
    <t>fabric02_thin_frction_img/rgb_0629.png</t>
  </si>
  <si>
    <t>fabric04_thin_abrasion_img/rgb_0706.png</t>
  </si>
  <si>
    <t>fabric04_thin_cut_img/rgb_0421.png</t>
  </si>
  <si>
    <t>fabric06_thin_frction_img/rgb_0223.png</t>
  </si>
  <si>
    <t>fabric01_thin_abrasion_img/rgb_0101.png</t>
  </si>
  <si>
    <t>fabric01_thin_cut_img/rgb_0894.png</t>
  </si>
  <si>
    <t>fabric02_thin_frction_img/rgb_0807.png</t>
  </si>
  <si>
    <t>fabric05_thin_abrasion_img/rgb_0172.png</t>
  </si>
  <si>
    <t>fabric01_thin_cut_img/rgb_0910.png</t>
  </si>
  <si>
    <t>fabric01_thin_frction_img/rgb_0330.png</t>
  </si>
  <si>
    <t>fabric01_thin_abrasion_img/rgb_0533.png</t>
  </si>
  <si>
    <t>fabric02_thin_frction_img/rgb_0811.png</t>
  </si>
  <si>
    <t>fabric01_thin_cut_img/rgb_0806.png</t>
  </si>
  <si>
    <t>fabric04_thin_abrasion_img/rgb_0705.png</t>
  </si>
  <si>
    <t>fabric05_thin_frction_img/rgb_0750.png</t>
  </si>
  <si>
    <t>fabric01_thin_cut_img/rgb_0816.png</t>
  </si>
  <si>
    <t>fabric04_thin_abrasion_img/rgb_0709.png</t>
  </si>
  <si>
    <t>fabric01_thin_frction_img/rgb_0337.png</t>
  </si>
  <si>
    <t>fabric01_thin_cut_img/rgb_0817.png</t>
  </si>
  <si>
    <t>fabric04_thin_abrasion_img/rgb_0710.png</t>
  </si>
  <si>
    <t>fabric02_thin_frction_img/rgb_0823.png</t>
  </si>
  <si>
    <t>fabric05_thin_cut_img/rgb_0653.png</t>
  </si>
  <si>
    <t>fabric04_thin_abrasion_img/rgb_0703.png</t>
  </si>
  <si>
    <t>fabric02_thin_frction_img/rgb_0809.png</t>
  </si>
  <si>
    <t>fabric01_thin_cut_img/rgb_0815.png</t>
  </si>
  <si>
    <t>fabric01_thin_abrasion_img/rgb_0531.png</t>
  </si>
  <si>
    <t>fabric01_thin_frction_img/rgb_0422.png</t>
  </si>
  <si>
    <t>fabric06_thin_cut_img/rgb_0653.png</t>
  </si>
  <si>
    <t>fabric04_thin_abrasion_img/rgb_0696.png</t>
  </si>
  <si>
    <t>fabric01_thin_frction_img/rgb_0429.png</t>
  </si>
  <si>
    <t>fabric01_thin_cut_img/rgb_0807.png</t>
  </si>
  <si>
    <t>fabric01_thin_abrasion_img/rgb_0100.png</t>
  </si>
  <si>
    <t>fabric02_thin_frction_img/rgb_0821.png</t>
  </si>
  <si>
    <t>fabric01_thin_cut_img/rgb_0243.png</t>
  </si>
  <si>
    <t>fabric04_thin_abrasion_img/rgb_0693.png</t>
  </si>
  <si>
    <t>fabric02_thin_frction_img/rgb_0815.png</t>
  </si>
  <si>
    <t>fabric01_thin_cut_img/rgb_0911.png</t>
  </si>
  <si>
    <t>fabric05_thin_abrasion_img/rgb_0164.png</t>
  </si>
  <si>
    <t>fabric02_thin_frction_img/rgb_0818.png</t>
  </si>
  <si>
    <t>fabric01_thin_cut_img/rgb_0892.png</t>
  </si>
  <si>
    <t>fabric04_thin_abrasion_img/rgb_0692.png</t>
  </si>
  <si>
    <t>fabric01_thin_frction_img/rgb_0341.png</t>
  </si>
  <si>
    <t>fabric01_thin_cut_img/rgb_0337.png</t>
  </si>
  <si>
    <t>fabric01_thin_abrasion_img/rgb_0536.png</t>
  </si>
  <si>
    <t>fabric05_thin_frction_img/rgb_0758.png</t>
  </si>
  <si>
    <t>fabric01_thin_cut_img/rgb_0428.png</t>
  </si>
  <si>
    <t>fabric04_thin_abrasion_img/rgb_0699.png</t>
  </si>
  <si>
    <t>fabric02_thin_frction_img/rgb_0441.png</t>
  </si>
  <si>
    <t>fabric01_thin_cut_img/rgb_0906.png</t>
  </si>
  <si>
    <t>fabric04_thin_abrasion_img/rgb_0701.png</t>
  </si>
  <si>
    <t>fabric06_thin_frction_img/rgb_0308.png</t>
  </si>
  <si>
    <t>fabric01_thin_abrasion_img/rgb_0087.png</t>
  </si>
  <si>
    <t>fabric01_thin_cut_img/rgb_0907.png</t>
  </si>
  <si>
    <t>fabric06_thin_frction_img/rgb_0300.png</t>
  </si>
  <si>
    <t>fabric01_thin_abrasion_img/rgb_0085.png</t>
  </si>
  <si>
    <t>fabric01_thin_cut_img/rgb_0811.png</t>
  </si>
  <si>
    <t>fabric06_thin_frction_img/rgb_0304.png</t>
  </si>
  <si>
    <t>fabric04_thin_abrasion_img/rgb_0707.png</t>
  </si>
  <si>
    <t>fabric01_thin_cut_img/rgb_0813.png</t>
  </si>
  <si>
    <t>fabric02_thin_frction_img/rgb_0808.png</t>
  </si>
  <si>
    <t>fabric04_thin_abrasion_img/rgb_0694.png</t>
  </si>
  <si>
    <t>fabric01_thin_cut_img/rgb_0903.png</t>
  </si>
  <si>
    <t>fabric06_thin_frction_img/rgb_0301.png</t>
  </si>
  <si>
    <t>fabric05_thin_abrasion_img/rgb_0168.png</t>
  </si>
  <si>
    <t>fabric01_thin_cut_img/rgb_0904.png</t>
  </si>
  <si>
    <t>fabric01_thin_frction_img/rgb_0338.png</t>
  </si>
  <si>
    <t>fabric01_thin_abrasion_img/rgb_0104.png</t>
  </si>
  <si>
    <t>fabric01_thin_cut_img/rgb_0908.png</t>
  </si>
  <si>
    <t>fabric06_thin_frction_img/rgb_0309.png</t>
  </si>
  <si>
    <t>fabric04_thin_abrasion_img/rgb_0697.png</t>
  </si>
  <si>
    <t>fabric01_thin_cut_img/rgb_0901.png</t>
  </si>
  <si>
    <t>fabric06_thin_frction_img/rgb_0297.png</t>
  </si>
  <si>
    <t>fabric01_thin_abrasion_img/rgb_0086.png</t>
  </si>
  <si>
    <t>fabric01_thin_cut_img/rgb_0800.png</t>
  </si>
  <si>
    <t>fabric02_thin_frction_img/rgb_0824.png</t>
  </si>
  <si>
    <t>fabric04_thin_abrasion_img/rgb_0702.png</t>
  </si>
  <si>
    <t>fabric01_thin_cut_img/rgb_0338.png</t>
  </si>
  <si>
    <t>fabric06_thin_frction_img/rgb_0310.png</t>
  </si>
  <si>
    <t>fabric01_thin_abrasion_img/rgb_0098.png</t>
  </si>
  <si>
    <t>fabric01_thin_cut_img/rgb_0809.png</t>
  </si>
  <si>
    <t>fabric02_thin_frction_img/rgb_0813.png</t>
  </si>
  <si>
    <t>fabric05_thin_abrasion_img/rgb_0173.png</t>
  </si>
  <si>
    <t>fabric01_thin_cut_img/rgb_0897.png</t>
  </si>
  <si>
    <t>fabric02_thin_frction_img/rgb_0819.png</t>
  </si>
  <si>
    <t>fabric05_thin_abrasion_img/rgb_0516.png</t>
  </si>
  <si>
    <t>fabric01_thin_cut_img/rgb_0264.png</t>
  </si>
  <si>
    <t>fabric06_thin_frction_img/rgb_0138.png</t>
  </si>
  <si>
    <t>fabric04_thin_abrasion_img/rgb_0712.png</t>
  </si>
  <si>
    <t>fabric01_thin_cut_img/rgb_0899.png</t>
  </si>
  <si>
    <t>fabric06_thin_frction_img/rgb_0311.png</t>
  </si>
  <si>
    <t>fabric04_thin_abrasion_img/rgb_0711.png</t>
  </si>
  <si>
    <t>fabric06_thin_frction_img/rgb_0291.png</t>
  </si>
  <si>
    <t>fabric01_thin_cut_img/rgb_0900.png</t>
  </si>
  <si>
    <t>fabric01_thin_abrasion_img/rgb_0092.png</t>
  </si>
  <si>
    <t>fabric02_thin_frction_img/rgb_0817.png</t>
  </si>
  <si>
    <t>fabric01_thin_cut_img/rgb_0812.png</t>
  </si>
  <si>
    <t>fabric05_thin_abrasion_img/rgb_0165.png</t>
  </si>
  <si>
    <t>fabric06_thin_frction_img/rgb_0296.png</t>
  </si>
  <si>
    <t>fabric01_thin_cut_img/rgb_0909.png</t>
  </si>
  <si>
    <t>fabric05_thin_abrasion_img/rgb_0175.png</t>
  </si>
  <si>
    <t>fabric04_thin_frction_img/rgb_0199.png</t>
  </si>
  <si>
    <t>fabric01_thin_cut_img/rgb_0339.png</t>
  </si>
  <si>
    <t>fabric01_thin_abrasion_img/rgb_0088.png</t>
  </si>
  <si>
    <t>fabric02_thin_frction_img/rgb_0812.png</t>
  </si>
  <si>
    <t>fabric01_thin_cut_img/rgb_0905.png</t>
  </si>
  <si>
    <t>fabric05_thin_abrasion_img/rgb_0158.png</t>
  </si>
  <si>
    <t>fabric01_thin_frction_img/rgb_0514.png</t>
  </si>
  <si>
    <t>fabric01_thin_cut_img/rgb_0810.png</t>
  </si>
  <si>
    <t>fabric04_thin_abrasion_img/rgb_0695.png</t>
  </si>
  <si>
    <t>fabric01_thin_frction_img/rgb_0509.png</t>
  </si>
  <si>
    <t>fabric01_thin_cut_img/rgb_0344.png</t>
  </si>
  <si>
    <t>fabric02_thin_abrasion_img/rgb_0709.png</t>
  </si>
  <si>
    <t>fabric01_thin_cut_img/rgb_0818.png</t>
  </si>
  <si>
    <t>fabric04_thin_frction_img/rgb_0212.png</t>
  </si>
  <si>
    <t>fabric01_thin_abrasion_img/rgb_0090.png</t>
  </si>
  <si>
    <t>fabric01_thin_cut_img/rgb_0895.png</t>
  </si>
  <si>
    <t>fabric04_thin_frction_img/rgb_0220.png</t>
  </si>
  <si>
    <t>fabric05_thin_abrasion_img/rgb_0176.png</t>
  </si>
  <si>
    <t>fabric01_thin_cut_img/rgb_0802.png</t>
  </si>
  <si>
    <t>fabric04_thin_frction_img/rgb_0211.png</t>
  </si>
  <si>
    <t>fabric01_thin_abrasion_img/rgb_0545.png</t>
  </si>
  <si>
    <t>fabric01_thin_cut_img/rgb_0902.png</t>
  </si>
  <si>
    <t>fabric04_thin_frction_img/rgb_0215.png</t>
  </si>
  <si>
    <t>fabric05_thin_abrasion_img/rgb_0614.png</t>
  </si>
  <si>
    <t>fabric01_thin_cut_img/rgb_0896.png</t>
  </si>
  <si>
    <t>fabric04_thin_frction_img/rgb_0209.png</t>
  </si>
  <si>
    <t>fabric01_thin_abrasion_img/rgb_0105.png</t>
  </si>
  <si>
    <t>fabric01_thin_cut_img/rgb_0808.png</t>
  </si>
  <si>
    <t>fabric01_thin_frction_img/rgb_0336.png</t>
  </si>
  <si>
    <t>fabric01_thin_abrasion_img/rgb_0633.png</t>
  </si>
  <si>
    <t>fabric01_thin_cut_img/rgb_0340.png</t>
  </si>
  <si>
    <t>fabric04_thin_frction_img/rgb_0208.png</t>
  </si>
  <si>
    <t>fabric01_thin_abrasion_img/rgb_0538.png</t>
  </si>
  <si>
    <t>fabric01_thin_cut_img/rgb_0898.png</t>
  </si>
  <si>
    <t>fabric04_thin_frction_img/rgb_0219.png</t>
  </si>
  <si>
    <t>fabric02_thin_abrasion_img/rgb_0724.png</t>
  </si>
  <si>
    <t>fabric01_thin_cut_img/rgb_0912.png</t>
  </si>
  <si>
    <t>fabric04_thin_frction_img/rgb_0217.png</t>
  </si>
  <si>
    <t>fabric04_thin_abrasion_img/rgb_0691.png</t>
  </si>
  <si>
    <t>fabric01_thin_cut_img/rgb_0342.png</t>
  </si>
  <si>
    <t>fabric04_thin_frction_img/rgb_0204.png</t>
  </si>
  <si>
    <t>fabric01_thin_abrasion_img/rgb_0103.png</t>
  </si>
  <si>
    <t>fabric01_thin_cut_img/rgb_0356.png</t>
  </si>
  <si>
    <t>fabric04_thin_frction_img/rgb_0201.png</t>
  </si>
  <si>
    <t>fabric01_thin_abrasion_img/rgb_0532.png</t>
  </si>
  <si>
    <t>fabric01_thin_cut_img/rgb_0819.png</t>
  </si>
  <si>
    <t>fabric01_thin_frction_img/rgb_0502.png</t>
  </si>
  <si>
    <t>fabric05_thin_abrasion_img/rgb_0526.png</t>
  </si>
  <si>
    <t>fabric01_thin_cut_img/rgb_0531.png</t>
  </si>
  <si>
    <t>fabric02_thin_frction_img/rgb_0825.png</t>
  </si>
  <si>
    <t>fabric01_thin_abrasion_img/rgb_0624.png</t>
  </si>
  <si>
    <t>fabric01_thin_cut_img/rgb_0814.png</t>
  </si>
  <si>
    <t>fabric04_thin_frction_img/rgb_0213.png</t>
  </si>
  <si>
    <t>fabric01_thin_cut_img/rgb_0262.png</t>
  </si>
  <si>
    <t>fabric05_thin_abrasion_img/rgb_0174.png</t>
  </si>
  <si>
    <t>fabric04_thin_frction_img/rgb_0216.png</t>
  </si>
  <si>
    <t>fabric05_thin_abrasion_img/rgb_0513.png</t>
  </si>
  <si>
    <t>fabric01_thin_cut_img/rgb_0343.png</t>
  </si>
  <si>
    <t>fabric01_thin_frction_img/rgb_0342.png</t>
  </si>
  <si>
    <t>fabric01_thin_abrasion_img/rgb_0094.png</t>
  </si>
  <si>
    <t>fabric01_thin_cut_img/rgb_0893.png</t>
  </si>
  <si>
    <t>fabric04_thin_frction_img/rgb_0207.png</t>
  </si>
  <si>
    <t>fabric05_thin_abrasion_img/rgb_0515.png</t>
  </si>
  <si>
    <t>fabric06_thin_cut_img/rgb_0567.png</t>
  </si>
  <si>
    <t>fabric01_thin_frction_img/rgb_0513.png</t>
  </si>
  <si>
    <t>fabric04_thin_abrasion_img/rgb_0346.png</t>
  </si>
  <si>
    <t>fabric01_thin_cut_img/rgb_0805.png</t>
  </si>
  <si>
    <t>fabric04_thin_frction_img/rgb_0202.png</t>
  </si>
  <si>
    <t>fabric05_thin_abrasion_img/rgb_0610.png</t>
  </si>
  <si>
    <t>fabric01_thin_cut_img/rgb_0345.png</t>
  </si>
  <si>
    <t>fabric06_thin_frction_img/rgb_0293.png</t>
  </si>
  <si>
    <t>fabric05_thin_abrasion_img/rgb_0602.png</t>
  </si>
  <si>
    <t>fabric01_thin_cut_img/rgb_0351.png</t>
  </si>
  <si>
    <t>fabric01_thin_frction_img/rgb_0327.png</t>
  </si>
  <si>
    <t>fabric05_thin_abrasion_img/rgb_0520.png</t>
  </si>
  <si>
    <t>fabric01_thin_cut_img/rgb_0349.png</t>
  </si>
  <si>
    <t>fabric02_thin_frction_img/rgb_0711.png</t>
  </si>
  <si>
    <t>fabric01_thin_abrasion_img/rgb_0635.png</t>
  </si>
  <si>
    <t>fabric01_thin_cut_img/rgb_0259.png</t>
  </si>
  <si>
    <t>fabric06_thin_frction_img/rgb_0314.png</t>
  </si>
  <si>
    <t>fabric02_thin_abrasion_img/rgb_0547.png</t>
  </si>
  <si>
    <t>fabric01_thin_frction_img/rgb_0508.png</t>
  </si>
  <si>
    <t>fabric01_thin_cut_img/rgb_0431.png</t>
  </si>
  <si>
    <t>fabric05_thin_abrasion_img/rgb_0596.png</t>
  </si>
  <si>
    <t>fabric06_thin_frction_img/rgb_0134.png</t>
  </si>
  <si>
    <t>fabric01_thin_cut_img/rgb_0258.png</t>
  </si>
  <si>
    <t>fabric01_thin_abrasion_img/rgb_0627.png</t>
  </si>
  <si>
    <t>fabric02_thin_frction_img/rgb_0266.png</t>
  </si>
  <si>
    <t>fabric01_thin_cut_img/rgb_0350.png</t>
  </si>
  <si>
    <t>fabric04_thin_abrasion_img/rgb_0348.png</t>
  </si>
  <si>
    <t>fabric06_thin_frction_img/rgb_0292.png</t>
  </si>
  <si>
    <t>fabric01_thin_cut_img/rgb_0354.png</t>
  </si>
  <si>
    <t>fabric04_thin_abrasion_img/rgb_0345.png</t>
  </si>
  <si>
    <t>fabric05_thin_frction_img/rgb_0214.png</t>
  </si>
  <si>
    <t>fabric01_thin_cut_img/rgb_0341.png</t>
  </si>
  <si>
    <t>fabric05_thin_abrasion_img/rgb_0524.png</t>
  </si>
  <si>
    <t>fabric06_thin_frction_img/rgb_0127.png</t>
  </si>
  <si>
    <t>fabric01_thin_cut_img/rgb_0801.png</t>
  </si>
  <si>
    <t>fabric01_thin_abrasion_img/rgb_0540.png</t>
  </si>
  <si>
    <t>fabric06_thin_frction_img/rgb_0128.png</t>
  </si>
  <si>
    <t>fabric01_thin_cut_img/rgb_0347.png</t>
  </si>
  <si>
    <t>fabric04_thin_abrasion_img/rgb_0353.png</t>
  </si>
  <si>
    <t>fabric06_thin_frction_img/rgb_0133.png</t>
  </si>
  <si>
    <t>fabric01_thin_cut_img/rgb_0346.png</t>
  </si>
  <si>
    <t>fabric04_thin_abrasion_img/rgb_0713.png</t>
  </si>
  <si>
    <t>fabric01_thin_frction_img/rgb_0333.png</t>
  </si>
  <si>
    <t>fabric01_thin_cut_img/rgb_0523.png</t>
  </si>
  <si>
    <t>fabric04_thin_abrasion_img/rgb_0430.png</t>
  </si>
  <si>
    <t>fabric01_thin_frction_img/rgb_0517.png</t>
  </si>
  <si>
    <t>fabric01_thin_cut_img/rgb_0355.png</t>
  </si>
  <si>
    <t>fabric02_thin_abrasion_img/rgb_0721.png</t>
  </si>
  <si>
    <t>fabric01_thin_frction_img/rgb_0331.png</t>
  </si>
  <si>
    <t>fabric01_thin_cut_img/rgb_0432.png</t>
  </si>
  <si>
    <t>fabric04_thin_abrasion_img/rgb_0433.png</t>
  </si>
  <si>
    <t>fabric06_thin_frction_img/rgb_0117.png</t>
  </si>
  <si>
    <t>fabric05_thin_cut_img/rgb_0094.png</t>
  </si>
  <si>
    <t>fabric05_thin_abrasion_img/rgb_0511.png</t>
  </si>
  <si>
    <t>fabric05_thin_frction_img/rgb_0232.png</t>
  </si>
  <si>
    <t>fabric01_thin_cut_img/rgb_0244.png</t>
  </si>
  <si>
    <t>fabric05_thin_abrasion_img/rgb_0512.png</t>
  </si>
  <si>
    <t>fabric01_thin_frction_img/rgb_0515.png</t>
  </si>
  <si>
    <t>fabric01_thin_cut_img/rgb_0443.png</t>
  </si>
  <si>
    <t>fabric05_thin_abrasion_img/rgb_0179.png</t>
  </si>
  <si>
    <t>fabric01_thin_frction_img/rgb_0335.png</t>
  </si>
  <si>
    <t>fabric01_thin_cut_img/rgb_0352.png</t>
  </si>
  <si>
    <t>fabric01_thin_abrasion_img/rgb_0546.png</t>
  </si>
  <si>
    <t>fabric05_thin_frction_img/rgb_0215.png</t>
  </si>
  <si>
    <t>fabric01_thin_cut_img/rgb_0538.png</t>
  </si>
  <si>
    <t>fabric04_thin_abrasion_img/rgb_0432.png</t>
  </si>
  <si>
    <t>fabric05_thin_frction_img/rgb_0569.png</t>
  </si>
  <si>
    <t>fabric01_thin_cut_img/rgb_0522.png</t>
  </si>
  <si>
    <t>fabric05_thin_abrasion_img/rgb_0597.png</t>
  </si>
  <si>
    <t>fabric01_thin_frction_img/rgb_0507.png</t>
  </si>
  <si>
    <t>fabric01_thin_cut_img/rgb_0254.png</t>
  </si>
  <si>
    <t>fabric04_thin_abrasion_img/rgb_0431.png</t>
  </si>
  <si>
    <t>fabric06_thin_frction_img/rgb_0123.png</t>
  </si>
  <si>
    <t>fabric01_thin_cut_img/rgb_0533.png</t>
  </si>
  <si>
    <t>fabric01_thin_abrasion_img/rgb_0636.png</t>
  </si>
  <si>
    <t>fabric06_thin_frction_img/rgb_0135.png</t>
  </si>
  <si>
    <t>fabric01_thin_cut_img/rgb_0348.png</t>
  </si>
  <si>
    <t>fabric04_thin_abrasion_img/rgb_0355.png</t>
  </si>
  <si>
    <t>fabric06_thin_frction_img/rgb_0131.png</t>
  </si>
  <si>
    <t>fabric01_thin_cut_img/rgb_0260.png</t>
  </si>
  <si>
    <t>fabric04_thin_abrasion_img/rgb_0442.png</t>
  </si>
  <si>
    <t>fabric01_thin_cut_img/rgb_0353.png</t>
  </si>
  <si>
    <t>fabric06_thin_frction_img/rgb_0132.png</t>
  </si>
  <si>
    <t>fabric04_thin_abrasion_img/rgb_0357.png</t>
  </si>
  <si>
    <t>fabric01_thin_cut_img/rgb_0256.png</t>
  </si>
  <si>
    <t>fabric01_thin_frction_img/rgb_0329.png</t>
  </si>
  <si>
    <t>fabric04_thin_abrasion_img/rgb_0356.png</t>
  </si>
  <si>
    <t>fabric01_thin_cut_img/rgb_0255.png</t>
  </si>
  <si>
    <t>fabric06_thin_frction_img/rgb_0125.png</t>
  </si>
  <si>
    <t>fabric04_thin_abrasion_img/rgb_0447.png</t>
  </si>
  <si>
    <t>fabric01_thin_cut_img/rgb_0249.png</t>
  </si>
  <si>
    <t>fabric02_thin_frction_img/rgb_0719.png</t>
  </si>
  <si>
    <t>fabric04_thin_abrasion_img/rgb_0349.png</t>
  </si>
  <si>
    <t>fabric01_thin_cut_img/rgb_0261.png</t>
  </si>
  <si>
    <t>fabric02_thin_frction_img/rgb_0272.png</t>
  </si>
  <si>
    <t>fabric04_thin_abrasion_img/rgb_0443.png</t>
  </si>
  <si>
    <t>fabric01_thin_cut_img/rgb_0534.png</t>
  </si>
  <si>
    <t>fabric01_thin_frction_img/rgb_0518.png</t>
  </si>
  <si>
    <t>fabric04_thin_abrasion_img/rgb_0352.png</t>
  </si>
  <si>
    <t>fabric01_thin_cut_img/rgb_0530.png</t>
  </si>
  <si>
    <t>fabric02_thin_frction_img/rgb_0267.png</t>
  </si>
  <si>
    <t>fabric04_thin_abrasion_img/rgb_0438.png</t>
  </si>
  <si>
    <t>fabric01_thin_cut_img/rgb_0437.png</t>
  </si>
  <si>
    <t>fabric06_thin_frction_img/rgb_0202.png</t>
  </si>
  <si>
    <t>fabric01_thin_abrasion_img/rgb_0552.png</t>
  </si>
  <si>
    <t>fabric01_thin_cut_img/rgb_0521.png</t>
  </si>
  <si>
    <t>fabric02_thin_frction_img/rgb_0278.png</t>
  </si>
  <si>
    <t>fabric04_thin_abrasion_img/rgb_0428.png</t>
  </si>
  <si>
    <t>fabric01_thin_cut_img/rgb_0247.png</t>
  </si>
  <si>
    <t>fabric02_thin_frction_img/rgb_0274.png</t>
  </si>
  <si>
    <t>fabric04_thin_abrasion_img/rgb_0434.png</t>
  </si>
  <si>
    <t>fabric01_thin_cut_img/rgb_0446.png</t>
  </si>
  <si>
    <t>fabric02_thin_frction_img/rgb_0277.png</t>
  </si>
  <si>
    <t>fabric04_thin_abrasion_img/rgb_0435.png</t>
  </si>
  <si>
    <t>fabric01_thin_cut_img/rgb_0438.png</t>
  </si>
  <si>
    <t>fabric02_thin_frction_img/rgb_0282.png</t>
  </si>
  <si>
    <t>fabric01_thin_abrasion_img/rgb_0548.png</t>
  </si>
  <si>
    <t>fabric01_thin_cut_img/rgb_0246.png</t>
  </si>
  <si>
    <t>fabric02_thin_frction_img/rgb_0727.png</t>
  </si>
  <si>
    <t>fabric02_thin_abrasion_img/rgb_0536.png</t>
  </si>
  <si>
    <t>fabric01_thin_cut_img/rgb_0433.png</t>
  </si>
  <si>
    <t>fabric04_thin_frction_img/rgb_0307.png</t>
  </si>
  <si>
    <t>fabric05_thin_abrasion_img/rgb_0601.png</t>
  </si>
  <si>
    <t>fabric01_thin_cut_img/rgb_0442.png</t>
  </si>
  <si>
    <t>fabric01_thin_frction_img/rgb_0506.png</t>
  </si>
  <si>
    <t>fabric02_thin_abrasion_img/rgb_0542.png</t>
  </si>
  <si>
    <t>fabric01_thin_frction_img/rgb_0793.png</t>
  </si>
  <si>
    <t>fabric01_thin_cut_img/rgb_0434.png</t>
  </si>
  <si>
    <t>fabric04_thin_abrasion_img/rgb_0437.png</t>
  </si>
  <si>
    <t>fabric01_thin_frction_img/rgb_0332.png</t>
  </si>
  <si>
    <t>fabric01_thin_cut_img/rgb_0535.png</t>
  </si>
  <si>
    <t>fabric01_thin_abrasion_img/rgb_0544.png</t>
  </si>
  <si>
    <t>fabric05_thin_frction_img/rgb_0478.png</t>
  </si>
  <si>
    <t>fabric01_thin_cut_img/rgb_0524.png</t>
  </si>
  <si>
    <t>fabric01_thin_abrasion_img/rgb_0541.png</t>
  </si>
  <si>
    <t>fabric06_thin_frction_img/rgb_0306.png</t>
  </si>
  <si>
    <t>fabric01_thin_cut_img/rgb_0525.png</t>
  </si>
  <si>
    <t>fabric04_thin_abrasion_img/rgb_0445.png</t>
  </si>
  <si>
    <t>fabric06_thin_frction_img/rgb_0312.png</t>
  </si>
  <si>
    <t>fabric01_thin_cut_img/rgb_0252.png</t>
  </si>
  <si>
    <t>fabric04_thin_abrasion_img/rgb_0359.png</t>
  </si>
  <si>
    <t>fabric06_thin_frction_img/rgb_0305.png</t>
  </si>
  <si>
    <t>fabric01_thin_cut_img/rgb_0444.png</t>
  </si>
  <si>
    <t>fabric01_thin_abrasion_img/rgb_0352.png</t>
  </si>
  <si>
    <t>fabric01_thin_frction_img/rgb_0511.png</t>
  </si>
  <si>
    <t>fabric01_thin_cut_img/rgb_0527.png</t>
  </si>
  <si>
    <t>fabric04_thin_abrasion_img/rgb_0439.png</t>
  </si>
  <si>
    <t>fabric01_thin_cut_img/rgb_0539.png</t>
  </si>
  <si>
    <t>fabric02_thin_frction_img/rgb_0733.png</t>
  </si>
  <si>
    <t>fabric02_thin_abrasion_img/rgb_0548.png</t>
  </si>
  <si>
    <t>fabric01_thin_cut_img/rgb_0250.png</t>
  </si>
  <si>
    <t>fabric06_thin_frction_img/rgb_0294.png</t>
  </si>
  <si>
    <t>fabric02_thin_abrasion_img/rgb_0537.png</t>
  </si>
  <si>
    <t>fabric01_thin_cut_img/rgb_0447.png</t>
  </si>
  <si>
    <t>fabric06_thin_frction_img/rgb_0298.png</t>
  </si>
  <si>
    <t>fabric01_thin_abrasion_img/rgb_0629.png</t>
  </si>
  <si>
    <t>fabric01_thin_cut_img/rgb_0537.png</t>
  </si>
  <si>
    <t>fabric06_thin_frction_img/rgb_0118.png</t>
  </si>
  <si>
    <t>fabric04_thin_abrasion_img/rgb_0354.png</t>
  </si>
  <si>
    <t>fabric01_thin_cut_img/rgb_0519.png</t>
  </si>
  <si>
    <t>fabric06_thin_frction_img/rgb_0313.png</t>
  </si>
  <si>
    <t>fabric04_thin_abrasion_img/rgb_0436.png</t>
  </si>
  <si>
    <t>fabric01_thin_cut_img/rgb_0536.png</t>
  </si>
  <si>
    <t>fabric06_thin_frction_img/rgb_0295.png</t>
  </si>
  <si>
    <t>fabric01_thin_abrasion_img/rgb_0537.png</t>
  </si>
  <si>
    <t>fabric01_thin_cut_img/rgb_0436.png</t>
  </si>
  <si>
    <t>fabric02_thin_frction_img/rgb_0734.png</t>
  </si>
  <si>
    <t>fabric05_thin_abrasion_img/rgb_0608.png</t>
  </si>
  <si>
    <t>fabric01_thin_cut_img/rgb_0248.png</t>
  </si>
  <si>
    <t>fabric06_thin_frction_img/rgb_0302.png</t>
  </si>
  <si>
    <t>fabric04_thin_abrasion_img/rgb_0440.png</t>
  </si>
  <si>
    <t>fabric01_thin_cut_img/rgb_0440.png</t>
  </si>
  <si>
    <t>fabric02_thin_frction_img/rgb_0724.png</t>
  </si>
  <si>
    <t>fabric05_thin_abrasion_img/rgb_0518.png</t>
  </si>
  <si>
    <t>fabric01_thin_cut_img/rgb_0257.png</t>
  </si>
  <si>
    <t>fabric06_thin_frction_img/rgb_0299.png</t>
  </si>
  <si>
    <t>fabric01_thin_cut_img/rgb_0445.png</t>
  </si>
  <si>
    <t>fabric04_thin_abrasion_img/rgb_0441.png</t>
  </si>
  <si>
    <t>fabric02_thin_frction_img/rgb_0723.png</t>
  </si>
  <si>
    <t>fabric01_thin_cut_img/rgb_0532.png</t>
  </si>
  <si>
    <t>fabric01_thin_abrasion_img/rgb_0632.png</t>
  </si>
  <si>
    <t>fabric06_thin_frction_img/rgb_0303.png</t>
  </si>
  <si>
    <t>fabric01_thin_cut_img/rgb_0251.png</t>
  </si>
  <si>
    <t>fabric01_thin_abrasion_img/rgb_0628.png</t>
  </si>
  <si>
    <t>fabric05_thin_frction_img/rgb_0300.png</t>
  </si>
  <si>
    <t>fabric04_thin_abrasion_img/rgb_0347.png</t>
  </si>
  <si>
    <t>fabric01_thin_cut_img/rgb_0430.png</t>
  </si>
  <si>
    <t>fabric05_thin_frction_img/rgb_0581.png</t>
  </si>
  <si>
    <t>fabric01_thin_abrasion_img/rgb_0639.png</t>
  </si>
  <si>
    <t>fabric01_thin_cut_img/rgb_0253.png</t>
  </si>
  <si>
    <t>fabric06_thin_frction_img/rgb_0307.png</t>
  </si>
  <si>
    <t>fabric01_thin_abrasion_img/rgb_0634.png</t>
  </si>
  <si>
    <t>fabric01_thin_cut_img/rgb_0526.png</t>
  </si>
  <si>
    <t>fabric05_thin_frction_img/rgb_0320.png</t>
  </si>
  <si>
    <t>fabric04_thin_abrasion_img/rgb_0446.png</t>
  </si>
  <si>
    <t>fabric01_thin_cut_img/rgb_0528.png</t>
  </si>
  <si>
    <t>fabric04_thin_frction_img/rgb_0206.png</t>
  </si>
  <si>
    <t>fabric02_thin_abrasion_img/rgb_0544.png</t>
  </si>
  <si>
    <t>fabric01_thin_cut_img/rgb_0429.png</t>
  </si>
  <si>
    <t>fabric02_thin_frction_img/rgb_0729.png</t>
  </si>
  <si>
    <t>fabric05_thin_abrasion_img/rgb_0514.png</t>
  </si>
  <si>
    <t>fabric01_thin_cut_img/rgb_0439.png</t>
  </si>
  <si>
    <t>fabric05_thin_frction_img/rgb_0570.png</t>
  </si>
  <si>
    <t>fabric05_thin_abrasion_img/rgb_0606.png</t>
  </si>
  <si>
    <t>fabric01_thin_cut_img/rgb_0441.png</t>
  </si>
  <si>
    <t>fabric04_thin_frction_img/rgb_0288.png</t>
  </si>
  <si>
    <t>fabric05_thin_abrasion_img/rgb_0613.png</t>
  </si>
  <si>
    <t>fabric01_thin_cut_img/rgb_0540.png</t>
  </si>
  <si>
    <t>fabric04_thin_frction_img/rgb_0306.png</t>
  </si>
  <si>
    <t>fabric02_thin_abrasion_img/rgb_0550.png</t>
  </si>
  <si>
    <t>fabric01_thin_cut_img/rgb_0245.png</t>
  </si>
  <si>
    <t>fabric02_thin_frction_img/rgb_0725.png</t>
  </si>
  <si>
    <t>fabric02_thin_abrasion_img/rgb_0710.png</t>
  </si>
  <si>
    <t>fabric01_thin_cut_img/rgb_0263.png</t>
  </si>
  <si>
    <t>fabric04_thin_frction_img/rgb_0296.png</t>
  </si>
  <si>
    <t>fabric05_thin_cut_img/rgb_0093.png</t>
  </si>
  <si>
    <t>fabric01_thin_abrasion_img/rgb_0631.png</t>
  </si>
  <si>
    <t>fabric05_thin_frction_img/rgb_0230.png</t>
  </si>
  <si>
    <t>fabric04_thin_cut_img/rgb_0885.png</t>
  </si>
  <si>
    <t>fabric02_thin_abrasion_img/rgb_0533.png</t>
  </si>
  <si>
    <t>fabric01_thin_frction_img/rgb_0682.png</t>
  </si>
  <si>
    <t>fabric01_thin_cut_img/rgb_0435.png</t>
  </si>
  <si>
    <t>fabric01_thin_abrasion_img/rgb_0550.png</t>
  </si>
  <si>
    <t>fabric02_thin_frction_img/rgb_0728.png</t>
  </si>
  <si>
    <t>fabric01_thin_cut_img/rgb_0529.png</t>
  </si>
  <si>
    <t>fabric04_thin_abrasion_img/rgb_0358.png</t>
  </si>
  <si>
    <t>fabric04_thin_frction_img/rgb_0218.png</t>
  </si>
  <si>
    <t>fabric01_thin_cut_img/rgb_0520.png</t>
  </si>
  <si>
    <t>fabric01_thin_abrasion_img/rgb_0547.png</t>
  </si>
  <si>
    <t>fabric04_thin_frction_img/rgb_0289.png</t>
  </si>
  <si>
    <t>fabric04_thin_cut_img/rgb_0236.png</t>
  </si>
  <si>
    <t>fabric02_thin_abrasion_img/rgb_0535.png</t>
  </si>
  <si>
    <t>fabric04_thin_frction_img/rgb_0374.png</t>
  </si>
  <si>
    <t>fabric01_thin_cut_img/rgb_0448.png</t>
  </si>
  <si>
    <t>rgb_0587.png</t>
  </si>
  <si>
    <t>fabric02_thin_abrasion_img/rgb_0545.png</t>
  </si>
  <si>
    <t>fabric05_thin_frction_img/rgb_0587.png</t>
  </si>
  <si>
    <t>fabric03_thin_cut_img/rgb_0622.png</t>
  </si>
  <si>
    <t>fabric04_thin_abrasion_img/rgb_0429.png</t>
  </si>
  <si>
    <t>fabric01_thin_frction_img/rgb_0504.png</t>
  </si>
  <si>
    <t>fabric03_thin_cut_img/rgb_0627.png</t>
  </si>
  <si>
    <t>fabric02_thin_abrasion_img/rgb_0551.png</t>
  </si>
  <si>
    <t>fabric02_thin_frction_img/rgb_0730.png</t>
  </si>
  <si>
    <t>fabric03_thin_cut_img/rgb_0181.png</t>
  </si>
  <si>
    <t>fabric04_thin_abrasion_img/rgb_0339.png</t>
  </si>
  <si>
    <t>fabric02_thin_frction_img/rgb_0626.png</t>
  </si>
  <si>
    <t>fabric03_thin_cut_img/rgb_0715.png</t>
  </si>
  <si>
    <t>fabric02_thin_abrasion_img/rgb_0543.png</t>
  </si>
  <si>
    <t>rgb_0589.png</t>
  </si>
  <si>
    <t>fabric05_thin_frction_img/rgb_0589.png</t>
  </si>
  <si>
    <t>fabric03_thin_cut_img/rgb_0737.png</t>
  </si>
  <si>
    <t>fabric05_thin_abrasion_img/rgb_0598.png</t>
  </si>
  <si>
    <t>fabric05_thin_frction_img/rgb_0314.png</t>
  </si>
  <si>
    <t>fabric03_thin_cut_img/rgb_0160.png</t>
  </si>
  <si>
    <t>fabric05_thin_abrasion_img/rgb_0525.png</t>
  </si>
  <si>
    <t>fabric02_thin_frction_img/rgb_0731.png</t>
  </si>
  <si>
    <t>fabric03_thin_cut_img/rgb_0718.png</t>
  </si>
  <si>
    <t>fabric01_thin_abrasion_img/rgb_0630.png</t>
  </si>
  <si>
    <t>fabric05_thin_frction_img/rgb_0310.png</t>
  </si>
  <si>
    <t>fabric03_thin_cut_img/rgb_0727.png</t>
  </si>
  <si>
    <t>fabric05_thin_abrasion_img/rgb_0510.png</t>
  </si>
  <si>
    <t>fabric05_thin_frction_img/rgb_0222.png</t>
  </si>
  <si>
    <t>fabric03_thin_cut_img/rgb_0730.png</t>
  </si>
  <si>
    <t>fabric02_thin_abrasion_img/rgb_0553.png</t>
  </si>
  <si>
    <t>fabric03_thin_cut_img/rgb_0728.png</t>
  </si>
  <si>
    <t>fabric05_thin_frction_img/rgb_0216.png</t>
  </si>
  <si>
    <t>fabric01_thin_abrasion_img/rgb_0534.png</t>
  </si>
  <si>
    <t>fabric03_thin_cut_img/rgb_0733.png</t>
  </si>
  <si>
    <t>fabric04_thin_frction_img/rgb_0291.png</t>
  </si>
  <si>
    <t>fabric04_thin_abrasion_img/rgb_0341.png</t>
  </si>
  <si>
    <t>fabric03_thin_cut_img/rgb_0724.png</t>
  </si>
  <si>
    <t>fabric06_thin_frction_img/rgb_0120.png</t>
  </si>
  <si>
    <t>fabric01_thin_abrasion_img/rgb_0535.png</t>
  </si>
  <si>
    <t>fabric03_thin_cut_img/rgb_0161.png</t>
  </si>
  <si>
    <t>rgb_0119.png</t>
  </si>
  <si>
    <t>fabric06_thin_frction_img/rgb_0119.png</t>
  </si>
  <si>
    <t>fabric04_thin_abrasion_img/rgb_0350.png</t>
  </si>
  <si>
    <t>fabric05_thin_frction_img/rgb_0591.png</t>
  </si>
  <si>
    <t>fabric03_thin_cut_img/rgb_0717.png</t>
  </si>
  <si>
    <t>fabric02_thin_abrasion_img/rgb_0726.png</t>
  </si>
  <si>
    <t>fabric05_thin_frction_img/rgb_0218.png</t>
  </si>
  <si>
    <t>fabric03_thin_cut_img/rgb_0719.png</t>
  </si>
  <si>
    <t>fabric02_thin_abrasion_img/rgb_0720.png</t>
  </si>
  <si>
    <t>fabric05_thin_frction_img/rgb_0229.png</t>
  </si>
  <si>
    <t>fabric03_thin_cut_img/rgb_0721.png</t>
  </si>
  <si>
    <t>fabric02_thin_abrasion_img/rgb_0549.png</t>
  </si>
  <si>
    <t>fabric04_thin_frction_img/rgb_0303.png</t>
  </si>
  <si>
    <t>fabric03_thin_cut_img/rgb_0720.png</t>
  </si>
  <si>
    <t>fabric04_thin_abrasion_img/rgb_0343.png</t>
  </si>
  <si>
    <t>fabric06_thin_frction_img/rgb_0126.png</t>
  </si>
  <si>
    <t>fabric05_thin_abrasion_img/rgb_0508.png</t>
  </si>
  <si>
    <t>fabric03_thin_cut_img/rgb_0722.png</t>
  </si>
  <si>
    <t>fabric05_thin_frction_img/rgb_0225.png</t>
  </si>
  <si>
    <t>fabric02_thin_abrasion_img/rgb_0711.png</t>
  </si>
  <si>
    <t>fabric03_thin_cut_img/rgb_0716.png</t>
  </si>
  <si>
    <t>fabric05_thin_frction_img/rgb_0568.png</t>
  </si>
  <si>
    <t>fabric02_thin_abrasion_img/rgb_0534.png</t>
  </si>
  <si>
    <t>fabric03_thin_cut_img/rgb_0723.png</t>
  </si>
  <si>
    <t>fabric02_thin_frction_img/rgb_0726.png</t>
  </si>
  <si>
    <t>fabric04_thin_abrasion_img/rgb_0444.png</t>
  </si>
  <si>
    <t>fabric03_thin_cut_img/rgb_0725.png</t>
  </si>
  <si>
    <t>fabric04_thin_frction_img/rgb_0299.png</t>
  </si>
  <si>
    <t>fabric02_thin_abrasion_img/rgb_0727.png</t>
  </si>
  <si>
    <t>fabric03_thin_cut_img/rgb_0735.png</t>
  </si>
  <si>
    <t>rgb_0321.png</t>
  </si>
  <si>
    <t>fabric05_thin_frction_img/rgb_0321.png</t>
  </si>
  <si>
    <t>fabric04_thin_abrasion_img/rgb_0342.png</t>
  </si>
  <si>
    <t>fabric03_thin_cut_img/rgb_0734.png</t>
  </si>
  <si>
    <t>fabric04_thin_frction_img/rgb_0305.png</t>
  </si>
  <si>
    <t>fabric02_thin_abrasion_img/rgb_0722.png</t>
  </si>
  <si>
    <t>fabric03_thin_cut_img/rgb_0736.png</t>
  </si>
  <si>
    <t>fabric02_thin_frction_img/rgb_0722.png</t>
  </si>
  <si>
    <t>fabric01_thin_abrasion_img/rgb_0625.png</t>
  </si>
  <si>
    <t>fabric03_thin_cut_img/rgb_0732.png</t>
  </si>
  <si>
    <t>fabric05_thin_frction_img/rgb_0312.png</t>
  </si>
  <si>
    <t>fabric02_thin_abrasion_img/rgb_0716.png</t>
  </si>
  <si>
    <t>fabric03_thin_cut_img/rgb_0726.png</t>
  </si>
  <si>
    <t>fabric05_thin_frction_img/rgb_0579.png</t>
  </si>
  <si>
    <t>fabric05_thin_abrasion_img/rgb_0519.png</t>
  </si>
  <si>
    <t>fabric03_thin_cut_img/rgb_0731.png</t>
  </si>
  <si>
    <t>fabric06_thin_frction_img/rgb_0129.png</t>
  </si>
  <si>
    <t>fabric02_thin_abrasion_img/rgb_0715.png</t>
  </si>
  <si>
    <t>fabric03_thin_cut_img/rgb_0729.png</t>
  </si>
  <si>
    <t>fabric02_thin_frction_img/rgb_0732.png</t>
  </si>
  <si>
    <t>fabric01_thin_cut_img/rgb_0613.png</t>
  </si>
  <si>
    <t>fabric05_thin_abrasion_img/rgb_0595.png</t>
  </si>
  <si>
    <t>fabric02_thin_frction_img/rgb_0717.png</t>
  </si>
  <si>
    <t>fabric04_thin_abrasion_img/rgb_0344.png</t>
  </si>
  <si>
    <t>fabric02_thin_frction_img/rgb_0720.png</t>
  </si>
  <si>
    <t>fabric01_thin_abrasion_img/rgb_0622.png</t>
  </si>
  <si>
    <t>fabric05_thin_frction_img/rgb_0219.png</t>
  </si>
  <si>
    <t>fabric02_thin_abrasion_img/rgb_0718.png</t>
  </si>
  <si>
    <t>fabric06_thin_frction_img/rgb_0121.png</t>
  </si>
  <si>
    <t>fabric01_thin_abrasion_img/rgb_0539.png</t>
  </si>
  <si>
    <t>fabric02_thin_frction_img/rgb_0715.png</t>
  </si>
  <si>
    <t>fabric01_thin_abrasion_img/rgb_0623.png</t>
  </si>
  <si>
    <t>fabric04_thin_frction_img/rgb_0301.png</t>
  </si>
  <si>
    <t>fabric02_thin_abrasion_img/rgb_0728.png</t>
  </si>
  <si>
    <t>fabric05_thin_frction_img/rgb_0318.png</t>
  </si>
  <si>
    <t>fabric02_thin_abrasion_img/rgb_0539.png</t>
  </si>
  <si>
    <t>fabric02_thin_frction_img/rgb_0714.png</t>
  </si>
  <si>
    <t>fabric05_thin_abrasion_img/rgb_0522.png</t>
  </si>
  <si>
    <t>fabric06_thin_frction_img/rgb_0124.png</t>
  </si>
  <si>
    <t>fabric05_thin_abrasion_img/rgb_0517.png</t>
  </si>
  <si>
    <t>fabric05_thin_frction_img/rgb_0317.png</t>
  </si>
  <si>
    <t>fabric02_thin_abrasion_img/rgb_0712.png</t>
  </si>
  <si>
    <t>fabric06_thin_frction_img/rgb_0130.png</t>
  </si>
  <si>
    <t>fabric01_thin_abrasion_img/rgb_0549.png</t>
  </si>
  <si>
    <t>fabric04_thin_frction_img/rgb_0304.png</t>
  </si>
  <si>
    <t>fabric02_thin_abrasion_img/rgb_0725.png</t>
  </si>
  <si>
    <t>fabric02_thin_frction_img/rgb_0721.png</t>
  </si>
  <si>
    <t>fabric01_thin_abrasion_img/rgb_0637.png</t>
  </si>
  <si>
    <t>fabric04_thin_frction_img/rgb_0297.png</t>
  </si>
  <si>
    <t>fabric01_thin_abrasion_img/rgb_0708.png</t>
  </si>
  <si>
    <t>fabric05_thin_frction_img/rgb_0313.png</t>
  </si>
  <si>
    <t>fabric04_thin_abrasion_img/rgb_0885.png</t>
  </si>
  <si>
    <t>fabric05_thin_frction_img/rgb_0319.png</t>
  </si>
  <si>
    <t>fabric02_thin_abrasion_img/rgb_0540.png</t>
  </si>
  <si>
    <t>fabric05_thin_frction_img/rgb_0224.png</t>
  </si>
  <si>
    <t>fabric04_thin_abrasion_img/rgb_0351.png</t>
  </si>
  <si>
    <t>fabric04_thin_frction_img/rgb_0290.png</t>
  </si>
  <si>
    <t>fabric05_thin_frction_img/rgb_0302.png</t>
  </si>
  <si>
    <t>fabric02_thin_abrasion_img/rgb_0552.png</t>
  </si>
  <si>
    <t>fabric04_thin_frction_img/rgb_0294.png</t>
  </si>
  <si>
    <t>fabric02_thin_abrasion_img/rgb_0714.png</t>
  </si>
  <si>
    <t>fabric05_thin_frction_img/rgb_0304.png</t>
  </si>
  <si>
    <t>fabric02_thin_abrasion_img/rgb_0717.png</t>
  </si>
  <si>
    <t>fabric05_thin_frction_img/rgb_0226.png</t>
  </si>
  <si>
    <t>fabric05_thin_abrasion_img/rgb_0609.png</t>
  </si>
  <si>
    <t>fabric04_thin_frction_img/rgb_0198.png</t>
  </si>
  <si>
    <t>fabric04_thin_abrasion_img/rgb_0427.png</t>
  </si>
  <si>
    <t>fabric05_thin_frction_img/rgb_0315.png</t>
  </si>
  <si>
    <t>fabric04_thin_abrasion_img/rgb_0252.png</t>
  </si>
  <si>
    <t>fabric05_thin_frction_img/rgb_0217.png</t>
  </si>
  <si>
    <t>fabric02_thin_abrasion_img/rgb_0729.png</t>
  </si>
  <si>
    <t>fabric05_thin_frction_img/rgb_0220.png</t>
  </si>
  <si>
    <t>fabric04_thin_abrasion_img/rgb_0882.png</t>
  </si>
  <si>
    <t>fabric05_thin_frction_img/rgb_0311.png</t>
  </si>
  <si>
    <t>fabric04_thin_abrasion_img/rgb_0880.png</t>
  </si>
  <si>
    <t>fabric04_thin_frction_img/rgb_0298.png</t>
  </si>
  <si>
    <t>fabric02_thin_abrasion_img/rgb_0546.png</t>
  </si>
  <si>
    <t>fabric02_thin_frction_img/rgb_0718.png</t>
  </si>
  <si>
    <t>fabric02_thin_abrasion_img/rgb_0634.png</t>
  </si>
  <si>
    <t>fabric04_thin_frction_img/rgb_0292.png</t>
  </si>
  <si>
    <t>fabric01_thin_abrasion_img/rgb_0551.png</t>
  </si>
  <si>
    <t>fabric05_thin_frction_img/rgb_0228.png</t>
  </si>
  <si>
    <t>fabric05_thin_abrasion_img/rgb_0605.png</t>
  </si>
  <si>
    <t>fabric02_thin_frction_img/rgb_0716.png</t>
  </si>
  <si>
    <t>fabric01_thin_abrasion_img/rgb_0543.png</t>
  </si>
  <si>
    <t>fabric05_thin_frction_img/rgb_0309.png</t>
  </si>
  <si>
    <t>fabric05_thin_abrasion_img/rgb_0600.png</t>
  </si>
  <si>
    <t>fabric05_thin_frction_img/rgb_0574.png</t>
  </si>
  <si>
    <t>fabric02_thin_abrasion_img/rgb_0719.png</t>
  </si>
  <si>
    <t>fabric05_thin_frction_img/rgb_0301.png</t>
  </si>
  <si>
    <t>fabric04_thin_abrasion_img/rgb_0887.png</t>
  </si>
  <si>
    <t>fabric05_thin_frction_img/rgb_0305.png</t>
  </si>
  <si>
    <t>fabric02_thin_abrasion_img/rgb_0626.png</t>
  </si>
  <si>
    <t>fabric05_thin_frction_img/rgb_0231.png</t>
  </si>
  <si>
    <t>rgb_0872.png</t>
  </si>
  <si>
    <t>fabric04_thin_abrasion_img/rgb_0872.png</t>
  </si>
  <si>
    <t>fabric05_thin_frction_img/rgb_0223.png</t>
  </si>
  <si>
    <t>fabric01_thin_abrasion_img/rgb_0640.png</t>
  </si>
  <si>
    <t>fabric04_thin_frction_img/rgb_0302.png</t>
  </si>
  <si>
    <t>fabric02_thin_abrasion_img/rgb_0723.png</t>
  </si>
  <si>
    <t>fabric05_thin_frction_img/rgb_0307.png</t>
  </si>
  <si>
    <t>fabric02_thin_abrasion_img/rgb_0541.png</t>
  </si>
  <si>
    <t>fabric05_thin_frction_img/rgb_0316.png</t>
  </si>
  <si>
    <t>fabric01_thin_abrasion_img/rgb_0286.png</t>
  </si>
  <si>
    <t>fabric06_thin_frction_img/rgb_0122.png</t>
  </si>
  <si>
    <t>fabric02_thin_abrasion_img/rgb_0713.png</t>
  </si>
  <si>
    <t>fabric05_thin_frction_img/rgb_0575.png</t>
  </si>
  <si>
    <t>fabric05_thin_abrasion_img/rgb_0616.png</t>
  </si>
  <si>
    <t>fabric01_thin_frction_img/rgb_0326.png</t>
  </si>
  <si>
    <t>fabric01_thin_abrasion_img/rgb_0626.png</t>
  </si>
  <si>
    <t>fabric04_thin_frction_img/rgb_0300.png</t>
  </si>
  <si>
    <t>fabric05_thin_abrasion_img/rgb_0509.png</t>
  </si>
  <si>
    <t>fabric05_thin_frction_img/rgb_0227.png</t>
  </si>
  <si>
    <t>fabric02_thin_abrasion_img/rgb_0538.png</t>
  </si>
  <si>
    <t>fabric04_thin_frction_img/rgb_0293.png</t>
  </si>
  <si>
    <t>fabric05_thin_abrasion_img/rgb_0599.png</t>
  </si>
  <si>
    <t>fabric02_thin_frction_img/rgb_0273.png</t>
  </si>
  <si>
    <t>fabric05_thin_abrasion_img/rgb_0615.png</t>
  </si>
  <si>
    <t>fabric02_thin_frction_img/rgb_0285.png</t>
  </si>
  <si>
    <t>fabric05_thin_abrasion_img/rgb_0521.png</t>
  </si>
  <si>
    <t>fabric02_thin_frction_img/rgb_0276.png</t>
  </si>
  <si>
    <t>fabric04_thin_abrasion_img/rgb_0360.png</t>
  </si>
  <si>
    <t>fabric02_thin_frction_img/rgb_0286.png</t>
  </si>
  <si>
    <t>fabric05_thin_abrasion_img/rgb_0611.png</t>
  </si>
  <si>
    <t>fabric02_thin_frction_img/rgb_0271.png</t>
  </si>
  <si>
    <t>fabric05_thin_abrasion_img/rgb_0607.png</t>
  </si>
  <si>
    <t>fabric02_thin_frction_img/rgb_0270.png</t>
  </si>
  <si>
    <t>rgb_0870.png</t>
  </si>
  <si>
    <t>fabric04_thin_abrasion_img/rgb_0870.png</t>
  </si>
  <si>
    <t>fabric02_thin_frction_img/rgb_0281.png</t>
  </si>
  <si>
    <t>fabric04_thin_abrasion_img/rgb_0884.png</t>
  </si>
  <si>
    <t>fabric02_thin_frction_img/rgb_0268.png</t>
  </si>
  <si>
    <t>fabric05_thin_abrasion_img/rgb_0523.png</t>
  </si>
  <si>
    <t>fabric02_thin_frction_img/rgb_0283.png</t>
  </si>
  <si>
    <t>fabric04_thin_abrasion_img/rgb_0883.png</t>
  </si>
  <si>
    <t>fabric02_thin_frction_img/rgb_0279.png</t>
  </si>
  <si>
    <t>fabric01_thin_abrasion_img/rgb_0542.png</t>
  </si>
  <si>
    <t>fabric05_thin_frction_img/rgb_0308.png</t>
  </si>
  <si>
    <t>fabric04_thin_abrasion_img/rgb_0886.png</t>
  </si>
  <si>
    <t>fabric02_thin_frction_img/rgb_0269.png</t>
  </si>
  <si>
    <t>fabric04_thin_abrasion_img/rgb_0879.png</t>
  </si>
  <si>
    <t>fabric02_thin_frction_img/rgb_0284.png</t>
  </si>
  <si>
    <t>fabric04_thin_abrasion_img/rgb_0889.png</t>
  </si>
  <si>
    <t>fabric02_thin_frction_img/rgb_0275.png</t>
  </si>
  <si>
    <t>fabric02_thin_abrasion_img/rgb_0624.png</t>
  </si>
  <si>
    <t>fabric02_thin_frction_img/rgb_0280.png</t>
  </si>
  <si>
    <t>rgb_0875.png</t>
  </si>
  <si>
    <t>fabric04_thin_abrasion_img/rgb_0875.png</t>
  </si>
  <si>
    <t>fabric01_thin_frction_img/rgb_0519.png</t>
  </si>
  <si>
    <t>rgb_0878.png</t>
  </si>
  <si>
    <t>fabric04_thin_abrasion_img/rgb_0878.png</t>
  </si>
  <si>
    <t>fabric02_thin_frction_img/rgb_0735.png</t>
  </si>
  <si>
    <t>fabric04_thin_abrasion_img/rgb_0881.png</t>
  </si>
  <si>
    <t>fabric05_thin_frction_img/rgb_0306.png</t>
  </si>
  <si>
    <t>rgb_0877.png</t>
  </si>
  <si>
    <t>fabric04_thin_abrasion_img/rgb_0877.png</t>
  </si>
  <si>
    <t>fabric05_thin_frction_img/rgb_0221.png</t>
  </si>
  <si>
    <t>rgb_0871.png</t>
  </si>
  <si>
    <t>fabric04_thin_abrasion_img/rgb_0871.png</t>
  </si>
  <si>
    <t>fabric03_thin_frction_img/rgb_0175.png</t>
  </si>
  <si>
    <t>fabric05_thin_abrasion_img/rgb_0507.png</t>
  </si>
  <si>
    <t>fabric05_thin_frction_img/rgb_0662.png</t>
  </si>
  <si>
    <t>rgb_0873.png</t>
  </si>
  <si>
    <t>fabric04_thin_abrasion_img/rgb_0873.png</t>
  </si>
  <si>
    <t>fabric04_thin_frction_img/rgb_0295.png</t>
  </si>
  <si>
    <t>fabric02_thin_abrasion_img/rgb_0640.png</t>
  </si>
  <si>
    <t>fabric05_thin_frction_img/rgb_0670.png</t>
  </si>
  <si>
    <t>rgb_0681.png</t>
  </si>
  <si>
    <t>fabric05_thin_frction_img/rgb_0681.png</t>
  </si>
  <si>
    <t>fabric05_thin_abrasion_img/rgb_0603.png</t>
  </si>
  <si>
    <t>fabric02_thin_frction_img/rgb_0802.png</t>
  </si>
  <si>
    <t>fabric04_thin_abrasion_img/rgb_0888.png</t>
  </si>
  <si>
    <t>fabric05_thin_frction_img/rgb_0665.png</t>
  </si>
  <si>
    <t>rgb_0874.png</t>
  </si>
  <si>
    <t>fabric04_thin_abrasion_img/rgb_0874.png</t>
  </si>
  <si>
    <t>fabric05_thin_frction_img/rgb_0303.png</t>
  </si>
  <si>
    <t>fabric02_thin_abrasion_img/rgb_0621.png</t>
  </si>
  <si>
    <t>fabric05_thin_frction_img/rgb_0663.png</t>
  </si>
  <si>
    <t>rgb_0590.png</t>
  </si>
  <si>
    <t>fabric05_thin_frction_img/rgb_0590.png</t>
  </si>
  <si>
    <t>rgb_0876.png</t>
  </si>
  <si>
    <t>fabric04_thin_abrasion_img/rgb_0876.png</t>
  </si>
  <si>
    <t>rgb_0588.png</t>
  </si>
  <si>
    <t>fabric05_thin_frction_img/rgb_0588.png</t>
  </si>
  <si>
    <t>fabric05_thin_frction_img/rgb_0583.png</t>
  </si>
  <si>
    <t>fabric02_thin_abrasion_img/rgb_0730.png</t>
  </si>
  <si>
    <t>rgb_0677.png</t>
  </si>
  <si>
    <t>fabric05_thin_frction_img/rgb_0677.png</t>
  </si>
  <si>
    <t>fabric05_thin_abrasion_img/rgb_0612.png</t>
  </si>
  <si>
    <t>fabric05_thin_frction_img/rgb_0578.png</t>
  </si>
  <si>
    <t>fabric02_thin_abrasion_img/rgb_0639.png</t>
  </si>
  <si>
    <t>fabric05_thin_frction_img/rgb_0580.png</t>
  </si>
  <si>
    <t>fabric01_thin_frction_img/rgb_0775.png</t>
  </si>
  <si>
    <t>fabric05_thin_abrasion_img/rgb_0604.png</t>
  </si>
  <si>
    <t>fabric05_thin_frction_img/rgb_0666.png</t>
  </si>
  <si>
    <t>fabric02_thin_abrasion_img/rgb_0628.png</t>
  </si>
  <si>
    <t>fabric05_thin_frction_img/rgb_0572.png</t>
  </si>
  <si>
    <t>fabric02_thin_abrasion_img/rgb_0627.png</t>
  </si>
  <si>
    <t>fabric05_thin_frction_img/rgb_0584.png</t>
  </si>
  <si>
    <t>fabric04_thin_abrasion_img/rgb_0340.png</t>
  </si>
  <si>
    <t>fabric01_thin_frction_img/rgb_0236.png</t>
  </si>
  <si>
    <t>fabric05_thin_frction_img/rgb_0585.png</t>
  </si>
  <si>
    <t>fabric02_thin_abrasion_img/rgb_0642.png</t>
  </si>
  <si>
    <t>fabric05_thin_frction_img/rgb_0573.png</t>
  </si>
  <si>
    <t>fabric05_thin_abrasion_img/rgb_0527.png</t>
  </si>
  <si>
    <t>fabric05_thin_frction_img/rgb_0672.png</t>
  </si>
  <si>
    <t>fabric02_thin_frction_img/rgb_0176.png</t>
  </si>
  <si>
    <t>fabric06_thin_frction_img/rgb_0136.png</t>
  </si>
  <si>
    <t>fabric02_thin_abrasion_img/rgb_0633.png</t>
  </si>
  <si>
    <t>fabric02_thin_frction_img/rgb_0265.png</t>
  </si>
  <si>
    <t>fabric02_thin_abrasion_img/rgb_0623.png</t>
  </si>
  <si>
    <t>fabric05_thin_frction_img/rgb_0571.png</t>
  </si>
  <si>
    <t>fabric02_thin_abrasion_img/rgb_0629.png</t>
  </si>
  <si>
    <t>fabric05_thin_frction_img/rgb_0582.png</t>
  </si>
  <si>
    <t>rgb_0675.png</t>
  </si>
  <si>
    <t>fabric05_thin_frction_img/rgb_0675.png</t>
  </si>
  <si>
    <t>fabric02_thin_abrasion_img/rgb_0637.png</t>
  </si>
  <si>
    <t>fabric05_thin_frction_img/rgb_0664.png</t>
  </si>
  <si>
    <t>fabric02_thin_abrasion_img/rgb_0641.png</t>
  </si>
  <si>
    <t>fabric05_thin_frction_img/rgb_0577.png</t>
  </si>
  <si>
    <t>fabric02_thin_abrasion_img/rgb_0632.png</t>
  </si>
  <si>
    <t>fabric05_thin_frction_img/rgb_0659.png</t>
  </si>
  <si>
    <t>fabric02_thin_abrasion_img/rgb_0625.png</t>
  </si>
  <si>
    <t>fabric05_thin_frction_img/rgb_0213.png</t>
  </si>
  <si>
    <t>fabric05_thin_frction_img/rgb_0576.png</t>
  </si>
  <si>
    <t>fabric02_thin_abrasion_img/rgb_0631.png</t>
  </si>
  <si>
    <t>rgb_0586.png</t>
  </si>
  <si>
    <t>fabric05_thin_frction_img/rgb_0586.png</t>
  </si>
  <si>
    <t>fabric02_thin_abrasion_img/rgb_0635.png</t>
  </si>
  <si>
    <t>fabric05_thin_frction_img/rgb_0299.png</t>
  </si>
  <si>
    <t>fabric02_thin_abrasion_img/rgb_0630.png</t>
  </si>
  <si>
    <t>rgb_0680.png</t>
  </si>
  <si>
    <t>fabric05_thin_frction_img/rgb_0680.png</t>
  </si>
  <si>
    <t>fabric05_thin_frction_img/rgb_0660.png</t>
  </si>
  <si>
    <t>fabric02_thin_abrasion_img/rgb_0638.png</t>
  </si>
  <si>
    <t>fabric01_thin_frction_img/rgb_0516.png</t>
  </si>
  <si>
    <t>fabric01_thin_abrasion_img/rgb_0263.png</t>
  </si>
  <si>
    <t>fabric01_thin_frction_img/rgb_0501.png</t>
  </si>
  <si>
    <t>fabric02_thin_abrasion_img/rgb_0636.png</t>
  </si>
  <si>
    <t>fabric01_thin_frction_img/rgb_0512.png</t>
  </si>
  <si>
    <t>fabric05_thin_frction_img/rgb_0661.png</t>
  </si>
  <si>
    <t>fabric02_thin_abrasion_img/rgb_0622.png</t>
  </si>
  <si>
    <t>rgb_0678.png</t>
  </si>
  <si>
    <t>fabric05_thin_frction_img/rgb_0678.png</t>
  </si>
  <si>
    <t>fabric04_thin_abrasion_img/rgb_0425.png</t>
  </si>
  <si>
    <t>fabric04_thin_frction_img/rgb_0287.png</t>
  </si>
  <si>
    <t>fabric04_thin_abrasion_img/rgb_0426.png</t>
  </si>
  <si>
    <t>rgb_0676.png</t>
  </si>
  <si>
    <t>rgb_0869.png</t>
  </si>
  <si>
    <t>fabric05_thin_frction_img/rgb_0676.png</t>
  </si>
  <si>
    <t>fabric04_thin_abrasion_img/rgb_0869.png</t>
  </si>
  <si>
    <t>rgb_0679.png</t>
  </si>
  <si>
    <t>fabric05_thin_frction_img/rgb_0679.png</t>
  </si>
  <si>
    <t>fabric05_thin_frction_img/rgb_0669.png</t>
  </si>
  <si>
    <t>fabric01_thin_abrasion_img/rgb_0172.png</t>
  </si>
  <si>
    <t>fabric05_thin_frction_img/rgb_0673.png</t>
  </si>
  <si>
    <t>fabric01_thin_abrasion_img/rgb_0440.png</t>
  </si>
  <si>
    <t>fabric05_thin_frction_img/rgb_0667.png</t>
  </si>
  <si>
    <t>fabric01_thin_frction_img/rgb_0505.png</t>
  </si>
  <si>
    <t>fabric01_thin_frction_img/rgb_0257.png</t>
  </si>
  <si>
    <t>fabric05_thin_frction_img/rgb_0298.png</t>
  </si>
  <si>
    <t>fabric05_thin_frction_img/rgb_0674.png</t>
  </si>
  <si>
    <t>fabric05_thin_frction_img/rgb_0668.png</t>
  </si>
  <si>
    <t>fabric05_thin_frction_img/rgb_0671.png</t>
  </si>
  <si>
    <t>fabric02_thin_frction_img/rgb_0177.png</t>
  </si>
  <si>
    <t>fabric02_thin_frction_img/rgb_0186.png</t>
  </si>
  <si>
    <t>fabric02_thin_frction_img/rgb_0195.png</t>
  </si>
  <si>
    <t>fabric02_thin_frction_img/rgb_0189.png</t>
  </si>
  <si>
    <t>fabric01_thin_frction_img/rgb_0520.png</t>
  </si>
  <si>
    <t>fabric02_thin_frction_img/rgb_0194.png</t>
  </si>
  <si>
    <t>fabric02_thin_frction_img/rgb_0178.png</t>
  </si>
  <si>
    <t>fabric01_thin_frction_img/rgb_0161.png</t>
  </si>
  <si>
    <t>fabric01_thin_frction_img/rgb_0522.png</t>
  </si>
  <si>
    <t>fabric01_thin_frction_img/rgb_0246.png</t>
  </si>
  <si>
    <t>fabric02_thin_frction_img/rgb_0104.png</t>
  </si>
  <si>
    <t>fabric01_thin_frction_img/rgb_0239.png</t>
  </si>
  <si>
    <t>fabric01_thin_frction_img/rgb_0248.png</t>
  </si>
  <si>
    <t>fabric01_thin_frction_img/rgb_0252.png</t>
  </si>
  <si>
    <t>fabric01_thin_frction_img/rgb_0238.png</t>
  </si>
  <si>
    <t>fabric02_thin_frction_img/rgb_0088.png</t>
  </si>
  <si>
    <t>fabric02_thin_frction_img/rgb_0180.png</t>
  </si>
  <si>
    <t>fabric02_thin_frction_img/rgb_0196.png</t>
  </si>
  <si>
    <t>fabric02_thin_frction_img/rgb_0181.png</t>
  </si>
  <si>
    <t>fabric02_thin_frction_img/rgb_0187.png</t>
  </si>
  <si>
    <t>fabric02_thin_frction_img/rgb_0096.png</t>
  </si>
  <si>
    <t>fabric02_thin_frction_img/rgb_0094.png</t>
  </si>
  <si>
    <t>fabric02_thin_frction_img/rgb_0103.png</t>
  </si>
  <si>
    <t>fabric01_thin_frction_img/rgb_0158.png</t>
  </si>
  <si>
    <t>fabric02_thin_frction_img/rgb_0192.png</t>
  </si>
  <si>
    <t>fabric02_thin_frction_img/rgb_0179.png</t>
  </si>
  <si>
    <t>fabric02_thin_frction_img/rgb_0188.png</t>
  </si>
  <si>
    <t>fabric02_thin_frction_img/rgb_0106.png</t>
  </si>
  <si>
    <t>fabric02_thin_frction_img/rgb_0193.png</t>
  </si>
  <si>
    <t>fabric02_thin_frction_img/rgb_0184.png</t>
  </si>
  <si>
    <t>fabric02_thin_frction_img/rgb_0185.png</t>
  </si>
  <si>
    <t>fabric02_thin_frction_img/rgb_0092.png</t>
  </si>
  <si>
    <t>fabric01_thin_frction_img/rgb_0255.png</t>
  </si>
  <si>
    <t>fabric02_thin_frction_img/rgb_0090.png</t>
  </si>
  <si>
    <t>fabric02_thin_frction_img/rgb_0190.png</t>
  </si>
  <si>
    <t>fabric02_thin_frction_img/rgb_0183.png</t>
  </si>
  <si>
    <t>fabric02_thin_frction_img/rgb_0191.png</t>
  </si>
  <si>
    <t>fabric02_thin_frction_img/rgb_0107.png</t>
  </si>
  <si>
    <t>fabric02_thin_frction_img/rgb_0182.png</t>
  </si>
  <si>
    <t>fabric01_thin_frction_img/rgb_0240.png</t>
  </si>
  <si>
    <t>fabric02_thin_frction_img/rgb_0175.png</t>
  </si>
  <si>
    <t>fabric01_thin_frction_img/rgb_0247.png</t>
  </si>
  <si>
    <t>fabric01_thin_frction_img/rgb_0165.png</t>
  </si>
  <si>
    <t>fabric01_thin_frction_img/rgb_0155.png</t>
  </si>
  <si>
    <t>fabric01_thin_frction_img/rgb_0164.png</t>
  </si>
  <si>
    <t>fabric01_thin_frction_img/rgb_0156.png</t>
  </si>
  <si>
    <t>fabric02_thin_frction_img/rgb_0105.png</t>
  </si>
  <si>
    <t>fabric02_thin_frction_img/rgb_0099.png</t>
  </si>
  <si>
    <t>fabric02_thin_frction_img/rgb_0091.png</t>
  </si>
  <si>
    <t>fabric02_thin_frction_img/rgb_0108.png</t>
  </si>
  <si>
    <t>fabric02_thin_frction_img/rgb_0100.png</t>
  </si>
  <si>
    <t>fabric01_thin_frction_img/rgb_0237.png</t>
  </si>
  <si>
    <t>fabric01_thin_frction_img/rgb_0254.png</t>
  </si>
  <si>
    <t>fabric01_thin_frction_img/rgb_0244.png</t>
  </si>
  <si>
    <t>fabric01_thin_frction_img/rgb_0249.png</t>
  </si>
  <si>
    <t>fabric05_thin_frction_img/rgb_0145.png</t>
  </si>
  <si>
    <t>fabric01_thin_frction_img/rgb_0251.png</t>
  </si>
  <si>
    <t>fabric01_thin_frction_img/rgb_0243.png</t>
  </si>
  <si>
    <t>fabric01_thin_frction_img/rgb_0163.png</t>
  </si>
  <si>
    <t>fabric02_thin_frction_img/rgb_0089.png</t>
  </si>
  <si>
    <t>fabric01_thin_frction_img/rgb_0256.png</t>
  </si>
  <si>
    <t>fabric02_thin_frction_img/rgb_0087.png</t>
  </si>
  <si>
    <t>fabric01_thin_frction_img/rgb_0500.png</t>
  </si>
  <si>
    <t>fabric01_thin_frction_img/rgb_0242.png</t>
  </si>
  <si>
    <t>fabric01_thin_frction_img/rgb_0253.png</t>
  </si>
  <si>
    <t>fabric01_thin_frction_img/rgb_0150.png</t>
  </si>
  <si>
    <t>fabric02_thin_frction_img/rgb_0095.png</t>
  </si>
  <si>
    <t>fabric01_thin_frction_img/rgb_0166.png</t>
  </si>
  <si>
    <t>fabric02_thin_frction_img/rgb_0101.png</t>
  </si>
  <si>
    <t>fabric02_thin_frction_img/rgb_0098.png</t>
  </si>
  <si>
    <t>fabric01_thin_frction_img/rgb_0245.png</t>
  </si>
  <si>
    <t>fabric02_thin_frction_img/rgb_0093.png</t>
  </si>
  <si>
    <t>fabric02_thin_frction_img/rgb_0097.png</t>
  </si>
  <si>
    <t>fabric02_thin_frction_img/rgb_0102.png</t>
  </si>
  <si>
    <t>fabric01_thin_frction_img/rgb_0160.png</t>
  </si>
  <si>
    <t>fabric01_thin_frction_img/rgb_0157.png</t>
  </si>
  <si>
    <t>fabric01_thin_frction_img/rgb_0159.png</t>
  </si>
  <si>
    <t>fabric01_thin_frction_img/rgb_0148.png</t>
  </si>
  <si>
    <t>fabric01_thin_frction_img/rgb_0250.png</t>
  </si>
  <si>
    <t>fabric01_thin_frction_img/rgb_0153.png</t>
  </si>
  <si>
    <t>fabric01_thin_frction_img/rgb_0167.png</t>
  </si>
  <si>
    <t>fabric01_thin_frction_img/rgb_0149.png</t>
  </si>
  <si>
    <t>fabric05_thin_frction_img/rgb_0123.png</t>
  </si>
  <si>
    <t>fabric01_thin_frction_img/rgb_0151.png</t>
  </si>
  <si>
    <t>fabric01_thin_frction_img/rgb_0152.png</t>
  </si>
  <si>
    <t>fabric01_thin_frction_img/rgb_0241.png</t>
  </si>
  <si>
    <t>fabric01_thin_frction_img/rgb_0162.png</t>
  </si>
  <si>
    <t>fabric05_thin_frction_img/rgb_0131.png</t>
  </si>
  <si>
    <t>fabric01_thin_frction_img/rgb_0154.png</t>
  </si>
  <si>
    <t>fabric05_thin_frction_img/rgb_0212.png</t>
  </si>
  <si>
    <t>fabric05_thin_frction_img/rgb_0144.png</t>
  </si>
  <si>
    <t>fabric05_thin_frction_img/rgb_0135.png</t>
  </si>
  <si>
    <t>fabric05_thin_frction_img/rgb_0233.png</t>
  </si>
  <si>
    <t>fabric05_thin_frction_img/rgb_0141.png</t>
  </si>
  <si>
    <t>fabric05_thin_frction_img/rgb_0140.png</t>
  </si>
  <si>
    <t>fabric05_thin_frction_img/rgb_0143.png</t>
  </si>
  <si>
    <t>fabric05_thin_frction_img/rgb_0134.png</t>
  </si>
  <si>
    <t>fabric05_thin_frction_img/rgb_0142.png</t>
  </si>
  <si>
    <t>fabric05_thin_frction_img/rgb_0136.png</t>
  </si>
  <si>
    <t>fabric05_thin_frction_img/rgb_0137.png</t>
  </si>
  <si>
    <t>fabric05_thin_frction_img/rgb_0124.png</t>
  </si>
  <si>
    <t>fabric05_thin_frction_img/rgb_0130.png</t>
  </si>
  <si>
    <t>fabric05_thin_frction_img/rgb_0133.png</t>
  </si>
  <si>
    <t>fabric05_thin_frction_img/rgb_0139.png</t>
  </si>
  <si>
    <t>fabric05_thin_frction_img/rgb_0129.png</t>
  </si>
  <si>
    <t>fabric05_thin_frction_img/rgb_0128.png</t>
  </si>
  <si>
    <t>fabric05_thin_frction_img/rgb_0132.png</t>
  </si>
  <si>
    <t>fabric05_thin_frction_img/rgb_0138.png</t>
  </si>
  <si>
    <t>fabric05_thin_frction_img/rgb_0127.png</t>
  </si>
  <si>
    <t>fabric05_thin_frction_img/rgb_0125.png</t>
  </si>
  <si>
    <t>fabric05_thin_frction_img/rgb_0122.png</t>
  </si>
  <si>
    <t>fabric01_thin_frction_img/rgb_0168.png</t>
  </si>
  <si>
    <t>fabric01_thin_frction_img/rgb_0169.png</t>
  </si>
  <si>
    <t>fabric05_thin_frction_img/rgb_0126.png</t>
  </si>
  <si>
    <t>fabric05_thin_frction_img/rgb_0121.png</t>
  </si>
  <si>
    <t>fabric02_thin_frction_img/rgb_0109.png</t>
  </si>
  <si>
    <t>fabric01_thin_frction_img/rgb_0147.png</t>
  </si>
  <si>
    <t>fabric04_thin_frction_img/rgb_0554.png</t>
  </si>
  <si>
    <t>fabric04_thin_frction_img/rgb_0559.png</t>
  </si>
  <si>
    <t>fabric04_thin_frction_img/rgb_0572.png</t>
  </si>
  <si>
    <t>fabric04_thin_frction_img/rgb_0567.png</t>
  </si>
  <si>
    <t>fabric04_thin_frction_img/rgb_0568.png</t>
  </si>
  <si>
    <t>fabric04_thin_frction_img/rgb_0565.png</t>
  </si>
  <si>
    <t>fabric04_thin_frction_img/rgb_0573.png</t>
  </si>
  <si>
    <t>fabric04_thin_frction_img/rgb_0555.png</t>
  </si>
  <si>
    <t>fabric04_thin_frction_img/rgb_0560.png</t>
  </si>
  <si>
    <t>fabric04_thin_frction_img/rgb_0570.png</t>
  </si>
  <si>
    <t>fabric04_thin_frction_img/rgb_0562.png</t>
  </si>
  <si>
    <t>fabric04_thin_frction_img/rgb_0557.png</t>
  </si>
  <si>
    <t>fabric04_thin_frction_img/rgb_0561.png</t>
  </si>
  <si>
    <t>fabric04_thin_frction_img/rgb_0558.png</t>
  </si>
  <si>
    <t>fabric04_thin_frction_img/rgb_0566.png</t>
  </si>
  <si>
    <t>fabric04_thin_frction_img/rgb_0647.png</t>
  </si>
  <si>
    <t>fabric04_thin_frction_img/rgb_0556.png</t>
  </si>
  <si>
    <t>fabric04_thin_frction_img/rgb_0574.png</t>
  </si>
  <si>
    <t>fabric04_thin_frction_img/rgb_0575.png</t>
  </si>
  <si>
    <t>fabric04_thin_frction_img/rgb_0571.png</t>
  </si>
  <si>
    <t>fabric04_thin_frction_img/rgb_0569.png</t>
  </si>
  <si>
    <t>fabric04_thin_frction_img/rgb_0563.png</t>
  </si>
  <si>
    <t>fabric04_thin_frction_img/rgb_0662.png</t>
  </si>
  <si>
    <t>fabric04_thin_frction_img/rgb_0564.png</t>
  </si>
  <si>
    <t>fabric04_thin_frction_img/rgb_0648.png</t>
  </si>
  <si>
    <t>fabric04_thin_frction_img/rgb_0661.png</t>
  </si>
  <si>
    <t>fabric04_thin_frction_img/rgb_0658.png</t>
  </si>
  <si>
    <t>fabric04_thin_frction_img/rgb_0659.png</t>
  </si>
  <si>
    <t>fabric04_thin_frction_img/rgb_0660.png</t>
  </si>
  <si>
    <t>fabric04_thin_frction_img/rgb_0643.png</t>
  </si>
  <si>
    <t>fabric04_thin_frction_img/rgb_0651.png</t>
  </si>
  <si>
    <t>fabric04_thin_frction_img/rgb_0652.png</t>
  </si>
  <si>
    <t>fabric04_thin_frction_img/rgb_0653.png</t>
  </si>
  <si>
    <t>fabric04_thin_frction_img/rgb_0654.png</t>
  </si>
  <si>
    <t>fabric04_thin_frction_img/rgb_0656.png</t>
  </si>
  <si>
    <t>fabric04_thin_frction_img/rgb_0657.png</t>
  </si>
  <si>
    <t>fabric04_thin_frction_img/rgb_0649.png</t>
  </si>
  <si>
    <t>fabric04_thin_frction_img/rgb_0650.png</t>
  </si>
  <si>
    <t>fabric04_thin_frction_img/rgb_0645.png</t>
  </si>
  <si>
    <t>fabric04_thin_frction_img/rgb_0665.png</t>
  </si>
  <si>
    <t>fabric04_thin_frction_img/rgb_0663.png</t>
  </si>
  <si>
    <t>fabric04_thin_frction_img/rgb_0664.png</t>
  </si>
  <si>
    <t>fabric04_thin_frction_img/rgb_0646.png</t>
  </si>
  <si>
    <t>fabric04_thin_frction_img/rgb_0644.png</t>
  </si>
  <si>
    <t>fabric04_thin_frction_img/rgb_0655.png</t>
  </si>
  <si>
    <t>fabric02_thin_frction_img/rgb_0174.png</t>
  </si>
  <si>
    <t>fabric04_thin_frction_img/rgb_0109.png</t>
  </si>
  <si>
    <t>fabric04_thin_frction_img/rgb_0123.png</t>
  </si>
  <si>
    <t>fabric04_thin_frction_img/rgb_0115.png</t>
  </si>
  <si>
    <t>fabric04_thin_frction_img/rgb_0112.png</t>
  </si>
  <si>
    <t>fabric04_thin_frction_img/rgb_0120.png</t>
  </si>
  <si>
    <t>fabric04_thin_frction_img/rgb_0114.png</t>
  </si>
  <si>
    <t>fabric04_thin_frction_img/rgb_0130.png</t>
  </si>
  <si>
    <t>fabric04_thin_frction_img/rgb_0127.png</t>
  </si>
  <si>
    <t>fabric04_thin_frction_img/rgb_0129.png</t>
  </si>
  <si>
    <t>fabric04_thin_frction_img/rgb_0128.png</t>
  </si>
  <si>
    <t>fabric04_thin_frction_img/rgb_0110.png</t>
  </si>
  <si>
    <t>fabric04_thin_frction_img/rgb_0116.png</t>
  </si>
  <si>
    <t>fabric04_thin_frction_img/rgb_0125.png</t>
  </si>
  <si>
    <t>fabric04_thin_frction_img/rgb_0122.png</t>
  </si>
  <si>
    <t>fabric04_thin_frction_img/rgb_0121.png</t>
  </si>
  <si>
    <t>fabric04_thin_frction_img/rgb_0126.png</t>
  </si>
  <si>
    <t>fabric04_thin_frction_img/rgb_0111.png</t>
  </si>
  <si>
    <t>fabric04_thin_frction_img/rgb_0119.png</t>
  </si>
  <si>
    <t>fabric04_thin_frction_img/rgb_0117.png</t>
  </si>
  <si>
    <t>fabric04_thin_frction_img/rgb_0118.png</t>
  </si>
  <si>
    <t>fabric04_thin_frction_img/rgb_0113.png</t>
  </si>
  <si>
    <t>fabric04_thin_frction_img/rgb_0124.png</t>
  </si>
  <si>
    <t>fabric04_thin_frction_img/rgb_0221.png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</si>
</sst>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vertical="top"/>
    </xf>
    <xf borderId="6" fillId="0" fontId="1" numFmtId="0" xfId="0" applyAlignment="1" applyBorder="1" applyFont="1">
      <alignment horizontal="center" vertical="top"/>
    </xf>
    <xf borderId="7" fillId="0" fontId="1" numFmtId="0" xfId="0" applyAlignment="1" applyBorder="1" applyFont="1">
      <alignment horizontal="center" vertical="top"/>
    </xf>
    <xf borderId="8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9" fillId="2" fontId="3" numFmtId="0" xfId="0" applyBorder="1" applyFill="1" applyFont="1"/>
    <xf borderId="0" fillId="0" fontId="1" numFmtId="0" xfId="0" applyAlignment="1" applyFont="1">
      <alignment horizontal="center" readingOrder="0" shrinkToFit="0" vertical="top" wrapText="0"/>
    </xf>
    <xf borderId="0" fillId="2" fontId="3" numFmtId="0" xfId="0" applyFill="1" applyFont="1"/>
    <xf borderId="10" fillId="2" fontId="3" numFmtId="0" xfId="0" applyBorder="1" applyFill="1" applyFont="1"/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3" fontId="1" numFmtId="0" xfId="0" applyAlignment="1" applyBorder="1" applyFill="1" applyFont="1">
      <alignment horizontal="center" vertical="top"/>
    </xf>
    <xf borderId="9" fillId="3" fontId="3" numFmtId="0" xfId="0" applyBorder="1" applyFill="1" applyFont="1"/>
    <xf borderId="0" fillId="3" fontId="3" numFmtId="0" xfId="0" applyFill="1" applyFont="1"/>
    <xf borderId="10" fillId="3" fontId="3" numFmtId="0" xfId="0" applyBorder="1" applyFill="1" applyFont="1"/>
    <xf borderId="1" fillId="4" fontId="1" numFmtId="0" xfId="0" applyAlignment="1" applyBorder="1" applyFill="1" applyFont="1">
      <alignment horizontal="center" vertical="top"/>
    </xf>
    <xf borderId="9" fillId="4" fontId="3" numFmtId="0" xfId="0" applyBorder="1" applyFill="1" applyFont="1"/>
    <xf borderId="0" fillId="4" fontId="3" numFmtId="0" xfId="0" applyFill="1" applyFont="1"/>
    <xf borderId="10" fillId="4" fontId="3" numFmtId="0" xfId="0" applyBorder="1" applyFill="1" applyFont="1"/>
    <xf borderId="1" fillId="5" fontId="1" numFmtId="0" xfId="0" applyAlignment="1" applyBorder="1" applyFill="1" applyFont="1">
      <alignment horizontal="center" vertical="top"/>
    </xf>
    <xf borderId="11" fillId="5" fontId="3" numFmtId="0" xfId="0" applyBorder="1" applyFill="1" applyFont="1"/>
    <xf borderId="12" fillId="5" fontId="3" numFmtId="0" xfId="0" applyBorder="1" applyFill="1" applyFont="1"/>
    <xf borderId="13" fillId="5" fontId="3" numFmtId="0" xfId="0" applyBorder="1" applyFill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E6A5A5"/>
          <bgColor rgb="FFE6A5A5"/>
        </patternFill>
      </fill>
      <border/>
    </dxf>
    <dxf>
      <font/>
      <fill>
        <patternFill patternType="solid">
          <fgColor rgb="FF9E77A6"/>
          <bgColor rgb="FF9E77A6"/>
        </patternFill>
      </fill>
      <border/>
    </dxf>
    <dxf>
      <font/>
      <fill>
        <patternFill patternType="solid">
          <fgColor rgb="FF7097AD"/>
          <bgColor rgb="FF7097A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E77A6"/>
        </left>
        <right style="thin">
          <color rgb="FF9E77A6"/>
        </right>
        <top style="thin">
          <color rgb="FF9E77A6"/>
        </top>
        <bottom style="thin">
          <color rgb="FF9E77A6"/>
        </bottom>
      </border>
    </dxf>
    <dxf>
      <font/>
      <fill>
        <patternFill patternType="solid">
          <fgColor rgb="FF85A25E"/>
          <bgColor rgb="FF85A25E"/>
        </patternFill>
      </fill>
      <border/>
    </dxf>
  </dxfs>
  <tableStyles count="4">
    <tableStyle count="4" pivot="0" name="Material loss - Holes-style">
      <tableStyleElement dxfId="2" type="headerRow"/>
      <tableStyleElement dxfId="4" type="firstRowStripe"/>
      <tableStyleElement dxfId="5" type="secondRowStripe"/>
      <tableStyleElement dxfId="6" size="0" type="wholeTable"/>
    </tableStyle>
    <tableStyle count="4" pivot="0" name="Scratch-Friction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Crack-style">
      <tableStyleElement dxfId="1" type="headerRow"/>
      <tableStyleElement dxfId="4" type="firstRowStripe"/>
      <tableStyleElement dxfId="5" type="secondRowStripe"/>
      <tableStyleElement dxfId="6" size="0" type="wholeTable"/>
    </tableStyle>
    <tableStyle count="4" pivot="0" name="Scratch-Abrasion-style">
      <tableStyleElement dxfId="7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980" displayName="crack" name="crack" id="1">
  <tableColumns count="13">
    <tableColumn name="filename" id="1"/>
    <tableColumn name="relative_path" id="2"/>
    <tableColumn name="class_id" id="3"/>
    <tableColumn name="class_name" id="4"/>
    <tableColumn name="confidence" id="5"/>
    <tableColumn name="area_mm2" id="6"/>
    <tableColumn name="perimeter_mm" id="7"/>
    <tableColumn name="eccentricity" id="8"/>
    <tableColumn name="compactation" id="9"/>
    <tableColumn name="glcm_homogeneity" id="10"/>
    <tableColumn name="glcm_energy" id="11"/>
    <tableColumn name="glcm_entropy" id="12"/>
    <tableColumn name="source_file" id="13"/>
  </tableColumns>
  <tableStyleInfo name="Crack-style" showColumnStripes="0" showFirstColumn="1" showLastColumn="1" showRowStripes="1"/>
</table>
</file>

<file path=xl/tables/table2.xml><?xml version="1.0" encoding="utf-8"?>
<table xmlns="http://schemas.openxmlformats.org/spreadsheetml/2006/main" ref="A1:M213" displayName="holes" name="holes" id="2">
  <tableColumns count="13">
    <tableColumn name="filename" id="1"/>
    <tableColumn name="relative_path" id="2"/>
    <tableColumn name="class_id" id="3"/>
    <tableColumn name="class_name" id="4"/>
    <tableColumn name="confidence" id="5"/>
    <tableColumn name="area_mm2" id="6"/>
    <tableColumn name="perimeter_mm" id="7"/>
    <tableColumn name="eccentricity" id="8"/>
    <tableColumn name="compactation" id="9"/>
    <tableColumn name="glcm_homogeneity" id="10"/>
    <tableColumn name="glcm_energy" id="11"/>
    <tableColumn name="glcm_entropy" id="12"/>
    <tableColumn name="source_file" id="13"/>
  </tableColumns>
  <tableStyleInfo name="Material loss - Holes-style" showColumnStripes="0" showFirstColumn="1" showLastColumn="1" showRowStripes="1"/>
</table>
</file>

<file path=xl/tables/table3.xml><?xml version="1.0" encoding="utf-8"?>
<table xmlns="http://schemas.openxmlformats.org/spreadsheetml/2006/main" ref="A1:M1256" displayName="friction" name="friction" id="3">
  <tableColumns count="13">
    <tableColumn name="filename" id="1"/>
    <tableColumn name="relative_path" id="2"/>
    <tableColumn name="class_id" id="3"/>
    <tableColumn name="class_name" id="4"/>
    <tableColumn name="confidence" id="5"/>
    <tableColumn name="area_mm2" id="6"/>
    <tableColumn name="perimeter_mm" id="7"/>
    <tableColumn name="eccentricity" id="8"/>
    <tableColumn name="compactation" id="9"/>
    <tableColumn name="glcm_homogeneity" id="10"/>
    <tableColumn name="glcm_energy" id="11"/>
    <tableColumn name="glcm_entropy" id="12"/>
    <tableColumn name="source_file" id="13"/>
  </tableColumns>
  <tableStyleInfo name="Scratch-Friction-style" showColumnStripes="0" showFirstColumn="1" showLastColumn="1" showRowStripes="1"/>
</table>
</file>

<file path=xl/tables/table4.xml><?xml version="1.0" encoding="utf-8"?>
<table xmlns="http://schemas.openxmlformats.org/spreadsheetml/2006/main" ref="A1:M1040" displayName="abrasion" name="abrasion" id="4">
  <tableColumns count="13">
    <tableColumn name="filename" id="1"/>
    <tableColumn name="relative_path" id="2"/>
    <tableColumn name="class_id" id="3"/>
    <tableColumn name="class_name" id="4"/>
    <tableColumn name="confidence" id="5"/>
    <tableColumn name="area_mm2" id="6"/>
    <tableColumn name="perimeter_mm" id="7"/>
    <tableColumn name="eccentricity" id="8"/>
    <tableColumn name="compactation" id="9"/>
    <tableColumn name="glcm_homogeneity" id="10"/>
    <tableColumn name="glcm_energy" id="11"/>
    <tableColumn name="glcm_entropy" id="12"/>
    <tableColumn name="source_file" id="13"/>
  </tableColumns>
  <tableStyleInfo name="Scratch-Abra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5" width="8.71"/>
  </cols>
  <sheetData>
    <row r="1">
      <c r="A1" s="1"/>
      <c r="B1" s="2" t="s">
        <v>0</v>
      </c>
      <c r="C1" s="3"/>
      <c r="D1" s="4"/>
      <c r="E1" s="2" t="s">
        <v>1</v>
      </c>
      <c r="F1" s="3"/>
      <c r="G1" s="4"/>
      <c r="H1" s="2" t="s">
        <v>2</v>
      </c>
      <c r="I1" s="3"/>
      <c r="J1" s="4"/>
      <c r="K1" s="2" t="s">
        <v>3</v>
      </c>
      <c r="L1" s="3"/>
      <c r="M1" s="4"/>
      <c r="N1" s="2" t="s">
        <v>4</v>
      </c>
      <c r="O1" s="3"/>
      <c r="P1" s="4"/>
      <c r="Q1" s="2" t="s">
        <v>5</v>
      </c>
      <c r="R1" s="3"/>
      <c r="S1" s="4"/>
    </row>
    <row r="2">
      <c r="A2" s="1"/>
      <c r="B2" s="5" t="s">
        <v>6</v>
      </c>
      <c r="C2" s="6" t="s">
        <v>7</v>
      </c>
      <c r="D2" s="7" t="s">
        <v>8</v>
      </c>
      <c r="E2" s="5" t="s">
        <v>6</v>
      </c>
      <c r="F2" s="6" t="s">
        <v>7</v>
      </c>
      <c r="G2" s="7" t="s">
        <v>8</v>
      </c>
      <c r="H2" s="5" t="s">
        <v>6</v>
      </c>
      <c r="I2" s="6" t="s">
        <v>7</v>
      </c>
      <c r="J2" s="7" t="s">
        <v>8</v>
      </c>
      <c r="K2" s="5" t="s">
        <v>6</v>
      </c>
      <c r="L2" s="6" t="s">
        <v>7</v>
      </c>
      <c r="M2" s="7" t="s">
        <v>8</v>
      </c>
      <c r="N2" s="5" t="s">
        <v>6</v>
      </c>
      <c r="O2" s="6" t="s">
        <v>7</v>
      </c>
      <c r="P2" s="7" t="s">
        <v>8</v>
      </c>
      <c r="Q2" s="5" t="s">
        <v>6</v>
      </c>
      <c r="R2" s="6" t="s">
        <v>7</v>
      </c>
      <c r="S2" s="8" t="s">
        <v>8</v>
      </c>
    </row>
    <row r="3">
      <c r="A3" s="9" t="s">
        <v>9</v>
      </c>
      <c r="B3" s="10">
        <f>MIN(crack[area_mm2])</f>
        <v>2.9888</v>
      </c>
      <c r="C3" s="12">
        <f>MAX(crack[area_mm2])</f>
        <v>10.3621</v>
      </c>
      <c r="D3" s="13">
        <f>MEDIAN(B3,C3)</f>
        <v>6.67545</v>
      </c>
      <c r="E3" s="10">
        <f>MIN(crack[perimeter_mm])</f>
        <v>8.4197</v>
      </c>
      <c r="F3" s="12">
        <f>MAX(crack[perimeter_mm])</f>
        <v>22.0324</v>
      </c>
      <c r="G3" s="13">
        <f>MEDIAN(crack[perimeter_mm])</f>
        <v>14.1323</v>
      </c>
      <c r="H3" s="10">
        <f>MIN(crack[eccentricity])</f>
        <v>0.9624</v>
      </c>
      <c r="I3" s="12">
        <f>MAX(crack[eccentricity])</f>
        <v>0.9973</v>
      </c>
      <c r="J3" s="13">
        <f>MEDIAN(crack[eccentricity])</f>
        <v>0.9877</v>
      </c>
      <c r="K3" s="10">
        <f>MIN(crack[compactation])</f>
        <v>0.189</v>
      </c>
      <c r="L3" s="12">
        <f>MAX(crack[compactation])</f>
        <v>0.5298</v>
      </c>
      <c r="M3" s="13">
        <f>MEDIAN(crack[compactation])</f>
        <v>0.3615</v>
      </c>
      <c r="N3" s="10">
        <f>MIN(crack[glcm_energy])</f>
        <v>0.0366</v>
      </c>
      <c r="O3" s="12">
        <f>max(crack[glcm_energy])</f>
        <v>0.2454</v>
      </c>
      <c r="P3" s="13">
        <f>MEDIAN(crack[glcm_energy])</f>
        <v>0.097</v>
      </c>
      <c r="Q3" s="10">
        <f>min(crack[glcm_entropy])</f>
        <v>6.8643</v>
      </c>
      <c r="R3" s="12">
        <f>max(crack[glcm_entropy])</f>
        <v>10.0021</v>
      </c>
      <c r="S3" s="13">
        <f>MEDIAN(crack[glcm_entropy])</f>
        <v>9.281</v>
      </c>
    </row>
    <row r="4">
      <c r="A4" s="16" t="s">
        <v>24</v>
      </c>
      <c r="B4" s="17">
        <f>MIN(holes[area_mm2])</f>
        <v>10.6911</v>
      </c>
      <c r="C4" s="18">
        <f>MAX(holes[area_mm2])</f>
        <v>20.4992</v>
      </c>
      <c r="D4" s="19">
        <f>MEDIAN(holes[area_mm2])</f>
        <v>11.5102</v>
      </c>
      <c r="E4" s="17">
        <f>MIN(holes[perimeter_mm])</f>
        <v>12.9853</v>
      </c>
      <c r="F4" s="18">
        <f>MAX(holes[perimeter_mm])</f>
        <v>18.592</v>
      </c>
      <c r="G4" s="19">
        <f>MEDIAN(holes[perimeter_mm])</f>
        <v>13.59105</v>
      </c>
      <c r="H4" s="17">
        <f>MIN(holes[eccentricity])</f>
        <v>0.3304</v>
      </c>
      <c r="I4" s="18">
        <f>max(holes[eccentricity])</f>
        <v>0.7503</v>
      </c>
      <c r="J4" s="19">
        <f>MEDIAN(holes[eccentricity])</f>
        <v>0.64795</v>
      </c>
      <c r="K4" s="17">
        <f>MIN(holes[compactation])</f>
        <v>0.644</v>
      </c>
      <c r="L4" s="18">
        <f>max(holes[compactation])</f>
        <v>0.8529</v>
      </c>
      <c r="M4" s="19">
        <f>MEDIAN(holes[compactation])</f>
        <v>0.79445</v>
      </c>
      <c r="N4" s="17">
        <f>MIN(holes[glcm_energy])</f>
        <v>0.2049</v>
      </c>
      <c r="O4" s="18">
        <f>max(holes[glcm_energy])</f>
        <v>0.3459</v>
      </c>
      <c r="P4" s="19">
        <f>MEDIAN(holes[glcm_energy])</f>
        <v>0.30145</v>
      </c>
      <c r="Q4" s="17">
        <f>min(holes[glcm_entropy])</f>
        <v>5.9814</v>
      </c>
      <c r="R4" s="18">
        <f>max(holes[glcm_entropy])</f>
        <v>7.2168</v>
      </c>
      <c r="S4" s="19">
        <f>MEDIAN(holes[glcm_entropy])</f>
        <v>6.7833</v>
      </c>
    </row>
    <row r="5">
      <c r="A5" s="20" t="s">
        <v>60</v>
      </c>
      <c r="B5" s="21">
        <f>MIN(abrasion[area_mm2])</f>
        <v>28.7245</v>
      </c>
      <c r="C5" s="22">
        <f>MAX(abrasion[area_mm2])</f>
        <v>107.4379</v>
      </c>
      <c r="D5" s="23">
        <f>MEDIAN(abrasion[area_mm2])</f>
        <v>47.4054</v>
      </c>
      <c r="E5" s="21">
        <f>MIN(abrasion[perimeter_mm])</f>
        <v>22.9215</v>
      </c>
      <c r="F5" s="22">
        <f>MAX(abrasion[perimeter_mm])</f>
        <v>51.4371</v>
      </c>
      <c r="G5" s="23">
        <f>MEDIAN(abrasion[perimeter_mm])</f>
        <v>30.2506</v>
      </c>
      <c r="H5" s="21">
        <f>MIN(abrasion[eccentricity])</f>
        <v>0.2847</v>
      </c>
      <c r="I5" s="22">
        <f>max(abrasion[eccentricity])</f>
        <v>0.8843</v>
      </c>
      <c r="J5" s="23">
        <f>MEDIAN(abrasion[eccentricity])</f>
        <v>0.6665</v>
      </c>
      <c r="K5" s="21">
        <f>MIN(abrasion[compactation])</f>
        <v>0.3324</v>
      </c>
      <c r="L5" s="22">
        <f>MAX(abrasion[compactation])</f>
        <v>0.8006</v>
      </c>
      <c r="M5" s="23">
        <f>MEDIAN(abrasion[compactation])</f>
        <v>0.6747</v>
      </c>
      <c r="N5" s="21">
        <f>min(abrasion[glcm_energy])</f>
        <v>0.0448</v>
      </c>
      <c r="O5" s="22">
        <f>MAX(abrasion[glcm_energy])</f>
        <v>0.3494</v>
      </c>
      <c r="P5" s="23">
        <f>MEDIAN(abrasion[glcm_energy])</f>
        <v>0.1236</v>
      </c>
      <c r="Q5" s="21">
        <f>min(abrasion[glcm_entropy])</f>
        <v>6.472</v>
      </c>
      <c r="R5" s="22">
        <f>max(abrasion[glcm_entropy])</f>
        <v>9.4515</v>
      </c>
      <c r="S5" s="23">
        <f>MEDIAN(abrasion[glcm_entropy])</f>
        <v>8.4663</v>
      </c>
    </row>
    <row r="6">
      <c r="A6" s="24" t="s">
        <v>22</v>
      </c>
      <c r="B6" s="25">
        <f>MIN(friction[area_mm2])</f>
        <v>14.01</v>
      </c>
      <c r="C6" s="26">
        <f>MAX(friction[area_mm2])</f>
        <v>68.76</v>
      </c>
      <c r="D6" s="27">
        <f>MEDIAN(friction[area_mm2])</f>
        <v>48.94</v>
      </c>
      <c r="E6" s="25">
        <f>MIN(friction[perimeter_mm])</f>
        <v>15.03</v>
      </c>
      <c r="F6" s="26">
        <f>MAX(friction[perimeter_mm])</f>
        <v>41.06</v>
      </c>
      <c r="G6" s="27">
        <f>MEDIAN(friction[perimeter_mm])</f>
        <v>30.27</v>
      </c>
      <c r="H6" s="25">
        <f>MIN(friction[eccentricity])</f>
        <v>0.71</v>
      </c>
      <c r="I6" s="26">
        <f>MAX(friction[eccentricity])</f>
        <v>0.96</v>
      </c>
      <c r="J6" s="27">
        <f>MEDIAN(friction[eccentricity])</f>
        <v>0.88</v>
      </c>
      <c r="K6" s="25">
        <f>min(friction[compactation])</f>
        <v>0.46</v>
      </c>
      <c r="L6" s="26">
        <f>MAX(friction[compactation])</f>
        <v>0.78</v>
      </c>
      <c r="M6" s="27">
        <f>MEDIAN(friction[compactation])</f>
        <v>0.68</v>
      </c>
      <c r="N6" s="25">
        <f>min(friction[glcm_energy])</f>
        <v>0.04</v>
      </c>
      <c r="O6" s="26">
        <f>max(friction[glcm_energy])</f>
        <v>0.15</v>
      </c>
      <c r="P6" s="27">
        <f>MEDIAN(friction[glcm_energy])</f>
        <v>0.06</v>
      </c>
      <c r="Q6" s="25">
        <f>min(friction[glcm_entropy])</f>
        <v>6.89</v>
      </c>
      <c r="R6" s="26">
        <f>max(friction[glcm_entropy])</f>
        <v>9.67</v>
      </c>
      <c r="S6" s="27">
        <f>MEDIAN(friction[glcm_entropy])</f>
        <v>8.75</v>
      </c>
    </row>
    <row r="11">
      <c r="I11" s="2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B1:D1"/>
    <mergeCell ref="E1:G1"/>
    <mergeCell ref="H1:J1"/>
    <mergeCell ref="K1:M1"/>
    <mergeCell ref="N1:P1"/>
    <mergeCell ref="Q1:S1"/>
  </mergeCells>
  <printOptions/>
  <pageMargins bottom="1.0" footer="0.0" header="0.0" left="0.75" right="0.75" top="1.0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36.71"/>
    <col customWidth="1" min="3" max="3" width="13.86"/>
    <col customWidth="1" min="4" max="4" width="17.43"/>
    <col customWidth="1" min="5" max="5" width="16.71"/>
    <col customWidth="1" min="6" max="6" width="16.14"/>
    <col customWidth="1" min="7" max="7" width="20.0"/>
    <col customWidth="1" min="8" max="8" width="17.29"/>
    <col customWidth="1" min="9" max="9" width="19.14"/>
    <col customWidth="1" min="10" max="10" width="24.14"/>
    <col customWidth="1" min="11" max="11" width="18.29"/>
    <col customWidth="1" min="12" max="12" width="19.0"/>
    <col customWidth="1" min="13" max="13" width="25.43"/>
    <col customWidth="1" min="14" max="26" width="8.71"/>
  </cols>
  <sheetData>
    <row r="1" ht="22.5" customHeight="1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0</v>
      </c>
      <c r="G1" s="11" t="s">
        <v>1</v>
      </c>
      <c r="H1" s="11" t="s">
        <v>2</v>
      </c>
      <c r="I1" s="11" t="s">
        <v>3</v>
      </c>
      <c r="J1" s="11" t="s">
        <v>15</v>
      </c>
      <c r="K1" s="11" t="s">
        <v>4</v>
      </c>
      <c r="L1" s="11" t="s">
        <v>5</v>
      </c>
      <c r="M1" s="11" t="s">
        <v>16</v>
      </c>
    </row>
    <row r="2" ht="15.75" customHeight="1">
      <c r="A2" s="14" t="s">
        <v>18</v>
      </c>
      <c r="B2" s="14" t="s">
        <v>19</v>
      </c>
      <c r="C2" s="14">
        <v>1.0</v>
      </c>
      <c r="D2" s="14" t="s">
        <v>9</v>
      </c>
      <c r="E2" s="14">
        <v>0.5992</v>
      </c>
      <c r="F2" s="14">
        <v>10.3621</v>
      </c>
      <c r="G2" s="14">
        <v>20.6427</v>
      </c>
      <c r="H2" s="14">
        <v>0.9911</v>
      </c>
      <c r="I2" s="14">
        <v>0.3056</v>
      </c>
      <c r="J2" s="14">
        <v>0.2861</v>
      </c>
      <c r="K2" s="14">
        <v>0.1295</v>
      </c>
      <c r="L2" s="14">
        <v>9.4244</v>
      </c>
      <c r="M2" s="14" t="s">
        <v>26</v>
      </c>
    </row>
    <row r="3" ht="15.75" customHeight="1">
      <c r="A3" s="14" t="s">
        <v>28</v>
      </c>
      <c r="B3" s="14" t="s">
        <v>30</v>
      </c>
      <c r="C3" s="14">
        <v>1.0</v>
      </c>
      <c r="D3" s="14" t="s">
        <v>9</v>
      </c>
      <c r="E3" s="14">
        <v>0.5803</v>
      </c>
      <c r="F3" s="14">
        <v>10.2236</v>
      </c>
      <c r="G3" s="14">
        <v>20.8091</v>
      </c>
      <c r="H3" s="14">
        <v>0.9921</v>
      </c>
      <c r="I3" s="14">
        <v>0.2967</v>
      </c>
      <c r="J3" s="14">
        <v>0.288</v>
      </c>
      <c r="K3" s="14">
        <v>0.1448</v>
      </c>
      <c r="L3" s="14">
        <v>9.397</v>
      </c>
      <c r="M3" s="14" t="s">
        <v>26</v>
      </c>
    </row>
    <row r="4" ht="15.75" customHeight="1">
      <c r="A4" s="14" t="s">
        <v>36</v>
      </c>
      <c r="B4" s="14" t="s">
        <v>37</v>
      </c>
      <c r="C4" s="14">
        <v>1.0</v>
      </c>
      <c r="D4" s="14" t="s">
        <v>9</v>
      </c>
      <c r="E4" s="14">
        <v>0.5785</v>
      </c>
      <c r="F4" s="14">
        <v>10.2132</v>
      </c>
      <c r="G4" s="14">
        <v>20.8436</v>
      </c>
      <c r="H4" s="14">
        <v>0.9921</v>
      </c>
      <c r="I4" s="14">
        <v>0.2954</v>
      </c>
      <c r="J4" s="14">
        <v>0.2888</v>
      </c>
      <c r="K4" s="14">
        <v>0.1458</v>
      </c>
      <c r="L4" s="14">
        <v>9.3686</v>
      </c>
      <c r="M4" s="14" t="s">
        <v>26</v>
      </c>
    </row>
    <row r="5" ht="15.75" customHeight="1">
      <c r="A5" s="14" t="s">
        <v>41</v>
      </c>
      <c r="B5" s="14" t="s">
        <v>42</v>
      </c>
      <c r="C5" s="14">
        <v>1.0</v>
      </c>
      <c r="D5" s="14" t="s">
        <v>9</v>
      </c>
      <c r="E5" s="14">
        <v>0.5846</v>
      </c>
      <c r="F5" s="14">
        <v>10.2098</v>
      </c>
      <c r="G5" s="14">
        <v>20.8091</v>
      </c>
      <c r="H5" s="14">
        <v>0.9921</v>
      </c>
      <c r="I5" s="14">
        <v>0.2963</v>
      </c>
      <c r="J5" s="14">
        <v>0.2898</v>
      </c>
      <c r="K5" s="14">
        <v>0.145</v>
      </c>
      <c r="L5" s="14">
        <v>9.3858</v>
      </c>
      <c r="M5" s="14" t="s">
        <v>26</v>
      </c>
    </row>
    <row r="6" ht="15.75" customHeight="1">
      <c r="A6" s="14" t="s">
        <v>46</v>
      </c>
      <c r="B6" s="14" t="s">
        <v>47</v>
      </c>
      <c r="C6" s="14">
        <v>1.0</v>
      </c>
      <c r="D6" s="14" t="s">
        <v>9</v>
      </c>
      <c r="E6" s="14">
        <v>0.5854</v>
      </c>
      <c r="F6" s="14">
        <v>10.2028</v>
      </c>
      <c r="G6" s="14">
        <v>20.8579</v>
      </c>
      <c r="H6" s="14">
        <v>0.9921</v>
      </c>
      <c r="I6" s="14">
        <v>0.2947</v>
      </c>
      <c r="J6" s="14">
        <v>0.2886</v>
      </c>
      <c r="K6" s="14">
        <v>0.144</v>
      </c>
      <c r="L6" s="14">
        <v>9.4034</v>
      </c>
      <c r="M6" s="14" t="s">
        <v>26</v>
      </c>
    </row>
    <row r="7" ht="15.75" customHeight="1">
      <c r="A7" s="14" t="s">
        <v>51</v>
      </c>
      <c r="B7" s="14" t="s">
        <v>52</v>
      </c>
      <c r="C7" s="14">
        <v>1.0</v>
      </c>
      <c r="D7" s="14" t="s">
        <v>9</v>
      </c>
      <c r="E7" s="14">
        <v>0.5818</v>
      </c>
      <c r="F7" s="14">
        <v>10.1994</v>
      </c>
      <c r="G7" s="14">
        <v>20.9167</v>
      </c>
      <c r="H7" s="14">
        <v>0.9922</v>
      </c>
      <c r="I7" s="14">
        <v>0.293</v>
      </c>
      <c r="J7" s="14">
        <v>0.2873</v>
      </c>
      <c r="K7" s="14">
        <v>0.1438</v>
      </c>
      <c r="L7" s="14">
        <v>9.4162</v>
      </c>
      <c r="M7" s="14" t="s">
        <v>26</v>
      </c>
    </row>
    <row r="8" ht="15.75" customHeight="1">
      <c r="A8" s="14" t="s">
        <v>54</v>
      </c>
      <c r="B8" s="14" t="s">
        <v>55</v>
      </c>
      <c r="C8" s="14">
        <v>1.0</v>
      </c>
      <c r="D8" s="14" t="s">
        <v>9</v>
      </c>
      <c r="E8" s="14">
        <v>0.5815</v>
      </c>
      <c r="F8" s="14">
        <v>10.1959</v>
      </c>
      <c r="G8" s="14">
        <v>20.7746</v>
      </c>
      <c r="H8" s="14">
        <v>0.9921</v>
      </c>
      <c r="I8" s="14">
        <v>0.2969</v>
      </c>
      <c r="J8" s="14">
        <v>0.2912</v>
      </c>
      <c r="K8" s="14">
        <v>0.1485</v>
      </c>
      <c r="L8" s="14">
        <v>9.3594</v>
      </c>
      <c r="M8" s="14" t="s">
        <v>26</v>
      </c>
    </row>
    <row r="9" ht="15.75" customHeight="1">
      <c r="A9" s="14" t="s">
        <v>61</v>
      </c>
      <c r="B9" s="14" t="s">
        <v>63</v>
      </c>
      <c r="C9" s="14">
        <v>1.0</v>
      </c>
      <c r="D9" s="14" t="s">
        <v>9</v>
      </c>
      <c r="E9" s="14">
        <v>0.59</v>
      </c>
      <c r="F9" s="14">
        <v>10.1959</v>
      </c>
      <c r="G9" s="14">
        <v>20.8234</v>
      </c>
      <c r="H9" s="14">
        <v>0.9921</v>
      </c>
      <c r="I9" s="14">
        <v>0.2955</v>
      </c>
      <c r="J9" s="14">
        <v>0.2854</v>
      </c>
      <c r="K9" s="14">
        <v>0.1467</v>
      </c>
      <c r="L9" s="14">
        <v>9.3972</v>
      </c>
      <c r="M9" s="14" t="s">
        <v>26</v>
      </c>
    </row>
    <row r="10" ht="15.75" customHeight="1">
      <c r="A10" s="14" t="s">
        <v>66</v>
      </c>
      <c r="B10" s="14" t="s">
        <v>68</v>
      </c>
      <c r="C10" s="14">
        <v>1.0</v>
      </c>
      <c r="D10" s="14" t="s">
        <v>9</v>
      </c>
      <c r="E10" s="14">
        <v>0.5854</v>
      </c>
      <c r="F10" s="14">
        <v>10.1855</v>
      </c>
      <c r="G10" s="14">
        <v>20.8436</v>
      </c>
      <c r="H10" s="14">
        <v>0.9921</v>
      </c>
      <c r="I10" s="14">
        <v>0.2946</v>
      </c>
      <c r="J10" s="14">
        <v>0.2909</v>
      </c>
      <c r="K10" s="14">
        <v>0.1476</v>
      </c>
      <c r="L10" s="14">
        <v>9.3677</v>
      </c>
      <c r="M10" s="14" t="s">
        <v>26</v>
      </c>
    </row>
    <row r="11" ht="15.75" customHeight="1">
      <c r="A11" s="14" t="s">
        <v>71</v>
      </c>
      <c r="B11" s="14" t="s">
        <v>73</v>
      </c>
      <c r="C11" s="14">
        <v>1.0</v>
      </c>
      <c r="D11" s="14" t="s">
        <v>9</v>
      </c>
      <c r="E11" s="14">
        <v>0.5827</v>
      </c>
      <c r="F11" s="14">
        <v>10.1855</v>
      </c>
      <c r="G11" s="14">
        <v>20.9411</v>
      </c>
      <c r="H11" s="14">
        <v>0.9922</v>
      </c>
      <c r="I11" s="14">
        <v>0.2919</v>
      </c>
      <c r="J11" s="14">
        <v>0.2892</v>
      </c>
      <c r="K11" s="14">
        <v>0.1466</v>
      </c>
      <c r="L11" s="14">
        <v>9.3634</v>
      </c>
      <c r="M11" s="14" t="s">
        <v>26</v>
      </c>
    </row>
    <row r="12" ht="15.75" customHeight="1">
      <c r="A12" s="14" t="s">
        <v>75</v>
      </c>
      <c r="B12" s="14" t="s">
        <v>77</v>
      </c>
      <c r="C12" s="14">
        <v>1.0</v>
      </c>
      <c r="D12" s="14" t="s">
        <v>9</v>
      </c>
      <c r="E12" s="14">
        <v>0.5843</v>
      </c>
      <c r="F12" s="14">
        <v>10.1855</v>
      </c>
      <c r="G12" s="14">
        <v>20.8436</v>
      </c>
      <c r="H12" s="14">
        <v>0.9922</v>
      </c>
      <c r="I12" s="14">
        <v>0.2946</v>
      </c>
      <c r="J12" s="14">
        <v>0.2886</v>
      </c>
      <c r="K12" s="14">
        <v>0.1469</v>
      </c>
      <c r="L12" s="14">
        <v>9.3838</v>
      </c>
      <c r="M12" s="14" t="s">
        <v>26</v>
      </c>
    </row>
    <row r="13" ht="15.75" customHeight="1">
      <c r="A13" s="14" t="s">
        <v>80</v>
      </c>
      <c r="B13" s="14" t="s">
        <v>81</v>
      </c>
      <c r="C13" s="14">
        <v>1.0</v>
      </c>
      <c r="D13" s="14" t="s">
        <v>9</v>
      </c>
      <c r="E13" s="14">
        <v>0.5787</v>
      </c>
      <c r="F13" s="14">
        <v>10.1786</v>
      </c>
      <c r="G13" s="14">
        <v>20.8091</v>
      </c>
      <c r="H13" s="14">
        <v>0.9922</v>
      </c>
      <c r="I13" s="14">
        <v>0.2954</v>
      </c>
      <c r="J13" s="14">
        <v>0.2916</v>
      </c>
      <c r="K13" s="14">
        <v>0.1488</v>
      </c>
      <c r="L13" s="14">
        <v>9.3711</v>
      </c>
      <c r="M13" s="14" t="s">
        <v>26</v>
      </c>
    </row>
    <row r="14" ht="15.75" customHeight="1">
      <c r="A14" s="14" t="s">
        <v>85</v>
      </c>
      <c r="B14" s="14" t="s">
        <v>86</v>
      </c>
      <c r="C14" s="14">
        <v>1.0</v>
      </c>
      <c r="D14" s="14" t="s">
        <v>9</v>
      </c>
      <c r="E14" s="14">
        <v>0.4358</v>
      </c>
      <c r="F14" s="14">
        <v>10.1786</v>
      </c>
      <c r="G14" s="14">
        <v>19.3253</v>
      </c>
      <c r="H14" s="14">
        <v>0.9889</v>
      </c>
      <c r="I14" s="14">
        <v>0.3425</v>
      </c>
      <c r="J14" s="14">
        <v>0.3433</v>
      </c>
      <c r="K14" s="14">
        <v>0.0648</v>
      </c>
      <c r="L14" s="14">
        <v>8.8499</v>
      </c>
      <c r="M14" s="14" t="s">
        <v>26</v>
      </c>
    </row>
    <row r="15" ht="15.75" customHeight="1">
      <c r="A15" s="14" t="s">
        <v>90</v>
      </c>
      <c r="B15" s="14" t="s">
        <v>91</v>
      </c>
      <c r="C15" s="14">
        <v>1.0</v>
      </c>
      <c r="D15" s="14" t="s">
        <v>9</v>
      </c>
      <c r="E15" s="14">
        <v>0.5854</v>
      </c>
      <c r="F15" s="14">
        <v>10.1647</v>
      </c>
      <c r="G15" s="14">
        <v>20.8091</v>
      </c>
      <c r="H15" s="14">
        <v>0.9922</v>
      </c>
      <c r="I15" s="14">
        <v>0.295</v>
      </c>
      <c r="J15" s="14">
        <v>0.2874</v>
      </c>
      <c r="K15" s="14">
        <v>0.1476</v>
      </c>
      <c r="L15" s="14">
        <v>9.3873</v>
      </c>
      <c r="M15" s="14" t="s">
        <v>26</v>
      </c>
    </row>
    <row r="16" ht="15.75" customHeight="1">
      <c r="A16" s="14" t="s">
        <v>95</v>
      </c>
      <c r="B16" s="14" t="s">
        <v>96</v>
      </c>
      <c r="C16" s="14">
        <v>1.0</v>
      </c>
      <c r="D16" s="14" t="s">
        <v>9</v>
      </c>
      <c r="E16" s="14">
        <v>0.5867</v>
      </c>
      <c r="F16" s="14">
        <v>10.1613</v>
      </c>
      <c r="G16" s="14">
        <v>20.7503</v>
      </c>
      <c r="H16" s="14">
        <v>0.9922</v>
      </c>
      <c r="I16" s="14">
        <v>0.2966</v>
      </c>
      <c r="J16" s="14">
        <v>0.2879</v>
      </c>
      <c r="K16" s="14">
        <v>0.1463</v>
      </c>
      <c r="L16" s="14">
        <v>9.3877</v>
      </c>
      <c r="M16" s="14" t="s">
        <v>26</v>
      </c>
    </row>
    <row r="17" ht="15.75" customHeight="1">
      <c r="A17" s="14" t="s">
        <v>100</v>
      </c>
      <c r="B17" s="14" t="s">
        <v>101</v>
      </c>
      <c r="C17" s="14">
        <v>1.0</v>
      </c>
      <c r="D17" s="14" t="s">
        <v>9</v>
      </c>
      <c r="E17" s="14">
        <v>0.5851</v>
      </c>
      <c r="F17" s="14">
        <v>10.1543</v>
      </c>
      <c r="G17" s="14">
        <v>20.5535</v>
      </c>
      <c r="H17" s="14">
        <v>0.9921</v>
      </c>
      <c r="I17" s="14">
        <v>0.3021</v>
      </c>
      <c r="J17" s="14">
        <v>0.2819</v>
      </c>
      <c r="K17" s="14">
        <v>0.1363</v>
      </c>
      <c r="L17" s="14">
        <v>9.4681</v>
      </c>
      <c r="M17" s="14" t="s">
        <v>26</v>
      </c>
    </row>
    <row r="18" ht="15.75" customHeight="1">
      <c r="A18" s="14" t="s">
        <v>103</v>
      </c>
      <c r="B18" s="14" t="s">
        <v>104</v>
      </c>
      <c r="C18" s="14">
        <v>1.0</v>
      </c>
      <c r="D18" s="14" t="s">
        <v>9</v>
      </c>
      <c r="E18" s="14">
        <v>0.5793</v>
      </c>
      <c r="F18" s="14">
        <v>10.1543</v>
      </c>
      <c r="G18" s="14">
        <v>20.8436</v>
      </c>
      <c r="H18" s="14">
        <v>0.9921</v>
      </c>
      <c r="I18" s="14">
        <v>0.2937</v>
      </c>
      <c r="J18" s="14">
        <v>0.2904</v>
      </c>
      <c r="K18" s="14">
        <v>0.1512</v>
      </c>
      <c r="L18" s="14">
        <v>9.3503</v>
      </c>
      <c r="M18" s="14" t="s">
        <v>26</v>
      </c>
    </row>
    <row r="19" ht="15.75" customHeight="1">
      <c r="A19" s="14" t="s">
        <v>108</v>
      </c>
      <c r="B19" s="14" t="s">
        <v>109</v>
      </c>
      <c r="C19" s="14">
        <v>1.0</v>
      </c>
      <c r="D19" s="14" t="s">
        <v>9</v>
      </c>
      <c r="E19" s="14">
        <v>0.5849</v>
      </c>
      <c r="F19" s="14">
        <v>10.1509</v>
      </c>
      <c r="G19" s="14">
        <v>20.8091</v>
      </c>
      <c r="H19" s="14">
        <v>0.9921</v>
      </c>
      <c r="I19" s="14">
        <v>0.2946</v>
      </c>
      <c r="J19" s="14">
        <v>0.2908</v>
      </c>
      <c r="K19" s="14">
        <v>0.1489</v>
      </c>
      <c r="L19" s="14">
        <v>9.3438</v>
      </c>
      <c r="M19" s="14" t="s">
        <v>26</v>
      </c>
    </row>
    <row r="20" ht="15.75" customHeight="1">
      <c r="A20" s="14" t="s">
        <v>113</v>
      </c>
      <c r="B20" s="14" t="s">
        <v>114</v>
      </c>
      <c r="C20" s="14">
        <v>1.0</v>
      </c>
      <c r="D20" s="14" t="s">
        <v>9</v>
      </c>
      <c r="E20" s="14">
        <v>0.5855</v>
      </c>
      <c r="F20" s="14">
        <v>10.1474</v>
      </c>
      <c r="G20" s="14">
        <v>20.9066</v>
      </c>
      <c r="H20" s="14">
        <v>0.9922</v>
      </c>
      <c r="I20" s="14">
        <v>0.2917</v>
      </c>
      <c r="J20" s="14">
        <v>0.2922</v>
      </c>
      <c r="K20" s="14">
        <v>0.1519</v>
      </c>
      <c r="L20" s="14">
        <v>9.3351</v>
      </c>
      <c r="M20" s="14" t="s">
        <v>26</v>
      </c>
    </row>
    <row r="21" ht="15.75" customHeight="1">
      <c r="A21" s="14" t="s">
        <v>118</v>
      </c>
      <c r="B21" s="14" t="s">
        <v>119</v>
      </c>
      <c r="C21" s="14">
        <v>1.0</v>
      </c>
      <c r="D21" s="14" t="s">
        <v>9</v>
      </c>
      <c r="E21" s="14">
        <v>0.585</v>
      </c>
      <c r="F21" s="14">
        <v>10.1336</v>
      </c>
      <c r="G21" s="14">
        <v>20.6792</v>
      </c>
      <c r="H21" s="14">
        <v>0.9922</v>
      </c>
      <c r="I21" s="14">
        <v>0.2978</v>
      </c>
      <c r="J21" s="14">
        <v>0.2898</v>
      </c>
      <c r="K21" s="14">
        <v>0.1488</v>
      </c>
      <c r="L21" s="14">
        <v>9.3666</v>
      </c>
      <c r="M21" s="14" t="s">
        <v>26</v>
      </c>
    </row>
    <row r="22" ht="15.75" customHeight="1">
      <c r="A22" s="14" t="s">
        <v>123</v>
      </c>
      <c r="B22" s="14" t="s">
        <v>124</v>
      </c>
      <c r="C22" s="14">
        <v>1.0</v>
      </c>
      <c r="D22" s="14" t="s">
        <v>9</v>
      </c>
      <c r="E22" s="14">
        <v>0.5836</v>
      </c>
      <c r="F22" s="14">
        <v>10.0781</v>
      </c>
      <c r="G22" s="14">
        <v>20.5737</v>
      </c>
      <c r="H22" s="14">
        <v>0.9923</v>
      </c>
      <c r="I22" s="14">
        <v>0.2992</v>
      </c>
      <c r="J22" s="14">
        <v>0.2654</v>
      </c>
      <c r="K22" s="14">
        <v>0.1173</v>
      </c>
      <c r="L22" s="14">
        <v>9.6113</v>
      </c>
      <c r="M22" s="14" t="s">
        <v>26</v>
      </c>
    </row>
    <row r="23" ht="15.75" customHeight="1">
      <c r="A23" s="14" t="s">
        <v>128</v>
      </c>
      <c r="B23" s="14" t="s">
        <v>129</v>
      </c>
      <c r="C23" s="14">
        <v>1.0</v>
      </c>
      <c r="D23" s="14" t="s">
        <v>9</v>
      </c>
      <c r="E23" s="14">
        <v>0.5617</v>
      </c>
      <c r="F23" s="14">
        <v>10.0401</v>
      </c>
      <c r="G23" s="14">
        <v>20.525</v>
      </c>
      <c r="H23" s="14">
        <v>0.9908</v>
      </c>
      <c r="I23" s="14">
        <v>0.2995</v>
      </c>
      <c r="J23" s="14">
        <v>0.2904</v>
      </c>
      <c r="K23" s="14">
        <v>0.1255</v>
      </c>
      <c r="L23" s="14">
        <v>9.4648</v>
      </c>
      <c r="M23" s="14" t="s">
        <v>26</v>
      </c>
    </row>
    <row r="24" ht="15.75" customHeight="1">
      <c r="A24" s="14" t="s">
        <v>133</v>
      </c>
      <c r="B24" s="14" t="s">
        <v>134</v>
      </c>
      <c r="C24" s="14">
        <v>1.0</v>
      </c>
      <c r="D24" s="14" t="s">
        <v>9</v>
      </c>
      <c r="E24" s="14">
        <v>0.5909</v>
      </c>
      <c r="F24" s="14">
        <v>9.9916</v>
      </c>
      <c r="G24" s="14">
        <v>20.2955</v>
      </c>
      <c r="H24" s="14">
        <v>0.9917</v>
      </c>
      <c r="I24" s="14">
        <v>0.3048</v>
      </c>
      <c r="J24" s="14">
        <v>0.2846</v>
      </c>
      <c r="K24" s="14">
        <v>0.1399</v>
      </c>
      <c r="L24" s="14">
        <v>9.3739</v>
      </c>
      <c r="M24" s="14" t="s">
        <v>26</v>
      </c>
    </row>
    <row r="25" ht="15.75" customHeight="1">
      <c r="A25" s="14" t="s">
        <v>138</v>
      </c>
      <c r="B25" s="14" t="s">
        <v>139</v>
      </c>
      <c r="C25" s="14">
        <v>1.0</v>
      </c>
      <c r="D25" s="14" t="s">
        <v>9</v>
      </c>
      <c r="E25" s="14">
        <v>0.5905</v>
      </c>
      <c r="F25" s="14">
        <v>9.9812</v>
      </c>
      <c r="G25" s="14">
        <v>20.3442</v>
      </c>
      <c r="H25" s="14">
        <v>0.9916</v>
      </c>
      <c r="I25" s="14">
        <v>0.303</v>
      </c>
      <c r="J25" s="14">
        <v>0.284</v>
      </c>
      <c r="K25" s="14">
        <v>0.1385</v>
      </c>
      <c r="L25" s="14">
        <v>9.4076</v>
      </c>
      <c r="M25" s="14" t="s">
        <v>26</v>
      </c>
    </row>
    <row r="26" ht="15.75" customHeight="1">
      <c r="A26" s="14" t="s">
        <v>143</v>
      </c>
      <c r="B26" s="14" t="s">
        <v>144</v>
      </c>
      <c r="C26" s="14">
        <v>1.0</v>
      </c>
      <c r="D26" s="14" t="s">
        <v>9</v>
      </c>
      <c r="E26" s="14">
        <v>0.5724</v>
      </c>
      <c r="F26" s="14">
        <v>9.9673</v>
      </c>
      <c r="G26" s="14">
        <v>20.7604</v>
      </c>
      <c r="H26" s="14">
        <v>0.9925</v>
      </c>
      <c r="I26" s="14">
        <v>0.2906</v>
      </c>
      <c r="J26" s="14">
        <v>0.2964</v>
      </c>
      <c r="K26" s="14">
        <v>0.1523</v>
      </c>
      <c r="L26" s="14">
        <v>9.2196</v>
      </c>
      <c r="M26" s="14" t="s">
        <v>26</v>
      </c>
    </row>
    <row r="27" ht="15.75" customHeight="1">
      <c r="A27" s="14" t="s">
        <v>148</v>
      </c>
      <c r="B27" s="14" t="s">
        <v>149</v>
      </c>
      <c r="C27" s="14">
        <v>1.0</v>
      </c>
      <c r="D27" s="14" t="s">
        <v>9</v>
      </c>
      <c r="E27" s="14">
        <v>0.5957</v>
      </c>
      <c r="F27" s="14">
        <v>9.9431</v>
      </c>
      <c r="G27" s="14">
        <v>20.3442</v>
      </c>
      <c r="H27" s="14">
        <v>0.9917</v>
      </c>
      <c r="I27" s="14">
        <v>0.3019</v>
      </c>
      <c r="J27" s="14">
        <v>0.2839</v>
      </c>
      <c r="K27" s="14">
        <v>0.1402</v>
      </c>
      <c r="L27" s="14">
        <v>9.3982</v>
      </c>
      <c r="M27" s="14" t="s">
        <v>26</v>
      </c>
    </row>
    <row r="28" ht="15.75" customHeight="1">
      <c r="A28" s="14" t="s">
        <v>153</v>
      </c>
      <c r="B28" s="14" t="s">
        <v>154</v>
      </c>
      <c r="C28" s="14">
        <v>1.0</v>
      </c>
      <c r="D28" s="14" t="s">
        <v>9</v>
      </c>
      <c r="E28" s="14">
        <v>0.5893</v>
      </c>
      <c r="F28" s="14">
        <v>9.9396</v>
      </c>
      <c r="G28" s="14">
        <v>20.3442</v>
      </c>
      <c r="H28" s="14">
        <v>0.9918</v>
      </c>
      <c r="I28" s="14">
        <v>0.3018</v>
      </c>
      <c r="J28" s="14">
        <v>0.283</v>
      </c>
      <c r="K28" s="14">
        <v>0.139</v>
      </c>
      <c r="L28" s="14">
        <v>9.4087</v>
      </c>
      <c r="M28" s="14" t="s">
        <v>26</v>
      </c>
    </row>
    <row r="29" ht="15.75" customHeight="1">
      <c r="A29" s="14" t="s">
        <v>158</v>
      </c>
      <c r="B29" s="14" t="s">
        <v>159</v>
      </c>
      <c r="C29" s="14">
        <v>1.0</v>
      </c>
      <c r="D29" s="14" t="s">
        <v>9</v>
      </c>
      <c r="E29" s="14">
        <v>0.5969</v>
      </c>
      <c r="F29" s="14">
        <v>9.9362</v>
      </c>
      <c r="G29" s="14">
        <v>20.3442</v>
      </c>
      <c r="H29" s="14">
        <v>0.9917</v>
      </c>
      <c r="I29" s="14">
        <v>0.3017</v>
      </c>
      <c r="J29" s="14">
        <v>0.2852</v>
      </c>
      <c r="K29" s="14">
        <v>0.1391</v>
      </c>
      <c r="L29" s="14">
        <v>9.3721</v>
      </c>
      <c r="M29" s="14" t="s">
        <v>26</v>
      </c>
    </row>
    <row r="30" ht="15.75" customHeight="1">
      <c r="A30" s="14" t="s">
        <v>163</v>
      </c>
      <c r="B30" s="14" t="s">
        <v>164</v>
      </c>
      <c r="C30" s="14">
        <v>1.0</v>
      </c>
      <c r="D30" s="14" t="s">
        <v>9</v>
      </c>
      <c r="E30" s="14">
        <v>0.5937</v>
      </c>
      <c r="F30" s="14">
        <v>9.9362</v>
      </c>
      <c r="G30" s="14">
        <v>20.2955</v>
      </c>
      <c r="H30" s="14">
        <v>0.9918</v>
      </c>
      <c r="I30" s="14">
        <v>0.3031</v>
      </c>
      <c r="J30" s="14">
        <v>0.2868</v>
      </c>
      <c r="K30" s="14">
        <v>0.1422</v>
      </c>
      <c r="L30" s="14">
        <v>9.3534</v>
      </c>
      <c r="M30" s="14" t="s">
        <v>26</v>
      </c>
    </row>
    <row r="31" ht="15.75" customHeight="1">
      <c r="A31" s="14" t="s">
        <v>168</v>
      </c>
      <c r="B31" s="14" t="s">
        <v>169</v>
      </c>
      <c r="C31" s="14">
        <v>1.0</v>
      </c>
      <c r="D31" s="14" t="s">
        <v>9</v>
      </c>
      <c r="E31" s="14">
        <v>0.5932</v>
      </c>
      <c r="F31" s="14">
        <v>9.9327</v>
      </c>
      <c r="G31" s="14">
        <v>20.2955</v>
      </c>
      <c r="H31" s="14">
        <v>0.9917</v>
      </c>
      <c r="I31" s="14">
        <v>0.303</v>
      </c>
      <c r="J31" s="14">
        <v>0.2868</v>
      </c>
      <c r="K31" s="14">
        <v>0.1429</v>
      </c>
      <c r="L31" s="14">
        <v>9.364</v>
      </c>
      <c r="M31" s="14" t="s">
        <v>26</v>
      </c>
    </row>
    <row r="32" ht="15.75" customHeight="1">
      <c r="A32" s="14" t="s">
        <v>173</v>
      </c>
      <c r="B32" s="14" t="s">
        <v>174</v>
      </c>
      <c r="C32" s="14">
        <v>1.0</v>
      </c>
      <c r="D32" s="14" t="s">
        <v>9</v>
      </c>
      <c r="E32" s="14">
        <v>0.5923</v>
      </c>
      <c r="F32" s="14">
        <v>9.9292</v>
      </c>
      <c r="G32" s="14">
        <v>20.3442</v>
      </c>
      <c r="H32" s="14">
        <v>0.9917</v>
      </c>
      <c r="I32" s="14">
        <v>0.3015</v>
      </c>
      <c r="J32" s="14">
        <v>0.2825</v>
      </c>
      <c r="K32" s="14">
        <v>0.1419</v>
      </c>
      <c r="L32" s="14">
        <v>9.3827</v>
      </c>
      <c r="M32" s="14" t="s">
        <v>26</v>
      </c>
    </row>
    <row r="33" ht="15.75" customHeight="1">
      <c r="A33" s="14" t="s">
        <v>178</v>
      </c>
      <c r="B33" s="14" t="s">
        <v>179</v>
      </c>
      <c r="C33" s="14">
        <v>1.0</v>
      </c>
      <c r="D33" s="14" t="s">
        <v>9</v>
      </c>
      <c r="E33" s="14">
        <v>0.5935</v>
      </c>
      <c r="F33" s="14">
        <v>9.9292</v>
      </c>
      <c r="G33" s="14">
        <v>20.1778</v>
      </c>
      <c r="H33" s="14">
        <v>0.9919</v>
      </c>
      <c r="I33" s="14">
        <v>0.3065</v>
      </c>
      <c r="J33" s="14">
        <v>0.2465</v>
      </c>
      <c r="K33" s="14">
        <v>0.0826</v>
      </c>
      <c r="L33" s="14">
        <v>9.7892</v>
      </c>
      <c r="M33" s="14" t="s">
        <v>26</v>
      </c>
    </row>
    <row r="34" ht="15.75" customHeight="1">
      <c r="A34" s="14" t="s">
        <v>183</v>
      </c>
      <c r="B34" s="14" t="s">
        <v>184</v>
      </c>
      <c r="C34" s="14">
        <v>1.0</v>
      </c>
      <c r="D34" s="14" t="s">
        <v>9</v>
      </c>
      <c r="E34" s="14">
        <v>0.5954</v>
      </c>
      <c r="F34" s="14">
        <v>9.9292</v>
      </c>
      <c r="G34" s="14">
        <v>20.2955</v>
      </c>
      <c r="H34" s="14">
        <v>0.9918</v>
      </c>
      <c r="I34" s="14">
        <v>0.3029</v>
      </c>
      <c r="J34" s="14">
        <v>0.2839</v>
      </c>
      <c r="K34" s="14">
        <v>0.1395</v>
      </c>
      <c r="L34" s="14">
        <v>9.3972</v>
      </c>
      <c r="M34" s="14" t="s">
        <v>26</v>
      </c>
    </row>
    <row r="35" ht="15.75" customHeight="1">
      <c r="A35" s="14" t="s">
        <v>188</v>
      </c>
      <c r="B35" s="14" t="s">
        <v>189</v>
      </c>
      <c r="C35" s="14">
        <v>1.0</v>
      </c>
      <c r="D35" s="14" t="s">
        <v>9</v>
      </c>
      <c r="E35" s="14">
        <v>0.5905</v>
      </c>
      <c r="F35" s="14">
        <v>9.9223</v>
      </c>
      <c r="G35" s="14">
        <v>20.2265</v>
      </c>
      <c r="H35" s="14">
        <v>0.9919</v>
      </c>
      <c r="I35" s="14">
        <v>0.3048</v>
      </c>
      <c r="J35" s="14">
        <v>0.2419</v>
      </c>
      <c r="K35" s="14">
        <v>0.0824</v>
      </c>
      <c r="L35" s="14">
        <v>9.7921</v>
      </c>
      <c r="M35" s="14" t="s">
        <v>26</v>
      </c>
    </row>
    <row r="36" ht="15.75" customHeight="1">
      <c r="A36" s="14" t="s">
        <v>193</v>
      </c>
      <c r="B36" s="14" t="s">
        <v>194</v>
      </c>
      <c r="C36" s="14">
        <v>1.0</v>
      </c>
      <c r="D36" s="14" t="s">
        <v>9</v>
      </c>
      <c r="E36" s="14">
        <v>0.5976</v>
      </c>
      <c r="F36" s="14">
        <v>9.9188</v>
      </c>
      <c r="G36" s="14">
        <v>20.4619</v>
      </c>
      <c r="H36" s="14">
        <v>0.9917</v>
      </c>
      <c r="I36" s="14">
        <v>0.2977</v>
      </c>
      <c r="J36" s="14">
        <v>0.2856</v>
      </c>
      <c r="K36" s="14">
        <v>0.1405</v>
      </c>
      <c r="L36" s="14">
        <v>9.3776</v>
      </c>
      <c r="M36" s="14" t="s">
        <v>26</v>
      </c>
    </row>
    <row r="37" ht="15.75" customHeight="1">
      <c r="A37" s="14" t="s">
        <v>196</v>
      </c>
      <c r="B37" s="14" t="s">
        <v>198</v>
      </c>
      <c r="C37" s="14">
        <v>1.0</v>
      </c>
      <c r="D37" s="14" t="s">
        <v>9</v>
      </c>
      <c r="E37" s="14">
        <v>0.5949</v>
      </c>
      <c r="F37" s="14">
        <v>9.9188</v>
      </c>
      <c r="G37" s="14">
        <v>20.2955</v>
      </c>
      <c r="H37" s="14">
        <v>0.9917</v>
      </c>
      <c r="I37" s="14">
        <v>0.3026</v>
      </c>
      <c r="J37" s="14">
        <v>0.2848</v>
      </c>
      <c r="K37" s="14">
        <v>0.1423</v>
      </c>
      <c r="L37" s="14">
        <v>9.3537</v>
      </c>
      <c r="M37" s="14" t="s">
        <v>26</v>
      </c>
    </row>
    <row r="38" ht="15.75" customHeight="1">
      <c r="A38" s="14" t="s">
        <v>201</v>
      </c>
      <c r="B38" s="14" t="s">
        <v>202</v>
      </c>
      <c r="C38" s="14">
        <v>1.0</v>
      </c>
      <c r="D38" s="14" t="s">
        <v>9</v>
      </c>
      <c r="E38" s="14">
        <v>0.5955</v>
      </c>
      <c r="F38" s="14">
        <v>9.9188</v>
      </c>
      <c r="G38" s="14">
        <v>20.2955</v>
      </c>
      <c r="H38" s="14">
        <v>0.9918</v>
      </c>
      <c r="I38" s="14">
        <v>0.3026</v>
      </c>
      <c r="J38" s="14">
        <v>0.2848</v>
      </c>
      <c r="K38" s="14">
        <v>0.1408</v>
      </c>
      <c r="L38" s="14">
        <v>9.3819</v>
      </c>
      <c r="M38" s="14" t="s">
        <v>26</v>
      </c>
    </row>
    <row r="39" ht="15.75" customHeight="1">
      <c r="A39" s="14" t="s">
        <v>206</v>
      </c>
      <c r="B39" s="14" t="s">
        <v>207</v>
      </c>
      <c r="C39" s="14">
        <v>1.0</v>
      </c>
      <c r="D39" s="14" t="s">
        <v>9</v>
      </c>
      <c r="E39" s="14">
        <v>0.591</v>
      </c>
      <c r="F39" s="14">
        <v>9.9084</v>
      </c>
      <c r="G39" s="14">
        <v>20.261</v>
      </c>
      <c r="H39" s="14">
        <v>0.9917</v>
      </c>
      <c r="I39" s="14">
        <v>0.3033</v>
      </c>
      <c r="J39" s="14">
        <v>0.2874</v>
      </c>
      <c r="K39" s="14">
        <v>0.1444</v>
      </c>
      <c r="L39" s="14">
        <v>9.3404</v>
      </c>
      <c r="M39" s="14" t="s">
        <v>26</v>
      </c>
    </row>
    <row r="40" ht="15.75" customHeight="1">
      <c r="A40" s="14" t="s">
        <v>211</v>
      </c>
      <c r="B40" s="14" t="s">
        <v>213</v>
      </c>
      <c r="C40" s="14">
        <v>1.0</v>
      </c>
      <c r="D40" s="14" t="s">
        <v>9</v>
      </c>
      <c r="E40" s="14">
        <v>0.5846</v>
      </c>
      <c r="F40" s="14">
        <v>9.8877</v>
      </c>
      <c r="G40" s="14">
        <v>20.1778</v>
      </c>
      <c r="H40" s="14">
        <v>0.9919</v>
      </c>
      <c r="I40" s="14">
        <v>0.3052</v>
      </c>
      <c r="J40" s="14">
        <v>0.2492</v>
      </c>
      <c r="K40" s="14">
        <v>0.0833</v>
      </c>
      <c r="L40" s="14">
        <v>9.8147</v>
      </c>
      <c r="M40" s="14" t="s">
        <v>26</v>
      </c>
    </row>
    <row r="41" ht="15.75" customHeight="1">
      <c r="A41" s="14" t="s">
        <v>216</v>
      </c>
      <c r="B41" s="14" t="s">
        <v>217</v>
      </c>
      <c r="C41" s="14">
        <v>1.0</v>
      </c>
      <c r="D41" s="14" t="s">
        <v>9</v>
      </c>
      <c r="E41" s="14">
        <v>0.594</v>
      </c>
      <c r="F41" s="14">
        <v>9.8877</v>
      </c>
      <c r="G41" s="14">
        <v>20.0946</v>
      </c>
      <c r="H41" s="14">
        <v>0.9919</v>
      </c>
      <c r="I41" s="14">
        <v>0.3077</v>
      </c>
      <c r="J41" s="14">
        <v>0.2449</v>
      </c>
      <c r="K41" s="14">
        <v>0.0832</v>
      </c>
      <c r="L41" s="14">
        <v>9.8109</v>
      </c>
      <c r="M41" s="14" t="s">
        <v>26</v>
      </c>
    </row>
    <row r="42" ht="15.75" customHeight="1">
      <c r="A42" s="14" t="s">
        <v>223</v>
      </c>
      <c r="B42" s="14" t="s">
        <v>224</v>
      </c>
      <c r="C42" s="14">
        <v>1.0</v>
      </c>
      <c r="D42" s="14" t="s">
        <v>9</v>
      </c>
      <c r="E42" s="14">
        <v>0.5948</v>
      </c>
      <c r="F42" s="14">
        <v>9.8842</v>
      </c>
      <c r="G42" s="14">
        <v>20.2955</v>
      </c>
      <c r="H42" s="14">
        <v>0.9918</v>
      </c>
      <c r="I42" s="14">
        <v>0.3015</v>
      </c>
      <c r="J42" s="14">
        <v>0.2867</v>
      </c>
      <c r="K42" s="14">
        <v>0.1423</v>
      </c>
      <c r="L42" s="14">
        <v>9.361</v>
      </c>
      <c r="M42" s="14" t="s">
        <v>26</v>
      </c>
    </row>
    <row r="43" ht="15.75" customHeight="1">
      <c r="A43" s="14" t="s">
        <v>230</v>
      </c>
      <c r="B43" s="14" t="s">
        <v>231</v>
      </c>
      <c r="C43" s="14">
        <v>1.0</v>
      </c>
      <c r="D43" s="14" t="s">
        <v>9</v>
      </c>
      <c r="E43" s="14">
        <v>0.5935</v>
      </c>
      <c r="F43" s="14">
        <v>9.86</v>
      </c>
      <c r="G43" s="14">
        <v>20.0946</v>
      </c>
      <c r="H43" s="14">
        <v>0.9915</v>
      </c>
      <c r="I43" s="14">
        <v>0.3069</v>
      </c>
      <c r="J43" s="14">
        <v>0.2832</v>
      </c>
      <c r="K43" s="14">
        <v>0.1384</v>
      </c>
      <c r="L43" s="14">
        <v>9.4188</v>
      </c>
      <c r="M43" s="14" t="s">
        <v>26</v>
      </c>
    </row>
    <row r="44" ht="15.75" customHeight="1">
      <c r="A44" s="14" t="s">
        <v>237</v>
      </c>
      <c r="B44" s="14" t="s">
        <v>238</v>
      </c>
      <c r="C44" s="14">
        <v>1.0</v>
      </c>
      <c r="D44" s="14" t="s">
        <v>9</v>
      </c>
      <c r="E44" s="14">
        <v>0.5915</v>
      </c>
      <c r="F44" s="14">
        <v>9.853</v>
      </c>
      <c r="G44" s="14">
        <v>20.2854</v>
      </c>
      <c r="H44" s="14">
        <v>0.9915</v>
      </c>
      <c r="I44" s="14">
        <v>0.3009</v>
      </c>
      <c r="J44" s="14">
        <v>0.2882</v>
      </c>
      <c r="K44" s="14">
        <v>0.138</v>
      </c>
      <c r="L44" s="14">
        <v>9.3876</v>
      </c>
      <c r="M44" s="14" t="s">
        <v>26</v>
      </c>
    </row>
    <row r="45" ht="15.75" customHeight="1">
      <c r="A45" s="14" t="s">
        <v>244</v>
      </c>
      <c r="B45" s="14" t="s">
        <v>245</v>
      </c>
      <c r="C45" s="14">
        <v>1.0</v>
      </c>
      <c r="D45" s="14" t="s">
        <v>9</v>
      </c>
      <c r="E45" s="14">
        <v>0.537</v>
      </c>
      <c r="F45" s="14">
        <v>9.8392</v>
      </c>
      <c r="G45" s="14">
        <v>20.5594</v>
      </c>
      <c r="H45" s="14">
        <v>0.9915</v>
      </c>
      <c r="I45" s="14">
        <v>0.2925</v>
      </c>
      <c r="J45" s="14">
        <v>0.2369</v>
      </c>
      <c r="K45" s="14">
        <v>0.0756</v>
      </c>
      <c r="L45" s="14">
        <v>9.6402</v>
      </c>
      <c r="M45" s="14" t="s">
        <v>26</v>
      </c>
    </row>
    <row r="46" ht="15.75" customHeight="1">
      <c r="A46" s="14" t="s">
        <v>250</v>
      </c>
      <c r="B46" s="14" t="s">
        <v>251</v>
      </c>
      <c r="C46" s="14">
        <v>1.0</v>
      </c>
      <c r="D46" s="14" t="s">
        <v>9</v>
      </c>
      <c r="E46" s="14">
        <v>0.5567</v>
      </c>
      <c r="F46" s="14">
        <v>9.808</v>
      </c>
      <c r="G46" s="14">
        <v>20.3038</v>
      </c>
      <c r="H46" s="14">
        <v>0.9917</v>
      </c>
      <c r="I46" s="14">
        <v>0.299</v>
      </c>
      <c r="J46" s="14">
        <v>0.3081</v>
      </c>
      <c r="K46" s="14">
        <v>0.1426</v>
      </c>
      <c r="L46" s="14">
        <v>9.2752</v>
      </c>
      <c r="M46" s="14" t="s">
        <v>26</v>
      </c>
    </row>
    <row r="47" ht="15.75" customHeight="1">
      <c r="A47" s="14" t="s">
        <v>257</v>
      </c>
      <c r="B47" s="14" t="s">
        <v>258</v>
      </c>
      <c r="C47" s="14">
        <v>1.0</v>
      </c>
      <c r="D47" s="14" t="s">
        <v>9</v>
      </c>
      <c r="E47" s="14">
        <v>0.6176</v>
      </c>
      <c r="F47" s="14">
        <v>9.7803</v>
      </c>
      <c r="G47" s="14">
        <v>20.2753</v>
      </c>
      <c r="H47" s="14">
        <v>0.9918</v>
      </c>
      <c r="I47" s="14">
        <v>0.299</v>
      </c>
      <c r="J47" s="14">
        <v>0.2503</v>
      </c>
      <c r="K47" s="14">
        <v>0.1077</v>
      </c>
      <c r="L47" s="14">
        <v>9.7185</v>
      </c>
      <c r="M47" s="14" t="s">
        <v>26</v>
      </c>
    </row>
    <row r="48" ht="15.75" customHeight="1">
      <c r="A48" s="14" t="s">
        <v>264</v>
      </c>
      <c r="B48" s="14" t="s">
        <v>265</v>
      </c>
      <c r="C48" s="14">
        <v>1.0</v>
      </c>
      <c r="D48" s="14" t="s">
        <v>9</v>
      </c>
      <c r="E48" s="14">
        <v>0.6294</v>
      </c>
      <c r="F48" s="14">
        <v>9.763</v>
      </c>
      <c r="G48" s="14">
        <v>20.6629</v>
      </c>
      <c r="H48" s="14">
        <v>0.9924</v>
      </c>
      <c r="I48" s="14">
        <v>0.2874</v>
      </c>
      <c r="J48" s="14">
        <v>0.2558</v>
      </c>
      <c r="K48" s="14">
        <v>0.1179</v>
      </c>
      <c r="L48" s="14">
        <v>9.6855</v>
      </c>
      <c r="M48" s="14" t="s">
        <v>26</v>
      </c>
    </row>
    <row r="49" ht="15.75" customHeight="1">
      <c r="A49" s="14" t="s">
        <v>271</v>
      </c>
      <c r="B49" s="14" t="s">
        <v>272</v>
      </c>
      <c r="C49" s="14">
        <v>1.0</v>
      </c>
      <c r="D49" s="14" t="s">
        <v>9</v>
      </c>
      <c r="E49" s="14">
        <v>0.6169</v>
      </c>
      <c r="F49" s="14">
        <v>9.763</v>
      </c>
      <c r="G49" s="14">
        <v>20.1635</v>
      </c>
      <c r="H49" s="14">
        <v>0.9918</v>
      </c>
      <c r="I49" s="14">
        <v>0.3018</v>
      </c>
      <c r="J49" s="14">
        <v>0.2493</v>
      </c>
      <c r="K49" s="14">
        <v>0.1035</v>
      </c>
      <c r="L49" s="14">
        <v>9.7737</v>
      </c>
      <c r="M49" s="14" t="s">
        <v>26</v>
      </c>
    </row>
    <row r="50" ht="15.75" customHeight="1">
      <c r="A50" s="14" t="s">
        <v>17</v>
      </c>
      <c r="B50" s="14" t="s">
        <v>278</v>
      </c>
      <c r="C50" s="14">
        <v>1.0</v>
      </c>
      <c r="D50" s="14" t="s">
        <v>9</v>
      </c>
      <c r="E50" s="14">
        <v>0.6166</v>
      </c>
      <c r="F50" s="14">
        <v>9.7595</v>
      </c>
      <c r="G50" s="14">
        <v>20.1433</v>
      </c>
      <c r="H50" s="14">
        <v>0.9918</v>
      </c>
      <c r="I50" s="14">
        <v>0.3023</v>
      </c>
      <c r="J50" s="14">
        <v>0.2525</v>
      </c>
      <c r="K50" s="14">
        <v>0.1022</v>
      </c>
      <c r="L50" s="14">
        <v>9.7878</v>
      </c>
      <c r="M50" s="14" t="s">
        <v>26</v>
      </c>
    </row>
    <row r="51" ht="15.75" customHeight="1">
      <c r="A51" s="14" t="s">
        <v>284</v>
      </c>
      <c r="B51" s="14" t="s">
        <v>285</v>
      </c>
      <c r="C51" s="14">
        <v>1.0</v>
      </c>
      <c r="D51" s="14" t="s">
        <v>9</v>
      </c>
      <c r="E51" s="14">
        <v>0.6156</v>
      </c>
      <c r="F51" s="14">
        <v>9.7526</v>
      </c>
      <c r="G51" s="14">
        <v>20.2123</v>
      </c>
      <c r="H51" s="14">
        <v>0.9918</v>
      </c>
      <c r="I51" s="14">
        <v>0.3</v>
      </c>
      <c r="J51" s="14">
        <v>0.2572</v>
      </c>
      <c r="K51" s="14">
        <v>0.1047</v>
      </c>
      <c r="L51" s="14">
        <v>9.7361</v>
      </c>
      <c r="M51" s="14" t="s">
        <v>26</v>
      </c>
    </row>
    <row r="52" ht="15.75" customHeight="1">
      <c r="A52" s="14" t="s">
        <v>291</v>
      </c>
      <c r="B52" s="14" t="s">
        <v>292</v>
      </c>
      <c r="C52" s="14">
        <v>1.0</v>
      </c>
      <c r="D52" s="14" t="s">
        <v>9</v>
      </c>
      <c r="E52" s="14">
        <v>0.5988</v>
      </c>
      <c r="F52" s="14">
        <v>9.7491</v>
      </c>
      <c r="G52" s="14">
        <v>20.5392</v>
      </c>
      <c r="H52" s="14">
        <v>0.9922</v>
      </c>
      <c r="I52" s="14">
        <v>0.2904</v>
      </c>
      <c r="J52" s="14">
        <v>0.2831</v>
      </c>
      <c r="K52" s="14">
        <v>0.1496</v>
      </c>
      <c r="L52" s="14">
        <v>9.4225</v>
      </c>
      <c r="M52" s="14" t="s">
        <v>26</v>
      </c>
    </row>
    <row r="53" ht="15.75" customHeight="1">
      <c r="A53" s="14" t="s">
        <v>298</v>
      </c>
      <c r="B53" s="14" t="s">
        <v>299</v>
      </c>
      <c r="C53" s="14">
        <v>1.0</v>
      </c>
      <c r="D53" s="14" t="s">
        <v>9</v>
      </c>
      <c r="E53" s="14">
        <v>0.638</v>
      </c>
      <c r="F53" s="14">
        <v>9.7491</v>
      </c>
      <c r="G53" s="14">
        <v>20.4964</v>
      </c>
      <c r="H53" s="14">
        <v>0.9922</v>
      </c>
      <c r="I53" s="14">
        <v>0.2916</v>
      </c>
      <c r="J53" s="14">
        <v>0.2525</v>
      </c>
      <c r="K53" s="14">
        <v>0.1111</v>
      </c>
      <c r="L53" s="14">
        <v>9.7324</v>
      </c>
      <c r="M53" s="14" t="s">
        <v>26</v>
      </c>
    </row>
    <row r="54" ht="15.75" customHeight="1">
      <c r="A54" s="14" t="s">
        <v>305</v>
      </c>
      <c r="B54" s="14" t="s">
        <v>306</v>
      </c>
      <c r="C54" s="14">
        <v>1.0</v>
      </c>
      <c r="D54" s="14" t="s">
        <v>9</v>
      </c>
      <c r="E54" s="14">
        <v>0.6429</v>
      </c>
      <c r="F54" s="14">
        <v>9.7491</v>
      </c>
      <c r="G54" s="14">
        <v>20.4619</v>
      </c>
      <c r="H54" s="14">
        <v>0.9921</v>
      </c>
      <c r="I54" s="14">
        <v>0.2926</v>
      </c>
      <c r="J54" s="14">
        <v>0.2534</v>
      </c>
      <c r="K54" s="14">
        <v>0.1115</v>
      </c>
      <c r="L54" s="14">
        <v>9.7415</v>
      </c>
      <c r="M54" s="14" t="s">
        <v>26</v>
      </c>
    </row>
    <row r="55" ht="15.75" customHeight="1">
      <c r="A55" s="14" t="s">
        <v>312</v>
      </c>
      <c r="B55" s="14" t="s">
        <v>313</v>
      </c>
      <c r="C55" s="14">
        <v>1.0</v>
      </c>
      <c r="D55" s="14" t="s">
        <v>9</v>
      </c>
      <c r="E55" s="14">
        <v>0.6354</v>
      </c>
      <c r="F55" s="14">
        <v>9.7457</v>
      </c>
      <c r="G55" s="14">
        <v>20.4619</v>
      </c>
      <c r="H55" s="14">
        <v>0.9921</v>
      </c>
      <c r="I55" s="14">
        <v>0.2925</v>
      </c>
      <c r="J55" s="14">
        <v>0.2513</v>
      </c>
      <c r="K55" s="14">
        <v>0.1105</v>
      </c>
      <c r="L55" s="14">
        <v>9.7356</v>
      </c>
      <c r="M55" s="14" t="s">
        <v>26</v>
      </c>
    </row>
    <row r="56" ht="15.75" customHeight="1">
      <c r="A56" s="14" t="s">
        <v>319</v>
      </c>
      <c r="B56" s="14" t="s">
        <v>320</v>
      </c>
      <c r="C56" s="14">
        <v>1.0</v>
      </c>
      <c r="D56" s="14" t="s">
        <v>9</v>
      </c>
      <c r="E56" s="14">
        <v>0.6191</v>
      </c>
      <c r="F56" s="14">
        <v>9.7457</v>
      </c>
      <c r="G56" s="14">
        <v>20.2123</v>
      </c>
      <c r="H56" s="14">
        <v>0.9918</v>
      </c>
      <c r="I56" s="14">
        <v>0.2998</v>
      </c>
      <c r="J56" s="14">
        <v>0.2566</v>
      </c>
      <c r="K56" s="14">
        <v>0.1043</v>
      </c>
      <c r="L56" s="14">
        <v>9.7643</v>
      </c>
      <c r="M56" s="14" t="s">
        <v>26</v>
      </c>
    </row>
    <row r="57" ht="15.75" customHeight="1">
      <c r="A57" s="14" t="s">
        <v>326</v>
      </c>
      <c r="B57" s="14" t="s">
        <v>327</v>
      </c>
      <c r="C57" s="14">
        <v>1.0</v>
      </c>
      <c r="D57" s="14" t="s">
        <v>9</v>
      </c>
      <c r="E57" s="14">
        <v>0.6215</v>
      </c>
      <c r="F57" s="14">
        <v>9.7457</v>
      </c>
      <c r="G57" s="14">
        <v>20.2265</v>
      </c>
      <c r="H57" s="14">
        <v>0.9918</v>
      </c>
      <c r="I57" s="14">
        <v>0.2993</v>
      </c>
      <c r="J57" s="14">
        <v>0.2558</v>
      </c>
      <c r="K57" s="14">
        <v>0.104</v>
      </c>
      <c r="L57" s="14">
        <v>9.7463</v>
      </c>
      <c r="M57" s="14" t="s">
        <v>26</v>
      </c>
    </row>
    <row r="58" ht="15.75" customHeight="1">
      <c r="A58" s="14" t="s">
        <v>333</v>
      </c>
      <c r="B58" s="14" t="s">
        <v>334</v>
      </c>
      <c r="C58" s="14">
        <v>1.0</v>
      </c>
      <c r="D58" s="14" t="s">
        <v>9</v>
      </c>
      <c r="E58" s="14">
        <v>0.6357</v>
      </c>
      <c r="F58" s="14">
        <v>9.7422</v>
      </c>
      <c r="G58" s="14">
        <v>20.4964</v>
      </c>
      <c r="H58" s="14">
        <v>0.9922</v>
      </c>
      <c r="I58" s="14">
        <v>0.2914</v>
      </c>
      <c r="J58" s="14">
        <v>0.2504</v>
      </c>
      <c r="K58" s="14">
        <v>0.1113</v>
      </c>
      <c r="L58" s="14">
        <v>9.7153</v>
      </c>
      <c r="M58" s="14" t="s">
        <v>26</v>
      </c>
    </row>
    <row r="59" ht="15.75" customHeight="1">
      <c r="A59" s="14" t="s">
        <v>338</v>
      </c>
      <c r="B59" s="14" t="s">
        <v>340</v>
      </c>
      <c r="C59" s="14">
        <v>1.0</v>
      </c>
      <c r="D59" s="14" t="s">
        <v>9</v>
      </c>
      <c r="E59" s="14">
        <v>0.6169</v>
      </c>
      <c r="F59" s="14">
        <v>9.7387</v>
      </c>
      <c r="G59" s="14">
        <v>20.1433</v>
      </c>
      <c r="H59" s="14">
        <v>0.9918</v>
      </c>
      <c r="I59" s="14">
        <v>0.3016</v>
      </c>
      <c r="J59" s="14">
        <v>0.2551</v>
      </c>
      <c r="K59" s="14">
        <v>0.1051</v>
      </c>
      <c r="L59" s="14">
        <v>9.7534</v>
      </c>
      <c r="M59" s="14" t="s">
        <v>26</v>
      </c>
    </row>
    <row r="60" ht="15.75" customHeight="1">
      <c r="A60" s="14" t="s">
        <v>344</v>
      </c>
      <c r="B60" s="14" t="s">
        <v>345</v>
      </c>
      <c r="C60" s="14">
        <v>1.0</v>
      </c>
      <c r="D60" s="14" t="s">
        <v>9</v>
      </c>
      <c r="E60" s="14">
        <v>0.6336</v>
      </c>
      <c r="F60" s="14">
        <v>9.7353</v>
      </c>
      <c r="G60" s="14">
        <v>20.6629</v>
      </c>
      <c r="H60" s="14">
        <v>0.9924</v>
      </c>
      <c r="I60" s="14">
        <v>0.2865</v>
      </c>
      <c r="J60" s="14">
        <v>0.2572</v>
      </c>
      <c r="K60" s="14">
        <v>0.1214</v>
      </c>
      <c r="L60" s="14">
        <v>9.6466</v>
      </c>
      <c r="M60" s="14" t="s">
        <v>26</v>
      </c>
    </row>
    <row r="61" ht="15.75" customHeight="1">
      <c r="A61" s="14" t="s">
        <v>349</v>
      </c>
      <c r="B61" s="14" t="s">
        <v>351</v>
      </c>
      <c r="C61" s="14">
        <v>1.0</v>
      </c>
      <c r="D61" s="14" t="s">
        <v>9</v>
      </c>
      <c r="E61" s="14">
        <v>0.6129</v>
      </c>
      <c r="F61" s="14">
        <v>9.7318</v>
      </c>
      <c r="G61" s="14">
        <v>20.129</v>
      </c>
      <c r="H61" s="14">
        <v>0.9918</v>
      </c>
      <c r="I61" s="14">
        <v>0.3018</v>
      </c>
      <c r="J61" s="14">
        <v>0.2555</v>
      </c>
      <c r="K61" s="14">
        <v>0.1061</v>
      </c>
      <c r="L61" s="14">
        <v>9.7427</v>
      </c>
      <c r="M61" s="14" t="s">
        <v>26</v>
      </c>
    </row>
    <row r="62" ht="15.75" customHeight="1">
      <c r="A62" s="14" t="s">
        <v>356</v>
      </c>
      <c r="B62" s="14" t="s">
        <v>358</v>
      </c>
      <c r="C62" s="14">
        <v>1.0</v>
      </c>
      <c r="D62" s="14" t="s">
        <v>9</v>
      </c>
      <c r="E62" s="14">
        <v>0.6186</v>
      </c>
      <c r="F62" s="14">
        <v>9.7284</v>
      </c>
      <c r="G62" s="14">
        <v>20.1433</v>
      </c>
      <c r="H62" s="14">
        <v>0.9918</v>
      </c>
      <c r="I62" s="14">
        <v>0.3013</v>
      </c>
      <c r="J62" s="14">
        <v>0.2561</v>
      </c>
      <c r="K62" s="14">
        <v>0.1054</v>
      </c>
      <c r="L62" s="14">
        <v>9.7447</v>
      </c>
      <c r="M62" s="14" t="s">
        <v>26</v>
      </c>
    </row>
    <row r="63" ht="15.75" customHeight="1">
      <c r="A63" s="14" t="s">
        <v>364</v>
      </c>
      <c r="B63" s="14" t="s">
        <v>367</v>
      </c>
      <c r="C63" s="14">
        <v>1.0</v>
      </c>
      <c r="D63" s="14" t="s">
        <v>9</v>
      </c>
      <c r="E63" s="14">
        <v>0.6362</v>
      </c>
      <c r="F63" s="14">
        <v>9.7249</v>
      </c>
      <c r="G63" s="14">
        <v>20.6284</v>
      </c>
      <c r="H63" s="14">
        <v>0.9924</v>
      </c>
      <c r="I63" s="14">
        <v>0.2872</v>
      </c>
      <c r="J63" s="14">
        <v>0.2545</v>
      </c>
      <c r="K63" s="14">
        <v>0.1181</v>
      </c>
      <c r="L63" s="14">
        <v>9.6816</v>
      </c>
      <c r="M63" s="14" t="s">
        <v>26</v>
      </c>
    </row>
    <row r="64" ht="15.75" customHeight="1">
      <c r="A64" s="14" t="s">
        <v>372</v>
      </c>
      <c r="B64" s="14" t="s">
        <v>373</v>
      </c>
      <c r="C64" s="14">
        <v>1.0</v>
      </c>
      <c r="D64" s="14" t="s">
        <v>9</v>
      </c>
      <c r="E64" s="14">
        <v>0.6222</v>
      </c>
      <c r="F64" s="14">
        <v>9.7214</v>
      </c>
      <c r="G64" s="14">
        <v>20.261</v>
      </c>
      <c r="H64" s="14">
        <v>0.9918</v>
      </c>
      <c r="I64" s="14">
        <v>0.2976</v>
      </c>
      <c r="J64" s="14">
        <v>0.2573</v>
      </c>
      <c r="K64" s="14">
        <v>0.1071</v>
      </c>
      <c r="L64" s="14">
        <v>9.7394</v>
      </c>
      <c r="M64" s="14" t="s">
        <v>26</v>
      </c>
    </row>
    <row r="65" ht="15.75" customHeight="1">
      <c r="A65" s="14" t="s">
        <v>379</v>
      </c>
      <c r="B65" s="14" t="s">
        <v>380</v>
      </c>
      <c r="C65" s="14">
        <v>1.0</v>
      </c>
      <c r="D65" s="14" t="s">
        <v>9</v>
      </c>
      <c r="E65" s="14">
        <v>0.6173</v>
      </c>
      <c r="F65" s="14">
        <v>9.7214</v>
      </c>
      <c r="G65" s="14">
        <v>20.3787</v>
      </c>
      <c r="H65" s="14">
        <v>0.9919</v>
      </c>
      <c r="I65" s="14">
        <v>0.2942</v>
      </c>
      <c r="J65" s="14">
        <v>0.2577</v>
      </c>
      <c r="K65" s="14">
        <v>0.1036</v>
      </c>
      <c r="L65" s="14">
        <v>9.7707</v>
      </c>
      <c r="M65" s="14" t="s">
        <v>26</v>
      </c>
    </row>
    <row r="66" ht="15.75" customHeight="1">
      <c r="A66" s="14" t="s">
        <v>386</v>
      </c>
      <c r="B66" s="14" t="s">
        <v>387</v>
      </c>
      <c r="C66" s="14">
        <v>1.0</v>
      </c>
      <c r="D66" s="14" t="s">
        <v>9</v>
      </c>
      <c r="E66" s="14">
        <v>0.6197</v>
      </c>
      <c r="F66" s="14">
        <v>9.718</v>
      </c>
      <c r="G66" s="14">
        <v>20.1433</v>
      </c>
      <c r="H66" s="14">
        <v>0.9918</v>
      </c>
      <c r="I66" s="14">
        <v>0.301</v>
      </c>
      <c r="J66" s="14">
        <v>0.2591</v>
      </c>
      <c r="K66" s="14">
        <v>0.1067</v>
      </c>
      <c r="L66" s="14">
        <v>9.7397</v>
      </c>
      <c r="M66" s="14" t="s">
        <v>26</v>
      </c>
    </row>
    <row r="67" ht="15.75" customHeight="1">
      <c r="A67" s="14" t="s">
        <v>393</v>
      </c>
      <c r="B67" s="14" t="s">
        <v>394</v>
      </c>
      <c r="C67" s="14">
        <v>1.0</v>
      </c>
      <c r="D67" s="14" t="s">
        <v>9</v>
      </c>
      <c r="E67" s="14">
        <v>0.6239</v>
      </c>
      <c r="F67" s="14">
        <v>9.7145</v>
      </c>
      <c r="G67" s="14">
        <v>20.1778</v>
      </c>
      <c r="H67" s="14">
        <v>0.9918</v>
      </c>
      <c r="I67" s="14">
        <v>0.2998</v>
      </c>
      <c r="J67" s="14">
        <v>0.2587</v>
      </c>
      <c r="K67" s="14">
        <v>0.1069</v>
      </c>
      <c r="L67" s="14">
        <v>9.7474</v>
      </c>
      <c r="M67" s="14" t="s">
        <v>26</v>
      </c>
    </row>
    <row r="68" ht="15.75" customHeight="1">
      <c r="A68" s="14" t="s">
        <v>400</v>
      </c>
      <c r="B68" s="14" t="s">
        <v>401</v>
      </c>
      <c r="C68" s="14">
        <v>1.0</v>
      </c>
      <c r="D68" s="14" t="s">
        <v>9</v>
      </c>
      <c r="E68" s="14">
        <v>0.6171</v>
      </c>
      <c r="F68" s="14">
        <v>9.6972</v>
      </c>
      <c r="G68" s="14">
        <v>20.0946</v>
      </c>
      <c r="H68" s="14">
        <v>0.9918</v>
      </c>
      <c r="I68" s="14">
        <v>0.3018</v>
      </c>
      <c r="J68" s="14">
        <v>0.2599</v>
      </c>
      <c r="K68" s="14">
        <v>0.1093</v>
      </c>
      <c r="L68" s="14">
        <v>9.7012</v>
      </c>
      <c r="M68" s="14" t="s">
        <v>26</v>
      </c>
    </row>
    <row r="69" ht="15.75" customHeight="1">
      <c r="A69" s="14" t="s">
        <v>407</v>
      </c>
      <c r="B69" s="14" t="s">
        <v>408</v>
      </c>
      <c r="C69" s="14">
        <v>1.0</v>
      </c>
      <c r="D69" s="14" t="s">
        <v>9</v>
      </c>
      <c r="E69" s="14">
        <v>0.6163</v>
      </c>
      <c r="F69" s="14">
        <v>9.6903</v>
      </c>
      <c r="G69" s="14">
        <v>19.9281</v>
      </c>
      <c r="H69" s="14">
        <v>0.9916</v>
      </c>
      <c r="I69" s="14">
        <v>0.3066</v>
      </c>
      <c r="J69" s="14">
        <v>0.25</v>
      </c>
      <c r="K69" s="14">
        <v>0.1005</v>
      </c>
      <c r="L69" s="14">
        <v>9.7675</v>
      </c>
      <c r="M69" s="14" t="s">
        <v>26</v>
      </c>
    </row>
    <row r="70" ht="15.75" customHeight="1">
      <c r="A70" s="14" t="s">
        <v>414</v>
      </c>
      <c r="B70" s="14" t="s">
        <v>415</v>
      </c>
      <c r="C70" s="14">
        <v>1.0</v>
      </c>
      <c r="D70" s="14" t="s">
        <v>9</v>
      </c>
      <c r="E70" s="14">
        <v>0.6328</v>
      </c>
      <c r="F70" s="14">
        <v>9.6868</v>
      </c>
      <c r="G70" s="14">
        <v>20.4964</v>
      </c>
      <c r="H70" s="14">
        <v>0.9923</v>
      </c>
      <c r="I70" s="14">
        <v>0.2898</v>
      </c>
      <c r="J70" s="14">
        <v>0.2522</v>
      </c>
      <c r="K70" s="14">
        <v>0.1141</v>
      </c>
      <c r="L70" s="14">
        <v>9.6859</v>
      </c>
      <c r="M70" s="14" t="s">
        <v>26</v>
      </c>
    </row>
    <row r="71" ht="15.75" customHeight="1">
      <c r="A71" s="14" t="s">
        <v>421</v>
      </c>
      <c r="B71" s="14" t="s">
        <v>422</v>
      </c>
      <c r="C71" s="14">
        <v>1.0</v>
      </c>
      <c r="D71" s="14" t="s">
        <v>9</v>
      </c>
      <c r="E71" s="14">
        <v>0.6146</v>
      </c>
      <c r="F71" s="14">
        <v>9.6868</v>
      </c>
      <c r="G71" s="14">
        <v>20.1921</v>
      </c>
      <c r="H71" s="14">
        <v>0.9918</v>
      </c>
      <c r="I71" s="14">
        <v>0.2986</v>
      </c>
      <c r="J71" s="14">
        <v>0.2595</v>
      </c>
      <c r="K71" s="14">
        <v>0.1069</v>
      </c>
      <c r="L71" s="14">
        <v>9.7381</v>
      </c>
      <c r="M71" s="14" t="s">
        <v>26</v>
      </c>
    </row>
    <row r="72" ht="15.75" customHeight="1">
      <c r="A72" s="14" t="s">
        <v>428</v>
      </c>
      <c r="B72" s="14" t="s">
        <v>429</v>
      </c>
      <c r="C72" s="14">
        <v>1.0</v>
      </c>
      <c r="D72" s="14" t="s">
        <v>9</v>
      </c>
      <c r="E72" s="14">
        <v>0.6091</v>
      </c>
      <c r="F72" s="14">
        <v>9.6868</v>
      </c>
      <c r="G72" s="14">
        <v>20.3442</v>
      </c>
      <c r="H72" s="14">
        <v>0.9919</v>
      </c>
      <c r="I72" s="14">
        <v>0.2941</v>
      </c>
      <c r="J72" s="14">
        <v>0.2574</v>
      </c>
      <c r="K72" s="14">
        <v>0.1056</v>
      </c>
      <c r="L72" s="14">
        <v>9.7563</v>
      </c>
      <c r="M72" s="14" t="s">
        <v>26</v>
      </c>
    </row>
    <row r="73" ht="15.75" customHeight="1">
      <c r="A73" s="14" t="s">
        <v>435</v>
      </c>
      <c r="B73" s="14" t="s">
        <v>436</v>
      </c>
      <c r="C73" s="14">
        <v>1.0</v>
      </c>
      <c r="D73" s="14" t="s">
        <v>9</v>
      </c>
      <c r="E73" s="14">
        <v>0.6375</v>
      </c>
      <c r="F73" s="14">
        <v>9.6833</v>
      </c>
      <c r="G73" s="14">
        <v>20.6284</v>
      </c>
      <c r="H73" s="14">
        <v>0.9923</v>
      </c>
      <c r="I73" s="14">
        <v>0.286</v>
      </c>
      <c r="J73" s="14">
        <v>0.2542</v>
      </c>
      <c r="K73" s="14">
        <v>0.1149</v>
      </c>
      <c r="L73" s="14">
        <v>9.6963</v>
      </c>
      <c r="M73" s="14" t="s">
        <v>26</v>
      </c>
    </row>
    <row r="74" ht="15.75" customHeight="1">
      <c r="A74" s="14" t="s">
        <v>439</v>
      </c>
      <c r="B74" s="14" t="s">
        <v>441</v>
      </c>
      <c r="C74" s="14">
        <v>1.0</v>
      </c>
      <c r="D74" s="14" t="s">
        <v>9</v>
      </c>
      <c r="E74" s="14">
        <v>0.6116</v>
      </c>
      <c r="F74" s="14">
        <v>9.6833</v>
      </c>
      <c r="G74" s="14">
        <v>20.1778</v>
      </c>
      <c r="H74" s="14">
        <v>0.9919</v>
      </c>
      <c r="I74" s="14">
        <v>0.2989</v>
      </c>
      <c r="J74" s="14">
        <v>0.2576</v>
      </c>
      <c r="K74" s="14">
        <v>0.108</v>
      </c>
      <c r="L74" s="14">
        <v>9.7396</v>
      </c>
      <c r="M74" s="14" t="s">
        <v>26</v>
      </c>
    </row>
    <row r="75" ht="15.75" customHeight="1">
      <c r="A75" s="14" t="s">
        <v>445</v>
      </c>
      <c r="B75" s="14" t="s">
        <v>447</v>
      </c>
      <c r="C75" s="14">
        <v>1.0</v>
      </c>
      <c r="D75" s="14" t="s">
        <v>9</v>
      </c>
      <c r="E75" s="14">
        <v>0.6159</v>
      </c>
      <c r="F75" s="14">
        <v>9.6833</v>
      </c>
      <c r="G75" s="14">
        <v>20.2955</v>
      </c>
      <c r="H75" s="14">
        <v>0.992</v>
      </c>
      <c r="I75" s="14">
        <v>0.2954</v>
      </c>
      <c r="J75" s="14">
        <v>0.2508</v>
      </c>
      <c r="K75" s="14">
        <v>0.1043</v>
      </c>
      <c r="L75" s="14">
        <v>9.7655</v>
      </c>
      <c r="M75" s="14" t="s">
        <v>26</v>
      </c>
    </row>
    <row r="76" ht="15.75" customHeight="1">
      <c r="A76" s="14" t="s">
        <v>452</v>
      </c>
      <c r="B76" s="14" t="s">
        <v>453</v>
      </c>
      <c r="C76" s="14">
        <v>1.0</v>
      </c>
      <c r="D76" s="14" t="s">
        <v>9</v>
      </c>
      <c r="E76" s="14">
        <v>0.6414</v>
      </c>
      <c r="F76" s="14">
        <v>9.6729</v>
      </c>
      <c r="G76" s="14">
        <v>20.5654</v>
      </c>
      <c r="H76" s="14">
        <v>0.9924</v>
      </c>
      <c r="I76" s="14">
        <v>0.2874</v>
      </c>
      <c r="J76" s="14">
        <v>0.2506</v>
      </c>
      <c r="K76" s="14">
        <v>0.1142</v>
      </c>
      <c r="L76" s="14">
        <v>9.7008</v>
      </c>
      <c r="M76" s="14" t="s">
        <v>26</v>
      </c>
    </row>
    <row r="77" ht="15.75" customHeight="1">
      <c r="A77" s="14" t="s">
        <v>458</v>
      </c>
      <c r="B77" s="14" t="s">
        <v>460</v>
      </c>
      <c r="C77" s="14">
        <v>1.0</v>
      </c>
      <c r="D77" s="14" t="s">
        <v>9</v>
      </c>
      <c r="E77" s="14">
        <v>0.6379</v>
      </c>
      <c r="F77" s="14">
        <v>9.6695</v>
      </c>
      <c r="G77" s="14">
        <v>20.4964</v>
      </c>
      <c r="H77" s="14">
        <v>0.9924</v>
      </c>
      <c r="I77" s="14">
        <v>0.2892</v>
      </c>
      <c r="J77" s="14">
        <v>0.2526</v>
      </c>
      <c r="K77" s="14">
        <v>0.1163</v>
      </c>
      <c r="L77" s="14">
        <v>9.6881</v>
      </c>
      <c r="M77" s="14" t="s">
        <v>26</v>
      </c>
    </row>
    <row r="78" ht="15.75" customHeight="1">
      <c r="A78" s="14" t="s">
        <v>464</v>
      </c>
      <c r="B78" s="14" t="s">
        <v>465</v>
      </c>
      <c r="C78" s="14">
        <v>1.0</v>
      </c>
      <c r="D78" s="14" t="s">
        <v>9</v>
      </c>
      <c r="E78" s="14">
        <v>0.6429</v>
      </c>
      <c r="F78" s="14">
        <v>9.6626</v>
      </c>
      <c r="G78" s="14">
        <v>20.5309</v>
      </c>
      <c r="H78" s="14">
        <v>0.9922</v>
      </c>
      <c r="I78" s="14">
        <v>0.2881</v>
      </c>
      <c r="J78" s="14">
        <v>0.2521</v>
      </c>
      <c r="K78" s="14">
        <v>0.1191</v>
      </c>
      <c r="L78" s="14">
        <v>9.6617</v>
      </c>
      <c r="M78" s="14" t="s">
        <v>26</v>
      </c>
    </row>
    <row r="79" ht="15.75" customHeight="1">
      <c r="A79" s="14" t="s">
        <v>471</v>
      </c>
      <c r="B79" s="14" t="s">
        <v>472</v>
      </c>
      <c r="C79" s="14">
        <v>1.0</v>
      </c>
      <c r="D79" s="14" t="s">
        <v>9</v>
      </c>
      <c r="E79" s="14">
        <v>0.6151</v>
      </c>
      <c r="F79" s="14">
        <v>9.6626</v>
      </c>
      <c r="G79" s="14">
        <v>20.3098</v>
      </c>
      <c r="H79" s="14">
        <v>0.992</v>
      </c>
      <c r="I79" s="14">
        <v>0.2944</v>
      </c>
      <c r="J79" s="14">
        <v>0.2525</v>
      </c>
      <c r="K79" s="14">
        <v>0.1071</v>
      </c>
      <c r="L79" s="14">
        <v>9.7568</v>
      </c>
      <c r="M79" s="14" t="s">
        <v>26</v>
      </c>
    </row>
    <row r="80" ht="15.75" customHeight="1">
      <c r="A80" s="14" t="s">
        <v>477</v>
      </c>
      <c r="B80" s="14" t="s">
        <v>478</v>
      </c>
      <c r="C80" s="14">
        <v>1.0</v>
      </c>
      <c r="D80" s="14" t="s">
        <v>9</v>
      </c>
      <c r="E80" s="14">
        <v>0.6388</v>
      </c>
      <c r="F80" s="14">
        <v>9.6418</v>
      </c>
      <c r="G80" s="14">
        <v>20.4619</v>
      </c>
      <c r="H80" s="14">
        <v>0.9924</v>
      </c>
      <c r="I80" s="14">
        <v>0.2894</v>
      </c>
      <c r="J80" s="14">
        <v>0.2567</v>
      </c>
      <c r="K80" s="14">
        <v>0.1188</v>
      </c>
      <c r="L80" s="14">
        <v>9.6545</v>
      </c>
      <c r="M80" s="14" t="s">
        <v>26</v>
      </c>
    </row>
    <row r="81" ht="15.75" customHeight="1">
      <c r="A81" s="14" t="s">
        <v>484</v>
      </c>
      <c r="B81" s="14" t="s">
        <v>485</v>
      </c>
      <c r="C81" s="14">
        <v>1.0</v>
      </c>
      <c r="D81" s="14" t="s">
        <v>9</v>
      </c>
      <c r="E81" s="14">
        <v>0.638</v>
      </c>
      <c r="F81" s="14">
        <v>9.6418</v>
      </c>
      <c r="G81" s="14">
        <v>20.5309</v>
      </c>
      <c r="H81" s="14">
        <v>0.9924</v>
      </c>
      <c r="I81" s="14">
        <v>0.2874</v>
      </c>
      <c r="J81" s="14">
        <v>0.2592</v>
      </c>
      <c r="K81" s="14">
        <v>0.1211</v>
      </c>
      <c r="L81" s="14">
        <v>9.6303</v>
      </c>
      <c r="M81" s="14" t="s">
        <v>26</v>
      </c>
    </row>
    <row r="82" ht="15.75" customHeight="1">
      <c r="A82" s="14" t="s">
        <v>490</v>
      </c>
      <c r="B82" s="14" t="s">
        <v>491</v>
      </c>
      <c r="C82" s="14">
        <v>1.0</v>
      </c>
      <c r="D82" s="14" t="s">
        <v>9</v>
      </c>
      <c r="E82" s="14">
        <v>0.6341</v>
      </c>
      <c r="F82" s="14">
        <v>9.6279</v>
      </c>
      <c r="G82" s="14">
        <v>20.4497</v>
      </c>
      <c r="H82" s="14">
        <v>0.9926</v>
      </c>
      <c r="I82" s="14">
        <v>0.2893</v>
      </c>
      <c r="J82" s="14">
        <v>0.2514</v>
      </c>
      <c r="K82" s="14">
        <v>0.117</v>
      </c>
      <c r="L82" s="14">
        <v>9.6781</v>
      </c>
      <c r="M82" s="14" t="s">
        <v>26</v>
      </c>
    </row>
    <row r="83" ht="15.75" customHeight="1">
      <c r="A83" s="14" t="s">
        <v>495</v>
      </c>
      <c r="B83" s="14" t="s">
        <v>496</v>
      </c>
      <c r="C83" s="14">
        <v>1.0</v>
      </c>
      <c r="D83" s="14" t="s">
        <v>9</v>
      </c>
      <c r="E83" s="14">
        <v>0.6306</v>
      </c>
      <c r="F83" s="14">
        <v>9.6175</v>
      </c>
      <c r="G83" s="14">
        <v>20.4964</v>
      </c>
      <c r="H83" s="14">
        <v>0.9925</v>
      </c>
      <c r="I83" s="14">
        <v>0.2877</v>
      </c>
      <c r="J83" s="14">
        <v>0.2562</v>
      </c>
      <c r="K83" s="14">
        <v>0.1207</v>
      </c>
      <c r="L83" s="14">
        <v>9.6386</v>
      </c>
      <c r="M83" s="14" t="s">
        <v>26</v>
      </c>
    </row>
    <row r="84" ht="15.75" customHeight="1">
      <c r="A84" s="14" t="s">
        <v>502</v>
      </c>
      <c r="B84" s="14" t="s">
        <v>503</v>
      </c>
      <c r="C84" s="14">
        <v>1.0</v>
      </c>
      <c r="D84" s="14" t="s">
        <v>9</v>
      </c>
      <c r="E84" s="14">
        <v>0.6381</v>
      </c>
      <c r="F84" s="14">
        <v>9.6106</v>
      </c>
      <c r="G84" s="14">
        <v>20.33</v>
      </c>
      <c r="H84" s="14">
        <v>0.9922</v>
      </c>
      <c r="I84" s="14">
        <v>0.2922</v>
      </c>
      <c r="J84" s="14">
        <v>0.2533</v>
      </c>
      <c r="K84" s="14">
        <v>0.115</v>
      </c>
      <c r="L84" s="14">
        <v>9.702</v>
      </c>
      <c r="M84" s="14" t="s">
        <v>26</v>
      </c>
    </row>
    <row r="85" ht="15.75" customHeight="1">
      <c r="A85" s="14" t="s">
        <v>510</v>
      </c>
      <c r="B85" s="14" t="s">
        <v>511</v>
      </c>
      <c r="C85" s="14">
        <v>1.0</v>
      </c>
      <c r="D85" s="14" t="s">
        <v>9</v>
      </c>
      <c r="E85" s="14">
        <v>0.6354</v>
      </c>
      <c r="F85" s="14">
        <v>9.6106</v>
      </c>
      <c r="G85" s="14">
        <v>20.4619</v>
      </c>
      <c r="H85" s="14">
        <v>0.9923</v>
      </c>
      <c r="I85" s="14">
        <v>0.2884</v>
      </c>
      <c r="J85" s="14">
        <v>0.2635</v>
      </c>
      <c r="K85" s="14">
        <v>0.1236</v>
      </c>
      <c r="L85" s="14">
        <v>9.6207</v>
      </c>
      <c r="M85" s="14" t="s">
        <v>26</v>
      </c>
    </row>
    <row r="86" ht="15.75" customHeight="1">
      <c r="A86" s="14" t="s">
        <v>515</v>
      </c>
      <c r="B86" s="14" t="s">
        <v>517</v>
      </c>
      <c r="C86" s="14">
        <v>1.0</v>
      </c>
      <c r="D86" s="14" t="s">
        <v>9</v>
      </c>
      <c r="E86" s="14">
        <v>0.6163</v>
      </c>
      <c r="F86" s="14">
        <v>9.5968</v>
      </c>
      <c r="G86" s="14">
        <v>20.5048</v>
      </c>
      <c r="H86" s="14">
        <v>0.9923</v>
      </c>
      <c r="I86" s="14">
        <v>0.2868</v>
      </c>
      <c r="J86" s="14">
        <v>0.2952</v>
      </c>
      <c r="K86" s="14">
        <v>0.1678</v>
      </c>
      <c r="L86" s="14">
        <v>9.2172</v>
      </c>
      <c r="M86" s="14" t="s">
        <v>26</v>
      </c>
    </row>
    <row r="87" ht="15.75" customHeight="1">
      <c r="A87" s="14" t="s">
        <v>521</v>
      </c>
      <c r="B87" s="14" t="s">
        <v>522</v>
      </c>
      <c r="C87" s="14">
        <v>1.0</v>
      </c>
      <c r="D87" s="14" t="s">
        <v>9</v>
      </c>
      <c r="E87" s="14">
        <v>0.5781</v>
      </c>
      <c r="F87" s="14">
        <v>9.5829</v>
      </c>
      <c r="G87" s="14">
        <v>19.5607</v>
      </c>
      <c r="H87" s="14">
        <v>0.9912</v>
      </c>
      <c r="I87" s="14">
        <v>0.3147</v>
      </c>
      <c r="J87" s="14">
        <v>0.262</v>
      </c>
      <c r="K87" s="14">
        <v>0.084</v>
      </c>
      <c r="L87" s="14">
        <v>9.6407</v>
      </c>
      <c r="M87" s="14" t="s">
        <v>26</v>
      </c>
    </row>
    <row r="88" ht="15.75" customHeight="1">
      <c r="A88" s="14" t="s">
        <v>527</v>
      </c>
      <c r="B88" s="14" t="s">
        <v>530</v>
      </c>
      <c r="C88" s="14">
        <v>1.0</v>
      </c>
      <c r="D88" s="14" t="s">
        <v>9</v>
      </c>
      <c r="E88" s="14">
        <v>0.6363</v>
      </c>
      <c r="F88" s="14">
        <v>9.5725</v>
      </c>
      <c r="G88" s="14">
        <v>20.3787</v>
      </c>
      <c r="H88" s="14">
        <v>0.9926</v>
      </c>
      <c r="I88" s="14">
        <v>0.2897</v>
      </c>
      <c r="J88" s="14">
        <v>0.2541</v>
      </c>
      <c r="K88" s="14">
        <v>0.1214</v>
      </c>
      <c r="L88" s="14">
        <v>9.641</v>
      </c>
      <c r="M88" s="14" t="s">
        <v>26</v>
      </c>
    </row>
    <row r="89" ht="15.75" customHeight="1">
      <c r="A89" s="14" t="s">
        <v>538</v>
      </c>
      <c r="B89" s="14" t="s">
        <v>539</v>
      </c>
      <c r="C89" s="14">
        <v>1.0</v>
      </c>
      <c r="D89" s="14" t="s">
        <v>9</v>
      </c>
      <c r="E89" s="14">
        <v>0.5181</v>
      </c>
      <c r="F89" s="14">
        <v>9.5621</v>
      </c>
      <c r="G89" s="14">
        <v>21.4439</v>
      </c>
      <c r="H89" s="14">
        <v>0.9945</v>
      </c>
      <c r="I89" s="14">
        <v>0.2613</v>
      </c>
      <c r="J89" s="14">
        <v>0.1838</v>
      </c>
      <c r="K89" s="14">
        <v>0.0449</v>
      </c>
      <c r="L89" s="14">
        <v>9.6878</v>
      </c>
      <c r="M89" s="14" t="s">
        <v>26</v>
      </c>
    </row>
    <row r="90" ht="15.75" customHeight="1">
      <c r="A90" s="14" t="s">
        <v>544</v>
      </c>
      <c r="B90" s="14" t="s">
        <v>545</v>
      </c>
      <c r="C90" s="14">
        <v>1.0</v>
      </c>
      <c r="D90" s="14" t="s">
        <v>9</v>
      </c>
      <c r="E90" s="14">
        <v>0.5911</v>
      </c>
      <c r="F90" s="14">
        <v>9.5587</v>
      </c>
      <c r="G90" s="14">
        <v>20.3038</v>
      </c>
      <c r="H90" s="14">
        <v>0.9917</v>
      </c>
      <c r="I90" s="14">
        <v>0.2914</v>
      </c>
      <c r="J90" s="14">
        <v>0.278</v>
      </c>
      <c r="K90" s="14">
        <v>0.1039</v>
      </c>
      <c r="L90" s="14">
        <v>9.5534</v>
      </c>
      <c r="M90" s="14" t="s">
        <v>26</v>
      </c>
    </row>
    <row r="91" ht="15.75" customHeight="1">
      <c r="A91" s="14" t="s">
        <v>547</v>
      </c>
      <c r="B91" s="14" t="s">
        <v>548</v>
      </c>
      <c r="C91" s="14">
        <v>1.0</v>
      </c>
      <c r="D91" s="14" t="s">
        <v>9</v>
      </c>
      <c r="E91" s="14">
        <v>0.6346</v>
      </c>
      <c r="F91" s="14">
        <v>9.5413</v>
      </c>
      <c r="G91" s="14">
        <v>20.5065</v>
      </c>
      <c r="H91" s="14">
        <v>0.9924</v>
      </c>
      <c r="I91" s="14">
        <v>0.2851</v>
      </c>
      <c r="J91" s="14">
        <v>0.2543</v>
      </c>
      <c r="K91" s="14">
        <v>0.1189</v>
      </c>
      <c r="L91" s="14">
        <v>9.6773</v>
      </c>
      <c r="M91" s="14" t="s">
        <v>26</v>
      </c>
    </row>
    <row r="92" ht="15.75" customHeight="1">
      <c r="A92" s="14" t="s">
        <v>553</v>
      </c>
      <c r="B92" s="14" t="s">
        <v>554</v>
      </c>
      <c r="C92" s="14">
        <v>1.0</v>
      </c>
      <c r="D92" s="14" t="s">
        <v>9</v>
      </c>
      <c r="E92" s="14">
        <v>0.5797</v>
      </c>
      <c r="F92" s="14">
        <v>9.524</v>
      </c>
      <c r="G92" s="14">
        <v>19.9971</v>
      </c>
      <c r="H92" s="14">
        <v>0.9925</v>
      </c>
      <c r="I92" s="14">
        <v>0.2993</v>
      </c>
      <c r="J92" s="14">
        <v>0.21</v>
      </c>
      <c r="K92" s="14">
        <v>0.0559</v>
      </c>
      <c r="L92" s="14">
        <v>9.926</v>
      </c>
      <c r="M92" s="14" t="s">
        <v>26</v>
      </c>
    </row>
    <row r="93" ht="15.75" customHeight="1">
      <c r="A93" s="14" t="s">
        <v>560</v>
      </c>
      <c r="B93" s="14" t="s">
        <v>562</v>
      </c>
      <c r="C93" s="14">
        <v>1.0</v>
      </c>
      <c r="D93" s="14" t="s">
        <v>9</v>
      </c>
      <c r="E93" s="14">
        <v>0.5173</v>
      </c>
      <c r="F93" s="14">
        <v>9.5171</v>
      </c>
      <c r="G93" s="14">
        <v>21.2775</v>
      </c>
      <c r="H93" s="14">
        <v>0.9944</v>
      </c>
      <c r="I93" s="14">
        <v>0.2642</v>
      </c>
      <c r="J93" s="14">
        <v>0.2021</v>
      </c>
      <c r="K93" s="14">
        <v>0.044</v>
      </c>
      <c r="L93" s="14">
        <v>9.6887</v>
      </c>
      <c r="M93" s="14" t="s">
        <v>26</v>
      </c>
    </row>
    <row r="94" ht="15.75" customHeight="1">
      <c r="A94" s="14" t="s">
        <v>567</v>
      </c>
      <c r="B94" s="14" t="s">
        <v>569</v>
      </c>
      <c r="C94" s="14">
        <v>1.0</v>
      </c>
      <c r="D94" s="14" t="s">
        <v>9</v>
      </c>
      <c r="E94" s="14">
        <v>0.5276</v>
      </c>
      <c r="F94" s="14">
        <v>9.5032</v>
      </c>
      <c r="G94" s="14">
        <v>21.3119</v>
      </c>
      <c r="H94" s="14">
        <v>0.9947</v>
      </c>
      <c r="I94" s="14">
        <v>0.2629</v>
      </c>
      <c r="J94" s="14">
        <v>0.1921</v>
      </c>
      <c r="K94" s="14">
        <v>0.0469</v>
      </c>
      <c r="L94" s="14">
        <v>9.6257</v>
      </c>
      <c r="M94" s="14" t="s">
        <v>26</v>
      </c>
    </row>
    <row r="95" ht="15.75" customHeight="1">
      <c r="A95" s="14" t="s">
        <v>575</v>
      </c>
      <c r="B95" s="14" t="s">
        <v>576</v>
      </c>
      <c r="C95" s="14">
        <v>1.0</v>
      </c>
      <c r="D95" s="14" t="s">
        <v>9</v>
      </c>
      <c r="E95" s="14">
        <v>0.5253</v>
      </c>
      <c r="F95" s="14">
        <v>9.4859</v>
      </c>
      <c r="G95" s="14">
        <v>21.2775</v>
      </c>
      <c r="H95" s="14">
        <v>0.9946</v>
      </c>
      <c r="I95" s="14">
        <v>0.2633</v>
      </c>
      <c r="J95" s="14">
        <v>0.1959</v>
      </c>
      <c r="K95" s="14">
        <v>0.0469</v>
      </c>
      <c r="L95" s="14">
        <v>9.6463</v>
      </c>
      <c r="M95" s="14" t="s">
        <v>26</v>
      </c>
    </row>
    <row r="96" ht="15.75" customHeight="1">
      <c r="A96" s="14" t="s">
        <v>581</v>
      </c>
      <c r="B96" s="14" t="s">
        <v>582</v>
      </c>
      <c r="C96" s="14">
        <v>1.0</v>
      </c>
      <c r="D96" s="14" t="s">
        <v>9</v>
      </c>
      <c r="E96" s="14">
        <v>0.5556</v>
      </c>
      <c r="F96" s="14">
        <v>9.4444</v>
      </c>
      <c r="G96" s="14">
        <v>20.9101</v>
      </c>
      <c r="H96" s="14">
        <v>0.9942</v>
      </c>
      <c r="I96" s="14">
        <v>0.2714</v>
      </c>
      <c r="J96" s="14">
        <v>0.2308</v>
      </c>
      <c r="K96" s="14">
        <v>0.0494</v>
      </c>
      <c r="L96" s="14">
        <v>9.3175</v>
      </c>
      <c r="M96" s="14" t="s">
        <v>26</v>
      </c>
    </row>
    <row r="97" ht="15.75" customHeight="1">
      <c r="A97" s="14" t="s">
        <v>588</v>
      </c>
      <c r="B97" s="14" t="s">
        <v>589</v>
      </c>
      <c r="C97" s="14">
        <v>1.0</v>
      </c>
      <c r="D97" s="14" t="s">
        <v>9</v>
      </c>
      <c r="E97" s="14">
        <v>0.5257</v>
      </c>
      <c r="F97" s="14">
        <v>9.4409</v>
      </c>
      <c r="G97" s="14">
        <v>21.1455</v>
      </c>
      <c r="H97" s="14">
        <v>0.9945</v>
      </c>
      <c r="I97" s="14">
        <v>0.2653</v>
      </c>
      <c r="J97" s="14">
        <v>0.2052</v>
      </c>
      <c r="K97" s="14">
        <v>0.0456</v>
      </c>
      <c r="L97" s="14">
        <v>9.6503</v>
      </c>
      <c r="M97" s="14" t="s">
        <v>26</v>
      </c>
    </row>
    <row r="98" ht="15.75" customHeight="1">
      <c r="A98" s="14" t="s">
        <v>593</v>
      </c>
      <c r="B98" s="14" t="s">
        <v>594</v>
      </c>
      <c r="C98" s="14">
        <v>1.0</v>
      </c>
      <c r="D98" s="14" t="s">
        <v>9</v>
      </c>
      <c r="E98" s="14">
        <v>0.5445</v>
      </c>
      <c r="F98" s="14">
        <v>9.4271</v>
      </c>
      <c r="G98" s="14">
        <v>20.2063</v>
      </c>
      <c r="H98" s="14">
        <v>0.9921</v>
      </c>
      <c r="I98" s="14">
        <v>0.2901</v>
      </c>
      <c r="J98" s="14">
        <v>0.2793</v>
      </c>
      <c r="K98" s="14">
        <v>0.1149</v>
      </c>
      <c r="L98" s="14">
        <v>9.4994</v>
      </c>
      <c r="M98" s="14" t="s">
        <v>26</v>
      </c>
    </row>
    <row r="99" ht="15.75" customHeight="1">
      <c r="A99" s="14" t="s">
        <v>599</v>
      </c>
      <c r="B99" s="14" t="s">
        <v>600</v>
      </c>
      <c r="C99" s="14">
        <v>1.0</v>
      </c>
      <c r="D99" s="14" t="s">
        <v>9</v>
      </c>
      <c r="E99" s="14">
        <v>0.5208</v>
      </c>
      <c r="F99" s="14">
        <v>9.4063</v>
      </c>
      <c r="G99" s="14">
        <v>21.0156</v>
      </c>
      <c r="H99" s="14">
        <v>0.9946</v>
      </c>
      <c r="I99" s="14">
        <v>0.2676</v>
      </c>
      <c r="J99" s="14">
        <v>0.1965</v>
      </c>
      <c r="K99" s="14">
        <v>0.0459</v>
      </c>
      <c r="L99" s="14">
        <v>9.6476</v>
      </c>
      <c r="M99" s="14" t="s">
        <v>26</v>
      </c>
    </row>
    <row r="100" ht="15.75" customHeight="1">
      <c r="A100" s="14" t="s">
        <v>558</v>
      </c>
      <c r="B100" s="14" t="s">
        <v>602</v>
      </c>
      <c r="C100" s="14">
        <v>1.0</v>
      </c>
      <c r="D100" s="14" t="s">
        <v>9</v>
      </c>
      <c r="E100" s="14">
        <v>0.5687</v>
      </c>
      <c r="F100" s="14">
        <v>9.3959</v>
      </c>
      <c r="G100" s="14">
        <v>20.1088</v>
      </c>
      <c r="H100" s="14">
        <v>0.9926</v>
      </c>
      <c r="I100" s="14">
        <v>0.292</v>
      </c>
      <c r="J100" s="14">
        <v>0.2464</v>
      </c>
      <c r="K100" s="14">
        <v>0.101</v>
      </c>
      <c r="L100" s="14">
        <v>9.7331</v>
      </c>
      <c r="M100" s="14" t="s">
        <v>26</v>
      </c>
    </row>
    <row r="101" ht="15.75" customHeight="1">
      <c r="A101" s="14" t="s">
        <v>607</v>
      </c>
      <c r="B101" s="14" t="s">
        <v>608</v>
      </c>
      <c r="C101" s="14">
        <v>1.0</v>
      </c>
      <c r="D101" s="14" t="s">
        <v>9</v>
      </c>
      <c r="E101" s="14">
        <v>0.5697</v>
      </c>
      <c r="F101" s="14">
        <v>9.3924</v>
      </c>
      <c r="G101" s="14">
        <v>20.5392</v>
      </c>
      <c r="H101" s="14">
        <v>0.9924</v>
      </c>
      <c r="I101" s="14">
        <v>0.2798</v>
      </c>
      <c r="J101" s="14">
        <v>0.302</v>
      </c>
      <c r="K101" s="14">
        <v>0.1616</v>
      </c>
      <c r="L101" s="14">
        <v>9.2436</v>
      </c>
      <c r="M101" s="14" t="s">
        <v>26</v>
      </c>
    </row>
    <row r="102" ht="15.75" customHeight="1">
      <c r="A102" s="14" t="s">
        <v>613</v>
      </c>
      <c r="B102" s="14" t="s">
        <v>614</v>
      </c>
      <c r="C102" s="14">
        <v>1.0</v>
      </c>
      <c r="D102" s="14" t="s">
        <v>9</v>
      </c>
      <c r="E102" s="14">
        <v>0.527</v>
      </c>
      <c r="F102" s="14">
        <v>9.389</v>
      </c>
      <c r="G102" s="14">
        <v>21.111</v>
      </c>
      <c r="H102" s="14">
        <v>0.9945</v>
      </c>
      <c r="I102" s="14">
        <v>0.2647</v>
      </c>
      <c r="J102" s="14">
        <v>0.1982</v>
      </c>
      <c r="K102" s="14">
        <v>0.0461</v>
      </c>
      <c r="L102" s="14">
        <v>9.6371</v>
      </c>
      <c r="M102" s="14" t="s">
        <v>26</v>
      </c>
    </row>
    <row r="103" ht="15.75" customHeight="1">
      <c r="A103" s="14" t="s">
        <v>173</v>
      </c>
      <c r="B103" s="14" t="s">
        <v>619</v>
      </c>
      <c r="C103" s="14">
        <v>1.0</v>
      </c>
      <c r="D103" s="14" t="s">
        <v>9</v>
      </c>
      <c r="E103" s="14">
        <v>0.5477</v>
      </c>
      <c r="F103" s="14">
        <v>9.3786</v>
      </c>
      <c r="G103" s="14">
        <v>21.0076</v>
      </c>
      <c r="H103" s="14">
        <v>0.994</v>
      </c>
      <c r="I103" s="14">
        <v>0.2671</v>
      </c>
      <c r="J103" s="14">
        <v>0.2304</v>
      </c>
      <c r="K103" s="14">
        <v>0.0472</v>
      </c>
      <c r="L103" s="14">
        <v>9.4277</v>
      </c>
      <c r="M103" s="14" t="s">
        <v>26</v>
      </c>
    </row>
    <row r="104" ht="15.75" customHeight="1">
      <c r="A104" s="14" t="s">
        <v>623</v>
      </c>
      <c r="B104" s="14" t="s">
        <v>624</v>
      </c>
      <c r="C104" s="14">
        <v>1.0</v>
      </c>
      <c r="D104" s="14" t="s">
        <v>9</v>
      </c>
      <c r="E104" s="14">
        <v>0.5236</v>
      </c>
      <c r="F104" s="14">
        <v>9.3612</v>
      </c>
      <c r="G104" s="14">
        <v>20.9446</v>
      </c>
      <c r="H104" s="14">
        <v>0.9946</v>
      </c>
      <c r="I104" s="14">
        <v>0.2682</v>
      </c>
      <c r="J104" s="14">
        <v>0.1953</v>
      </c>
      <c r="K104" s="14">
        <v>0.0463</v>
      </c>
      <c r="L104" s="14">
        <v>9.6431</v>
      </c>
      <c r="M104" s="14" t="s">
        <v>26</v>
      </c>
    </row>
    <row r="105" ht="15.75" customHeight="1">
      <c r="A105" s="14" t="s">
        <v>158</v>
      </c>
      <c r="B105" s="14" t="s">
        <v>630</v>
      </c>
      <c r="C105" s="14">
        <v>1.0</v>
      </c>
      <c r="D105" s="14" t="s">
        <v>9</v>
      </c>
      <c r="E105" s="14">
        <v>0.5223</v>
      </c>
      <c r="F105" s="14">
        <v>9.1673</v>
      </c>
      <c r="G105" s="14">
        <v>20.557</v>
      </c>
      <c r="H105" s="14">
        <v>0.9939</v>
      </c>
      <c r="I105" s="14">
        <v>0.2726</v>
      </c>
      <c r="J105" s="14">
        <v>0.2818</v>
      </c>
      <c r="K105" s="14">
        <v>0.0548</v>
      </c>
      <c r="L105" s="14">
        <v>9.0881</v>
      </c>
      <c r="M105" s="14" t="s">
        <v>26</v>
      </c>
    </row>
    <row r="106" ht="15.75" customHeight="1">
      <c r="A106" s="14" t="s">
        <v>635</v>
      </c>
      <c r="B106" s="14" t="s">
        <v>636</v>
      </c>
      <c r="C106" s="14">
        <v>1.0</v>
      </c>
      <c r="D106" s="14" t="s">
        <v>9</v>
      </c>
      <c r="E106" s="14">
        <v>0.5415</v>
      </c>
      <c r="F106" s="14">
        <v>9.0946</v>
      </c>
      <c r="G106" s="14">
        <v>20.5654</v>
      </c>
      <c r="H106" s="14">
        <v>0.9927</v>
      </c>
      <c r="I106" s="14">
        <v>0.2702</v>
      </c>
      <c r="J106" s="14">
        <v>0.2792</v>
      </c>
      <c r="K106" s="14">
        <v>0.0941</v>
      </c>
      <c r="L106" s="14">
        <v>9.3847</v>
      </c>
      <c r="M106" s="14" t="s">
        <v>26</v>
      </c>
    </row>
    <row r="107" ht="15.75" customHeight="1">
      <c r="A107" s="14" t="s">
        <v>143</v>
      </c>
      <c r="B107" s="14" t="s">
        <v>641</v>
      </c>
      <c r="C107" s="14">
        <v>1.0</v>
      </c>
      <c r="D107" s="14" t="s">
        <v>9</v>
      </c>
      <c r="E107" s="14">
        <v>0.5295</v>
      </c>
      <c r="F107" s="14">
        <v>9.0911</v>
      </c>
      <c r="G107" s="14">
        <v>20.7436</v>
      </c>
      <c r="H107" s="14">
        <v>0.9946</v>
      </c>
      <c r="I107" s="14">
        <v>0.2655</v>
      </c>
      <c r="J107" s="14">
        <v>0.2634</v>
      </c>
      <c r="K107" s="14">
        <v>0.0614</v>
      </c>
      <c r="L107" s="14">
        <v>9.2105</v>
      </c>
      <c r="M107" s="14" t="s">
        <v>26</v>
      </c>
    </row>
    <row r="108" ht="15.75" customHeight="1">
      <c r="A108" s="14" t="s">
        <v>85</v>
      </c>
      <c r="B108" s="14" t="s">
        <v>646</v>
      </c>
      <c r="C108" s="14">
        <v>1.0</v>
      </c>
      <c r="D108" s="14" t="s">
        <v>9</v>
      </c>
      <c r="E108" s="14">
        <v>0.5554</v>
      </c>
      <c r="F108" s="14">
        <v>9.0877</v>
      </c>
      <c r="G108" s="14">
        <v>21.2917</v>
      </c>
      <c r="H108" s="14">
        <v>0.9951</v>
      </c>
      <c r="I108" s="14">
        <v>0.2519</v>
      </c>
      <c r="J108" s="14">
        <v>0.2248</v>
      </c>
      <c r="K108" s="14">
        <v>0.0603</v>
      </c>
      <c r="L108" s="14">
        <v>9.4105</v>
      </c>
      <c r="M108" s="14" t="s">
        <v>26</v>
      </c>
    </row>
    <row r="109" ht="15.75" customHeight="1">
      <c r="A109" s="14" t="s">
        <v>653</v>
      </c>
      <c r="B109" s="14" t="s">
        <v>654</v>
      </c>
      <c r="C109" s="14">
        <v>1.0</v>
      </c>
      <c r="D109" s="14" t="s">
        <v>9</v>
      </c>
      <c r="E109" s="14">
        <v>0.5014</v>
      </c>
      <c r="F109" s="14">
        <v>9.0565</v>
      </c>
      <c r="G109" s="14">
        <v>19.2505</v>
      </c>
      <c r="H109" s="14">
        <v>0.9917</v>
      </c>
      <c r="I109" s="14">
        <v>0.3071</v>
      </c>
      <c r="J109" s="14">
        <v>0.3341</v>
      </c>
      <c r="K109" s="14">
        <v>0.1306</v>
      </c>
      <c r="L109" s="14">
        <v>9.0813</v>
      </c>
      <c r="M109" s="14" t="s">
        <v>26</v>
      </c>
    </row>
    <row r="110" ht="15.75" customHeight="1">
      <c r="A110" s="14" t="s">
        <v>659</v>
      </c>
      <c r="B110" s="14" t="s">
        <v>661</v>
      </c>
      <c r="C110" s="14">
        <v>1.0</v>
      </c>
      <c r="D110" s="14" t="s">
        <v>9</v>
      </c>
      <c r="E110" s="14">
        <v>0.541</v>
      </c>
      <c r="F110" s="14">
        <v>9.0253</v>
      </c>
      <c r="G110" s="14">
        <v>21.1539</v>
      </c>
      <c r="H110" s="14">
        <v>0.9948</v>
      </c>
      <c r="I110" s="14">
        <v>0.2535</v>
      </c>
      <c r="J110" s="14">
        <v>0.1855</v>
      </c>
      <c r="K110" s="14">
        <v>0.0534</v>
      </c>
      <c r="L110" s="14">
        <v>9.8924</v>
      </c>
      <c r="M110" s="14" t="s">
        <v>26</v>
      </c>
    </row>
    <row r="111" ht="15.75" customHeight="1">
      <c r="A111" s="14" t="s">
        <v>364</v>
      </c>
      <c r="B111" s="14" t="s">
        <v>667</v>
      </c>
      <c r="C111" s="14">
        <v>1.0</v>
      </c>
      <c r="D111" s="14" t="s">
        <v>9</v>
      </c>
      <c r="E111" s="14">
        <v>0.5383</v>
      </c>
      <c r="F111" s="14">
        <v>9.0218</v>
      </c>
      <c r="G111" s="14">
        <v>21.2228</v>
      </c>
      <c r="H111" s="14">
        <v>0.9948</v>
      </c>
      <c r="I111" s="14">
        <v>0.2517</v>
      </c>
      <c r="J111" s="14">
        <v>0.1875</v>
      </c>
      <c r="K111" s="14">
        <v>0.0532</v>
      </c>
      <c r="L111" s="14">
        <v>9.9072</v>
      </c>
      <c r="M111" s="14" t="s">
        <v>26</v>
      </c>
    </row>
    <row r="112" ht="15.75" customHeight="1">
      <c r="A112" s="14" t="s">
        <v>452</v>
      </c>
      <c r="B112" s="14" t="s">
        <v>673</v>
      </c>
      <c r="C112" s="14">
        <v>1.0</v>
      </c>
      <c r="D112" s="14" t="s">
        <v>9</v>
      </c>
      <c r="E112" s="14">
        <v>0.5388</v>
      </c>
      <c r="F112" s="14">
        <v>9.0184</v>
      </c>
      <c r="G112" s="14">
        <v>20.9874</v>
      </c>
      <c r="H112" s="14">
        <v>0.9946</v>
      </c>
      <c r="I112" s="14">
        <v>0.2573</v>
      </c>
      <c r="J112" s="14">
        <v>0.1848</v>
      </c>
      <c r="K112" s="14">
        <v>0.0496</v>
      </c>
      <c r="L112" s="14">
        <v>9.933</v>
      </c>
      <c r="M112" s="14" t="s">
        <v>26</v>
      </c>
    </row>
    <row r="113" ht="15.75" customHeight="1">
      <c r="A113" s="14" t="s">
        <v>678</v>
      </c>
      <c r="B113" s="14" t="s">
        <v>679</v>
      </c>
      <c r="C113" s="14">
        <v>1.0</v>
      </c>
      <c r="D113" s="14" t="s">
        <v>9</v>
      </c>
      <c r="E113" s="14">
        <v>0.5413</v>
      </c>
      <c r="F113" s="14">
        <v>9.0184</v>
      </c>
      <c r="G113" s="14">
        <v>20.9731</v>
      </c>
      <c r="H113" s="14">
        <v>0.9946</v>
      </c>
      <c r="I113" s="14">
        <v>0.2576</v>
      </c>
      <c r="J113" s="14">
        <v>0.1851</v>
      </c>
      <c r="K113" s="14">
        <v>0.0516</v>
      </c>
      <c r="L113" s="14">
        <v>9.9194</v>
      </c>
      <c r="M113" s="14" t="s">
        <v>26</v>
      </c>
    </row>
    <row r="114" ht="15.75" customHeight="1">
      <c r="A114" s="14" t="s">
        <v>685</v>
      </c>
      <c r="B114" s="14" t="s">
        <v>686</v>
      </c>
      <c r="C114" s="14">
        <v>1.0</v>
      </c>
      <c r="D114" s="14" t="s">
        <v>9</v>
      </c>
      <c r="E114" s="14">
        <v>0.5387</v>
      </c>
      <c r="F114" s="14">
        <v>9.008</v>
      </c>
      <c r="G114" s="14">
        <v>20.8697</v>
      </c>
      <c r="H114" s="14">
        <v>0.9946</v>
      </c>
      <c r="I114" s="14">
        <v>0.2599</v>
      </c>
      <c r="J114" s="14">
        <v>0.186</v>
      </c>
      <c r="K114" s="14">
        <v>0.0514</v>
      </c>
      <c r="L114" s="14">
        <v>9.9231</v>
      </c>
      <c r="M114" s="14" t="s">
        <v>26</v>
      </c>
    </row>
    <row r="115" ht="15.75" customHeight="1">
      <c r="A115" s="14" t="s">
        <v>515</v>
      </c>
      <c r="B115" s="14" t="s">
        <v>694</v>
      </c>
      <c r="C115" s="14">
        <v>1.0</v>
      </c>
      <c r="D115" s="14" t="s">
        <v>9</v>
      </c>
      <c r="E115" s="14">
        <v>0.5427</v>
      </c>
      <c r="F115" s="14">
        <v>9.008</v>
      </c>
      <c r="G115" s="14">
        <v>21.0219</v>
      </c>
      <c r="H115" s="14">
        <v>0.9947</v>
      </c>
      <c r="I115" s="14">
        <v>0.2562</v>
      </c>
      <c r="J115" s="14">
        <v>0.1856</v>
      </c>
      <c r="K115" s="14">
        <v>0.0508</v>
      </c>
      <c r="L115" s="14">
        <v>9.924</v>
      </c>
      <c r="M115" s="14" t="s">
        <v>26</v>
      </c>
    </row>
    <row r="116" ht="15.75" customHeight="1">
      <c r="A116" s="14" t="s">
        <v>700</v>
      </c>
      <c r="B116" s="14" t="s">
        <v>701</v>
      </c>
      <c r="C116" s="14">
        <v>1.0</v>
      </c>
      <c r="D116" s="14" t="s">
        <v>9</v>
      </c>
      <c r="E116" s="14">
        <v>0.5391</v>
      </c>
      <c r="F116" s="14">
        <v>9.008</v>
      </c>
      <c r="G116" s="14">
        <v>21.0219</v>
      </c>
      <c r="H116" s="14">
        <v>0.9947</v>
      </c>
      <c r="I116" s="14">
        <v>0.2562</v>
      </c>
      <c r="J116" s="14">
        <v>0.1869</v>
      </c>
      <c r="K116" s="14">
        <v>0.0511</v>
      </c>
      <c r="L116" s="14">
        <v>9.9162</v>
      </c>
      <c r="M116" s="14" t="s">
        <v>26</v>
      </c>
    </row>
    <row r="117" ht="15.75" customHeight="1">
      <c r="A117" s="14" t="s">
        <v>705</v>
      </c>
      <c r="B117" s="14" t="s">
        <v>706</v>
      </c>
      <c r="C117" s="14">
        <v>1.0</v>
      </c>
      <c r="D117" s="14" t="s">
        <v>9</v>
      </c>
      <c r="E117" s="14">
        <v>0.5407</v>
      </c>
      <c r="F117" s="14">
        <v>9.0045</v>
      </c>
      <c r="G117" s="14">
        <v>21.0563</v>
      </c>
      <c r="H117" s="14">
        <v>0.9947</v>
      </c>
      <c r="I117" s="14">
        <v>0.2552</v>
      </c>
      <c r="J117" s="14">
        <v>0.1851</v>
      </c>
      <c r="K117" s="14">
        <v>0.0505</v>
      </c>
      <c r="L117" s="14">
        <v>9.9411</v>
      </c>
      <c r="M117" s="14" t="s">
        <v>26</v>
      </c>
    </row>
    <row r="118" ht="15.75" customHeight="1">
      <c r="A118" s="14" t="s">
        <v>711</v>
      </c>
      <c r="B118" s="14" t="s">
        <v>712</v>
      </c>
      <c r="C118" s="14">
        <v>1.0</v>
      </c>
      <c r="D118" s="14" t="s">
        <v>9</v>
      </c>
      <c r="E118" s="14">
        <v>0.542</v>
      </c>
      <c r="F118" s="14">
        <v>9.0011</v>
      </c>
      <c r="G118" s="14">
        <v>20.9731</v>
      </c>
      <c r="H118" s="14">
        <v>0.9947</v>
      </c>
      <c r="I118" s="14">
        <v>0.2571</v>
      </c>
      <c r="J118" s="14">
        <v>0.1875</v>
      </c>
      <c r="K118" s="14">
        <v>0.0517</v>
      </c>
      <c r="L118" s="14">
        <v>9.9182</v>
      </c>
      <c r="M118" s="14" t="s">
        <v>26</v>
      </c>
    </row>
    <row r="119" ht="15.75" customHeight="1">
      <c r="A119" s="14" t="s">
        <v>414</v>
      </c>
      <c r="B119" s="14" t="s">
        <v>717</v>
      </c>
      <c r="C119" s="14">
        <v>1.0</v>
      </c>
      <c r="D119" s="14" t="s">
        <v>9</v>
      </c>
      <c r="E119" s="14">
        <v>0.5437</v>
      </c>
      <c r="F119" s="14">
        <v>9.0011</v>
      </c>
      <c r="G119" s="14">
        <v>21.0563</v>
      </c>
      <c r="H119" s="14">
        <v>0.9947</v>
      </c>
      <c r="I119" s="14">
        <v>0.2551</v>
      </c>
      <c r="J119" s="14">
        <v>0.1837</v>
      </c>
      <c r="K119" s="14">
        <v>0.05</v>
      </c>
      <c r="L119" s="14">
        <v>9.9301</v>
      </c>
      <c r="M119" s="14" t="s">
        <v>26</v>
      </c>
    </row>
    <row r="120" ht="15.75" customHeight="1">
      <c r="A120" s="14" t="s">
        <v>597</v>
      </c>
      <c r="B120" s="14" t="s">
        <v>722</v>
      </c>
      <c r="C120" s="14">
        <v>1.0</v>
      </c>
      <c r="D120" s="14" t="s">
        <v>9</v>
      </c>
      <c r="E120" s="14">
        <v>0.5634</v>
      </c>
      <c r="F120" s="14">
        <v>8.9941</v>
      </c>
      <c r="G120" s="14">
        <v>18.9663</v>
      </c>
      <c r="H120" s="14">
        <v>0.9902</v>
      </c>
      <c r="I120" s="14">
        <v>0.3142</v>
      </c>
      <c r="J120" s="14">
        <v>0.2745</v>
      </c>
      <c r="K120" s="14">
        <v>0.0866</v>
      </c>
      <c r="L120" s="14">
        <v>9.5794</v>
      </c>
      <c r="M120" s="14" t="s">
        <v>26</v>
      </c>
    </row>
    <row r="121" ht="15.75" customHeight="1">
      <c r="A121" s="14" t="s">
        <v>726</v>
      </c>
      <c r="B121" s="14" t="s">
        <v>727</v>
      </c>
      <c r="C121" s="14">
        <v>1.0</v>
      </c>
      <c r="D121" s="14" t="s">
        <v>9</v>
      </c>
      <c r="E121" s="14">
        <v>0.537</v>
      </c>
      <c r="F121" s="14">
        <v>8.9907</v>
      </c>
      <c r="G121" s="14">
        <v>20.8209</v>
      </c>
      <c r="H121" s="14">
        <v>0.9946</v>
      </c>
      <c r="I121" s="14">
        <v>0.2606</v>
      </c>
      <c r="J121" s="14">
        <v>0.1861</v>
      </c>
      <c r="K121" s="14">
        <v>0.0529</v>
      </c>
      <c r="L121" s="14">
        <v>9.9375</v>
      </c>
      <c r="M121" s="14" t="s">
        <v>26</v>
      </c>
    </row>
    <row r="122" ht="15.75" customHeight="1">
      <c r="A122" s="14" t="s">
        <v>733</v>
      </c>
      <c r="B122" s="14" t="s">
        <v>734</v>
      </c>
      <c r="C122" s="14">
        <v>1.0</v>
      </c>
      <c r="D122" s="14" t="s">
        <v>9</v>
      </c>
      <c r="E122" s="14">
        <v>0.6088</v>
      </c>
      <c r="F122" s="14">
        <v>8.9838</v>
      </c>
      <c r="G122" s="14">
        <v>20.198</v>
      </c>
      <c r="H122" s="14">
        <v>0.9933</v>
      </c>
      <c r="I122" s="14">
        <v>0.2767</v>
      </c>
      <c r="J122" s="14">
        <v>0.246</v>
      </c>
      <c r="K122" s="14">
        <v>0.096</v>
      </c>
      <c r="L122" s="14">
        <v>9.5846</v>
      </c>
      <c r="M122" s="14" t="s">
        <v>26</v>
      </c>
    </row>
    <row r="123" ht="15.75" customHeight="1">
      <c r="A123" s="14" t="s">
        <v>739</v>
      </c>
      <c r="B123" s="14" t="s">
        <v>740</v>
      </c>
      <c r="C123" s="14">
        <v>1.0</v>
      </c>
      <c r="D123" s="14" t="s">
        <v>9</v>
      </c>
      <c r="E123" s="14">
        <v>0.5418</v>
      </c>
      <c r="F123" s="14">
        <v>8.9768</v>
      </c>
      <c r="G123" s="14">
        <v>21.0706</v>
      </c>
      <c r="H123" s="14">
        <v>0.9947</v>
      </c>
      <c r="I123" s="14">
        <v>0.2541</v>
      </c>
      <c r="J123" s="14">
        <v>0.1856</v>
      </c>
      <c r="K123" s="14">
        <v>0.051</v>
      </c>
      <c r="L123" s="14">
        <v>9.9454</v>
      </c>
      <c r="M123" s="14" t="s">
        <v>26</v>
      </c>
    </row>
    <row r="124" ht="15.75" customHeight="1">
      <c r="A124" s="14" t="s">
        <v>305</v>
      </c>
      <c r="B124" s="14" t="s">
        <v>746</v>
      </c>
      <c r="C124" s="14">
        <v>1.0</v>
      </c>
      <c r="D124" s="14" t="s">
        <v>9</v>
      </c>
      <c r="E124" s="14">
        <v>0.5479</v>
      </c>
      <c r="F124" s="14">
        <v>8.9734</v>
      </c>
      <c r="G124" s="14">
        <v>21.0219</v>
      </c>
      <c r="H124" s="14">
        <v>0.9947</v>
      </c>
      <c r="I124" s="14">
        <v>0.2552</v>
      </c>
      <c r="J124" s="14">
        <v>0.18</v>
      </c>
      <c r="K124" s="14">
        <v>0.0486</v>
      </c>
      <c r="L124" s="14">
        <v>9.9821</v>
      </c>
      <c r="M124" s="14" t="s">
        <v>26</v>
      </c>
    </row>
    <row r="125" ht="15.75" customHeight="1">
      <c r="A125" s="14" t="s">
        <v>344</v>
      </c>
      <c r="B125" s="14" t="s">
        <v>749</v>
      </c>
      <c r="C125" s="14">
        <v>1.0</v>
      </c>
      <c r="D125" s="14" t="s">
        <v>9</v>
      </c>
      <c r="E125" s="14">
        <v>0.5373</v>
      </c>
      <c r="F125" s="14">
        <v>8.9734</v>
      </c>
      <c r="G125" s="14">
        <v>20.8554</v>
      </c>
      <c r="H125" s="14">
        <v>0.9947</v>
      </c>
      <c r="I125" s="14">
        <v>0.2593</v>
      </c>
      <c r="J125" s="14">
        <v>0.1859</v>
      </c>
      <c r="K125" s="14">
        <v>0.0549</v>
      </c>
      <c r="L125" s="14">
        <v>9.9002</v>
      </c>
      <c r="M125" s="14" t="s">
        <v>26</v>
      </c>
    </row>
    <row r="126" ht="15.75" customHeight="1">
      <c r="A126" s="14" t="s">
        <v>458</v>
      </c>
      <c r="B126" s="14" t="s">
        <v>755</v>
      </c>
      <c r="C126" s="14">
        <v>1.0</v>
      </c>
      <c r="D126" s="14" t="s">
        <v>9</v>
      </c>
      <c r="E126" s="14">
        <v>0.5414</v>
      </c>
      <c r="F126" s="14">
        <v>8.9734</v>
      </c>
      <c r="G126" s="14">
        <v>21.0219</v>
      </c>
      <c r="H126" s="14">
        <v>0.9947</v>
      </c>
      <c r="I126" s="14">
        <v>0.2552</v>
      </c>
      <c r="J126" s="14">
        <v>0.1845</v>
      </c>
      <c r="K126" s="14">
        <v>0.0494</v>
      </c>
      <c r="L126" s="14">
        <v>9.9408</v>
      </c>
      <c r="M126" s="14" t="s">
        <v>26</v>
      </c>
    </row>
    <row r="127" ht="15.75" customHeight="1">
      <c r="A127" s="14" t="s">
        <v>312</v>
      </c>
      <c r="B127" s="14" t="s">
        <v>762</v>
      </c>
      <c r="C127" s="14">
        <v>1.0</v>
      </c>
      <c r="D127" s="14" t="s">
        <v>9</v>
      </c>
      <c r="E127" s="14">
        <v>0.5448</v>
      </c>
      <c r="F127" s="14">
        <v>8.9734</v>
      </c>
      <c r="G127" s="14">
        <v>20.9874</v>
      </c>
      <c r="H127" s="14">
        <v>0.9947</v>
      </c>
      <c r="I127" s="14">
        <v>0.256</v>
      </c>
      <c r="J127" s="14">
        <v>0.1816</v>
      </c>
      <c r="K127" s="14">
        <v>0.05</v>
      </c>
      <c r="L127" s="14">
        <v>9.935</v>
      </c>
      <c r="M127" s="14" t="s">
        <v>26</v>
      </c>
    </row>
    <row r="128" ht="15.75" customHeight="1">
      <c r="A128" s="14" t="s">
        <v>510</v>
      </c>
      <c r="B128" s="14" t="s">
        <v>766</v>
      </c>
      <c r="C128" s="14">
        <v>1.0</v>
      </c>
      <c r="D128" s="14" t="s">
        <v>9</v>
      </c>
      <c r="E128" s="14">
        <v>0.5438</v>
      </c>
      <c r="F128" s="14">
        <v>8.9699</v>
      </c>
      <c r="G128" s="14">
        <v>21.0219</v>
      </c>
      <c r="H128" s="14">
        <v>0.9948</v>
      </c>
      <c r="I128" s="14">
        <v>0.2551</v>
      </c>
      <c r="J128" s="14">
        <v>0.1818</v>
      </c>
      <c r="K128" s="14">
        <v>0.0478</v>
      </c>
      <c r="L128" s="14">
        <v>9.9699</v>
      </c>
      <c r="M128" s="14" t="s">
        <v>26</v>
      </c>
    </row>
    <row r="129" ht="15.75" customHeight="1">
      <c r="A129" s="14" t="s">
        <v>770</v>
      </c>
      <c r="B129" s="14" t="s">
        <v>771</v>
      </c>
      <c r="C129" s="14">
        <v>1.0</v>
      </c>
      <c r="D129" s="14" t="s">
        <v>9</v>
      </c>
      <c r="E129" s="14">
        <v>0.5421</v>
      </c>
      <c r="F129" s="14">
        <v>8.9664</v>
      </c>
      <c r="G129" s="14">
        <v>21.0706</v>
      </c>
      <c r="H129" s="14">
        <v>0.9947</v>
      </c>
      <c r="I129" s="14">
        <v>0.2538</v>
      </c>
      <c r="J129" s="14">
        <v>0.1868</v>
      </c>
      <c r="K129" s="14">
        <v>0.0517</v>
      </c>
      <c r="L129" s="14">
        <v>9.9209</v>
      </c>
      <c r="M129" s="14" t="s">
        <v>26</v>
      </c>
    </row>
    <row r="130" ht="15.75" customHeight="1">
      <c r="A130" s="14" t="s">
        <v>264</v>
      </c>
      <c r="B130" s="14" t="s">
        <v>774</v>
      </c>
      <c r="C130" s="14">
        <v>1.0</v>
      </c>
      <c r="D130" s="14" t="s">
        <v>9</v>
      </c>
      <c r="E130" s="14">
        <v>0.5439</v>
      </c>
      <c r="F130" s="14">
        <v>8.9457</v>
      </c>
      <c r="G130" s="14">
        <v>20.9874</v>
      </c>
      <c r="H130" s="14">
        <v>0.9947</v>
      </c>
      <c r="I130" s="14">
        <v>0.2552</v>
      </c>
      <c r="J130" s="14">
        <v>0.1817</v>
      </c>
      <c r="K130" s="14">
        <v>0.0493</v>
      </c>
      <c r="L130" s="14">
        <v>9.9812</v>
      </c>
      <c r="M130" s="14" t="s">
        <v>26</v>
      </c>
    </row>
    <row r="131" ht="15.75" customHeight="1">
      <c r="A131" s="14" t="s">
        <v>780</v>
      </c>
      <c r="B131" s="14" t="s">
        <v>781</v>
      </c>
      <c r="C131" s="14">
        <v>1.0</v>
      </c>
      <c r="D131" s="14" t="s">
        <v>9</v>
      </c>
      <c r="E131" s="14">
        <v>0.5408</v>
      </c>
      <c r="F131" s="14">
        <v>8.9249</v>
      </c>
      <c r="G131" s="14">
        <v>21.174</v>
      </c>
      <c r="H131" s="14">
        <v>0.9947</v>
      </c>
      <c r="I131" s="14">
        <v>0.2502</v>
      </c>
      <c r="J131" s="14">
        <v>0.1943</v>
      </c>
      <c r="K131" s="14">
        <v>0.0567</v>
      </c>
      <c r="L131" s="14">
        <v>9.8646</v>
      </c>
      <c r="M131" s="14" t="s">
        <v>26</v>
      </c>
    </row>
    <row r="132" ht="15.75" customHeight="1">
      <c r="A132" s="14" t="s">
        <v>785</v>
      </c>
      <c r="B132" s="14" t="s">
        <v>786</v>
      </c>
      <c r="C132" s="14">
        <v>1.0</v>
      </c>
      <c r="D132" s="14" t="s">
        <v>9</v>
      </c>
      <c r="E132" s="14">
        <v>0.5232</v>
      </c>
      <c r="F132" s="14">
        <v>8.9214</v>
      </c>
      <c r="G132" s="14">
        <v>20.4738</v>
      </c>
      <c r="H132" s="14">
        <v>0.9943</v>
      </c>
      <c r="I132" s="14">
        <v>0.2675</v>
      </c>
      <c r="J132" s="14">
        <v>0.2757</v>
      </c>
      <c r="K132" s="14">
        <v>0.057</v>
      </c>
      <c r="L132" s="14">
        <v>9.1163</v>
      </c>
      <c r="M132" s="14" t="s">
        <v>26</v>
      </c>
    </row>
    <row r="133" ht="15.75" customHeight="1">
      <c r="A133" s="14" t="s">
        <v>791</v>
      </c>
      <c r="B133" s="14" t="s">
        <v>792</v>
      </c>
      <c r="C133" s="14">
        <v>1.0</v>
      </c>
      <c r="D133" s="14" t="s">
        <v>9</v>
      </c>
      <c r="E133" s="14">
        <v>0.5593</v>
      </c>
      <c r="F133" s="14">
        <v>8.911</v>
      </c>
      <c r="G133" s="14">
        <v>20.7092</v>
      </c>
      <c r="H133" s="14">
        <v>0.9952</v>
      </c>
      <c r="I133" s="14">
        <v>0.2611</v>
      </c>
      <c r="J133" s="14">
        <v>0.1741</v>
      </c>
      <c r="K133" s="14">
        <v>0.0382</v>
      </c>
      <c r="L133" s="14">
        <v>9.8922</v>
      </c>
      <c r="M133" s="14" t="s">
        <v>26</v>
      </c>
    </row>
    <row r="134" ht="15.75" customHeight="1">
      <c r="A134" s="14" t="s">
        <v>796</v>
      </c>
      <c r="B134" s="14" t="s">
        <v>797</v>
      </c>
      <c r="C134" s="14">
        <v>1.0</v>
      </c>
      <c r="D134" s="14" t="s">
        <v>9</v>
      </c>
      <c r="E134" s="14">
        <v>0.556</v>
      </c>
      <c r="F134" s="14">
        <v>8.8972</v>
      </c>
      <c r="G134" s="14">
        <v>20.6423</v>
      </c>
      <c r="H134" s="14">
        <v>0.9952</v>
      </c>
      <c r="I134" s="14">
        <v>0.2624</v>
      </c>
      <c r="J134" s="14">
        <v>0.1767</v>
      </c>
      <c r="K134" s="14">
        <v>0.0393</v>
      </c>
      <c r="L134" s="14">
        <v>9.9081</v>
      </c>
      <c r="M134" s="14" t="s">
        <v>26</v>
      </c>
    </row>
    <row r="135" ht="15.75" customHeight="1">
      <c r="A135" s="14" t="s">
        <v>800</v>
      </c>
      <c r="B135" s="14" t="s">
        <v>801</v>
      </c>
      <c r="C135" s="14">
        <v>1.0</v>
      </c>
      <c r="D135" s="14" t="s">
        <v>9</v>
      </c>
      <c r="E135" s="14">
        <v>0.5587</v>
      </c>
      <c r="F135" s="14">
        <v>8.8902</v>
      </c>
      <c r="G135" s="14">
        <v>20.7092</v>
      </c>
      <c r="H135" s="14">
        <v>0.9952</v>
      </c>
      <c r="I135" s="14">
        <v>0.2605</v>
      </c>
      <c r="J135" s="14">
        <v>0.1752</v>
      </c>
      <c r="K135" s="14">
        <v>0.0386</v>
      </c>
      <c r="L135" s="14">
        <v>9.8954</v>
      </c>
      <c r="M135" s="14" t="s">
        <v>26</v>
      </c>
    </row>
    <row r="136" ht="15.75" customHeight="1">
      <c r="A136" s="14" t="s">
        <v>805</v>
      </c>
      <c r="B136" s="14" t="s">
        <v>807</v>
      </c>
      <c r="C136" s="14">
        <v>1.0</v>
      </c>
      <c r="D136" s="14" t="s">
        <v>9</v>
      </c>
      <c r="E136" s="14">
        <v>0.5577</v>
      </c>
      <c r="F136" s="14">
        <v>8.8868</v>
      </c>
      <c r="G136" s="14">
        <v>20.7092</v>
      </c>
      <c r="H136" s="14">
        <v>0.9952</v>
      </c>
      <c r="I136" s="14">
        <v>0.2604</v>
      </c>
      <c r="J136" s="14">
        <v>0.1772</v>
      </c>
      <c r="K136" s="14">
        <v>0.0385</v>
      </c>
      <c r="L136" s="14">
        <v>9.8956</v>
      </c>
      <c r="M136" s="14" t="s">
        <v>26</v>
      </c>
    </row>
    <row r="137" ht="15.75" customHeight="1">
      <c r="A137" s="14" t="s">
        <v>812</v>
      </c>
      <c r="B137" s="14" t="s">
        <v>814</v>
      </c>
      <c r="C137" s="14">
        <v>1.0</v>
      </c>
      <c r="D137" s="14" t="s">
        <v>9</v>
      </c>
      <c r="E137" s="14">
        <v>0.5556</v>
      </c>
      <c r="F137" s="14">
        <v>8.8868</v>
      </c>
      <c r="G137" s="14">
        <v>20.6747</v>
      </c>
      <c r="H137" s="14">
        <v>0.9952</v>
      </c>
      <c r="I137" s="14">
        <v>0.2613</v>
      </c>
      <c r="J137" s="14">
        <v>0.1764</v>
      </c>
      <c r="K137" s="14">
        <v>0.0385</v>
      </c>
      <c r="L137" s="14">
        <v>9.899</v>
      </c>
      <c r="M137" s="14" t="s">
        <v>26</v>
      </c>
    </row>
    <row r="138" ht="15.75" customHeight="1">
      <c r="A138" s="14" t="s">
        <v>819</v>
      </c>
      <c r="B138" s="14" t="s">
        <v>820</v>
      </c>
      <c r="C138" s="14">
        <v>1.0</v>
      </c>
      <c r="D138" s="14" t="s">
        <v>9</v>
      </c>
      <c r="E138" s="14">
        <v>0.5228</v>
      </c>
      <c r="F138" s="14">
        <v>8.8729</v>
      </c>
      <c r="G138" s="14">
        <v>21.2144</v>
      </c>
      <c r="H138" s="14">
        <v>0.9954</v>
      </c>
      <c r="I138" s="14">
        <v>0.2478</v>
      </c>
      <c r="J138" s="14">
        <v>0.1895</v>
      </c>
      <c r="K138" s="14">
        <v>0.0452</v>
      </c>
      <c r="L138" s="14">
        <v>9.4364</v>
      </c>
      <c r="M138" s="14" t="s">
        <v>26</v>
      </c>
    </row>
    <row r="139" ht="15.75" customHeight="1">
      <c r="A139" s="14" t="s">
        <v>824</v>
      </c>
      <c r="B139" s="14" t="s">
        <v>825</v>
      </c>
      <c r="C139" s="14">
        <v>1.0</v>
      </c>
      <c r="D139" s="14" t="s">
        <v>9</v>
      </c>
      <c r="E139" s="14">
        <v>0.5237</v>
      </c>
      <c r="F139" s="14">
        <v>8.866</v>
      </c>
      <c r="G139" s="14">
        <v>21.2144</v>
      </c>
      <c r="H139" s="14">
        <v>0.9954</v>
      </c>
      <c r="I139" s="14">
        <v>0.2476</v>
      </c>
      <c r="J139" s="14">
        <v>0.1921</v>
      </c>
      <c r="K139" s="14">
        <v>0.0454</v>
      </c>
      <c r="L139" s="14">
        <v>9.4374</v>
      </c>
      <c r="M139" s="14" t="s">
        <v>26</v>
      </c>
    </row>
    <row r="140" ht="15.75" customHeight="1">
      <c r="A140" s="14" t="s">
        <v>828</v>
      </c>
      <c r="B140" s="14" t="s">
        <v>829</v>
      </c>
      <c r="C140" s="14">
        <v>1.0</v>
      </c>
      <c r="D140" s="14" t="s">
        <v>9</v>
      </c>
      <c r="E140" s="14">
        <v>0.5261</v>
      </c>
      <c r="F140" s="14">
        <v>8.866</v>
      </c>
      <c r="G140" s="14">
        <v>21.2144</v>
      </c>
      <c r="H140" s="14">
        <v>0.9954</v>
      </c>
      <c r="I140" s="14">
        <v>0.2476</v>
      </c>
      <c r="J140" s="14">
        <v>0.1907</v>
      </c>
      <c r="K140" s="14">
        <v>0.0456</v>
      </c>
      <c r="L140" s="14">
        <v>9.4284</v>
      </c>
      <c r="M140" s="14" t="s">
        <v>26</v>
      </c>
    </row>
    <row r="141" ht="15.75" customHeight="1">
      <c r="A141" s="14" t="s">
        <v>393</v>
      </c>
      <c r="B141" s="14" t="s">
        <v>833</v>
      </c>
      <c r="C141" s="14">
        <v>1.0</v>
      </c>
      <c r="D141" s="14" t="s">
        <v>9</v>
      </c>
      <c r="E141" s="14">
        <v>0.5399</v>
      </c>
      <c r="F141" s="14">
        <v>8.8418</v>
      </c>
      <c r="G141" s="14">
        <v>21.0807</v>
      </c>
      <c r="H141" s="14">
        <v>0.9946</v>
      </c>
      <c r="I141" s="14">
        <v>0.25</v>
      </c>
      <c r="J141" s="14">
        <v>0.1839</v>
      </c>
      <c r="K141" s="14">
        <v>0.0469</v>
      </c>
      <c r="L141" s="14">
        <v>9.9876</v>
      </c>
      <c r="M141" s="14" t="s">
        <v>26</v>
      </c>
    </row>
    <row r="142" ht="15.75" customHeight="1">
      <c r="A142" s="14" t="s">
        <v>838</v>
      </c>
      <c r="B142" s="14" t="s">
        <v>839</v>
      </c>
      <c r="C142" s="14">
        <v>1.0</v>
      </c>
      <c r="D142" s="14" t="s">
        <v>9</v>
      </c>
      <c r="E142" s="14">
        <v>0.5134</v>
      </c>
      <c r="F142" s="14">
        <v>8.8244</v>
      </c>
      <c r="G142" s="14">
        <v>21.6045</v>
      </c>
      <c r="H142" s="14">
        <v>0.9945</v>
      </c>
      <c r="I142" s="14">
        <v>0.2376</v>
      </c>
      <c r="J142" s="14">
        <v>0.2197</v>
      </c>
      <c r="K142" s="14">
        <v>0.0502</v>
      </c>
      <c r="L142" s="14">
        <v>9.6386</v>
      </c>
      <c r="M142" s="14" t="s">
        <v>26</v>
      </c>
    </row>
    <row r="143" ht="15.75" customHeight="1">
      <c r="A143" s="14" t="s">
        <v>843</v>
      </c>
      <c r="B143" s="14" t="s">
        <v>844</v>
      </c>
      <c r="C143" s="14">
        <v>1.0</v>
      </c>
      <c r="D143" s="14" t="s">
        <v>9</v>
      </c>
      <c r="E143" s="14">
        <v>0.5273</v>
      </c>
      <c r="F143" s="14">
        <v>8.8244</v>
      </c>
      <c r="G143" s="14">
        <v>21.0135</v>
      </c>
      <c r="H143" s="14">
        <v>0.9955</v>
      </c>
      <c r="I143" s="14">
        <v>0.2511</v>
      </c>
      <c r="J143" s="14">
        <v>0.1931</v>
      </c>
      <c r="K143" s="14">
        <v>0.0461</v>
      </c>
      <c r="L143" s="14">
        <v>9.4243</v>
      </c>
      <c r="M143" s="14" t="s">
        <v>26</v>
      </c>
    </row>
    <row r="144" ht="15.75" customHeight="1">
      <c r="A144" s="14" t="s">
        <v>847</v>
      </c>
      <c r="B144" s="14" t="s">
        <v>848</v>
      </c>
      <c r="C144" s="14">
        <v>1.0</v>
      </c>
      <c r="D144" s="14" t="s">
        <v>9</v>
      </c>
      <c r="E144" s="14">
        <v>0.5632</v>
      </c>
      <c r="F144" s="14">
        <v>8.821</v>
      </c>
      <c r="G144" s="14">
        <v>20.9101</v>
      </c>
      <c r="H144" s="14">
        <v>0.9952</v>
      </c>
      <c r="I144" s="14">
        <v>0.2535</v>
      </c>
      <c r="J144" s="14">
        <v>0.1753</v>
      </c>
      <c r="K144" s="14">
        <v>0.0384</v>
      </c>
      <c r="L144" s="14">
        <v>9.9093</v>
      </c>
      <c r="M144" s="14" t="s">
        <v>26</v>
      </c>
    </row>
    <row r="145" ht="15.75" customHeight="1">
      <c r="A145" s="14" t="s">
        <v>852</v>
      </c>
      <c r="B145" s="14" t="s">
        <v>853</v>
      </c>
      <c r="C145" s="14">
        <v>1.0</v>
      </c>
      <c r="D145" s="14" t="s">
        <v>9</v>
      </c>
      <c r="E145" s="14">
        <v>0.5326</v>
      </c>
      <c r="F145" s="14">
        <v>8.821</v>
      </c>
      <c r="G145" s="14">
        <v>21.0845</v>
      </c>
      <c r="H145" s="14">
        <v>0.9955</v>
      </c>
      <c r="I145" s="14">
        <v>0.2493</v>
      </c>
      <c r="J145" s="14">
        <v>0.1923</v>
      </c>
      <c r="K145" s="14">
        <v>0.0448</v>
      </c>
      <c r="L145" s="14">
        <v>9.4692</v>
      </c>
      <c r="M145" s="14" t="s">
        <v>26</v>
      </c>
    </row>
    <row r="146" ht="15.75" customHeight="1">
      <c r="A146" s="14" t="s">
        <v>855</v>
      </c>
      <c r="B146" s="14" t="s">
        <v>856</v>
      </c>
      <c r="C146" s="14">
        <v>1.0</v>
      </c>
      <c r="D146" s="14" t="s">
        <v>9</v>
      </c>
      <c r="E146" s="14">
        <v>0.5236</v>
      </c>
      <c r="F146" s="14">
        <v>8.8175</v>
      </c>
      <c r="G146" s="14">
        <v>21.0135</v>
      </c>
      <c r="H146" s="14">
        <v>0.9955</v>
      </c>
      <c r="I146" s="14">
        <v>0.2509</v>
      </c>
      <c r="J146" s="14">
        <v>0.1933</v>
      </c>
      <c r="K146" s="14">
        <v>0.0455</v>
      </c>
      <c r="L146" s="14">
        <v>9.4422</v>
      </c>
      <c r="M146" s="14" t="s">
        <v>26</v>
      </c>
    </row>
    <row r="147" ht="15.75" customHeight="1">
      <c r="A147" s="14" t="s">
        <v>859</v>
      </c>
      <c r="B147" s="14" t="s">
        <v>860</v>
      </c>
      <c r="C147" s="14">
        <v>1.0</v>
      </c>
      <c r="D147" s="14" t="s">
        <v>9</v>
      </c>
      <c r="E147" s="14">
        <v>0.5776</v>
      </c>
      <c r="F147" s="14">
        <v>8.8175</v>
      </c>
      <c r="G147" s="14">
        <v>19.8247</v>
      </c>
      <c r="H147" s="14">
        <v>0.9929</v>
      </c>
      <c r="I147" s="14">
        <v>0.2819</v>
      </c>
      <c r="J147" s="14">
        <v>0.2618</v>
      </c>
      <c r="K147" s="14">
        <v>0.1013</v>
      </c>
      <c r="L147" s="14">
        <v>9.5762</v>
      </c>
      <c r="M147" s="14" t="s">
        <v>26</v>
      </c>
    </row>
    <row r="148" ht="15.75" customHeight="1">
      <c r="A148" s="14" t="s">
        <v>428</v>
      </c>
      <c r="B148" s="14" t="s">
        <v>863</v>
      </c>
      <c r="C148" s="14">
        <v>1.0</v>
      </c>
      <c r="D148" s="14" t="s">
        <v>9</v>
      </c>
      <c r="E148" s="14">
        <v>0.5397</v>
      </c>
      <c r="F148" s="14">
        <v>8.8141</v>
      </c>
      <c r="G148" s="14">
        <v>20.9487</v>
      </c>
      <c r="H148" s="14">
        <v>0.9945</v>
      </c>
      <c r="I148" s="14">
        <v>0.2524</v>
      </c>
      <c r="J148" s="14">
        <v>0.1817</v>
      </c>
      <c r="K148" s="14">
        <v>0.0452</v>
      </c>
      <c r="L148" s="14">
        <v>9.979</v>
      </c>
      <c r="M148" s="14" t="s">
        <v>26</v>
      </c>
    </row>
    <row r="149" ht="15.75" customHeight="1">
      <c r="A149" s="14" t="s">
        <v>869</v>
      </c>
      <c r="B149" s="14" t="s">
        <v>870</v>
      </c>
      <c r="C149" s="14">
        <v>1.0</v>
      </c>
      <c r="D149" s="14" t="s">
        <v>9</v>
      </c>
      <c r="E149" s="14">
        <v>0.5617</v>
      </c>
      <c r="F149" s="14">
        <v>8.8071</v>
      </c>
      <c r="G149" s="14">
        <v>20.8756</v>
      </c>
      <c r="H149" s="14">
        <v>0.9952</v>
      </c>
      <c r="I149" s="14">
        <v>0.254</v>
      </c>
      <c r="J149" s="14">
        <v>0.1792</v>
      </c>
      <c r="K149" s="14">
        <v>0.0389</v>
      </c>
      <c r="L149" s="14">
        <v>9.882</v>
      </c>
      <c r="M149" s="14" t="s">
        <v>26</v>
      </c>
    </row>
    <row r="150" ht="15.75" customHeight="1">
      <c r="A150" s="14" t="s">
        <v>875</v>
      </c>
      <c r="B150" s="14" t="s">
        <v>876</v>
      </c>
      <c r="C150" s="14">
        <v>1.0</v>
      </c>
      <c r="D150" s="14" t="s">
        <v>9</v>
      </c>
      <c r="E150" s="14">
        <v>0.586</v>
      </c>
      <c r="F150" s="14">
        <v>8.8037</v>
      </c>
      <c r="G150" s="14">
        <v>20.0946</v>
      </c>
      <c r="H150" s="14">
        <v>0.9935</v>
      </c>
      <c r="I150" s="14">
        <v>0.274</v>
      </c>
      <c r="J150" s="14">
        <v>0.2324</v>
      </c>
      <c r="K150" s="14">
        <v>0.0997</v>
      </c>
      <c r="L150" s="14">
        <v>9.7335</v>
      </c>
      <c r="M150" s="14" t="s">
        <v>26</v>
      </c>
    </row>
    <row r="151" ht="15.75" customHeight="1">
      <c r="A151" s="14" t="s">
        <v>520</v>
      </c>
      <c r="B151" s="14" t="s">
        <v>880</v>
      </c>
      <c r="C151" s="14">
        <v>1.0</v>
      </c>
      <c r="D151" s="14" t="s">
        <v>9</v>
      </c>
      <c r="E151" s="14">
        <v>0.5296</v>
      </c>
      <c r="F151" s="14">
        <v>8.8037</v>
      </c>
      <c r="G151" s="14">
        <v>20.9446</v>
      </c>
      <c r="H151" s="14">
        <v>0.9953</v>
      </c>
      <c r="I151" s="14">
        <v>0.2522</v>
      </c>
      <c r="J151" s="14">
        <v>0.1879</v>
      </c>
      <c r="K151" s="14">
        <v>0.0442</v>
      </c>
      <c r="L151" s="14">
        <v>9.4812</v>
      </c>
      <c r="M151" s="14" t="s">
        <v>26</v>
      </c>
    </row>
    <row r="152" ht="15.75" customHeight="1">
      <c r="A152" s="14" t="s">
        <v>885</v>
      </c>
      <c r="B152" s="14" t="s">
        <v>886</v>
      </c>
      <c r="C152" s="14">
        <v>1.0</v>
      </c>
      <c r="D152" s="14" t="s">
        <v>9</v>
      </c>
      <c r="E152" s="14">
        <v>0.5227</v>
      </c>
      <c r="F152" s="14">
        <v>8.8002</v>
      </c>
      <c r="G152" s="14">
        <v>20.979</v>
      </c>
      <c r="H152" s="14">
        <v>0.9955</v>
      </c>
      <c r="I152" s="14">
        <v>0.2513</v>
      </c>
      <c r="J152" s="14">
        <v>0.1908</v>
      </c>
      <c r="K152" s="14">
        <v>0.045</v>
      </c>
      <c r="L152" s="14">
        <v>9.4641</v>
      </c>
      <c r="M152" s="14" t="s">
        <v>26</v>
      </c>
    </row>
    <row r="153" ht="15.75" customHeight="1">
      <c r="A153" s="14" t="s">
        <v>891</v>
      </c>
      <c r="B153" s="14" t="s">
        <v>892</v>
      </c>
      <c r="C153" s="14">
        <v>1.0</v>
      </c>
      <c r="D153" s="14" t="s">
        <v>9</v>
      </c>
      <c r="E153" s="14">
        <v>0.5608</v>
      </c>
      <c r="F153" s="14">
        <v>8.7967</v>
      </c>
      <c r="G153" s="14">
        <v>20.8756</v>
      </c>
      <c r="H153" s="14">
        <v>0.9952</v>
      </c>
      <c r="I153" s="14">
        <v>0.2537</v>
      </c>
      <c r="J153" s="14">
        <v>0.1757</v>
      </c>
      <c r="K153" s="14">
        <v>0.0385</v>
      </c>
      <c r="L153" s="14">
        <v>9.9008</v>
      </c>
      <c r="M153" s="14" t="s">
        <v>26</v>
      </c>
    </row>
    <row r="154" ht="15.75" customHeight="1">
      <c r="A154" s="14" t="s">
        <v>439</v>
      </c>
      <c r="B154" s="14" t="s">
        <v>896</v>
      </c>
      <c r="C154" s="14">
        <v>1.0</v>
      </c>
      <c r="D154" s="14" t="s">
        <v>9</v>
      </c>
      <c r="E154" s="14">
        <v>0.5438</v>
      </c>
      <c r="F154" s="14">
        <v>8.7967</v>
      </c>
      <c r="G154" s="14">
        <v>20.8067</v>
      </c>
      <c r="H154" s="14">
        <v>0.9945</v>
      </c>
      <c r="I154" s="14">
        <v>0.2553</v>
      </c>
      <c r="J154" s="14">
        <v>0.1829</v>
      </c>
      <c r="K154" s="14">
        <v>0.0454</v>
      </c>
      <c r="L154" s="14">
        <v>10.0021</v>
      </c>
      <c r="M154" s="14" t="s">
        <v>26</v>
      </c>
    </row>
    <row r="155" ht="15.75" customHeight="1">
      <c r="A155" s="14" t="s">
        <v>899</v>
      </c>
      <c r="B155" s="14" t="s">
        <v>901</v>
      </c>
      <c r="C155" s="14">
        <v>1.0</v>
      </c>
      <c r="D155" s="14" t="s">
        <v>9</v>
      </c>
      <c r="E155" s="14">
        <v>0.5614</v>
      </c>
      <c r="F155" s="14">
        <v>8.7967</v>
      </c>
      <c r="G155" s="14">
        <v>20.8756</v>
      </c>
      <c r="H155" s="14">
        <v>0.9952</v>
      </c>
      <c r="I155" s="14">
        <v>0.2537</v>
      </c>
      <c r="J155" s="14">
        <v>0.1797</v>
      </c>
      <c r="K155" s="14">
        <v>0.0387</v>
      </c>
      <c r="L155" s="14">
        <v>9.8874</v>
      </c>
      <c r="M155" s="14" t="s">
        <v>26</v>
      </c>
    </row>
    <row r="156" ht="15.75" customHeight="1">
      <c r="A156" s="14" t="s">
        <v>904</v>
      </c>
      <c r="B156" s="14" t="s">
        <v>906</v>
      </c>
      <c r="C156" s="14">
        <v>1.0</v>
      </c>
      <c r="D156" s="14" t="s">
        <v>9</v>
      </c>
      <c r="E156" s="14">
        <v>0.527</v>
      </c>
      <c r="F156" s="14">
        <v>8.7933</v>
      </c>
      <c r="G156" s="14">
        <v>21.0135</v>
      </c>
      <c r="H156" s="14">
        <v>0.9955</v>
      </c>
      <c r="I156" s="14">
        <v>0.2502</v>
      </c>
      <c r="J156" s="14">
        <v>0.1959</v>
      </c>
      <c r="K156" s="14">
        <v>0.0459</v>
      </c>
      <c r="L156" s="14">
        <v>9.4506</v>
      </c>
      <c r="M156" s="14" t="s">
        <v>26</v>
      </c>
    </row>
    <row r="157" ht="15.75" customHeight="1">
      <c r="A157" s="14" t="s">
        <v>911</v>
      </c>
      <c r="B157" s="14" t="s">
        <v>912</v>
      </c>
      <c r="C157" s="14">
        <v>1.0</v>
      </c>
      <c r="D157" s="14" t="s">
        <v>9</v>
      </c>
      <c r="E157" s="14">
        <v>0.5618</v>
      </c>
      <c r="F157" s="14">
        <v>8.7898</v>
      </c>
      <c r="G157" s="14">
        <v>20.8756</v>
      </c>
      <c r="H157" s="14">
        <v>0.9952</v>
      </c>
      <c r="I157" s="14">
        <v>0.2535</v>
      </c>
      <c r="J157" s="14">
        <v>0.178</v>
      </c>
      <c r="K157" s="14">
        <v>0.0384</v>
      </c>
      <c r="L157" s="14">
        <v>9.912</v>
      </c>
      <c r="M157" s="14" t="s">
        <v>26</v>
      </c>
    </row>
    <row r="158" ht="15.75" customHeight="1">
      <c r="A158" s="14" t="s">
        <v>915</v>
      </c>
      <c r="B158" s="14" t="s">
        <v>916</v>
      </c>
      <c r="C158" s="14">
        <v>1.0</v>
      </c>
      <c r="D158" s="14" t="s">
        <v>9</v>
      </c>
      <c r="E158" s="14">
        <v>0.5693</v>
      </c>
      <c r="F158" s="14">
        <v>8.7898</v>
      </c>
      <c r="G158" s="14">
        <v>20.5772</v>
      </c>
      <c r="H158" s="14">
        <v>0.995</v>
      </c>
      <c r="I158" s="14">
        <v>0.2609</v>
      </c>
      <c r="J158" s="14">
        <v>0.1642</v>
      </c>
      <c r="K158" s="14">
        <v>0.0379</v>
      </c>
      <c r="L158" s="14">
        <v>9.8807</v>
      </c>
      <c r="M158" s="14" t="s">
        <v>26</v>
      </c>
    </row>
    <row r="159" ht="15.75" customHeight="1">
      <c r="A159" s="14" t="s">
        <v>919</v>
      </c>
      <c r="B159" s="14" t="s">
        <v>920</v>
      </c>
      <c r="C159" s="14">
        <v>1.0</v>
      </c>
      <c r="D159" s="14" t="s">
        <v>9</v>
      </c>
      <c r="E159" s="14">
        <v>0.5576</v>
      </c>
      <c r="F159" s="14">
        <v>8.7898</v>
      </c>
      <c r="G159" s="14">
        <v>20.8777</v>
      </c>
      <c r="H159" s="14">
        <v>0.9952</v>
      </c>
      <c r="I159" s="14">
        <v>0.2534</v>
      </c>
      <c r="J159" s="14">
        <v>0.1789</v>
      </c>
      <c r="K159" s="14">
        <v>0.0395</v>
      </c>
      <c r="L159" s="14">
        <v>9.9071</v>
      </c>
      <c r="M159" s="14" t="s">
        <v>26</v>
      </c>
    </row>
    <row r="160" ht="15.75" customHeight="1">
      <c r="A160" s="14" t="s">
        <v>925</v>
      </c>
      <c r="B160" s="14" t="s">
        <v>927</v>
      </c>
      <c r="C160" s="14">
        <v>1.0</v>
      </c>
      <c r="D160" s="14" t="s">
        <v>9</v>
      </c>
      <c r="E160" s="14">
        <v>0.5636</v>
      </c>
      <c r="F160" s="14">
        <v>8.7829</v>
      </c>
      <c r="G160" s="14">
        <v>20.9101</v>
      </c>
      <c r="H160" s="14">
        <v>0.9952</v>
      </c>
      <c r="I160" s="14">
        <v>0.2524</v>
      </c>
      <c r="J160" s="14">
        <v>0.1766</v>
      </c>
      <c r="K160" s="14">
        <v>0.039</v>
      </c>
      <c r="L160" s="14">
        <v>9.8808</v>
      </c>
      <c r="M160" s="14" t="s">
        <v>26</v>
      </c>
    </row>
    <row r="161" ht="15.75" customHeight="1">
      <c r="A161" s="14" t="s">
        <v>931</v>
      </c>
      <c r="B161" s="14" t="s">
        <v>932</v>
      </c>
      <c r="C161" s="14">
        <v>1.0</v>
      </c>
      <c r="D161" s="14" t="s">
        <v>9</v>
      </c>
      <c r="E161" s="14">
        <v>0.5733</v>
      </c>
      <c r="F161" s="14">
        <v>8.7829</v>
      </c>
      <c r="G161" s="14">
        <v>20.4107</v>
      </c>
      <c r="H161" s="14">
        <v>0.995</v>
      </c>
      <c r="I161" s="14">
        <v>0.2649</v>
      </c>
      <c r="J161" s="14">
        <v>0.1691</v>
      </c>
      <c r="K161" s="14">
        <v>0.0379</v>
      </c>
      <c r="L161" s="14">
        <v>9.8777</v>
      </c>
      <c r="M161" s="14" t="s">
        <v>26</v>
      </c>
    </row>
    <row r="162" ht="15.75" customHeight="1">
      <c r="A162" s="14" t="s">
        <v>936</v>
      </c>
      <c r="B162" s="14" t="s">
        <v>937</v>
      </c>
      <c r="C162" s="14">
        <v>1.0</v>
      </c>
      <c r="D162" s="14" t="s">
        <v>9</v>
      </c>
      <c r="E162" s="14">
        <v>0.5726</v>
      </c>
      <c r="F162" s="14">
        <v>8.7794</v>
      </c>
      <c r="G162" s="14">
        <v>20.3763</v>
      </c>
      <c r="H162" s="14">
        <v>0.995</v>
      </c>
      <c r="I162" s="14">
        <v>0.2657</v>
      </c>
      <c r="J162" s="14">
        <v>0.1643</v>
      </c>
      <c r="K162" s="14">
        <v>0.0379</v>
      </c>
      <c r="L162" s="14">
        <v>9.8877</v>
      </c>
      <c r="M162" s="14" t="s">
        <v>26</v>
      </c>
    </row>
    <row r="163" ht="15.75" customHeight="1">
      <c r="A163" s="14" t="s">
        <v>941</v>
      </c>
      <c r="B163" s="14" t="s">
        <v>942</v>
      </c>
      <c r="C163" s="14">
        <v>1.0</v>
      </c>
      <c r="D163" s="14" t="s">
        <v>9</v>
      </c>
      <c r="E163" s="14">
        <v>0.57</v>
      </c>
      <c r="F163" s="14">
        <v>8.7794</v>
      </c>
      <c r="G163" s="14">
        <v>20.3763</v>
      </c>
      <c r="H163" s="14">
        <v>0.995</v>
      </c>
      <c r="I163" s="14">
        <v>0.2657</v>
      </c>
      <c r="J163" s="14">
        <v>0.1667</v>
      </c>
      <c r="K163" s="14">
        <v>0.0384</v>
      </c>
      <c r="L163" s="14">
        <v>9.8722</v>
      </c>
      <c r="M163" s="14" t="s">
        <v>26</v>
      </c>
    </row>
    <row r="164" ht="15.75" customHeight="1">
      <c r="A164" s="14" t="s">
        <v>946</v>
      </c>
      <c r="B164" s="14" t="s">
        <v>947</v>
      </c>
      <c r="C164" s="14">
        <v>1.0</v>
      </c>
      <c r="D164" s="14" t="s">
        <v>9</v>
      </c>
      <c r="E164" s="14">
        <v>0.5267</v>
      </c>
      <c r="F164" s="14">
        <v>8.7794</v>
      </c>
      <c r="G164" s="14">
        <v>20.3418</v>
      </c>
      <c r="H164" s="14">
        <v>0.995</v>
      </c>
      <c r="I164" s="14">
        <v>0.2666</v>
      </c>
      <c r="J164" s="14">
        <v>0.1659</v>
      </c>
      <c r="K164" s="14">
        <v>0.0383</v>
      </c>
      <c r="L164" s="14">
        <v>9.849</v>
      </c>
      <c r="M164" s="14" t="s">
        <v>26</v>
      </c>
    </row>
    <row r="165" ht="15.75" customHeight="1">
      <c r="A165" s="14" t="s">
        <v>950</v>
      </c>
      <c r="B165" s="14" t="s">
        <v>951</v>
      </c>
      <c r="C165" s="14">
        <v>1.0</v>
      </c>
      <c r="D165" s="14" t="s">
        <v>9</v>
      </c>
      <c r="E165" s="14">
        <v>0.5728</v>
      </c>
      <c r="F165" s="14">
        <v>8.7794</v>
      </c>
      <c r="G165" s="14">
        <v>20.3763</v>
      </c>
      <c r="H165" s="14">
        <v>0.995</v>
      </c>
      <c r="I165" s="14">
        <v>0.2657</v>
      </c>
      <c r="J165" s="14">
        <v>0.1739</v>
      </c>
      <c r="K165" s="14">
        <v>0.0384</v>
      </c>
      <c r="L165" s="14">
        <v>9.8522</v>
      </c>
      <c r="M165" s="14" t="s">
        <v>26</v>
      </c>
    </row>
    <row r="166" ht="15.75" customHeight="1">
      <c r="A166" s="14" t="s">
        <v>956</v>
      </c>
      <c r="B166" s="14" t="s">
        <v>957</v>
      </c>
      <c r="C166" s="14">
        <v>1.0</v>
      </c>
      <c r="D166" s="14" t="s">
        <v>9</v>
      </c>
      <c r="E166" s="14">
        <v>0.5706</v>
      </c>
      <c r="F166" s="14">
        <v>8.7794</v>
      </c>
      <c r="G166" s="14">
        <v>20.3763</v>
      </c>
      <c r="H166" s="14">
        <v>0.995</v>
      </c>
      <c r="I166" s="14">
        <v>0.2657</v>
      </c>
      <c r="J166" s="14">
        <v>0.1706</v>
      </c>
      <c r="K166" s="14">
        <v>0.0375</v>
      </c>
      <c r="L166" s="14">
        <v>9.8904</v>
      </c>
      <c r="M166" s="14" t="s">
        <v>26</v>
      </c>
    </row>
    <row r="167" ht="15.75" customHeight="1">
      <c r="A167" s="14" t="s">
        <v>961</v>
      </c>
      <c r="B167" s="14" t="s">
        <v>962</v>
      </c>
      <c r="C167" s="14">
        <v>1.0</v>
      </c>
      <c r="D167" s="14" t="s">
        <v>9</v>
      </c>
      <c r="E167" s="14">
        <v>0.5634</v>
      </c>
      <c r="F167" s="14">
        <v>8.769</v>
      </c>
      <c r="G167" s="14">
        <v>20.8756</v>
      </c>
      <c r="H167" s="14">
        <v>0.9952</v>
      </c>
      <c r="I167" s="14">
        <v>0.2529</v>
      </c>
      <c r="J167" s="14">
        <v>0.1782</v>
      </c>
      <c r="K167" s="14">
        <v>0.0388</v>
      </c>
      <c r="L167" s="14">
        <v>9.898</v>
      </c>
      <c r="M167" s="14" t="s">
        <v>26</v>
      </c>
    </row>
    <row r="168" ht="15.75" customHeight="1">
      <c r="A168" s="14" t="s">
        <v>967</v>
      </c>
      <c r="B168" s="14" t="s">
        <v>968</v>
      </c>
      <c r="C168" s="14">
        <v>1.0</v>
      </c>
      <c r="D168" s="14" t="s">
        <v>9</v>
      </c>
      <c r="E168" s="14">
        <v>0.5627</v>
      </c>
      <c r="F168" s="14">
        <v>8.769</v>
      </c>
      <c r="G168" s="14">
        <v>20.8756</v>
      </c>
      <c r="H168" s="14">
        <v>0.9952</v>
      </c>
      <c r="I168" s="14">
        <v>0.2529</v>
      </c>
      <c r="J168" s="14">
        <v>0.1777</v>
      </c>
      <c r="K168" s="14">
        <v>0.0381</v>
      </c>
      <c r="L168" s="14">
        <v>9.9277</v>
      </c>
      <c r="M168" s="14" t="s">
        <v>26</v>
      </c>
    </row>
    <row r="169" ht="15.75" customHeight="1">
      <c r="A169" s="14" t="s">
        <v>972</v>
      </c>
      <c r="B169" s="14" t="s">
        <v>973</v>
      </c>
      <c r="C169" s="14">
        <v>1.0</v>
      </c>
      <c r="D169" s="14" t="s">
        <v>9</v>
      </c>
      <c r="E169" s="14">
        <v>0.5704</v>
      </c>
      <c r="F169" s="14">
        <v>8.769</v>
      </c>
      <c r="G169" s="14">
        <v>20.3763</v>
      </c>
      <c r="H169" s="14">
        <v>0.995</v>
      </c>
      <c r="I169" s="14">
        <v>0.2654</v>
      </c>
      <c r="J169" s="14">
        <v>0.1673</v>
      </c>
      <c r="K169" s="14">
        <v>0.0377</v>
      </c>
      <c r="L169" s="14">
        <v>9.8791</v>
      </c>
      <c r="M169" s="14" t="s">
        <v>26</v>
      </c>
    </row>
    <row r="170" ht="15.75" customHeight="1">
      <c r="A170" s="14" t="s">
        <v>977</v>
      </c>
      <c r="B170" s="14" t="s">
        <v>978</v>
      </c>
      <c r="C170" s="14">
        <v>1.0</v>
      </c>
      <c r="D170" s="14" t="s">
        <v>9</v>
      </c>
      <c r="E170" s="14">
        <v>0.564</v>
      </c>
      <c r="F170" s="14">
        <v>8.7656</v>
      </c>
      <c r="G170" s="14">
        <v>20.9101</v>
      </c>
      <c r="H170" s="14">
        <v>0.9952</v>
      </c>
      <c r="I170" s="14">
        <v>0.2519</v>
      </c>
      <c r="J170" s="14">
        <v>0.177</v>
      </c>
      <c r="K170" s="14">
        <v>0.039</v>
      </c>
      <c r="L170" s="14">
        <v>9.8932</v>
      </c>
      <c r="M170" s="14" t="s">
        <v>26</v>
      </c>
    </row>
    <row r="171" ht="15.75" customHeight="1">
      <c r="A171" s="14" t="s">
        <v>982</v>
      </c>
      <c r="B171" s="14" t="s">
        <v>984</v>
      </c>
      <c r="C171" s="14">
        <v>1.0</v>
      </c>
      <c r="D171" s="14" t="s">
        <v>9</v>
      </c>
      <c r="E171" s="14">
        <v>0.5635</v>
      </c>
      <c r="F171" s="14">
        <v>8.7621</v>
      </c>
      <c r="G171" s="14">
        <v>20.5772</v>
      </c>
      <c r="H171" s="14">
        <v>0.995</v>
      </c>
      <c r="I171" s="14">
        <v>0.26</v>
      </c>
      <c r="J171" s="14">
        <v>0.1625</v>
      </c>
      <c r="K171" s="14">
        <v>0.0378</v>
      </c>
      <c r="L171" s="14">
        <v>9.8754</v>
      </c>
      <c r="M171" s="14" t="s">
        <v>26</v>
      </c>
    </row>
    <row r="172" ht="15.75" customHeight="1">
      <c r="A172" s="14" t="s">
        <v>988</v>
      </c>
      <c r="B172" s="14" t="s">
        <v>989</v>
      </c>
      <c r="C172" s="14">
        <v>1.0</v>
      </c>
      <c r="D172" s="14" t="s">
        <v>9</v>
      </c>
      <c r="E172" s="14">
        <v>0.5727</v>
      </c>
      <c r="F172" s="14">
        <v>8.7586</v>
      </c>
      <c r="G172" s="14">
        <v>20.3763</v>
      </c>
      <c r="H172" s="14">
        <v>0.995</v>
      </c>
      <c r="I172" s="14">
        <v>0.2651</v>
      </c>
      <c r="J172" s="14">
        <v>0.175</v>
      </c>
      <c r="K172" s="14">
        <v>0.0384</v>
      </c>
      <c r="L172" s="14">
        <v>9.8613</v>
      </c>
      <c r="M172" s="14" t="s">
        <v>26</v>
      </c>
    </row>
    <row r="173" ht="15.75" customHeight="1">
      <c r="A173" s="14" t="s">
        <v>994</v>
      </c>
      <c r="B173" s="14" t="s">
        <v>996</v>
      </c>
      <c r="C173" s="14">
        <v>1.0</v>
      </c>
      <c r="D173" s="14" t="s">
        <v>9</v>
      </c>
      <c r="E173" s="14">
        <v>0.573</v>
      </c>
      <c r="F173" s="14">
        <v>8.7586</v>
      </c>
      <c r="G173" s="14">
        <v>20.3763</v>
      </c>
      <c r="H173" s="14">
        <v>0.995</v>
      </c>
      <c r="I173" s="14">
        <v>0.2651</v>
      </c>
      <c r="J173" s="14">
        <v>0.1717</v>
      </c>
      <c r="K173" s="14">
        <v>0.0386</v>
      </c>
      <c r="L173" s="14">
        <v>9.8513</v>
      </c>
      <c r="M173" s="14" t="s">
        <v>26</v>
      </c>
    </row>
    <row r="174" ht="15.75" customHeight="1">
      <c r="A174" s="14" t="s">
        <v>1000</v>
      </c>
      <c r="B174" s="14" t="s">
        <v>1001</v>
      </c>
      <c r="C174" s="14">
        <v>1.0</v>
      </c>
      <c r="D174" s="14" t="s">
        <v>9</v>
      </c>
      <c r="E174" s="14">
        <v>0.5741</v>
      </c>
      <c r="F174" s="14">
        <v>8.7586</v>
      </c>
      <c r="G174" s="14">
        <v>20.3763</v>
      </c>
      <c r="H174" s="14">
        <v>0.995</v>
      </c>
      <c r="I174" s="14">
        <v>0.2651</v>
      </c>
      <c r="J174" s="14">
        <v>0.1747</v>
      </c>
      <c r="K174" s="14">
        <v>0.0389</v>
      </c>
      <c r="L174" s="14">
        <v>9.8417</v>
      </c>
      <c r="M174" s="14" t="s">
        <v>26</v>
      </c>
    </row>
    <row r="175" ht="15.75" customHeight="1">
      <c r="A175" s="14" t="s">
        <v>1005</v>
      </c>
      <c r="B175" s="14" t="s">
        <v>1006</v>
      </c>
      <c r="C175" s="14">
        <v>1.0</v>
      </c>
      <c r="D175" s="14" t="s">
        <v>9</v>
      </c>
      <c r="E175" s="14">
        <v>0.5617</v>
      </c>
      <c r="F175" s="14">
        <v>8.7586</v>
      </c>
      <c r="G175" s="14">
        <v>20.8756</v>
      </c>
      <c r="H175" s="14">
        <v>0.9952</v>
      </c>
      <c r="I175" s="14">
        <v>0.2526</v>
      </c>
      <c r="J175" s="14">
        <v>0.1758</v>
      </c>
      <c r="K175" s="14">
        <v>0.0386</v>
      </c>
      <c r="L175" s="14">
        <v>9.8972</v>
      </c>
      <c r="M175" s="14" t="s">
        <v>26</v>
      </c>
    </row>
    <row r="176" ht="15.75" customHeight="1">
      <c r="A176" s="14" t="s">
        <v>1011</v>
      </c>
      <c r="B176" s="14" t="s">
        <v>1013</v>
      </c>
      <c r="C176" s="14">
        <v>1.0</v>
      </c>
      <c r="D176" s="14" t="s">
        <v>9</v>
      </c>
      <c r="E176" s="14">
        <v>0.5277</v>
      </c>
      <c r="F176" s="14">
        <v>8.7552</v>
      </c>
      <c r="G176" s="14">
        <v>20.9446</v>
      </c>
      <c r="H176" s="14">
        <v>0.9953</v>
      </c>
      <c r="I176" s="14">
        <v>0.2508</v>
      </c>
      <c r="J176" s="14">
        <v>0.1887</v>
      </c>
      <c r="K176" s="14">
        <v>0.045</v>
      </c>
      <c r="L176" s="14">
        <v>9.4679</v>
      </c>
      <c r="M176" s="14" t="s">
        <v>26</v>
      </c>
    </row>
    <row r="177" ht="15.75" customHeight="1">
      <c r="A177" s="14" t="s">
        <v>1017</v>
      </c>
      <c r="B177" s="14" t="s">
        <v>1018</v>
      </c>
      <c r="C177" s="14">
        <v>1.0</v>
      </c>
      <c r="D177" s="14" t="s">
        <v>9</v>
      </c>
      <c r="E177" s="14">
        <v>0.5734</v>
      </c>
      <c r="F177" s="14">
        <v>8.7517</v>
      </c>
      <c r="G177" s="14">
        <v>20.3418</v>
      </c>
      <c r="H177" s="14">
        <v>0.995</v>
      </c>
      <c r="I177" s="14">
        <v>0.2658</v>
      </c>
      <c r="J177" s="14">
        <v>0.172</v>
      </c>
      <c r="K177" s="14">
        <v>0.0383</v>
      </c>
      <c r="L177" s="14">
        <v>9.8655</v>
      </c>
      <c r="M177" s="14" t="s">
        <v>26</v>
      </c>
    </row>
    <row r="178" ht="15.75" customHeight="1">
      <c r="A178" s="14" t="s">
        <v>1023</v>
      </c>
      <c r="B178" s="14" t="s">
        <v>1024</v>
      </c>
      <c r="C178" s="14">
        <v>1.0</v>
      </c>
      <c r="D178" s="14" t="s">
        <v>9</v>
      </c>
      <c r="E178" s="14">
        <v>0.5745</v>
      </c>
      <c r="F178" s="14">
        <v>8.7517</v>
      </c>
      <c r="G178" s="14">
        <v>20.3418</v>
      </c>
      <c r="H178" s="14">
        <v>0.995</v>
      </c>
      <c r="I178" s="14">
        <v>0.2658</v>
      </c>
      <c r="J178" s="14">
        <v>0.1736</v>
      </c>
      <c r="K178" s="14">
        <v>0.0379</v>
      </c>
      <c r="L178" s="14">
        <v>9.8908</v>
      </c>
      <c r="M178" s="14" t="s">
        <v>26</v>
      </c>
    </row>
    <row r="179" ht="15.75" customHeight="1">
      <c r="A179" s="14" t="s">
        <v>504</v>
      </c>
      <c r="B179" s="14" t="s">
        <v>1029</v>
      </c>
      <c r="C179" s="14">
        <v>1.0</v>
      </c>
      <c r="D179" s="14" t="s">
        <v>9</v>
      </c>
      <c r="E179" s="14">
        <v>0.5328</v>
      </c>
      <c r="F179" s="14">
        <v>8.7517</v>
      </c>
      <c r="G179" s="14">
        <v>20.9202</v>
      </c>
      <c r="H179" s="14">
        <v>0.9953</v>
      </c>
      <c r="I179" s="14">
        <v>0.2513</v>
      </c>
      <c r="J179" s="14">
        <v>0.1865</v>
      </c>
      <c r="K179" s="14">
        <v>0.044</v>
      </c>
      <c r="L179" s="14">
        <v>9.4953</v>
      </c>
      <c r="M179" s="14" t="s">
        <v>26</v>
      </c>
    </row>
    <row r="180" ht="15.75" customHeight="1">
      <c r="A180" s="14" t="s">
        <v>1034</v>
      </c>
      <c r="B180" s="14" t="s">
        <v>1035</v>
      </c>
      <c r="C180" s="14">
        <v>1.0</v>
      </c>
      <c r="D180" s="14" t="s">
        <v>9</v>
      </c>
      <c r="E180" s="14">
        <v>0.5718</v>
      </c>
      <c r="F180" s="14">
        <v>8.7482</v>
      </c>
      <c r="G180" s="14">
        <v>20.3418</v>
      </c>
      <c r="H180" s="14">
        <v>0.995</v>
      </c>
      <c r="I180" s="14">
        <v>0.2657</v>
      </c>
      <c r="J180" s="14">
        <v>0.1714</v>
      </c>
      <c r="K180" s="14">
        <v>0.0379</v>
      </c>
      <c r="L180" s="14">
        <v>9.8794</v>
      </c>
      <c r="M180" s="14" t="s">
        <v>26</v>
      </c>
    </row>
    <row r="181" ht="15.75" customHeight="1">
      <c r="A181" s="14" t="s">
        <v>1040</v>
      </c>
      <c r="B181" s="14" t="s">
        <v>1041</v>
      </c>
      <c r="C181" s="14">
        <v>1.0</v>
      </c>
      <c r="D181" s="14" t="s">
        <v>9</v>
      </c>
      <c r="E181" s="14">
        <v>0.5745</v>
      </c>
      <c r="F181" s="14">
        <v>8.7482</v>
      </c>
      <c r="G181" s="14">
        <v>20.3418</v>
      </c>
      <c r="H181" s="14">
        <v>0.995</v>
      </c>
      <c r="I181" s="14">
        <v>0.2657</v>
      </c>
      <c r="J181" s="14">
        <v>0.1751</v>
      </c>
      <c r="K181" s="14">
        <v>0.0385</v>
      </c>
      <c r="L181" s="14">
        <v>9.8512</v>
      </c>
      <c r="M181" s="14" t="s">
        <v>26</v>
      </c>
    </row>
    <row r="182" ht="15.75" customHeight="1">
      <c r="A182" s="14" t="s">
        <v>1045</v>
      </c>
      <c r="B182" s="14" t="s">
        <v>1046</v>
      </c>
      <c r="C182" s="14">
        <v>1.0</v>
      </c>
      <c r="D182" s="14" t="s">
        <v>9</v>
      </c>
      <c r="E182" s="14">
        <v>0.5754</v>
      </c>
      <c r="F182" s="14">
        <v>8.7448</v>
      </c>
      <c r="G182" s="14">
        <v>20.3763</v>
      </c>
      <c r="H182" s="14">
        <v>0.995</v>
      </c>
      <c r="I182" s="14">
        <v>0.2647</v>
      </c>
      <c r="J182" s="14">
        <v>0.1751</v>
      </c>
      <c r="K182" s="14">
        <v>0.039</v>
      </c>
      <c r="L182" s="14">
        <v>9.8481</v>
      </c>
      <c r="M182" s="14" t="s">
        <v>26</v>
      </c>
    </row>
    <row r="183" ht="15.75" customHeight="1">
      <c r="A183" s="14" t="s">
        <v>1051</v>
      </c>
      <c r="B183" s="14" t="s">
        <v>1052</v>
      </c>
      <c r="C183" s="14">
        <v>1.0</v>
      </c>
      <c r="D183" s="14" t="s">
        <v>9</v>
      </c>
      <c r="E183" s="14">
        <v>0.5699</v>
      </c>
      <c r="F183" s="14">
        <v>8.7448</v>
      </c>
      <c r="G183" s="14">
        <v>20.3418</v>
      </c>
      <c r="H183" s="14">
        <v>0.995</v>
      </c>
      <c r="I183" s="14">
        <v>0.2656</v>
      </c>
      <c r="J183" s="14">
        <v>0.1751</v>
      </c>
      <c r="K183" s="14">
        <v>0.0388</v>
      </c>
      <c r="L183" s="14">
        <v>9.8271</v>
      </c>
      <c r="M183" s="14" t="s">
        <v>26</v>
      </c>
    </row>
    <row r="184" ht="15.75" customHeight="1">
      <c r="A184" s="14" t="s">
        <v>1057</v>
      </c>
      <c r="B184" s="14" t="s">
        <v>1058</v>
      </c>
      <c r="C184" s="14">
        <v>1.0</v>
      </c>
      <c r="D184" s="14" t="s">
        <v>9</v>
      </c>
      <c r="E184" s="14">
        <v>0.5731</v>
      </c>
      <c r="F184" s="14">
        <v>8.7448</v>
      </c>
      <c r="G184" s="14">
        <v>20.3418</v>
      </c>
      <c r="H184" s="14">
        <v>0.995</v>
      </c>
      <c r="I184" s="14">
        <v>0.2656</v>
      </c>
      <c r="J184" s="14">
        <v>0.1738</v>
      </c>
      <c r="K184" s="14">
        <v>0.0375</v>
      </c>
      <c r="L184" s="14">
        <v>9.9076</v>
      </c>
      <c r="M184" s="14" t="s">
        <v>26</v>
      </c>
    </row>
    <row r="185" ht="15.75" customHeight="1">
      <c r="A185" s="14" t="s">
        <v>875</v>
      </c>
      <c r="B185" s="14" t="s">
        <v>1063</v>
      </c>
      <c r="C185" s="14">
        <v>1.0</v>
      </c>
      <c r="D185" s="14" t="s">
        <v>9</v>
      </c>
      <c r="E185" s="14">
        <v>0.5599</v>
      </c>
      <c r="F185" s="14">
        <v>8.7413</v>
      </c>
      <c r="G185" s="14">
        <v>20.8756</v>
      </c>
      <c r="H185" s="14">
        <v>0.9952</v>
      </c>
      <c r="I185" s="14">
        <v>0.2521</v>
      </c>
      <c r="J185" s="14">
        <v>0.1772</v>
      </c>
      <c r="K185" s="14">
        <v>0.0384</v>
      </c>
      <c r="L185" s="14">
        <v>9.9185</v>
      </c>
      <c r="M185" s="14" t="s">
        <v>26</v>
      </c>
    </row>
    <row r="186" ht="15.75" customHeight="1">
      <c r="A186" s="14" t="s">
        <v>1068</v>
      </c>
      <c r="B186" s="14" t="s">
        <v>1069</v>
      </c>
      <c r="C186" s="14">
        <v>1.0</v>
      </c>
      <c r="D186" s="14" t="s">
        <v>9</v>
      </c>
      <c r="E186" s="14">
        <v>0.5639</v>
      </c>
      <c r="F186" s="14">
        <v>8.7413</v>
      </c>
      <c r="G186" s="14">
        <v>20.8756</v>
      </c>
      <c r="H186" s="14">
        <v>0.9952</v>
      </c>
      <c r="I186" s="14">
        <v>0.2521</v>
      </c>
      <c r="J186" s="14">
        <v>0.1781</v>
      </c>
      <c r="K186" s="14">
        <v>0.0387</v>
      </c>
      <c r="L186" s="14">
        <v>9.9193</v>
      </c>
      <c r="M186" s="14" t="s">
        <v>26</v>
      </c>
    </row>
    <row r="187" ht="15.75" customHeight="1">
      <c r="A187" s="14" t="s">
        <v>553</v>
      </c>
      <c r="B187" s="14" t="s">
        <v>1074</v>
      </c>
      <c r="C187" s="14">
        <v>1.0</v>
      </c>
      <c r="D187" s="14" t="s">
        <v>9</v>
      </c>
      <c r="E187" s="14">
        <v>0.5317</v>
      </c>
      <c r="F187" s="14">
        <v>8.7344</v>
      </c>
      <c r="G187" s="14">
        <v>20.5713</v>
      </c>
      <c r="H187" s="14">
        <v>0.9949</v>
      </c>
      <c r="I187" s="14">
        <v>0.2594</v>
      </c>
      <c r="J187" s="14">
        <v>0.1894</v>
      </c>
      <c r="K187" s="14">
        <v>0.051</v>
      </c>
      <c r="L187" s="14">
        <v>9.9021</v>
      </c>
      <c r="M187" s="14" t="s">
        <v>26</v>
      </c>
    </row>
    <row r="188" ht="15.75" customHeight="1">
      <c r="A188" s="14" t="s">
        <v>1078</v>
      </c>
      <c r="B188" s="14" t="s">
        <v>1079</v>
      </c>
      <c r="C188" s="14">
        <v>1.0</v>
      </c>
      <c r="D188" s="14" t="s">
        <v>9</v>
      </c>
      <c r="E188" s="14">
        <v>0.5364</v>
      </c>
      <c r="F188" s="14">
        <v>8.7309</v>
      </c>
      <c r="G188" s="14">
        <v>20.7377</v>
      </c>
      <c r="H188" s="14">
        <v>0.9948</v>
      </c>
      <c r="I188" s="14">
        <v>0.2551</v>
      </c>
      <c r="J188" s="14">
        <v>0.186</v>
      </c>
      <c r="K188" s="14">
        <v>0.0504</v>
      </c>
      <c r="L188" s="14">
        <v>9.9347</v>
      </c>
      <c r="M188" s="14" t="s">
        <v>26</v>
      </c>
    </row>
    <row r="189" ht="15.75" customHeight="1">
      <c r="A189" s="14" t="s">
        <v>356</v>
      </c>
      <c r="B189" s="14" t="s">
        <v>1084</v>
      </c>
      <c r="C189" s="14">
        <v>1.0</v>
      </c>
      <c r="D189" s="14" t="s">
        <v>9</v>
      </c>
      <c r="E189" s="14">
        <v>0.5315</v>
      </c>
      <c r="F189" s="14">
        <v>8.7275</v>
      </c>
      <c r="G189" s="14">
        <v>20.8067</v>
      </c>
      <c r="H189" s="14">
        <v>0.9946</v>
      </c>
      <c r="I189" s="14">
        <v>0.2533</v>
      </c>
      <c r="J189" s="14">
        <v>0.1789</v>
      </c>
      <c r="K189" s="14">
        <v>0.0463</v>
      </c>
      <c r="L189" s="14">
        <v>9.9789</v>
      </c>
      <c r="M189" s="14" t="s">
        <v>26</v>
      </c>
    </row>
    <row r="190" ht="15.75" customHeight="1">
      <c r="A190" s="14" t="s">
        <v>386</v>
      </c>
      <c r="B190" s="14" t="s">
        <v>1088</v>
      </c>
      <c r="C190" s="14">
        <v>1.0</v>
      </c>
      <c r="D190" s="14" t="s">
        <v>9</v>
      </c>
      <c r="E190" s="14">
        <v>0.5371</v>
      </c>
      <c r="F190" s="14">
        <v>8.724</v>
      </c>
      <c r="G190" s="14">
        <v>20.8067</v>
      </c>
      <c r="H190" s="14">
        <v>0.9947</v>
      </c>
      <c r="I190" s="14">
        <v>0.2532</v>
      </c>
      <c r="J190" s="14">
        <v>0.1816</v>
      </c>
      <c r="K190" s="14">
        <v>0.0468</v>
      </c>
      <c r="L190" s="14">
        <v>9.9625</v>
      </c>
      <c r="M190" s="14" t="s">
        <v>26</v>
      </c>
    </row>
    <row r="191" ht="15.75" customHeight="1">
      <c r="A191" s="14" t="s">
        <v>1093</v>
      </c>
      <c r="B191" s="14" t="s">
        <v>1094</v>
      </c>
      <c r="C191" s="14">
        <v>1.0</v>
      </c>
      <c r="D191" s="14" t="s">
        <v>9</v>
      </c>
      <c r="E191" s="14">
        <v>0.5267</v>
      </c>
      <c r="F191" s="14">
        <v>8.7171</v>
      </c>
      <c r="G191" s="14">
        <v>20.8126</v>
      </c>
      <c r="H191" s="14">
        <v>0.9954</v>
      </c>
      <c r="I191" s="14">
        <v>0.2529</v>
      </c>
      <c r="J191" s="14">
        <v>0.19</v>
      </c>
      <c r="K191" s="14">
        <v>0.0454</v>
      </c>
      <c r="L191" s="14">
        <v>9.4488</v>
      </c>
      <c r="M191" s="14" t="s">
        <v>26</v>
      </c>
    </row>
    <row r="192" ht="15.75" customHeight="1">
      <c r="A192" s="14" t="s">
        <v>1100</v>
      </c>
      <c r="B192" s="14" t="s">
        <v>1102</v>
      </c>
      <c r="C192" s="14">
        <v>1.0</v>
      </c>
      <c r="D192" s="14" t="s">
        <v>9</v>
      </c>
      <c r="E192" s="14">
        <v>0.572</v>
      </c>
      <c r="F192" s="14">
        <v>8.7136</v>
      </c>
      <c r="G192" s="14">
        <v>20.5427</v>
      </c>
      <c r="H192" s="14">
        <v>0.995</v>
      </c>
      <c r="I192" s="14">
        <v>0.2595</v>
      </c>
      <c r="J192" s="14">
        <v>0.1641</v>
      </c>
      <c r="K192" s="14">
        <v>0.0375</v>
      </c>
      <c r="L192" s="14">
        <v>9.9046</v>
      </c>
      <c r="M192" s="14" t="s">
        <v>26</v>
      </c>
    </row>
    <row r="193" ht="15.75" customHeight="1">
      <c r="A193" s="14" t="s">
        <v>887</v>
      </c>
      <c r="B193" s="14" t="s">
        <v>1107</v>
      </c>
      <c r="C193" s="14">
        <v>1.0</v>
      </c>
      <c r="D193" s="14" t="s">
        <v>9</v>
      </c>
      <c r="E193" s="14">
        <v>0.4969</v>
      </c>
      <c r="F193" s="14">
        <v>8.7102</v>
      </c>
      <c r="G193" s="14">
        <v>19.147</v>
      </c>
      <c r="H193" s="14">
        <v>0.9915</v>
      </c>
      <c r="I193" s="14">
        <v>0.2986</v>
      </c>
      <c r="J193" s="14">
        <v>0.295</v>
      </c>
      <c r="K193" s="14">
        <v>0.1014</v>
      </c>
      <c r="L193" s="14">
        <v>9.4065</v>
      </c>
      <c r="M193" s="14" t="s">
        <v>26</v>
      </c>
    </row>
    <row r="194" ht="15.75" customHeight="1">
      <c r="A194" s="14" t="s">
        <v>1111</v>
      </c>
      <c r="B194" s="14" t="s">
        <v>1112</v>
      </c>
      <c r="C194" s="14">
        <v>1.0</v>
      </c>
      <c r="D194" s="14" t="s">
        <v>9</v>
      </c>
      <c r="E194" s="14">
        <v>0.5865</v>
      </c>
      <c r="F194" s="14">
        <v>8.7067</v>
      </c>
      <c r="G194" s="14">
        <v>19.9138</v>
      </c>
      <c r="H194" s="14">
        <v>0.9938</v>
      </c>
      <c r="I194" s="14">
        <v>0.2759</v>
      </c>
      <c r="J194" s="14">
        <v>0.2507</v>
      </c>
      <c r="K194" s="14">
        <v>0.1008</v>
      </c>
      <c r="L194" s="14">
        <v>9.5037</v>
      </c>
      <c r="M194" s="14" t="s">
        <v>26</v>
      </c>
    </row>
    <row r="195" ht="15.75" customHeight="1">
      <c r="A195" s="14" t="s">
        <v>1118</v>
      </c>
      <c r="B195" s="14" t="s">
        <v>1119</v>
      </c>
      <c r="C195" s="14">
        <v>1.0</v>
      </c>
      <c r="D195" s="14" t="s">
        <v>9</v>
      </c>
      <c r="E195" s="14">
        <v>0.5305</v>
      </c>
      <c r="F195" s="14">
        <v>8.6928</v>
      </c>
      <c r="G195" s="14">
        <v>20.1409</v>
      </c>
      <c r="H195" s="14">
        <v>0.9949</v>
      </c>
      <c r="I195" s="14">
        <v>0.2693</v>
      </c>
      <c r="J195" s="14">
        <v>0.1644</v>
      </c>
      <c r="K195" s="14">
        <v>0.0388</v>
      </c>
      <c r="L195" s="14">
        <v>9.8385</v>
      </c>
      <c r="M195" s="14" t="s">
        <v>26</v>
      </c>
    </row>
    <row r="196" ht="15.75" customHeight="1">
      <c r="A196" s="14" t="s">
        <v>1124</v>
      </c>
      <c r="B196" s="14" t="s">
        <v>1125</v>
      </c>
      <c r="C196" s="14">
        <v>1.0</v>
      </c>
      <c r="D196" s="14" t="s">
        <v>9</v>
      </c>
      <c r="E196" s="14">
        <v>0.5603</v>
      </c>
      <c r="F196" s="14">
        <v>8.6894</v>
      </c>
      <c r="G196" s="14">
        <v>20.7092</v>
      </c>
      <c r="H196" s="14">
        <v>0.9952</v>
      </c>
      <c r="I196" s="14">
        <v>0.2546</v>
      </c>
      <c r="J196" s="14">
        <v>0.1812</v>
      </c>
      <c r="K196" s="14">
        <v>0.0403</v>
      </c>
      <c r="L196" s="14">
        <v>9.8628</v>
      </c>
      <c r="M196" s="14" t="s">
        <v>26</v>
      </c>
    </row>
    <row r="197" ht="15.75" customHeight="1">
      <c r="A197" s="14" t="s">
        <v>1130</v>
      </c>
      <c r="B197" s="14" t="s">
        <v>1131</v>
      </c>
      <c r="C197" s="14">
        <v>1.0</v>
      </c>
      <c r="D197" s="14" t="s">
        <v>9</v>
      </c>
      <c r="E197" s="14">
        <v>0.5281</v>
      </c>
      <c r="F197" s="14">
        <v>8.6894</v>
      </c>
      <c r="G197" s="14">
        <v>20.1409</v>
      </c>
      <c r="H197" s="14">
        <v>0.9949</v>
      </c>
      <c r="I197" s="14">
        <v>0.2692</v>
      </c>
      <c r="J197" s="14">
        <v>0.1652</v>
      </c>
      <c r="K197" s="14">
        <v>0.0381</v>
      </c>
      <c r="L197" s="14">
        <v>9.8717</v>
      </c>
      <c r="M197" s="14" t="s">
        <v>26</v>
      </c>
    </row>
    <row r="198" ht="15.75" customHeight="1">
      <c r="A198" s="14" t="s">
        <v>1137</v>
      </c>
      <c r="B198" s="14" t="s">
        <v>1138</v>
      </c>
      <c r="C198" s="14">
        <v>1.0</v>
      </c>
      <c r="D198" s="14" t="s">
        <v>9</v>
      </c>
      <c r="E198" s="14">
        <v>0.5688</v>
      </c>
      <c r="F198" s="14">
        <v>8.6859</v>
      </c>
      <c r="G198" s="14">
        <v>20.3763</v>
      </c>
      <c r="H198" s="14">
        <v>0.9949</v>
      </c>
      <c r="I198" s="14">
        <v>0.2629</v>
      </c>
      <c r="J198" s="14">
        <v>0.1826</v>
      </c>
      <c r="K198" s="14">
        <v>0.0385</v>
      </c>
      <c r="L198" s="14">
        <v>9.8223</v>
      </c>
      <c r="M198" s="14" t="s">
        <v>26</v>
      </c>
    </row>
    <row r="199" ht="15.75" customHeight="1">
      <c r="A199" s="14" t="s">
        <v>183</v>
      </c>
      <c r="B199" s="14" t="s">
        <v>1142</v>
      </c>
      <c r="C199" s="14">
        <v>1.0</v>
      </c>
      <c r="D199" s="14" t="s">
        <v>9</v>
      </c>
      <c r="E199" s="14">
        <v>0.5895</v>
      </c>
      <c r="F199" s="14">
        <v>8.679</v>
      </c>
      <c r="G199" s="14">
        <v>20.3763</v>
      </c>
      <c r="H199" s="14">
        <v>0.995</v>
      </c>
      <c r="I199" s="14">
        <v>0.2627</v>
      </c>
      <c r="J199" s="14">
        <v>0.2165</v>
      </c>
      <c r="K199" s="14">
        <v>0.0452</v>
      </c>
      <c r="L199" s="14">
        <v>9.4149</v>
      </c>
      <c r="M199" s="14" t="s">
        <v>26</v>
      </c>
    </row>
    <row r="200" ht="15.75" customHeight="1">
      <c r="A200" s="14" t="s">
        <v>223</v>
      </c>
      <c r="B200" s="14" t="s">
        <v>1148</v>
      </c>
      <c r="C200" s="14">
        <v>1.0</v>
      </c>
      <c r="D200" s="14" t="s">
        <v>9</v>
      </c>
      <c r="E200" s="14">
        <v>0.5941</v>
      </c>
      <c r="F200" s="14">
        <v>8.6755</v>
      </c>
      <c r="G200" s="14">
        <v>20.3763</v>
      </c>
      <c r="H200" s="14">
        <v>0.995</v>
      </c>
      <c r="I200" s="14">
        <v>0.2626</v>
      </c>
      <c r="J200" s="14">
        <v>0.2291</v>
      </c>
      <c r="K200" s="14">
        <v>0.0455</v>
      </c>
      <c r="L200" s="14">
        <v>9.3732</v>
      </c>
      <c r="M200" s="14" t="s">
        <v>26</v>
      </c>
    </row>
    <row r="201" ht="15.75" customHeight="1">
      <c r="A201" s="14" t="s">
        <v>1153</v>
      </c>
      <c r="B201" s="14" t="s">
        <v>1154</v>
      </c>
      <c r="C201" s="14">
        <v>1.0</v>
      </c>
      <c r="D201" s="14" t="s">
        <v>9</v>
      </c>
      <c r="E201" s="14">
        <v>0.5334</v>
      </c>
      <c r="F201" s="14">
        <v>8.6755</v>
      </c>
      <c r="G201" s="14">
        <v>20.3073</v>
      </c>
      <c r="H201" s="14">
        <v>0.9949</v>
      </c>
      <c r="I201" s="14">
        <v>0.2644</v>
      </c>
      <c r="J201" s="14">
        <v>0.1881</v>
      </c>
      <c r="K201" s="14">
        <v>0.0487</v>
      </c>
      <c r="L201" s="14">
        <v>9.916</v>
      </c>
      <c r="M201" s="14" t="s">
        <v>26</v>
      </c>
    </row>
    <row r="202" ht="15.75" customHeight="1">
      <c r="A202" s="14" t="s">
        <v>244</v>
      </c>
      <c r="B202" s="14" t="s">
        <v>1160</v>
      </c>
      <c r="C202" s="14">
        <v>1.0</v>
      </c>
      <c r="D202" s="14" t="s">
        <v>9</v>
      </c>
      <c r="E202" s="14">
        <v>0.5947</v>
      </c>
      <c r="F202" s="14">
        <v>8.6721</v>
      </c>
      <c r="G202" s="14">
        <v>20.3763</v>
      </c>
      <c r="H202" s="14">
        <v>0.995</v>
      </c>
      <c r="I202" s="14">
        <v>0.2625</v>
      </c>
      <c r="J202" s="14">
        <v>0.2215</v>
      </c>
      <c r="K202" s="14">
        <v>0.0461</v>
      </c>
      <c r="L202" s="14">
        <v>9.3795</v>
      </c>
      <c r="M202" s="14" t="s">
        <v>26</v>
      </c>
    </row>
    <row r="203" ht="15.75" customHeight="1">
      <c r="A203" s="14" t="s">
        <v>1163</v>
      </c>
      <c r="B203" s="14" t="s">
        <v>1165</v>
      </c>
      <c r="C203" s="14">
        <v>1.0</v>
      </c>
      <c r="D203" s="14" t="s">
        <v>9</v>
      </c>
      <c r="E203" s="14">
        <v>0.5935</v>
      </c>
      <c r="F203" s="14">
        <v>8.6721</v>
      </c>
      <c r="G203" s="14">
        <v>20.3763</v>
      </c>
      <c r="H203" s="14">
        <v>0.995</v>
      </c>
      <c r="I203" s="14">
        <v>0.2625</v>
      </c>
      <c r="J203" s="14">
        <v>0.2202</v>
      </c>
      <c r="K203" s="14">
        <v>0.0459</v>
      </c>
      <c r="L203" s="14">
        <v>9.3773</v>
      </c>
      <c r="M203" s="14" t="s">
        <v>26</v>
      </c>
    </row>
    <row r="204" ht="15.75" customHeight="1">
      <c r="A204" s="14" t="s">
        <v>1168</v>
      </c>
      <c r="B204" s="14" t="s">
        <v>1170</v>
      </c>
      <c r="C204" s="14">
        <v>1.0</v>
      </c>
      <c r="D204" s="14" t="s">
        <v>9</v>
      </c>
      <c r="E204" s="14">
        <v>0.5343</v>
      </c>
      <c r="F204" s="14">
        <v>8.6686</v>
      </c>
      <c r="G204" s="14">
        <v>20.3073</v>
      </c>
      <c r="H204" s="14">
        <v>0.9949</v>
      </c>
      <c r="I204" s="14">
        <v>0.2642</v>
      </c>
      <c r="J204" s="14">
        <v>0.1818</v>
      </c>
      <c r="K204" s="14">
        <v>0.0482</v>
      </c>
      <c r="L204" s="14">
        <v>9.9438</v>
      </c>
      <c r="M204" s="14" t="s">
        <v>26</v>
      </c>
    </row>
    <row r="205" ht="15.75" customHeight="1">
      <c r="A205" s="14" t="s">
        <v>1173</v>
      </c>
      <c r="B205" s="14" t="s">
        <v>1175</v>
      </c>
      <c r="C205" s="14">
        <v>1.0</v>
      </c>
      <c r="D205" s="14" t="s">
        <v>9</v>
      </c>
      <c r="E205" s="14">
        <v>0.5941</v>
      </c>
      <c r="F205" s="14">
        <v>8.6686</v>
      </c>
      <c r="G205" s="14">
        <v>20.3763</v>
      </c>
      <c r="H205" s="14">
        <v>0.995</v>
      </c>
      <c r="I205" s="14">
        <v>0.2624</v>
      </c>
      <c r="J205" s="14">
        <v>0.225</v>
      </c>
      <c r="K205" s="14">
        <v>0.0462</v>
      </c>
      <c r="L205" s="14">
        <v>9.3604</v>
      </c>
      <c r="M205" s="14" t="s">
        <v>26</v>
      </c>
    </row>
    <row r="206" ht="15.75" customHeight="1">
      <c r="A206" s="14" t="s">
        <v>1183</v>
      </c>
      <c r="B206" s="14" t="s">
        <v>1185</v>
      </c>
      <c r="C206" s="14">
        <v>1.0</v>
      </c>
      <c r="D206" s="14" t="s">
        <v>9</v>
      </c>
      <c r="E206" s="14">
        <v>0.531</v>
      </c>
      <c r="F206" s="14">
        <v>8.6617</v>
      </c>
      <c r="G206" s="14">
        <v>20.2728</v>
      </c>
      <c r="H206" s="14">
        <v>0.9948</v>
      </c>
      <c r="I206" s="14">
        <v>0.2648</v>
      </c>
      <c r="J206" s="14">
        <v>0.1846</v>
      </c>
      <c r="K206" s="14">
        <v>0.049</v>
      </c>
      <c r="L206" s="14">
        <v>9.9109</v>
      </c>
      <c r="M206" s="14" t="s">
        <v>26</v>
      </c>
    </row>
    <row r="207" ht="15.75" customHeight="1">
      <c r="A207" s="14" t="s">
        <v>1187</v>
      </c>
      <c r="B207" s="14" t="s">
        <v>1190</v>
      </c>
      <c r="C207" s="14">
        <v>1.0</v>
      </c>
      <c r="D207" s="14" t="s">
        <v>9</v>
      </c>
      <c r="E207" s="14">
        <v>0.5331</v>
      </c>
      <c r="F207" s="14">
        <v>8.6617</v>
      </c>
      <c r="G207" s="14">
        <v>20.3073</v>
      </c>
      <c r="H207" s="14">
        <v>0.9949</v>
      </c>
      <c r="I207" s="14">
        <v>0.2639</v>
      </c>
      <c r="J207" s="14">
        <v>0.1849</v>
      </c>
      <c r="K207" s="14">
        <v>0.0494</v>
      </c>
      <c r="L207" s="14">
        <v>9.9139</v>
      </c>
      <c r="M207" s="14" t="s">
        <v>26</v>
      </c>
    </row>
    <row r="208" ht="15.75" customHeight="1">
      <c r="A208" s="14" t="s">
        <v>1193</v>
      </c>
      <c r="B208" s="14" t="s">
        <v>1195</v>
      </c>
      <c r="C208" s="14">
        <v>1.0</v>
      </c>
      <c r="D208" s="14" t="s">
        <v>9</v>
      </c>
      <c r="E208" s="14">
        <v>0.593</v>
      </c>
      <c r="F208" s="14">
        <v>8.6617</v>
      </c>
      <c r="G208" s="14">
        <v>20.3763</v>
      </c>
      <c r="H208" s="14">
        <v>0.995</v>
      </c>
      <c r="I208" s="14">
        <v>0.2622</v>
      </c>
      <c r="J208" s="14">
        <v>0.2262</v>
      </c>
      <c r="K208" s="14">
        <v>0.0471</v>
      </c>
      <c r="L208" s="14">
        <v>9.3225</v>
      </c>
      <c r="M208" s="14" t="s">
        <v>26</v>
      </c>
    </row>
    <row r="209" ht="15.75" customHeight="1">
      <c r="A209" s="14" t="s">
        <v>1198</v>
      </c>
      <c r="B209" s="14" t="s">
        <v>1200</v>
      </c>
      <c r="C209" s="14">
        <v>1.0</v>
      </c>
      <c r="D209" s="14" t="s">
        <v>9</v>
      </c>
      <c r="E209" s="14">
        <v>0.5962</v>
      </c>
      <c r="F209" s="14">
        <v>8.6617</v>
      </c>
      <c r="G209" s="14">
        <v>20.3763</v>
      </c>
      <c r="H209" s="14">
        <v>0.995</v>
      </c>
      <c r="I209" s="14">
        <v>0.2622</v>
      </c>
      <c r="J209" s="14">
        <v>0.2217</v>
      </c>
      <c r="K209" s="14">
        <v>0.0463</v>
      </c>
      <c r="L209" s="14">
        <v>9.3546</v>
      </c>
      <c r="M209" s="14" t="s">
        <v>26</v>
      </c>
    </row>
    <row r="210" ht="15.75" customHeight="1">
      <c r="A210" s="14" t="s">
        <v>1204</v>
      </c>
      <c r="B210" s="14" t="s">
        <v>1206</v>
      </c>
      <c r="C210" s="14">
        <v>1.0</v>
      </c>
      <c r="D210" s="14" t="s">
        <v>9</v>
      </c>
      <c r="E210" s="14">
        <v>0.5968</v>
      </c>
      <c r="F210" s="14">
        <v>8.6582</v>
      </c>
      <c r="G210" s="14">
        <v>20.3763</v>
      </c>
      <c r="H210" s="14">
        <v>0.995</v>
      </c>
      <c r="I210" s="14">
        <v>0.2621</v>
      </c>
      <c r="J210" s="14">
        <v>0.2258</v>
      </c>
      <c r="K210" s="14">
        <v>0.0464</v>
      </c>
      <c r="L210" s="14">
        <v>9.3339</v>
      </c>
      <c r="M210" s="14" t="s">
        <v>26</v>
      </c>
    </row>
    <row r="211" ht="15.75" customHeight="1">
      <c r="A211" s="14" t="s">
        <v>1209</v>
      </c>
      <c r="B211" s="14" t="s">
        <v>1211</v>
      </c>
      <c r="C211" s="14">
        <v>1.0</v>
      </c>
      <c r="D211" s="14" t="s">
        <v>9</v>
      </c>
      <c r="E211" s="14">
        <v>0.596</v>
      </c>
      <c r="F211" s="14">
        <v>8.6582</v>
      </c>
      <c r="G211" s="14">
        <v>20.3763</v>
      </c>
      <c r="H211" s="14">
        <v>0.995</v>
      </c>
      <c r="I211" s="14">
        <v>0.2621</v>
      </c>
      <c r="J211" s="14">
        <v>0.2267</v>
      </c>
      <c r="K211" s="14">
        <v>0.0465</v>
      </c>
      <c r="L211" s="14">
        <v>9.3335</v>
      </c>
      <c r="M211" s="14" t="s">
        <v>26</v>
      </c>
    </row>
    <row r="212" ht="15.75" customHeight="1">
      <c r="A212" s="14" t="s">
        <v>1213</v>
      </c>
      <c r="B212" s="14" t="s">
        <v>1214</v>
      </c>
      <c r="C212" s="14">
        <v>1.0</v>
      </c>
      <c r="D212" s="14" t="s">
        <v>9</v>
      </c>
      <c r="E212" s="14">
        <v>0.5972</v>
      </c>
      <c r="F212" s="14">
        <v>8.6582</v>
      </c>
      <c r="G212" s="14">
        <v>20.3763</v>
      </c>
      <c r="H212" s="14">
        <v>0.995</v>
      </c>
      <c r="I212" s="14">
        <v>0.2621</v>
      </c>
      <c r="J212" s="14">
        <v>0.2216</v>
      </c>
      <c r="K212" s="14">
        <v>0.0459</v>
      </c>
      <c r="L212" s="14">
        <v>9.357</v>
      </c>
      <c r="M212" s="14" t="s">
        <v>26</v>
      </c>
    </row>
    <row r="213" ht="15.75" customHeight="1">
      <c r="A213" s="14" t="s">
        <v>1217</v>
      </c>
      <c r="B213" s="14" t="s">
        <v>1219</v>
      </c>
      <c r="C213" s="14">
        <v>1.0</v>
      </c>
      <c r="D213" s="14" t="s">
        <v>9</v>
      </c>
      <c r="E213" s="14">
        <v>0.5359</v>
      </c>
      <c r="F213" s="14">
        <v>8.6582</v>
      </c>
      <c r="G213" s="14">
        <v>20.3073</v>
      </c>
      <c r="H213" s="14">
        <v>0.9949</v>
      </c>
      <c r="I213" s="14">
        <v>0.2638</v>
      </c>
      <c r="J213" s="14">
        <v>0.1874</v>
      </c>
      <c r="K213" s="14">
        <v>0.0498</v>
      </c>
      <c r="L213" s="14">
        <v>9.8883</v>
      </c>
      <c r="M213" s="14" t="s">
        <v>26</v>
      </c>
    </row>
    <row r="214" ht="15.75" customHeight="1">
      <c r="A214" s="14" t="s">
        <v>1221</v>
      </c>
      <c r="B214" s="14" t="s">
        <v>1222</v>
      </c>
      <c r="C214" s="14">
        <v>1.0</v>
      </c>
      <c r="D214" s="14" t="s">
        <v>9</v>
      </c>
      <c r="E214" s="14">
        <v>0.5333</v>
      </c>
      <c r="F214" s="14">
        <v>8.6582</v>
      </c>
      <c r="G214" s="14">
        <v>20.2728</v>
      </c>
      <c r="H214" s="14">
        <v>0.9948</v>
      </c>
      <c r="I214" s="14">
        <v>0.2647</v>
      </c>
      <c r="J214" s="14">
        <v>0.1821</v>
      </c>
      <c r="K214" s="14">
        <v>0.0488</v>
      </c>
      <c r="L214" s="14">
        <v>9.935</v>
      </c>
      <c r="M214" s="14" t="s">
        <v>26</v>
      </c>
    </row>
    <row r="215" ht="15.75" customHeight="1">
      <c r="A215" s="14" t="s">
        <v>1226</v>
      </c>
      <c r="B215" s="14" t="s">
        <v>1227</v>
      </c>
      <c r="C215" s="14">
        <v>1.0</v>
      </c>
      <c r="D215" s="14" t="s">
        <v>9</v>
      </c>
      <c r="E215" s="14">
        <v>0.5935</v>
      </c>
      <c r="F215" s="14">
        <v>8.6547</v>
      </c>
      <c r="G215" s="14">
        <v>20.3763</v>
      </c>
      <c r="H215" s="14">
        <v>0.995</v>
      </c>
      <c r="I215" s="14">
        <v>0.2619</v>
      </c>
      <c r="J215" s="14">
        <v>0.2262</v>
      </c>
      <c r="K215" s="14">
        <v>0.0466</v>
      </c>
      <c r="L215" s="14">
        <v>9.3332</v>
      </c>
      <c r="M215" s="14" t="s">
        <v>26</v>
      </c>
    </row>
    <row r="216" ht="15.75" customHeight="1">
      <c r="A216" s="14" t="s">
        <v>1230</v>
      </c>
      <c r="B216" s="14" t="s">
        <v>1231</v>
      </c>
      <c r="C216" s="14">
        <v>1.0</v>
      </c>
      <c r="D216" s="14" t="s">
        <v>9</v>
      </c>
      <c r="E216" s="14">
        <v>0.5917</v>
      </c>
      <c r="F216" s="14">
        <v>8.6547</v>
      </c>
      <c r="G216" s="14">
        <v>20.3763</v>
      </c>
      <c r="H216" s="14">
        <v>0.995</v>
      </c>
      <c r="I216" s="14">
        <v>0.2619</v>
      </c>
      <c r="J216" s="14">
        <v>0.2202</v>
      </c>
      <c r="K216" s="14">
        <v>0.0461</v>
      </c>
      <c r="L216" s="14">
        <v>9.3679</v>
      </c>
      <c r="M216" s="14" t="s">
        <v>26</v>
      </c>
    </row>
    <row r="217" ht="15.75" customHeight="1">
      <c r="A217" s="14" t="s">
        <v>1235</v>
      </c>
      <c r="B217" s="14" t="s">
        <v>1236</v>
      </c>
      <c r="C217" s="14">
        <v>1.0</v>
      </c>
      <c r="D217" s="14" t="s">
        <v>9</v>
      </c>
      <c r="E217" s="14">
        <v>0.5922</v>
      </c>
      <c r="F217" s="14">
        <v>8.6513</v>
      </c>
      <c r="G217" s="14">
        <v>20.3763</v>
      </c>
      <c r="H217" s="14">
        <v>0.995</v>
      </c>
      <c r="I217" s="14">
        <v>0.2618</v>
      </c>
      <c r="J217" s="14">
        <v>0.2261</v>
      </c>
      <c r="K217" s="14">
        <v>0.0468</v>
      </c>
      <c r="L217" s="14">
        <v>9.3409</v>
      </c>
      <c r="M217" s="14" t="s">
        <v>26</v>
      </c>
    </row>
    <row r="218" ht="15.75" customHeight="1">
      <c r="A218" s="14" t="s">
        <v>1239</v>
      </c>
      <c r="B218" s="14" t="s">
        <v>1240</v>
      </c>
      <c r="C218" s="14">
        <v>1.0</v>
      </c>
      <c r="D218" s="14" t="s">
        <v>9</v>
      </c>
      <c r="E218" s="14">
        <v>0.5933</v>
      </c>
      <c r="F218" s="14">
        <v>8.6513</v>
      </c>
      <c r="G218" s="14">
        <v>20.3763</v>
      </c>
      <c r="H218" s="14">
        <v>0.995</v>
      </c>
      <c r="I218" s="14">
        <v>0.2618</v>
      </c>
      <c r="J218" s="14">
        <v>0.224</v>
      </c>
      <c r="K218" s="14">
        <v>0.0461</v>
      </c>
      <c r="L218" s="14">
        <v>9.3657</v>
      </c>
      <c r="M218" s="14" t="s">
        <v>26</v>
      </c>
    </row>
    <row r="219" ht="15.75" customHeight="1">
      <c r="A219" s="14" t="s">
        <v>1244</v>
      </c>
      <c r="B219" s="14" t="s">
        <v>1245</v>
      </c>
      <c r="C219" s="14">
        <v>1.0</v>
      </c>
      <c r="D219" s="14" t="s">
        <v>9</v>
      </c>
      <c r="E219" s="14">
        <v>0.5944</v>
      </c>
      <c r="F219" s="14">
        <v>8.6513</v>
      </c>
      <c r="G219" s="14">
        <v>20.3763</v>
      </c>
      <c r="H219" s="14">
        <v>0.995</v>
      </c>
      <c r="I219" s="14">
        <v>0.2618</v>
      </c>
      <c r="J219" s="14">
        <v>0.2246</v>
      </c>
      <c r="K219" s="14">
        <v>0.0466</v>
      </c>
      <c r="L219" s="14">
        <v>9.3332</v>
      </c>
      <c r="M219" s="14" t="s">
        <v>26</v>
      </c>
    </row>
    <row r="220" ht="15.75" customHeight="1">
      <c r="A220" s="14" t="s">
        <v>1249</v>
      </c>
      <c r="B220" s="14" t="s">
        <v>1250</v>
      </c>
      <c r="C220" s="14">
        <v>1.0</v>
      </c>
      <c r="D220" s="14" t="s">
        <v>9</v>
      </c>
      <c r="E220" s="14">
        <v>0.5949</v>
      </c>
      <c r="F220" s="14">
        <v>8.6513</v>
      </c>
      <c r="G220" s="14">
        <v>20.3763</v>
      </c>
      <c r="H220" s="14">
        <v>0.995</v>
      </c>
      <c r="I220" s="14">
        <v>0.2618</v>
      </c>
      <c r="J220" s="14">
        <v>0.229</v>
      </c>
      <c r="K220" s="14">
        <v>0.0461</v>
      </c>
      <c r="L220" s="14">
        <v>9.3467</v>
      </c>
      <c r="M220" s="14" t="s">
        <v>26</v>
      </c>
    </row>
    <row r="221" ht="15.75" customHeight="1">
      <c r="A221" s="14" t="s">
        <v>1254</v>
      </c>
      <c r="B221" s="14" t="s">
        <v>1255</v>
      </c>
      <c r="C221" s="14">
        <v>1.0</v>
      </c>
      <c r="D221" s="14" t="s">
        <v>9</v>
      </c>
      <c r="E221" s="14">
        <v>0.5948</v>
      </c>
      <c r="F221" s="14">
        <v>8.6513</v>
      </c>
      <c r="G221" s="14">
        <v>20.3763</v>
      </c>
      <c r="H221" s="14">
        <v>0.995</v>
      </c>
      <c r="I221" s="14">
        <v>0.2618</v>
      </c>
      <c r="J221" s="14">
        <v>0.225</v>
      </c>
      <c r="K221" s="14">
        <v>0.0463</v>
      </c>
      <c r="L221" s="14">
        <v>9.3562</v>
      </c>
      <c r="M221" s="14" t="s">
        <v>26</v>
      </c>
    </row>
    <row r="222" ht="15.75" customHeight="1">
      <c r="A222" s="14" t="s">
        <v>1259</v>
      </c>
      <c r="B222" s="14" t="s">
        <v>1260</v>
      </c>
      <c r="C222" s="14">
        <v>1.0</v>
      </c>
      <c r="D222" s="14" t="s">
        <v>9</v>
      </c>
      <c r="E222" s="14">
        <v>0.5271</v>
      </c>
      <c r="F222" s="14">
        <v>8.6444</v>
      </c>
      <c r="G222" s="14">
        <v>20.2829</v>
      </c>
      <c r="H222" s="14">
        <v>0.9949</v>
      </c>
      <c r="I222" s="14">
        <v>0.264</v>
      </c>
      <c r="J222" s="14">
        <v>0.1825</v>
      </c>
      <c r="K222" s="14">
        <v>0.0491</v>
      </c>
      <c r="L222" s="14">
        <v>9.9468</v>
      </c>
      <c r="M222" s="14" t="s">
        <v>26</v>
      </c>
    </row>
    <row r="223" ht="15.75" customHeight="1">
      <c r="A223" s="14" t="s">
        <v>379</v>
      </c>
      <c r="B223" s="14" t="s">
        <v>1265</v>
      </c>
      <c r="C223" s="14">
        <v>1.0</v>
      </c>
      <c r="D223" s="14" t="s">
        <v>9</v>
      </c>
      <c r="E223" s="14">
        <v>0.4994</v>
      </c>
      <c r="F223" s="14">
        <v>8.634</v>
      </c>
      <c r="G223" s="14">
        <v>20.4738</v>
      </c>
      <c r="H223" s="14">
        <v>0.9949</v>
      </c>
      <c r="I223" s="14">
        <v>0.2588</v>
      </c>
      <c r="J223" s="14">
        <v>0.2028</v>
      </c>
      <c r="K223" s="14">
        <v>0.0423</v>
      </c>
      <c r="L223" s="14">
        <v>9.6012</v>
      </c>
      <c r="M223" s="14" t="s">
        <v>26</v>
      </c>
    </row>
    <row r="224" ht="15.75" customHeight="1">
      <c r="A224" s="14" t="s">
        <v>1268</v>
      </c>
      <c r="B224" s="14" t="s">
        <v>1269</v>
      </c>
      <c r="C224" s="14">
        <v>1.0</v>
      </c>
      <c r="D224" s="14" t="s">
        <v>9</v>
      </c>
      <c r="E224" s="14">
        <v>0.5345</v>
      </c>
      <c r="F224" s="14">
        <v>8.6305</v>
      </c>
      <c r="G224" s="14">
        <v>20.2485</v>
      </c>
      <c r="H224" s="14">
        <v>0.9949</v>
      </c>
      <c r="I224" s="14">
        <v>0.2645</v>
      </c>
      <c r="J224" s="14">
        <v>0.1882</v>
      </c>
      <c r="K224" s="14">
        <v>0.0498</v>
      </c>
      <c r="L224" s="14">
        <v>9.91</v>
      </c>
      <c r="M224" s="14" t="s">
        <v>26</v>
      </c>
    </row>
    <row r="225" ht="15.75" customHeight="1">
      <c r="A225" s="14" t="s">
        <v>1274</v>
      </c>
      <c r="B225" s="14" t="s">
        <v>1275</v>
      </c>
      <c r="C225" s="14">
        <v>1.0</v>
      </c>
      <c r="D225" s="14" t="s">
        <v>9</v>
      </c>
      <c r="E225" s="14">
        <v>0.6003</v>
      </c>
      <c r="F225" s="14">
        <v>8.627</v>
      </c>
      <c r="G225" s="14">
        <v>20.3763</v>
      </c>
      <c r="H225" s="14">
        <v>0.995</v>
      </c>
      <c r="I225" s="14">
        <v>0.2611</v>
      </c>
      <c r="J225" s="14">
        <v>0.2276</v>
      </c>
      <c r="K225" s="14">
        <v>0.0465</v>
      </c>
      <c r="L225" s="14">
        <v>9.3482</v>
      </c>
      <c r="M225" s="14" t="s">
        <v>26</v>
      </c>
    </row>
    <row r="226" ht="15.75" customHeight="1">
      <c r="A226" s="14" t="s">
        <v>1278</v>
      </c>
      <c r="B226" s="14" t="s">
        <v>1279</v>
      </c>
      <c r="C226" s="14">
        <v>1.0</v>
      </c>
      <c r="D226" s="14" t="s">
        <v>9</v>
      </c>
      <c r="E226" s="14">
        <v>0.5252</v>
      </c>
      <c r="F226" s="14">
        <v>8.6166</v>
      </c>
      <c r="G226" s="14">
        <v>20.4536</v>
      </c>
      <c r="H226" s="14">
        <v>0.995</v>
      </c>
      <c r="I226" s="14">
        <v>0.2588</v>
      </c>
      <c r="J226" s="14">
        <v>0.1732</v>
      </c>
      <c r="K226" s="14">
        <v>0.0394</v>
      </c>
      <c r="L226" s="14">
        <v>9.8307</v>
      </c>
      <c r="M226" s="14" t="s">
        <v>26</v>
      </c>
    </row>
    <row r="227" ht="15.75" customHeight="1">
      <c r="A227" s="14" t="s">
        <v>284</v>
      </c>
      <c r="B227" s="14" t="s">
        <v>1283</v>
      </c>
      <c r="C227" s="14">
        <v>1.0</v>
      </c>
      <c r="D227" s="14" t="s">
        <v>9</v>
      </c>
      <c r="E227" s="14">
        <v>0.5245</v>
      </c>
      <c r="F227" s="14">
        <v>8.6166</v>
      </c>
      <c r="G227" s="14">
        <v>20.1753</v>
      </c>
      <c r="H227" s="14">
        <v>0.9949</v>
      </c>
      <c r="I227" s="14">
        <v>0.266</v>
      </c>
      <c r="J227" s="14">
        <v>0.1956</v>
      </c>
      <c r="K227" s="14">
        <v>0.0395</v>
      </c>
      <c r="L227" s="14">
        <v>9.77</v>
      </c>
      <c r="M227" s="14" t="s">
        <v>26</v>
      </c>
    </row>
    <row r="228" ht="15.75" customHeight="1">
      <c r="A228" s="14" t="s">
        <v>733</v>
      </c>
      <c r="B228" s="14" t="s">
        <v>1287</v>
      </c>
      <c r="C228" s="14">
        <v>1.0</v>
      </c>
      <c r="D228" s="14" t="s">
        <v>9</v>
      </c>
      <c r="E228" s="14">
        <v>0.5757</v>
      </c>
      <c r="F228" s="14">
        <v>8.6132</v>
      </c>
      <c r="G228" s="14">
        <v>20.4738</v>
      </c>
      <c r="H228" s="14">
        <v>0.995</v>
      </c>
      <c r="I228" s="14">
        <v>0.2582</v>
      </c>
      <c r="J228" s="14">
        <v>0.1909</v>
      </c>
      <c r="K228" s="14">
        <v>0.0396</v>
      </c>
      <c r="L228" s="14">
        <v>9.801</v>
      </c>
      <c r="M228" s="14" t="s">
        <v>26</v>
      </c>
    </row>
    <row r="229" ht="15.75" customHeight="1">
      <c r="A229" s="14" t="s">
        <v>1291</v>
      </c>
      <c r="B229" s="14" t="s">
        <v>1292</v>
      </c>
      <c r="C229" s="14">
        <v>1.0</v>
      </c>
      <c r="D229" s="14" t="s">
        <v>9</v>
      </c>
      <c r="E229" s="14">
        <v>0.5913</v>
      </c>
      <c r="F229" s="14">
        <v>8.6097</v>
      </c>
      <c r="G229" s="14">
        <v>19.1387</v>
      </c>
      <c r="H229" s="14">
        <v>0.9919</v>
      </c>
      <c r="I229" s="14">
        <v>0.2954</v>
      </c>
      <c r="J229" s="14">
        <v>0.2685</v>
      </c>
      <c r="K229" s="14">
        <v>0.0865</v>
      </c>
      <c r="L229" s="14">
        <v>9.4881</v>
      </c>
      <c r="M229" s="14" t="s">
        <v>26</v>
      </c>
    </row>
    <row r="230" ht="15.75" customHeight="1">
      <c r="A230" s="14" t="s">
        <v>502</v>
      </c>
      <c r="B230" s="14" t="s">
        <v>1297</v>
      </c>
      <c r="C230" s="14">
        <v>1.0</v>
      </c>
      <c r="D230" s="14" t="s">
        <v>9</v>
      </c>
      <c r="E230" s="14">
        <v>0.5249</v>
      </c>
      <c r="F230" s="14">
        <v>8.6097</v>
      </c>
      <c r="G230" s="14">
        <v>20.7579</v>
      </c>
      <c r="H230" s="14">
        <v>0.9953</v>
      </c>
      <c r="I230" s="14">
        <v>0.2511</v>
      </c>
      <c r="J230" s="14">
        <v>0.1992</v>
      </c>
      <c r="K230" s="14">
        <v>0.0632</v>
      </c>
      <c r="L230" s="14">
        <v>9.7265</v>
      </c>
      <c r="M230" s="14" t="s">
        <v>26</v>
      </c>
    </row>
    <row r="231" ht="15.75" customHeight="1">
      <c r="A231" s="14" t="s">
        <v>859</v>
      </c>
      <c r="B231" s="14" t="s">
        <v>1302</v>
      </c>
      <c r="C231" s="14">
        <v>1.0</v>
      </c>
      <c r="D231" s="14" t="s">
        <v>9</v>
      </c>
      <c r="E231" s="14">
        <v>0.5498</v>
      </c>
      <c r="F231" s="14">
        <v>8.5889</v>
      </c>
      <c r="G231" s="14">
        <v>19.9399</v>
      </c>
      <c r="H231" s="14">
        <v>0.9947</v>
      </c>
      <c r="I231" s="14">
        <v>0.2715</v>
      </c>
      <c r="J231" s="14">
        <v>0.2124</v>
      </c>
      <c r="K231" s="14">
        <v>0.0433</v>
      </c>
      <c r="L231" s="14">
        <v>9.5728</v>
      </c>
      <c r="M231" s="14" t="s">
        <v>26</v>
      </c>
    </row>
    <row r="232" ht="15.75" customHeight="1">
      <c r="A232" s="14" t="s">
        <v>1306</v>
      </c>
      <c r="B232" s="14" t="s">
        <v>1307</v>
      </c>
      <c r="C232" s="14">
        <v>1.0</v>
      </c>
      <c r="D232" s="14" t="s">
        <v>9</v>
      </c>
      <c r="E232" s="14">
        <v>0.5974</v>
      </c>
      <c r="F232" s="14">
        <v>8.5785</v>
      </c>
      <c r="G232" s="14">
        <v>20.1753</v>
      </c>
      <c r="H232" s="14">
        <v>0.9949</v>
      </c>
      <c r="I232" s="14">
        <v>0.2648</v>
      </c>
      <c r="J232" s="14">
        <v>0.2242</v>
      </c>
      <c r="K232" s="14">
        <v>0.0459</v>
      </c>
      <c r="L232" s="14">
        <v>9.3478</v>
      </c>
      <c r="M232" s="14" t="s">
        <v>26</v>
      </c>
    </row>
    <row r="233" ht="15.75" customHeight="1">
      <c r="A233" s="14" t="s">
        <v>1311</v>
      </c>
      <c r="B233" s="14" t="s">
        <v>1312</v>
      </c>
      <c r="C233" s="14">
        <v>1.0</v>
      </c>
      <c r="D233" s="14" t="s">
        <v>9</v>
      </c>
      <c r="E233" s="14">
        <v>0.4989</v>
      </c>
      <c r="F233" s="14">
        <v>8.5751</v>
      </c>
      <c r="G233" s="14">
        <v>20.1409</v>
      </c>
      <c r="H233" s="14">
        <v>0.9949</v>
      </c>
      <c r="I233" s="14">
        <v>0.2656</v>
      </c>
      <c r="J233" s="14">
        <v>0.2395</v>
      </c>
      <c r="K233" s="14">
        <v>0.0454</v>
      </c>
      <c r="L233" s="14">
        <v>9.4273</v>
      </c>
      <c r="M233" s="14" t="s">
        <v>26</v>
      </c>
    </row>
    <row r="234" ht="15.75" customHeight="1">
      <c r="A234" s="14" t="s">
        <v>1315</v>
      </c>
      <c r="B234" s="14" t="s">
        <v>1316</v>
      </c>
      <c r="C234" s="14">
        <v>1.0</v>
      </c>
      <c r="D234" s="14" t="s">
        <v>9</v>
      </c>
      <c r="E234" s="14">
        <v>0.5967</v>
      </c>
      <c r="F234" s="14">
        <v>8.5647</v>
      </c>
      <c r="G234" s="14">
        <v>20.1753</v>
      </c>
      <c r="H234" s="14">
        <v>0.9949</v>
      </c>
      <c r="I234" s="14">
        <v>0.2644</v>
      </c>
      <c r="J234" s="14">
        <v>0.2246</v>
      </c>
      <c r="K234" s="14">
        <v>0.0456</v>
      </c>
      <c r="L234" s="14">
        <v>9.3663</v>
      </c>
      <c r="M234" s="14" t="s">
        <v>26</v>
      </c>
    </row>
    <row r="235" ht="15.75" customHeight="1">
      <c r="A235" s="14" t="s">
        <v>1111</v>
      </c>
      <c r="B235" s="14" t="s">
        <v>1319</v>
      </c>
      <c r="C235" s="14">
        <v>1.0</v>
      </c>
      <c r="D235" s="14" t="s">
        <v>9</v>
      </c>
      <c r="E235" s="14">
        <v>0.5159</v>
      </c>
      <c r="F235" s="14">
        <v>8.5231</v>
      </c>
      <c r="G235" s="14">
        <v>20.1064</v>
      </c>
      <c r="H235" s="14">
        <v>0.9948</v>
      </c>
      <c r="I235" s="14">
        <v>0.2649</v>
      </c>
      <c r="J235" s="14">
        <v>0.2438</v>
      </c>
      <c r="K235" s="14">
        <v>0.0454</v>
      </c>
      <c r="L235" s="14">
        <v>9.4091</v>
      </c>
      <c r="M235" s="14" t="s">
        <v>26</v>
      </c>
    </row>
    <row r="236" ht="15.75" customHeight="1">
      <c r="A236" s="14" t="s">
        <v>123</v>
      </c>
      <c r="B236" s="14" t="s">
        <v>1322</v>
      </c>
      <c r="C236" s="14">
        <v>1.0</v>
      </c>
      <c r="D236" s="14" t="s">
        <v>9</v>
      </c>
      <c r="E236" s="14">
        <v>0.496</v>
      </c>
      <c r="F236" s="14">
        <v>8.5093</v>
      </c>
      <c r="G236" s="14">
        <v>20.3763</v>
      </c>
      <c r="H236" s="14">
        <v>0.9951</v>
      </c>
      <c r="I236" s="14">
        <v>0.2575</v>
      </c>
      <c r="J236" s="14">
        <v>0.3094</v>
      </c>
      <c r="K236" s="14">
        <v>0.0613</v>
      </c>
      <c r="L236" s="14">
        <v>8.7906</v>
      </c>
      <c r="M236" s="14" t="s">
        <v>26</v>
      </c>
    </row>
    <row r="237" ht="15.75" customHeight="1">
      <c r="A237" s="14" t="s">
        <v>1326</v>
      </c>
      <c r="B237" s="14" t="s">
        <v>1327</v>
      </c>
      <c r="C237" s="14">
        <v>1.0</v>
      </c>
      <c r="D237" s="14" t="s">
        <v>9</v>
      </c>
      <c r="E237" s="14">
        <v>0.5862</v>
      </c>
      <c r="F237" s="14">
        <v>8.4989</v>
      </c>
      <c r="G237" s="14">
        <v>19.9079</v>
      </c>
      <c r="H237" s="14">
        <v>0.9937</v>
      </c>
      <c r="I237" s="14">
        <v>0.2695</v>
      </c>
      <c r="J237" s="14">
        <v>0.2494</v>
      </c>
      <c r="K237" s="14">
        <v>0.1137</v>
      </c>
      <c r="L237" s="14">
        <v>9.5722</v>
      </c>
      <c r="M237" s="14" t="s">
        <v>26</v>
      </c>
    </row>
    <row r="238" ht="15.75" customHeight="1">
      <c r="A238" s="14" t="s">
        <v>1331</v>
      </c>
      <c r="B238" s="14" t="s">
        <v>1332</v>
      </c>
      <c r="C238" s="14">
        <v>1.0</v>
      </c>
      <c r="D238" s="14" t="s">
        <v>9</v>
      </c>
      <c r="E238" s="14">
        <v>0.524</v>
      </c>
      <c r="F238" s="14">
        <v>8.4885</v>
      </c>
      <c r="G238" s="14">
        <v>20.6545</v>
      </c>
      <c r="H238" s="14">
        <v>0.995</v>
      </c>
      <c r="I238" s="14">
        <v>0.25</v>
      </c>
      <c r="J238" s="14">
        <v>0.1969</v>
      </c>
      <c r="K238" s="14">
        <v>0.0546</v>
      </c>
      <c r="L238" s="14">
        <v>9.6785</v>
      </c>
      <c r="M238" s="14" t="s">
        <v>26</v>
      </c>
    </row>
    <row r="239" ht="15.75" customHeight="1">
      <c r="A239" s="14" t="s">
        <v>257</v>
      </c>
      <c r="B239" s="14" t="s">
        <v>1335</v>
      </c>
      <c r="C239" s="14">
        <v>1.0</v>
      </c>
      <c r="D239" s="14" t="s">
        <v>9</v>
      </c>
      <c r="E239" s="14">
        <v>0.523</v>
      </c>
      <c r="F239" s="14">
        <v>8.4539</v>
      </c>
      <c r="G239" s="14">
        <v>20.4738</v>
      </c>
      <c r="H239" s="14">
        <v>0.9949</v>
      </c>
      <c r="I239" s="14">
        <v>0.2534</v>
      </c>
      <c r="J239" s="14">
        <v>0.2692</v>
      </c>
      <c r="K239" s="14">
        <v>0.0497</v>
      </c>
      <c r="L239" s="14">
        <v>9.2117</v>
      </c>
      <c r="M239" s="14" t="s">
        <v>26</v>
      </c>
    </row>
    <row r="240" ht="15.75" customHeight="1">
      <c r="A240" s="14" t="s">
        <v>333</v>
      </c>
      <c r="B240" s="14" t="s">
        <v>1339</v>
      </c>
      <c r="C240" s="14">
        <v>1.0</v>
      </c>
      <c r="D240" s="14" t="s">
        <v>9</v>
      </c>
      <c r="E240" s="14">
        <v>0.5138</v>
      </c>
      <c r="F240" s="14">
        <v>8.44</v>
      </c>
      <c r="G240" s="14">
        <v>20.1753</v>
      </c>
      <c r="H240" s="14">
        <v>0.995</v>
      </c>
      <c r="I240" s="14">
        <v>0.2606</v>
      </c>
      <c r="J240" s="14">
        <v>0.3282</v>
      </c>
      <c r="K240" s="14">
        <v>0.0588</v>
      </c>
      <c r="L240" s="14">
        <v>8.894</v>
      </c>
      <c r="M240" s="14" t="s">
        <v>26</v>
      </c>
    </row>
    <row r="241" ht="15.75" customHeight="1">
      <c r="A241" s="14" t="s">
        <v>1342</v>
      </c>
      <c r="B241" s="14" t="s">
        <v>1343</v>
      </c>
      <c r="C241" s="14">
        <v>1.0</v>
      </c>
      <c r="D241" s="14" t="s">
        <v>9</v>
      </c>
      <c r="E241" s="14">
        <v>0.5661</v>
      </c>
      <c r="F241" s="14">
        <v>8.4366</v>
      </c>
      <c r="G241" s="14">
        <v>20.8777</v>
      </c>
      <c r="H241" s="14">
        <v>0.9954</v>
      </c>
      <c r="I241" s="14">
        <v>0.2432</v>
      </c>
      <c r="J241" s="14">
        <v>0.176</v>
      </c>
      <c r="K241" s="14">
        <v>0.0436</v>
      </c>
      <c r="L241" s="14">
        <v>9.7853</v>
      </c>
      <c r="M241" s="14" t="s">
        <v>26</v>
      </c>
    </row>
    <row r="242" ht="15.75" customHeight="1">
      <c r="A242" s="14" t="s">
        <v>956</v>
      </c>
      <c r="B242" s="14" t="s">
        <v>1347</v>
      </c>
      <c r="C242" s="14">
        <v>1.0</v>
      </c>
      <c r="D242" s="14" t="s">
        <v>9</v>
      </c>
      <c r="E242" s="14">
        <v>0.6026</v>
      </c>
      <c r="F242" s="14">
        <v>8.4366</v>
      </c>
      <c r="G242" s="14">
        <v>19.8449</v>
      </c>
      <c r="H242" s="14">
        <v>0.9943</v>
      </c>
      <c r="I242" s="14">
        <v>0.2692</v>
      </c>
      <c r="J242" s="14">
        <v>0.2629</v>
      </c>
      <c r="K242" s="14">
        <v>0.1273</v>
      </c>
      <c r="L242" s="14">
        <v>9.4292</v>
      </c>
      <c r="M242" s="14" t="s">
        <v>26</v>
      </c>
    </row>
    <row r="243" ht="15.75" customHeight="1">
      <c r="A243" s="14" t="s">
        <v>66</v>
      </c>
      <c r="B243" s="14" t="s">
        <v>1350</v>
      </c>
      <c r="C243" s="14">
        <v>1.0</v>
      </c>
      <c r="D243" s="14" t="s">
        <v>9</v>
      </c>
      <c r="E243" s="14">
        <v>0.4931</v>
      </c>
      <c r="F243" s="14">
        <v>8.4331</v>
      </c>
      <c r="G243" s="14">
        <v>19.8995</v>
      </c>
      <c r="H243" s="14">
        <v>0.9945</v>
      </c>
      <c r="I243" s="14">
        <v>0.2676</v>
      </c>
      <c r="J243" s="14">
        <v>0.3877</v>
      </c>
      <c r="K243" s="14">
        <v>0.0858</v>
      </c>
      <c r="L243" s="14">
        <v>8.4575</v>
      </c>
      <c r="M243" s="14" t="s">
        <v>26</v>
      </c>
    </row>
    <row r="244" ht="15.75" customHeight="1">
      <c r="A244" s="14" t="s">
        <v>936</v>
      </c>
      <c r="B244" s="14" t="s">
        <v>1353</v>
      </c>
      <c r="C244" s="14">
        <v>1.0</v>
      </c>
      <c r="D244" s="14" t="s">
        <v>9</v>
      </c>
      <c r="E244" s="14">
        <v>0.6062</v>
      </c>
      <c r="F244" s="14">
        <v>8.4088</v>
      </c>
      <c r="G244" s="14">
        <v>20.0113</v>
      </c>
      <c r="H244" s="14">
        <v>0.9943</v>
      </c>
      <c r="I244" s="14">
        <v>0.2639</v>
      </c>
      <c r="J244" s="14">
        <v>0.2645</v>
      </c>
      <c r="K244" s="14">
        <v>0.1297</v>
      </c>
      <c r="L244" s="14">
        <v>9.39</v>
      </c>
      <c r="M244" s="14" t="s">
        <v>26</v>
      </c>
    </row>
    <row r="245" ht="15.75" customHeight="1">
      <c r="A245" s="14" t="s">
        <v>298</v>
      </c>
      <c r="B245" s="14" t="s">
        <v>1356</v>
      </c>
      <c r="C245" s="14">
        <v>1.0</v>
      </c>
      <c r="D245" s="14" t="s">
        <v>9</v>
      </c>
      <c r="E245" s="14">
        <v>0.5044</v>
      </c>
      <c r="F245" s="14">
        <v>8.4054</v>
      </c>
      <c r="G245" s="14">
        <v>20.425</v>
      </c>
      <c r="H245" s="14">
        <v>0.9952</v>
      </c>
      <c r="I245" s="14">
        <v>0.2532</v>
      </c>
      <c r="J245" s="14">
        <v>0.2027</v>
      </c>
      <c r="K245" s="14">
        <v>0.0443</v>
      </c>
      <c r="L245" s="14">
        <v>9.6335</v>
      </c>
      <c r="M245" s="14" t="s">
        <v>26</v>
      </c>
    </row>
    <row r="246" ht="15.75" customHeight="1">
      <c r="A246" s="14" t="s">
        <v>1359</v>
      </c>
      <c r="B246" s="14" t="s">
        <v>1360</v>
      </c>
      <c r="C246" s="14">
        <v>1.0</v>
      </c>
      <c r="D246" s="14" t="s">
        <v>9</v>
      </c>
      <c r="E246" s="14">
        <v>0.5173</v>
      </c>
      <c r="F246" s="14">
        <v>8.3985</v>
      </c>
      <c r="G246" s="14">
        <v>19.9055</v>
      </c>
      <c r="H246" s="14">
        <v>0.9947</v>
      </c>
      <c r="I246" s="14">
        <v>0.2664</v>
      </c>
      <c r="J246" s="14">
        <v>0.2644</v>
      </c>
      <c r="K246" s="14">
        <v>0.0484</v>
      </c>
      <c r="L246" s="14">
        <v>9.2594</v>
      </c>
      <c r="M246" s="14" t="s">
        <v>26</v>
      </c>
    </row>
    <row r="247" ht="15.75" customHeight="1">
      <c r="A247" s="14" t="s">
        <v>931</v>
      </c>
      <c r="B247" s="14" t="s">
        <v>1364</v>
      </c>
      <c r="C247" s="14">
        <v>1.0</v>
      </c>
      <c r="D247" s="14" t="s">
        <v>9</v>
      </c>
      <c r="E247" s="14">
        <v>0.6092</v>
      </c>
      <c r="F247" s="14">
        <v>8.3915</v>
      </c>
      <c r="G247" s="14">
        <v>19.8449</v>
      </c>
      <c r="H247" s="14">
        <v>0.9943</v>
      </c>
      <c r="I247" s="14">
        <v>0.2678</v>
      </c>
      <c r="J247" s="14">
        <v>0.2682</v>
      </c>
      <c r="K247" s="14">
        <v>0.1304</v>
      </c>
      <c r="L247" s="14">
        <v>9.3981</v>
      </c>
      <c r="M247" s="14" t="s">
        <v>26</v>
      </c>
    </row>
    <row r="248" ht="15.75" customHeight="1">
      <c r="A248" s="14" t="s">
        <v>1367</v>
      </c>
      <c r="B248" s="14" t="s">
        <v>1368</v>
      </c>
      <c r="C248" s="14">
        <v>1.0</v>
      </c>
      <c r="D248" s="14" t="s">
        <v>9</v>
      </c>
      <c r="E248" s="14">
        <v>0.3538</v>
      </c>
      <c r="F248" s="14">
        <v>8.3881</v>
      </c>
      <c r="G248" s="14">
        <v>19.871</v>
      </c>
      <c r="H248" s="14">
        <v>0.9947</v>
      </c>
      <c r="I248" s="14">
        <v>0.267</v>
      </c>
      <c r="J248" s="14">
        <v>0.3675</v>
      </c>
      <c r="K248" s="14">
        <v>0.062</v>
      </c>
      <c r="L248" s="14">
        <v>8.7141</v>
      </c>
      <c r="M248" s="14" t="s">
        <v>26</v>
      </c>
    </row>
    <row r="249" ht="15.75" customHeight="1">
      <c r="A249" s="14" t="s">
        <v>1040</v>
      </c>
      <c r="B249" s="14" t="s">
        <v>1372</v>
      </c>
      <c r="C249" s="14">
        <v>1.0</v>
      </c>
      <c r="D249" s="14" t="s">
        <v>9</v>
      </c>
      <c r="E249" s="14">
        <v>0.6062</v>
      </c>
      <c r="F249" s="14">
        <v>8.3881</v>
      </c>
      <c r="G249" s="14">
        <v>19.8449</v>
      </c>
      <c r="H249" s="14">
        <v>0.9943</v>
      </c>
      <c r="I249" s="14">
        <v>0.2677</v>
      </c>
      <c r="J249" s="14">
        <v>0.2641</v>
      </c>
      <c r="K249" s="14">
        <v>0.1283</v>
      </c>
      <c r="L249" s="14">
        <v>9.4211</v>
      </c>
      <c r="M249" s="14" t="s">
        <v>26</v>
      </c>
    </row>
    <row r="250" ht="15.75" customHeight="1">
      <c r="A250" s="14" t="s">
        <v>1000</v>
      </c>
      <c r="B250" s="14" t="s">
        <v>1375</v>
      </c>
      <c r="C250" s="14">
        <v>1.0</v>
      </c>
      <c r="D250" s="14" t="s">
        <v>9</v>
      </c>
      <c r="E250" s="14">
        <v>0.603</v>
      </c>
      <c r="F250" s="14">
        <v>8.3846</v>
      </c>
      <c r="G250" s="14">
        <v>19.7961</v>
      </c>
      <c r="H250" s="14">
        <v>0.9943</v>
      </c>
      <c r="I250" s="14">
        <v>0.2689</v>
      </c>
      <c r="J250" s="14">
        <v>0.2711</v>
      </c>
      <c r="K250" s="14">
        <v>0.1343</v>
      </c>
      <c r="L250" s="14">
        <v>9.3731</v>
      </c>
      <c r="M250" s="14" t="s">
        <v>26</v>
      </c>
    </row>
    <row r="251" ht="15.75" customHeight="1">
      <c r="A251" s="14" t="s">
        <v>1034</v>
      </c>
      <c r="B251" s="14" t="s">
        <v>1379</v>
      </c>
      <c r="C251" s="14">
        <v>1.0</v>
      </c>
      <c r="D251" s="14" t="s">
        <v>9</v>
      </c>
      <c r="E251" s="14">
        <v>0.6045</v>
      </c>
      <c r="F251" s="14">
        <v>8.3846</v>
      </c>
      <c r="G251" s="14">
        <v>19.8449</v>
      </c>
      <c r="H251" s="14">
        <v>0.9943</v>
      </c>
      <c r="I251" s="14">
        <v>0.2675</v>
      </c>
      <c r="J251" s="14">
        <v>0.2657</v>
      </c>
      <c r="K251" s="14">
        <v>0.1315</v>
      </c>
      <c r="L251" s="14">
        <v>9.4042</v>
      </c>
      <c r="M251" s="14" t="s">
        <v>26</v>
      </c>
    </row>
    <row r="252" ht="15.75" customHeight="1">
      <c r="A252" s="14" t="s">
        <v>988</v>
      </c>
      <c r="B252" s="14" t="s">
        <v>1383</v>
      </c>
      <c r="C252" s="14">
        <v>1.0</v>
      </c>
      <c r="D252" s="14" t="s">
        <v>9</v>
      </c>
      <c r="E252" s="14">
        <v>0.5975</v>
      </c>
      <c r="F252" s="14">
        <v>8.3742</v>
      </c>
      <c r="G252" s="14">
        <v>19.8449</v>
      </c>
      <c r="H252" s="14">
        <v>0.9943</v>
      </c>
      <c r="I252" s="14">
        <v>0.2672</v>
      </c>
      <c r="J252" s="14">
        <v>0.2674</v>
      </c>
      <c r="K252" s="14">
        <v>0.136</v>
      </c>
      <c r="L252" s="14">
        <v>9.3547</v>
      </c>
      <c r="M252" s="14" t="s">
        <v>26</v>
      </c>
    </row>
    <row r="253" ht="15.75" customHeight="1">
      <c r="A253" s="14" t="s">
        <v>941</v>
      </c>
      <c r="B253" s="14" t="s">
        <v>1387</v>
      </c>
      <c r="C253" s="14">
        <v>1.0</v>
      </c>
      <c r="D253" s="14" t="s">
        <v>9</v>
      </c>
      <c r="E253" s="14">
        <v>0.5909</v>
      </c>
      <c r="F253" s="14">
        <v>8.3742</v>
      </c>
      <c r="G253" s="14">
        <v>19.9626</v>
      </c>
      <c r="H253" s="14">
        <v>0.9943</v>
      </c>
      <c r="I253" s="14">
        <v>0.2641</v>
      </c>
      <c r="J253" s="14">
        <v>0.2667</v>
      </c>
      <c r="K253" s="14">
        <v>0.1294</v>
      </c>
      <c r="L253" s="14">
        <v>9.3939</v>
      </c>
      <c r="M253" s="14" t="s">
        <v>26</v>
      </c>
    </row>
    <row r="254" ht="15.75" customHeight="1">
      <c r="A254" s="14" t="s">
        <v>1023</v>
      </c>
      <c r="B254" s="14" t="s">
        <v>1392</v>
      </c>
      <c r="C254" s="14">
        <v>1.0</v>
      </c>
      <c r="D254" s="14" t="s">
        <v>9</v>
      </c>
      <c r="E254" s="14">
        <v>0.6026</v>
      </c>
      <c r="F254" s="14">
        <v>8.3673</v>
      </c>
      <c r="G254" s="14">
        <v>19.8449</v>
      </c>
      <c r="H254" s="14">
        <v>0.9944</v>
      </c>
      <c r="I254" s="14">
        <v>0.267</v>
      </c>
      <c r="J254" s="14">
        <v>0.2665</v>
      </c>
      <c r="K254" s="14">
        <v>0.1329</v>
      </c>
      <c r="L254" s="14">
        <v>9.3751</v>
      </c>
      <c r="M254" s="14" t="s">
        <v>26</v>
      </c>
    </row>
    <row r="255" ht="15.75" customHeight="1">
      <c r="A255" s="14" t="s">
        <v>1051</v>
      </c>
      <c r="B255" s="14" t="s">
        <v>1395</v>
      </c>
      <c r="C255" s="14">
        <v>1.0</v>
      </c>
      <c r="D255" s="14" t="s">
        <v>9</v>
      </c>
      <c r="E255" s="14">
        <v>0.6045</v>
      </c>
      <c r="F255" s="14">
        <v>8.3638</v>
      </c>
      <c r="G255" s="14">
        <v>19.8449</v>
      </c>
      <c r="H255" s="14">
        <v>0.9944</v>
      </c>
      <c r="I255" s="14">
        <v>0.2669</v>
      </c>
      <c r="J255" s="14">
        <v>0.2665</v>
      </c>
      <c r="K255" s="14">
        <v>0.1331</v>
      </c>
      <c r="L255" s="14">
        <v>9.3825</v>
      </c>
      <c r="M255" s="14" t="s">
        <v>26</v>
      </c>
    </row>
    <row r="256" ht="15.75" customHeight="1">
      <c r="A256" s="14" t="s">
        <v>950</v>
      </c>
      <c r="B256" s="14" t="s">
        <v>1397</v>
      </c>
      <c r="C256" s="14">
        <v>1.0</v>
      </c>
      <c r="D256" s="14" t="s">
        <v>9</v>
      </c>
      <c r="E256" s="14">
        <v>0.5996</v>
      </c>
      <c r="F256" s="14">
        <v>8.3638</v>
      </c>
      <c r="G256" s="14">
        <v>19.7961</v>
      </c>
      <c r="H256" s="14">
        <v>0.9944</v>
      </c>
      <c r="I256" s="14">
        <v>0.2682</v>
      </c>
      <c r="J256" s="14">
        <v>0.2703</v>
      </c>
      <c r="K256" s="14">
        <v>0.1343</v>
      </c>
      <c r="L256" s="14">
        <v>9.3462</v>
      </c>
      <c r="M256" s="14" t="s">
        <v>26</v>
      </c>
    </row>
    <row r="257" ht="15.75" customHeight="1">
      <c r="A257" s="14" t="s">
        <v>915</v>
      </c>
      <c r="B257" s="14" t="s">
        <v>1400</v>
      </c>
      <c r="C257" s="14">
        <v>1.0</v>
      </c>
      <c r="D257" s="14" t="s">
        <v>9</v>
      </c>
      <c r="E257" s="14">
        <v>0.5993</v>
      </c>
      <c r="F257" s="14">
        <v>8.3569</v>
      </c>
      <c r="G257" s="14">
        <v>19.9626</v>
      </c>
      <c r="H257" s="14">
        <v>0.9943</v>
      </c>
      <c r="I257" s="14">
        <v>0.2635</v>
      </c>
      <c r="J257" s="14">
        <v>0.2678</v>
      </c>
      <c r="K257" s="14">
        <v>0.1288</v>
      </c>
      <c r="L257" s="14">
        <v>9.4071</v>
      </c>
      <c r="M257" s="14" t="s">
        <v>26</v>
      </c>
    </row>
    <row r="258" ht="15.75" customHeight="1">
      <c r="A258" s="14" t="s">
        <v>1137</v>
      </c>
      <c r="B258" s="14" t="s">
        <v>1403</v>
      </c>
      <c r="C258" s="14">
        <v>1.0</v>
      </c>
      <c r="D258" s="14" t="s">
        <v>9</v>
      </c>
      <c r="E258" s="14">
        <v>0.5923</v>
      </c>
      <c r="F258" s="14">
        <v>8.3465</v>
      </c>
      <c r="G258" s="14">
        <v>19.8449</v>
      </c>
      <c r="H258" s="14">
        <v>0.9944</v>
      </c>
      <c r="I258" s="14">
        <v>0.2663</v>
      </c>
      <c r="J258" s="14">
        <v>0.2723</v>
      </c>
      <c r="K258" s="14">
        <v>0.1371</v>
      </c>
      <c r="L258" s="14">
        <v>9.3111</v>
      </c>
      <c r="M258" s="14" t="s">
        <v>26</v>
      </c>
    </row>
    <row r="259" ht="15.75" customHeight="1">
      <c r="A259" s="14" t="s">
        <v>994</v>
      </c>
      <c r="B259" s="14" t="s">
        <v>1406</v>
      </c>
      <c r="C259" s="14">
        <v>1.0</v>
      </c>
      <c r="D259" s="14" t="s">
        <v>9</v>
      </c>
      <c r="E259" s="14">
        <v>0.6039</v>
      </c>
      <c r="F259" s="14">
        <v>8.3465</v>
      </c>
      <c r="G259" s="14">
        <v>19.8449</v>
      </c>
      <c r="H259" s="14">
        <v>0.9944</v>
      </c>
      <c r="I259" s="14">
        <v>0.2663</v>
      </c>
      <c r="J259" s="14">
        <v>0.2687</v>
      </c>
      <c r="K259" s="14">
        <v>0.1355</v>
      </c>
      <c r="L259" s="14">
        <v>9.3727</v>
      </c>
      <c r="M259" s="14" t="s">
        <v>26</v>
      </c>
    </row>
    <row r="260" ht="15.75" customHeight="1">
      <c r="A260" s="14" t="s">
        <v>1057</v>
      </c>
      <c r="B260" s="14" t="s">
        <v>1409</v>
      </c>
      <c r="C260" s="14">
        <v>1.0</v>
      </c>
      <c r="D260" s="14" t="s">
        <v>9</v>
      </c>
      <c r="E260" s="14">
        <v>0.5997</v>
      </c>
      <c r="F260" s="14">
        <v>8.343</v>
      </c>
      <c r="G260" s="14">
        <v>19.7961</v>
      </c>
      <c r="H260" s="14">
        <v>0.9944</v>
      </c>
      <c r="I260" s="14">
        <v>0.2675</v>
      </c>
      <c r="J260" s="14">
        <v>0.2724</v>
      </c>
      <c r="K260" s="14">
        <v>0.1381</v>
      </c>
      <c r="L260" s="14">
        <v>9.3283</v>
      </c>
      <c r="M260" s="14" t="s">
        <v>26</v>
      </c>
    </row>
    <row r="261" ht="15.75" customHeight="1">
      <c r="A261" s="14" t="s">
        <v>1045</v>
      </c>
      <c r="B261" s="14" t="s">
        <v>1412</v>
      </c>
      <c r="C261" s="14">
        <v>1.0</v>
      </c>
      <c r="D261" s="14" t="s">
        <v>9</v>
      </c>
      <c r="E261" s="14">
        <v>0.6046</v>
      </c>
      <c r="F261" s="14">
        <v>8.343</v>
      </c>
      <c r="G261" s="14">
        <v>19.7961</v>
      </c>
      <c r="H261" s="14">
        <v>0.9944</v>
      </c>
      <c r="I261" s="14">
        <v>0.2675</v>
      </c>
      <c r="J261" s="14">
        <v>0.2719</v>
      </c>
      <c r="K261" s="14">
        <v>0.1375</v>
      </c>
      <c r="L261" s="14">
        <v>9.326</v>
      </c>
      <c r="M261" s="14" t="s">
        <v>26</v>
      </c>
    </row>
    <row r="262" ht="15.75" customHeight="1">
      <c r="A262" s="14" t="s">
        <v>435</v>
      </c>
      <c r="B262" s="14" t="s">
        <v>1415</v>
      </c>
      <c r="C262" s="14">
        <v>1.0</v>
      </c>
      <c r="D262" s="14" t="s">
        <v>9</v>
      </c>
      <c r="E262" s="14">
        <v>0.3394</v>
      </c>
      <c r="F262" s="14">
        <v>8.3257</v>
      </c>
      <c r="G262" s="14">
        <v>19.6965</v>
      </c>
      <c r="H262" s="14">
        <v>0.9944</v>
      </c>
      <c r="I262" s="14">
        <v>0.2697</v>
      </c>
      <c r="J262" s="14">
        <v>0.4294</v>
      </c>
      <c r="K262" s="14">
        <v>0.0817</v>
      </c>
      <c r="L262" s="14">
        <v>8.1638</v>
      </c>
      <c r="M262" s="14" t="s">
        <v>26</v>
      </c>
    </row>
    <row r="263" ht="15.75" customHeight="1">
      <c r="A263" s="14" t="s">
        <v>972</v>
      </c>
      <c r="B263" s="14" t="s">
        <v>1418</v>
      </c>
      <c r="C263" s="14">
        <v>1.0</v>
      </c>
      <c r="D263" s="14" t="s">
        <v>9</v>
      </c>
      <c r="E263" s="14">
        <v>0.6065</v>
      </c>
      <c r="F263" s="14">
        <v>8.3257</v>
      </c>
      <c r="G263" s="14">
        <v>20.0113</v>
      </c>
      <c r="H263" s="14">
        <v>0.9944</v>
      </c>
      <c r="I263" s="14">
        <v>0.2613</v>
      </c>
      <c r="J263" s="14">
        <v>0.2677</v>
      </c>
      <c r="K263" s="14">
        <v>0.1345</v>
      </c>
      <c r="L263" s="14">
        <v>9.3728</v>
      </c>
      <c r="M263" s="14" t="s">
        <v>26</v>
      </c>
    </row>
    <row r="264" ht="15.75" customHeight="1">
      <c r="A264" s="14" t="s">
        <v>1421</v>
      </c>
      <c r="B264" s="14" t="s">
        <v>1422</v>
      </c>
      <c r="C264" s="14">
        <v>1.0</v>
      </c>
      <c r="D264" s="14" t="s">
        <v>9</v>
      </c>
      <c r="E264" s="14">
        <v>0.5959</v>
      </c>
      <c r="F264" s="14">
        <v>8.3257</v>
      </c>
      <c r="G264" s="14">
        <v>19.6297</v>
      </c>
      <c r="H264" s="14">
        <v>0.9942</v>
      </c>
      <c r="I264" s="14">
        <v>0.2715</v>
      </c>
      <c r="J264" s="14">
        <v>0.269</v>
      </c>
      <c r="K264" s="14">
        <v>0.1282</v>
      </c>
      <c r="L264" s="14">
        <v>9.3882</v>
      </c>
      <c r="M264" s="14" t="s">
        <v>26</v>
      </c>
    </row>
    <row r="265" ht="15.75" customHeight="1">
      <c r="A265" s="14" t="s">
        <v>1017</v>
      </c>
      <c r="B265" s="14" t="s">
        <v>1426</v>
      </c>
      <c r="C265" s="14">
        <v>1.0</v>
      </c>
      <c r="D265" s="14" t="s">
        <v>9</v>
      </c>
      <c r="E265" s="14">
        <v>0.6046</v>
      </c>
      <c r="F265" s="14">
        <v>8.3257</v>
      </c>
      <c r="G265" s="14">
        <v>19.7961</v>
      </c>
      <c r="H265" s="14">
        <v>0.9944</v>
      </c>
      <c r="I265" s="14">
        <v>0.267</v>
      </c>
      <c r="J265" s="14">
        <v>0.2723</v>
      </c>
      <c r="K265" s="14">
        <v>0.1391</v>
      </c>
      <c r="L265" s="14">
        <v>9.3252</v>
      </c>
      <c r="M265" s="14" t="s">
        <v>26</v>
      </c>
    </row>
    <row r="266" ht="15.75" customHeight="1">
      <c r="A266" s="14" t="s">
        <v>570</v>
      </c>
      <c r="B266" s="14" t="s">
        <v>1431</v>
      </c>
      <c r="C266" s="14">
        <v>1.0</v>
      </c>
      <c r="D266" s="14" t="s">
        <v>9</v>
      </c>
      <c r="E266" s="14">
        <v>0.4705</v>
      </c>
      <c r="F266" s="14">
        <v>8.3153</v>
      </c>
      <c r="G266" s="14">
        <v>22.0324</v>
      </c>
      <c r="H266" s="14">
        <v>0.9959</v>
      </c>
      <c r="I266" s="14">
        <v>0.2153</v>
      </c>
      <c r="J266" s="14">
        <v>0.2879</v>
      </c>
      <c r="K266" s="14">
        <v>0.0878</v>
      </c>
      <c r="L266" s="14">
        <v>8.7284</v>
      </c>
      <c r="M266" s="14" t="s">
        <v>26</v>
      </c>
    </row>
    <row r="267" ht="15.75" customHeight="1">
      <c r="A267" s="14" t="s">
        <v>1342</v>
      </c>
      <c r="B267" s="14" t="s">
        <v>1434</v>
      </c>
      <c r="C267" s="14">
        <v>1.0</v>
      </c>
      <c r="D267" s="14" t="s">
        <v>9</v>
      </c>
      <c r="E267" s="14">
        <v>0.5407</v>
      </c>
      <c r="F267" s="14">
        <v>8.3084</v>
      </c>
      <c r="G267" s="14">
        <v>19.311</v>
      </c>
      <c r="H267" s="14">
        <v>0.9937</v>
      </c>
      <c r="I267" s="14">
        <v>0.28</v>
      </c>
      <c r="J267" s="14">
        <v>0.2743</v>
      </c>
      <c r="K267" s="14">
        <v>0.064</v>
      </c>
      <c r="L267" s="14">
        <v>9.3807</v>
      </c>
      <c r="M267" s="14" t="s">
        <v>26</v>
      </c>
    </row>
    <row r="268" ht="15.75" customHeight="1">
      <c r="A268" s="14" t="s">
        <v>477</v>
      </c>
      <c r="B268" s="14" t="s">
        <v>1437</v>
      </c>
      <c r="C268" s="14">
        <v>1.0</v>
      </c>
      <c r="D268" s="14" t="s">
        <v>9</v>
      </c>
      <c r="E268" s="14">
        <v>0.5188</v>
      </c>
      <c r="F268" s="14">
        <v>8.2738</v>
      </c>
      <c r="G268" s="14">
        <v>20.2485</v>
      </c>
      <c r="H268" s="14">
        <v>0.9952</v>
      </c>
      <c r="I268" s="14">
        <v>0.2536</v>
      </c>
      <c r="J268" s="14">
        <v>0.2331</v>
      </c>
      <c r="K268" s="14">
        <v>0.047</v>
      </c>
      <c r="L268" s="14">
        <v>9.4263</v>
      </c>
      <c r="M268" s="14" t="s">
        <v>26</v>
      </c>
    </row>
    <row r="269" ht="15.75" customHeight="1">
      <c r="A269" s="14" t="s">
        <v>1291</v>
      </c>
      <c r="B269" s="14" t="s">
        <v>1441</v>
      </c>
      <c r="C269" s="14">
        <v>1.0</v>
      </c>
      <c r="D269" s="14" t="s">
        <v>9</v>
      </c>
      <c r="E269" s="14">
        <v>0.3814</v>
      </c>
      <c r="F269" s="14">
        <v>8.2011</v>
      </c>
      <c r="G269" s="14">
        <v>19.4002</v>
      </c>
      <c r="H269" s="14">
        <v>0.9944</v>
      </c>
      <c r="I269" s="14">
        <v>0.2738</v>
      </c>
      <c r="J269" s="14">
        <v>0.3089</v>
      </c>
      <c r="K269" s="14">
        <v>0.0525</v>
      </c>
      <c r="L269" s="14">
        <v>9.0068</v>
      </c>
      <c r="M269" s="14" t="s">
        <v>26</v>
      </c>
    </row>
    <row r="270" ht="15.75" customHeight="1">
      <c r="A270" s="14" t="s">
        <v>791</v>
      </c>
      <c r="B270" s="14" t="s">
        <v>1446</v>
      </c>
      <c r="C270" s="14">
        <v>1.0</v>
      </c>
      <c r="D270" s="14" t="s">
        <v>9</v>
      </c>
      <c r="E270" s="14">
        <v>0.5872</v>
      </c>
      <c r="F270" s="14">
        <v>8.1664</v>
      </c>
      <c r="G270" s="14">
        <v>19.9138</v>
      </c>
      <c r="H270" s="14">
        <v>0.9946</v>
      </c>
      <c r="I270" s="14">
        <v>0.2588</v>
      </c>
      <c r="J270" s="14">
        <v>0.2004</v>
      </c>
      <c r="K270" s="14">
        <v>0.0636</v>
      </c>
      <c r="L270" s="14">
        <v>9.8851</v>
      </c>
      <c r="M270" s="14" t="s">
        <v>26</v>
      </c>
    </row>
    <row r="271" ht="15.75" customHeight="1">
      <c r="A271" s="14" t="s">
        <v>1100</v>
      </c>
      <c r="B271" s="14" t="s">
        <v>1449</v>
      </c>
      <c r="C271" s="14">
        <v>1.0</v>
      </c>
      <c r="D271" s="14" t="s">
        <v>9</v>
      </c>
      <c r="E271" s="14">
        <v>0.5992</v>
      </c>
      <c r="F271" s="14">
        <v>8.1526</v>
      </c>
      <c r="G271" s="14">
        <v>19.8651</v>
      </c>
      <c r="H271" s="14">
        <v>0.9947</v>
      </c>
      <c r="I271" s="14">
        <v>0.2596</v>
      </c>
      <c r="J271" s="14">
        <v>0.2079</v>
      </c>
      <c r="K271" s="14">
        <v>0.0631</v>
      </c>
      <c r="L271" s="14">
        <v>9.8517</v>
      </c>
      <c r="M271" s="14" t="s">
        <v>26</v>
      </c>
    </row>
    <row r="272" ht="15.75" customHeight="1">
      <c r="A272" s="14" t="s">
        <v>193</v>
      </c>
      <c r="B272" s="14" t="s">
        <v>1451</v>
      </c>
      <c r="C272" s="14">
        <v>1.0</v>
      </c>
      <c r="D272" s="14" t="s">
        <v>9</v>
      </c>
      <c r="E272" s="14">
        <v>0.4593</v>
      </c>
      <c r="F272" s="14">
        <v>8.1491</v>
      </c>
      <c r="G272" s="14">
        <v>17.781</v>
      </c>
      <c r="H272" s="14">
        <v>0.9912</v>
      </c>
      <c r="I272" s="14">
        <v>0.3239</v>
      </c>
      <c r="J272" s="14">
        <v>0.3995</v>
      </c>
      <c r="K272" s="14">
        <v>0.0797</v>
      </c>
      <c r="L272" s="14">
        <v>8.177</v>
      </c>
      <c r="M272" s="14" t="s">
        <v>26</v>
      </c>
    </row>
    <row r="273" ht="15.75" customHeight="1">
      <c r="A273" s="14" t="s">
        <v>796</v>
      </c>
      <c r="B273" s="14" t="s">
        <v>1456</v>
      </c>
      <c r="C273" s="14">
        <v>1.0</v>
      </c>
      <c r="D273" s="14" t="s">
        <v>9</v>
      </c>
      <c r="E273" s="14">
        <v>0.5786</v>
      </c>
      <c r="F273" s="14">
        <v>8.1352</v>
      </c>
      <c r="G273" s="14">
        <v>19.8894</v>
      </c>
      <c r="H273" s="14">
        <v>0.9947</v>
      </c>
      <c r="I273" s="14">
        <v>0.2584</v>
      </c>
      <c r="J273" s="14">
        <v>0.2021</v>
      </c>
      <c r="K273" s="14">
        <v>0.0643</v>
      </c>
      <c r="L273" s="14">
        <v>9.8918</v>
      </c>
      <c r="M273" s="14" t="s">
        <v>26</v>
      </c>
    </row>
    <row r="274" ht="15.75" customHeight="1">
      <c r="A274" s="14" t="s">
        <v>982</v>
      </c>
      <c r="B274" s="14" t="s">
        <v>1460</v>
      </c>
      <c r="C274" s="14">
        <v>1.0</v>
      </c>
      <c r="D274" s="14" t="s">
        <v>9</v>
      </c>
      <c r="E274" s="14">
        <v>0.5909</v>
      </c>
      <c r="F274" s="14">
        <v>8.1283</v>
      </c>
      <c r="G274" s="14">
        <v>19.6986</v>
      </c>
      <c r="H274" s="14">
        <v>0.9947</v>
      </c>
      <c r="I274" s="14">
        <v>0.2632</v>
      </c>
      <c r="J274" s="14">
        <v>0.2035</v>
      </c>
      <c r="K274" s="14">
        <v>0.0628</v>
      </c>
      <c r="L274" s="14">
        <v>9.8738</v>
      </c>
      <c r="M274" s="14" t="s">
        <v>26</v>
      </c>
    </row>
    <row r="275" ht="15.75" customHeight="1">
      <c r="A275" s="14" t="s">
        <v>869</v>
      </c>
      <c r="B275" s="14" t="s">
        <v>1463</v>
      </c>
      <c r="C275" s="14">
        <v>1.0</v>
      </c>
      <c r="D275" s="14" t="s">
        <v>9</v>
      </c>
      <c r="E275" s="14">
        <v>0.5805</v>
      </c>
      <c r="F275" s="14">
        <v>8.1145</v>
      </c>
      <c r="G275" s="14">
        <v>19.7474</v>
      </c>
      <c r="H275" s="14">
        <v>0.9946</v>
      </c>
      <c r="I275" s="14">
        <v>0.2615</v>
      </c>
      <c r="J275" s="14">
        <v>0.2097</v>
      </c>
      <c r="K275" s="14">
        <v>0.0711</v>
      </c>
      <c r="L275" s="14">
        <v>9.8443</v>
      </c>
      <c r="M275" s="14" t="s">
        <v>26</v>
      </c>
    </row>
    <row r="276" ht="15.75" customHeight="1">
      <c r="A276" s="14" t="s">
        <v>1421</v>
      </c>
      <c r="B276" s="14" t="s">
        <v>1466</v>
      </c>
      <c r="C276" s="14">
        <v>1.0</v>
      </c>
      <c r="D276" s="14" t="s">
        <v>9</v>
      </c>
      <c r="E276" s="14">
        <v>0.5643</v>
      </c>
      <c r="F276" s="14">
        <v>8.1006</v>
      </c>
      <c r="G276" s="14">
        <v>20.0719</v>
      </c>
      <c r="H276" s="14">
        <v>0.9953</v>
      </c>
      <c r="I276" s="14">
        <v>0.2527</v>
      </c>
      <c r="J276" s="14">
        <v>0.2031</v>
      </c>
      <c r="K276" s="14">
        <v>0.0464</v>
      </c>
      <c r="L276" s="14">
        <v>9.5214</v>
      </c>
      <c r="M276" s="14" t="s">
        <v>26</v>
      </c>
    </row>
    <row r="277" ht="15.75" customHeight="1">
      <c r="A277" s="14" t="s">
        <v>812</v>
      </c>
      <c r="B277" s="14" t="s">
        <v>1469</v>
      </c>
      <c r="C277" s="14">
        <v>1.0</v>
      </c>
      <c r="D277" s="14" t="s">
        <v>9</v>
      </c>
      <c r="E277" s="14">
        <v>0.585</v>
      </c>
      <c r="F277" s="14">
        <v>8.0972</v>
      </c>
      <c r="G277" s="14">
        <v>19.8894</v>
      </c>
      <c r="H277" s="14">
        <v>0.9947</v>
      </c>
      <c r="I277" s="14">
        <v>0.2572</v>
      </c>
      <c r="J277" s="14">
        <v>0.204</v>
      </c>
      <c r="K277" s="14">
        <v>0.0679</v>
      </c>
      <c r="L277" s="14">
        <v>9.8927</v>
      </c>
      <c r="M277" s="14" t="s">
        <v>26</v>
      </c>
    </row>
    <row r="278" ht="15.75" customHeight="1">
      <c r="A278" s="14" t="s">
        <v>977</v>
      </c>
      <c r="B278" s="14" t="s">
        <v>1473</v>
      </c>
      <c r="C278" s="14">
        <v>1.0</v>
      </c>
      <c r="D278" s="14" t="s">
        <v>9</v>
      </c>
      <c r="E278" s="14">
        <v>0.5881</v>
      </c>
      <c r="F278" s="14">
        <v>8.0902</v>
      </c>
      <c r="G278" s="14">
        <v>19.7474</v>
      </c>
      <c r="H278" s="14">
        <v>0.9947</v>
      </c>
      <c r="I278" s="14">
        <v>0.2607</v>
      </c>
      <c r="J278" s="14">
        <v>0.2079</v>
      </c>
      <c r="K278" s="14">
        <v>0.0713</v>
      </c>
      <c r="L278" s="14">
        <v>9.8404</v>
      </c>
      <c r="M278" s="14" t="s">
        <v>26</v>
      </c>
    </row>
    <row r="279" ht="15.75" customHeight="1">
      <c r="A279" s="14" t="s">
        <v>911</v>
      </c>
      <c r="B279" s="14" t="s">
        <v>1476</v>
      </c>
      <c r="C279" s="14">
        <v>1.0</v>
      </c>
      <c r="D279" s="14" t="s">
        <v>9</v>
      </c>
      <c r="E279" s="14">
        <v>0.5926</v>
      </c>
      <c r="F279" s="14">
        <v>8.0764</v>
      </c>
      <c r="G279" s="14">
        <v>19.7474</v>
      </c>
      <c r="H279" s="14">
        <v>0.9947</v>
      </c>
      <c r="I279" s="14">
        <v>0.2603</v>
      </c>
      <c r="J279" s="14">
        <v>0.2104</v>
      </c>
      <c r="K279" s="14">
        <v>0.0707</v>
      </c>
      <c r="L279" s="14">
        <v>9.8542</v>
      </c>
      <c r="M279" s="14" t="s">
        <v>26</v>
      </c>
    </row>
    <row r="280" ht="15.75" customHeight="1">
      <c r="A280" s="14" t="s">
        <v>805</v>
      </c>
      <c r="B280" s="14" t="s">
        <v>1480</v>
      </c>
      <c r="C280" s="14">
        <v>1.0</v>
      </c>
      <c r="D280" s="14" t="s">
        <v>9</v>
      </c>
      <c r="E280" s="14">
        <v>0.5871</v>
      </c>
      <c r="F280" s="14">
        <v>8.0729</v>
      </c>
      <c r="G280" s="14">
        <v>19.8407</v>
      </c>
      <c r="H280" s="14">
        <v>0.9947</v>
      </c>
      <c r="I280" s="14">
        <v>0.2577</v>
      </c>
      <c r="J280" s="14">
        <v>0.2083</v>
      </c>
      <c r="K280" s="14">
        <v>0.0712</v>
      </c>
      <c r="L280" s="14">
        <v>9.8512</v>
      </c>
      <c r="M280" s="14" t="s">
        <v>26</v>
      </c>
    </row>
    <row r="281" ht="15.75" customHeight="1">
      <c r="A281" s="14" t="s">
        <v>847</v>
      </c>
      <c r="B281" s="14" t="s">
        <v>1483</v>
      </c>
      <c r="C281" s="14">
        <v>1.0</v>
      </c>
      <c r="D281" s="14" t="s">
        <v>9</v>
      </c>
      <c r="E281" s="14">
        <v>0.5861</v>
      </c>
      <c r="F281" s="14">
        <v>8.0729</v>
      </c>
      <c r="G281" s="14">
        <v>19.8995</v>
      </c>
      <c r="H281" s="14">
        <v>0.9947</v>
      </c>
      <c r="I281" s="14">
        <v>0.2562</v>
      </c>
      <c r="J281" s="14">
        <v>0.2135</v>
      </c>
      <c r="K281" s="14">
        <v>0.0728</v>
      </c>
      <c r="L281" s="14">
        <v>9.831</v>
      </c>
      <c r="M281" s="14" t="s">
        <v>26</v>
      </c>
    </row>
    <row r="282" ht="15.75" customHeight="1">
      <c r="A282" s="14" t="s">
        <v>421</v>
      </c>
      <c r="B282" s="14" t="s">
        <v>1487</v>
      </c>
      <c r="C282" s="14">
        <v>1.0</v>
      </c>
      <c r="D282" s="14" t="s">
        <v>9</v>
      </c>
      <c r="E282" s="14">
        <v>0.4908</v>
      </c>
      <c r="F282" s="14">
        <v>8.066</v>
      </c>
      <c r="G282" s="14">
        <v>18.8949</v>
      </c>
      <c r="H282" s="14">
        <v>0.9941</v>
      </c>
      <c r="I282" s="14">
        <v>0.2839</v>
      </c>
      <c r="J282" s="14">
        <v>0.3154</v>
      </c>
      <c r="K282" s="14">
        <v>0.0536</v>
      </c>
      <c r="L282" s="14">
        <v>8.9929</v>
      </c>
      <c r="M282" s="14" t="s">
        <v>26</v>
      </c>
    </row>
    <row r="283" ht="15.75" customHeight="1">
      <c r="A283" s="14" t="s">
        <v>891</v>
      </c>
      <c r="B283" s="14" t="s">
        <v>1489</v>
      </c>
      <c r="C283" s="14">
        <v>1.0</v>
      </c>
      <c r="D283" s="14" t="s">
        <v>9</v>
      </c>
      <c r="E283" s="14">
        <v>0.5897</v>
      </c>
      <c r="F283" s="14">
        <v>8.0591</v>
      </c>
      <c r="G283" s="14">
        <v>19.8651</v>
      </c>
      <c r="H283" s="14">
        <v>0.9947</v>
      </c>
      <c r="I283" s="14">
        <v>0.2566</v>
      </c>
      <c r="J283" s="14">
        <v>0.2101</v>
      </c>
      <c r="K283" s="14">
        <v>0.0737</v>
      </c>
      <c r="L283" s="14">
        <v>9.8164</v>
      </c>
      <c r="M283" s="14" t="s">
        <v>26</v>
      </c>
    </row>
    <row r="284" ht="15.75" customHeight="1">
      <c r="A284" s="14" t="s">
        <v>1005</v>
      </c>
      <c r="B284" s="14" t="s">
        <v>1492</v>
      </c>
      <c r="C284" s="14">
        <v>1.0</v>
      </c>
      <c r="D284" s="14" t="s">
        <v>9</v>
      </c>
      <c r="E284" s="14">
        <v>0.5798</v>
      </c>
      <c r="F284" s="14">
        <v>8.0487</v>
      </c>
      <c r="G284" s="14">
        <v>19.6986</v>
      </c>
      <c r="H284" s="14">
        <v>0.9947</v>
      </c>
      <c r="I284" s="14">
        <v>0.2607</v>
      </c>
      <c r="J284" s="14">
        <v>0.2145</v>
      </c>
      <c r="K284" s="14">
        <v>0.0733</v>
      </c>
      <c r="L284" s="14">
        <v>9.8205</v>
      </c>
      <c r="M284" s="14" t="s">
        <v>26</v>
      </c>
    </row>
    <row r="285" ht="15.75" customHeight="1">
      <c r="A285" s="14" t="s">
        <v>919</v>
      </c>
      <c r="B285" s="14" t="s">
        <v>1496</v>
      </c>
      <c r="C285" s="14">
        <v>1.0</v>
      </c>
      <c r="D285" s="14" t="s">
        <v>9</v>
      </c>
      <c r="E285" s="14">
        <v>0.5835</v>
      </c>
      <c r="F285" s="14">
        <v>8.0452</v>
      </c>
      <c r="G285" s="14">
        <v>19.8407</v>
      </c>
      <c r="H285" s="14">
        <v>0.9947</v>
      </c>
      <c r="I285" s="14">
        <v>0.2568</v>
      </c>
      <c r="J285" s="14">
        <v>0.2105</v>
      </c>
      <c r="K285" s="14">
        <v>0.0731</v>
      </c>
      <c r="L285" s="14">
        <v>9.8614</v>
      </c>
      <c r="M285" s="14" t="s">
        <v>26</v>
      </c>
    </row>
    <row r="286" ht="15.75" customHeight="1">
      <c r="A286" s="14" t="s">
        <v>635</v>
      </c>
      <c r="B286" s="14" t="s">
        <v>1500</v>
      </c>
      <c r="C286" s="14">
        <v>1.0</v>
      </c>
      <c r="D286" s="14" t="s">
        <v>9</v>
      </c>
      <c r="E286" s="14">
        <v>0.4969</v>
      </c>
      <c r="F286" s="14">
        <v>8.0452</v>
      </c>
      <c r="G286" s="14">
        <v>20.003</v>
      </c>
      <c r="H286" s="14">
        <v>0.9948</v>
      </c>
      <c r="I286" s="14">
        <v>0.2527</v>
      </c>
      <c r="J286" s="14">
        <v>0.2562</v>
      </c>
      <c r="K286" s="14">
        <v>0.0475</v>
      </c>
      <c r="L286" s="14">
        <v>9.3791</v>
      </c>
      <c r="M286" s="14" t="s">
        <v>26</v>
      </c>
    </row>
    <row r="287" ht="15.75" customHeight="1">
      <c r="A287" s="14" t="s">
        <v>800</v>
      </c>
      <c r="B287" s="14" t="s">
        <v>1502</v>
      </c>
      <c r="C287" s="14">
        <v>1.0</v>
      </c>
      <c r="D287" s="14" t="s">
        <v>9</v>
      </c>
      <c r="E287" s="14">
        <v>0.5795</v>
      </c>
      <c r="F287" s="14">
        <v>8.0417</v>
      </c>
      <c r="G287" s="14">
        <v>19.6986</v>
      </c>
      <c r="H287" s="14">
        <v>0.9948</v>
      </c>
      <c r="I287" s="14">
        <v>0.2604</v>
      </c>
      <c r="J287" s="14">
        <v>0.2112</v>
      </c>
      <c r="K287" s="14">
        <v>0.0734</v>
      </c>
      <c r="L287" s="14">
        <v>9.813</v>
      </c>
      <c r="M287" s="14" t="s">
        <v>26</v>
      </c>
    </row>
    <row r="288" ht="15.75" customHeight="1">
      <c r="A288" s="14" t="s">
        <v>1068</v>
      </c>
      <c r="B288" s="14" t="s">
        <v>1507</v>
      </c>
      <c r="C288" s="14">
        <v>1.0</v>
      </c>
      <c r="D288" s="14" t="s">
        <v>9</v>
      </c>
      <c r="E288" s="14">
        <v>0.584</v>
      </c>
      <c r="F288" s="14">
        <v>8.0279</v>
      </c>
      <c r="G288" s="14">
        <v>19.6986</v>
      </c>
      <c r="H288" s="14">
        <v>0.9948</v>
      </c>
      <c r="I288" s="14">
        <v>0.26</v>
      </c>
      <c r="J288" s="14">
        <v>0.2135</v>
      </c>
      <c r="K288" s="14">
        <v>0.074</v>
      </c>
      <c r="L288" s="14">
        <v>9.8022</v>
      </c>
      <c r="M288" s="14" t="s">
        <v>26</v>
      </c>
    </row>
    <row r="289" ht="15.75" customHeight="1">
      <c r="A289" s="14" t="s">
        <v>925</v>
      </c>
      <c r="B289" s="14" t="s">
        <v>1510</v>
      </c>
      <c r="C289" s="14">
        <v>1.0</v>
      </c>
      <c r="D289" s="14" t="s">
        <v>9</v>
      </c>
      <c r="E289" s="14">
        <v>0.5831</v>
      </c>
      <c r="F289" s="14">
        <v>8.0279</v>
      </c>
      <c r="G289" s="14">
        <v>19.6986</v>
      </c>
      <c r="H289" s="14">
        <v>0.9948</v>
      </c>
      <c r="I289" s="14">
        <v>0.26</v>
      </c>
      <c r="J289" s="14">
        <v>0.2143</v>
      </c>
      <c r="K289" s="14">
        <v>0.0736</v>
      </c>
      <c r="L289" s="14">
        <v>9.8141</v>
      </c>
      <c r="M289" s="14" t="s">
        <v>26</v>
      </c>
    </row>
    <row r="290" ht="15.75" customHeight="1">
      <c r="A290" s="14" t="s">
        <v>961</v>
      </c>
      <c r="B290" s="14" t="s">
        <v>1513</v>
      </c>
      <c r="C290" s="14">
        <v>1.0</v>
      </c>
      <c r="D290" s="14" t="s">
        <v>9</v>
      </c>
      <c r="E290" s="14">
        <v>0.5817</v>
      </c>
      <c r="F290" s="14">
        <v>8.021</v>
      </c>
      <c r="G290" s="14">
        <v>19.6986</v>
      </c>
      <c r="H290" s="14">
        <v>0.9948</v>
      </c>
      <c r="I290" s="14">
        <v>0.2598</v>
      </c>
      <c r="J290" s="14">
        <v>0.212</v>
      </c>
      <c r="K290" s="14">
        <v>0.0737</v>
      </c>
      <c r="L290" s="14">
        <v>9.8163</v>
      </c>
      <c r="M290" s="14" t="s">
        <v>26</v>
      </c>
    </row>
    <row r="291" ht="15.75" customHeight="1">
      <c r="A291" s="14" t="s">
        <v>899</v>
      </c>
      <c r="B291" s="14" t="s">
        <v>1517</v>
      </c>
      <c r="C291" s="14">
        <v>1.0</v>
      </c>
      <c r="D291" s="14" t="s">
        <v>9</v>
      </c>
      <c r="E291" s="14">
        <v>0.5784</v>
      </c>
      <c r="F291" s="14">
        <v>8.0175</v>
      </c>
      <c r="G291" s="14">
        <v>19.6986</v>
      </c>
      <c r="H291" s="14">
        <v>0.9948</v>
      </c>
      <c r="I291" s="14">
        <v>0.2596</v>
      </c>
      <c r="J291" s="14">
        <v>0.2091</v>
      </c>
      <c r="K291" s="14">
        <v>0.0736</v>
      </c>
      <c r="L291" s="14">
        <v>9.8392</v>
      </c>
      <c r="M291" s="14" t="s">
        <v>26</v>
      </c>
    </row>
    <row r="292" ht="15.75" customHeight="1">
      <c r="A292" s="14" t="s">
        <v>967</v>
      </c>
      <c r="B292" s="14" t="s">
        <v>1520</v>
      </c>
      <c r="C292" s="14">
        <v>1.0</v>
      </c>
      <c r="D292" s="14" t="s">
        <v>9</v>
      </c>
      <c r="E292" s="14">
        <v>0.586</v>
      </c>
      <c r="F292" s="14">
        <v>8.014</v>
      </c>
      <c r="G292" s="14">
        <v>19.6986</v>
      </c>
      <c r="H292" s="14">
        <v>0.9948</v>
      </c>
      <c r="I292" s="14">
        <v>0.2595</v>
      </c>
      <c r="J292" s="14">
        <v>0.2142</v>
      </c>
      <c r="K292" s="14">
        <v>0.0752</v>
      </c>
      <c r="L292" s="14">
        <v>9.8068</v>
      </c>
      <c r="M292" s="14" t="s">
        <v>26</v>
      </c>
    </row>
    <row r="293" ht="15.75" customHeight="1">
      <c r="A293" s="14" t="s">
        <v>1124</v>
      </c>
      <c r="B293" s="14" t="s">
        <v>1524</v>
      </c>
      <c r="C293" s="14">
        <v>1.0</v>
      </c>
      <c r="D293" s="14" t="s">
        <v>9</v>
      </c>
      <c r="E293" s="14">
        <v>0.5869</v>
      </c>
      <c r="F293" s="14">
        <v>7.9829</v>
      </c>
      <c r="G293" s="14">
        <v>19.4977</v>
      </c>
      <c r="H293" s="14">
        <v>0.9946</v>
      </c>
      <c r="I293" s="14">
        <v>0.2639</v>
      </c>
      <c r="J293" s="14">
        <v>0.2111</v>
      </c>
      <c r="K293" s="14">
        <v>0.0701</v>
      </c>
      <c r="L293" s="14">
        <v>9.8205</v>
      </c>
      <c r="M293" s="14" t="s">
        <v>26</v>
      </c>
    </row>
    <row r="294" ht="15.75" customHeight="1">
      <c r="A294" s="14" t="s">
        <v>1180</v>
      </c>
      <c r="B294" s="14" t="s">
        <v>1528</v>
      </c>
      <c r="C294" s="14">
        <v>1.0</v>
      </c>
      <c r="D294" s="14" t="s">
        <v>9</v>
      </c>
      <c r="E294" s="14">
        <v>0.4892</v>
      </c>
      <c r="F294" s="14">
        <v>7.9621</v>
      </c>
      <c r="G294" s="14">
        <v>18.0592</v>
      </c>
      <c r="H294" s="14">
        <v>0.9915</v>
      </c>
      <c r="I294" s="14">
        <v>0.3068</v>
      </c>
      <c r="J294" s="14">
        <v>0.3187</v>
      </c>
      <c r="K294" s="14">
        <v>0.0872</v>
      </c>
      <c r="L294" s="14">
        <v>9.1871</v>
      </c>
      <c r="M294" s="14" t="s">
        <v>26</v>
      </c>
    </row>
    <row r="295" ht="15.75" customHeight="1">
      <c r="A295" s="14" t="s">
        <v>1367</v>
      </c>
      <c r="B295" s="14" t="s">
        <v>1531</v>
      </c>
      <c r="C295" s="14">
        <v>1.0</v>
      </c>
      <c r="D295" s="14" t="s">
        <v>9</v>
      </c>
      <c r="E295" s="14">
        <v>0.464</v>
      </c>
      <c r="F295" s="14">
        <v>7.9517</v>
      </c>
      <c r="G295" s="14">
        <v>17.7465</v>
      </c>
      <c r="H295" s="14">
        <v>0.9916</v>
      </c>
      <c r="I295" s="14">
        <v>0.3173</v>
      </c>
      <c r="J295" s="14">
        <v>0.3075</v>
      </c>
      <c r="K295" s="14">
        <v>0.0578</v>
      </c>
      <c r="L295" s="14">
        <v>9.1464</v>
      </c>
      <c r="M295" s="14" t="s">
        <v>26</v>
      </c>
    </row>
    <row r="296" ht="15.75" customHeight="1">
      <c r="A296" s="14" t="s">
        <v>1326</v>
      </c>
      <c r="B296" s="14" t="s">
        <v>1535</v>
      </c>
      <c r="C296" s="14">
        <v>1.0</v>
      </c>
      <c r="D296" s="14" t="s">
        <v>9</v>
      </c>
      <c r="E296" s="14">
        <v>0.5685</v>
      </c>
      <c r="F296" s="14">
        <v>7.8928</v>
      </c>
      <c r="G296" s="14">
        <v>20.4759</v>
      </c>
      <c r="H296" s="14">
        <v>0.9958</v>
      </c>
      <c r="I296" s="14">
        <v>0.2366</v>
      </c>
      <c r="J296" s="14">
        <v>0.1902</v>
      </c>
      <c r="K296" s="14">
        <v>0.0488</v>
      </c>
      <c r="L296" s="14">
        <v>9.7169</v>
      </c>
      <c r="M296" s="14" t="s">
        <v>26</v>
      </c>
    </row>
    <row r="297" ht="15.75" customHeight="1">
      <c r="A297" s="14" t="s">
        <v>1538</v>
      </c>
      <c r="B297" s="14" t="s">
        <v>1539</v>
      </c>
      <c r="C297" s="14">
        <v>1.0</v>
      </c>
      <c r="D297" s="14" t="s">
        <v>9</v>
      </c>
      <c r="E297" s="14">
        <v>0.5696</v>
      </c>
      <c r="F297" s="14">
        <v>7.8859</v>
      </c>
      <c r="G297" s="14">
        <v>17.5456</v>
      </c>
      <c r="H297" s="14">
        <v>0.9915</v>
      </c>
      <c r="I297" s="14">
        <v>0.3219</v>
      </c>
      <c r="J297" s="14">
        <v>0.2755</v>
      </c>
      <c r="K297" s="14">
        <v>0.0545</v>
      </c>
      <c r="L297" s="14">
        <v>9.279</v>
      </c>
      <c r="M297" s="14" t="s">
        <v>26</v>
      </c>
    </row>
    <row r="298" ht="15.75" customHeight="1">
      <c r="A298" s="14" t="s">
        <v>354</v>
      </c>
      <c r="B298" s="14" t="s">
        <v>1543</v>
      </c>
      <c r="C298" s="14">
        <v>1.0</v>
      </c>
      <c r="D298" s="14" t="s">
        <v>9</v>
      </c>
      <c r="E298" s="14">
        <v>0.3728</v>
      </c>
      <c r="F298" s="14">
        <v>7.8443</v>
      </c>
      <c r="G298" s="14">
        <v>20.689</v>
      </c>
      <c r="H298" s="14">
        <v>0.9954</v>
      </c>
      <c r="I298" s="14">
        <v>0.2303</v>
      </c>
      <c r="J298" s="14">
        <v>0.3339</v>
      </c>
      <c r="K298" s="14">
        <v>0.081</v>
      </c>
      <c r="L298" s="14">
        <v>8.5323</v>
      </c>
      <c r="M298" s="14" t="s">
        <v>26</v>
      </c>
    </row>
    <row r="299" ht="15.75" customHeight="1">
      <c r="A299" s="14" t="s">
        <v>659</v>
      </c>
      <c r="B299" s="14" t="s">
        <v>1547</v>
      </c>
      <c r="C299" s="14">
        <v>1.0</v>
      </c>
      <c r="D299" s="14" t="s">
        <v>9</v>
      </c>
      <c r="E299" s="14">
        <v>0.3179</v>
      </c>
      <c r="F299" s="14">
        <v>7.8374</v>
      </c>
      <c r="G299" s="14">
        <v>18.2518</v>
      </c>
      <c r="H299" s="14">
        <v>0.9922</v>
      </c>
      <c r="I299" s="14">
        <v>0.2956</v>
      </c>
      <c r="J299" s="14">
        <v>0.4168</v>
      </c>
      <c r="K299" s="14">
        <v>0.0789</v>
      </c>
      <c r="L299" s="14">
        <v>8.1846</v>
      </c>
      <c r="M299" s="14" t="s">
        <v>26</v>
      </c>
    </row>
    <row r="300" ht="15.75" customHeight="1">
      <c r="A300" s="14" t="s">
        <v>1078</v>
      </c>
      <c r="B300" s="14" t="s">
        <v>1550</v>
      </c>
      <c r="C300" s="14">
        <v>1.0</v>
      </c>
      <c r="D300" s="14" t="s">
        <v>9</v>
      </c>
      <c r="E300" s="14">
        <v>0.2653</v>
      </c>
      <c r="F300" s="14">
        <v>7.7889</v>
      </c>
      <c r="G300" s="14">
        <v>18.0164</v>
      </c>
      <c r="H300" s="14">
        <v>0.9919</v>
      </c>
      <c r="I300" s="14">
        <v>0.3015</v>
      </c>
      <c r="J300" s="14">
        <v>0.4109</v>
      </c>
      <c r="K300" s="14">
        <v>0.0842</v>
      </c>
      <c r="L300" s="14">
        <v>7.959</v>
      </c>
      <c r="M300" s="14" t="s">
        <v>26</v>
      </c>
    </row>
    <row r="301" ht="15.75" customHeight="1">
      <c r="A301" s="14" t="s">
        <v>1008</v>
      </c>
      <c r="B301" s="14" t="s">
        <v>1554</v>
      </c>
      <c r="C301" s="14">
        <v>1.0</v>
      </c>
      <c r="D301" s="14" t="s">
        <v>9</v>
      </c>
      <c r="E301" s="14">
        <v>0.511</v>
      </c>
      <c r="F301" s="14">
        <v>7.7716</v>
      </c>
      <c r="G301" s="14">
        <v>21.7827</v>
      </c>
      <c r="H301" s="14">
        <v>0.9967</v>
      </c>
      <c r="I301" s="14">
        <v>0.2058</v>
      </c>
      <c r="J301" s="14">
        <v>0.2375</v>
      </c>
      <c r="K301" s="14">
        <v>0.0651</v>
      </c>
      <c r="L301" s="14">
        <v>8.9223</v>
      </c>
      <c r="M301" s="14" t="s">
        <v>26</v>
      </c>
    </row>
    <row r="302" ht="15.75" customHeight="1">
      <c r="A302" s="14" t="s">
        <v>410</v>
      </c>
      <c r="B302" s="14" t="s">
        <v>1557</v>
      </c>
      <c r="C302" s="14">
        <v>1.0</v>
      </c>
      <c r="D302" s="14" t="s">
        <v>9</v>
      </c>
      <c r="E302" s="14">
        <v>0.5044</v>
      </c>
      <c r="F302" s="14">
        <v>7.7612</v>
      </c>
      <c r="G302" s="14">
        <v>21.7827</v>
      </c>
      <c r="H302" s="14">
        <v>0.9967</v>
      </c>
      <c r="I302" s="14">
        <v>0.2055</v>
      </c>
      <c r="J302" s="14">
        <v>0.2419</v>
      </c>
      <c r="K302" s="14">
        <v>0.0679</v>
      </c>
      <c r="L302" s="14">
        <v>8.8946</v>
      </c>
      <c r="M302" s="14" t="s">
        <v>26</v>
      </c>
    </row>
    <row r="303" ht="15.75" customHeight="1">
      <c r="A303" s="14" t="s">
        <v>611</v>
      </c>
      <c r="B303" s="14" t="s">
        <v>1560</v>
      </c>
      <c r="C303" s="14">
        <v>1.0</v>
      </c>
      <c r="D303" s="14" t="s">
        <v>9</v>
      </c>
      <c r="E303" s="14">
        <v>0.5126</v>
      </c>
      <c r="F303" s="14">
        <v>7.7578</v>
      </c>
      <c r="G303" s="14">
        <v>21.7483</v>
      </c>
      <c r="H303" s="14">
        <v>0.9967</v>
      </c>
      <c r="I303" s="14">
        <v>0.2061</v>
      </c>
      <c r="J303" s="14">
        <v>0.2438</v>
      </c>
      <c r="K303" s="14">
        <v>0.0668</v>
      </c>
      <c r="L303" s="14">
        <v>8.8884</v>
      </c>
      <c r="M303" s="14" t="s">
        <v>26</v>
      </c>
    </row>
    <row r="304" ht="15.75" customHeight="1">
      <c r="A304" s="14" t="s">
        <v>361</v>
      </c>
      <c r="B304" s="14" t="s">
        <v>1563</v>
      </c>
      <c r="C304" s="14">
        <v>1.0</v>
      </c>
      <c r="D304" s="14" t="s">
        <v>9</v>
      </c>
      <c r="E304" s="14">
        <v>0.5073</v>
      </c>
      <c r="F304" s="14">
        <v>7.7508</v>
      </c>
      <c r="G304" s="14">
        <v>21.665</v>
      </c>
      <c r="H304" s="14">
        <v>0.9967</v>
      </c>
      <c r="I304" s="14">
        <v>0.2075</v>
      </c>
      <c r="J304" s="14">
        <v>0.2392</v>
      </c>
      <c r="K304" s="14">
        <v>0.0653</v>
      </c>
      <c r="L304" s="14">
        <v>8.9679</v>
      </c>
      <c r="M304" s="14" t="s">
        <v>26</v>
      </c>
    </row>
    <row r="305" ht="15.75" customHeight="1">
      <c r="A305" s="14" t="s">
        <v>1174</v>
      </c>
      <c r="B305" s="14" t="s">
        <v>1566</v>
      </c>
      <c r="C305" s="14">
        <v>1.0</v>
      </c>
      <c r="D305" s="14" t="s">
        <v>9</v>
      </c>
      <c r="E305" s="14">
        <v>0.5071</v>
      </c>
      <c r="F305" s="14">
        <v>7.7508</v>
      </c>
      <c r="G305" s="14">
        <v>21.7483</v>
      </c>
      <c r="H305" s="14">
        <v>0.9967</v>
      </c>
      <c r="I305" s="14">
        <v>0.2059</v>
      </c>
      <c r="J305" s="14">
        <v>0.2413</v>
      </c>
      <c r="K305" s="14">
        <v>0.0668</v>
      </c>
      <c r="L305" s="14">
        <v>8.9097</v>
      </c>
      <c r="M305" s="14" t="s">
        <v>26</v>
      </c>
    </row>
    <row r="306" ht="15.75" customHeight="1">
      <c r="A306" s="14" t="s">
        <v>775</v>
      </c>
      <c r="B306" s="14" t="s">
        <v>1568</v>
      </c>
      <c r="C306" s="14">
        <v>1.0</v>
      </c>
      <c r="D306" s="14" t="s">
        <v>9</v>
      </c>
      <c r="E306" s="14">
        <v>0.513</v>
      </c>
      <c r="F306" s="14">
        <v>7.7439</v>
      </c>
      <c r="G306" s="14">
        <v>21.7827</v>
      </c>
      <c r="H306" s="14">
        <v>0.9967</v>
      </c>
      <c r="I306" s="14">
        <v>0.2051</v>
      </c>
      <c r="J306" s="14">
        <v>0.2495</v>
      </c>
      <c r="K306" s="14">
        <v>0.0698</v>
      </c>
      <c r="L306" s="14">
        <v>8.8682</v>
      </c>
      <c r="M306" s="14" t="s">
        <v>26</v>
      </c>
    </row>
    <row r="307" ht="15.75" customHeight="1">
      <c r="A307" s="14" t="s">
        <v>585</v>
      </c>
      <c r="B307" s="14" t="s">
        <v>1572</v>
      </c>
      <c r="C307" s="14">
        <v>1.0</v>
      </c>
      <c r="D307" s="14" t="s">
        <v>9</v>
      </c>
      <c r="E307" s="14">
        <v>0.5089</v>
      </c>
      <c r="F307" s="14">
        <v>7.7439</v>
      </c>
      <c r="G307" s="14">
        <v>21.5331</v>
      </c>
      <c r="H307" s="14">
        <v>0.9966</v>
      </c>
      <c r="I307" s="14">
        <v>0.2099</v>
      </c>
      <c r="J307" s="14">
        <v>0.2415</v>
      </c>
      <c r="K307" s="14">
        <v>0.0627</v>
      </c>
      <c r="L307" s="14">
        <v>8.9574</v>
      </c>
      <c r="M307" s="14" t="s">
        <v>26</v>
      </c>
    </row>
    <row r="308" ht="15.75" customHeight="1">
      <c r="A308" s="14" t="s">
        <v>405</v>
      </c>
      <c r="B308" s="14" t="s">
        <v>1574</v>
      </c>
      <c r="C308" s="14">
        <v>1.0</v>
      </c>
      <c r="D308" s="14" t="s">
        <v>9</v>
      </c>
      <c r="E308" s="14">
        <v>0.5135</v>
      </c>
      <c r="F308" s="14">
        <v>7.7335</v>
      </c>
      <c r="G308" s="14">
        <v>21.7483</v>
      </c>
      <c r="H308" s="14">
        <v>0.9967</v>
      </c>
      <c r="I308" s="14">
        <v>0.2055</v>
      </c>
      <c r="J308" s="14">
        <v>0.2481</v>
      </c>
      <c r="K308" s="14">
        <v>0.0676</v>
      </c>
      <c r="L308" s="14">
        <v>8.9143</v>
      </c>
      <c r="M308" s="14" t="s">
        <v>26</v>
      </c>
    </row>
    <row r="309" ht="15.75" customHeight="1">
      <c r="A309" s="14" t="s">
        <v>730</v>
      </c>
      <c r="B309" s="14" t="s">
        <v>1577</v>
      </c>
      <c r="C309" s="14">
        <v>1.0</v>
      </c>
      <c r="D309" s="14" t="s">
        <v>9</v>
      </c>
      <c r="E309" s="14">
        <v>0.5088</v>
      </c>
      <c r="F309" s="14">
        <v>7.7335</v>
      </c>
      <c r="G309" s="14">
        <v>21.7827</v>
      </c>
      <c r="H309" s="14">
        <v>0.9967</v>
      </c>
      <c r="I309" s="14">
        <v>0.2048</v>
      </c>
      <c r="J309" s="14">
        <v>0.2489</v>
      </c>
      <c r="K309" s="14">
        <v>0.0708</v>
      </c>
      <c r="L309" s="14">
        <v>8.8944</v>
      </c>
      <c r="M309" s="14" t="s">
        <v>26</v>
      </c>
    </row>
    <row r="310" ht="15.75" customHeight="1">
      <c r="A310" s="14" t="s">
        <v>261</v>
      </c>
      <c r="B310" s="14" t="s">
        <v>1580</v>
      </c>
      <c r="C310" s="14">
        <v>1.0</v>
      </c>
      <c r="D310" s="14" t="s">
        <v>9</v>
      </c>
      <c r="E310" s="14">
        <v>0.5109</v>
      </c>
      <c r="F310" s="14">
        <v>7.7197</v>
      </c>
      <c r="G310" s="14">
        <v>21.5331</v>
      </c>
      <c r="H310" s="14">
        <v>0.9966</v>
      </c>
      <c r="I310" s="14">
        <v>0.2092</v>
      </c>
      <c r="J310" s="14">
        <v>0.2433</v>
      </c>
      <c r="K310" s="14">
        <v>0.0655</v>
      </c>
      <c r="L310" s="14">
        <v>8.8977</v>
      </c>
      <c r="M310" s="14" t="s">
        <v>26</v>
      </c>
    </row>
    <row r="311" ht="15.75" customHeight="1">
      <c r="A311" s="14" t="s">
        <v>282</v>
      </c>
      <c r="B311" s="14" t="s">
        <v>1585</v>
      </c>
      <c r="C311" s="14">
        <v>1.0</v>
      </c>
      <c r="D311" s="14" t="s">
        <v>9</v>
      </c>
      <c r="E311" s="14">
        <v>0.5117</v>
      </c>
      <c r="F311" s="14">
        <v>7.7127</v>
      </c>
      <c r="G311" s="14">
        <v>21.6163</v>
      </c>
      <c r="H311" s="14">
        <v>0.9967</v>
      </c>
      <c r="I311" s="14">
        <v>0.2074</v>
      </c>
      <c r="J311" s="14">
        <v>0.2464</v>
      </c>
      <c r="K311" s="14">
        <v>0.0655</v>
      </c>
      <c r="L311" s="14">
        <v>8.9128</v>
      </c>
      <c r="M311" s="14" t="s">
        <v>26</v>
      </c>
    </row>
    <row r="312" ht="15.75" customHeight="1">
      <c r="A312" s="14" t="s">
        <v>1324</v>
      </c>
      <c r="B312" s="14" t="s">
        <v>1589</v>
      </c>
      <c r="C312" s="14">
        <v>1.0</v>
      </c>
      <c r="D312" s="14" t="s">
        <v>9</v>
      </c>
      <c r="E312" s="14">
        <v>0.5092</v>
      </c>
      <c r="F312" s="14">
        <v>7.7093</v>
      </c>
      <c r="G312" s="14">
        <v>21.6163</v>
      </c>
      <c r="H312" s="14">
        <v>0.9966</v>
      </c>
      <c r="I312" s="14">
        <v>0.2073</v>
      </c>
      <c r="J312" s="14">
        <v>0.2446</v>
      </c>
      <c r="K312" s="14">
        <v>0.0661</v>
      </c>
      <c r="L312" s="14">
        <v>8.9041</v>
      </c>
      <c r="M312" s="14" t="s">
        <v>26</v>
      </c>
    </row>
    <row r="313" ht="15.75" customHeight="1">
      <c r="A313" s="14" t="s">
        <v>317</v>
      </c>
      <c r="B313" s="14" t="s">
        <v>1593</v>
      </c>
      <c r="C313" s="14">
        <v>1.0</v>
      </c>
      <c r="D313" s="14" t="s">
        <v>9</v>
      </c>
      <c r="E313" s="14">
        <v>0.5131</v>
      </c>
      <c r="F313" s="14">
        <v>7.7058</v>
      </c>
      <c r="G313" s="14">
        <v>21.4641</v>
      </c>
      <c r="H313" s="14">
        <v>0.9966</v>
      </c>
      <c r="I313" s="14">
        <v>0.2102</v>
      </c>
      <c r="J313" s="14">
        <v>0.24</v>
      </c>
      <c r="K313" s="14">
        <v>0.0652</v>
      </c>
      <c r="L313" s="14">
        <v>8.9024</v>
      </c>
      <c r="M313" s="14" t="s">
        <v>26</v>
      </c>
    </row>
    <row r="314" ht="15.75" customHeight="1">
      <c r="A314" s="14" t="s">
        <v>683</v>
      </c>
      <c r="B314" s="14" t="s">
        <v>1596</v>
      </c>
      <c r="C314" s="14">
        <v>1.0</v>
      </c>
      <c r="D314" s="14" t="s">
        <v>9</v>
      </c>
      <c r="E314" s="14">
        <v>0.5046</v>
      </c>
      <c r="F314" s="14">
        <v>7.6954</v>
      </c>
      <c r="G314" s="14">
        <v>21.5818</v>
      </c>
      <c r="H314" s="14">
        <v>0.9966</v>
      </c>
      <c r="I314" s="14">
        <v>0.2076</v>
      </c>
      <c r="J314" s="14">
        <v>0.2416</v>
      </c>
      <c r="K314" s="14">
        <v>0.0654</v>
      </c>
      <c r="L314" s="14">
        <v>8.9351</v>
      </c>
      <c r="M314" s="14" t="s">
        <v>26</v>
      </c>
    </row>
    <row r="315" ht="15.75" customHeight="1">
      <c r="A315" s="14" t="s">
        <v>1598</v>
      </c>
      <c r="B315" s="14" t="s">
        <v>1600</v>
      </c>
      <c r="C315" s="14">
        <v>1.0</v>
      </c>
      <c r="D315" s="14" t="s">
        <v>9</v>
      </c>
      <c r="E315" s="14">
        <v>0.5555</v>
      </c>
      <c r="F315" s="14">
        <v>7.6885</v>
      </c>
      <c r="G315" s="14">
        <v>21.8743</v>
      </c>
      <c r="H315" s="14">
        <v>0.996</v>
      </c>
      <c r="I315" s="14">
        <v>0.2019</v>
      </c>
      <c r="J315" s="14">
        <v>0.2226</v>
      </c>
      <c r="K315" s="14">
        <v>0.0914</v>
      </c>
      <c r="L315" s="14">
        <v>9.427</v>
      </c>
      <c r="M315" s="14" t="s">
        <v>26</v>
      </c>
    </row>
    <row r="316" ht="15.75" customHeight="1">
      <c r="A316" s="14" t="s">
        <v>645</v>
      </c>
      <c r="B316" s="14" t="s">
        <v>1602</v>
      </c>
      <c r="C316" s="14">
        <v>1.0</v>
      </c>
      <c r="D316" s="14" t="s">
        <v>9</v>
      </c>
      <c r="E316" s="14">
        <v>0.5081</v>
      </c>
      <c r="F316" s="14">
        <v>7.6885</v>
      </c>
      <c r="G316" s="14">
        <v>21.5818</v>
      </c>
      <c r="H316" s="14">
        <v>0.9966</v>
      </c>
      <c r="I316" s="14">
        <v>0.2074</v>
      </c>
      <c r="J316" s="14">
        <v>0.2446</v>
      </c>
      <c r="K316" s="14">
        <v>0.0667</v>
      </c>
      <c r="L316" s="14">
        <v>8.8935</v>
      </c>
      <c r="M316" s="14" t="s">
        <v>26</v>
      </c>
    </row>
    <row r="317" ht="15.75" customHeight="1">
      <c r="A317" s="14" t="s">
        <v>512</v>
      </c>
      <c r="B317" s="14" t="s">
        <v>1606</v>
      </c>
      <c r="C317" s="14">
        <v>1.0</v>
      </c>
      <c r="D317" s="14" t="s">
        <v>9</v>
      </c>
      <c r="E317" s="14">
        <v>0.5078</v>
      </c>
      <c r="F317" s="14">
        <v>7.6816</v>
      </c>
      <c r="G317" s="14">
        <v>21.3666</v>
      </c>
      <c r="H317" s="14">
        <v>0.9966</v>
      </c>
      <c r="I317" s="14">
        <v>0.2114</v>
      </c>
      <c r="J317" s="14">
        <v>0.2392</v>
      </c>
      <c r="K317" s="14">
        <v>0.0615</v>
      </c>
      <c r="L317" s="14">
        <v>8.9573</v>
      </c>
      <c r="M317" s="14" t="s">
        <v>26</v>
      </c>
    </row>
    <row r="318" ht="15.75" customHeight="1">
      <c r="A318" s="14" t="s">
        <v>1493</v>
      </c>
      <c r="B318" s="14" t="s">
        <v>1612</v>
      </c>
      <c r="C318" s="14">
        <v>1.0</v>
      </c>
      <c r="D318" s="14" t="s">
        <v>9</v>
      </c>
      <c r="E318" s="14">
        <v>0.5103</v>
      </c>
      <c r="F318" s="14">
        <v>7.6746</v>
      </c>
      <c r="G318" s="14">
        <v>21.5818</v>
      </c>
      <c r="H318" s="14">
        <v>0.9966</v>
      </c>
      <c r="I318" s="14">
        <v>0.2071</v>
      </c>
      <c r="J318" s="14">
        <v>0.2483</v>
      </c>
      <c r="K318" s="14">
        <v>0.0701</v>
      </c>
      <c r="L318" s="14">
        <v>8.8548</v>
      </c>
      <c r="M318" s="14" t="s">
        <v>26</v>
      </c>
    </row>
    <row r="319" ht="15.75" customHeight="1">
      <c r="A319" s="14" t="s">
        <v>424</v>
      </c>
      <c r="B319" s="14" t="s">
        <v>1615</v>
      </c>
      <c r="C319" s="14">
        <v>1.0</v>
      </c>
      <c r="D319" s="14" t="s">
        <v>9</v>
      </c>
      <c r="E319" s="14">
        <v>0.5131</v>
      </c>
      <c r="F319" s="14">
        <v>7.6712</v>
      </c>
      <c r="G319" s="14">
        <v>21.3666</v>
      </c>
      <c r="H319" s="14">
        <v>0.9966</v>
      </c>
      <c r="I319" s="14">
        <v>0.2112</v>
      </c>
      <c r="J319" s="14">
        <v>0.2412</v>
      </c>
      <c r="K319" s="14">
        <v>0.0623</v>
      </c>
      <c r="L319" s="14">
        <v>8.9587</v>
      </c>
      <c r="M319" s="14" t="s">
        <v>26</v>
      </c>
    </row>
    <row r="320" ht="15.75" customHeight="1">
      <c r="A320" s="14" t="s">
        <v>1113</v>
      </c>
      <c r="B320" s="14" t="s">
        <v>1619</v>
      </c>
      <c r="C320" s="14">
        <v>1.0</v>
      </c>
      <c r="D320" s="14" t="s">
        <v>9</v>
      </c>
      <c r="E320" s="14">
        <v>0.5086</v>
      </c>
      <c r="F320" s="14">
        <v>7.6435</v>
      </c>
      <c r="G320" s="14">
        <v>21.5129</v>
      </c>
      <c r="H320" s="14">
        <v>0.9966</v>
      </c>
      <c r="I320" s="14">
        <v>0.2075</v>
      </c>
      <c r="J320" s="14">
        <v>0.2469</v>
      </c>
      <c r="K320" s="14">
        <v>0.07</v>
      </c>
      <c r="L320" s="14">
        <v>8.8881</v>
      </c>
      <c r="M320" s="14" t="s">
        <v>26</v>
      </c>
    </row>
    <row r="321" ht="15.75" customHeight="1">
      <c r="A321" s="14" t="s">
        <v>1370</v>
      </c>
      <c r="B321" s="14" t="s">
        <v>1622</v>
      </c>
      <c r="C321" s="14">
        <v>1.0</v>
      </c>
      <c r="D321" s="14" t="s">
        <v>9</v>
      </c>
      <c r="E321" s="14">
        <v>0.4844</v>
      </c>
      <c r="F321" s="14">
        <v>7.6192</v>
      </c>
      <c r="G321" s="14">
        <v>21.7827</v>
      </c>
      <c r="H321" s="14">
        <v>0.9967</v>
      </c>
      <c r="I321" s="14">
        <v>0.2018</v>
      </c>
      <c r="J321" s="14">
        <v>0.2122</v>
      </c>
      <c r="K321" s="14">
        <v>0.052</v>
      </c>
      <c r="L321" s="14">
        <v>9.4336</v>
      </c>
      <c r="M321" s="14" t="s">
        <v>26</v>
      </c>
    </row>
    <row r="322" ht="15.75" customHeight="1">
      <c r="A322" s="14" t="s">
        <v>541</v>
      </c>
      <c r="B322" s="14" t="s">
        <v>1625</v>
      </c>
      <c r="C322" s="14">
        <v>1.0</v>
      </c>
      <c r="D322" s="14" t="s">
        <v>9</v>
      </c>
      <c r="E322" s="14">
        <v>0.5075</v>
      </c>
      <c r="F322" s="14">
        <v>7.6054</v>
      </c>
      <c r="G322" s="14">
        <v>21.3464</v>
      </c>
      <c r="H322" s="14">
        <v>0.9965</v>
      </c>
      <c r="I322" s="14">
        <v>0.2097</v>
      </c>
      <c r="J322" s="14">
        <v>0.2449</v>
      </c>
      <c r="K322" s="14">
        <v>0.0676</v>
      </c>
      <c r="L322" s="14">
        <v>8.8889</v>
      </c>
      <c r="M322" s="14" t="s">
        <v>26</v>
      </c>
    </row>
    <row r="323" ht="15.75" customHeight="1">
      <c r="A323" s="14" t="s">
        <v>1630</v>
      </c>
      <c r="B323" s="14" t="s">
        <v>1631</v>
      </c>
      <c r="C323" s="14">
        <v>1.0</v>
      </c>
      <c r="D323" s="14" t="s">
        <v>9</v>
      </c>
      <c r="E323" s="14">
        <v>0.5537</v>
      </c>
      <c r="F323" s="14">
        <v>7.5603</v>
      </c>
      <c r="G323" s="14">
        <v>21.6936</v>
      </c>
      <c r="H323" s="14">
        <v>0.9961</v>
      </c>
      <c r="I323" s="14">
        <v>0.2019</v>
      </c>
      <c r="J323" s="14">
        <v>0.2253</v>
      </c>
      <c r="K323" s="14">
        <v>0.0908</v>
      </c>
      <c r="L323" s="14">
        <v>9.4267</v>
      </c>
      <c r="M323" s="14" t="s">
        <v>26</v>
      </c>
    </row>
    <row r="324" ht="15.75" customHeight="1">
      <c r="A324" s="14" t="s">
        <v>963</v>
      </c>
      <c r="B324" s="14" t="s">
        <v>1634</v>
      </c>
      <c r="C324" s="14">
        <v>1.0</v>
      </c>
      <c r="D324" s="14" t="s">
        <v>9</v>
      </c>
      <c r="E324" s="14">
        <v>0.6188</v>
      </c>
      <c r="F324" s="14">
        <v>7.55</v>
      </c>
      <c r="G324" s="14">
        <v>16.9574</v>
      </c>
      <c r="H324" s="14">
        <v>0.9883</v>
      </c>
      <c r="I324" s="14">
        <v>0.3299</v>
      </c>
      <c r="J324" s="14">
        <v>0.373</v>
      </c>
      <c r="K324" s="14">
        <v>0.1611</v>
      </c>
      <c r="L324" s="14">
        <v>8.6169</v>
      </c>
      <c r="M324" s="14" t="s">
        <v>26</v>
      </c>
    </row>
    <row r="325" ht="15.75" customHeight="1">
      <c r="A325" s="14" t="s">
        <v>1636</v>
      </c>
      <c r="B325" s="14" t="s">
        <v>1638</v>
      </c>
      <c r="C325" s="14">
        <v>1.0</v>
      </c>
      <c r="D325" s="14" t="s">
        <v>9</v>
      </c>
      <c r="E325" s="14">
        <v>0.5476</v>
      </c>
      <c r="F325" s="14">
        <v>7.5396</v>
      </c>
      <c r="G325" s="14">
        <v>21.5271</v>
      </c>
      <c r="H325" s="14">
        <v>0.9961</v>
      </c>
      <c r="I325" s="14">
        <v>0.2044</v>
      </c>
      <c r="J325" s="14">
        <v>0.228</v>
      </c>
      <c r="K325" s="14">
        <v>0.0913</v>
      </c>
      <c r="L325" s="14">
        <v>9.3836</v>
      </c>
      <c r="M325" s="14" t="s">
        <v>26</v>
      </c>
    </row>
    <row r="326" ht="15.75" customHeight="1">
      <c r="A326" s="14" t="s">
        <v>1641</v>
      </c>
      <c r="B326" s="14" t="s">
        <v>1642</v>
      </c>
      <c r="C326" s="14">
        <v>1.0</v>
      </c>
      <c r="D326" s="14" t="s">
        <v>9</v>
      </c>
      <c r="E326" s="14">
        <v>0.5523</v>
      </c>
      <c r="F326" s="14">
        <v>7.5361</v>
      </c>
      <c r="G326" s="14">
        <v>21.5271</v>
      </c>
      <c r="H326" s="14">
        <v>0.9961</v>
      </c>
      <c r="I326" s="14">
        <v>0.2044</v>
      </c>
      <c r="J326" s="14">
        <v>0.2293</v>
      </c>
      <c r="K326" s="14">
        <v>0.0924</v>
      </c>
      <c r="L326" s="14">
        <v>9.3821</v>
      </c>
      <c r="M326" s="14" t="s">
        <v>26</v>
      </c>
    </row>
    <row r="327" ht="15.75" customHeight="1">
      <c r="A327" s="14" t="s">
        <v>1645</v>
      </c>
      <c r="B327" s="14" t="s">
        <v>1646</v>
      </c>
      <c r="C327" s="14">
        <v>1.0</v>
      </c>
      <c r="D327" s="14" t="s">
        <v>9</v>
      </c>
      <c r="E327" s="14">
        <v>0.5481</v>
      </c>
      <c r="F327" s="14">
        <v>7.5361</v>
      </c>
      <c r="G327" s="14">
        <v>21.5759</v>
      </c>
      <c r="H327" s="14">
        <v>0.9961</v>
      </c>
      <c r="I327" s="14">
        <v>0.2034</v>
      </c>
      <c r="J327" s="14">
        <v>0.2294</v>
      </c>
      <c r="K327" s="14">
        <v>0.0908</v>
      </c>
      <c r="L327" s="14">
        <v>9.3898</v>
      </c>
      <c r="M327" s="14" t="s">
        <v>26</v>
      </c>
    </row>
    <row r="328" ht="15.75" customHeight="1">
      <c r="A328" s="14" t="s">
        <v>1650</v>
      </c>
      <c r="B328" s="14" t="s">
        <v>1651</v>
      </c>
      <c r="C328" s="14">
        <v>1.0</v>
      </c>
      <c r="D328" s="14" t="s">
        <v>9</v>
      </c>
      <c r="E328" s="14">
        <v>0.5508</v>
      </c>
      <c r="F328" s="14">
        <v>7.5326</v>
      </c>
      <c r="G328" s="14">
        <v>21.4094</v>
      </c>
      <c r="H328" s="14">
        <v>0.9961</v>
      </c>
      <c r="I328" s="14">
        <v>0.2065</v>
      </c>
      <c r="J328" s="14">
        <v>0.2255</v>
      </c>
      <c r="K328" s="14">
        <v>0.0903</v>
      </c>
      <c r="L328" s="14">
        <v>9.4212</v>
      </c>
      <c r="M328" s="14" t="s">
        <v>26</v>
      </c>
    </row>
    <row r="329" ht="15.75" customHeight="1">
      <c r="A329" s="14" t="s">
        <v>1654</v>
      </c>
      <c r="B329" s="14" t="s">
        <v>1655</v>
      </c>
      <c r="C329" s="14">
        <v>1.0</v>
      </c>
      <c r="D329" s="14" t="s">
        <v>9</v>
      </c>
      <c r="E329" s="14">
        <v>0.484</v>
      </c>
      <c r="F329" s="14">
        <v>7.5292</v>
      </c>
      <c r="G329" s="14">
        <v>21.6163</v>
      </c>
      <c r="H329" s="14">
        <v>0.9967</v>
      </c>
      <c r="I329" s="14">
        <v>0.2025</v>
      </c>
      <c r="J329" s="14">
        <v>0.2263</v>
      </c>
      <c r="K329" s="14">
        <v>0.0526</v>
      </c>
      <c r="L329" s="14">
        <v>9.3559</v>
      </c>
      <c r="M329" s="14" t="s">
        <v>26</v>
      </c>
    </row>
    <row r="330" ht="15.75" customHeight="1">
      <c r="A330" s="14" t="s">
        <v>1659</v>
      </c>
      <c r="B330" s="14" t="s">
        <v>1660</v>
      </c>
      <c r="C330" s="14">
        <v>1.0</v>
      </c>
      <c r="D330" s="14" t="s">
        <v>9</v>
      </c>
      <c r="E330" s="14">
        <v>0.5485</v>
      </c>
      <c r="F330" s="14">
        <v>7.5292</v>
      </c>
      <c r="G330" s="14">
        <v>21.3607</v>
      </c>
      <c r="H330" s="14">
        <v>0.9961</v>
      </c>
      <c r="I330" s="14">
        <v>0.2074</v>
      </c>
      <c r="J330" s="14">
        <v>0.232</v>
      </c>
      <c r="K330" s="14">
        <v>0.0918</v>
      </c>
      <c r="L330" s="14">
        <v>9.3772</v>
      </c>
      <c r="M330" s="14" t="s">
        <v>26</v>
      </c>
    </row>
    <row r="331" ht="15.75" customHeight="1">
      <c r="A331" s="14" t="s">
        <v>1663</v>
      </c>
      <c r="B331" s="14" t="s">
        <v>1664</v>
      </c>
      <c r="C331" s="14">
        <v>1.0</v>
      </c>
      <c r="D331" s="14" t="s">
        <v>9</v>
      </c>
      <c r="E331" s="14">
        <v>0.5511</v>
      </c>
      <c r="F331" s="14">
        <v>7.5292</v>
      </c>
      <c r="G331" s="14">
        <v>21.5271</v>
      </c>
      <c r="H331" s="14">
        <v>0.9961</v>
      </c>
      <c r="I331" s="14">
        <v>0.2042</v>
      </c>
      <c r="J331" s="14">
        <v>0.2337</v>
      </c>
      <c r="K331" s="14">
        <v>0.0938</v>
      </c>
      <c r="L331" s="14">
        <v>9.3712</v>
      </c>
      <c r="M331" s="14" t="s">
        <v>26</v>
      </c>
    </row>
    <row r="332" ht="15.75" customHeight="1">
      <c r="A332" s="14" t="s">
        <v>1668</v>
      </c>
      <c r="B332" s="14" t="s">
        <v>1669</v>
      </c>
      <c r="C332" s="14">
        <v>1.0</v>
      </c>
      <c r="D332" s="14" t="s">
        <v>9</v>
      </c>
      <c r="E332" s="14">
        <v>0.5505</v>
      </c>
      <c r="F332" s="14">
        <v>7.5257</v>
      </c>
      <c r="G332" s="14">
        <v>21.5271</v>
      </c>
      <c r="H332" s="14">
        <v>0.9961</v>
      </c>
      <c r="I332" s="14">
        <v>0.2041</v>
      </c>
      <c r="J332" s="14">
        <v>0.2311</v>
      </c>
      <c r="K332" s="14">
        <v>0.0933</v>
      </c>
      <c r="L332" s="14">
        <v>9.3547</v>
      </c>
      <c r="M332" s="14" t="s">
        <v>26</v>
      </c>
    </row>
    <row r="333" ht="15.75" customHeight="1">
      <c r="A333" s="14" t="s">
        <v>1673</v>
      </c>
      <c r="B333" s="14" t="s">
        <v>1674</v>
      </c>
      <c r="C333" s="14">
        <v>1.0</v>
      </c>
      <c r="D333" s="14" t="s">
        <v>9</v>
      </c>
      <c r="E333" s="14">
        <v>0.5479</v>
      </c>
      <c r="F333" s="14">
        <v>7.5084</v>
      </c>
      <c r="G333" s="14">
        <v>21.5271</v>
      </c>
      <c r="H333" s="14">
        <v>0.9961</v>
      </c>
      <c r="I333" s="14">
        <v>0.2036</v>
      </c>
      <c r="J333" s="14">
        <v>0.2312</v>
      </c>
      <c r="K333" s="14">
        <v>0.0944</v>
      </c>
      <c r="L333" s="14">
        <v>9.3494</v>
      </c>
      <c r="M333" s="14" t="s">
        <v>26</v>
      </c>
    </row>
    <row r="334" ht="15.75" customHeight="1">
      <c r="A334" s="14" t="s">
        <v>1677</v>
      </c>
      <c r="B334" s="14" t="s">
        <v>1678</v>
      </c>
      <c r="C334" s="14">
        <v>1.0</v>
      </c>
      <c r="D334" s="14" t="s">
        <v>9</v>
      </c>
      <c r="E334" s="14">
        <v>0.5464</v>
      </c>
      <c r="F334" s="14">
        <v>7.5049</v>
      </c>
      <c r="G334" s="14">
        <v>21.5271</v>
      </c>
      <c r="H334" s="14">
        <v>0.9961</v>
      </c>
      <c r="I334" s="14">
        <v>0.2035</v>
      </c>
      <c r="J334" s="14">
        <v>0.2318</v>
      </c>
      <c r="K334" s="14">
        <v>0.0937</v>
      </c>
      <c r="L334" s="14">
        <v>9.3574</v>
      </c>
      <c r="M334" s="14" t="s">
        <v>26</v>
      </c>
    </row>
    <row r="335" ht="15.75" customHeight="1">
      <c r="A335" s="14" t="s">
        <v>1680</v>
      </c>
      <c r="B335" s="14" t="s">
        <v>1682</v>
      </c>
      <c r="C335" s="14">
        <v>1.0</v>
      </c>
      <c r="D335" s="14" t="s">
        <v>9</v>
      </c>
      <c r="E335" s="14">
        <v>0.545</v>
      </c>
      <c r="F335" s="14">
        <v>7.5049</v>
      </c>
      <c r="G335" s="14">
        <v>21.3262</v>
      </c>
      <c r="H335" s="14">
        <v>0.9961</v>
      </c>
      <c r="I335" s="14">
        <v>0.2074</v>
      </c>
      <c r="J335" s="14">
        <v>0.2292</v>
      </c>
      <c r="K335" s="14">
        <v>0.0941</v>
      </c>
      <c r="L335" s="14">
        <v>9.3621</v>
      </c>
      <c r="M335" s="14" t="s">
        <v>26</v>
      </c>
    </row>
    <row r="336" ht="15.75" customHeight="1">
      <c r="A336" s="14" t="s">
        <v>1684</v>
      </c>
      <c r="B336" s="14" t="s">
        <v>1685</v>
      </c>
      <c r="C336" s="14">
        <v>1.0</v>
      </c>
      <c r="D336" s="14" t="s">
        <v>9</v>
      </c>
      <c r="E336" s="14">
        <v>0.5512</v>
      </c>
      <c r="F336" s="14">
        <v>7.4876</v>
      </c>
      <c r="G336" s="14">
        <v>21.5414</v>
      </c>
      <c r="H336" s="14">
        <v>0.9959</v>
      </c>
      <c r="I336" s="14">
        <v>0.2028</v>
      </c>
      <c r="J336" s="14">
        <v>0.2355</v>
      </c>
      <c r="K336" s="14">
        <v>0.0944</v>
      </c>
      <c r="L336" s="14">
        <v>9.3312</v>
      </c>
      <c r="M336" s="14" t="s">
        <v>26</v>
      </c>
    </row>
    <row r="337" ht="15.75" customHeight="1">
      <c r="A337" s="14" t="s">
        <v>89</v>
      </c>
      <c r="B337" s="14" t="s">
        <v>1690</v>
      </c>
      <c r="C337" s="14">
        <v>1.0</v>
      </c>
      <c r="D337" s="14" t="s">
        <v>9</v>
      </c>
      <c r="E337" s="14">
        <v>0.5008</v>
      </c>
      <c r="F337" s="14">
        <v>7.4772</v>
      </c>
      <c r="G337" s="14">
        <v>21.111</v>
      </c>
      <c r="H337" s="14">
        <v>0.9964</v>
      </c>
      <c r="I337" s="14">
        <v>0.2108</v>
      </c>
      <c r="J337" s="14">
        <v>0.2648</v>
      </c>
      <c r="K337" s="14">
        <v>0.0574</v>
      </c>
      <c r="L337" s="14">
        <v>9.1226</v>
      </c>
      <c r="M337" s="14" t="s">
        <v>26</v>
      </c>
    </row>
    <row r="338" ht="15.75" customHeight="1">
      <c r="A338" s="14" t="s">
        <v>1693</v>
      </c>
      <c r="B338" s="14" t="s">
        <v>1694</v>
      </c>
      <c r="C338" s="14">
        <v>1.0</v>
      </c>
      <c r="D338" s="14" t="s">
        <v>9</v>
      </c>
      <c r="E338" s="14">
        <v>0.4698</v>
      </c>
      <c r="F338" s="14">
        <v>7.4183</v>
      </c>
      <c r="G338" s="14">
        <v>21.4296</v>
      </c>
      <c r="H338" s="14">
        <v>0.9966</v>
      </c>
      <c r="I338" s="14">
        <v>0.203</v>
      </c>
      <c r="J338" s="14">
        <v>0.2308</v>
      </c>
      <c r="K338" s="14">
        <v>0.0709</v>
      </c>
      <c r="L338" s="14">
        <v>9.2839</v>
      </c>
      <c r="M338" s="14" t="s">
        <v>26</v>
      </c>
    </row>
    <row r="339" ht="15.75" customHeight="1">
      <c r="A339" s="14" t="s">
        <v>723</v>
      </c>
      <c r="B339" s="14" t="s">
        <v>1697</v>
      </c>
      <c r="C339" s="14">
        <v>1.0</v>
      </c>
      <c r="D339" s="14" t="s">
        <v>9</v>
      </c>
      <c r="E339" s="14">
        <v>0.4735</v>
      </c>
      <c r="F339" s="14">
        <v>7.4183</v>
      </c>
      <c r="G339" s="14">
        <v>21.2026</v>
      </c>
      <c r="H339" s="14">
        <v>0.9959</v>
      </c>
      <c r="I339" s="14">
        <v>0.2074</v>
      </c>
      <c r="J339" s="14">
        <v>0.225</v>
      </c>
      <c r="K339" s="14">
        <v>0.0903</v>
      </c>
      <c r="L339" s="14">
        <v>9.4904</v>
      </c>
      <c r="M339" s="14" t="s">
        <v>26</v>
      </c>
    </row>
    <row r="340" ht="15.75" customHeight="1">
      <c r="A340" s="14" t="s">
        <v>1700</v>
      </c>
      <c r="B340" s="14" t="s">
        <v>1701</v>
      </c>
      <c r="C340" s="14">
        <v>1.0</v>
      </c>
      <c r="D340" s="14" t="s">
        <v>9</v>
      </c>
      <c r="E340" s="14">
        <v>0.4698</v>
      </c>
      <c r="F340" s="14">
        <v>7.4114</v>
      </c>
      <c r="G340" s="14">
        <v>21.5129</v>
      </c>
      <c r="H340" s="14">
        <v>0.9966</v>
      </c>
      <c r="I340" s="14">
        <v>0.2012</v>
      </c>
      <c r="J340" s="14">
        <v>0.2304</v>
      </c>
      <c r="K340" s="14">
        <v>0.0701</v>
      </c>
      <c r="L340" s="14">
        <v>9.3033</v>
      </c>
      <c r="M340" s="14" t="s">
        <v>26</v>
      </c>
    </row>
    <row r="341" ht="15.75" customHeight="1">
      <c r="A341" s="14" t="s">
        <v>418</v>
      </c>
      <c r="B341" s="14" t="s">
        <v>1704</v>
      </c>
      <c r="C341" s="14">
        <v>1.0</v>
      </c>
      <c r="D341" s="14" t="s">
        <v>9</v>
      </c>
      <c r="E341" s="14">
        <v>0.4783</v>
      </c>
      <c r="F341" s="14">
        <v>7.401</v>
      </c>
      <c r="G341" s="14">
        <v>21.1681</v>
      </c>
      <c r="H341" s="14">
        <v>0.9959</v>
      </c>
      <c r="I341" s="14">
        <v>0.2076</v>
      </c>
      <c r="J341" s="14">
        <v>0.226</v>
      </c>
      <c r="K341" s="14">
        <v>0.09</v>
      </c>
      <c r="L341" s="14">
        <v>9.4749</v>
      </c>
      <c r="M341" s="14" t="s">
        <v>26</v>
      </c>
    </row>
    <row r="342" ht="15.75" customHeight="1">
      <c r="A342" s="14" t="s">
        <v>87</v>
      </c>
      <c r="B342" s="14" t="s">
        <v>1708</v>
      </c>
      <c r="C342" s="14">
        <v>1.0</v>
      </c>
      <c r="D342" s="14" t="s">
        <v>9</v>
      </c>
      <c r="E342" s="14">
        <v>0.4759</v>
      </c>
      <c r="F342" s="14">
        <v>7.401</v>
      </c>
      <c r="G342" s="14">
        <v>21.1681</v>
      </c>
      <c r="H342" s="14">
        <v>0.9959</v>
      </c>
      <c r="I342" s="14">
        <v>0.2076</v>
      </c>
      <c r="J342" s="14">
        <v>0.2259</v>
      </c>
      <c r="K342" s="14">
        <v>0.0894</v>
      </c>
      <c r="L342" s="14">
        <v>9.4783</v>
      </c>
      <c r="M342" s="14" t="s">
        <v>26</v>
      </c>
    </row>
    <row r="343" ht="15.75" customHeight="1">
      <c r="A343" s="14" t="s">
        <v>583</v>
      </c>
      <c r="B343" s="14" t="s">
        <v>1712</v>
      </c>
      <c r="C343" s="14">
        <v>1.0</v>
      </c>
      <c r="D343" s="14" t="s">
        <v>9</v>
      </c>
      <c r="E343" s="14">
        <v>0.4681</v>
      </c>
      <c r="F343" s="14">
        <v>7.3976</v>
      </c>
      <c r="G343" s="14">
        <v>21.2026</v>
      </c>
      <c r="H343" s="14">
        <v>0.9959</v>
      </c>
      <c r="I343" s="14">
        <v>0.2068</v>
      </c>
      <c r="J343" s="14">
        <v>0.2251</v>
      </c>
      <c r="K343" s="14">
        <v>0.0907</v>
      </c>
      <c r="L343" s="14">
        <v>9.4866</v>
      </c>
      <c r="M343" s="14" t="s">
        <v>26</v>
      </c>
    </row>
    <row r="344" ht="15.75" customHeight="1">
      <c r="A344" s="14" t="s">
        <v>743</v>
      </c>
      <c r="B344" s="14" t="s">
        <v>1715</v>
      </c>
      <c r="C344" s="14">
        <v>1.0</v>
      </c>
      <c r="D344" s="14" t="s">
        <v>9</v>
      </c>
      <c r="E344" s="14">
        <v>0.468</v>
      </c>
      <c r="F344" s="14">
        <v>7.3976</v>
      </c>
      <c r="G344" s="14">
        <v>21.2169</v>
      </c>
      <c r="H344" s="14">
        <v>0.9959</v>
      </c>
      <c r="I344" s="14">
        <v>0.2065</v>
      </c>
      <c r="J344" s="14">
        <v>0.2251</v>
      </c>
      <c r="K344" s="14">
        <v>0.0905</v>
      </c>
      <c r="L344" s="14">
        <v>9.4716</v>
      </c>
      <c r="M344" s="14" t="s">
        <v>26</v>
      </c>
    </row>
    <row r="345" ht="15.75" customHeight="1">
      <c r="A345" s="14" t="s">
        <v>671</v>
      </c>
      <c r="B345" s="14" t="s">
        <v>1718</v>
      </c>
      <c r="C345" s="14">
        <v>1.0</v>
      </c>
      <c r="D345" s="14" t="s">
        <v>9</v>
      </c>
      <c r="E345" s="14">
        <v>0.4746</v>
      </c>
      <c r="F345" s="14">
        <v>7.3906</v>
      </c>
      <c r="G345" s="14">
        <v>21.0706</v>
      </c>
      <c r="H345" s="14">
        <v>0.9959</v>
      </c>
      <c r="I345" s="14">
        <v>0.2092</v>
      </c>
      <c r="J345" s="14">
        <v>0.2206</v>
      </c>
      <c r="K345" s="14">
        <v>0.0845</v>
      </c>
      <c r="L345" s="14">
        <v>9.5231</v>
      </c>
      <c r="M345" s="14" t="s">
        <v>26</v>
      </c>
    </row>
    <row r="346" ht="15.75" customHeight="1">
      <c r="A346" s="14" t="s">
        <v>657</v>
      </c>
      <c r="B346" s="14" t="s">
        <v>1722</v>
      </c>
      <c r="C346" s="14">
        <v>1.0</v>
      </c>
      <c r="D346" s="14" t="s">
        <v>9</v>
      </c>
      <c r="E346" s="14">
        <v>0.4767</v>
      </c>
      <c r="F346" s="14">
        <v>7.3629</v>
      </c>
      <c r="G346" s="14">
        <v>21.2514</v>
      </c>
      <c r="H346" s="14">
        <v>0.9959</v>
      </c>
      <c r="I346" s="14">
        <v>0.2049</v>
      </c>
      <c r="J346" s="14">
        <v>0.2291</v>
      </c>
      <c r="K346" s="14">
        <v>0.0952</v>
      </c>
      <c r="L346" s="14">
        <v>9.4342</v>
      </c>
      <c r="M346" s="14" t="s">
        <v>26</v>
      </c>
    </row>
    <row r="347" ht="15.75" customHeight="1">
      <c r="A347" s="14" t="s">
        <v>1725</v>
      </c>
      <c r="B347" s="14" t="s">
        <v>1726</v>
      </c>
      <c r="C347" s="14">
        <v>1.0</v>
      </c>
      <c r="D347" s="14" t="s">
        <v>9</v>
      </c>
      <c r="E347" s="14">
        <v>0.4753</v>
      </c>
      <c r="F347" s="14">
        <v>7.3595</v>
      </c>
      <c r="G347" s="14">
        <v>20.9327</v>
      </c>
      <c r="H347" s="14">
        <v>0.9957</v>
      </c>
      <c r="I347" s="14">
        <v>0.2111</v>
      </c>
      <c r="J347" s="14">
        <v>0.228</v>
      </c>
      <c r="K347" s="14">
        <v>0.0891</v>
      </c>
      <c r="L347" s="14">
        <v>9.4522</v>
      </c>
      <c r="M347" s="14" t="s">
        <v>26</v>
      </c>
    </row>
    <row r="348" ht="15.75" customHeight="1">
      <c r="A348" s="14" t="s">
        <v>1224</v>
      </c>
      <c r="B348" s="14" t="s">
        <v>1729</v>
      </c>
      <c r="C348" s="14">
        <v>1.0</v>
      </c>
      <c r="D348" s="14" t="s">
        <v>9</v>
      </c>
      <c r="E348" s="14">
        <v>0.4349</v>
      </c>
      <c r="F348" s="14">
        <v>7.3595</v>
      </c>
      <c r="G348" s="14">
        <v>21.0278</v>
      </c>
      <c r="H348" s="14">
        <v>0.9964</v>
      </c>
      <c r="I348" s="14">
        <v>0.2092</v>
      </c>
      <c r="J348" s="14">
        <v>0.3656</v>
      </c>
      <c r="K348" s="14">
        <v>0.0846</v>
      </c>
      <c r="L348" s="14">
        <v>8.3434</v>
      </c>
      <c r="M348" s="14" t="s">
        <v>26</v>
      </c>
    </row>
    <row r="349" ht="15.75" customHeight="1">
      <c r="A349" s="14" t="s">
        <v>1298</v>
      </c>
      <c r="B349" s="14" t="s">
        <v>1732</v>
      </c>
      <c r="C349" s="14">
        <v>1.0</v>
      </c>
      <c r="D349" s="14" t="s">
        <v>9</v>
      </c>
      <c r="E349" s="14">
        <v>0.4681</v>
      </c>
      <c r="F349" s="14">
        <v>7.3595</v>
      </c>
      <c r="G349" s="14">
        <v>21.4296</v>
      </c>
      <c r="H349" s="14">
        <v>0.9966</v>
      </c>
      <c r="I349" s="14">
        <v>0.2014</v>
      </c>
      <c r="J349" s="14">
        <v>0.2366</v>
      </c>
      <c r="K349" s="14">
        <v>0.0751</v>
      </c>
      <c r="L349" s="14">
        <v>9.2538</v>
      </c>
      <c r="M349" s="14" t="s">
        <v>26</v>
      </c>
    </row>
    <row r="350" ht="15.75" customHeight="1">
      <c r="A350" s="14" t="s">
        <v>692</v>
      </c>
      <c r="B350" s="14" t="s">
        <v>1735</v>
      </c>
      <c r="C350" s="14">
        <v>1.0</v>
      </c>
      <c r="D350" s="14" t="s">
        <v>9</v>
      </c>
      <c r="E350" s="14">
        <v>0.4681</v>
      </c>
      <c r="F350" s="14">
        <v>7.356</v>
      </c>
      <c r="G350" s="14">
        <v>21.2169</v>
      </c>
      <c r="H350" s="14">
        <v>0.996</v>
      </c>
      <c r="I350" s="14">
        <v>0.2053</v>
      </c>
      <c r="J350" s="14">
        <v>0.2243</v>
      </c>
      <c r="K350" s="14">
        <v>0.0899</v>
      </c>
      <c r="L350" s="14">
        <v>9.4804</v>
      </c>
      <c r="M350" s="14" t="s">
        <v>26</v>
      </c>
    </row>
    <row r="351" ht="15.75" customHeight="1">
      <c r="A351" s="14" t="s">
        <v>1738</v>
      </c>
      <c r="B351" s="14" t="s">
        <v>1739</v>
      </c>
      <c r="C351" s="14">
        <v>1.0</v>
      </c>
      <c r="D351" s="14" t="s">
        <v>9</v>
      </c>
      <c r="E351" s="14">
        <v>0.472</v>
      </c>
      <c r="F351" s="14">
        <v>7.356</v>
      </c>
      <c r="G351" s="14">
        <v>21.4296</v>
      </c>
      <c r="H351" s="14">
        <v>0.9966</v>
      </c>
      <c r="I351" s="14">
        <v>0.2013</v>
      </c>
      <c r="J351" s="14">
        <v>0.2331</v>
      </c>
      <c r="K351" s="14">
        <v>0.0748</v>
      </c>
      <c r="L351" s="14">
        <v>9.2481</v>
      </c>
      <c r="M351" s="14" t="s">
        <v>26</v>
      </c>
    </row>
    <row r="352" ht="15.75" customHeight="1">
      <c r="A352" s="14" t="s">
        <v>1270</v>
      </c>
      <c r="B352" s="14" t="s">
        <v>1742</v>
      </c>
      <c r="C352" s="14">
        <v>1.0</v>
      </c>
      <c r="D352" s="14" t="s">
        <v>9</v>
      </c>
      <c r="E352" s="14">
        <v>0.4687</v>
      </c>
      <c r="F352" s="14">
        <v>7.3525</v>
      </c>
      <c r="G352" s="14">
        <v>21.4296</v>
      </c>
      <c r="H352" s="14">
        <v>0.9966</v>
      </c>
      <c r="I352" s="14">
        <v>0.2012</v>
      </c>
      <c r="J352" s="14">
        <v>0.2341</v>
      </c>
      <c r="K352" s="14">
        <v>0.0742</v>
      </c>
      <c r="L352" s="14">
        <v>9.2671</v>
      </c>
      <c r="M352" s="14" t="s">
        <v>26</v>
      </c>
    </row>
    <row r="353" ht="15.75" customHeight="1">
      <c r="A353" s="14" t="s">
        <v>1247</v>
      </c>
      <c r="B353" s="14" t="s">
        <v>1746</v>
      </c>
      <c r="C353" s="14">
        <v>1.0</v>
      </c>
      <c r="D353" s="14" t="s">
        <v>9</v>
      </c>
      <c r="E353" s="14">
        <v>0.4618</v>
      </c>
      <c r="F353" s="14">
        <v>7.3456</v>
      </c>
      <c r="G353" s="14">
        <v>21.4296</v>
      </c>
      <c r="H353" s="14">
        <v>0.9966</v>
      </c>
      <c r="I353" s="14">
        <v>0.201</v>
      </c>
      <c r="J353" s="14">
        <v>0.2315</v>
      </c>
      <c r="K353" s="14">
        <v>0.075</v>
      </c>
      <c r="L353" s="14">
        <v>9.2742</v>
      </c>
      <c r="M353" s="14" t="s">
        <v>26</v>
      </c>
    </row>
    <row r="354" ht="15.75" customHeight="1">
      <c r="A354" s="14" t="s">
        <v>709</v>
      </c>
      <c r="B354" s="14" t="s">
        <v>1749</v>
      </c>
      <c r="C354" s="14">
        <v>1.0</v>
      </c>
      <c r="D354" s="14" t="s">
        <v>9</v>
      </c>
      <c r="E354" s="14">
        <v>0.4802</v>
      </c>
      <c r="F354" s="14">
        <v>7.3422</v>
      </c>
      <c r="G354" s="14">
        <v>21.016</v>
      </c>
      <c r="H354" s="14">
        <v>0.9958</v>
      </c>
      <c r="I354" s="14">
        <v>0.2089</v>
      </c>
      <c r="J354" s="14">
        <v>0.2223</v>
      </c>
      <c r="K354" s="14">
        <v>0.0884</v>
      </c>
      <c r="L354" s="14">
        <v>9.4971</v>
      </c>
      <c r="M354" s="14" t="s">
        <v>26</v>
      </c>
    </row>
    <row r="355" ht="15.75" customHeight="1">
      <c r="A355" s="14" t="s">
        <v>1438</v>
      </c>
      <c r="B355" s="14" t="s">
        <v>1753</v>
      </c>
      <c r="C355" s="14">
        <v>1.0</v>
      </c>
      <c r="D355" s="14" t="s">
        <v>9</v>
      </c>
      <c r="E355" s="14">
        <v>0.4755</v>
      </c>
      <c r="F355" s="14">
        <v>7.3387</v>
      </c>
      <c r="G355" s="14">
        <v>21.4296</v>
      </c>
      <c r="H355" s="14">
        <v>0.9966</v>
      </c>
      <c r="I355" s="14">
        <v>0.2008</v>
      </c>
      <c r="J355" s="14">
        <v>0.2334</v>
      </c>
      <c r="K355" s="14">
        <v>0.0751</v>
      </c>
      <c r="L355" s="14">
        <v>9.2962</v>
      </c>
      <c r="M355" s="14" t="s">
        <v>26</v>
      </c>
    </row>
    <row r="356" ht="15.75" customHeight="1">
      <c r="A356" s="14" t="s">
        <v>1256</v>
      </c>
      <c r="B356" s="14" t="s">
        <v>1757</v>
      </c>
      <c r="C356" s="14">
        <v>1.0</v>
      </c>
      <c r="D356" s="14" t="s">
        <v>9</v>
      </c>
      <c r="E356" s="14">
        <v>0.4752</v>
      </c>
      <c r="F356" s="14">
        <v>7.3387</v>
      </c>
      <c r="G356" s="14">
        <v>21.4296</v>
      </c>
      <c r="H356" s="14">
        <v>0.9966</v>
      </c>
      <c r="I356" s="14">
        <v>0.2008</v>
      </c>
      <c r="J356" s="14">
        <v>0.2355</v>
      </c>
      <c r="K356" s="14">
        <v>0.076</v>
      </c>
      <c r="L356" s="14">
        <v>9.2415</v>
      </c>
      <c r="M356" s="14" t="s">
        <v>26</v>
      </c>
    </row>
    <row r="357" ht="15.75" customHeight="1">
      <c r="A357" s="14" t="s">
        <v>905</v>
      </c>
      <c r="B357" s="14" t="s">
        <v>1759</v>
      </c>
      <c r="C357" s="14">
        <v>1.0</v>
      </c>
      <c r="D357" s="14" t="s">
        <v>9</v>
      </c>
      <c r="E357" s="14">
        <v>0.4791</v>
      </c>
      <c r="F357" s="14">
        <v>7.3387</v>
      </c>
      <c r="G357" s="14">
        <v>20.9327</v>
      </c>
      <c r="H357" s="14">
        <v>0.9957</v>
      </c>
      <c r="I357" s="14">
        <v>0.2105</v>
      </c>
      <c r="J357" s="14">
        <v>0.2234</v>
      </c>
      <c r="K357" s="14">
        <v>0.0904</v>
      </c>
      <c r="L357" s="14">
        <v>9.4568</v>
      </c>
      <c r="M357" s="14" t="s">
        <v>26</v>
      </c>
    </row>
    <row r="358" ht="15.75" customHeight="1">
      <c r="A358" s="14" t="s">
        <v>1242</v>
      </c>
      <c r="B358" s="14" t="s">
        <v>1762</v>
      </c>
      <c r="C358" s="14">
        <v>1.0</v>
      </c>
      <c r="D358" s="14" t="s">
        <v>9</v>
      </c>
      <c r="E358" s="14">
        <v>0.468</v>
      </c>
      <c r="F358" s="14">
        <v>7.3352</v>
      </c>
      <c r="G358" s="14">
        <v>21.4296</v>
      </c>
      <c r="H358" s="14">
        <v>0.9966</v>
      </c>
      <c r="I358" s="14">
        <v>0.2007</v>
      </c>
      <c r="J358" s="14">
        <v>0.2365</v>
      </c>
      <c r="K358" s="14">
        <v>0.0756</v>
      </c>
      <c r="L358" s="14">
        <v>9.2398</v>
      </c>
      <c r="M358" s="14" t="s">
        <v>26</v>
      </c>
    </row>
    <row r="359" ht="15.75" customHeight="1">
      <c r="A359" s="14" t="s">
        <v>1345</v>
      </c>
      <c r="B359" s="14" t="s">
        <v>1765</v>
      </c>
      <c r="C359" s="14">
        <v>1.0</v>
      </c>
      <c r="D359" s="14" t="s">
        <v>9</v>
      </c>
      <c r="E359" s="14">
        <v>0.4742</v>
      </c>
      <c r="F359" s="14">
        <v>7.3318</v>
      </c>
      <c r="G359" s="14">
        <v>21.4296</v>
      </c>
      <c r="H359" s="14">
        <v>0.9966</v>
      </c>
      <c r="I359" s="14">
        <v>0.2006</v>
      </c>
      <c r="J359" s="14">
        <v>0.2329</v>
      </c>
      <c r="K359" s="14">
        <v>0.0755</v>
      </c>
      <c r="L359" s="14">
        <v>9.2562</v>
      </c>
      <c r="M359" s="14" t="s">
        <v>26</v>
      </c>
    </row>
    <row r="360" ht="15.75" customHeight="1">
      <c r="A360" s="14" t="s">
        <v>676</v>
      </c>
      <c r="B360" s="14" t="s">
        <v>1768</v>
      </c>
      <c r="C360" s="14">
        <v>1.0</v>
      </c>
      <c r="D360" s="14" t="s">
        <v>9</v>
      </c>
      <c r="E360" s="14">
        <v>0.4753</v>
      </c>
      <c r="F360" s="14">
        <v>7.3318</v>
      </c>
      <c r="G360" s="14">
        <v>21.0706</v>
      </c>
      <c r="H360" s="14">
        <v>0.9958</v>
      </c>
      <c r="I360" s="14">
        <v>0.2075</v>
      </c>
      <c r="J360" s="14">
        <v>0.2343</v>
      </c>
      <c r="K360" s="14">
        <v>0.0967</v>
      </c>
      <c r="L360" s="14">
        <v>9.3532</v>
      </c>
      <c r="M360" s="14" t="s">
        <v>26</v>
      </c>
    </row>
    <row r="361" ht="15.75" customHeight="1">
      <c r="A361" s="14" t="s">
        <v>1719</v>
      </c>
      <c r="B361" s="14" t="s">
        <v>1771</v>
      </c>
      <c r="C361" s="14">
        <v>1.0</v>
      </c>
      <c r="D361" s="14" t="s">
        <v>9</v>
      </c>
      <c r="E361" s="14">
        <v>0.4736</v>
      </c>
      <c r="F361" s="14">
        <v>7.3283</v>
      </c>
      <c r="G361" s="14">
        <v>21.4296</v>
      </c>
      <c r="H361" s="14">
        <v>0.9966</v>
      </c>
      <c r="I361" s="14">
        <v>0.2005</v>
      </c>
      <c r="J361" s="14">
        <v>0.2366</v>
      </c>
      <c r="K361" s="14">
        <v>0.0764</v>
      </c>
      <c r="L361" s="14">
        <v>9.243</v>
      </c>
      <c r="M361" s="14" t="s">
        <v>26</v>
      </c>
    </row>
    <row r="362" ht="15.75" customHeight="1">
      <c r="A362" s="14" t="s">
        <v>1359</v>
      </c>
      <c r="B362" s="14" t="s">
        <v>1774</v>
      </c>
      <c r="C362" s="14">
        <v>1.0</v>
      </c>
      <c r="D362" s="14" t="s">
        <v>9</v>
      </c>
      <c r="E362" s="14">
        <v>0.2965</v>
      </c>
      <c r="F362" s="14">
        <v>7.3283</v>
      </c>
      <c r="G362" s="14">
        <v>17.5111</v>
      </c>
      <c r="H362" s="14">
        <v>0.9922</v>
      </c>
      <c r="I362" s="14">
        <v>0.3003</v>
      </c>
      <c r="J362" s="14">
        <v>0.4626</v>
      </c>
      <c r="K362" s="14">
        <v>0.0909</v>
      </c>
      <c r="L362" s="14">
        <v>7.6076</v>
      </c>
      <c r="M362" s="14" t="s">
        <v>26</v>
      </c>
    </row>
    <row r="363" ht="15.75" customHeight="1">
      <c r="A363" s="14" t="s">
        <v>753</v>
      </c>
      <c r="B363" s="14" t="s">
        <v>1778</v>
      </c>
      <c r="C363" s="14">
        <v>1.0</v>
      </c>
      <c r="D363" s="14" t="s">
        <v>9</v>
      </c>
      <c r="E363" s="14">
        <v>0.4695</v>
      </c>
      <c r="F363" s="14">
        <v>7.3283</v>
      </c>
      <c r="G363" s="14">
        <v>21.1681</v>
      </c>
      <c r="H363" s="14">
        <v>0.996</v>
      </c>
      <c r="I363" s="14">
        <v>0.2055</v>
      </c>
      <c r="J363" s="14">
        <v>0.2293</v>
      </c>
      <c r="K363" s="14">
        <v>0.097</v>
      </c>
      <c r="L363" s="14">
        <v>9.417</v>
      </c>
      <c r="M363" s="14" t="s">
        <v>26</v>
      </c>
    </row>
    <row r="364" ht="15.75" customHeight="1">
      <c r="A364" s="14" t="s">
        <v>1336</v>
      </c>
      <c r="B364" s="14" t="s">
        <v>1781</v>
      </c>
      <c r="C364" s="14">
        <v>1.0</v>
      </c>
      <c r="D364" s="14" t="s">
        <v>9</v>
      </c>
      <c r="E364" s="14">
        <v>0.4637</v>
      </c>
      <c r="F364" s="14">
        <v>7.3214</v>
      </c>
      <c r="G364" s="14">
        <v>21.4296</v>
      </c>
      <c r="H364" s="14">
        <v>0.9966</v>
      </c>
      <c r="I364" s="14">
        <v>0.2003</v>
      </c>
      <c r="J364" s="14">
        <v>0.2344</v>
      </c>
      <c r="K364" s="14">
        <v>0.0754</v>
      </c>
      <c r="L364" s="14">
        <v>9.235</v>
      </c>
      <c r="M364" s="14" t="s">
        <v>26</v>
      </c>
    </row>
    <row r="365" ht="15.75" customHeight="1">
      <c r="A365" s="14" t="s">
        <v>1785</v>
      </c>
      <c r="B365" s="14" t="s">
        <v>1786</v>
      </c>
      <c r="C365" s="14">
        <v>1.0</v>
      </c>
      <c r="D365" s="14" t="s">
        <v>9</v>
      </c>
      <c r="E365" s="14">
        <v>0.5244</v>
      </c>
      <c r="F365" s="14">
        <v>7.311</v>
      </c>
      <c r="G365" s="14">
        <v>20.4393</v>
      </c>
      <c r="H365" s="14">
        <v>0.9962</v>
      </c>
      <c r="I365" s="14">
        <v>0.2199</v>
      </c>
      <c r="J365" s="14">
        <v>0.2487</v>
      </c>
      <c r="K365" s="14">
        <v>0.0632</v>
      </c>
      <c r="L365" s="14">
        <v>9.202</v>
      </c>
      <c r="M365" s="14" t="s">
        <v>26</v>
      </c>
    </row>
    <row r="366" ht="15.75" customHeight="1">
      <c r="A366" s="14" t="s">
        <v>900</v>
      </c>
      <c r="B366" s="14" t="s">
        <v>1789</v>
      </c>
      <c r="C366" s="14">
        <v>1.0</v>
      </c>
      <c r="D366" s="14" t="s">
        <v>9</v>
      </c>
      <c r="E366" s="14">
        <v>0.5035</v>
      </c>
      <c r="F366" s="14">
        <v>7.3041</v>
      </c>
      <c r="G366" s="14">
        <v>20.9731</v>
      </c>
      <c r="H366" s="14">
        <v>0.9964</v>
      </c>
      <c r="I366" s="14">
        <v>0.2087</v>
      </c>
      <c r="J366" s="14">
        <v>0.2293</v>
      </c>
      <c r="K366" s="14">
        <v>0.0622</v>
      </c>
      <c r="L366" s="14">
        <v>9.0226</v>
      </c>
      <c r="M366" s="14" t="s">
        <v>26</v>
      </c>
    </row>
    <row r="367" ht="15.75" customHeight="1">
      <c r="A367" s="14" t="s">
        <v>719</v>
      </c>
      <c r="B367" s="14" t="s">
        <v>1792</v>
      </c>
      <c r="C367" s="14">
        <v>1.0</v>
      </c>
      <c r="D367" s="14" t="s">
        <v>9</v>
      </c>
      <c r="E367" s="14">
        <v>0.4761</v>
      </c>
      <c r="F367" s="14">
        <v>7.3006</v>
      </c>
      <c r="G367" s="14">
        <v>20.9672</v>
      </c>
      <c r="H367" s="14">
        <v>0.996</v>
      </c>
      <c r="I367" s="14">
        <v>0.2087</v>
      </c>
      <c r="J367" s="14">
        <v>0.2381</v>
      </c>
      <c r="K367" s="14">
        <v>0.0978</v>
      </c>
      <c r="L367" s="14">
        <v>9.4089</v>
      </c>
      <c r="M367" s="14" t="s">
        <v>26</v>
      </c>
    </row>
    <row r="368" ht="15.75" customHeight="1">
      <c r="A368" s="14" t="s">
        <v>618</v>
      </c>
      <c r="B368" s="14" t="s">
        <v>1795</v>
      </c>
      <c r="C368" s="14">
        <v>1.0</v>
      </c>
      <c r="D368" s="14" t="s">
        <v>9</v>
      </c>
      <c r="E368" s="14">
        <v>0.4692</v>
      </c>
      <c r="F368" s="14">
        <v>7.3006</v>
      </c>
      <c r="G368" s="14">
        <v>20.8697</v>
      </c>
      <c r="H368" s="14">
        <v>0.9958</v>
      </c>
      <c r="I368" s="14">
        <v>0.2106</v>
      </c>
      <c r="J368" s="14">
        <v>0.2194</v>
      </c>
      <c r="K368" s="14">
        <v>0.0848</v>
      </c>
      <c r="L368" s="14">
        <v>9.4962</v>
      </c>
      <c r="M368" s="14" t="s">
        <v>26</v>
      </c>
    </row>
    <row r="369" ht="15.75" customHeight="1">
      <c r="A369" s="14" t="s">
        <v>952</v>
      </c>
      <c r="B369" s="14" t="s">
        <v>1799</v>
      </c>
      <c r="C369" s="14">
        <v>1.0</v>
      </c>
      <c r="D369" s="14" t="s">
        <v>9</v>
      </c>
      <c r="E369" s="14">
        <v>0.4453</v>
      </c>
      <c r="F369" s="14">
        <v>7.2937</v>
      </c>
      <c r="G369" s="14">
        <v>20.557</v>
      </c>
      <c r="H369" s="14">
        <v>0.9963</v>
      </c>
      <c r="I369" s="14">
        <v>0.2169</v>
      </c>
      <c r="J369" s="14">
        <v>0.2032</v>
      </c>
      <c r="K369" s="14">
        <v>0.0527</v>
      </c>
      <c r="L369" s="14">
        <v>9.3667</v>
      </c>
      <c r="M369" s="14" t="s">
        <v>26</v>
      </c>
    </row>
    <row r="370" ht="15.75" customHeight="1">
      <c r="A370" s="14" t="s">
        <v>850</v>
      </c>
      <c r="B370" s="14" t="s">
        <v>1802</v>
      </c>
      <c r="C370" s="14">
        <v>1.0</v>
      </c>
      <c r="D370" s="14" t="s">
        <v>9</v>
      </c>
      <c r="E370" s="14">
        <v>0.5127</v>
      </c>
      <c r="F370" s="14">
        <v>7.2937</v>
      </c>
      <c r="G370" s="14">
        <v>20.6545</v>
      </c>
      <c r="H370" s="14">
        <v>0.9962</v>
      </c>
      <c r="I370" s="14">
        <v>0.2148</v>
      </c>
      <c r="J370" s="14">
        <v>0.2231</v>
      </c>
      <c r="K370" s="14">
        <v>0.0571</v>
      </c>
      <c r="L370" s="14">
        <v>9.021</v>
      </c>
      <c r="M370" s="14" t="s">
        <v>26</v>
      </c>
    </row>
    <row r="371" ht="15.75" customHeight="1">
      <c r="A371" s="14" t="s">
        <v>697</v>
      </c>
      <c r="B371" s="14" t="s">
        <v>1805</v>
      </c>
      <c r="C371" s="14">
        <v>1.0</v>
      </c>
      <c r="D371" s="14" t="s">
        <v>9</v>
      </c>
      <c r="E371" s="14">
        <v>0.4818</v>
      </c>
      <c r="F371" s="14">
        <v>7.2937</v>
      </c>
      <c r="G371" s="14">
        <v>20.9672</v>
      </c>
      <c r="H371" s="14">
        <v>0.9958</v>
      </c>
      <c r="I371" s="14">
        <v>0.2085</v>
      </c>
      <c r="J371" s="14">
        <v>0.2326</v>
      </c>
      <c r="K371" s="14">
        <v>0.0942</v>
      </c>
      <c r="L371" s="14">
        <v>9.4189</v>
      </c>
      <c r="M371" s="14" t="s">
        <v>26</v>
      </c>
    </row>
    <row r="372" ht="15.75" customHeight="1">
      <c r="A372" s="14" t="s">
        <v>308</v>
      </c>
      <c r="B372" s="14" t="s">
        <v>1807</v>
      </c>
      <c r="C372" s="14">
        <v>1.0</v>
      </c>
      <c r="D372" s="14" t="s">
        <v>9</v>
      </c>
      <c r="E372" s="14">
        <v>0.4459</v>
      </c>
      <c r="F372" s="14">
        <v>7.2867</v>
      </c>
      <c r="G372" s="14">
        <v>20.62</v>
      </c>
      <c r="H372" s="14">
        <v>0.9963</v>
      </c>
      <c r="I372" s="14">
        <v>0.2154</v>
      </c>
      <c r="J372" s="14">
        <v>0.2065</v>
      </c>
      <c r="K372" s="14">
        <v>0.058</v>
      </c>
      <c r="L372" s="14">
        <v>9.3318</v>
      </c>
      <c r="M372" s="14" t="s">
        <v>26</v>
      </c>
    </row>
    <row r="373" ht="15.75" customHeight="1">
      <c r="A373" s="14" t="s">
        <v>82</v>
      </c>
      <c r="B373" s="14" t="s">
        <v>1811</v>
      </c>
      <c r="C373" s="14">
        <v>1.0</v>
      </c>
      <c r="D373" s="14" t="s">
        <v>9</v>
      </c>
      <c r="E373" s="14">
        <v>0.4261</v>
      </c>
      <c r="F373" s="14">
        <v>7.2833</v>
      </c>
      <c r="G373" s="14">
        <v>20.689</v>
      </c>
      <c r="H373" s="14">
        <v>0.9964</v>
      </c>
      <c r="I373" s="14">
        <v>0.2138</v>
      </c>
      <c r="J373" s="14">
        <v>0.2015</v>
      </c>
      <c r="K373" s="14">
        <v>0.0577</v>
      </c>
      <c r="L373" s="14">
        <v>9.3688</v>
      </c>
      <c r="M373" s="14" t="s">
        <v>26</v>
      </c>
    </row>
    <row r="374" ht="15.75" customHeight="1">
      <c r="A374" s="14" t="s">
        <v>715</v>
      </c>
      <c r="B374" s="14" t="s">
        <v>1814</v>
      </c>
      <c r="C374" s="14">
        <v>1.0</v>
      </c>
      <c r="D374" s="14" t="s">
        <v>9</v>
      </c>
      <c r="E374" s="14">
        <v>0.4726</v>
      </c>
      <c r="F374" s="14">
        <v>7.2764</v>
      </c>
      <c r="G374" s="14">
        <v>21.0017</v>
      </c>
      <c r="H374" s="14">
        <v>0.996</v>
      </c>
      <c r="I374" s="14">
        <v>0.2073</v>
      </c>
      <c r="J374" s="14">
        <v>0.2371</v>
      </c>
      <c r="K374" s="14">
        <v>0.0985</v>
      </c>
      <c r="L374" s="14">
        <v>9.3984</v>
      </c>
      <c r="M374" s="14" t="s">
        <v>26</v>
      </c>
    </row>
    <row r="375" ht="15.75" customHeight="1">
      <c r="A375" s="14" t="s">
        <v>1475</v>
      </c>
      <c r="B375" s="14" t="s">
        <v>1817</v>
      </c>
      <c r="C375" s="14">
        <v>1.0</v>
      </c>
      <c r="D375" s="14" t="s">
        <v>9</v>
      </c>
      <c r="E375" s="14">
        <v>0.6408</v>
      </c>
      <c r="F375" s="14">
        <v>7.2729</v>
      </c>
      <c r="G375" s="14">
        <v>14.1062</v>
      </c>
      <c r="H375" s="14">
        <v>0.9736</v>
      </c>
      <c r="I375" s="14">
        <v>0.4593</v>
      </c>
      <c r="J375" s="14">
        <v>0.315</v>
      </c>
      <c r="K375" s="14">
        <v>0.1327</v>
      </c>
      <c r="L375" s="14">
        <v>9.0367</v>
      </c>
      <c r="M375" s="14" t="s">
        <v>26</v>
      </c>
    </row>
    <row r="376" ht="15.75" customHeight="1">
      <c r="A376" s="14" t="s">
        <v>56</v>
      </c>
      <c r="B376" s="14" t="s">
        <v>1821</v>
      </c>
      <c r="C376" s="14">
        <v>1.0</v>
      </c>
      <c r="D376" s="14" t="s">
        <v>9</v>
      </c>
      <c r="E376" s="14">
        <v>0.4452</v>
      </c>
      <c r="F376" s="14">
        <v>7.266</v>
      </c>
      <c r="G376" s="14">
        <v>20.557</v>
      </c>
      <c r="H376" s="14">
        <v>0.9963</v>
      </c>
      <c r="I376" s="14">
        <v>0.2161</v>
      </c>
      <c r="J376" s="14">
        <v>0.2046</v>
      </c>
      <c r="K376" s="14">
        <v>0.054</v>
      </c>
      <c r="L376" s="14">
        <v>9.3498</v>
      </c>
      <c r="M376" s="14" t="s">
        <v>26</v>
      </c>
    </row>
    <row r="377" ht="15.75" customHeight="1">
      <c r="A377" s="14" t="s">
        <v>110</v>
      </c>
      <c r="B377" s="14" t="s">
        <v>1825</v>
      </c>
      <c r="C377" s="14">
        <v>1.0</v>
      </c>
      <c r="D377" s="14" t="s">
        <v>9</v>
      </c>
      <c r="E377" s="14">
        <v>0.4298</v>
      </c>
      <c r="F377" s="14">
        <v>7.266</v>
      </c>
      <c r="G377" s="14">
        <v>20.8209</v>
      </c>
      <c r="H377" s="14">
        <v>0.9964</v>
      </c>
      <c r="I377" s="14">
        <v>0.2106</v>
      </c>
      <c r="J377" s="14">
        <v>0.2012</v>
      </c>
      <c r="K377" s="14">
        <v>0.0569</v>
      </c>
      <c r="L377" s="14">
        <v>9.3491</v>
      </c>
      <c r="M377" s="14" t="s">
        <v>26</v>
      </c>
    </row>
    <row r="378" ht="15.75" customHeight="1">
      <c r="A378" s="14" t="s">
        <v>170</v>
      </c>
      <c r="B378" s="14" t="s">
        <v>1828</v>
      </c>
      <c r="C378" s="14">
        <v>1.0</v>
      </c>
      <c r="D378" s="14" t="s">
        <v>9</v>
      </c>
      <c r="E378" s="14">
        <v>0.4402</v>
      </c>
      <c r="F378" s="14">
        <v>7.259</v>
      </c>
      <c r="G378" s="14">
        <v>20.62</v>
      </c>
      <c r="H378" s="14">
        <v>0.9964</v>
      </c>
      <c r="I378" s="14">
        <v>0.2145</v>
      </c>
      <c r="J378" s="14">
        <v>0.203</v>
      </c>
      <c r="K378" s="14">
        <v>0.0576</v>
      </c>
      <c r="L378" s="14">
        <v>9.3746</v>
      </c>
      <c r="M378" s="14" t="s">
        <v>26</v>
      </c>
    </row>
    <row r="379" ht="15.75" customHeight="1">
      <c r="A379" s="14" t="s">
        <v>301</v>
      </c>
      <c r="B379" s="14" t="s">
        <v>1831</v>
      </c>
      <c r="C379" s="14">
        <v>1.0</v>
      </c>
      <c r="D379" s="14" t="s">
        <v>9</v>
      </c>
      <c r="E379" s="14">
        <v>0.438</v>
      </c>
      <c r="F379" s="14">
        <v>7.2556</v>
      </c>
      <c r="G379" s="14">
        <v>20.5835</v>
      </c>
      <c r="H379" s="14">
        <v>0.9963</v>
      </c>
      <c r="I379" s="14">
        <v>0.2152</v>
      </c>
      <c r="J379" s="14">
        <v>0.203</v>
      </c>
      <c r="K379" s="14">
        <v>0.0576</v>
      </c>
      <c r="L379" s="14">
        <v>9.3659</v>
      </c>
      <c r="M379" s="14" t="s">
        <v>26</v>
      </c>
    </row>
    <row r="380" ht="15.75" customHeight="1">
      <c r="A380" s="14" t="s">
        <v>191</v>
      </c>
      <c r="B380" s="14" t="s">
        <v>1834</v>
      </c>
      <c r="C380" s="14">
        <v>1.0</v>
      </c>
      <c r="D380" s="14" t="s">
        <v>9</v>
      </c>
      <c r="E380" s="14">
        <v>0.437</v>
      </c>
      <c r="F380" s="14">
        <v>7.2556</v>
      </c>
      <c r="G380" s="14">
        <v>20.9042</v>
      </c>
      <c r="H380" s="14">
        <v>0.9964</v>
      </c>
      <c r="I380" s="14">
        <v>0.2086</v>
      </c>
      <c r="J380" s="14">
        <v>0.1981</v>
      </c>
      <c r="K380" s="14">
        <v>0.0569</v>
      </c>
      <c r="L380" s="14">
        <v>9.3657</v>
      </c>
      <c r="M380" s="14" t="s">
        <v>26</v>
      </c>
    </row>
    <row r="381" ht="15.75" customHeight="1">
      <c r="A381" s="14" t="s">
        <v>120</v>
      </c>
      <c r="B381" s="14" t="s">
        <v>1837</v>
      </c>
      <c r="C381" s="14">
        <v>1.0</v>
      </c>
      <c r="D381" s="14" t="s">
        <v>9</v>
      </c>
      <c r="E381" s="14">
        <v>0.439</v>
      </c>
      <c r="F381" s="14">
        <v>7.2521</v>
      </c>
      <c r="G381" s="14">
        <v>20.5225</v>
      </c>
      <c r="H381" s="14">
        <v>0.9963</v>
      </c>
      <c r="I381" s="14">
        <v>0.2164</v>
      </c>
      <c r="J381" s="14">
        <v>0.2013</v>
      </c>
      <c r="K381" s="14">
        <v>0.0546</v>
      </c>
      <c r="L381" s="14">
        <v>9.3676</v>
      </c>
      <c r="M381" s="14" t="s">
        <v>26</v>
      </c>
    </row>
    <row r="382" ht="15.75" customHeight="1">
      <c r="A382" s="14" t="s">
        <v>115</v>
      </c>
      <c r="B382" s="14" t="s">
        <v>1840</v>
      </c>
      <c r="C382" s="14">
        <v>1.0</v>
      </c>
      <c r="D382" s="14" t="s">
        <v>9</v>
      </c>
      <c r="E382" s="14">
        <v>0.4508</v>
      </c>
      <c r="F382" s="14">
        <v>7.2521</v>
      </c>
      <c r="G382" s="14">
        <v>20.5225</v>
      </c>
      <c r="H382" s="14">
        <v>0.9963</v>
      </c>
      <c r="I382" s="14">
        <v>0.2164</v>
      </c>
      <c r="J382" s="14">
        <v>0.2038</v>
      </c>
      <c r="K382" s="14">
        <v>0.0555</v>
      </c>
      <c r="L382" s="14">
        <v>9.3352</v>
      </c>
      <c r="M382" s="14" t="s">
        <v>26</v>
      </c>
    </row>
    <row r="383" ht="15.75" customHeight="1">
      <c r="A383" s="14" t="s">
        <v>877</v>
      </c>
      <c r="B383" s="14" t="s">
        <v>1843</v>
      </c>
      <c r="C383" s="14">
        <v>1.0</v>
      </c>
      <c r="D383" s="14" t="s">
        <v>9</v>
      </c>
      <c r="E383" s="14">
        <v>0.4513</v>
      </c>
      <c r="F383" s="14">
        <v>7.2486</v>
      </c>
      <c r="G383" s="14">
        <v>21.0563</v>
      </c>
      <c r="H383" s="14">
        <v>0.9964</v>
      </c>
      <c r="I383" s="14">
        <v>0.2054</v>
      </c>
      <c r="J383" s="14">
        <v>0.2083</v>
      </c>
      <c r="K383" s="14">
        <v>0.0564</v>
      </c>
      <c r="L383" s="14">
        <v>9.3431</v>
      </c>
      <c r="M383" s="14" t="s">
        <v>26</v>
      </c>
    </row>
    <row r="384" ht="15.75" customHeight="1">
      <c r="A384" s="14" t="s">
        <v>1012</v>
      </c>
      <c r="B384" s="14" t="s">
        <v>1847</v>
      </c>
      <c r="C384" s="14">
        <v>1.0</v>
      </c>
      <c r="D384" s="14" t="s">
        <v>9</v>
      </c>
      <c r="E384" s="14">
        <v>0.5068</v>
      </c>
      <c r="F384" s="14">
        <v>7.2486</v>
      </c>
      <c r="G384" s="14">
        <v>20.8697</v>
      </c>
      <c r="H384" s="14">
        <v>0.9962</v>
      </c>
      <c r="I384" s="14">
        <v>0.2091</v>
      </c>
      <c r="J384" s="14">
        <v>0.2321</v>
      </c>
      <c r="K384" s="14">
        <v>0.061</v>
      </c>
      <c r="L384" s="14">
        <v>9.0053</v>
      </c>
      <c r="M384" s="14" t="s">
        <v>26</v>
      </c>
    </row>
    <row r="385" ht="15.75" customHeight="1">
      <c r="A385" s="14" t="s">
        <v>130</v>
      </c>
      <c r="B385" s="14" t="s">
        <v>1851</v>
      </c>
      <c r="C385" s="14">
        <v>1.0</v>
      </c>
      <c r="D385" s="14" t="s">
        <v>9</v>
      </c>
      <c r="E385" s="14">
        <v>0.4387</v>
      </c>
      <c r="F385" s="14">
        <v>7.2417</v>
      </c>
      <c r="G385" s="14">
        <v>20.689</v>
      </c>
      <c r="H385" s="14">
        <v>0.9963</v>
      </c>
      <c r="I385" s="14">
        <v>0.2126</v>
      </c>
      <c r="J385" s="14">
        <v>0.1982</v>
      </c>
      <c r="K385" s="14">
        <v>0.0543</v>
      </c>
      <c r="L385" s="14">
        <v>9.3536</v>
      </c>
      <c r="M385" s="14" t="s">
        <v>26</v>
      </c>
    </row>
    <row r="386" ht="15.75" customHeight="1">
      <c r="A386" s="14" t="s">
        <v>881</v>
      </c>
      <c r="B386" s="14" t="s">
        <v>1854</v>
      </c>
      <c r="C386" s="14">
        <v>1.0</v>
      </c>
      <c r="D386" s="14" t="s">
        <v>9</v>
      </c>
      <c r="E386" s="14">
        <v>0.5083</v>
      </c>
      <c r="F386" s="14">
        <v>7.2313</v>
      </c>
      <c r="G386" s="14">
        <v>20.7377</v>
      </c>
      <c r="H386" s="14">
        <v>0.9963</v>
      </c>
      <c r="I386" s="14">
        <v>0.2113</v>
      </c>
      <c r="J386" s="14">
        <v>0.2328</v>
      </c>
      <c r="K386" s="14">
        <v>0.0619</v>
      </c>
      <c r="L386" s="14">
        <v>8.9797</v>
      </c>
      <c r="M386" s="14" t="s">
        <v>26</v>
      </c>
    </row>
    <row r="387" ht="15.75" customHeight="1">
      <c r="A387" s="14" t="s">
        <v>331</v>
      </c>
      <c r="B387" s="14" t="s">
        <v>1857</v>
      </c>
      <c r="C387" s="14">
        <v>1.0</v>
      </c>
      <c r="D387" s="14" t="s">
        <v>9</v>
      </c>
      <c r="E387" s="14">
        <v>0.4284</v>
      </c>
      <c r="F387" s="14">
        <v>7.2313</v>
      </c>
      <c r="G387" s="14">
        <v>20.5915</v>
      </c>
      <c r="H387" s="14">
        <v>0.9963</v>
      </c>
      <c r="I387" s="14">
        <v>0.2143</v>
      </c>
      <c r="J387" s="14">
        <v>0.2812</v>
      </c>
      <c r="K387" s="14">
        <v>0.0702</v>
      </c>
      <c r="L387" s="14">
        <v>8.6821</v>
      </c>
      <c r="M387" s="14" t="s">
        <v>26</v>
      </c>
    </row>
    <row r="388" ht="15.75" customHeight="1">
      <c r="A388" s="14" t="s">
        <v>70</v>
      </c>
      <c r="B388" s="14" t="s">
        <v>1861</v>
      </c>
      <c r="C388" s="14">
        <v>1.0</v>
      </c>
      <c r="D388" s="14" t="s">
        <v>9</v>
      </c>
      <c r="E388" s="14">
        <v>0.4507</v>
      </c>
      <c r="F388" s="14">
        <v>7.2209</v>
      </c>
      <c r="G388" s="14">
        <v>20.8067</v>
      </c>
      <c r="H388" s="14">
        <v>0.9964</v>
      </c>
      <c r="I388" s="14">
        <v>0.2096</v>
      </c>
      <c r="J388" s="14">
        <v>0.1949</v>
      </c>
      <c r="K388" s="14">
        <v>0.054</v>
      </c>
      <c r="L388" s="14">
        <v>9.3896</v>
      </c>
      <c r="M388" s="14" t="s">
        <v>26</v>
      </c>
    </row>
    <row r="389" ht="15.75" customHeight="1">
      <c r="A389" s="14" t="s">
        <v>735</v>
      </c>
      <c r="B389" s="14" t="s">
        <v>1864</v>
      </c>
      <c r="C389" s="14">
        <v>1.0</v>
      </c>
      <c r="D389" s="14" t="s">
        <v>9</v>
      </c>
      <c r="E389" s="14">
        <v>0.5081</v>
      </c>
      <c r="F389" s="14">
        <v>7.2209</v>
      </c>
      <c r="G389" s="14">
        <v>20.62</v>
      </c>
      <c r="H389" s="14">
        <v>0.9963</v>
      </c>
      <c r="I389" s="14">
        <v>0.2134</v>
      </c>
      <c r="J389" s="14">
        <v>0.2273</v>
      </c>
      <c r="K389" s="14">
        <v>0.0556</v>
      </c>
      <c r="L389" s="14">
        <v>9.0813</v>
      </c>
      <c r="M389" s="14" t="s">
        <v>26</v>
      </c>
    </row>
    <row r="390" ht="15.75" customHeight="1">
      <c r="A390" s="14" t="s">
        <v>761</v>
      </c>
      <c r="B390" s="14" t="s">
        <v>1867</v>
      </c>
      <c r="C390" s="14">
        <v>1.0</v>
      </c>
      <c r="D390" s="14" t="s">
        <v>9</v>
      </c>
      <c r="E390" s="14">
        <v>0.5091</v>
      </c>
      <c r="F390" s="14">
        <v>7.214</v>
      </c>
      <c r="G390" s="14">
        <v>20.7032</v>
      </c>
      <c r="H390" s="14">
        <v>0.9963</v>
      </c>
      <c r="I390" s="14">
        <v>0.2115</v>
      </c>
      <c r="J390" s="14">
        <v>0.23</v>
      </c>
      <c r="K390" s="14">
        <v>0.0633</v>
      </c>
      <c r="L390" s="14">
        <v>8.9755</v>
      </c>
      <c r="M390" s="14" t="s">
        <v>26</v>
      </c>
    </row>
    <row r="391" ht="15.75" customHeight="1">
      <c r="A391" s="14" t="s">
        <v>227</v>
      </c>
      <c r="B391" s="14" t="s">
        <v>1870</v>
      </c>
      <c r="C391" s="14">
        <v>1.0</v>
      </c>
      <c r="D391" s="14" t="s">
        <v>9</v>
      </c>
      <c r="E391" s="14">
        <v>0.5051</v>
      </c>
      <c r="F391" s="14">
        <v>7.2106</v>
      </c>
      <c r="G391" s="14">
        <v>20.7032</v>
      </c>
      <c r="H391" s="14">
        <v>0.9963</v>
      </c>
      <c r="I391" s="14">
        <v>0.2114</v>
      </c>
      <c r="J391" s="14">
        <v>0.2307</v>
      </c>
      <c r="K391" s="14">
        <v>0.0648</v>
      </c>
      <c r="L391" s="14">
        <v>8.9277</v>
      </c>
      <c r="M391" s="14" t="s">
        <v>26</v>
      </c>
    </row>
    <row r="392" ht="15.75" customHeight="1">
      <c r="A392" s="14" t="s">
        <v>1873</v>
      </c>
      <c r="B392" s="14" t="s">
        <v>1874</v>
      </c>
      <c r="C392" s="14">
        <v>1.0</v>
      </c>
      <c r="D392" s="14" t="s">
        <v>9</v>
      </c>
      <c r="E392" s="14">
        <v>0.545</v>
      </c>
      <c r="F392" s="14">
        <v>7.2106</v>
      </c>
      <c r="G392" s="14">
        <v>21.1253</v>
      </c>
      <c r="H392" s="14">
        <v>0.9964</v>
      </c>
      <c r="I392" s="14">
        <v>0.203</v>
      </c>
      <c r="J392" s="14">
        <v>0.225</v>
      </c>
      <c r="K392" s="14">
        <v>0.0776</v>
      </c>
      <c r="L392" s="14">
        <v>9.419</v>
      </c>
      <c r="M392" s="14" t="s">
        <v>26</v>
      </c>
    </row>
    <row r="393" ht="15.75" customHeight="1">
      <c r="A393" s="14" t="s">
        <v>864</v>
      </c>
      <c r="B393" s="14" t="s">
        <v>1877</v>
      </c>
      <c r="C393" s="14">
        <v>1.0</v>
      </c>
      <c r="D393" s="14" t="s">
        <v>9</v>
      </c>
      <c r="E393" s="14">
        <v>0.4736</v>
      </c>
      <c r="F393" s="14">
        <v>7.2036</v>
      </c>
      <c r="G393" s="14">
        <v>20.5023</v>
      </c>
      <c r="H393" s="14">
        <v>0.9962</v>
      </c>
      <c r="I393" s="14">
        <v>0.2154</v>
      </c>
      <c r="J393" s="14">
        <v>0.2653</v>
      </c>
      <c r="K393" s="14">
        <v>0.0679</v>
      </c>
      <c r="L393" s="14">
        <v>8.8114</v>
      </c>
      <c r="M393" s="14" t="s">
        <v>26</v>
      </c>
    </row>
    <row r="394" ht="15.75" customHeight="1">
      <c r="A394" s="14" t="s">
        <v>617</v>
      </c>
      <c r="B394" s="14" t="s">
        <v>1881</v>
      </c>
      <c r="C394" s="14">
        <v>1.0</v>
      </c>
      <c r="D394" s="14" t="s">
        <v>9</v>
      </c>
      <c r="E394" s="14">
        <v>0.6796</v>
      </c>
      <c r="F394" s="14">
        <v>7.2036</v>
      </c>
      <c r="G394" s="14">
        <v>13.6698</v>
      </c>
      <c r="H394" s="14">
        <v>0.9707</v>
      </c>
      <c r="I394" s="14">
        <v>0.4844</v>
      </c>
      <c r="J394" s="14">
        <v>0.2924</v>
      </c>
      <c r="K394" s="14">
        <v>0.1139</v>
      </c>
      <c r="L394" s="14">
        <v>9.1702</v>
      </c>
      <c r="M394" s="14" t="s">
        <v>26</v>
      </c>
    </row>
    <row r="395" ht="15.75" customHeight="1">
      <c r="A395" s="14" t="s">
        <v>1884</v>
      </c>
      <c r="B395" s="14" t="s">
        <v>1885</v>
      </c>
      <c r="C395" s="14">
        <v>1.0</v>
      </c>
      <c r="D395" s="14" t="s">
        <v>9</v>
      </c>
      <c r="E395" s="14">
        <v>0.5458</v>
      </c>
      <c r="F395" s="14">
        <v>7.2036</v>
      </c>
      <c r="G395" s="14">
        <v>20.9244</v>
      </c>
      <c r="H395" s="14">
        <v>0.9963</v>
      </c>
      <c r="I395" s="14">
        <v>0.2068</v>
      </c>
      <c r="J395" s="14">
        <v>0.2186</v>
      </c>
      <c r="K395" s="14">
        <v>0.074</v>
      </c>
      <c r="L395" s="14">
        <v>9.4129</v>
      </c>
      <c r="M395" s="14" t="s">
        <v>26</v>
      </c>
    </row>
    <row r="396" ht="15.75" customHeight="1">
      <c r="A396" s="14" t="s">
        <v>1143</v>
      </c>
      <c r="B396" s="14" t="s">
        <v>1889</v>
      </c>
      <c r="C396" s="14">
        <v>1.0</v>
      </c>
      <c r="D396" s="14" t="s">
        <v>9</v>
      </c>
      <c r="E396" s="14">
        <v>0.5048</v>
      </c>
      <c r="F396" s="14">
        <v>7.2036</v>
      </c>
      <c r="G396" s="14">
        <v>20.7377</v>
      </c>
      <c r="H396" s="14">
        <v>0.9963</v>
      </c>
      <c r="I396" s="14">
        <v>0.2105</v>
      </c>
      <c r="J396" s="14">
        <v>0.2311</v>
      </c>
      <c r="K396" s="14">
        <v>0.0644</v>
      </c>
      <c r="L396" s="14">
        <v>8.9572</v>
      </c>
      <c r="M396" s="14" t="s">
        <v>26</v>
      </c>
    </row>
    <row r="397" ht="15.75" customHeight="1">
      <c r="A397" s="14" t="s">
        <v>1878</v>
      </c>
      <c r="B397" s="14" t="s">
        <v>1892</v>
      </c>
      <c r="C397" s="14">
        <v>1.0</v>
      </c>
      <c r="D397" s="14" t="s">
        <v>9</v>
      </c>
      <c r="E397" s="14">
        <v>0.4686</v>
      </c>
      <c r="F397" s="14">
        <v>7.1967</v>
      </c>
      <c r="G397" s="14">
        <v>20.9185</v>
      </c>
      <c r="H397" s="14">
        <v>0.996</v>
      </c>
      <c r="I397" s="14">
        <v>0.2067</v>
      </c>
      <c r="J397" s="14">
        <v>0.2075</v>
      </c>
      <c r="K397" s="14">
        <v>0.0829</v>
      </c>
      <c r="L397" s="14">
        <v>9.4773</v>
      </c>
      <c r="M397" s="14" t="s">
        <v>26</v>
      </c>
    </row>
    <row r="398" ht="15.75" customHeight="1">
      <c r="A398" s="14" t="s">
        <v>65</v>
      </c>
      <c r="B398" s="14" t="s">
        <v>1896</v>
      </c>
      <c r="C398" s="14">
        <v>1.0</v>
      </c>
      <c r="D398" s="14" t="s">
        <v>9</v>
      </c>
      <c r="E398" s="14">
        <v>0.4474</v>
      </c>
      <c r="F398" s="14">
        <v>7.1967</v>
      </c>
      <c r="G398" s="14">
        <v>20.689</v>
      </c>
      <c r="H398" s="14">
        <v>0.9963</v>
      </c>
      <c r="I398" s="14">
        <v>0.2113</v>
      </c>
      <c r="J398" s="14">
        <v>0.1987</v>
      </c>
      <c r="K398" s="14">
        <v>0.0549</v>
      </c>
      <c r="L398" s="14">
        <v>9.3622</v>
      </c>
      <c r="M398" s="14" t="s">
        <v>26</v>
      </c>
    </row>
    <row r="399" ht="15.75" customHeight="1">
      <c r="A399" s="14" t="s">
        <v>121</v>
      </c>
      <c r="B399" s="14" t="s">
        <v>1899</v>
      </c>
      <c r="C399" s="14">
        <v>1.0</v>
      </c>
      <c r="D399" s="14" t="s">
        <v>9</v>
      </c>
      <c r="E399" s="14">
        <v>0.649</v>
      </c>
      <c r="F399" s="14">
        <v>7.1898</v>
      </c>
      <c r="G399" s="14">
        <v>14.017</v>
      </c>
      <c r="H399" s="14">
        <v>0.9733</v>
      </c>
      <c r="I399" s="14">
        <v>0.4598</v>
      </c>
      <c r="J399" s="14">
        <v>0.3199</v>
      </c>
      <c r="K399" s="14">
        <v>0.1401</v>
      </c>
      <c r="L399" s="14">
        <v>8.997</v>
      </c>
      <c r="M399" s="14" t="s">
        <v>26</v>
      </c>
    </row>
    <row r="400" ht="15.75" customHeight="1">
      <c r="A400" s="14" t="s">
        <v>665</v>
      </c>
      <c r="B400" s="14" t="s">
        <v>1902</v>
      </c>
      <c r="C400" s="14">
        <v>1.0</v>
      </c>
      <c r="D400" s="14" t="s">
        <v>9</v>
      </c>
      <c r="E400" s="14">
        <v>0.4377</v>
      </c>
      <c r="F400" s="14">
        <v>7.1898</v>
      </c>
      <c r="G400" s="14">
        <v>20.2182</v>
      </c>
      <c r="H400" s="14">
        <v>0.9961</v>
      </c>
      <c r="I400" s="14">
        <v>0.221</v>
      </c>
      <c r="J400" s="14">
        <v>0.2246</v>
      </c>
      <c r="K400" s="14">
        <v>0.0567</v>
      </c>
      <c r="L400" s="14">
        <v>9.3878</v>
      </c>
      <c r="M400" s="14" t="s">
        <v>26</v>
      </c>
    </row>
    <row r="401" ht="15.75" customHeight="1">
      <c r="A401" s="14" t="s">
        <v>883</v>
      </c>
      <c r="B401" s="14" t="s">
        <v>1904</v>
      </c>
      <c r="C401" s="14">
        <v>1.0</v>
      </c>
      <c r="D401" s="14" t="s">
        <v>9</v>
      </c>
      <c r="E401" s="14">
        <v>0.5097</v>
      </c>
      <c r="F401" s="14">
        <v>7.1863</v>
      </c>
      <c r="G401" s="14">
        <v>20.7377</v>
      </c>
      <c r="H401" s="14">
        <v>0.9963</v>
      </c>
      <c r="I401" s="14">
        <v>0.21</v>
      </c>
      <c r="J401" s="14">
        <v>0.2334</v>
      </c>
      <c r="K401" s="14">
        <v>0.0657</v>
      </c>
      <c r="L401" s="14">
        <v>8.9501</v>
      </c>
      <c r="M401" s="14" t="s">
        <v>26</v>
      </c>
    </row>
    <row r="402" ht="15.75" customHeight="1">
      <c r="A402" s="14" t="s">
        <v>1908</v>
      </c>
      <c r="B402" s="14" t="s">
        <v>1909</v>
      </c>
      <c r="C402" s="14">
        <v>1.0</v>
      </c>
      <c r="D402" s="14" t="s">
        <v>9</v>
      </c>
      <c r="E402" s="14">
        <v>0.4509</v>
      </c>
      <c r="F402" s="14">
        <v>7.1863</v>
      </c>
      <c r="G402" s="14">
        <v>20.7579</v>
      </c>
      <c r="H402" s="14">
        <v>0.9964</v>
      </c>
      <c r="I402" s="14">
        <v>0.2096</v>
      </c>
      <c r="J402" s="14">
        <v>0.1987</v>
      </c>
      <c r="K402" s="14">
        <v>0.0526</v>
      </c>
      <c r="L402" s="14">
        <v>9.4173</v>
      </c>
      <c r="M402" s="14" t="s">
        <v>26</v>
      </c>
    </row>
    <row r="403" ht="15.75" customHeight="1">
      <c r="A403" s="14" t="s">
        <v>741</v>
      </c>
      <c r="B403" s="14" t="s">
        <v>1912</v>
      </c>
      <c r="C403" s="14">
        <v>1.0</v>
      </c>
      <c r="D403" s="14" t="s">
        <v>9</v>
      </c>
      <c r="E403" s="14">
        <v>0.5003</v>
      </c>
      <c r="F403" s="14">
        <v>7.1759</v>
      </c>
      <c r="G403" s="14">
        <v>20.7377</v>
      </c>
      <c r="H403" s="14">
        <v>0.9964</v>
      </c>
      <c r="I403" s="14">
        <v>0.2097</v>
      </c>
      <c r="J403" s="14">
        <v>0.2295</v>
      </c>
      <c r="K403" s="14">
        <v>0.0642</v>
      </c>
      <c r="L403" s="14">
        <v>8.9371</v>
      </c>
      <c r="M403" s="14" t="s">
        <v>26</v>
      </c>
    </row>
    <row r="404" ht="15.75" customHeight="1">
      <c r="A404" s="14" t="s">
        <v>822</v>
      </c>
      <c r="B404" s="14" t="s">
        <v>1916</v>
      </c>
      <c r="C404" s="14">
        <v>1.0</v>
      </c>
      <c r="D404" s="14" t="s">
        <v>9</v>
      </c>
      <c r="E404" s="14">
        <v>0.5034</v>
      </c>
      <c r="F404" s="14">
        <v>7.1759</v>
      </c>
      <c r="G404" s="14">
        <v>20.5023</v>
      </c>
      <c r="H404" s="14">
        <v>0.9963</v>
      </c>
      <c r="I404" s="14">
        <v>0.2145</v>
      </c>
      <c r="J404" s="14">
        <v>0.2318</v>
      </c>
      <c r="K404" s="14">
        <v>0.0583</v>
      </c>
      <c r="L404" s="14">
        <v>9.0246</v>
      </c>
      <c r="M404" s="14" t="s">
        <v>26</v>
      </c>
    </row>
    <row r="405" ht="15.75" customHeight="1">
      <c r="A405" s="14" t="s">
        <v>696</v>
      </c>
      <c r="B405" s="14" t="s">
        <v>1920</v>
      </c>
      <c r="C405" s="14">
        <v>1.0</v>
      </c>
      <c r="D405" s="14" t="s">
        <v>9</v>
      </c>
      <c r="E405" s="14">
        <v>0.4996</v>
      </c>
      <c r="F405" s="14">
        <v>7.1655</v>
      </c>
      <c r="G405" s="14">
        <v>20.689</v>
      </c>
      <c r="H405" s="14">
        <v>0.9963</v>
      </c>
      <c r="I405" s="14">
        <v>0.2104</v>
      </c>
      <c r="J405" s="14">
        <v>0.2252</v>
      </c>
      <c r="K405" s="14">
        <v>0.0645</v>
      </c>
      <c r="L405" s="14">
        <v>8.9371</v>
      </c>
      <c r="M405" s="14" t="s">
        <v>26</v>
      </c>
    </row>
    <row r="406" ht="15.75" customHeight="1">
      <c r="A406" s="14" t="s">
        <v>446</v>
      </c>
      <c r="B406" s="14" t="s">
        <v>1923</v>
      </c>
      <c r="C406" s="14">
        <v>1.0</v>
      </c>
      <c r="D406" s="14" t="s">
        <v>9</v>
      </c>
      <c r="E406" s="14">
        <v>0.6516</v>
      </c>
      <c r="F406" s="14">
        <v>7.1655</v>
      </c>
      <c r="G406" s="14">
        <v>14.2524</v>
      </c>
      <c r="H406" s="14">
        <v>0.9735</v>
      </c>
      <c r="I406" s="14">
        <v>0.4433</v>
      </c>
      <c r="J406" s="14">
        <v>0.3173</v>
      </c>
      <c r="K406" s="14">
        <v>0.141</v>
      </c>
      <c r="L406" s="14">
        <v>9.0041</v>
      </c>
      <c r="M406" s="14" t="s">
        <v>26</v>
      </c>
    </row>
    <row r="407" ht="15.75" customHeight="1">
      <c r="A407" s="14" t="s">
        <v>872</v>
      </c>
      <c r="B407" s="14" t="s">
        <v>1926</v>
      </c>
      <c r="C407" s="14">
        <v>1.0</v>
      </c>
      <c r="D407" s="14" t="s">
        <v>9</v>
      </c>
      <c r="E407" s="14">
        <v>0.506</v>
      </c>
      <c r="F407" s="14">
        <v>7.1655</v>
      </c>
      <c r="G407" s="14">
        <v>20.5023</v>
      </c>
      <c r="H407" s="14">
        <v>0.9962</v>
      </c>
      <c r="I407" s="14">
        <v>0.2142</v>
      </c>
      <c r="J407" s="14">
        <v>0.2298</v>
      </c>
      <c r="K407" s="14">
        <v>0.059</v>
      </c>
      <c r="L407" s="14">
        <v>9.0597</v>
      </c>
      <c r="M407" s="14" t="s">
        <v>26</v>
      </c>
    </row>
    <row r="408" ht="15.75" customHeight="1">
      <c r="A408" s="14" t="s">
        <v>809</v>
      </c>
      <c r="B408" s="14" t="s">
        <v>1929</v>
      </c>
      <c r="C408" s="14">
        <v>1.0</v>
      </c>
      <c r="D408" s="14" t="s">
        <v>9</v>
      </c>
      <c r="E408" s="14">
        <v>0.506</v>
      </c>
      <c r="F408" s="14">
        <v>7.1621</v>
      </c>
      <c r="G408" s="14">
        <v>20.488</v>
      </c>
      <c r="H408" s="14">
        <v>0.9963</v>
      </c>
      <c r="I408" s="14">
        <v>0.2144</v>
      </c>
      <c r="J408" s="14">
        <v>0.2311</v>
      </c>
      <c r="K408" s="14">
        <v>0.0672</v>
      </c>
      <c r="L408" s="14">
        <v>8.8908</v>
      </c>
      <c r="M408" s="14" t="s">
        <v>26</v>
      </c>
    </row>
    <row r="409" ht="15.75" customHeight="1">
      <c r="A409" s="14" t="s">
        <v>815</v>
      </c>
      <c r="B409" s="14" t="s">
        <v>1932</v>
      </c>
      <c r="C409" s="14">
        <v>1.0</v>
      </c>
      <c r="D409" s="14" t="s">
        <v>9</v>
      </c>
      <c r="E409" s="14">
        <v>0.4995</v>
      </c>
      <c r="F409" s="14">
        <v>7.1586</v>
      </c>
      <c r="G409" s="14">
        <v>20.4536</v>
      </c>
      <c r="H409" s="14">
        <v>0.9963</v>
      </c>
      <c r="I409" s="14">
        <v>0.215</v>
      </c>
      <c r="J409" s="14">
        <v>0.2307</v>
      </c>
      <c r="K409" s="14">
        <v>0.0669</v>
      </c>
      <c r="L409" s="14">
        <v>8.936</v>
      </c>
      <c r="M409" s="14" t="s">
        <v>26</v>
      </c>
    </row>
    <row r="410" ht="15.75" customHeight="1">
      <c r="A410" s="14" t="s">
        <v>894</v>
      </c>
      <c r="B410" s="14" t="s">
        <v>1935</v>
      </c>
      <c r="C410" s="14">
        <v>1.0</v>
      </c>
      <c r="D410" s="14" t="s">
        <v>9</v>
      </c>
      <c r="E410" s="14">
        <v>0.5086</v>
      </c>
      <c r="F410" s="14">
        <v>7.1551</v>
      </c>
      <c r="G410" s="14">
        <v>20.5835</v>
      </c>
      <c r="H410" s="14">
        <v>0.9964</v>
      </c>
      <c r="I410" s="14">
        <v>0.2122</v>
      </c>
      <c r="J410" s="14">
        <v>0.2276</v>
      </c>
      <c r="K410" s="14">
        <v>0.0659</v>
      </c>
      <c r="L410" s="14">
        <v>8.904</v>
      </c>
      <c r="M410" s="14" t="s">
        <v>26</v>
      </c>
    </row>
    <row r="411" ht="15.75" customHeight="1">
      <c r="A411" s="14" t="s">
        <v>631</v>
      </c>
      <c r="B411" s="14" t="s">
        <v>1938</v>
      </c>
      <c r="C411" s="14">
        <v>1.0</v>
      </c>
      <c r="D411" s="14" t="s">
        <v>9</v>
      </c>
      <c r="E411" s="14">
        <v>0.4932</v>
      </c>
      <c r="F411" s="14">
        <v>7.1551</v>
      </c>
      <c r="G411" s="14">
        <v>20.7722</v>
      </c>
      <c r="H411" s="14">
        <v>0.9964</v>
      </c>
      <c r="I411" s="14">
        <v>0.2084</v>
      </c>
      <c r="J411" s="14">
        <v>0.2213</v>
      </c>
      <c r="K411" s="14">
        <v>0.0641</v>
      </c>
      <c r="L411" s="14">
        <v>8.949</v>
      </c>
      <c r="M411" s="14" t="s">
        <v>26</v>
      </c>
    </row>
    <row r="412" ht="15.75" customHeight="1">
      <c r="A412" s="14" t="s">
        <v>603</v>
      </c>
      <c r="B412" s="14" t="s">
        <v>1941</v>
      </c>
      <c r="C412" s="14">
        <v>1.0</v>
      </c>
      <c r="D412" s="14" t="s">
        <v>9</v>
      </c>
      <c r="E412" s="14">
        <v>0.5015</v>
      </c>
      <c r="F412" s="14">
        <v>7.1517</v>
      </c>
      <c r="G412" s="14">
        <v>20.6179</v>
      </c>
      <c r="H412" s="14">
        <v>0.9964</v>
      </c>
      <c r="I412" s="14">
        <v>0.2114</v>
      </c>
      <c r="J412" s="14">
        <v>0.2253</v>
      </c>
      <c r="K412" s="14">
        <v>0.0669</v>
      </c>
      <c r="L412" s="14">
        <v>8.9143</v>
      </c>
      <c r="M412" s="14" t="s">
        <v>26</v>
      </c>
    </row>
    <row r="413" ht="15.75" customHeight="1">
      <c r="A413" s="14" t="s">
        <v>894</v>
      </c>
      <c r="B413" s="14" t="s">
        <v>1945</v>
      </c>
      <c r="C413" s="14">
        <v>1.0</v>
      </c>
      <c r="D413" s="14" t="s">
        <v>9</v>
      </c>
      <c r="E413" s="14">
        <v>0.6833</v>
      </c>
      <c r="F413" s="14">
        <v>7.1517</v>
      </c>
      <c r="G413" s="14">
        <v>13.8363</v>
      </c>
      <c r="H413" s="14">
        <v>0.9721</v>
      </c>
      <c r="I413" s="14">
        <v>0.4694</v>
      </c>
      <c r="J413" s="14">
        <v>0.3051</v>
      </c>
      <c r="K413" s="14">
        <v>0.1332</v>
      </c>
      <c r="L413" s="14">
        <v>9.0367</v>
      </c>
      <c r="M413" s="14" t="s">
        <v>26</v>
      </c>
    </row>
    <row r="414" ht="15.75" customHeight="1">
      <c r="A414" s="14" t="s">
        <v>180</v>
      </c>
      <c r="B414" s="14" t="s">
        <v>1948</v>
      </c>
      <c r="C414" s="14">
        <v>1.0</v>
      </c>
      <c r="D414" s="14" t="s">
        <v>9</v>
      </c>
      <c r="E414" s="14">
        <v>0.4383</v>
      </c>
      <c r="F414" s="14">
        <v>7.1482</v>
      </c>
      <c r="G414" s="14">
        <v>20.5225</v>
      </c>
      <c r="H414" s="14">
        <v>0.9962</v>
      </c>
      <c r="I414" s="14">
        <v>0.2133</v>
      </c>
      <c r="J414" s="14">
        <v>0.2096</v>
      </c>
      <c r="K414" s="14">
        <v>0.0586</v>
      </c>
      <c r="L414" s="14">
        <v>9.3424</v>
      </c>
      <c r="M414" s="14" t="s">
        <v>26</v>
      </c>
    </row>
    <row r="415" ht="15.75" customHeight="1">
      <c r="A415" s="14" t="s">
        <v>830</v>
      </c>
      <c r="B415" s="14" t="s">
        <v>1951</v>
      </c>
      <c r="C415" s="14">
        <v>1.0</v>
      </c>
      <c r="D415" s="14" t="s">
        <v>9</v>
      </c>
      <c r="E415" s="14">
        <v>0.4947</v>
      </c>
      <c r="F415" s="14">
        <v>7.1482</v>
      </c>
      <c r="G415" s="14">
        <v>20.5713</v>
      </c>
      <c r="H415" s="14">
        <v>0.9964</v>
      </c>
      <c r="I415" s="14">
        <v>0.2123</v>
      </c>
      <c r="J415" s="14">
        <v>0.2256</v>
      </c>
      <c r="K415" s="14">
        <v>0.0657</v>
      </c>
      <c r="L415" s="14">
        <v>8.9184</v>
      </c>
      <c r="M415" s="14" t="s">
        <v>26</v>
      </c>
    </row>
    <row r="416" ht="15.75" customHeight="1">
      <c r="A416" s="14" t="s">
        <v>1956</v>
      </c>
      <c r="B416" s="14" t="s">
        <v>1957</v>
      </c>
      <c r="C416" s="14">
        <v>1.0</v>
      </c>
      <c r="D416" s="14" t="s">
        <v>9</v>
      </c>
      <c r="E416" s="14">
        <v>0.5418</v>
      </c>
      <c r="F416" s="14">
        <v>7.1378</v>
      </c>
      <c r="G416" s="14">
        <v>20.7234</v>
      </c>
      <c r="H416" s="14">
        <v>0.9962</v>
      </c>
      <c r="I416" s="14">
        <v>0.2089</v>
      </c>
      <c r="J416" s="14">
        <v>0.2154</v>
      </c>
      <c r="K416" s="14">
        <v>0.0724</v>
      </c>
      <c r="L416" s="14">
        <v>9.4001</v>
      </c>
      <c r="M416" s="14" t="s">
        <v>26</v>
      </c>
    </row>
    <row r="417" ht="15.75" customHeight="1">
      <c r="A417" s="14" t="s">
        <v>637</v>
      </c>
      <c r="B417" s="14" t="s">
        <v>1960</v>
      </c>
      <c r="C417" s="14">
        <v>1.0</v>
      </c>
      <c r="D417" s="14" t="s">
        <v>9</v>
      </c>
      <c r="E417" s="14">
        <v>0.4767</v>
      </c>
      <c r="F417" s="14">
        <v>7.1344</v>
      </c>
      <c r="G417" s="14">
        <v>20.62</v>
      </c>
      <c r="H417" s="14">
        <v>0.9963</v>
      </c>
      <c r="I417" s="14">
        <v>0.2109</v>
      </c>
      <c r="J417" s="14">
        <v>0.2021</v>
      </c>
      <c r="K417" s="14">
        <v>0.0725</v>
      </c>
      <c r="L417" s="14">
        <v>9.4404</v>
      </c>
      <c r="M417" s="14" t="s">
        <v>26</v>
      </c>
    </row>
    <row r="418" ht="15.75" customHeight="1">
      <c r="A418" s="14" t="s">
        <v>117</v>
      </c>
      <c r="B418" s="14" t="s">
        <v>1963</v>
      </c>
      <c r="C418" s="14">
        <v>1.0</v>
      </c>
      <c r="D418" s="14" t="s">
        <v>9</v>
      </c>
      <c r="E418" s="14">
        <v>0.6398</v>
      </c>
      <c r="F418" s="14">
        <v>7.1309</v>
      </c>
      <c r="G418" s="14">
        <v>14.3844</v>
      </c>
      <c r="H418" s="14">
        <v>0.9742</v>
      </c>
      <c r="I418" s="14">
        <v>0.4331</v>
      </c>
      <c r="J418" s="14">
        <v>0.314</v>
      </c>
      <c r="K418" s="14">
        <v>0.1429</v>
      </c>
      <c r="L418" s="14">
        <v>8.9986</v>
      </c>
      <c r="M418" s="14" t="s">
        <v>26</v>
      </c>
    </row>
    <row r="419" ht="15.75" customHeight="1">
      <c r="A419" s="14" t="s">
        <v>112</v>
      </c>
      <c r="B419" s="14" t="s">
        <v>1966</v>
      </c>
      <c r="C419" s="14">
        <v>1.0</v>
      </c>
      <c r="D419" s="14" t="s">
        <v>9</v>
      </c>
      <c r="E419" s="14">
        <v>0.646</v>
      </c>
      <c r="F419" s="14">
        <v>7.1274</v>
      </c>
      <c r="G419" s="14">
        <v>14.017</v>
      </c>
      <c r="H419" s="14">
        <v>0.9732</v>
      </c>
      <c r="I419" s="14">
        <v>0.4559</v>
      </c>
      <c r="J419" s="14">
        <v>0.3195</v>
      </c>
      <c r="K419" s="14">
        <v>0.1465</v>
      </c>
      <c r="L419" s="14">
        <v>8.9814</v>
      </c>
      <c r="M419" s="14" t="s">
        <v>26</v>
      </c>
    </row>
    <row r="420" ht="15.75" customHeight="1">
      <c r="A420" s="14" t="s">
        <v>147</v>
      </c>
      <c r="B420" s="14" t="s">
        <v>1969</v>
      </c>
      <c r="C420" s="14">
        <v>1.0</v>
      </c>
      <c r="D420" s="14" t="s">
        <v>9</v>
      </c>
      <c r="E420" s="14">
        <v>0.6409</v>
      </c>
      <c r="F420" s="14">
        <v>7.124</v>
      </c>
      <c r="G420" s="14">
        <v>14.2869</v>
      </c>
      <c r="H420" s="14">
        <v>0.9746</v>
      </c>
      <c r="I420" s="14">
        <v>0.4386</v>
      </c>
      <c r="J420" s="14">
        <v>0.316</v>
      </c>
      <c r="K420" s="14">
        <v>0.1435</v>
      </c>
      <c r="L420" s="14">
        <v>9.0024</v>
      </c>
      <c r="M420" s="14" t="s">
        <v>26</v>
      </c>
    </row>
    <row r="421" ht="15.75" customHeight="1">
      <c r="A421" s="14" t="s">
        <v>778</v>
      </c>
      <c r="B421" s="14" t="s">
        <v>1972</v>
      </c>
      <c r="C421" s="14">
        <v>1.0</v>
      </c>
      <c r="D421" s="14" t="s">
        <v>9</v>
      </c>
      <c r="E421" s="14">
        <v>0.501</v>
      </c>
      <c r="F421" s="14">
        <v>7.1205</v>
      </c>
      <c r="G421" s="14">
        <v>20.62</v>
      </c>
      <c r="H421" s="14">
        <v>0.9963</v>
      </c>
      <c r="I421" s="14">
        <v>0.2104</v>
      </c>
      <c r="J421" s="14">
        <v>0.2334</v>
      </c>
      <c r="K421" s="14">
        <v>0.0652</v>
      </c>
      <c r="L421" s="14">
        <v>8.9818</v>
      </c>
      <c r="M421" s="14" t="s">
        <v>26</v>
      </c>
    </row>
    <row r="422" ht="15.75" customHeight="1">
      <c r="A422" s="14" t="s">
        <v>79</v>
      </c>
      <c r="B422" s="14" t="s">
        <v>1975</v>
      </c>
      <c r="C422" s="14">
        <v>1.0</v>
      </c>
      <c r="D422" s="14" t="s">
        <v>9</v>
      </c>
      <c r="E422" s="14">
        <v>0.6413</v>
      </c>
      <c r="F422" s="14">
        <v>7.117</v>
      </c>
      <c r="G422" s="14">
        <v>14.1692</v>
      </c>
      <c r="H422" s="14">
        <v>0.9739</v>
      </c>
      <c r="I422" s="14">
        <v>0.4455</v>
      </c>
      <c r="J422" s="14">
        <v>0.3217</v>
      </c>
      <c r="K422" s="14">
        <v>0.1453</v>
      </c>
      <c r="L422" s="14">
        <v>8.9719</v>
      </c>
      <c r="M422" s="14" t="s">
        <v>26</v>
      </c>
    </row>
    <row r="423" ht="15.75" customHeight="1">
      <c r="A423" s="14" t="s">
        <v>93</v>
      </c>
      <c r="B423" s="14" t="s">
        <v>1978</v>
      </c>
      <c r="C423" s="14">
        <v>1.0</v>
      </c>
      <c r="D423" s="14" t="s">
        <v>9</v>
      </c>
      <c r="E423" s="14">
        <v>0.6375</v>
      </c>
      <c r="F423" s="14">
        <v>7.1136</v>
      </c>
      <c r="G423" s="14">
        <v>14.2037</v>
      </c>
      <c r="H423" s="14">
        <v>0.9747</v>
      </c>
      <c r="I423" s="14">
        <v>0.4431</v>
      </c>
      <c r="J423" s="14">
        <v>0.317</v>
      </c>
      <c r="K423" s="14">
        <v>0.1443</v>
      </c>
      <c r="L423" s="14">
        <v>8.9895</v>
      </c>
      <c r="M423" s="14" t="s">
        <v>26</v>
      </c>
    </row>
    <row r="424" ht="15.75" customHeight="1">
      <c r="A424" s="14" t="s">
        <v>145</v>
      </c>
      <c r="B424" s="14" t="s">
        <v>1981</v>
      </c>
      <c r="C424" s="14">
        <v>1.0</v>
      </c>
      <c r="D424" s="14" t="s">
        <v>9</v>
      </c>
      <c r="E424" s="14">
        <v>0.4352</v>
      </c>
      <c r="F424" s="14">
        <v>7.1101</v>
      </c>
      <c r="G424" s="14">
        <v>20.2871</v>
      </c>
      <c r="H424" s="14">
        <v>0.9962</v>
      </c>
      <c r="I424" s="14">
        <v>0.2171</v>
      </c>
      <c r="J424" s="14">
        <v>0.2061</v>
      </c>
      <c r="K424" s="14">
        <v>0.0567</v>
      </c>
      <c r="L424" s="14">
        <v>9.3767</v>
      </c>
      <c r="M424" s="14" t="s">
        <v>26</v>
      </c>
    </row>
    <row r="425" ht="15.75" customHeight="1">
      <c r="A425" s="14" t="s">
        <v>507</v>
      </c>
      <c r="B425" s="14" t="s">
        <v>1985</v>
      </c>
      <c r="C425" s="14">
        <v>1.0</v>
      </c>
      <c r="D425" s="14" t="s">
        <v>9</v>
      </c>
      <c r="E425" s="14">
        <v>0.472</v>
      </c>
      <c r="F425" s="14">
        <v>7.1101</v>
      </c>
      <c r="G425" s="14">
        <v>20.488</v>
      </c>
      <c r="H425" s="14">
        <v>0.9962</v>
      </c>
      <c r="I425" s="14">
        <v>0.2129</v>
      </c>
      <c r="J425" s="14">
        <v>0.2005</v>
      </c>
      <c r="K425" s="14">
        <v>0.068</v>
      </c>
      <c r="L425" s="14">
        <v>9.4624</v>
      </c>
      <c r="M425" s="14" t="s">
        <v>26</v>
      </c>
    </row>
    <row r="426" ht="15.75" customHeight="1">
      <c r="A426" s="14" t="s">
        <v>137</v>
      </c>
      <c r="B426" s="14" t="s">
        <v>1988</v>
      </c>
      <c r="C426" s="14">
        <v>1.0</v>
      </c>
      <c r="D426" s="14" t="s">
        <v>9</v>
      </c>
      <c r="E426" s="14">
        <v>0.6377</v>
      </c>
      <c r="F426" s="14">
        <v>7.1067</v>
      </c>
      <c r="G426" s="14">
        <v>14.218</v>
      </c>
      <c r="H426" s="14">
        <v>0.9743</v>
      </c>
      <c r="I426" s="14">
        <v>0.4418</v>
      </c>
      <c r="J426" s="14">
        <v>0.3212</v>
      </c>
      <c r="K426" s="14">
        <v>0.1456</v>
      </c>
      <c r="L426" s="14">
        <v>8.951</v>
      </c>
      <c r="M426" s="14" t="s">
        <v>26</v>
      </c>
    </row>
    <row r="427" ht="15.75" customHeight="1">
      <c r="A427" s="14" t="s">
        <v>687</v>
      </c>
      <c r="B427" s="14" t="s">
        <v>1991</v>
      </c>
      <c r="C427" s="14">
        <v>1.0</v>
      </c>
      <c r="D427" s="14" t="s">
        <v>9</v>
      </c>
      <c r="E427" s="14">
        <v>0.4676</v>
      </c>
      <c r="F427" s="14">
        <v>7.1067</v>
      </c>
      <c r="G427" s="14">
        <v>20.62</v>
      </c>
      <c r="H427" s="14">
        <v>0.9962</v>
      </c>
      <c r="I427" s="14">
        <v>0.21</v>
      </c>
      <c r="J427" s="14">
        <v>0.2101</v>
      </c>
      <c r="K427" s="14">
        <v>0.0751</v>
      </c>
      <c r="L427" s="14">
        <v>9.4032</v>
      </c>
      <c r="M427" s="14" t="s">
        <v>26</v>
      </c>
    </row>
    <row r="428" ht="15.75" customHeight="1">
      <c r="A428" s="14" t="s">
        <v>132</v>
      </c>
      <c r="B428" s="14" t="s">
        <v>1993</v>
      </c>
      <c r="C428" s="14">
        <v>1.0</v>
      </c>
      <c r="D428" s="14" t="s">
        <v>9</v>
      </c>
      <c r="E428" s="14">
        <v>0.644</v>
      </c>
      <c r="F428" s="14">
        <v>7.0997</v>
      </c>
      <c r="G428" s="14">
        <v>14.1692</v>
      </c>
      <c r="H428" s="14">
        <v>0.9743</v>
      </c>
      <c r="I428" s="14">
        <v>0.4444</v>
      </c>
      <c r="J428" s="14">
        <v>0.324</v>
      </c>
      <c r="K428" s="14">
        <v>0.1468</v>
      </c>
      <c r="L428" s="14">
        <v>8.9561</v>
      </c>
      <c r="M428" s="14" t="s">
        <v>26</v>
      </c>
    </row>
    <row r="429" ht="15.75" customHeight="1">
      <c r="A429" s="14" t="s">
        <v>1996</v>
      </c>
      <c r="B429" s="14" t="s">
        <v>1997</v>
      </c>
      <c r="C429" s="14">
        <v>1.0</v>
      </c>
      <c r="D429" s="14" t="s">
        <v>9</v>
      </c>
      <c r="E429" s="14">
        <v>0.5466</v>
      </c>
      <c r="F429" s="14">
        <v>7.0893</v>
      </c>
      <c r="G429" s="14">
        <v>20.8756</v>
      </c>
      <c r="H429" s="14">
        <v>0.9964</v>
      </c>
      <c r="I429" s="14">
        <v>0.2044</v>
      </c>
      <c r="J429" s="14">
        <v>0.2368</v>
      </c>
      <c r="K429" s="14">
        <v>0.0868</v>
      </c>
      <c r="L429" s="14">
        <v>9.3105</v>
      </c>
      <c r="M429" s="14" t="s">
        <v>26</v>
      </c>
    </row>
    <row r="430" ht="15.75" customHeight="1">
      <c r="A430" s="14" t="s">
        <v>1886</v>
      </c>
      <c r="B430" s="14" t="s">
        <v>2000</v>
      </c>
      <c r="C430" s="14">
        <v>1.0</v>
      </c>
      <c r="D430" s="14" t="s">
        <v>9</v>
      </c>
      <c r="E430" s="14">
        <v>0.4224</v>
      </c>
      <c r="F430" s="14">
        <v>7.0893</v>
      </c>
      <c r="G430" s="14">
        <v>19.9828</v>
      </c>
      <c r="H430" s="14">
        <v>0.9958</v>
      </c>
      <c r="I430" s="14">
        <v>0.2231</v>
      </c>
      <c r="J430" s="14">
        <v>0.2539</v>
      </c>
      <c r="K430" s="14">
        <v>0.0634</v>
      </c>
      <c r="L430" s="14">
        <v>9.1575</v>
      </c>
      <c r="M430" s="14" t="s">
        <v>26</v>
      </c>
    </row>
    <row r="431" ht="15.75" customHeight="1">
      <c r="A431" s="14" t="s">
        <v>35</v>
      </c>
      <c r="B431" s="14" t="s">
        <v>2003</v>
      </c>
      <c r="C431" s="14">
        <v>1.0</v>
      </c>
      <c r="D431" s="14" t="s">
        <v>9</v>
      </c>
      <c r="E431" s="14">
        <v>0.6453</v>
      </c>
      <c r="F431" s="14">
        <v>7.0859</v>
      </c>
      <c r="G431" s="14">
        <v>14.3478</v>
      </c>
      <c r="H431" s="14">
        <v>0.9744</v>
      </c>
      <c r="I431" s="14">
        <v>0.4325</v>
      </c>
      <c r="J431" s="14">
        <v>0.3203</v>
      </c>
      <c r="K431" s="14">
        <v>0.1463</v>
      </c>
      <c r="L431" s="14">
        <v>8.9673</v>
      </c>
      <c r="M431" s="14" t="s">
        <v>26</v>
      </c>
    </row>
    <row r="432" ht="15.75" customHeight="1">
      <c r="A432" s="14" t="s">
        <v>2007</v>
      </c>
      <c r="B432" s="14" t="s">
        <v>2008</v>
      </c>
      <c r="C432" s="14">
        <v>1.0</v>
      </c>
      <c r="D432" s="14" t="s">
        <v>9</v>
      </c>
      <c r="E432" s="14">
        <v>0.5505</v>
      </c>
      <c r="F432" s="14">
        <v>7.0824</v>
      </c>
      <c r="G432" s="14">
        <v>20.9101</v>
      </c>
      <c r="H432" s="14">
        <v>0.9964</v>
      </c>
      <c r="I432" s="14">
        <v>0.2036</v>
      </c>
      <c r="J432" s="14">
        <v>0.2421</v>
      </c>
      <c r="K432" s="14">
        <v>0.0868</v>
      </c>
      <c r="L432" s="14">
        <v>9.3086</v>
      </c>
      <c r="M432" s="14" t="s">
        <v>26</v>
      </c>
    </row>
    <row r="433" ht="15.75" customHeight="1">
      <c r="A433" s="14" t="s">
        <v>167</v>
      </c>
      <c r="B433" s="14" t="s">
        <v>2011</v>
      </c>
      <c r="C433" s="14">
        <v>1.0</v>
      </c>
      <c r="D433" s="14" t="s">
        <v>9</v>
      </c>
      <c r="E433" s="14">
        <v>0.6528</v>
      </c>
      <c r="F433" s="14">
        <v>7.0789</v>
      </c>
      <c r="G433" s="14">
        <v>14.0229</v>
      </c>
      <c r="H433" s="14">
        <v>0.9768</v>
      </c>
      <c r="I433" s="14">
        <v>0.4524</v>
      </c>
      <c r="J433" s="14">
        <v>0.2962</v>
      </c>
      <c r="K433" s="14">
        <v>0.0925</v>
      </c>
      <c r="L433" s="14">
        <v>9.2136</v>
      </c>
      <c r="M433" s="14" t="s">
        <v>26</v>
      </c>
    </row>
    <row r="434" ht="15.75" customHeight="1">
      <c r="A434" s="14" t="s">
        <v>432</v>
      </c>
      <c r="B434" s="14" t="s">
        <v>2013</v>
      </c>
      <c r="C434" s="14">
        <v>1.0</v>
      </c>
      <c r="D434" s="14" t="s">
        <v>9</v>
      </c>
      <c r="E434" s="14">
        <v>0.6595</v>
      </c>
      <c r="F434" s="14">
        <v>7.0616</v>
      </c>
      <c r="G434" s="14">
        <v>13.8363</v>
      </c>
      <c r="H434" s="14">
        <v>0.9728</v>
      </c>
      <c r="I434" s="14">
        <v>0.4635</v>
      </c>
      <c r="J434" s="14">
        <v>0.3388</v>
      </c>
      <c r="K434" s="14">
        <v>0.1438</v>
      </c>
      <c r="L434" s="14">
        <v>8.8835</v>
      </c>
      <c r="M434" s="14" t="s">
        <v>26</v>
      </c>
    </row>
    <row r="435" ht="15.75" customHeight="1">
      <c r="A435" s="14" t="s">
        <v>1905</v>
      </c>
      <c r="B435" s="14" t="s">
        <v>2016</v>
      </c>
      <c r="C435" s="14">
        <v>1.0</v>
      </c>
      <c r="D435" s="14" t="s">
        <v>9</v>
      </c>
      <c r="E435" s="14">
        <v>0.6391</v>
      </c>
      <c r="F435" s="14">
        <v>7.0582</v>
      </c>
      <c r="G435" s="14">
        <v>14.1835</v>
      </c>
      <c r="H435" s="14">
        <v>0.9743</v>
      </c>
      <c r="I435" s="14">
        <v>0.4409</v>
      </c>
      <c r="J435" s="14">
        <v>0.3227</v>
      </c>
      <c r="K435" s="14">
        <v>0.1494</v>
      </c>
      <c r="L435" s="14">
        <v>8.9553</v>
      </c>
      <c r="M435" s="14" t="s">
        <v>26</v>
      </c>
    </row>
    <row r="436" ht="15.75" customHeight="1">
      <c r="A436" s="14" t="s">
        <v>1465</v>
      </c>
      <c r="B436" s="14" t="s">
        <v>2018</v>
      </c>
      <c r="C436" s="14">
        <v>1.0</v>
      </c>
      <c r="D436" s="14" t="s">
        <v>9</v>
      </c>
      <c r="E436" s="14">
        <v>0.6489</v>
      </c>
      <c r="F436" s="14">
        <v>7.0582</v>
      </c>
      <c r="G436" s="14">
        <v>14.218</v>
      </c>
      <c r="H436" s="14">
        <v>0.9747</v>
      </c>
      <c r="I436" s="14">
        <v>0.4388</v>
      </c>
      <c r="J436" s="14">
        <v>0.3231</v>
      </c>
      <c r="K436" s="14">
        <v>0.1495</v>
      </c>
      <c r="L436" s="14">
        <v>8.9568</v>
      </c>
      <c r="M436" s="14" t="s">
        <v>26</v>
      </c>
    </row>
    <row r="437" ht="15.75" customHeight="1">
      <c r="A437" s="14" t="s">
        <v>84</v>
      </c>
      <c r="B437" s="14" t="s">
        <v>2021</v>
      </c>
      <c r="C437" s="14">
        <v>1.0</v>
      </c>
      <c r="D437" s="14" t="s">
        <v>9</v>
      </c>
      <c r="E437" s="14">
        <v>0.6379</v>
      </c>
      <c r="F437" s="14">
        <v>7.0547</v>
      </c>
      <c r="G437" s="14">
        <v>14.218</v>
      </c>
      <c r="H437" s="14">
        <v>0.9741</v>
      </c>
      <c r="I437" s="14">
        <v>0.4385</v>
      </c>
      <c r="J437" s="14">
        <v>0.3221</v>
      </c>
      <c r="K437" s="14">
        <v>0.1506</v>
      </c>
      <c r="L437" s="14">
        <v>8.9514</v>
      </c>
      <c r="M437" s="14" t="s">
        <v>26</v>
      </c>
    </row>
    <row r="438" ht="15.75" customHeight="1">
      <c r="A438" s="14" t="s">
        <v>2024</v>
      </c>
      <c r="B438" s="14" t="s">
        <v>2025</v>
      </c>
      <c r="C438" s="14">
        <v>1.0</v>
      </c>
      <c r="D438" s="14" t="s">
        <v>9</v>
      </c>
      <c r="E438" s="14">
        <v>0.5495</v>
      </c>
      <c r="F438" s="14">
        <v>7.0512</v>
      </c>
      <c r="G438" s="14">
        <v>21.0765</v>
      </c>
      <c r="H438" s="14">
        <v>0.9964</v>
      </c>
      <c r="I438" s="14">
        <v>0.1995</v>
      </c>
      <c r="J438" s="14">
        <v>0.2436</v>
      </c>
      <c r="K438" s="14">
        <v>0.088</v>
      </c>
      <c r="L438" s="14">
        <v>9.2787</v>
      </c>
      <c r="M438" s="14" t="s">
        <v>26</v>
      </c>
    </row>
    <row r="439" ht="15.75" customHeight="1">
      <c r="A439" s="14" t="s">
        <v>2027</v>
      </c>
      <c r="B439" s="14" t="s">
        <v>2029</v>
      </c>
      <c r="C439" s="14">
        <v>1.0</v>
      </c>
      <c r="D439" s="14" t="s">
        <v>9</v>
      </c>
      <c r="E439" s="14">
        <v>0.443</v>
      </c>
      <c r="F439" s="14">
        <v>7.0512</v>
      </c>
      <c r="G439" s="14">
        <v>20.2384</v>
      </c>
      <c r="H439" s="14">
        <v>0.9962</v>
      </c>
      <c r="I439" s="14">
        <v>0.2163</v>
      </c>
      <c r="J439" s="14">
        <v>0.2141</v>
      </c>
      <c r="K439" s="14">
        <v>0.0571</v>
      </c>
      <c r="L439" s="14">
        <v>9.3523</v>
      </c>
      <c r="M439" s="14" t="s">
        <v>26</v>
      </c>
    </row>
    <row r="440" ht="15.75" customHeight="1">
      <c r="A440" s="14" t="s">
        <v>172</v>
      </c>
      <c r="B440" s="14" t="s">
        <v>2032</v>
      </c>
      <c r="C440" s="14">
        <v>1.0</v>
      </c>
      <c r="D440" s="14" t="s">
        <v>9</v>
      </c>
      <c r="E440" s="14">
        <v>0.6437</v>
      </c>
      <c r="F440" s="14">
        <v>7.0512</v>
      </c>
      <c r="G440" s="14">
        <v>14.1347</v>
      </c>
      <c r="H440" s="14">
        <v>0.9737</v>
      </c>
      <c r="I440" s="14">
        <v>0.4435</v>
      </c>
      <c r="J440" s="14">
        <v>0.3246</v>
      </c>
      <c r="K440" s="14">
        <v>0.1509</v>
      </c>
      <c r="L440" s="14">
        <v>8.9252</v>
      </c>
      <c r="M440" s="14" t="s">
        <v>26</v>
      </c>
    </row>
    <row r="441" ht="15.75" customHeight="1">
      <c r="A441" s="14" t="s">
        <v>1942</v>
      </c>
      <c r="B441" s="14" t="s">
        <v>2034</v>
      </c>
      <c r="C441" s="14">
        <v>1.0</v>
      </c>
      <c r="D441" s="14" t="s">
        <v>9</v>
      </c>
      <c r="E441" s="14">
        <v>0.6352</v>
      </c>
      <c r="F441" s="14">
        <v>7.0512</v>
      </c>
      <c r="G441" s="14">
        <v>14.2524</v>
      </c>
      <c r="H441" s="14">
        <v>0.9749</v>
      </c>
      <c r="I441" s="14">
        <v>0.4362</v>
      </c>
      <c r="J441" s="14">
        <v>0.3283</v>
      </c>
      <c r="K441" s="14">
        <v>0.1507</v>
      </c>
      <c r="L441" s="14">
        <v>8.8986</v>
      </c>
      <c r="M441" s="14" t="s">
        <v>26</v>
      </c>
    </row>
    <row r="442" ht="15.75" customHeight="1">
      <c r="A442" s="14" t="s">
        <v>2037</v>
      </c>
      <c r="B442" s="14" t="s">
        <v>2038</v>
      </c>
      <c r="C442" s="14">
        <v>1.0</v>
      </c>
      <c r="D442" s="14" t="s">
        <v>9</v>
      </c>
      <c r="E442" s="14">
        <v>0.4492</v>
      </c>
      <c r="F442" s="14">
        <v>7.0478</v>
      </c>
      <c r="G442" s="14">
        <v>20.2384</v>
      </c>
      <c r="H442" s="14">
        <v>0.9962</v>
      </c>
      <c r="I442" s="14">
        <v>0.2162</v>
      </c>
      <c r="J442" s="14">
        <v>0.2087</v>
      </c>
      <c r="K442" s="14">
        <v>0.0575</v>
      </c>
      <c r="L442" s="14">
        <v>9.3575</v>
      </c>
      <c r="M442" s="14" t="s">
        <v>26</v>
      </c>
    </row>
    <row r="443" ht="15.75" customHeight="1">
      <c r="A443" s="14" t="s">
        <v>246</v>
      </c>
      <c r="B443" s="14" t="s">
        <v>2041</v>
      </c>
      <c r="C443" s="14">
        <v>1.0</v>
      </c>
      <c r="D443" s="14" t="s">
        <v>9</v>
      </c>
      <c r="E443" s="14">
        <v>0.4775</v>
      </c>
      <c r="F443" s="14">
        <v>7.0443</v>
      </c>
      <c r="G443" s="14">
        <v>19.1303</v>
      </c>
      <c r="H443" s="14">
        <v>0.9956</v>
      </c>
      <c r="I443" s="14">
        <v>0.2419</v>
      </c>
      <c r="J443" s="14">
        <v>0.3415</v>
      </c>
      <c r="K443" s="14">
        <v>0.0657</v>
      </c>
      <c r="L443" s="14">
        <v>8.5269</v>
      </c>
      <c r="M443" s="14" t="s">
        <v>26</v>
      </c>
    </row>
    <row r="444" ht="15.75" customHeight="1">
      <c r="A444" s="14" t="s">
        <v>2042</v>
      </c>
      <c r="B444" s="14" t="s">
        <v>2043</v>
      </c>
      <c r="C444" s="14">
        <v>1.0</v>
      </c>
      <c r="D444" s="14" t="s">
        <v>9</v>
      </c>
      <c r="E444" s="14">
        <v>0.5474</v>
      </c>
      <c r="F444" s="14">
        <v>7.0409</v>
      </c>
      <c r="G444" s="14">
        <v>20.6747</v>
      </c>
      <c r="H444" s="14">
        <v>0.9963</v>
      </c>
      <c r="I444" s="14">
        <v>0.207</v>
      </c>
      <c r="J444" s="14">
        <v>0.2421</v>
      </c>
      <c r="K444" s="14">
        <v>0.084</v>
      </c>
      <c r="L444" s="14">
        <v>9.2783</v>
      </c>
      <c r="M444" s="14" t="s">
        <v>26</v>
      </c>
    </row>
    <row r="445" ht="15.75" customHeight="1">
      <c r="A445" s="14" t="s">
        <v>1782</v>
      </c>
      <c r="B445" s="14" t="s">
        <v>2046</v>
      </c>
      <c r="C445" s="14">
        <v>1.0</v>
      </c>
      <c r="D445" s="14" t="s">
        <v>9</v>
      </c>
      <c r="E445" s="14">
        <v>0.6385</v>
      </c>
      <c r="F445" s="14">
        <v>7.0409</v>
      </c>
      <c r="G445" s="14">
        <v>14.3458</v>
      </c>
      <c r="H445" s="14">
        <v>0.9746</v>
      </c>
      <c r="I445" s="14">
        <v>0.4299</v>
      </c>
      <c r="J445" s="14">
        <v>0.3242</v>
      </c>
      <c r="K445" s="14">
        <v>0.1521</v>
      </c>
      <c r="L445" s="14">
        <v>8.9197</v>
      </c>
      <c r="M445" s="14" t="s">
        <v>26</v>
      </c>
    </row>
    <row r="446" ht="15.75" customHeight="1">
      <c r="A446" s="14" t="s">
        <v>142</v>
      </c>
      <c r="B446" s="14" t="s">
        <v>2049</v>
      </c>
      <c r="C446" s="14">
        <v>1.0</v>
      </c>
      <c r="D446" s="14" t="s">
        <v>9</v>
      </c>
      <c r="E446" s="14">
        <v>0.6375</v>
      </c>
      <c r="F446" s="14">
        <v>7.0305</v>
      </c>
      <c r="G446" s="14">
        <v>14.5853</v>
      </c>
      <c r="H446" s="14">
        <v>0.9753</v>
      </c>
      <c r="I446" s="14">
        <v>0.4153</v>
      </c>
      <c r="J446" s="14">
        <v>0.3202</v>
      </c>
      <c r="K446" s="14">
        <v>0.1511</v>
      </c>
      <c r="L446" s="14">
        <v>8.9739</v>
      </c>
      <c r="M446" s="14" t="s">
        <v>26</v>
      </c>
    </row>
    <row r="447" ht="15.75" customHeight="1">
      <c r="A447" s="14" t="s">
        <v>2052</v>
      </c>
      <c r="B447" s="14" t="s">
        <v>2053</v>
      </c>
      <c r="C447" s="14">
        <v>1.0</v>
      </c>
      <c r="D447" s="14" t="s">
        <v>9</v>
      </c>
      <c r="E447" s="14">
        <v>0.4947</v>
      </c>
      <c r="F447" s="14">
        <v>7.0305</v>
      </c>
      <c r="G447" s="14">
        <v>20.3561</v>
      </c>
      <c r="H447" s="14">
        <v>0.9963</v>
      </c>
      <c r="I447" s="14">
        <v>0.2132</v>
      </c>
      <c r="J447" s="14">
        <v>0.2912</v>
      </c>
      <c r="K447" s="14">
        <v>0.0771</v>
      </c>
      <c r="L447" s="14">
        <v>8.9791</v>
      </c>
      <c r="M447" s="14" t="s">
        <v>26</v>
      </c>
    </row>
    <row r="448" ht="15.75" customHeight="1">
      <c r="A448" s="14" t="s">
        <v>690</v>
      </c>
      <c r="B448" s="14" t="s">
        <v>2056</v>
      </c>
      <c r="C448" s="14">
        <v>1.0</v>
      </c>
      <c r="D448" s="14" t="s">
        <v>9</v>
      </c>
      <c r="E448" s="14">
        <v>0.4949</v>
      </c>
      <c r="F448" s="14">
        <v>7.0235</v>
      </c>
      <c r="G448" s="14">
        <v>20.1349</v>
      </c>
      <c r="H448" s="14">
        <v>0.9961</v>
      </c>
      <c r="I448" s="14">
        <v>0.2177</v>
      </c>
      <c r="J448" s="14">
        <v>0.2853</v>
      </c>
      <c r="K448" s="14">
        <v>0.0604</v>
      </c>
      <c r="L448" s="14">
        <v>8.9694</v>
      </c>
      <c r="M448" s="14" t="s">
        <v>26</v>
      </c>
    </row>
    <row r="449" ht="15.75" customHeight="1">
      <c r="A449" s="14" t="s">
        <v>536</v>
      </c>
      <c r="B449" s="14" t="s">
        <v>2059</v>
      </c>
      <c r="C449" s="14">
        <v>1.0</v>
      </c>
      <c r="D449" s="14" t="s">
        <v>9</v>
      </c>
      <c r="E449" s="14">
        <v>0.6503</v>
      </c>
      <c r="F449" s="14">
        <v>7.0201</v>
      </c>
      <c r="G449" s="14">
        <v>13.9683</v>
      </c>
      <c r="H449" s="14">
        <v>0.9726</v>
      </c>
      <c r="I449" s="14">
        <v>0.4521</v>
      </c>
      <c r="J449" s="14">
        <v>0.3355</v>
      </c>
      <c r="K449" s="14">
        <v>0.1464</v>
      </c>
      <c r="L449" s="14">
        <v>8.8768</v>
      </c>
      <c r="M449" s="14" t="s">
        <v>26</v>
      </c>
    </row>
    <row r="450" ht="15.75" customHeight="1">
      <c r="A450" s="14" t="s">
        <v>126</v>
      </c>
      <c r="B450" s="14" t="s">
        <v>2062</v>
      </c>
      <c r="C450" s="14">
        <v>1.0</v>
      </c>
      <c r="D450" s="14" t="s">
        <v>9</v>
      </c>
      <c r="E450" s="14">
        <v>0.6488</v>
      </c>
      <c r="F450" s="14">
        <v>7.0166</v>
      </c>
      <c r="G450" s="14">
        <v>14.1713</v>
      </c>
      <c r="H450" s="14">
        <v>0.9745</v>
      </c>
      <c r="I450" s="14">
        <v>0.4391</v>
      </c>
      <c r="J450" s="14">
        <v>0.327</v>
      </c>
      <c r="K450" s="14">
        <v>0.1542</v>
      </c>
      <c r="L450" s="14">
        <v>8.9092</v>
      </c>
      <c r="M450" s="14" t="s">
        <v>26</v>
      </c>
    </row>
    <row r="451" ht="15.75" customHeight="1">
      <c r="A451" s="14" t="s">
        <v>2065</v>
      </c>
      <c r="B451" s="14" t="s">
        <v>2066</v>
      </c>
      <c r="C451" s="14">
        <v>1.0</v>
      </c>
      <c r="D451" s="14" t="s">
        <v>9</v>
      </c>
      <c r="E451" s="14">
        <v>0.4411</v>
      </c>
      <c r="F451" s="14">
        <v>7.0131</v>
      </c>
      <c r="G451" s="14">
        <v>20.1795</v>
      </c>
      <c r="H451" s="14">
        <v>0.9961</v>
      </c>
      <c r="I451" s="14">
        <v>0.2164</v>
      </c>
      <c r="J451" s="14">
        <v>0.3119</v>
      </c>
      <c r="K451" s="14">
        <v>0.0689</v>
      </c>
      <c r="L451" s="14">
        <v>8.8936</v>
      </c>
      <c r="M451" s="14" t="s">
        <v>26</v>
      </c>
    </row>
    <row r="452" ht="15.75" customHeight="1">
      <c r="A452" s="14" t="s">
        <v>1082</v>
      </c>
      <c r="B452" s="14" t="s">
        <v>2069</v>
      </c>
      <c r="C452" s="14">
        <v>1.0</v>
      </c>
      <c r="D452" s="14" t="s">
        <v>9</v>
      </c>
      <c r="E452" s="14">
        <v>0.4513</v>
      </c>
      <c r="F452" s="14">
        <v>7.0028</v>
      </c>
      <c r="G452" s="14">
        <v>20.1207</v>
      </c>
      <c r="H452" s="14">
        <v>0.9961</v>
      </c>
      <c r="I452" s="14">
        <v>0.2174</v>
      </c>
      <c r="J452" s="14">
        <v>0.3316</v>
      </c>
      <c r="K452" s="14">
        <v>0.0727</v>
      </c>
      <c r="L452" s="14">
        <v>8.646</v>
      </c>
      <c r="M452" s="14" t="s">
        <v>26</v>
      </c>
    </row>
    <row r="453" ht="15.75" customHeight="1">
      <c r="A453" s="14" t="s">
        <v>2071</v>
      </c>
      <c r="B453" s="14" t="s">
        <v>2072</v>
      </c>
      <c r="C453" s="14">
        <v>1.0</v>
      </c>
      <c r="D453" s="14" t="s">
        <v>9</v>
      </c>
      <c r="E453" s="14">
        <v>0.5483</v>
      </c>
      <c r="F453" s="14">
        <v>7.0028</v>
      </c>
      <c r="G453" s="14">
        <v>20.557</v>
      </c>
      <c r="H453" s="14">
        <v>0.9962</v>
      </c>
      <c r="I453" s="14">
        <v>0.2082</v>
      </c>
      <c r="J453" s="14">
        <v>0.2307</v>
      </c>
      <c r="K453" s="14">
        <v>0.0816</v>
      </c>
      <c r="L453" s="14">
        <v>9.3538</v>
      </c>
      <c r="M453" s="14" t="s">
        <v>26</v>
      </c>
    </row>
    <row r="454" ht="15.75" customHeight="1">
      <c r="A454" s="14" t="s">
        <v>293</v>
      </c>
      <c r="B454" s="14" t="s">
        <v>2075</v>
      </c>
      <c r="C454" s="14">
        <v>1.0</v>
      </c>
      <c r="D454" s="14" t="s">
        <v>9</v>
      </c>
      <c r="E454" s="14">
        <v>0.5164</v>
      </c>
      <c r="F454" s="14">
        <v>6.9993</v>
      </c>
      <c r="G454" s="14">
        <v>20.4678</v>
      </c>
      <c r="H454" s="14">
        <v>0.9963</v>
      </c>
      <c r="I454" s="14">
        <v>0.21</v>
      </c>
      <c r="J454" s="14">
        <v>0.2427</v>
      </c>
      <c r="K454" s="14">
        <v>0.0651</v>
      </c>
      <c r="L454" s="14">
        <v>9.18</v>
      </c>
      <c r="M454" s="14" t="s">
        <v>26</v>
      </c>
    </row>
    <row r="455" ht="15.75" customHeight="1">
      <c r="A455" s="14" t="s">
        <v>105</v>
      </c>
      <c r="B455" s="14" t="s">
        <v>2079</v>
      </c>
      <c r="C455" s="14">
        <v>1.0</v>
      </c>
      <c r="D455" s="14" t="s">
        <v>9</v>
      </c>
      <c r="E455" s="14">
        <v>0.4377</v>
      </c>
      <c r="F455" s="14">
        <v>6.9924</v>
      </c>
      <c r="G455" s="14">
        <v>20.2871</v>
      </c>
      <c r="H455" s="14">
        <v>0.9963</v>
      </c>
      <c r="I455" s="14">
        <v>0.2135</v>
      </c>
      <c r="J455" s="14">
        <v>0.2353</v>
      </c>
      <c r="K455" s="14">
        <v>0.0646</v>
      </c>
      <c r="L455" s="14">
        <v>9.2605</v>
      </c>
      <c r="M455" s="14" t="s">
        <v>26</v>
      </c>
    </row>
    <row r="456" ht="15.75" customHeight="1">
      <c r="A456" s="14" t="s">
        <v>338</v>
      </c>
      <c r="B456" s="14" t="s">
        <v>2082</v>
      </c>
      <c r="C456" s="14">
        <v>1.0</v>
      </c>
      <c r="D456" s="14" t="s">
        <v>9</v>
      </c>
      <c r="E456" s="14">
        <v>0.3267</v>
      </c>
      <c r="F456" s="14">
        <v>6.9681</v>
      </c>
      <c r="G456" s="14">
        <v>16.5409</v>
      </c>
      <c r="H456" s="14">
        <v>0.9921</v>
      </c>
      <c r="I456" s="14">
        <v>0.32</v>
      </c>
      <c r="J456" s="14">
        <v>0.3769</v>
      </c>
      <c r="K456" s="14">
        <v>0.0734</v>
      </c>
      <c r="L456" s="14">
        <v>8.2414</v>
      </c>
      <c r="M456" s="14" t="s">
        <v>26</v>
      </c>
    </row>
    <row r="457" ht="15.75" customHeight="1">
      <c r="A457" s="14" t="s">
        <v>590</v>
      </c>
      <c r="B457" s="14" t="s">
        <v>2084</v>
      </c>
      <c r="C457" s="14">
        <v>1.0</v>
      </c>
      <c r="D457" s="14" t="s">
        <v>9</v>
      </c>
      <c r="E457" s="14">
        <v>0.5694</v>
      </c>
      <c r="F457" s="14">
        <v>6.9681</v>
      </c>
      <c r="G457" s="14">
        <v>15.9953</v>
      </c>
      <c r="H457" s="14">
        <v>0.9889</v>
      </c>
      <c r="I457" s="14">
        <v>0.3422</v>
      </c>
      <c r="J457" s="14">
        <v>0.3291</v>
      </c>
      <c r="K457" s="14">
        <v>0.1213</v>
      </c>
      <c r="L457" s="14">
        <v>8.9209</v>
      </c>
      <c r="M457" s="14" t="s">
        <v>26</v>
      </c>
    </row>
    <row r="458" ht="15.75" customHeight="1">
      <c r="A458" s="14" t="s">
        <v>219</v>
      </c>
      <c r="B458" s="14" t="s">
        <v>2087</v>
      </c>
      <c r="C458" s="14">
        <v>1.0</v>
      </c>
      <c r="D458" s="14" t="s">
        <v>9</v>
      </c>
      <c r="E458" s="14">
        <v>0.6424</v>
      </c>
      <c r="F458" s="14">
        <v>6.9473</v>
      </c>
      <c r="G458" s="14">
        <v>14.1347</v>
      </c>
      <c r="H458" s="14">
        <v>0.975</v>
      </c>
      <c r="I458" s="14">
        <v>0.437</v>
      </c>
      <c r="J458" s="14">
        <v>0.3331</v>
      </c>
      <c r="K458" s="14">
        <v>0.1612</v>
      </c>
      <c r="L458" s="14">
        <v>8.8408</v>
      </c>
      <c r="M458" s="14" t="s">
        <v>26</v>
      </c>
    </row>
    <row r="459" ht="15.75" customHeight="1">
      <c r="A459" s="14" t="s">
        <v>282</v>
      </c>
      <c r="B459" s="14" t="s">
        <v>2090</v>
      </c>
      <c r="C459" s="14">
        <v>1.0</v>
      </c>
      <c r="D459" s="14" t="s">
        <v>9</v>
      </c>
      <c r="E459" s="14">
        <v>0.6522</v>
      </c>
      <c r="F459" s="14">
        <v>6.937</v>
      </c>
      <c r="G459" s="14">
        <v>13.9683</v>
      </c>
      <c r="H459" s="14">
        <v>0.9732</v>
      </c>
      <c r="I459" s="14">
        <v>0.4468</v>
      </c>
      <c r="J459" s="14">
        <v>0.3378</v>
      </c>
      <c r="K459" s="14">
        <v>0.1526</v>
      </c>
      <c r="L459" s="14">
        <v>8.8628</v>
      </c>
      <c r="M459" s="14" t="s">
        <v>26</v>
      </c>
    </row>
    <row r="460" ht="15.75" customHeight="1">
      <c r="A460" s="14" t="s">
        <v>2093</v>
      </c>
      <c r="B460" s="14" t="s">
        <v>2094</v>
      </c>
      <c r="C460" s="14">
        <v>1.0</v>
      </c>
      <c r="D460" s="14" t="s">
        <v>9</v>
      </c>
      <c r="E460" s="14">
        <v>0.4272</v>
      </c>
      <c r="F460" s="14">
        <v>6.9335</v>
      </c>
      <c r="G460" s="14">
        <v>20.3216</v>
      </c>
      <c r="H460" s="14">
        <v>0.9964</v>
      </c>
      <c r="I460" s="14">
        <v>0.211</v>
      </c>
      <c r="J460" s="14">
        <v>0.2297</v>
      </c>
      <c r="K460" s="14">
        <v>0.0759</v>
      </c>
      <c r="L460" s="14">
        <v>9.1997</v>
      </c>
      <c r="M460" s="14" t="s">
        <v>26</v>
      </c>
    </row>
    <row r="461" ht="15.75" customHeight="1">
      <c r="A461" s="14" t="s">
        <v>492</v>
      </c>
      <c r="B461" s="14" t="s">
        <v>2096</v>
      </c>
      <c r="C461" s="14">
        <v>1.0</v>
      </c>
      <c r="D461" s="14" t="s">
        <v>9</v>
      </c>
      <c r="E461" s="14">
        <v>0.3439</v>
      </c>
      <c r="F461" s="14">
        <v>6.9231</v>
      </c>
      <c r="G461" s="14">
        <v>19.7818</v>
      </c>
      <c r="H461" s="14">
        <v>0.996</v>
      </c>
      <c r="I461" s="14">
        <v>0.2223</v>
      </c>
      <c r="J461" s="14">
        <v>0.3331</v>
      </c>
      <c r="K461" s="14">
        <v>0.0676</v>
      </c>
      <c r="L461" s="14">
        <v>8.7744</v>
      </c>
      <c r="M461" s="14" t="s">
        <v>26</v>
      </c>
    </row>
    <row r="462" ht="15.75" customHeight="1">
      <c r="A462" s="14" t="s">
        <v>681</v>
      </c>
      <c r="B462" s="14" t="s">
        <v>2099</v>
      </c>
      <c r="C462" s="14">
        <v>1.0</v>
      </c>
      <c r="D462" s="14" t="s">
        <v>9</v>
      </c>
      <c r="E462" s="14">
        <v>0.4275</v>
      </c>
      <c r="F462" s="14">
        <v>6.9196</v>
      </c>
      <c r="G462" s="14">
        <v>19.6154</v>
      </c>
      <c r="H462" s="14">
        <v>0.9959</v>
      </c>
      <c r="I462" s="14">
        <v>0.226</v>
      </c>
      <c r="J462" s="14">
        <v>0.2485</v>
      </c>
      <c r="K462" s="14">
        <v>0.0596</v>
      </c>
      <c r="L462" s="14">
        <v>9.1664</v>
      </c>
      <c r="M462" s="14" t="s">
        <v>26</v>
      </c>
    </row>
    <row r="463" ht="15.75" customHeight="1">
      <c r="A463" s="14" t="s">
        <v>595</v>
      </c>
      <c r="B463" s="14" t="s">
        <v>2102</v>
      </c>
      <c r="C463" s="14">
        <v>1.0</v>
      </c>
      <c r="D463" s="14" t="s">
        <v>9</v>
      </c>
      <c r="E463" s="14">
        <v>0.6693</v>
      </c>
      <c r="F463" s="14">
        <v>6.8815</v>
      </c>
      <c r="G463" s="14">
        <v>13.7043</v>
      </c>
      <c r="H463" s="14">
        <v>0.976</v>
      </c>
      <c r="I463" s="14">
        <v>0.4604</v>
      </c>
      <c r="J463" s="14">
        <v>0.2715</v>
      </c>
      <c r="K463" s="14">
        <v>0.0981</v>
      </c>
      <c r="L463" s="14">
        <v>9.3608</v>
      </c>
      <c r="M463" s="14" t="s">
        <v>26</v>
      </c>
    </row>
    <row r="464" ht="15.75" customHeight="1">
      <c r="A464" s="14" t="s">
        <v>840</v>
      </c>
      <c r="B464" s="14" t="s">
        <v>2105</v>
      </c>
      <c r="C464" s="14">
        <v>1.0</v>
      </c>
      <c r="D464" s="14" t="s">
        <v>9</v>
      </c>
      <c r="E464" s="14">
        <v>0.4849</v>
      </c>
      <c r="F464" s="14">
        <v>6.8781</v>
      </c>
      <c r="G464" s="14">
        <v>20.2871</v>
      </c>
      <c r="H464" s="14">
        <v>0.9963</v>
      </c>
      <c r="I464" s="14">
        <v>0.21</v>
      </c>
      <c r="J464" s="14">
        <v>0.2647</v>
      </c>
      <c r="K464" s="14">
        <v>0.0659</v>
      </c>
      <c r="L464" s="14">
        <v>8.8203</v>
      </c>
      <c r="M464" s="14" t="s">
        <v>26</v>
      </c>
    </row>
    <row r="465" ht="15.75" customHeight="1">
      <c r="A465" s="14" t="s">
        <v>549</v>
      </c>
      <c r="B465" s="14" t="s">
        <v>2108</v>
      </c>
      <c r="C465" s="14">
        <v>1.0</v>
      </c>
      <c r="D465" s="14" t="s">
        <v>9</v>
      </c>
      <c r="E465" s="14">
        <v>0.6862</v>
      </c>
      <c r="F465" s="14">
        <v>6.8746</v>
      </c>
      <c r="G465" s="14">
        <v>13.7043</v>
      </c>
      <c r="H465" s="14">
        <v>0.9759</v>
      </c>
      <c r="I465" s="14">
        <v>0.46</v>
      </c>
      <c r="J465" s="14">
        <v>0.2718</v>
      </c>
      <c r="K465" s="14">
        <v>0.0989</v>
      </c>
      <c r="L465" s="14">
        <v>9.3075</v>
      </c>
      <c r="M465" s="14" t="s">
        <v>26</v>
      </c>
    </row>
    <row r="466" ht="15.75" customHeight="1">
      <c r="A466" s="14" t="s">
        <v>45</v>
      </c>
      <c r="B466" s="14" t="s">
        <v>2111</v>
      </c>
      <c r="C466" s="14">
        <v>1.0</v>
      </c>
      <c r="D466" s="14" t="s">
        <v>9</v>
      </c>
      <c r="E466" s="14">
        <v>0.6843</v>
      </c>
      <c r="F466" s="14">
        <v>6.8746</v>
      </c>
      <c r="G466" s="14">
        <v>13.6698</v>
      </c>
      <c r="H466" s="14">
        <v>0.9758</v>
      </c>
      <c r="I466" s="14">
        <v>0.4623</v>
      </c>
      <c r="J466" s="14">
        <v>0.2729</v>
      </c>
      <c r="K466" s="14">
        <v>0.0985</v>
      </c>
      <c r="L466" s="14">
        <v>9.346</v>
      </c>
      <c r="M466" s="14" t="s">
        <v>26</v>
      </c>
    </row>
    <row r="467" ht="15.75" customHeight="1">
      <c r="A467" s="14" t="s">
        <v>603</v>
      </c>
      <c r="B467" s="14" t="s">
        <v>2114</v>
      </c>
      <c r="C467" s="14">
        <v>1.0</v>
      </c>
      <c r="D467" s="14" t="s">
        <v>9</v>
      </c>
      <c r="E467" s="14">
        <v>0.6814</v>
      </c>
      <c r="F467" s="14">
        <v>6.8712</v>
      </c>
      <c r="G467" s="14">
        <v>13.7388</v>
      </c>
      <c r="H467" s="14">
        <v>0.9761</v>
      </c>
      <c r="I467" s="14">
        <v>0.4574</v>
      </c>
      <c r="J467" s="14">
        <v>0.2753</v>
      </c>
      <c r="K467" s="14">
        <v>0.0988</v>
      </c>
      <c r="L467" s="14">
        <v>9.3218</v>
      </c>
      <c r="M467" s="14" t="s">
        <v>26</v>
      </c>
    </row>
    <row r="468" ht="15.75" customHeight="1">
      <c r="A468" s="14" t="s">
        <v>629</v>
      </c>
      <c r="B468" s="14" t="s">
        <v>2117</v>
      </c>
      <c r="C468" s="14">
        <v>1.0</v>
      </c>
      <c r="D468" s="14" t="s">
        <v>9</v>
      </c>
      <c r="E468" s="14">
        <v>0.6805</v>
      </c>
      <c r="F468" s="14">
        <v>6.8677</v>
      </c>
      <c r="G468" s="14">
        <v>13.6698</v>
      </c>
      <c r="H468" s="14">
        <v>0.9759</v>
      </c>
      <c r="I468" s="14">
        <v>0.4618</v>
      </c>
      <c r="J468" s="14">
        <v>0.2749</v>
      </c>
      <c r="K468" s="14">
        <v>0.0998</v>
      </c>
      <c r="L468" s="14">
        <v>9.3397</v>
      </c>
      <c r="M468" s="14" t="s">
        <v>26</v>
      </c>
    </row>
    <row r="469" ht="15.75" customHeight="1">
      <c r="A469" s="14" t="s">
        <v>631</v>
      </c>
      <c r="B469" s="14" t="s">
        <v>2121</v>
      </c>
      <c r="C469" s="14">
        <v>1.0</v>
      </c>
      <c r="D469" s="14" t="s">
        <v>9</v>
      </c>
      <c r="E469" s="14">
        <v>0.6857</v>
      </c>
      <c r="F469" s="14">
        <v>6.8677</v>
      </c>
      <c r="G469" s="14">
        <v>13.6698</v>
      </c>
      <c r="H469" s="14">
        <v>0.9758</v>
      </c>
      <c r="I469" s="14">
        <v>0.4618</v>
      </c>
      <c r="J469" s="14">
        <v>0.2769</v>
      </c>
      <c r="K469" s="14">
        <v>0.0993</v>
      </c>
      <c r="L469" s="14">
        <v>9.3134</v>
      </c>
      <c r="M469" s="14" t="s">
        <v>26</v>
      </c>
    </row>
    <row r="470" ht="15.75" customHeight="1">
      <c r="A470" s="14" t="s">
        <v>540</v>
      </c>
      <c r="B470" s="14" t="s">
        <v>2125</v>
      </c>
      <c r="C470" s="14">
        <v>1.0</v>
      </c>
      <c r="D470" s="14" t="s">
        <v>9</v>
      </c>
      <c r="E470" s="14">
        <v>0.6816</v>
      </c>
      <c r="F470" s="14">
        <v>6.8677</v>
      </c>
      <c r="G470" s="14">
        <v>13.7388</v>
      </c>
      <c r="H470" s="14">
        <v>0.976</v>
      </c>
      <c r="I470" s="14">
        <v>0.4572</v>
      </c>
      <c r="J470" s="14">
        <v>0.2736</v>
      </c>
      <c r="K470" s="14">
        <v>0.0995</v>
      </c>
      <c r="L470" s="14">
        <v>9.3313</v>
      </c>
      <c r="M470" s="14" t="s">
        <v>26</v>
      </c>
    </row>
    <row r="471" ht="15.75" customHeight="1">
      <c r="A471" s="14" t="s">
        <v>526</v>
      </c>
      <c r="B471" s="14" t="s">
        <v>2128</v>
      </c>
      <c r="C471" s="14">
        <v>1.0</v>
      </c>
      <c r="D471" s="14" t="s">
        <v>9</v>
      </c>
      <c r="E471" s="14">
        <v>0.6858</v>
      </c>
      <c r="F471" s="14">
        <v>6.8573</v>
      </c>
      <c r="G471" s="14">
        <v>13.7043</v>
      </c>
      <c r="H471" s="14">
        <v>0.9761</v>
      </c>
      <c r="I471" s="14">
        <v>0.4588</v>
      </c>
      <c r="J471" s="14">
        <v>0.2753</v>
      </c>
      <c r="K471" s="14">
        <v>0.1001</v>
      </c>
      <c r="L471" s="14">
        <v>9.3197</v>
      </c>
      <c r="M471" s="14" t="s">
        <v>26</v>
      </c>
    </row>
    <row r="472" ht="15.75" customHeight="1">
      <c r="A472" s="14" t="s">
        <v>830</v>
      </c>
      <c r="B472" s="14" t="s">
        <v>2130</v>
      </c>
      <c r="C472" s="14">
        <v>1.0</v>
      </c>
      <c r="D472" s="14" t="s">
        <v>9</v>
      </c>
      <c r="E472" s="14">
        <v>0.6871</v>
      </c>
      <c r="F472" s="14">
        <v>6.8538</v>
      </c>
      <c r="G472" s="14">
        <v>13.6698</v>
      </c>
      <c r="H472" s="14">
        <v>0.9759</v>
      </c>
      <c r="I472" s="14">
        <v>0.4609</v>
      </c>
      <c r="J472" s="14">
        <v>0.2828</v>
      </c>
      <c r="K472" s="14">
        <v>0.1012</v>
      </c>
      <c r="L472" s="14">
        <v>9.3239</v>
      </c>
      <c r="M472" s="14" t="s">
        <v>26</v>
      </c>
    </row>
    <row r="473" ht="15.75" customHeight="1">
      <c r="A473" s="14" t="s">
        <v>601</v>
      </c>
      <c r="B473" s="14" t="s">
        <v>2133</v>
      </c>
      <c r="C473" s="14">
        <v>1.0</v>
      </c>
      <c r="D473" s="14" t="s">
        <v>9</v>
      </c>
      <c r="E473" s="14">
        <v>0.6788</v>
      </c>
      <c r="F473" s="14">
        <v>6.8538</v>
      </c>
      <c r="G473" s="14">
        <v>13.7043</v>
      </c>
      <c r="H473" s="14">
        <v>0.9758</v>
      </c>
      <c r="I473" s="14">
        <v>0.4586</v>
      </c>
      <c r="J473" s="14">
        <v>0.2781</v>
      </c>
      <c r="K473" s="14">
        <v>0.1014</v>
      </c>
      <c r="L473" s="14">
        <v>9.3312</v>
      </c>
      <c r="M473" s="14" t="s">
        <v>26</v>
      </c>
    </row>
    <row r="474" ht="15.75" customHeight="1">
      <c r="A474" s="14" t="s">
        <v>634</v>
      </c>
      <c r="B474" s="14" t="s">
        <v>2137</v>
      </c>
      <c r="C474" s="14">
        <v>1.0</v>
      </c>
      <c r="D474" s="14" t="s">
        <v>9</v>
      </c>
      <c r="E474" s="14">
        <v>0.6827</v>
      </c>
      <c r="F474" s="14">
        <v>6.8504</v>
      </c>
      <c r="G474" s="14">
        <v>13.6698</v>
      </c>
      <c r="H474" s="14">
        <v>0.9758</v>
      </c>
      <c r="I474" s="14">
        <v>0.4607</v>
      </c>
      <c r="J474" s="14">
        <v>0.2745</v>
      </c>
      <c r="K474" s="14">
        <v>0.1013</v>
      </c>
      <c r="L474" s="14">
        <v>9.3105</v>
      </c>
      <c r="M474" s="14" t="s">
        <v>26</v>
      </c>
    </row>
    <row r="475" ht="15.75" customHeight="1">
      <c r="A475" s="14" t="s">
        <v>381</v>
      </c>
      <c r="B475" s="14" t="s">
        <v>2140</v>
      </c>
      <c r="C475" s="14">
        <v>1.0</v>
      </c>
      <c r="D475" s="14" t="s">
        <v>9</v>
      </c>
      <c r="E475" s="14">
        <v>0.676</v>
      </c>
      <c r="F475" s="14">
        <v>6.8469</v>
      </c>
      <c r="G475" s="14">
        <v>13.6354</v>
      </c>
      <c r="H475" s="14">
        <v>0.9758</v>
      </c>
      <c r="I475" s="14">
        <v>0.4628</v>
      </c>
      <c r="J475" s="14">
        <v>0.2734</v>
      </c>
      <c r="K475" s="14">
        <v>0.1016</v>
      </c>
      <c r="L475" s="14">
        <v>9.3326</v>
      </c>
      <c r="M475" s="14" t="s">
        <v>26</v>
      </c>
    </row>
    <row r="476" ht="15.75" customHeight="1">
      <c r="A476" s="14" t="s">
        <v>533</v>
      </c>
      <c r="B476" s="14" t="s">
        <v>2143</v>
      </c>
      <c r="C476" s="14">
        <v>1.0</v>
      </c>
      <c r="D476" s="14" t="s">
        <v>9</v>
      </c>
      <c r="E476" s="14">
        <v>0.6796</v>
      </c>
      <c r="F476" s="14">
        <v>6.8434</v>
      </c>
      <c r="G476" s="14">
        <v>13.6698</v>
      </c>
      <c r="H476" s="14">
        <v>0.9758</v>
      </c>
      <c r="I476" s="14">
        <v>0.4602</v>
      </c>
      <c r="J476" s="14">
        <v>0.2763</v>
      </c>
      <c r="K476" s="14">
        <v>0.1019</v>
      </c>
      <c r="L476" s="14">
        <v>9.34</v>
      </c>
      <c r="M476" s="14" t="s">
        <v>26</v>
      </c>
    </row>
    <row r="477" ht="15.75" customHeight="1">
      <c r="A477" s="14" t="s">
        <v>1191</v>
      </c>
      <c r="B477" s="14" t="s">
        <v>2146</v>
      </c>
      <c r="C477" s="14">
        <v>1.0</v>
      </c>
      <c r="D477" s="14" t="s">
        <v>9</v>
      </c>
      <c r="E477" s="14">
        <v>0.4792</v>
      </c>
      <c r="F477" s="14">
        <v>6.8434</v>
      </c>
      <c r="G477" s="14">
        <v>21.111</v>
      </c>
      <c r="H477" s="14">
        <v>0.9971</v>
      </c>
      <c r="I477" s="14">
        <v>0.193</v>
      </c>
      <c r="J477" s="14">
        <v>0.2071</v>
      </c>
      <c r="K477" s="14">
        <v>0.0669</v>
      </c>
      <c r="L477" s="14">
        <v>9.312</v>
      </c>
      <c r="M477" s="14" t="s">
        <v>26</v>
      </c>
    </row>
    <row r="478" ht="15.75" customHeight="1">
      <c r="A478" s="14" t="s">
        <v>509</v>
      </c>
      <c r="B478" s="14" t="s">
        <v>2150</v>
      </c>
      <c r="C478" s="14">
        <v>1.0</v>
      </c>
      <c r="D478" s="14" t="s">
        <v>9</v>
      </c>
      <c r="E478" s="14">
        <v>0.6729</v>
      </c>
      <c r="F478" s="14">
        <v>6.8434</v>
      </c>
      <c r="G478" s="14">
        <v>13.6698</v>
      </c>
      <c r="H478" s="14">
        <v>0.9759</v>
      </c>
      <c r="I478" s="14">
        <v>0.4602</v>
      </c>
      <c r="J478" s="14">
        <v>0.2781</v>
      </c>
      <c r="K478" s="14">
        <v>0.1024</v>
      </c>
      <c r="L478" s="14">
        <v>9.2941</v>
      </c>
      <c r="M478" s="14" t="s">
        <v>26</v>
      </c>
    </row>
    <row r="479" ht="15.75" customHeight="1">
      <c r="A479" s="14" t="s">
        <v>466</v>
      </c>
      <c r="B479" s="14" t="s">
        <v>2153</v>
      </c>
      <c r="C479" s="14">
        <v>1.0</v>
      </c>
      <c r="D479" s="14" t="s">
        <v>9</v>
      </c>
      <c r="E479" s="14">
        <v>0.6848</v>
      </c>
      <c r="F479" s="14">
        <v>6.8434</v>
      </c>
      <c r="G479" s="14">
        <v>13.6354</v>
      </c>
      <c r="H479" s="14">
        <v>0.9757</v>
      </c>
      <c r="I479" s="14">
        <v>0.4625</v>
      </c>
      <c r="J479" s="14">
        <v>0.2763</v>
      </c>
      <c r="K479" s="14">
        <v>0.1019</v>
      </c>
      <c r="L479" s="14">
        <v>9.3181</v>
      </c>
      <c r="M479" s="14" t="s">
        <v>26</v>
      </c>
    </row>
    <row r="480" ht="15.75" customHeight="1">
      <c r="A480" s="14" t="s">
        <v>572</v>
      </c>
      <c r="B480" s="14" t="s">
        <v>2156</v>
      </c>
      <c r="C480" s="14">
        <v>1.0</v>
      </c>
      <c r="D480" s="14" t="s">
        <v>9</v>
      </c>
      <c r="E480" s="14">
        <v>0.6813</v>
      </c>
      <c r="F480" s="14">
        <v>6.8296</v>
      </c>
      <c r="G480" s="14">
        <v>13.6354</v>
      </c>
      <c r="H480" s="14">
        <v>0.9757</v>
      </c>
      <c r="I480" s="14">
        <v>0.4616</v>
      </c>
      <c r="J480" s="14">
        <v>0.274</v>
      </c>
      <c r="K480" s="14">
        <v>0.1036</v>
      </c>
      <c r="L480" s="14">
        <v>9.3076</v>
      </c>
      <c r="M480" s="14" t="s">
        <v>26</v>
      </c>
    </row>
    <row r="481" ht="15.75" customHeight="1">
      <c r="A481" s="14" t="s">
        <v>1340</v>
      </c>
      <c r="B481" s="14" t="s">
        <v>2159</v>
      </c>
      <c r="C481" s="14">
        <v>1.0</v>
      </c>
      <c r="D481" s="14" t="s">
        <v>9</v>
      </c>
      <c r="E481" s="14">
        <v>0.4704</v>
      </c>
      <c r="F481" s="14">
        <v>6.8157</v>
      </c>
      <c r="G481" s="14">
        <v>21.111</v>
      </c>
      <c r="H481" s="14">
        <v>0.9971</v>
      </c>
      <c r="I481" s="14">
        <v>0.1922</v>
      </c>
      <c r="J481" s="14">
        <v>0.2117</v>
      </c>
      <c r="K481" s="14">
        <v>0.0689</v>
      </c>
      <c r="L481" s="14">
        <v>9.2769</v>
      </c>
      <c r="M481" s="14" t="s">
        <v>26</v>
      </c>
    </row>
    <row r="482" ht="15.75" customHeight="1">
      <c r="A482" s="14" t="s">
        <v>840</v>
      </c>
      <c r="B482" s="14" t="s">
        <v>2162</v>
      </c>
      <c r="C482" s="14">
        <v>1.0</v>
      </c>
      <c r="D482" s="14" t="s">
        <v>9</v>
      </c>
      <c r="E482" s="14">
        <v>0.6836</v>
      </c>
      <c r="F482" s="14">
        <v>6.8088</v>
      </c>
      <c r="G482" s="14">
        <v>13.5521</v>
      </c>
      <c r="H482" s="14">
        <v>0.9749</v>
      </c>
      <c r="I482" s="14">
        <v>0.4659</v>
      </c>
      <c r="J482" s="14">
        <v>0.2632</v>
      </c>
      <c r="K482" s="14">
        <v>0.0911</v>
      </c>
      <c r="L482" s="14">
        <v>9.3868</v>
      </c>
      <c r="M482" s="14" t="s">
        <v>26</v>
      </c>
    </row>
    <row r="483" ht="15.75" customHeight="1">
      <c r="A483" s="14" t="s">
        <v>778</v>
      </c>
      <c r="B483" s="14" t="s">
        <v>2165</v>
      </c>
      <c r="C483" s="14">
        <v>1.0</v>
      </c>
      <c r="D483" s="14" t="s">
        <v>9</v>
      </c>
      <c r="E483" s="14">
        <v>0.6816</v>
      </c>
      <c r="F483" s="14">
        <v>6.7984</v>
      </c>
      <c r="G483" s="14">
        <v>13.6354</v>
      </c>
      <c r="H483" s="14">
        <v>0.9758</v>
      </c>
      <c r="I483" s="14">
        <v>0.4595</v>
      </c>
      <c r="J483" s="14">
        <v>0.2769</v>
      </c>
      <c r="K483" s="14">
        <v>0.1058</v>
      </c>
      <c r="L483" s="14">
        <v>9.2964</v>
      </c>
      <c r="M483" s="14" t="s">
        <v>26</v>
      </c>
    </row>
    <row r="484" ht="15.75" customHeight="1">
      <c r="A484" s="14" t="s">
        <v>696</v>
      </c>
      <c r="B484" s="14" t="s">
        <v>2168</v>
      </c>
      <c r="C484" s="14">
        <v>1.0</v>
      </c>
      <c r="D484" s="14" t="s">
        <v>9</v>
      </c>
      <c r="E484" s="14">
        <v>0.6766</v>
      </c>
      <c r="F484" s="14">
        <v>6.7811</v>
      </c>
      <c r="G484" s="14">
        <v>13.743</v>
      </c>
      <c r="H484" s="14">
        <v>0.9758</v>
      </c>
      <c r="I484" s="14">
        <v>0.4512</v>
      </c>
      <c r="J484" s="14">
        <v>0.2786</v>
      </c>
      <c r="K484" s="14">
        <v>0.1073</v>
      </c>
      <c r="L484" s="14">
        <v>9.28</v>
      </c>
      <c r="M484" s="14" t="s">
        <v>26</v>
      </c>
    </row>
    <row r="485" ht="15.75" customHeight="1">
      <c r="A485" s="14" t="s">
        <v>45</v>
      </c>
      <c r="B485" s="14" t="s">
        <v>2171</v>
      </c>
      <c r="C485" s="14">
        <v>1.0</v>
      </c>
      <c r="D485" s="14" t="s">
        <v>9</v>
      </c>
      <c r="E485" s="14">
        <v>0.3998</v>
      </c>
      <c r="F485" s="14">
        <v>6.7707</v>
      </c>
      <c r="G485" s="14">
        <v>19.6499</v>
      </c>
      <c r="H485" s="14">
        <v>0.9961</v>
      </c>
      <c r="I485" s="14">
        <v>0.2204</v>
      </c>
      <c r="J485" s="14">
        <v>0.306</v>
      </c>
      <c r="K485" s="14">
        <v>0.068</v>
      </c>
      <c r="L485" s="14">
        <v>8.6691</v>
      </c>
      <c r="M485" s="14" t="s">
        <v>26</v>
      </c>
    </row>
    <row r="486" ht="15.75" customHeight="1">
      <c r="A486" s="14" t="s">
        <v>368</v>
      </c>
      <c r="B486" s="14" t="s">
        <v>2174</v>
      </c>
      <c r="C486" s="14">
        <v>1.0</v>
      </c>
      <c r="D486" s="14" t="s">
        <v>9</v>
      </c>
      <c r="E486" s="14">
        <v>0.6525</v>
      </c>
      <c r="F486" s="14">
        <v>6.7673</v>
      </c>
      <c r="G486" s="14">
        <v>14.1062</v>
      </c>
      <c r="H486" s="14">
        <v>0.9784</v>
      </c>
      <c r="I486" s="14">
        <v>0.4274</v>
      </c>
      <c r="J486" s="14">
        <v>0.3257</v>
      </c>
      <c r="K486" s="14">
        <v>0.124</v>
      </c>
      <c r="L486" s="14">
        <v>8.9458</v>
      </c>
      <c r="M486" s="14" t="s">
        <v>26</v>
      </c>
    </row>
    <row r="487" ht="15.75" customHeight="1">
      <c r="A487" s="14" t="s">
        <v>585</v>
      </c>
      <c r="B487" s="14" t="s">
        <v>2177</v>
      </c>
      <c r="C487" s="14">
        <v>1.0</v>
      </c>
      <c r="D487" s="14" t="s">
        <v>9</v>
      </c>
      <c r="E487" s="14">
        <v>0.6524</v>
      </c>
      <c r="F487" s="14">
        <v>6.7638</v>
      </c>
      <c r="G487" s="14">
        <v>13.9052</v>
      </c>
      <c r="H487" s="14">
        <v>0.9776</v>
      </c>
      <c r="I487" s="14">
        <v>0.4396</v>
      </c>
      <c r="J487" s="14">
        <v>0.3268</v>
      </c>
      <c r="K487" s="14">
        <v>0.1275</v>
      </c>
      <c r="L487" s="14">
        <v>8.998</v>
      </c>
      <c r="M487" s="14" t="s">
        <v>26</v>
      </c>
    </row>
    <row r="488" ht="15.75" customHeight="1">
      <c r="A488" s="14" t="s">
        <v>1196</v>
      </c>
      <c r="B488" s="14" t="s">
        <v>2180</v>
      </c>
      <c r="C488" s="14">
        <v>1.0</v>
      </c>
      <c r="D488" s="14" t="s">
        <v>9</v>
      </c>
      <c r="E488" s="14">
        <v>0.4696</v>
      </c>
      <c r="F488" s="14">
        <v>6.7361</v>
      </c>
      <c r="G488" s="14">
        <v>21.111</v>
      </c>
      <c r="H488" s="14">
        <v>0.9972</v>
      </c>
      <c r="I488" s="14">
        <v>0.1899</v>
      </c>
      <c r="J488" s="14">
        <v>0.207</v>
      </c>
      <c r="K488" s="14">
        <v>0.0704</v>
      </c>
      <c r="L488" s="14">
        <v>9.2672</v>
      </c>
      <c r="M488" s="14" t="s">
        <v>26</v>
      </c>
    </row>
    <row r="489" ht="15.75" customHeight="1">
      <c r="A489" s="14" t="s">
        <v>1579</v>
      </c>
      <c r="B489" s="14" t="s">
        <v>2183</v>
      </c>
      <c r="C489" s="14">
        <v>1.0</v>
      </c>
      <c r="D489" s="14" t="s">
        <v>9</v>
      </c>
      <c r="E489" s="14">
        <v>0.4744</v>
      </c>
      <c r="F489" s="14">
        <v>6.7326</v>
      </c>
      <c r="G489" s="14">
        <v>16.9066</v>
      </c>
      <c r="H489" s="14">
        <v>0.992</v>
      </c>
      <c r="I489" s="14">
        <v>0.296</v>
      </c>
      <c r="J489" s="14">
        <v>0.3548</v>
      </c>
      <c r="K489" s="14">
        <v>0.0899</v>
      </c>
      <c r="L489" s="14">
        <v>8.8824</v>
      </c>
      <c r="M489" s="14" t="s">
        <v>26</v>
      </c>
    </row>
    <row r="490" ht="15.75" customHeight="1">
      <c r="A490" s="14" t="s">
        <v>509</v>
      </c>
      <c r="B490" s="14" t="s">
        <v>2186</v>
      </c>
      <c r="C490" s="14">
        <v>1.0</v>
      </c>
      <c r="D490" s="14" t="s">
        <v>9</v>
      </c>
      <c r="E490" s="14">
        <v>0.3506</v>
      </c>
      <c r="F490" s="14">
        <v>6.7257</v>
      </c>
      <c r="G490" s="14">
        <v>19.1446</v>
      </c>
      <c r="H490" s="14">
        <v>0.9956</v>
      </c>
      <c r="I490" s="14">
        <v>0.2306</v>
      </c>
      <c r="J490" s="14">
        <v>0.3669</v>
      </c>
      <c r="K490" s="14">
        <v>0.0765</v>
      </c>
      <c r="L490" s="14">
        <v>8.3213</v>
      </c>
      <c r="M490" s="14" t="s">
        <v>26</v>
      </c>
    </row>
    <row r="491" ht="15.75" customHeight="1">
      <c r="A491" s="14" t="s">
        <v>2123</v>
      </c>
      <c r="B491" s="14" t="s">
        <v>2189</v>
      </c>
      <c r="C491" s="14">
        <v>1.0</v>
      </c>
      <c r="D491" s="14" t="s">
        <v>9</v>
      </c>
      <c r="E491" s="14">
        <v>0.4615</v>
      </c>
      <c r="F491" s="14">
        <v>6.7188</v>
      </c>
      <c r="G491" s="14">
        <v>21.111</v>
      </c>
      <c r="H491" s="14">
        <v>0.9972</v>
      </c>
      <c r="I491" s="14">
        <v>0.1894</v>
      </c>
      <c r="J491" s="14">
        <v>0.2148</v>
      </c>
      <c r="K491" s="14">
        <v>0.0706</v>
      </c>
      <c r="L491" s="14">
        <v>9.275</v>
      </c>
      <c r="M491" s="14" t="s">
        <v>26</v>
      </c>
    </row>
    <row r="492" ht="15.75" customHeight="1">
      <c r="A492" s="14" t="s">
        <v>2106</v>
      </c>
      <c r="B492" s="14" t="s">
        <v>2192</v>
      </c>
      <c r="C492" s="14">
        <v>1.0</v>
      </c>
      <c r="D492" s="14" t="s">
        <v>9</v>
      </c>
      <c r="E492" s="14">
        <v>0.4809</v>
      </c>
      <c r="F492" s="14">
        <v>6.7014</v>
      </c>
      <c r="G492" s="14">
        <v>21.111</v>
      </c>
      <c r="H492" s="14">
        <v>0.9972</v>
      </c>
      <c r="I492" s="14">
        <v>0.189</v>
      </c>
      <c r="J492" s="14">
        <v>0.2173</v>
      </c>
      <c r="K492" s="14">
        <v>0.071</v>
      </c>
      <c r="L492" s="14">
        <v>9.2503</v>
      </c>
      <c r="M492" s="14" t="s">
        <v>26</v>
      </c>
    </row>
    <row r="493" ht="15.75" customHeight="1">
      <c r="A493" s="14" t="s">
        <v>354</v>
      </c>
      <c r="B493" s="14" t="s">
        <v>2195</v>
      </c>
      <c r="C493" s="14">
        <v>1.0</v>
      </c>
      <c r="D493" s="14" t="s">
        <v>9</v>
      </c>
      <c r="E493" s="14">
        <v>0.6589</v>
      </c>
      <c r="F493" s="14">
        <v>6.6841</v>
      </c>
      <c r="G493" s="14">
        <v>13.7043</v>
      </c>
      <c r="H493" s="14">
        <v>0.9764</v>
      </c>
      <c r="I493" s="14">
        <v>0.4472</v>
      </c>
      <c r="J493" s="14">
        <v>0.314</v>
      </c>
      <c r="K493" s="14">
        <v>0.1209</v>
      </c>
      <c r="L493" s="14">
        <v>9.0611</v>
      </c>
      <c r="M493" s="14" t="s">
        <v>26</v>
      </c>
    </row>
    <row r="494" ht="15.75" customHeight="1">
      <c r="A494" s="14" t="s">
        <v>268</v>
      </c>
      <c r="B494" s="14" t="s">
        <v>2198</v>
      </c>
      <c r="C494" s="14">
        <v>1.0</v>
      </c>
      <c r="D494" s="14" t="s">
        <v>9</v>
      </c>
      <c r="E494" s="14">
        <v>0.6686</v>
      </c>
      <c r="F494" s="14">
        <v>6.6634</v>
      </c>
      <c r="G494" s="14">
        <v>13.8708</v>
      </c>
      <c r="H494" s="14">
        <v>0.9774</v>
      </c>
      <c r="I494" s="14">
        <v>0.4352</v>
      </c>
      <c r="J494" s="14">
        <v>0.3144</v>
      </c>
      <c r="K494" s="14">
        <v>0.1211</v>
      </c>
      <c r="L494" s="14">
        <v>9.0097</v>
      </c>
      <c r="M494" s="14" t="s">
        <v>26</v>
      </c>
    </row>
    <row r="495" ht="15.75" customHeight="1">
      <c r="A495" s="14" t="s">
        <v>662</v>
      </c>
      <c r="B495" s="14" t="s">
        <v>2201</v>
      </c>
      <c r="C495" s="14">
        <v>1.0</v>
      </c>
      <c r="D495" s="14" t="s">
        <v>9</v>
      </c>
      <c r="E495" s="14">
        <v>0.6216</v>
      </c>
      <c r="F495" s="14">
        <v>6.6564</v>
      </c>
      <c r="G495" s="14">
        <v>13.8708</v>
      </c>
      <c r="H495" s="14">
        <v>0.977</v>
      </c>
      <c r="I495" s="14">
        <v>0.4348</v>
      </c>
      <c r="J495" s="14">
        <v>0.3181</v>
      </c>
      <c r="K495" s="14">
        <v>0.1214</v>
      </c>
      <c r="L495" s="14">
        <v>8.9946</v>
      </c>
      <c r="M495" s="14" t="s">
        <v>26</v>
      </c>
    </row>
    <row r="496" ht="15.75" customHeight="1">
      <c r="A496" s="14" t="s">
        <v>2205</v>
      </c>
      <c r="B496" s="14" t="s">
        <v>2206</v>
      </c>
      <c r="C496" s="14">
        <v>1.0</v>
      </c>
      <c r="D496" s="14" t="s">
        <v>9</v>
      </c>
      <c r="E496" s="14">
        <v>0.4782</v>
      </c>
      <c r="F496" s="14">
        <v>6.6495</v>
      </c>
      <c r="G496" s="14">
        <v>20.8756</v>
      </c>
      <c r="H496" s="14">
        <v>0.9971</v>
      </c>
      <c r="I496" s="14">
        <v>0.1917</v>
      </c>
      <c r="J496" s="14">
        <v>0.2151</v>
      </c>
      <c r="K496" s="14">
        <v>0.0707</v>
      </c>
      <c r="L496" s="14">
        <v>9.2632</v>
      </c>
      <c r="M496" s="14" t="s">
        <v>26</v>
      </c>
    </row>
    <row r="497" ht="15.75" customHeight="1">
      <c r="A497" s="14" t="s">
        <v>649</v>
      </c>
      <c r="B497" s="14" t="s">
        <v>2209</v>
      </c>
      <c r="C497" s="14">
        <v>1.0</v>
      </c>
      <c r="D497" s="14" t="s">
        <v>9</v>
      </c>
      <c r="E497" s="14">
        <v>0.6419</v>
      </c>
      <c r="F497" s="14">
        <v>6.6426</v>
      </c>
      <c r="G497" s="14">
        <v>13.8708</v>
      </c>
      <c r="H497" s="14">
        <v>0.9771</v>
      </c>
      <c r="I497" s="14">
        <v>0.4339</v>
      </c>
      <c r="J497" s="14">
        <v>0.3212</v>
      </c>
      <c r="K497" s="14">
        <v>0.1228</v>
      </c>
      <c r="L497" s="14">
        <v>8.9968</v>
      </c>
      <c r="M497" s="14" t="s">
        <v>26</v>
      </c>
    </row>
    <row r="498" ht="15.75" customHeight="1">
      <c r="A498" s="14" t="s">
        <v>1099</v>
      </c>
      <c r="B498" s="14" t="s">
        <v>2213</v>
      </c>
      <c r="C498" s="14">
        <v>1.0</v>
      </c>
      <c r="D498" s="14" t="s">
        <v>9</v>
      </c>
      <c r="E498" s="14">
        <v>0.6592</v>
      </c>
      <c r="F498" s="14">
        <v>6.6356</v>
      </c>
      <c r="G498" s="14">
        <v>13.8077</v>
      </c>
      <c r="H498" s="14">
        <v>0.977</v>
      </c>
      <c r="I498" s="14">
        <v>0.4374</v>
      </c>
      <c r="J498" s="14">
        <v>0.2913</v>
      </c>
      <c r="K498" s="14">
        <v>0.1264</v>
      </c>
      <c r="L498" s="14">
        <v>9.2814</v>
      </c>
      <c r="M498" s="14" t="s">
        <v>26</v>
      </c>
    </row>
    <row r="499" ht="15.75" customHeight="1">
      <c r="A499" s="14" t="s">
        <v>1188</v>
      </c>
      <c r="B499" s="14" t="s">
        <v>2216</v>
      </c>
      <c r="C499" s="14">
        <v>1.0</v>
      </c>
      <c r="D499" s="14" t="s">
        <v>9</v>
      </c>
      <c r="E499" s="14">
        <v>0.6584</v>
      </c>
      <c r="F499" s="14">
        <v>6.5872</v>
      </c>
      <c r="G499" s="14">
        <v>13.7043</v>
      </c>
      <c r="H499" s="14">
        <v>0.9769</v>
      </c>
      <c r="I499" s="14">
        <v>0.4408</v>
      </c>
      <c r="J499" s="14">
        <v>0.2919</v>
      </c>
      <c r="K499" s="14">
        <v>0.132</v>
      </c>
      <c r="L499" s="14">
        <v>9.2212</v>
      </c>
      <c r="M499" s="14" t="s">
        <v>26</v>
      </c>
    </row>
    <row r="500" ht="15.75" customHeight="1">
      <c r="A500" s="14" t="s">
        <v>1050</v>
      </c>
      <c r="B500" s="14" t="s">
        <v>2219</v>
      </c>
      <c r="C500" s="14">
        <v>1.0</v>
      </c>
      <c r="D500" s="14" t="s">
        <v>9</v>
      </c>
      <c r="E500" s="14">
        <v>0.6589</v>
      </c>
      <c r="F500" s="14">
        <v>6.5317</v>
      </c>
      <c r="G500" s="14">
        <v>14.1062</v>
      </c>
      <c r="H500" s="14">
        <v>0.9776</v>
      </c>
      <c r="I500" s="14">
        <v>0.4125</v>
      </c>
      <c r="J500" s="14">
        <v>0.2915</v>
      </c>
      <c r="K500" s="14">
        <v>0.1338</v>
      </c>
      <c r="L500" s="14">
        <v>9.2457</v>
      </c>
      <c r="M500" s="14" t="s">
        <v>26</v>
      </c>
    </row>
    <row r="501" ht="15.75" customHeight="1">
      <c r="A501" s="14" t="s">
        <v>1117</v>
      </c>
      <c r="B501" s="14" t="s">
        <v>2222</v>
      </c>
      <c r="C501" s="14">
        <v>1.0</v>
      </c>
      <c r="D501" s="14" t="s">
        <v>9</v>
      </c>
      <c r="E501" s="14">
        <v>0.6622</v>
      </c>
      <c r="F501" s="14">
        <v>6.5006</v>
      </c>
      <c r="G501" s="14">
        <v>13.8363</v>
      </c>
      <c r="H501" s="14">
        <v>0.9769</v>
      </c>
      <c r="I501" s="14">
        <v>0.4267</v>
      </c>
      <c r="J501" s="14">
        <v>0.2967</v>
      </c>
      <c r="K501" s="14">
        <v>0.1374</v>
      </c>
      <c r="L501" s="14">
        <v>9.233</v>
      </c>
      <c r="M501" s="14" t="s">
        <v>26</v>
      </c>
    </row>
    <row r="502" ht="15.75" customHeight="1">
      <c r="A502" s="14" t="s">
        <v>555</v>
      </c>
      <c r="B502" s="14" t="s">
        <v>2226</v>
      </c>
      <c r="C502" s="14">
        <v>1.0</v>
      </c>
      <c r="D502" s="14" t="s">
        <v>9</v>
      </c>
      <c r="E502" s="14">
        <v>0.6291</v>
      </c>
      <c r="F502" s="14">
        <v>6.5006</v>
      </c>
      <c r="G502" s="14">
        <v>13.8767</v>
      </c>
      <c r="H502" s="14">
        <v>0.9815</v>
      </c>
      <c r="I502" s="14">
        <v>0.4242</v>
      </c>
      <c r="J502" s="14">
        <v>0.3152</v>
      </c>
      <c r="K502" s="14">
        <v>0.0894</v>
      </c>
      <c r="L502" s="14">
        <v>8.9025</v>
      </c>
      <c r="M502" s="14" t="s">
        <v>26</v>
      </c>
    </row>
    <row r="503" ht="15.75" customHeight="1">
      <c r="A503" s="14" t="s">
        <v>1106</v>
      </c>
      <c r="B503" s="14" t="s">
        <v>2229</v>
      </c>
      <c r="C503" s="14">
        <v>1.0</v>
      </c>
      <c r="D503" s="14" t="s">
        <v>9</v>
      </c>
      <c r="E503" s="14">
        <v>0.6599</v>
      </c>
      <c r="F503" s="14">
        <v>6.4763</v>
      </c>
      <c r="G503" s="14">
        <v>13.4689</v>
      </c>
      <c r="H503" s="14">
        <v>0.9759</v>
      </c>
      <c r="I503" s="14">
        <v>0.4486</v>
      </c>
      <c r="J503" s="14">
        <v>0.285</v>
      </c>
      <c r="K503" s="14">
        <v>0.1298</v>
      </c>
      <c r="L503" s="14">
        <v>9.2847</v>
      </c>
      <c r="M503" s="14" t="s">
        <v>26</v>
      </c>
    </row>
    <row r="504" ht="15.75" customHeight="1">
      <c r="A504" s="14" t="s">
        <v>2232</v>
      </c>
      <c r="B504" s="14" t="s">
        <v>2233</v>
      </c>
      <c r="C504" s="14">
        <v>1.0</v>
      </c>
      <c r="D504" s="14" t="s">
        <v>9</v>
      </c>
      <c r="E504" s="14">
        <v>0.4722</v>
      </c>
      <c r="F504" s="14">
        <v>6.4763</v>
      </c>
      <c r="G504" s="14">
        <v>20.4595</v>
      </c>
      <c r="H504" s="14">
        <v>0.9973</v>
      </c>
      <c r="I504" s="14">
        <v>0.1944</v>
      </c>
      <c r="J504" s="14">
        <v>0.2279</v>
      </c>
      <c r="K504" s="14">
        <v>0.0523</v>
      </c>
      <c r="L504" s="14">
        <v>9.231</v>
      </c>
      <c r="M504" s="14" t="s">
        <v>26</v>
      </c>
    </row>
    <row r="505" ht="15.75" customHeight="1">
      <c r="A505" s="14" t="s">
        <v>1178</v>
      </c>
      <c r="B505" s="14" t="s">
        <v>2236</v>
      </c>
      <c r="C505" s="14">
        <v>1.0</v>
      </c>
      <c r="D505" s="14" t="s">
        <v>9</v>
      </c>
      <c r="E505" s="14">
        <v>0.6597</v>
      </c>
      <c r="F505" s="14">
        <v>6.4729</v>
      </c>
      <c r="G505" s="14">
        <v>13.7674</v>
      </c>
      <c r="H505" s="14">
        <v>0.9766</v>
      </c>
      <c r="I505" s="14">
        <v>0.4291</v>
      </c>
      <c r="J505" s="14">
        <v>0.295</v>
      </c>
      <c r="K505" s="14">
        <v>0.1398</v>
      </c>
      <c r="L505" s="14">
        <v>9.2024</v>
      </c>
      <c r="M505" s="14" t="s">
        <v>26</v>
      </c>
    </row>
    <row r="506" ht="15.75" customHeight="1">
      <c r="A506" s="14" t="s">
        <v>1654</v>
      </c>
      <c r="B506" s="14" t="s">
        <v>2239</v>
      </c>
      <c r="C506" s="14">
        <v>1.0</v>
      </c>
      <c r="D506" s="14" t="s">
        <v>9</v>
      </c>
      <c r="E506" s="14">
        <v>0.6568</v>
      </c>
      <c r="F506" s="14">
        <v>6.4694</v>
      </c>
      <c r="G506" s="14">
        <v>13.6698</v>
      </c>
      <c r="H506" s="14">
        <v>0.9762</v>
      </c>
      <c r="I506" s="14">
        <v>0.4351</v>
      </c>
      <c r="J506" s="14">
        <v>0.2893</v>
      </c>
      <c r="K506" s="14">
        <v>0.128</v>
      </c>
      <c r="L506" s="14">
        <v>9.2901</v>
      </c>
      <c r="M506" s="14" t="s">
        <v>26</v>
      </c>
    </row>
    <row r="507" ht="15.75" customHeight="1">
      <c r="A507" s="14" t="s">
        <v>1101</v>
      </c>
      <c r="B507" s="14" t="s">
        <v>2242</v>
      </c>
      <c r="C507" s="14">
        <v>1.0</v>
      </c>
      <c r="D507" s="14" t="s">
        <v>9</v>
      </c>
      <c r="E507" s="14">
        <v>0.6585</v>
      </c>
      <c r="F507" s="14">
        <v>6.4694</v>
      </c>
      <c r="G507" s="14">
        <v>14.2361</v>
      </c>
      <c r="H507" s="14">
        <v>0.9778</v>
      </c>
      <c r="I507" s="14">
        <v>0.4011</v>
      </c>
      <c r="J507" s="14">
        <v>0.2993</v>
      </c>
      <c r="K507" s="14">
        <v>0.1393</v>
      </c>
      <c r="L507" s="14">
        <v>9.1921</v>
      </c>
      <c r="M507" s="14" t="s">
        <v>26</v>
      </c>
    </row>
    <row r="508" ht="15.75" customHeight="1">
      <c r="A508" s="14" t="s">
        <v>638</v>
      </c>
      <c r="B508" s="14" t="s">
        <v>2245</v>
      </c>
      <c r="C508" s="14">
        <v>1.0</v>
      </c>
      <c r="D508" s="14" t="s">
        <v>9</v>
      </c>
      <c r="E508" s="14">
        <v>0.5995</v>
      </c>
      <c r="F508" s="14">
        <v>6.4659</v>
      </c>
      <c r="G508" s="14">
        <v>13.268</v>
      </c>
      <c r="H508" s="14">
        <v>0.9746</v>
      </c>
      <c r="I508" s="14">
        <v>0.4616</v>
      </c>
      <c r="J508" s="14">
        <v>0.3616</v>
      </c>
      <c r="K508" s="14">
        <v>0.1209</v>
      </c>
      <c r="L508" s="14">
        <v>8.6487</v>
      </c>
      <c r="M508" s="14" t="s">
        <v>26</v>
      </c>
    </row>
    <row r="509" ht="15.75" customHeight="1">
      <c r="A509" s="14" t="s">
        <v>1693</v>
      </c>
      <c r="B509" s="14" t="s">
        <v>2247</v>
      </c>
      <c r="C509" s="14">
        <v>1.0</v>
      </c>
      <c r="D509" s="14" t="s">
        <v>9</v>
      </c>
      <c r="E509" s="14">
        <v>0.6574</v>
      </c>
      <c r="F509" s="14">
        <v>6.4659</v>
      </c>
      <c r="G509" s="14">
        <v>14.2503</v>
      </c>
      <c r="H509" s="14">
        <v>0.9776</v>
      </c>
      <c r="I509" s="14">
        <v>0.4001</v>
      </c>
      <c r="J509" s="14">
        <v>0.2989</v>
      </c>
      <c r="K509" s="14">
        <v>0.1397</v>
      </c>
      <c r="L509" s="14">
        <v>9.2125</v>
      </c>
      <c r="M509" s="14" t="s">
        <v>26</v>
      </c>
    </row>
    <row r="510" ht="15.75" customHeight="1">
      <c r="A510" s="14" t="s">
        <v>307</v>
      </c>
      <c r="B510" s="14" t="s">
        <v>2250</v>
      </c>
      <c r="C510" s="14">
        <v>1.0</v>
      </c>
      <c r="D510" s="14" t="s">
        <v>9</v>
      </c>
      <c r="E510" s="14">
        <v>0.6798</v>
      </c>
      <c r="F510" s="14">
        <v>6.4659</v>
      </c>
      <c r="G510" s="14">
        <v>13.8649</v>
      </c>
      <c r="H510" s="14">
        <v>0.9754</v>
      </c>
      <c r="I510" s="14">
        <v>0.4227</v>
      </c>
      <c r="J510" s="14">
        <v>0.2728</v>
      </c>
      <c r="K510" s="14">
        <v>0.1392</v>
      </c>
      <c r="L510" s="14">
        <v>9.3944</v>
      </c>
      <c r="M510" s="14" t="s">
        <v>26</v>
      </c>
    </row>
    <row r="511" ht="15.75" customHeight="1">
      <c r="A511" s="14" t="s">
        <v>1141</v>
      </c>
      <c r="B511" s="14" t="s">
        <v>2252</v>
      </c>
      <c r="C511" s="14">
        <v>1.0</v>
      </c>
      <c r="D511" s="14" t="s">
        <v>9</v>
      </c>
      <c r="E511" s="14">
        <v>0.6596</v>
      </c>
      <c r="F511" s="14">
        <v>6.4556</v>
      </c>
      <c r="G511" s="14">
        <v>13.4344</v>
      </c>
      <c r="H511" s="14">
        <v>0.9755</v>
      </c>
      <c r="I511" s="14">
        <v>0.4495</v>
      </c>
      <c r="J511" s="14">
        <v>0.2874</v>
      </c>
      <c r="K511" s="14">
        <v>0.1297</v>
      </c>
      <c r="L511" s="14">
        <v>9.2888</v>
      </c>
      <c r="M511" s="14" t="s">
        <v>26</v>
      </c>
    </row>
    <row r="512" ht="15.75" customHeight="1">
      <c r="A512" s="14" t="s">
        <v>331</v>
      </c>
      <c r="B512" s="14" t="s">
        <v>2255</v>
      </c>
      <c r="C512" s="14">
        <v>1.0</v>
      </c>
      <c r="D512" s="14" t="s">
        <v>9</v>
      </c>
      <c r="E512" s="14">
        <v>0.6318</v>
      </c>
      <c r="F512" s="14">
        <v>6.4521</v>
      </c>
      <c r="G512" s="14">
        <v>13.9112</v>
      </c>
      <c r="H512" s="14">
        <v>0.9818</v>
      </c>
      <c r="I512" s="14">
        <v>0.419</v>
      </c>
      <c r="J512" s="14">
        <v>0.2988</v>
      </c>
      <c r="K512" s="14">
        <v>0.0924</v>
      </c>
      <c r="L512" s="14">
        <v>9.1641</v>
      </c>
      <c r="M512" s="14" t="s">
        <v>26</v>
      </c>
    </row>
    <row r="513" ht="15.75" customHeight="1">
      <c r="A513" s="14" t="s">
        <v>2261</v>
      </c>
      <c r="B513" s="14" t="s">
        <v>2262</v>
      </c>
      <c r="C513" s="14">
        <v>1.0</v>
      </c>
      <c r="D513" s="14" t="s">
        <v>9</v>
      </c>
      <c r="E513" s="14">
        <v>0.6764</v>
      </c>
      <c r="F513" s="14">
        <v>6.4486</v>
      </c>
      <c r="G513" s="14">
        <v>13.7674</v>
      </c>
      <c r="H513" s="14">
        <v>0.9761</v>
      </c>
      <c r="I513" s="14">
        <v>0.4275</v>
      </c>
      <c r="J513" s="14">
        <v>0.2753</v>
      </c>
      <c r="K513" s="14">
        <v>0.1414</v>
      </c>
      <c r="L513" s="14">
        <v>9.3581</v>
      </c>
      <c r="M513" s="14" t="s">
        <v>26</v>
      </c>
    </row>
    <row r="514" ht="15.75" customHeight="1">
      <c r="A514" s="14" t="s">
        <v>256</v>
      </c>
      <c r="B514" s="14" t="s">
        <v>2264</v>
      </c>
      <c r="C514" s="14">
        <v>1.0</v>
      </c>
      <c r="D514" s="14" t="s">
        <v>9</v>
      </c>
      <c r="E514" s="14">
        <v>0.6649</v>
      </c>
      <c r="F514" s="14">
        <v>6.4486</v>
      </c>
      <c r="G514" s="14">
        <v>13.5664</v>
      </c>
      <c r="H514" s="14">
        <v>0.9752</v>
      </c>
      <c r="I514" s="14">
        <v>0.4403</v>
      </c>
      <c r="J514" s="14">
        <v>0.2623</v>
      </c>
      <c r="K514" s="14">
        <v>0.1276</v>
      </c>
      <c r="L514" s="14">
        <v>9.4634</v>
      </c>
      <c r="M514" s="14" t="s">
        <v>26</v>
      </c>
    </row>
    <row r="515" ht="15.75" customHeight="1">
      <c r="A515" s="14" t="s">
        <v>1167</v>
      </c>
      <c r="B515" s="14" t="s">
        <v>2267</v>
      </c>
      <c r="C515" s="14">
        <v>1.0</v>
      </c>
      <c r="D515" s="14" t="s">
        <v>9</v>
      </c>
      <c r="E515" s="14">
        <v>0.6364</v>
      </c>
      <c r="F515" s="14">
        <v>6.4452</v>
      </c>
      <c r="G515" s="14">
        <v>13.8363</v>
      </c>
      <c r="H515" s="14">
        <v>0.9763</v>
      </c>
      <c r="I515" s="14">
        <v>0.4231</v>
      </c>
      <c r="J515" s="14">
        <v>0.2976</v>
      </c>
      <c r="K515" s="14">
        <v>0.1255</v>
      </c>
      <c r="L515" s="14">
        <v>9.2055</v>
      </c>
      <c r="M515" s="14" t="s">
        <v>26</v>
      </c>
    </row>
    <row r="516" ht="15.75" customHeight="1">
      <c r="A516" s="14" t="s">
        <v>664</v>
      </c>
      <c r="B516" s="14" t="s">
        <v>2271</v>
      </c>
      <c r="C516" s="14">
        <v>1.0</v>
      </c>
      <c r="D516" s="14" t="s">
        <v>9</v>
      </c>
      <c r="E516" s="14">
        <v>0.4073</v>
      </c>
      <c r="F516" s="14">
        <v>6.4279</v>
      </c>
      <c r="G516" s="14">
        <v>18.9092</v>
      </c>
      <c r="H516" s="14">
        <v>0.9957</v>
      </c>
      <c r="I516" s="14">
        <v>0.2259</v>
      </c>
      <c r="J516" s="14">
        <v>0.3789</v>
      </c>
      <c r="K516" s="14">
        <v>0.0911</v>
      </c>
      <c r="L516" s="14">
        <v>8.4185</v>
      </c>
      <c r="M516" s="14" t="s">
        <v>26</v>
      </c>
    </row>
    <row r="517" ht="15.75" customHeight="1">
      <c r="A517" s="14" t="s">
        <v>328</v>
      </c>
      <c r="B517" s="14" t="s">
        <v>2274</v>
      </c>
      <c r="C517" s="14">
        <v>1.0</v>
      </c>
      <c r="D517" s="14" t="s">
        <v>9</v>
      </c>
      <c r="E517" s="14">
        <v>0.673</v>
      </c>
      <c r="F517" s="14">
        <v>6.414</v>
      </c>
      <c r="G517" s="14">
        <v>13.4344</v>
      </c>
      <c r="H517" s="14">
        <v>0.9747</v>
      </c>
      <c r="I517" s="14">
        <v>0.4466</v>
      </c>
      <c r="J517" s="14">
        <v>0.2684</v>
      </c>
      <c r="K517" s="14">
        <v>0.1326</v>
      </c>
      <c r="L517" s="14">
        <v>9.4079</v>
      </c>
      <c r="M517" s="14" t="s">
        <v>26</v>
      </c>
    </row>
    <row r="518" ht="15.75" customHeight="1">
      <c r="A518" s="14" t="s">
        <v>347</v>
      </c>
      <c r="B518" s="14" t="s">
        <v>2278</v>
      </c>
      <c r="C518" s="14">
        <v>1.0</v>
      </c>
      <c r="D518" s="14" t="s">
        <v>9</v>
      </c>
      <c r="E518" s="14">
        <v>0.6348</v>
      </c>
      <c r="F518" s="14">
        <v>6.4105</v>
      </c>
      <c r="G518" s="14">
        <v>13.7733</v>
      </c>
      <c r="H518" s="14">
        <v>0.9815</v>
      </c>
      <c r="I518" s="14">
        <v>0.4246</v>
      </c>
      <c r="J518" s="14">
        <v>0.2954</v>
      </c>
      <c r="K518" s="14">
        <v>0.0954</v>
      </c>
      <c r="L518" s="14">
        <v>9.1616</v>
      </c>
      <c r="M518" s="14" t="s">
        <v>26</v>
      </c>
    </row>
    <row r="519" ht="15.75" customHeight="1">
      <c r="A519" s="14" t="s">
        <v>1086</v>
      </c>
      <c r="B519" s="14" t="s">
        <v>2281</v>
      </c>
      <c r="C519" s="14">
        <v>1.0</v>
      </c>
      <c r="D519" s="14" t="s">
        <v>9</v>
      </c>
      <c r="E519" s="14">
        <v>0.6584</v>
      </c>
      <c r="F519" s="14">
        <v>6.4105</v>
      </c>
      <c r="G519" s="14">
        <v>13.6698</v>
      </c>
      <c r="H519" s="14">
        <v>0.9762</v>
      </c>
      <c r="I519" s="14">
        <v>0.4311</v>
      </c>
      <c r="J519" s="14">
        <v>0.2877</v>
      </c>
      <c r="K519" s="14">
        <v>0.133</v>
      </c>
      <c r="L519" s="14">
        <v>9.2364</v>
      </c>
      <c r="M519" s="14" t="s">
        <v>26</v>
      </c>
    </row>
    <row r="520" ht="15.75" customHeight="1">
      <c r="A520" s="14" t="s">
        <v>102</v>
      </c>
      <c r="B520" s="14" t="s">
        <v>2285</v>
      </c>
      <c r="C520" s="14">
        <v>1.0</v>
      </c>
      <c r="D520" s="14" t="s">
        <v>9</v>
      </c>
      <c r="E520" s="14">
        <v>0.6096</v>
      </c>
      <c r="F520" s="14">
        <v>6.4071</v>
      </c>
      <c r="G520" s="14">
        <v>14.0654</v>
      </c>
      <c r="H520" s="14">
        <v>0.9823</v>
      </c>
      <c r="I520" s="14">
        <v>0.407</v>
      </c>
      <c r="J520" s="14">
        <v>0.3265</v>
      </c>
      <c r="K520" s="14">
        <v>0.0941</v>
      </c>
      <c r="L520" s="14">
        <v>8.9282</v>
      </c>
      <c r="M520" s="14" t="s">
        <v>26</v>
      </c>
    </row>
    <row r="521" ht="15.75" customHeight="1">
      <c r="A521" s="14" t="s">
        <v>2123</v>
      </c>
      <c r="B521" s="14" t="s">
        <v>2288</v>
      </c>
      <c r="C521" s="14">
        <v>1.0</v>
      </c>
      <c r="D521" s="14" t="s">
        <v>9</v>
      </c>
      <c r="E521" s="14">
        <v>0.6573</v>
      </c>
      <c r="F521" s="14">
        <v>6.4036</v>
      </c>
      <c r="G521" s="14">
        <v>13.8018</v>
      </c>
      <c r="H521" s="14">
        <v>0.9759</v>
      </c>
      <c r="I521" s="14">
        <v>0.4224</v>
      </c>
      <c r="J521" s="14">
        <v>0.2885</v>
      </c>
      <c r="K521" s="14">
        <v>0.1318</v>
      </c>
      <c r="L521" s="14">
        <v>9.2298</v>
      </c>
      <c r="M521" s="14" t="s">
        <v>26</v>
      </c>
    </row>
    <row r="522" ht="15.75" customHeight="1">
      <c r="A522" s="14" t="s">
        <v>361</v>
      </c>
      <c r="B522" s="14" t="s">
        <v>2291</v>
      </c>
      <c r="C522" s="14">
        <v>1.0</v>
      </c>
      <c r="D522" s="14" t="s">
        <v>9</v>
      </c>
      <c r="E522" s="14">
        <v>0.6509</v>
      </c>
      <c r="F522" s="14">
        <v>6.4036</v>
      </c>
      <c r="G522" s="14">
        <v>13.8422</v>
      </c>
      <c r="H522" s="14">
        <v>0.9816</v>
      </c>
      <c r="I522" s="14">
        <v>0.42</v>
      </c>
      <c r="J522" s="14">
        <v>0.2968</v>
      </c>
      <c r="K522" s="14">
        <v>0.0966</v>
      </c>
      <c r="L522" s="14">
        <v>9.1515</v>
      </c>
      <c r="M522" s="14" t="s">
        <v>26</v>
      </c>
    </row>
    <row r="523" ht="15.75" customHeight="1">
      <c r="A523" s="14" t="s">
        <v>1157</v>
      </c>
      <c r="B523" s="14" t="s">
        <v>2294</v>
      </c>
      <c r="C523" s="14">
        <v>1.0</v>
      </c>
      <c r="D523" s="14" t="s">
        <v>9</v>
      </c>
      <c r="E523" s="14">
        <v>0.6597</v>
      </c>
      <c r="F523" s="14">
        <v>6.3967</v>
      </c>
      <c r="G523" s="14">
        <v>13.5664</v>
      </c>
      <c r="H523" s="14">
        <v>0.9754</v>
      </c>
      <c r="I523" s="14">
        <v>0.4368</v>
      </c>
      <c r="J523" s="14">
        <v>0.2898</v>
      </c>
      <c r="K523" s="14">
        <v>0.136</v>
      </c>
      <c r="L523" s="14">
        <v>9.2509</v>
      </c>
      <c r="M523" s="14" t="s">
        <v>26</v>
      </c>
    </row>
    <row r="524" ht="15.75" customHeight="1">
      <c r="A524" s="14" t="s">
        <v>275</v>
      </c>
      <c r="B524" s="14" t="s">
        <v>2297</v>
      </c>
      <c r="C524" s="14">
        <v>1.0</v>
      </c>
      <c r="D524" s="14" t="s">
        <v>9</v>
      </c>
      <c r="E524" s="14">
        <v>0.6761</v>
      </c>
      <c r="F524" s="14">
        <v>6.3967</v>
      </c>
      <c r="G524" s="14">
        <v>13.4344</v>
      </c>
      <c r="H524" s="14">
        <v>0.9751</v>
      </c>
      <c r="I524" s="14">
        <v>0.4454</v>
      </c>
      <c r="J524" s="14">
        <v>0.2699</v>
      </c>
      <c r="K524" s="14">
        <v>0.1345</v>
      </c>
      <c r="L524" s="14">
        <v>9.3968</v>
      </c>
      <c r="M524" s="14" t="s">
        <v>26</v>
      </c>
    </row>
    <row r="525" ht="15.75" customHeight="1">
      <c r="A525" s="14" t="s">
        <v>2300</v>
      </c>
      <c r="B525" s="14" t="s">
        <v>2301</v>
      </c>
      <c r="C525" s="14">
        <v>1.0</v>
      </c>
      <c r="D525" s="14" t="s">
        <v>9</v>
      </c>
      <c r="E525" s="14">
        <v>0.6763</v>
      </c>
      <c r="F525" s="14">
        <v>6.3967</v>
      </c>
      <c r="G525" s="14">
        <v>13.7329</v>
      </c>
      <c r="H525" s="14">
        <v>0.976</v>
      </c>
      <c r="I525" s="14">
        <v>0.4262</v>
      </c>
      <c r="J525" s="14">
        <v>0.2817</v>
      </c>
      <c r="K525" s="14">
        <v>0.1466</v>
      </c>
      <c r="L525" s="14">
        <v>9.3316</v>
      </c>
      <c r="M525" s="14" t="s">
        <v>26</v>
      </c>
    </row>
    <row r="526" ht="15.75" customHeight="1">
      <c r="A526" s="14" t="s">
        <v>27</v>
      </c>
      <c r="B526" s="14" t="s">
        <v>2304</v>
      </c>
      <c r="C526" s="14">
        <v>1.0</v>
      </c>
      <c r="D526" s="14" t="s">
        <v>9</v>
      </c>
      <c r="E526" s="14">
        <v>0.6705</v>
      </c>
      <c r="F526" s="14">
        <v>6.3932</v>
      </c>
      <c r="G526" s="14">
        <v>13.4</v>
      </c>
      <c r="H526" s="14">
        <v>0.9747</v>
      </c>
      <c r="I526" s="14">
        <v>0.4474</v>
      </c>
      <c r="J526" s="14">
        <v>0.2692</v>
      </c>
      <c r="K526" s="14">
        <v>0.134</v>
      </c>
      <c r="L526" s="14">
        <v>9.4138</v>
      </c>
      <c r="M526" s="14" t="s">
        <v>26</v>
      </c>
    </row>
    <row r="527" ht="15.75" customHeight="1">
      <c r="A527" s="14" t="s">
        <v>1700</v>
      </c>
      <c r="B527" s="14" t="s">
        <v>2307</v>
      </c>
      <c r="C527" s="14">
        <v>1.0</v>
      </c>
      <c r="D527" s="14" t="s">
        <v>9</v>
      </c>
      <c r="E527" s="14">
        <v>0.6577</v>
      </c>
      <c r="F527" s="14">
        <v>6.3898</v>
      </c>
      <c r="G527" s="14">
        <v>13.6698</v>
      </c>
      <c r="H527" s="14">
        <v>0.976</v>
      </c>
      <c r="I527" s="14">
        <v>0.4297</v>
      </c>
      <c r="J527" s="14">
        <v>0.2901</v>
      </c>
      <c r="K527" s="14">
        <v>0.1335</v>
      </c>
      <c r="L527" s="14">
        <v>9.2489</v>
      </c>
      <c r="M527" s="14" t="s">
        <v>26</v>
      </c>
    </row>
    <row r="528" ht="15.75" customHeight="1">
      <c r="A528" s="14" t="s">
        <v>2232</v>
      </c>
      <c r="B528" s="14" t="s">
        <v>2310</v>
      </c>
      <c r="C528" s="14">
        <v>1.0</v>
      </c>
      <c r="D528" s="14" t="s">
        <v>9</v>
      </c>
      <c r="E528" s="14">
        <v>0.662</v>
      </c>
      <c r="F528" s="14">
        <v>6.3898</v>
      </c>
      <c r="G528" s="14">
        <v>13.7674</v>
      </c>
      <c r="H528" s="14">
        <v>0.976</v>
      </c>
      <c r="I528" s="14">
        <v>0.4236</v>
      </c>
      <c r="J528" s="14">
        <v>0.2909</v>
      </c>
      <c r="K528" s="14">
        <v>0.1329</v>
      </c>
      <c r="L528" s="14">
        <v>9.2702</v>
      </c>
      <c r="M528" s="14" t="s">
        <v>26</v>
      </c>
    </row>
    <row r="529" ht="15.75" customHeight="1">
      <c r="A529" s="14" t="s">
        <v>707</v>
      </c>
      <c r="B529" s="14" t="s">
        <v>2313</v>
      </c>
      <c r="C529" s="14">
        <v>1.0</v>
      </c>
      <c r="D529" s="14" t="s">
        <v>9</v>
      </c>
      <c r="E529" s="14">
        <v>0.6882</v>
      </c>
      <c r="F529" s="14">
        <v>6.3863</v>
      </c>
      <c r="G529" s="14">
        <v>13.4344</v>
      </c>
      <c r="H529" s="14">
        <v>0.9763</v>
      </c>
      <c r="I529" s="14">
        <v>0.4447</v>
      </c>
      <c r="J529" s="14">
        <v>0.2774</v>
      </c>
      <c r="K529" s="14">
        <v>0.1308</v>
      </c>
      <c r="L529" s="14">
        <v>9.2817</v>
      </c>
      <c r="M529" s="14" t="s">
        <v>26</v>
      </c>
    </row>
    <row r="530" ht="15.75" customHeight="1">
      <c r="A530" s="14" t="s">
        <v>2106</v>
      </c>
      <c r="B530" s="14" t="s">
        <v>2316</v>
      </c>
      <c r="C530" s="14">
        <v>1.0</v>
      </c>
      <c r="D530" s="14" t="s">
        <v>9</v>
      </c>
      <c r="E530" s="14">
        <v>0.6613</v>
      </c>
      <c r="F530" s="14">
        <v>6.3863</v>
      </c>
      <c r="G530" s="14">
        <v>13.6009</v>
      </c>
      <c r="H530" s="14">
        <v>0.9756</v>
      </c>
      <c r="I530" s="14">
        <v>0.4338</v>
      </c>
      <c r="J530" s="14">
        <v>0.2947</v>
      </c>
      <c r="K530" s="14">
        <v>0.1353</v>
      </c>
      <c r="L530" s="14">
        <v>9.2216</v>
      </c>
      <c r="M530" s="14" t="s">
        <v>26</v>
      </c>
    </row>
    <row r="531" ht="15.75" customHeight="1">
      <c r="A531" s="14" t="s">
        <v>262</v>
      </c>
      <c r="B531" s="14" t="s">
        <v>2319</v>
      </c>
      <c r="C531" s="14">
        <v>1.0</v>
      </c>
      <c r="D531" s="14" t="s">
        <v>9</v>
      </c>
      <c r="E531" s="14">
        <v>0.6747</v>
      </c>
      <c r="F531" s="14">
        <v>6.3759</v>
      </c>
      <c r="G531" s="14">
        <v>13.4975</v>
      </c>
      <c r="H531" s="14">
        <v>0.9756</v>
      </c>
      <c r="I531" s="14">
        <v>0.4398</v>
      </c>
      <c r="J531" s="14">
        <v>0.2817</v>
      </c>
      <c r="K531" s="14">
        <v>0.1482</v>
      </c>
      <c r="L531" s="14">
        <v>9.3427</v>
      </c>
      <c r="M531" s="14" t="s">
        <v>26</v>
      </c>
    </row>
    <row r="532" ht="15.75" customHeight="1">
      <c r="A532" s="14" t="s">
        <v>235</v>
      </c>
      <c r="B532" s="14" t="s">
        <v>2322</v>
      </c>
      <c r="C532" s="14">
        <v>1.0</v>
      </c>
      <c r="D532" s="14" t="s">
        <v>9</v>
      </c>
      <c r="E532" s="14">
        <v>0.6685</v>
      </c>
      <c r="F532" s="14">
        <v>6.369</v>
      </c>
      <c r="G532" s="14">
        <v>13.4</v>
      </c>
      <c r="H532" s="14">
        <v>0.975</v>
      </c>
      <c r="I532" s="14">
        <v>0.4457</v>
      </c>
      <c r="J532" s="14">
        <v>0.2729</v>
      </c>
      <c r="K532" s="14">
        <v>0.1376</v>
      </c>
      <c r="L532" s="14">
        <v>9.3734</v>
      </c>
      <c r="M532" s="14" t="s">
        <v>26</v>
      </c>
    </row>
    <row r="533" ht="15.75" customHeight="1">
      <c r="A533" s="14" t="s">
        <v>89</v>
      </c>
      <c r="B533" s="14" t="s">
        <v>2325</v>
      </c>
      <c r="C533" s="14">
        <v>1.0</v>
      </c>
      <c r="D533" s="14" t="s">
        <v>9</v>
      </c>
      <c r="E533" s="14">
        <v>0.6572</v>
      </c>
      <c r="F533" s="14">
        <v>6.369</v>
      </c>
      <c r="G533" s="14">
        <v>13.8729</v>
      </c>
      <c r="H533" s="14">
        <v>0.9768</v>
      </c>
      <c r="I533" s="14">
        <v>0.4159</v>
      </c>
      <c r="J533" s="14">
        <v>0.2935</v>
      </c>
      <c r="K533" s="14">
        <v>0.135</v>
      </c>
      <c r="L533" s="14">
        <v>9.251</v>
      </c>
      <c r="M533" s="14" t="s">
        <v>26</v>
      </c>
    </row>
    <row r="534" ht="15.75" customHeight="1">
      <c r="A534" s="14" t="s">
        <v>208</v>
      </c>
      <c r="B534" s="14" t="s">
        <v>2328</v>
      </c>
      <c r="C534" s="14">
        <v>1.0</v>
      </c>
      <c r="D534" s="14" t="s">
        <v>9</v>
      </c>
      <c r="E534" s="14">
        <v>0.6851</v>
      </c>
      <c r="F534" s="14">
        <v>6.3586</v>
      </c>
      <c r="G534" s="14">
        <v>13.5664</v>
      </c>
      <c r="H534" s="14">
        <v>0.9754</v>
      </c>
      <c r="I534" s="14">
        <v>0.4341</v>
      </c>
      <c r="J534" s="14">
        <v>0.2692</v>
      </c>
      <c r="K534" s="14">
        <v>0.1357</v>
      </c>
      <c r="L534" s="14">
        <v>9.4097</v>
      </c>
      <c r="M534" s="14" t="s">
        <v>26</v>
      </c>
    </row>
    <row r="535" ht="15.75" customHeight="1">
      <c r="A535" s="14" t="s">
        <v>1082</v>
      </c>
      <c r="B535" s="14" t="s">
        <v>2331</v>
      </c>
      <c r="C535" s="14">
        <v>1.0</v>
      </c>
      <c r="D535" s="14" t="s">
        <v>9</v>
      </c>
      <c r="E535" s="14">
        <v>0.6619</v>
      </c>
      <c r="F535" s="14">
        <v>6.3586</v>
      </c>
      <c r="G535" s="14">
        <v>13.8018</v>
      </c>
      <c r="H535" s="14">
        <v>0.9764</v>
      </c>
      <c r="I535" s="14">
        <v>0.4195</v>
      </c>
      <c r="J535" s="14">
        <v>0.2912</v>
      </c>
      <c r="K535" s="14">
        <v>0.1359</v>
      </c>
      <c r="L535" s="14">
        <v>9.2514</v>
      </c>
      <c r="M535" s="14" t="s">
        <v>26</v>
      </c>
    </row>
    <row r="536" ht="15.75" customHeight="1">
      <c r="A536" s="14" t="s">
        <v>790</v>
      </c>
      <c r="B536" s="14" t="s">
        <v>2334</v>
      </c>
      <c r="C536" s="14">
        <v>1.0</v>
      </c>
      <c r="D536" s="14" t="s">
        <v>9</v>
      </c>
      <c r="E536" s="14">
        <v>0.7202</v>
      </c>
      <c r="F536" s="14">
        <v>6.3586</v>
      </c>
      <c r="G536" s="14">
        <v>13.7228</v>
      </c>
      <c r="H536" s="14">
        <v>0.9731</v>
      </c>
      <c r="I536" s="14">
        <v>0.4243</v>
      </c>
      <c r="J536" s="14">
        <v>0.3069</v>
      </c>
      <c r="K536" s="14">
        <v>0.1807</v>
      </c>
      <c r="L536" s="14">
        <v>8.9718</v>
      </c>
      <c r="M536" s="14" t="s">
        <v>26</v>
      </c>
    </row>
    <row r="537" ht="15.75" customHeight="1">
      <c r="A537" s="14" t="s">
        <v>1751</v>
      </c>
      <c r="B537" s="14" t="s">
        <v>2337</v>
      </c>
      <c r="C537" s="14">
        <v>1.0</v>
      </c>
      <c r="D537" s="14" t="s">
        <v>9</v>
      </c>
      <c r="E537" s="14">
        <v>0.5455</v>
      </c>
      <c r="F537" s="14">
        <v>6.3586</v>
      </c>
      <c r="G537" s="14">
        <v>13.6758</v>
      </c>
      <c r="H537" s="14">
        <v>0.9806</v>
      </c>
      <c r="I537" s="14">
        <v>0.4272</v>
      </c>
      <c r="J537" s="14">
        <v>0.4012</v>
      </c>
      <c r="K537" s="14">
        <v>0.0971</v>
      </c>
      <c r="L537" s="14">
        <v>8.2957</v>
      </c>
      <c r="M537" s="14" t="s">
        <v>26</v>
      </c>
    </row>
    <row r="538" ht="15.75" customHeight="1">
      <c r="A538" s="14" t="s">
        <v>199</v>
      </c>
      <c r="B538" s="14" t="s">
        <v>2338</v>
      </c>
      <c r="C538" s="14">
        <v>1.0</v>
      </c>
      <c r="D538" s="14" t="s">
        <v>9</v>
      </c>
      <c r="E538" s="14">
        <v>0.6727</v>
      </c>
      <c r="F538" s="14">
        <v>6.3551</v>
      </c>
      <c r="G538" s="14">
        <v>13.7329</v>
      </c>
      <c r="H538" s="14">
        <v>0.9751</v>
      </c>
      <c r="I538" s="14">
        <v>0.4235</v>
      </c>
      <c r="J538" s="14">
        <v>0.2727</v>
      </c>
      <c r="K538" s="14">
        <v>0.1378</v>
      </c>
      <c r="L538" s="14">
        <v>9.4121</v>
      </c>
      <c r="M538" s="14" t="s">
        <v>26</v>
      </c>
    </row>
    <row r="539" ht="15.75" customHeight="1">
      <c r="A539" s="14" t="s">
        <v>606</v>
      </c>
      <c r="B539" s="14" t="s">
        <v>2341</v>
      </c>
      <c r="C539" s="14">
        <v>1.0</v>
      </c>
      <c r="D539" s="14" t="s">
        <v>9</v>
      </c>
      <c r="E539" s="14">
        <v>0.5867</v>
      </c>
      <c r="F539" s="14">
        <v>6.3517</v>
      </c>
      <c r="G539" s="14">
        <v>13.8018</v>
      </c>
      <c r="H539" s="14">
        <v>0.9771</v>
      </c>
      <c r="I539" s="14">
        <v>0.419</v>
      </c>
      <c r="J539" s="14">
        <v>0.398</v>
      </c>
      <c r="K539" s="14">
        <v>0.1281</v>
      </c>
      <c r="L539" s="14">
        <v>8.1658</v>
      </c>
      <c r="M539" s="14" t="s">
        <v>26</v>
      </c>
    </row>
    <row r="540" ht="15.75" customHeight="1">
      <c r="A540" s="14" t="s">
        <v>1172</v>
      </c>
      <c r="B540" s="14" t="s">
        <v>2345</v>
      </c>
      <c r="C540" s="14">
        <v>1.0</v>
      </c>
      <c r="D540" s="14" t="s">
        <v>9</v>
      </c>
      <c r="E540" s="14">
        <v>0.6559</v>
      </c>
      <c r="F540" s="14">
        <v>6.3517</v>
      </c>
      <c r="G540" s="14">
        <v>13.8018</v>
      </c>
      <c r="H540" s="14">
        <v>0.9764</v>
      </c>
      <c r="I540" s="14">
        <v>0.419</v>
      </c>
      <c r="J540" s="14">
        <v>0.2947</v>
      </c>
      <c r="K540" s="14">
        <v>0.1375</v>
      </c>
      <c r="L540" s="14">
        <v>9.2264</v>
      </c>
      <c r="M540" s="14" t="s">
        <v>26</v>
      </c>
    </row>
    <row r="541" ht="15.75" customHeight="1">
      <c r="A541" s="14" t="s">
        <v>1076</v>
      </c>
      <c r="B541" s="14" t="s">
        <v>2349</v>
      </c>
      <c r="C541" s="14">
        <v>1.0</v>
      </c>
      <c r="D541" s="14" t="s">
        <v>9</v>
      </c>
      <c r="E541" s="14">
        <v>0.6619</v>
      </c>
      <c r="F541" s="14">
        <v>6.3482</v>
      </c>
      <c r="G541" s="14">
        <v>13.4689</v>
      </c>
      <c r="H541" s="14">
        <v>0.9764</v>
      </c>
      <c r="I541" s="14">
        <v>0.4397</v>
      </c>
      <c r="J541" s="14">
        <v>0.2934</v>
      </c>
      <c r="K541" s="14">
        <v>0.1378</v>
      </c>
      <c r="L541" s="14">
        <v>9.223</v>
      </c>
      <c r="M541" s="14" t="s">
        <v>26</v>
      </c>
    </row>
    <row r="542" ht="15.75" customHeight="1">
      <c r="A542" s="14" t="s">
        <v>242</v>
      </c>
      <c r="B542" s="14" t="s">
        <v>2351</v>
      </c>
      <c r="C542" s="14">
        <v>1.0</v>
      </c>
      <c r="D542" s="14" t="s">
        <v>9</v>
      </c>
      <c r="E542" s="14">
        <v>0.6094</v>
      </c>
      <c r="F542" s="14">
        <v>6.3482</v>
      </c>
      <c r="G542" s="14">
        <v>13.6068</v>
      </c>
      <c r="H542" s="14">
        <v>0.9809</v>
      </c>
      <c r="I542" s="14">
        <v>0.4309</v>
      </c>
      <c r="J542" s="14">
        <v>0.2983</v>
      </c>
      <c r="K542" s="14">
        <v>0.0897</v>
      </c>
      <c r="L542" s="14">
        <v>9.1667</v>
      </c>
      <c r="M542" s="14" t="s">
        <v>26</v>
      </c>
    </row>
    <row r="543" ht="15.75" customHeight="1">
      <c r="A543" s="14" t="s">
        <v>438</v>
      </c>
      <c r="B543" s="14" t="s">
        <v>2353</v>
      </c>
      <c r="C543" s="14">
        <v>1.0</v>
      </c>
      <c r="D543" s="14" t="s">
        <v>9</v>
      </c>
      <c r="E543" s="14">
        <v>0.6386</v>
      </c>
      <c r="F543" s="14">
        <v>6.3482</v>
      </c>
      <c r="G543" s="14">
        <v>13.6413</v>
      </c>
      <c r="H543" s="14">
        <v>0.9809</v>
      </c>
      <c r="I543" s="14">
        <v>0.4287</v>
      </c>
      <c r="J543" s="14">
        <v>0.2943</v>
      </c>
      <c r="K543" s="14">
        <v>0.0896</v>
      </c>
      <c r="L543" s="14">
        <v>9.2022</v>
      </c>
      <c r="M543" s="14" t="s">
        <v>26</v>
      </c>
    </row>
    <row r="544" ht="15.75" customHeight="1">
      <c r="A544" s="14" t="s">
        <v>498</v>
      </c>
      <c r="B544" s="14" t="s">
        <v>2356</v>
      </c>
      <c r="C544" s="14">
        <v>1.0</v>
      </c>
      <c r="D544" s="14" t="s">
        <v>9</v>
      </c>
      <c r="E544" s="14">
        <v>0.6426</v>
      </c>
      <c r="F544" s="14">
        <v>6.3447</v>
      </c>
      <c r="G544" s="14">
        <v>13.6413</v>
      </c>
      <c r="H544" s="14">
        <v>0.9808</v>
      </c>
      <c r="I544" s="14">
        <v>0.4285</v>
      </c>
      <c r="J544" s="14">
        <v>0.2945</v>
      </c>
      <c r="K544" s="14">
        <v>0.0901</v>
      </c>
      <c r="L544" s="14">
        <v>9.1885</v>
      </c>
      <c r="M544" s="14" t="s">
        <v>26</v>
      </c>
    </row>
    <row r="545" ht="15.75" customHeight="1">
      <c r="A545" s="14" t="s">
        <v>752</v>
      </c>
      <c r="B545" s="14" t="s">
        <v>2359</v>
      </c>
      <c r="C545" s="14">
        <v>1.0</v>
      </c>
      <c r="D545" s="14" t="s">
        <v>9</v>
      </c>
      <c r="E545" s="14">
        <v>0.7206</v>
      </c>
      <c r="F545" s="14">
        <v>6.3447</v>
      </c>
      <c r="G545" s="14">
        <v>13.7816</v>
      </c>
      <c r="H545" s="14">
        <v>0.9738</v>
      </c>
      <c r="I545" s="14">
        <v>0.4198</v>
      </c>
      <c r="J545" s="14">
        <v>0.3093</v>
      </c>
      <c r="K545" s="14">
        <v>0.1814</v>
      </c>
      <c r="L545" s="14">
        <v>8.9341</v>
      </c>
      <c r="M545" s="14" t="s">
        <v>26</v>
      </c>
    </row>
    <row r="546" ht="15.75" customHeight="1">
      <c r="A546" s="14" t="s">
        <v>203</v>
      </c>
      <c r="B546" s="14" t="s">
        <v>2362</v>
      </c>
      <c r="C546" s="14">
        <v>1.0</v>
      </c>
      <c r="D546" s="14" t="s">
        <v>9</v>
      </c>
      <c r="E546" s="14">
        <v>0.6698</v>
      </c>
      <c r="F546" s="14">
        <v>6.3413</v>
      </c>
      <c r="G546" s="14">
        <v>13.5664</v>
      </c>
      <c r="H546" s="14">
        <v>0.9752</v>
      </c>
      <c r="I546" s="14">
        <v>0.433</v>
      </c>
      <c r="J546" s="14">
        <v>0.2728</v>
      </c>
      <c r="K546" s="14">
        <v>0.1387</v>
      </c>
      <c r="L546" s="14">
        <v>9.3957</v>
      </c>
      <c r="M546" s="14" t="s">
        <v>26</v>
      </c>
    </row>
    <row r="547" ht="15.75" customHeight="1">
      <c r="A547" s="14" t="s">
        <v>512</v>
      </c>
      <c r="B547" s="14" t="s">
        <v>2364</v>
      </c>
      <c r="C547" s="14">
        <v>1.0</v>
      </c>
      <c r="D547" s="14" t="s">
        <v>9</v>
      </c>
      <c r="E547" s="14">
        <v>0.64</v>
      </c>
      <c r="F547" s="14">
        <v>6.3413</v>
      </c>
      <c r="G547" s="14">
        <v>13.6413</v>
      </c>
      <c r="H547" s="14">
        <v>0.9809</v>
      </c>
      <c r="I547" s="14">
        <v>0.4282</v>
      </c>
      <c r="J547" s="14">
        <v>0.2919</v>
      </c>
      <c r="K547" s="14">
        <v>0.0896</v>
      </c>
      <c r="L547" s="14">
        <v>9.1997</v>
      </c>
      <c r="M547" s="14" t="s">
        <v>26</v>
      </c>
    </row>
    <row r="548" ht="15.75" customHeight="1">
      <c r="A548" s="14" t="s">
        <v>232</v>
      </c>
      <c r="B548" s="14" t="s">
        <v>2367</v>
      </c>
      <c r="C548" s="14">
        <v>1.0</v>
      </c>
      <c r="D548" s="14" t="s">
        <v>9</v>
      </c>
      <c r="E548" s="14">
        <v>0.6886</v>
      </c>
      <c r="F548" s="14">
        <v>6.3378</v>
      </c>
      <c r="G548" s="14">
        <v>13.5664</v>
      </c>
      <c r="H548" s="14">
        <v>0.9756</v>
      </c>
      <c r="I548" s="14">
        <v>0.4327</v>
      </c>
      <c r="J548" s="14">
        <v>0.2804</v>
      </c>
      <c r="K548" s="14">
        <v>0.1383</v>
      </c>
      <c r="L548" s="14">
        <v>9.2945</v>
      </c>
      <c r="M548" s="14" t="s">
        <v>26</v>
      </c>
    </row>
    <row r="549" ht="15.75" customHeight="1">
      <c r="A549" s="14" t="s">
        <v>2370</v>
      </c>
      <c r="B549" s="14" t="s">
        <v>2371</v>
      </c>
      <c r="C549" s="14">
        <v>1.0</v>
      </c>
      <c r="D549" s="14" t="s">
        <v>9</v>
      </c>
      <c r="E549" s="14">
        <v>0.5194</v>
      </c>
      <c r="F549" s="14">
        <v>6.3274</v>
      </c>
      <c r="G549" s="14">
        <v>14.0289</v>
      </c>
      <c r="H549" s="14">
        <v>0.9837</v>
      </c>
      <c r="I549" s="14">
        <v>0.404</v>
      </c>
      <c r="J549" s="14">
        <v>0.3672</v>
      </c>
      <c r="K549" s="14">
        <v>0.1127</v>
      </c>
      <c r="L549" s="14">
        <v>8.4341</v>
      </c>
      <c r="M549" s="14" t="s">
        <v>26</v>
      </c>
    </row>
    <row r="550" ht="15.75" customHeight="1">
      <c r="A550" s="14" t="s">
        <v>289</v>
      </c>
      <c r="B550" s="14" t="s">
        <v>2374</v>
      </c>
      <c r="C550" s="14">
        <v>1.0</v>
      </c>
      <c r="D550" s="14" t="s">
        <v>9</v>
      </c>
      <c r="E550" s="14">
        <v>0.6523</v>
      </c>
      <c r="F550" s="14">
        <v>6.3274</v>
      </c>
      <c r="G550" s="14">
        <v>13.6413</v>
      </c>
      <c r="H550" s="14">
        <v>0.9808</v>
      </c>
      <c r="I550" s="14">
        <v>0.4273</v>
      </c>
      <c r="J550" s="14">
        <v>0.2949</v>
      </c>
      <c r="K550" s="14">
        <v>0.0914</v>
      </c>
      <c r="L550" s="14">
        <v>9.2064</v>
      </c>
      <c r="M550" s="14" t="s">
        <v>26</v>
      </c>
    </row>
    <row r="551" ht="15.75" customHeight="1">
      <c r="A551" s="14" t="s">
        <v>2376</v>
      </c>
      <c r="B551" s="14" t="s">
        <v>2377</v>
      </c>
      <c r="C551" s="14">
        <v>1.0</v>
      </c>
      <c r="D551" s="14" t="s">
        <v>9</v>
      </c>
      <c r="E551" s="14">
        <v>0.6693</v>
      </c>
      <c r="F551" s="14">
        <v>6.324</v>
      </c>
      <c r="G551" s="14">
        <v>13.6984</v>
      </c>
      <c r="H551" s="14">
        <v>0.9771</v>
      </c>
      <c r="I551" s="14">
        <v>0.4235</v>
      </c>
      <c r="J551" s="14">
        <v>0.2875</v>
      </c>
      <c r="K551" s="14">
        <v>0.1525</v>
      </c>
      <c r="L551" s="14">
        <v>9.281</v>
      </c>
      <c r="M551" s="14" t="s">
        <v>26</v>
      </c>
    </row>
    <row r="552" ht="15.75" customHeight="1">
      <c r="A552" s="14" t="s">
        <v>550</v>
      </c>
      <c r="B552" s="14" t="s">
        <v>2380</v>
      </c>
      <c r="C552" s="14">
        <v>1.0</v>
      </c>
      <c r="D552" s="14" t="s">
        <v>9</v>
      </c>
      <c r="E552" s="14">
        <v>0.6372</v>
      </c>
      <c r="F552" s="14">
        <v>6.324</v>
      </c>
      <c r="G552" s="14">
        <v>13.6413</v>
      </c>
      <c r="H552" s="14">
        <v>0.9809</v>
      </c>
      <c r="I552" s="14">
        <v>0.4271</v>
      </c>
      <c r="J552" s="14">
        <v>0.2911</v>
      </c>
      <c r="K552" s="14">
        <v>0.0916</v>
      </c>
      <c r="L552" s="14">
        <v>9.1771</v>
      </c>
      <c r="M552" s="14" t="s">
        <v>26</v>
      </c>
    </row>
    <row r="553" ht="15.75" customHeight="1">
      <c r="A553" s="14" t="s">
        <v>424</v>
      </c>
      <c r="B553" s="14" t="s">
        <v>2383</v>
      </c>
      <c r="C553" s="14">
        <v>1.0</v>
      </c>
      <c r="D553" s="14" t="s">
        <v>9</v>
      </c>
      <c r="E553" s="14">
        <v>0.6506</v>
      </c>
      <c r="F553" s="14">
        <v>6.324</v>
      </c>
      <c r="G553" s="14">
        <v>13.5723</v>
      </c>
      <c r="H553" s="14">
        <v>0.9806</v>
      </c>
      <c r="I553" s="14">
        <v>0.4314</v>
      </c>
      <c r="J553" s="14">
        <v>0.2912</v>
      </c>
      <c r="K553" s="14">
        <v>0.0917</v>
      </c>
      <c r="L553" s="14">
        <v>9.1926</v>
      </c>
      <c r="M553" s="14" t="s">
        <v>26</v>
      </c>
    </row>
    <row r="554" ht="15.75" customHeight="1">
      <c r="A554" s="14" t="s">
        <v>314</v>
      </c>
      <c r="B554" s="14" t="s">
        <v>2385</v>
      </c>
      <c r="C554" s="14">
        <v>1.0</v>
      </c>
      <c r="D554" s="14" t="s">
        <v>9</v>
      </c>
      <c r="E554" s="14">
        <v>0.6808</v>
      </c>
      <c r="F554" s="14">
        <v>6.317</v>
      </c>
      <c r="G554" s="14">
        <v>13.4</v>
      </c>
      <c r="H554" s="14">
        <v>0.9747</v>
      </c>
      <c r="I554" s="14">
        <v>0.4421</v>
      </c>
      <c r="J554" s="14">
        <v>0.2626</v>
      </c>
      <c r="K554" s="14">
        <v>0.127</v>
      </c>
      <c r="L554" s="14">
        <v>9.4769</v>
      </c>
      <c r="M554" s="14" t="s">
        <v>26</v>
      </c>
    </row>
    <row r="555" ht="15.75" customHeight="1">
      <c r="A555" s="14" t="s">
        <v>182</v>
      </c>
      <c r="B555" s="14" t="s">
        <v>2388</v>
      </c>
      <c r="C555" s="14">
        <v>1.0</v>
      </c>
      <c r="D555" s="14" t="s">
        <v>9</v>
      </c>
      <c r="E555" s="14">
        <v>0.6651</v>
      </c>
      <c r="F555" s="14">
        <v>6.3136</v>
      </c>
      <c r="G555" s="14">
        <v>13.5664</v>
      </c>
      <c r="H555" s="14">
        <v>0.9756</v>
      </c>
      <c r="I555" s="14">
        <v>0.4311</v>
      </c>
      <c r="J555" s="14">
        <v>0.275</v>
      </c>
      <c r="K555" s="14">
        <v>0.1413</v>
      </c>
      <c r="L555" s="14">
        <v>9.3705</v>
      </c>
      <c r="M555" s="14" t="s">
        <v>26</v>
      </c>
    </row>
    <row r="556" ht="15.75" customHeight="1">
      <c r="A556" s="14" t="s">
        <v>261</v>
      </c>
      <c r="B556" s="14" t="s">
        <v>2390</v>
      </c>
      <c r="C556" s="14">
        <v>1.0</v>
      </c>
      <c r="D556" s="14" t="s">
        <v>9</v>
      </c>
      <c r="E556" s="14">
        <v>0.6582</v>
      </c>
      <c r="F556" s="14">
        <v>6.3066</v>
      </c>
      <c r="G556" s="14">
        <v>13.6068</v>
      </c>
      <c r="H556" s="14">
        <v>0.9807</v>
      </c>
      <c r="I556" s="14">
        <v>0.4281</v>
      </c>
      <c r="J556" s="14">
        <v>0.296</v>
      </c>
      <c r="K556" s="14">
        <v>0.0927</v>
      </c>
      <c r="L556" s="14">
        <v>9.1937</v>
      </c>
      <c r="M556" s="14" t="s">
        <v>26</v>
      </c>
    </row>
    <row r="557" ht="15.75" customHeight="1">
      <c r="A557" s="14" t="s">
        <v>808</v>
      </c>
      <c r="B557" s="14" t="s">
        <v>2393</v>
      </c>
      <c r="C557" s="14">
        <v>1.0</v>
      </c>
      <c r="D557" s="14" t="s">
        <v>9</v>
      </c>
      <c r="E557" s="14">
        <v>0.713</v>
      </c>
      <c r="F557" s="14">
        <v>6.3032</v>
      </c>
      <c r="G557" s="14">
        <v>13.463</v>
      </c>
      <c r="H557" s="14">
        <v>0.9744</v>
      </c>
      <c r="I557" s="14">
        <v>0.437</v>
      </c>
      <c r="J557" s="14">
        <v>0.3098</v>
      </c>
      <c r="K557" s="14">
        <v>0.1844</v>
      </c>
      <c r="L557" s="14">
        <v>8.9466</v>
      </c>
      <c r="M557" s="14" t="s">
        <v>26</v>
      </c>
    </row>
    <row r="558" ht="15.75" customHeight="1">
      <c r="A558" s="14" t="s">
        <v>317</v>
      </c>
      <c r="B558" s="14" t="s">
        <v>2395</v>
      </c>
      <c r="C558" s="14">
        <v>1.0</v>
      </c>
      <c r="D558" s="14" t="s">
        <v>9</v>
      </c>
      <c r="E558" s="14">
        <v>0.5885</v>
      </c>
      <c r="F558" s="14">
        <v>6.2997</v>
      </c>
      <c r="G558" s="14">
        <v>13.6758</v>
      </c>
      <c r="H558" s="14">
        <v>0.9816</v>
      </c>
      <c r="I558" s="14">
        <v>0.4233</v>
      </c>
      <c r="J558" s="14">
        <v>0.3338</v>
      </c>
      <c r="K558" s="14">
        <v>0.0982</v>
      </c>
      <c r="L558" s="14">
        <v>8.8236</v>
      </c>
      <c r="M558" s="14" t="s">
        <v>26</v>
      </c>
    </row>
    <row r="559" ht="15.75" customHeight="1">
      <c r="A559" s="14" t="s">
        <v>32</v>
      </c>
      <c r="B559" s="14" t="s">
        <v>2397</v>
      </c>
      <c r="C559" s="14">
        <v>1.0</v>
      </c>
      <c r="D559" s="14" t="s">
        <v>9</v>
      </c>
      <c r="E559" s="14">
        <v>0.6703</v>
      </c>
      <c r="F559" s="14">
        <v>6.2893</v>
      </c>
      <c r="G559" s="14">
        <v>13.7329</v>
      </c>
      <c r="H559" s="14">
        <v>0.9764</v>
      </c>
      <c r="I559" s="14">
        <v>0.4191</v>
      </c>
      <c r="J559" s="14">
        <v>0.2736</v>
      </c>
      <c r="K559" s="14">
        <v>0.1416</v>
      </c>
      <c r="L559" s="14">
        <v>9.3738</v>
      </c>
      <c r="M559" s="14" t="s">
        <v>26</v>
      </c>
    </row>
    <row r="560" ht="15.75" customHeight="1">
      <c r="A560" s="14" t="s">
        <v>565</v>
      </c>
      <c r="B560" s="14" t="s">
        <v>2400</v>
      </c>
      <c r="C560" s="14">
        <v>1.0</v>
      </c>
      <c r="D560" s="14" t="s">
        <v>9</v>
      </c>
      <c r="E560" s="14">
        <v>0.6717</v>
      </c>
      <c r="F560" s="14">
        <v>6.2824</v>
      </c>
      <c r="G560" s="14">
        <v>13.5664</v>
      </c>
      <c r="H560" s="14">
        <v>0.9763</v>
      </c>
      <c r="I560" s="14">
        <v>0.4289</v>
      </c>
      <c r="J560" s="14">
        <v>0.2747</v>
      </c>
      <c r="K560" s="14">
        <v>0.1433</v>
      </c>
      <c r="L560" s="14">
        <v>9.3788</v>
      </c>
      <c r="M560" s="14" t="s">
        <v>26</v>
      </c>
    </row>
    <row r="561" ht="15.75" customHeight="1">
      <c r="A561" s="14" t="s">
        <v>2403</v>
      </c>
      <c r="B561" s="14" t="s">
        <v>2404</v>
      </c>
      <c r="C561" s="14">
        <v>1.0</v>
      </c>
      <c r="D561" s="14" t="s">
        <v>9</v>
      </c>
      <c r="E561" s="14">
        <v>0.6722</v>
      </c>
      <c r="F561" s="14">
        <v>6.2824</v>
      </c>
      <c r="G561" s="14">
        <v>13.7674</v>
      </c>
      <c r="H561" s="14">
        <v>0.9766</v>
      </c>
      <c r="I561" s="14">
        <v>0.4165</v>
      </c>
      <c r="J561" s="14">
        <v>0.2766</v>
      </c>
      <c r="K561" s="14">
        <v>0.1428</v>
      </c>
      <c r="L561" s="14">
        <v>9.3591</v>
      </c>
      <c r="M561" s="14" t="s">
        <v>26</v>
      </c>
    </row>
    <row r="562" ht="15.75" customHeight="1">
      <c r="A562" s="14" t="s">
        <v>714</v>
      </c>
      <c r="B562" s="14" t="s">
        <v>2406</v>
      </c>
      <c r="C562" s="14">
        <v>1.0</v>
      </c>
      <c r="D562" s="14" t="s">
        <v>9</v>
      </c>
      <c r="E562" s="14">
        <v>0.7087</v>
      </c>
      <c r="F562" s="14">
        <v>6.2755</v>
      </c>
      <c r="G562" s="14">
        <v>13.4975</v>
      </c>
      <c r="H562" s="14">
        <v>0.9751</v>
      </c>
      <c r="I562" s="14">
        <v>0.4329</v>
      </c>
      <c r="J562" s="14">
        <v>0.3152</v>
      </c>
      <c r="K562" s="14">
        <v>0.1868</v>
      </c>
      <c r="L562" s="14">
        <v>8.9348</v>
      </c>
      <c r="M562" s="14" t="s">
        <v>26</v>
      </c>
    </row>
    <row r="563" ht="15.75" customHeight="1">
      <c r="A563" s="14" t="s">
        <v>2093</v>
      </c>
      <c r="B563" s="14" t="s">
        <v>2407</v>
      </c>
      <c r="C563" s="14">
        <v>1.0</v>
      </c>
      <c r="D563" s="14" t="s">
        <v>9</v>
      </c>
      <c r="E563" s="14">
        <v>0.7184</v>
      </c>
      <c r="F563" s="14">
        <v>6.2685</v>
      </c>
      <c r="G563" s="14">
        <v>13.463</v>
      </c>
      <c r="H563" s="14">
        <v>0.9751</v>
      </c>
      <c r="I563" s="14">
        <v>0.4346</v>
      </c>
      <c r="J563" s="14">
        <v>0.3123</v>
      </c>
      <c r="K563" s="14">
        <v>0.1871</v>
      </c>
      <c r="L563" s="14">
        <v>8.9327</v>
      </c>
      <c r="M563" s="14" t="s">
        <v>26</v>
      </c>
    </row>
    <row r="564" ht="15.75" customHeight="1">
      <c r="A564" s="14" t="s">
        <v>2037</v>
      </c>
      <c r="B564" s="14" t="s">
        <v>2409</v>
      </c>
      <c r="C564" s="14">
        <v>1.0</v>
      </c>
      <c r="D564" s="14" t="s">
        <v>9</v>
      </c>
      <c r="E564" s="14">
        <v>0.7039</v>
      </c>
      <c r="F564" s="14">
        <v>6.2616</v>
      </c>
      <c r="G564" s="14">
        <v>13.4143</v>
      </c>
      <c r="H564" s="14">
        <v>0.9767</v>
      </c>
      <c r="I564" s="14">
        <v>0.4373</v>
      </c>
      <c r="J564" s="14">
        <v>0.2804</v>
      </c>
      <c r="K564" s="14">
        <v>0.1454</v>
      </c>
      <c r="L564" s="14">
        <v>9.2627</v>
      </c>
      <c r="M564" s="14" t="s">
        <v>26</v>
      </c>
    </row>
    <row r="565" ht="15.75" customHeight="1">
      <c r="A565" s="14" t="s">
        <v>2412</v>
      </c>
      <c r="B565" s="14" t="s">
        <v>2413</v>
      </c>
      <c r="C565" s="14">
        <v>1.0</v>
      </c>
      <c r="D565" s="14" t="s">
        <v>9</v>
      </c>
      <c r="E565" s="14">
        <v>0.6723</v>
      </c>
      <c r="F565" s="14">
        <v>6.2581</v>
      </c>
      <c r="G565" s="14">
        <v>13.5664</v>
      </c>
      <c r="H565" s="14">
        <v>0.9761</v>
      </c>
      <c r="I565" s="14">
        <v>0.4273</v>
      </c>
      <c r="J565" s="14">
        <v>0.2786</v>
      </c>
      <c r="K565" s="14">
        <v>0.1462</v>
      </c>
      <c r="L565" s="14">
        <v>9.3327</v>
      </c>
      <c r="M565" s="14" t="s">
        <v>26</v>
      </c>
    </row>
    <row r="566" ht="15.75" customHeight="1">
      <c r="A566" s="14" t="s">
        <v>346</v>
      </c>
      <c r="B566" s="14" t="s">
        <v>2416</v>
      </c>
      <c r="C566" s="14">
        <v>1.0</v>
      </c>
      <c r="D566" s="14" t="s">
        <v>9</v>
      </c>
      <c r="E566" s="14">
        <v>0.6393</v>
      </c>
      <c r="F566" s="14">
        <v>6.2547</v>
      </c>
      <c r="G566" s="14">
        <v>13.8708</v>
      </c>
      <c r="H566" s="14">
        <v>0.9787</v>
      </c>
      <c r="I566" s="14">
        <v>0.4085</v>
      </c>
      <c r="J566" s="14">
        <v>0.3065</v>
      </c>
      <c r="K566" s="14">
        <v>0.1603</v>
      </c>
      <c r="L566" s="14">
        <v>9.063</v>
      </c>
      <c r="M566" s="14" t="s">
        <v>26</v>
      </c>
    </row>
    <row r="567" ht="15.75" customHeight="1">
      <c r="A567" s="14" t="s">
        <v>249</v>
      </c>
      <c r="B567" s="14" t="s">
        <v>2418</v>
      </c>
      <c r="C567" s="14">
        <v>1.0</v>
      </c>
      <c r="D567" s="14" t="s">
        <v>9</v>
      </c>
      <c r="E567" s="14">
        <v>0.5852</v>
      </c>
      <c r="F567" s="14">
        <v>6.2478</v>
      </c>
      <c r="G567" s="14">
        <v>13.8565</v>
      </c>
      <c r="H567" s="14">
        <v>0.982</v>
      </c>
      <c r="I567" s="14">
        <v>0.4089</v>
      </c>
      <c r="J567" s="14">
        <v>0.3035</v>
      </c>
      <c r="K567" s="14">
        <v>0.1068</v>
      </c>
      <c r="L567" s="14">
        <v>9.2269</v>
      </c>
      <c r="M567" s="14" t="s">
        <v>26</v>
      </c>
    </row>
    <row r="568" ht="15.75" customHeight="1">
      <c r="A568" s="14" t="s">
        <v>695</v>
      </c>
      <c r="B568" s="14" t="s">
        <v>2421</v>
      </c>
      <c r="C568" s="14">
        <v>1.0</v>
      </c>
      <c r="D568" s="14" t="s">
        <v>9</v>
      </c>
      <c r="E568" s="14">
        <v>0.7103</v>
      </c>
      <c r="F568" s="14">
        <v>6.2443</v>
      </c>
      <c r="G568" s="14">
        <v>13.4143</v>
      </c>
      <c r="H568" s="14">
        <v>0.975</v>
      </c>
      <c r="I568" s="14">
        <v>0.4361</v>
      </c>
      <c r="J568" s="14">
        <v>0.3168</v>
      </c>
      <c r="K568" s="14">
        <v>0.1902</v>
      </c>
      <c r="L568" s="14">
        <v>8.9005</v>
      </c>
      <c r="M568" s="14" t="s">
        <v>26</v>
      </c>
    </row>
    <row r="569" ht="15.75" customHeight="1">
      <c r="A569" s="14" t="s">
        <v>294</v>
      </c>
      <c r="B569" s="14" t="s">
        <v>2424</v>
      </c>
      <c r="C569" s="14">
        <v>1.0</v>
      </c>
      <c r="D569" s="14" t="s">
        <v>9</v>
      </c>
      <c r="E569" s="14">
        <v>0.5546</v>
      </c>
      <c r="F569" s="14">
        <v>6.227</v>
      </c>
      <c r="G569" s="14">
        <v>14.1953</v>
      </c>
      <c r="H569" s="14">
        <v>0.9848</v>
      </c>
      <c r="I569" s="14">
        <v>0.3883</v>
      </c>
      <c r="J569" s="14">
        <v>0.2764</v>
      </c>
      <c r="K569" s="14">
        <v>0.1181</v>
      </c>
      <c r="L569" s="14">
        <v>9.2598</v>
      </c>
      <c r="M569" s="14" t="s">
        <v>26</v>
      </c>
    </row>
    <row r="570" ht="15.75" customHeight="1">
      <c r="A570" s="14" t="s">
        <v>376</v>
      </c>
      <c r="B570" s="14" t="s">
        <v>2426</v>
      </c>
      <c r="C570" s="14">
        <v>1.0</v>
      </c>
      <c r="D570" s="14" t="s">
        <v>9</v>
      </c>
      <c r="E570" s="14">
        <v>0.5556</v>
      </c>
      <c r="F570" s="14">
        <v>6.2201</v>
      </c>
      <c r="G570" s="14">
        <v>13.9944</v>
      </c>
      <c r="H570" s="14">
        <v>0.9825</v>
      </c>
      <c r="I570" s="14">
        <v>0.3991</v>
      </c>
      <c r="J570" s="14">
        <v>0.3129</v>
      </c>
      <c r="K570" s="14">
        <v>0.1692</v>
      </c>
      <c r="L570" s="14">
        <v>8.9664</v>
      </c>
      <c r="M570" s="14" t="s">
        <v>26</v>
      </c>
    </row>
    <row r="571" ht="15.75" customHeight="1">
      <c r="A571" s="14" t="s">
        <v>1485</v>
      </c>
      <c r="B571" s="14" t="s">
        <v>2429</v>
      </c>
      <c r="C571" s="14">
        <v>1.0</v>
      </c>
      <c r="D571" s="14" t="s">
        <v>9</v>
      </c>
      <c r="E571" s="14">
        <v>0.5946</v>
      </c>
      <c r="F571" s="14">
        <v>6.2131</v>
      </c>
      <c r="G571" s="14">
        <v>14.2726</v>
      </c>
      <c r="H571" s="14">
        <v>0.984</v>
      </c>
      <c r="I571" s="14">
        <v>0.3833</v>
      </c>
      <c r="J571" s="14">
        <v>0.4072</v>
      </c>
      <c r="K571" s="14">
        <v>0.2454</v>
      </c>
      <c r="L571" s="14">
        <v>8.0734</v>
      </c>
      <c r="M571" s="14" t="s">
        <v>26</v>
      </c>
    </row>
    <row r="572" ht="15.75" customHeight="1">
      <c r="A572" s="14" t="s">
        <v>2432</v>
      </c>
      <c r="B572" s="14" t="s">
        <v>2433</v>
      </c>
      <c r="C572" s="14">
        <v>1.0</v>
      </c>
      <c r="D572" s="14" t="s">
        <v>9</v>
      </c>
      <c r="E572" s="14">
        <v>0.5786</v>
      </c>
      <c r="F572" s="14">
        <v>6.2097</v>
      </c>
      <c r="G572" s="14">
        <v>14.1608</v>
      </c>
      <c r="H572" s="14">
        <v>0.9826</v>
      </c>
      <c r="I572" s="14">
        <v>0.3891</v>
      </c>
      <c r="J572" s="14">
        <v>0.3161</v>
      </c>
      <c r="K572" s="14">
        <v>0.1708</v>
      </c>
      <c r="L572" s="14">
        <v>8.9624</v>
      </c>
      <c r="M572" s="14" t="s">
        <v>26</v>
      </c>
    </row>
    <row r="573" ht="15.75" customHeight="1">
      <c r="A573" s="14" t="s">
        <v>670</v>
      </c>
      <c r="B573" s="14" t="s">
        <v>2436</v>
      </c>
      <c r="C573" s="14">
        <v>1.0</v>
      </c>
      <c r="D573" s="14" t="s">
        <v>9</v>
      </c>
      <c r="E573" s="14">
        <v>0.7161</v>
      </c>
      <c r="F573" s="14">
        <v>6.2062</v>
      </c>
      <c r="G573" s="14">
        <v>13.5807</v>
      </c>
      <c r="H573" s="14">
        <v>0.9756</v>
      </c>
      <c r="I573" s="14">
        <v>0.4229</v>
      </c>
      <c r="J573" s="14">
        <v>0.3188</v>
      </c>
      <c r="K573" s="14">
        <v>0.1943</v>
      </c>
      <c r="L573" s="14">
        <v>8.8717</v>
      </c>
      <c r="M573" s="14" t="s">
        <v>26</v>
      </c>
    </row>
    <row r="574" ht="15.75" customHeight="1">
      <c r="A574" s="14" t="s">
        <v>308</v>
      </c>
      <c r="B574" s="14" t="s">
        <v>2439</v>
      </c>
      <c r="C574" s="14">
        <v>1.0</v>
      </c>
      <c r="D574" s="14" t="s">
        <v>9</v>
      </c>
      <c r="E574" s="14">
        <v>0.605</v>
      </c>
      <c r="F574" s="14">
        <v>6.2062</v>
      </c>
      <c r="G574" s="14">
        <v>13.4832</v>
      </c>
      <c r="H574" s="14">
        <v>0.977</v>
      </c>
      <c r="I574" s="14">
        <v>0.429</v>
      </c>
      <c r="J574" s="14">
        <v>0.3519</v>
      </c>
      <c r="K574" s="14">
        <v>0.1545</v>
      </c>
      <c r="L574" s="14">
        <v>8.5184</v>
      </c>
      <c r="M574" s="14" t="s">
        <v>26</v>
      </c>
    </row>
    <row r="575" ht="15.75" customHeight="1">
      <c r="A575" s="14" t="s">
        <v>731</v>
      </c>
      <c r="B575" s="14" t="s">
        <v>2443</v>
      </c>
      <c r="C575" s="14">
        <v>1.0</v>
      </c>
      <c r="D575" s="14" t="s">
        <v>9</v>
      </c>
      <c r="E575" s="14">
        <v>0.711</v>
      </c>
      <c r="F575" s="14">
        <v>6.2027</v>
      </c>
      <c r="G575" s="14">
        <v>13.4975</v>
      </c>
      <c r="H575" s="14">
        <v>0.9759</v>
      </c>
      <c r="I575" s="14">
        <v>0.4278</v>
      </c>
      <c r="J575" s="14">
        <v>0.3192</v>
      </c>
      <c r="K575" s="14">
        <v>0.195</v>
      </c>
      <c r="L575" s="14">
        <v>8.8564</v>
      </c>
      <c r="M575" s="14" t="s">
        <v>26</v>
      </c>
    </row>
    <row r="576" ht="15.75" customHeight="1">
      <c r="A576" s="14" t="s">
        <v>660</v>
      </c>
      <c r="B576" s="14" t="s">
        <v>2446</v>
      </c>
      <c r="C576" s="14">
        <v>1.0</v>
      </c>
      <c r="D576" s="14" t="s">
        <v>9</v>
      </c>
      <c r="E576" s="14">
        <v>0.7123</v>
      </c>
      <c r="F576" s="14">
        <v>6.1993</v>
      </c>
      <c r="G576" s="14">
        <v>13.463</v>
      </c>
      <c r="H576" s="14">
        <v>0.9756</v>
      </c>
      <c r="I576" s="14">
        <v>0.4298</v>
      </c>
      <c r="J576" s="14">
        <v>0.3218</v>
      </c>
      <c r="K576" s="14">
        <v>0.1952</v>
      </c>
      <c r="L576" s="14">
        <v>8.862</v>
      </c>
      <c r="M576" s="14" t="s">
        <v>26</v>
      </c>
    </row>
    <row r="577" ht="15.75" customHeight="1">
      <c r="A577" s="14" t="s">
        <v>293</v>
      </c>
      <c r="B577" s="14" t="s">
        <v>2448</v>
      </c>
      <c r="C577" s="14">
        <v>1.0</v>
      </c>
      <c r="D577" s="14" t="s">
        <v>9</v>
      </c>
      <c r="E577" s="14">
        <v>0.7104</v>
      </c>
      <c r="F577" s="14">
        <v>6.1854</v>
      </c>
      <c r="G577" s="14">
        <v>13.2823</v>
      </c>
      <c r="H577" s="14">
        <v>0.9761</v>
      </c>
      <c r="I577" s="14">
        <v>0.4406</v>
      </c>
      <c r="J577" s="14">
        <v>0.2791</v>
      </c>
      <c r="K577" s="14">
        <v>0.1401</v>
      </c>
      <c r="L577" s="14">
        <v>9.283</v>
      </c>
      <c r="M577" s="14" t="s">
        <v>26</v>
      </c>
    </row>
    <row r="578" ht="15.75" customHeight="1">
      <c r="A578" s="14" t="s">
        <v>473</v>
      </c>
      <c r="B578" s="14" t="s">
        <v>2452</v>
      </c>
      <c r="C578" s="14">
        <v>1.0</v>
      </c>
      <c r="D578" s="14" t="s">
        <v>9</v>
      </c>
      <c r="E578" s="14">
        <v>0.5698</v>
      </c>
      <c r="F578" s="14">
        <v>6.1785</v>
      </c>
      <c r="G578" s="14">
        <v>14.0978</v>
      </c>
      <c r="H578" s="14">
        <v>0.9849</v>
      </c>
      <c r="I578" s="14">
        <v>0.3907</v>
      </c>
      <c r="J578" s="14">
        <v>0.276</v>
      </c>
      <c r="K578" s="14">
        <v>0.1253</v>
      </c>
      <c r="L578" s="14">
        <v>9.2734</v>
      </c>
      <c r="M578" s="14" t="s">
        <v>26</v>
      </c>
    </row>
    <row r="579" ht="15.75" customHeight="1">
      <c r="A579" s="14" t="s">
        <v>38</v>
      </c>
      <c r="B579" s="14" t="s">
        <v>2454</v>
      </c>
      <c r="C579" s="14">
        <v>1.0</v>
      </c>
      <c r="D579" s="14" t="s">
        <v>9</v>
      </c>
      <c r="E579" s="14">
        <v>0.5621</v>
      </c>
      <c r="F579" s="14">
        <v>6.175</v>
      </c>
      <c r="G579" s="14">
        <v>14.1608</v>
      </c>
      <c r="H579" s="14">
        <v>0.9837</v>
      </c>
      <c r="I579" s="14">
        <v>0.387</v>
      </c>
      <c r="J579" s="14">
        <v>0.3285</v>
      </c>
      <c r="K579" s="14">
        <v>0.1875</v>
      </c>
      <c r="L579" s="14">
        <v>8.8185</v>
      </c>
      <c r="M579" s="14" t="s">
        <v>26</v>
      </c>
    </row>
    <row r="580" ht="15.75" customHeight="1">
      <c r="A580" s="14" t="s">
        <v>431</v>
      </c>
      <c r="B580" s="14" t="s">
        <v>2456</v>
      </c>
      <c r="C580" s="14">
        <v>1.0</v>
      </c>
      <c r="D580" s="14" t="s">
        <v>9</v>
      </c>
      <c r="E580" s="14">
        <v>0.5747</v>
      </c>
      <c r="F580" s="14">
        <v>6.175</v>
      </c>
      <c r="G580" s="14">
        <v>14.1365</v>
      </c>
      <c r="H580" s="14">
        <v>0.9827</v>
      </c>
      <c r="I580" s="14">
        <v>0.3883</v>
      </c>
      <c r="J580" s="14">
        <v>0.3157</v>
      </c>
      <c r="K580" s="14">
        <v>0.1739</v>
      </c>
      <c r="L580" s="14">
        <v>8.9382</v>
      </c>
      <c r="M580" s="14" t="s">
        <v>26</v>
      </c>
    </row>
    <row r="581" ht="15.75" customHeight="1">
      <c r="A581" s="14" t="s">
        <v>1389</v>
      </c>
      <c r="B581" s="14" t="s">
        <v>2459</v>
      </c>
      <c r="C581" s="14">
        <v>1.0</v>
      </c>
      <c r="D581" s="14" t="s">
        <v>9</v>
      </c>
      <c r="E581" s="14">
        <v>0.5659</v>
      </c>
      <c r="F581" s="14">
        <v>6.175</v>
      </c>
      <c r="G581" s="14">
        <v>13.8767</v>
      </c>
      <c r="H581" s="14">
        <v>0.9839</v>
      </c>
      <c r="I581" s="14">
        <v>0.403</v>
      </c>
      <c r="J581" s="14">
        <v>0.2974</v>
      </c>
      <c r="K581" s="14">
        <v>0.123</v>
      </c>
      <c r="L581" s="14">
        <v>9.0515</v>
      </c>
      <c r="M581" s="14" t="s">
        <v>26</v>
      </c>
    </row>
    <row r="582" ht="15.75" customHeight="1">
      <c r="A582" s="14" t="s">
        <v>479</v>
      </c>
      <c r="B582" s="14" t="s">
        <v>2462</v>
      </c>
      <c r="C582" s="14">
        <v>1.0</v>
      </c>
      <c r="D582" s="14" t="s">
        <v>9</v>
      </c>
      <c r="E582" s="14">
        <v>0.5684</v>
      </c>
      <c r="F582" s="14">
        <v>6.1716</v>
      </c>
      <c r="G582" s="14">
        <v>14.1608</v>
      </c>
      <c r="H582" s="14">
        <v>0.9837</v>
      </c>
      <c r="I582" s="14">
        <v>0.3867</v>
      </c>
      <c r="J582" s="14">
        <v>0.3295</v>
      </c>
      <c r="K582" s="14">
        <v>0.1873</v>
      </c>
      <c r="L582" s="14">
        <v>8.8165</v>
      </c>
      <c r="M582" s="14" t="s">
        <v>26</v>
      </c>
    </row>
    <row r="583" ht="15.75" customHeight="1">
      <c r="A583" s="14" t="s">
        <v>425</v>
      </c>
      <c r="B583" s="14" t="s">
        <v>2464</v>
      </c>
      <c r="C583" s="14">
        <v>1.0</v>
      </c>
      <c r="D583" s="14" t="s">
        <v>9</v>
      </c>
      <c r="E583" s="14">
        <v>0.5574</v>
      </c>
      <c r="F583" s="14">
        <v>6.1681</v>
      </c>
      <c r="G583" s="14">
        <v>14.0289</v>
      </c>
      <c r="H583" s="14">
        <v>0.9829</v>
      </c>
      <c r="I583" s="14">
        <v>0.3938</v>
      </c>
      <c r="J583" s="14">
        <v>0.3168</v>
      </c>
      <c r="K583" s="14">
        <v>0.1741</v>
      </c>
      <c r="L583" s="14">
        <v>8.9398</v>
      </c>
      <c r="M583" s="14" t="s">
        <v>26</v>
      </c>
    </row>
    <row r="584" ht="15.75" customHeight="1">
      <c r="A584" s="14" t="s">
        <v>809</v>
      </c>
      <c r="B584" s="14" t="s">
        <v>2467</v>
      </c>
      <c r="C584" s="14">
        <v>1.0</v>
      </c>
      <c r="D584" s="14" t="s">
        <v>9</v>
      </c>
      <c r="E584" s="14">
        <v>0.2904</v>
      </c>
      <c r="F584" s="14">
        <v>6.1612</v>
      </c>
      <c r="G584" s="14">
        <v>13.073</v>
      </c>
      <c r="H584" s="14">
        <v>0.9786</v>
      </c>
      <c r="I584" s="14">
        <v>0.453</v>
      </c>
      <c r="J584" s="14">
        <v>0.5039</v>
      </c>
      <c r="K584" s="14">
        <v>0.1288</v>
      </c>
      <c r="L584" s="14">
        <v>6.8643</v>
      </c>
      <c r="M584" s="14" t="s">
        <v>26</v>
      </c>
    </row>
    <row r="585" ht="15.75" customHeight="1">
      <c r="A585" s="14" t="s">
        <v>1178</v>
      </c>
      <c r="B585" s="14" t="s">
        <v>2470</v>
      </c>
      <c r="C585" s="14">
        <v>1.0</v>
      </c>
      <c r="D585" s="14" t="s">
        <v>9</v>
      </c>
      <c r="E585" s="14">
        <v>0.3311</v>
      </c>
      <c r="F585" s="14">
        <v>6.1612</v>
      </c>
      <c r="G585" s="14">
        <v>17.3648</v>
      </c>
      <c r="H585" s="14">
        <v>0.9948</v>
      </c>
      <c r="I585" s="14">
        <v>0.2568</v>
      </c>
      <c r="J585" s="14">
        <v>0.3698</v>
      </c>
      <c r="K585" s="14">
        <v>0.0751</v>
      </c>
      <c r="L585" s="14">
        <v>8.3461</v>
      </c>
      <c r="M585" s="14" t="s">
        <v>26</v>
      </c>
    </row>
    <row r="586" ht="15.75" customHeight="1">
      <c r="A586" s="14" t="s">
        <v>680</v>
      </c>
      <c r="B586" s="14" t="s">
        <v>2472</v>
      </c>
      <c r="C586" s="14">
        <v>1.0</v>
      </c>
      <c r="D586" s="14" t="s">
        <v>9</v>
      </c>
      <c r="E586" s="14">
        <v>0.7072</v>
      </c>
      <c r="F586" s="14">
        <v>6.1612</v>
      </c>
      <c r="G586" s="14">
        <v>13.3168</v>
      </c>
      <c r="H586" s="14">
        <v>0.9761</v>
      </c>
      <c r="I586" s="14">
        <v>0.4366</v>
      </c>
      <c r="J586" s="14">
        <v>0.2778</v>
      </c>
      <c r="K586" s="14">
        <v>0.1433</v>
      </c>
      <c r="L586" s="14">
        <v>9.2558</v>
      </c>
      <c r="M586" s="14" t="s">
        <v>26</v>
      </c>
    </row>
    <row r="587" ht="15.75" customHeight="1">
      <c r="A587" s="14" t="s">
        <v>787</v>
      </c>
      <c r="B587" s="14" t="s">
        <v>2475</v>
      </c>
      <c r="C587" s="14">
        <v>1.0</v>
      </c>
      <c r="D587" s="14" t="s">
        <v>9</v>
      </c>
      <c r="E587" s="14">
        <v>0.7063</v>
      </c>
      <c r="F587" s="14">
        <v>6.1577</v>
      </c>
      <c r="G587" s="14">
        <v>13.3168</v>
      </c>
      <c r="H587" s="14">
        <v>0.9762</v>
      </c>
      <c r="I587" s="14">
        <v>0.4363</v>
      </c>
      <c r="J587" s="14">
        <v>0.2796</v>
      </c>
      <c r="K587" s="14">
        <v>0.1434</v>
      </c>
      <c r="L587" s="14">
        <v>9.2521</v>
      </c>
      <c r="M587" s="14" t="s">
        <v>26</v>
      </c>
    </row>
    <row r="588" ht="15.75" customHeight="1">
      <c r="A588" s="14" t="s">
        <v>1908</v>
      </c>
      <c r="B588" s="14" t="s">
        <v>2478</v>
      </c>
      <c r="C588" s="14">
        <v>1.0</v>
      </c>
      <c r="D588" s="14" t="s">
        <v>9</v>
      </c>
      <c r="E588" s="14">
        <v>0.7097</v>
      </c>
      <c r="F588" s="14">
        <v>6.1577</v>
      </c>
      <c r="G588" s="14">
        <v>13.3512</v>
      </c>
      <c r="H588" s="14">
        <v>0.9763</v>
      </c>
      <c r="I588" s="14">
        <v>0.4341</v>
      </c>
      <c r="J588" s="14">
        <v>0.277</v>
      </c>
      <c r="K588" s="14">
        <v>0.1433</v>
      </c>
      <c r="L588" s="14">
        <v>9.2323</v>
      </c>
      <c r="M588" s="14" t="s">
        <v>26</v>
      </c>
    </row>
    <row r="589" ht="15.75" customHeight="1">
      <c r="A589" s="14" t="s">
        <v>534</v>
      </c>
      <c r="B589" s="14" t="s">
        <v>2481</v>
      </c>
      <c r="C589" s="14">
        <v>1.0</v>
      </c>
      <c r="D589" s="14" t="s">
        <v>9</v>
      </c>
      <c r="E589" s="14">
        <v>0.5733</v>
      </c>
      <c r="F589" s="14">
        <v>6.1543</v>
      </c>
      <c r="G589" s="14">
        <v>13.9944</v>
      </c>
      <c r="H589" s="14">
        <v>0.983</v>
      </c>
      <c r="I589" s="14">
        <v>0.3949</v>
      </c>
      <c r="J589" s="14">
        <v>0.3201</v>
      </c>
      <c r="K589" s="14">
        <v>0.1747</v>
      </c>
      <c r="L589" s="14">
        <v>8.9136</v>
      </c>
      <c r="M589" s="14" t="s">
        <v>26</v>
      </c>
    </row>
    <row r="590" ht="15.75" customHeight="1">
      <c r="A590" s="14" t="s">
        <v>1503</v>
      </c>
      <c r="B590" s="14" t="s">
        <v>2483</v>
      </c>
      <c r="C590" s="14">
        <v>1.0</v>
      </c>
      <c r="D590" s="14" t="s">
        <v>9</v>
      </c>
      <c r="E590" s="14">
        <v>0.567</v>
      </c>
      <c r="F590" s="14">
        <v>6.1543</v>
      </c>
      <c r="G590" s="14">
        <v>13.9742</v>
      </c>
      <c r="H590" s="14">
        <v>0.983</v>
      </c>
      <c r="I590" s="14">
        <v>0.396</v>
      </c>
      <c r="J590" s="14">
        <v>0.3027</v>
      </c>
      <c r="K590" s="14">
        <v>0.1232</v>
      </c>
      <c r="L590" s="14">
        <v>9.0331</v>
      </c>
      <c r="M590" s="14" t="s">
        <v>26</v>
      </c>
    </row>
    <row r="591" ht="15.75" customHeight="1">
      <c r="A591" s="14" t="s">
        <v>97</v>
      </c>
      <c r="B591" s="14" t="s">
        <v>2486</v>
      </c>
      <c r="C591" s="14">
        <v>1.0</v>
      </c>
      <c r="D591" s="14" t="s">
        <v>9</v>
      </c>
      <c r="E591" s="14">
        <v>0.3275</v>
      </c>
      <c r="F591" s="14">
        <v>6.1543</v>
      </c>
      <c r="G591" s="14">
        <v>13.5497</v>
      </c>
      <c r="H591" s="14">
        <v>0.9836</v>
      </c>
      <c r="I591" s="14">
        <v>0.4212</v>
      </c>
      <c r="J591" s="14">
        <v>0.2918</v>
      </c>
      <c r="K591" s="14">
        <v>0.0537</v>
      </c>
      <c r="L591" s="14">
        <v>8.8582</v>
      </c>
      <c r="M591" s="14" t="s">
        <v>26</v>
      </c>
    </row>
    <row r="592" ht="15.75" customHeight="1">
      <c r="A592" s="14" t="s">
        <v>1037</v>
      </c>
      <c r="B592" s="14" t="s">
        <v>2490</v>
      </c>
      <c r="C592" s="14">
        <v>1.0</v>
      </c>
      <c r="D592" s="14" t="s">
        <v>9</v>
      </c>
      <c r="E592" s="14">
        <v>0.5732</v>
      </c>
      <c r="F592" s="14">
        <v>6.1508</v>
      </c>
      <c r="G592" s="14">
        <v>13.9944</v>
      </c>
      <c r="H592" s="14">
        <v>0.983</v>
      </c>
      <c r="I592" s="14">
        <v>0.3947</v>
      </c>
      <c r="J592" s="14">
        <v>0.3217</v>
      </c>
      <c r="K592" s="14">
        <v>0.1758</v>
      </c>
      <c r="L592" s="14">
        <v>8.9024</v>
      </c>
      <c r="M592" s="14" t="s">
        <v>26</v>
      </c>
    </row>
    <row r="593" ht="15.75" customHeight="1">
      <c r="A593" s="14" t="s">
        <v>2493</v>
      </c>
      <c r="B593" s="14" t="s">
        <v>2495</v>
      </c>
      <c r="C593" s="14">
        <v>1.0</v>
      </c>
      <c r="D593" s="14" t="s">
        <v>9</v>
      </c>
      <c r="E593" s="14">
        <v>0.564</v>
      </c>
      <c r="F593" s="14">
        <v>6.1508</v>
      </c>
      <c r="G593" s="14">
        <v>14.0978</v>
      </c>
      <c r="H593" s="14">
        <v>0.985</v>
      </c>
      <c r="I593" s="14">
        <v>0.3889</v>
      </c>
      <c r="J593" s="14">
        <v>0.2872</v>
      </c>
      <c r="K593" s="14">
        <v>0.1287</v>
      </c>
      <c r="L593" s="14">
        <v>9.2854</v>
      </c>
      <c r="M593" s="14" t="s">
        <v>26</v>
      </c>
    </row>
    <row r="594" ht="15.75" customHeight="1">
      <c r="A594" s="14" t="s">
        <v>690</v>
      </c>
      <c r="B594" s="14" t="s">
        <v>2497</v>
      </c>
      <c r="C594" s="14">
        <v>1.0</v>
      </c>
      <c r="D594" s="14" t="s">
        <v>9</v>
      </c>
      <c r="E594" s="14">
        <v>0.7043</v>
      </c>
      <c r="F594" s="14">
        <v>6.1473</v>
      </c>
      <c r="G594" s="14">
        <v>13.4</v>
      </c>
      <c r="H594" s="14">
        <v>0.9764</v>
      </c>
      <c r="I594" s="14">
        <v>0.4302</v>
      </c>
      <c r="J594" s="14">
        <v>0.2811</v>
      </c>
      <c r="K594" s="14">
        <v>0.1446</v>
      </c>
      <c r="L594" s="14">
        <v>9.2294</v>
      </c>
      <c r="M594" s="14" t="s">
        <v>26</v>
      </c>
    </row>
    <row r="595" ht="15.75" customHeight="1">
      <c r="A595" s="14" t="s">
        <v>529</v>
      </c>
      <c r="B595" s="14" t="s">
        <v>2500</v>
      </c>
      <c r="C595" s="14">
        <v>1.0</v>
      </c>
      <c r="D595" s="14" t="s">
        <v>9</v>
      </c>
      <c r="E595" s="14">
        <v>0.5682</v>
      </c>
      <c r="F595" s="14">
        <v>6.1473</v>
      </c>
      <c r="G595" s="14">
        <v>13.9944</v>
      </c>
      <c r="H595" s="14">
        <v>0.9831</v>
      </c>
      <c r="I595" s="14">
        <v>0.3944</v>
      </c>
      <c r="J595" s="14">
        <v>0.3209</v>
      </c>
      <c r="K595" s="14">
        <v>0.1763</v>
      </c>
      <c r="L595" s="14">
        <v>8.896</v>
      </c>
      <c r="M595" s="14" t="s">
        <v>26</v>
      </c>
    </row>
    <row r="596" ht="15.75" customHeight="1">
      <c r="A596" s="14" t="s">
        <v>664</v>
      </c>
      <c r="B596" s="14" t="s">
        <v>2503</v>
      </c>
      <c r="C596" s="14">
        <v>1.0</v>
      </c>
      <c r="D596" s="14" t="s">
        <v>9</v>
      </c>
      <c r="E596" s="14">
        <v>0.7065</v>
      </c>
      <c r="F596" s="14">
        <v>6.1473</v>
      </c>
      <c r="G596" s="14">
        <v>13.3512</v>
      </c>
      <c r="H596" s="14">
        <v>0.9765</v>
      </c>
      <c r="I596" s="14">
        <v>0.4334</v>
      </c>
      <c r="J596" s="14">
        <v>0.2794</v>
      </c>
      <c r="K596" s="14">
        <v>0.1443</v>
      </c>
      <c r="L596" s="14">
        <v>9.2446</v>
      </c>
      <c r="M596" s="14" t="s">
        <v>26</v>
      </c>
    </row>
    <row r="597" ht="15.75" customHeight="1">
      <c r="A597" s="14" t="s">
        <v>342</v>
      </c>
      <c r="B597" s="14" t="s">
        <v>2505</v>
      </c>
      <c r="C597" s="14">
        <v>1.0</v>
      </c>
      <c r="D597" s="14" t="s">
        <v>9</v>
      </c>
      <c r="E597" s="14">
        <v>0.5636</v>
      </c>
      <c r="F597" s="14">
        <v>6.1439</v>
      </c>
      <c r="G597" s="14">
        <v>14.0289</v>
      </c>
      <c r="H597" s="14">
        <v>0.9832</v>
      </c>
      <c r="I597" s="14">
        <v>0.3923</v>
      </c>
      <c r="J597" s="14">
        <v>0.3222</v>
      </c>
      <c r="K597" s="14">
        <v>0.1769</v>
      </c>
      <c r="L597" s="14">
        <v>8.9185</v>
      </c>
      <c r="M597" s="14" t="s">
        <v>26</v>
      </c>
    </row>
    <row r="598" ht="15.75" customHeight="1">
      <c r="A598" s="14" t="s">
        <v>43</v>
      </c>
      <c r="B598" s="14" t="s">
        <v>2508</v>
      </c>
      <c r="C598" s="14">
        <v>1.0</v>
      </c>
      <c r="D598" s="14" t="s">
        <v>9</v>
      </c>
      <c r="E598" s="14">
        <v>0.577</v>
      </c>
      <c r="F598" s="14">
        <v>6.1439</v>
      </c>
      <c r="G598" s="14">
        <v>13.9944</v>
      </c>
      <c r="H598" s="14">
        <v>0.9832</v>
      </c>
      <c r="I598" s="14">
        <v>0.3942</v>
      </c>
      <c r="J598" s="14">
        <v>0.3233</v>
      </c>
      <c r="K598" s="14">
        <v>0.1767</v>
      </c>
      <c r="L598" s="14">
        <v>8.9035</v>
      </c>
      <c r="M598" s="14" t="s">
        <v>26</v>
      </c>
    </row>
    <row r="599" ht="15.75" customHeight="1">
      <c r="A599" s="14" t="s">
        <v>952</v>
      </c>
      <c r="B599" s="14" t="s">
        <v>2511</v>
      </c>
      <c r="C599" s="14">
        <v>1.0</v>
      </c>
      <c r="D599" s="14" t="s">
        <v>9</v>
      </c>
      <c r="E599" s="14">
        <v>0.7015</v>
      </c>
      <c r="F599" s="14">
        <v>6.1404</v>
      </c>
      <c r="G599" s="14">
        <v>13.3168</v>
      </c>
      <c r="H599" s="14">
        <v>0.976</v>
      </c>
      <c r="I599" s="14">
        <v>0.4351</v>
      </c>
      <c r="J599" s="14">
        <v>0.2845</v>
      </c>
      <c r="K599" s="14">
        <v>0.1462</v>
      </c>
      <c r="L599" s="14">
        <v>9.1917</v>
      </c>
      <c r="M599" s="14" t="s">
        <v>26</v>
      </c>
    </row>
    <row r="600" ht="15.75" customHeight="1">
      <c r="A600" s="14" t="s">
        <v>877</v>
      </c>
      <c r="B600" s="14" t="s">
        <v>2514</v>
      </c>
      <c r="C600" s="14">
        <v>1.0</v>
      </c>
      <c r="D600" s="14" t="s">
        <v>9</v>
      </c>
      <c r="E600" s="14">
        <v>0.7051</v>
      </c>
      <c r="F600" s="14">
        <v>6.1369</v>
      </c>
      <c r="G600" s="14">
        <v>13.3168</v>
      </c>
      <c r="H600" s="14">
        <v>0.9764</v>
      </c>
      <c r="I600" s="14">
        <v>0.4349</v>
      </c>
      <c r="J600" s="14">
        <v>0.28</v>
      </c>
      <c r="K600" s="14">
        <v>0.1459</v>
      </c>
      <c r="L600" s="14">
        <v>9.2085</v>
      </c>
      <c r="M600" s="14" t="s">
        <v>26</v>
      </c>
    </row>
    <row r="601" ht="15.75" customHeight="1">
      <c r="A601" s="14" t="s">
        <v>764</v>
      </c>
      <c r="B601" s="14" t="s">
        <v>2517</v>
      </c>
      <c r="C601" s="14">
        <v>1.0</v>
      </c>
      <c r="D601" s="14" t="s">
        <v>9</v>
      </c>
      <c r="E601" s="14">
        <v>0.7065</v>
      </c>
      <c r="F601" s="14">
        <v>6.1369</v>
      </c>
      <c r="G601" s="14">
        <v>13.3512</v>
      </c>
      <c r="H601" s="14">
        <v>0.9764</v>
      </c>
      <c r="I601" s="14">
        <v>0.4326</v>
      </c>
      <c r="J601" s="14">
        <v>0.2821</v>
      </c>
      <c r="K601" s="14">
        <v>0.1465</v>
      </c>
      <c r="L601" s="14">
        <v>9.2169</v>
      </c>
      <c r="M601" s="14" t="s">
        <v>26</v>
      </c>
    </row>
    <row r="602" ht="15.75" customHeight="1">
      <c r="A602" s="14" t="s">
        <v>125</v>
      </c>
      <c r="B602" s="14" t="s">
        <v>2519</v>
      </c>
      <c r="C602" s="14">
        <v>1.0</v>
      </c>
      <c r="D602" s="14" t="s">
        <v>9</v>
      </c>
      <c r="E602" s="14">
        <v>0.5653</v>
      </c>
      <c r="F602" s="14">
        <v>6.1335</v>
      </c>
      <c r="G602" s="14">
        <v>13.9944</v>
      </c>
      <c r="H602" s="14">
        <v>0.9831</v>
      </c>
      <c r="I602" s="14">
        <v>0.3936</v>
      </c>
      <c r="J602" s="14">
        <v>0.3198</v>
      </c>
      <c r="K602" s="14">
        <v>0.1777</v>
      </c>
      <c r="L602" s="14">
        <v>8.9076</v>
      </c>
      <c r="M602" s="14" t="s">
        <v>26</v>
      </c>
    </row>
    <row r="603" ht="15.75" customHeight="1">
      <c r="A603" s="14" t="s">
        <v>2027</v>
      </c>
      <c r="B603" s="14" t="s">
        <v>2522</v>
      </c>
      <c r="C603" s="14">
        <v>1.0</v>
      </c>
      <c r="D603" s="14" t="s">
        <v>9</v>
      </c>
      <c r="E603" s="14">
        <v>0.7051</v>
      </c>
      <c r="F603" s="14">
        <v>6.1335</v>
      </c>
      <c r="G603" s="14">
        <v>13.3168</v>
      </c>
      <c r="H603" s="14">
        <v>0.9765</v>
      </c>
      <c r="I603" s="14">
        <v>0.4346</v>
      </c>
      <c r="J603" s="14">
        <v>0.2804</v>
      </c>
      <c r="K603" s="14">
        <v>0.1459</v>
      </c>
      <c r="L603" s="14">
        <v>9.2404</v>
      </c>
      <c r="M603" s="14" t="s">
        <v>26</v>
      </c>
    </row>
    <row r="604" ht="15.75" customHeight="1">
      <c r="A604" s="14" t="s">
        <v>1458</v>
      </c>
      <c r="B604" s="14" t="s">
        <v>2525</v>
      </c>
      <c r="C604" s="14">
        <v>1.0</v>
      </c>
      <c r="D604" s="14" t="s">
        <v>9</v>
      </c>
      <c r="E604" s="14">
        <v>0.5678</v>
      </c>
      <c r="F604" s="14">
        <v>6.1265</v>
      </c>
      <c r="G604" s="14">
        <v>13.8767</v>
      </c>
      <c r="H604" s="14">
        <v>0.9839</v>
      </c>
      <c r="I604" s="14">
        <v>0.3998</v>
      </c>
      <c r="J604" s="14">
        <v>0.3032</v>
      </c>
      <c r="K604" s="14">
        <v>0.1284</v>
      </c>
      <c r="L604" s="14">
        <v>9.0418</v>
      </c>
      <c r="M604" s="14" t="s">
        <v>26</v>
      </c>
    </row>
    <row r="605" ht="15.75" customHeight="1">
      <c r="A605" s="14" t="s">
        <v>1626</v>
      </c>
      <c r="B605" s="14" t="s">
        <v>2528</v>
      </c>
      <c r="C605" s="14">
        <v>1.0</v>
      </c>
      <c r="D605" s="14" t="s">
        <v>9</v>
      </c>
      <c r="E605" s="14">
        <v>0.5616</v>
      </c>
      <c r="F605" s="14">
        <v>6.1265</v>
      </c>
      <c r="G605" s="14">
        <v>13.8422</v>
      </c>
      <c r="H605" s="14">
        <v>0.9838</v>
      </c>
      <c r="I605" s="14">
        <v>0.4018</v>
      </c>
      <c r="J605" s="14">
        <v>0.3056</v>
      </c>
      <c r="K605" s="14">
        <v>0.129</v>
      </c>
      <c r="L605" s="14">
        <v>9.0315</v>
      </c>
      <c r="M605" s="14" t="s">
        <v>26</v>
      </c>
    </row>
    <row r="606" ht="15.75" customHeight="1">
      <c r="A606" s="14" t="s">
        <v>1385</v>
      </c>
      <c r="B606" s="14" t="s">
        <v>2531</v>
      </c>
      <c r="C606" s="14">
        <v>1.0</v>
      </c>
      <c r="D606" s="14" t="s">
        <v>9</v>
      </c>
      <c r="E606" s="14">
        <v>0.5664</v>
      </c>
      <c r="F606" s="14">
        <v>6.1231</v>
      </c>
      <c r="G606" s="14">
        <v>13.8422</v>
      </c>
      <c r="H606" s="14">
        <v>0.9839</v>
      </c>
      <c r="I606" s="14">
        <v>0.4016</v>
      </c>
      <c r="J606" s="14">
        <v>0.3002</v>
      </c>
      <c r="K606" s="14">
        <v>0.1287</v>
      </c>
      <c r="L606" s="14">
        <v>9.0243</v>
      </c>
      <c r="M606" s="14" t="s">
        <v>26</v>
      </c>
    </row>
    <row r="607" ht="15.75" customHeight="1">
      <c r="A607" s="14" t="s">
        <v>461</v>
      </c>
      <c r="B607" s="14" t="s">
        <v>2534</v>
      </c>
      <c r="C607" s="14">
        <v>1.0</v>
      </c>
      <c r="D607" s="14" t="s">
        <v>9</v>
      </c>
      <c r="E607" s="14">
        <v>0.5642</v>
      </c>
      <c r="F607" s="14">
        <v>6.1196</v>
      </c>
      <c r="G607" s="14">
        <v>14.0431</v>
      </c>
      <c r="H607" s="14">
        <v>0.9832</v>
      </c>
      <c r="I607" s="14">
        <v>0.3899</v>
      </c>
      <c r="J607" s="14">
        <v>0.3201</v>
      </c>
      <c r="K607" s="14">
        <v>0.1791</v>
      </c>
      <c r="L607" s="14">
        <v>8.8749</v>
      </c>
      <c r="M607" s="14" t="s">
        <v>26</v>
      </c>
    </row>
    <row r="608" ht="15.75" customHeight="1">
      <c r="A608" s="14" t="s">
        <v>758</v>
      </c>
      <c r="B608" s="14" t="s">
        <v>2537</v>
      </c>
      <c r="C608" s="14">
        <v>1.0</v>
      </c>
      <c r="D608" s="14" t="s">
        <v>9</v>
      </c>
      <c r="E608" s="14">
        <v>0.6092</v>
      </c>
      <c r="F608" s="14">
        <v>6.1092</v>
      </c>
      <c r="G608" s="14">
        <v>13.3512</v>
      </c>
      <c r="H608" s="14">
        <v>0.9798</v>
      </c>
      <c r="I608" s="14">
        <v>0.4307</v>
      </c>
      <c r="J608" s="14">
        <v>0.2786</v>
      </c>
      <c r="K608" s="14">
        <v>0.098</v>
      </c>
      <c r="L608" s="14">
        <v>9.222</v>
      </c>
      <c r="M608" s="14" t="s">
        <v>26</v>
      </c>
    </row>
    <row r="609" ht="15.75" customHeight="1">
      <c r="A609" s="14" t="s">
        <v>651</v>
      </c>
      <c r="B609" s="14" t="s">
        <v>2540</v>
      </c>
      <c r="C609" s="14">
        <v>1.0</v>
      </c>
      <c r="D609" s="14" t="s">
        <v>9</v>
      </c>
      <c r="E609" s="14">
        <v>0.641</v>
      </c>
      <c r="F609" s="14">
        <v>6.0954</v>
      </c>
      <c r="G609" s="14">
        <v>13.5521</v>
      </c>
      <c r="H609" s="14">
        <v>0.978</v>
      </c>
      <c r="I609" s="14">
        <v>0.4171</v>
      </c>
      <c r="J609" s="14">
        <v>0.3137</v>
      </c>
      <c r="K609" s="14">
        <v>0.1646</v>
      </c>
      <c r="L609" s="14">
        <v>9.0279</v>
      </c>
      <c r="M609" s="14" t="s">
        <v>26</v>
      </c>
    </row>
    <row r="610" ht="15.75" customHeight="1">
      <c r="A610" s="14" t="s">
        <v>279</v>
      </c>
      <c r="B610" s="14" t="s">
        <v>2543</v>
      </c>
      <c r="C610" s="14">
        <v>1.0</v>
      </c>
      <c r="D610" s="14" t="s">
        <v>9</v>
      </c>
      <c r="E610" s="14">
        <v>0.5694</v>
      </c>
      <c r="F610" s="14">
        <v>6.0919</v>
      </c>
      <c r="G610" s="14">
        <v>13.9944</v>
      </c>
      <c r="H610" s="14">
        <v>0.9834</v>
      </c>
      <c r="I610" s="14">
        <v>0.3909</v>
      </c>
      <c r="J610" s="14">
        <v>0.3229</v>
      </c>
      <c r="K610" s="14">
        <v>0.1828</v>
      </c>
      <c r="L610" s="14">
        <v>8.8658</v>
      </c>
      <c r="M610" s="14" t="s">
        <v>26</v>
      </c>
    </row>
    <row r="611" ht="15.75" customHeight="1">
      <c r="A611" s="14" t="s">
        <v>390</v>
      </c>
      <c r="B611" s="14" t="s">
        <v>2546</v>
      </c>
      <c r="C611" s="14">
        <v>1.0</v>
      </c>
      <c r="D611" s="14" t="s">
        <v>9</v>
      </c>
      <c r="E611" s="14">
        <v>0.5594</v>
      </c>
      <c r="F611" s="14">
        <v>6.0884</v>
      </c>
      <c r="G611" s="14">
        <v>13.8969</v>
      </c>
      <c r="H611" s="14">
        <v>0.9846</v>
      </c>
      <c r="I611" s="14">
        <v>0.3962</v>
      </c>
      <c r="J611" s="14">
        <v>0.2735</v>
      </c>
      <c r="K611" s="14">
        <v>0.1217</v>
      </c>
      <c r="L611" s="14">
        <v>9.322</v>
      </c>
      <c r="M611" s="14" t="s">
        <v>26</v>
      </c>
    </row>
    <row r="612" ht="15.75" customHeight="1">
      <c r="A612" s="14" t="s">
        <v>449</v>
      </c>
      <c r="B612" s="14" t="s">
        <v>2549</v>
      </c>
      <c r="C612" s="14">
        <v>1.0</v>
      </c>
      <c r="D612" s="14" t="s">
        <v>9</v>
      </c>
      <c r="E612" s="14">
        <v>0.5642</v>
      </c>
      <c r="F612" s="14">
        <v>6.0884</v>
      </c>
      <c r="G612" s="14">
        <v>14.0289</v>
      </c>
      <c r="H612" s="14">
        <v>0.9834</v>
      </c>
      <c r="I612" s="14">
        <v>0.3888</v>
      </c>
      <c r="J612" s="14">
        <v>0.3242</v>
      </c>
      <c r="K612" s="14">
        <v>0.1835</v>
      </c>
      <c r="L612" s="14">
        <v>8.8557</v>
      </c>
      <c r="M612" s="14" t="s">
        <v>26</v>
      </c>
    </row>
    <row r="613" ht="15.75" customHeight="1">
      <c r="A613" s="14" t="s">
        <v>2552</v>
      </c>
      <c r="B613" s="14" t="s">
        <v>2553</v>
      </c>
      <c r="C613" s="14">
        <v>1.0</v>
      </c>
      <c r="D613" s="14" t="s">
        <v>9</v>
      </c>
      <c r="E613" s="14">
        <v>0.5666</v>
      </c>
      <c r="F613" s="14">
        <v>6.0884</v>
      </c>
      <c r="G613" s="14">
        <v>13.8767</v>
      </c>
      <c r="H613" s="14">
        <v>0.9843</v>
      </c>
      <c r="I613" s="14">
        <v>0.3973</v>
      </c>
      <c r="J613" s="14">
        <v>0.3072</v>
      </c>
      <c r="K613" s="14">
        <v>0.1327</v>
      </c>
      <c r="L613" s="14">
        <v>9.006</v>
      </c>
      <c r="M613" s="14" t="s">
        <v>26</v>
      </c>
    </row>
    <row r="614" ht="15.75" customHeight="1">
      <c r="A614" s="14" t="s">
        <v>1147</v>
      </c>
      <c r="B614" s="14" t="s">
        <v>2556</v>
      </c>
      <c r="C614" s="14">
        <v>1.0</v>
      </c>
      <c r="D614" s="14" t="s">
        <v>9</v>
      </c>
      <c r="E614" s="14">
        <v>0.5524</v>
      </c>
      <c r="F614" s="14">
        <v>6.0815</v>
      </c>
      <c r="G614" s="14">
        <v>13.1705</v>
      </c>
      <c r="H614" s="14">
        <v>0.9793</v>
      </c>
      <c r="I614" s="14">
        <v>0.4406</v>
      </c>
      <c r="J614" s="14">
        <v>0.3149</v>
      </c>
      <c r="K614" s="14">
        <v>0.0935</v>
      </c>
      <c r="L614" s="14">
        <v>9.0387</v>
      </c>
      <c r="M614" s="14" t="s">
        <v>26</v>
      </c>
    </row>
    <row r="615" ht="15.75" customHeight="1">
      <c r="A615" s="14" t="s">
        <v>2558</v>
      </c>
      <c r="B615" s="14" t="s">
        <v>2559</v>
      </c>
      <c r="C615" s="14">
        <v>1.0</v>
      </c>
      <c r="D615" s="14" t="s">
        <v>9</v>
      </c>
      <c r="E615" s="14">
        <v>0.4303</v>
      </c>
      <c r="F615" s="14">
        <v>6.0746</v>
      </c>
      <c r="G615" s="14">
        <v>14.2987</v>
      </c>
      <c r="H615" s="14">
        <v>0.9853</v>
      </c>
      <c r="I615" s="14">
        <v>0.3734</v>
      </c>
      <c r="J615" s="14">
        <v>0.2731</v>
      </c>
      <c r="K615" s="14">
        <v>0.057</v>
      </c>
      <c r="L615" s="14">
        <v>9.179</v>
      </c>
      <c r="M615" s="14" t="s">
        <v>26</v>
      </c>
    </row>
    <row r="616" ht="15.75" customHeight="1">
      <c r="A616" s="14" t="s">
        <v>2562</v>
      </c>
      <c r="B616" s="14" t="s">
        <v>2563</v>
      </c>
      <c r="C616" s="14">
        <v>1.0</v>
      </c>
      <c r="D616" s="14" t="s">
        <v>9</v>
      </c>
      <c r="E616" s="14">
        <v>0.3706</v>
      </c>
      <c r="F616" s="14">
        <v>6.0677</v>
      </c>
      <c r="G616" s="14">
        <v>14.1668</v>
      </c>
      <c r="H616" s="14">
        <v>0.9854</v>
      </c>
      <c r="I616" s="14">
        <v>0.3799</v>
      </c>
      <c r="J616" s="14">
        <v>0.3561</v>
      </c>
      <c r="K616" s="14">
        <v>0.0665</v>
      </c>
      <c r="L616" s="14">
        <v>8.5986</v>
      </c>
      <c r="M616" s="14" t="s">
        <v>26</v>
      </c>
    </row>
    <row r="617" ht="15.75" customHeight="1">
      <c r="A617" s="14" t="s">
        <v>1478</v>
      </c>
      <c r="B617" s="14" t="s">
        <v>2566</v>
      </c>
      <c r="C617" s="14">
        <v>1.0</v>
      </c>
      <c r="D617" s="14" t="s">
        <v>9</v>
      </c>
      <c r="E617" s="14">
        <v>0.5546</v>
      </c>
      <c r="F617" s="14">
        <v>6.0538</v>
      </c>
      <c r="G617" s="14">
        <v>13.8767</v>
      </c>
      <c r="H617" s="14">
        <v>0.9844</v>
      </c>
      <c r="I617" s="14">
        <v>0.3951</v>
      </c>
      <c r="J617" s="14">
        <v>0.305</v>
      </c>
      <c r="K617" s="14">
        <v>0.1352</v>
      </c>
      <c r="L617" s="14">
        <v>8.9972</v>
      </c>
      <c r="M617" s="14" t="s">
        <v>26</v>
      </c>
    </row>
    <row r="618" ht="15.75" customHeight="1">
      <c r="A618" s="14" t="s">
        <v>384</v>
      </c>
      <c r="B618" s="14" t="s">
        <v>2569</v>
      </c>
      <c r="C618" s="14">
        <v>1.0</v>
      </c>
      <c r="D618" s="14" t="s">
        <v>9</v>
      </c>
      <c r="E618" s="14">
        <v>0.5681</v>
      </c>
      <c r="F618" s="14">
        <v>6.0504</v>
      </c>
      <c r="G618" s="14">
        <v>13.8969</v>
      </c>
      <c r="H618" s="14">
        <v>0.985</v>
      </c>
      <c r="I618" s="14">
        <v>0.3937</v>
      </c>
      <c r="J618" s="14">
        <v>0.2777</v>
      </c>
      <c r="K618" s="14">
        <v>0.1244</v>
      </c>
      <c r="L618" s="14">
        <v>9.304</v>
      </c>
      <c r="M618" s="14" t="s">
        <v>26</v>
      </c>
    </row>
    <row r="619" ht="15.75" customHeight="1">
      <c r="A619" s="14" t="s">
        <v>329</v>
      </c>
      <c r="B619" s="14" t="s">
        <v>2573</v>
      </c>
      <c r="C619" s="14">
        <v>1.0</v>
      </c>
      <c r="D619" s="14" t="s">
        <v>9</v>
      </c>
      <c r="E619" s="14">
        <v>0.5699</v>
      </c>
      <c r="F619" s="14">
        <v>6.04</v>
      </c>
      <c r="G619" s="14">
        <v>13.9334</v>
      </c>
      <c r="H619" s="14">
        <v>0.985</v>
      </c>
      <c r="I619" s="14">
        <v>0.391</v>
      </c>
      <c r="J619" s="14">
        <v>0.2791</v>
      </c>
      <c r="K619" s="14">
        <v>0.1252</v>
      </c>
      <c r="L619" s="14">
        <v>9.2658</v>
      </c>
      <c r="M619" s="14" t="s">
        <v>26</v>
      </c>
    </row>
    <row r="620" ht="15.75" customHeight="1">
      <c r="A620" s="14" t="s">
        <v>1584</v>
      </c>
      <c r="B620" s="14" t="s">
        <v>2576</v>
      </c>
      <c r="C620" s="14">
        <v>1.0</v>
      </c>
      <c r="D620" s="14" t="s">
        <v>9</v>
      </c>
      <c r="E620" s="14">
        <v>0.561</v>
      </c>
      <c r="F620" s="14">
        <v>6.033</v>
      </c>
      <c r="G620" s="14">
        <v>13.9254</v>
      </c>
      <c r="H620" s="14">
        <v>0.9846</v>
      </c>
      <c r="I620" s="14">
        <v>0.391</v>
      </c>
      <c r="J620" s="14">
        <v>0.306</v>
      </c>
      <c r="K620" s="14">
        <v>0.1382</v>
      </c>
      <c r="L620" s="14">
        <v>9.001</v>
      </c>
      <c r="M620" s="14" t="s">
        <v>26</v>
      </c>
    </row>
    <row r="621" ht="15.75" customHeight="1">
      <c r="A621" s="14" t="s">
        <v>1532</v>
      </c>
      <c r="B621" s="14" t="s">
        <v>2579</v>
      </c>
      <c r="C621" s="14">
        <v>1.0</v>
      </c>
      <c r="D621" s="14" t="s">
        <v>9</v>
      </c>
      <c r="E621" s="14">
        <v>0.5558</v>
      </c>
      <c r="F621" s="14">
        <v>6.033</v>
      </c>
      <c r="G621" s="14">
        <v>13.8422</v>
      </c>
      <c r="H621" s="14">
        <v>0.9845</v>
      </c>
      <c r="I621" s="14">
        <v>0.3957</v>
      </c>
      <c r="J621" s="14">
        <v>0.307</v>
      </c>
      <c r="K621" s="14">
        <v>0.1377</v>
      </c>
      <c r="L621" s="14">
        <v>8.9906</v>
      </c>
      <c r="M621" s="14" t="s">
        <v>26</v>
      </c>
    </row>
    <row r="622" ht="15.75" customHeight="1">
      <c r="A622" s="14" t="s">
        <v>177</v>
      </c>
      <c r="B622" s="14" t="s">
        <v>2583</v>
      </c>
      <c r="C622" s="14">
        <v>1.0</v>
      </c>
      <c r="D622" s="14" t="s">
        <v>9</v>
      </c>
      <c r="E622" s="14">
        <v>0.4814</v>
      </c>
      <c r="F622" s="14">
        <v>6.0226</v>
      </c>
      <c r="G622" s="14">
        <v>13.9683</v>
      </c>
      <c r="H622" s="14">
        <v>0.9815</v>
      </c>
      <c r="I622" s="14">
        <v>0.3879</v>
      </c>
      <c r="J622" s="14">
        <v>0.3911</v>
      </c>
      <c r="K622" s="14">
        <v>0.1199</v>
      </c>
      <c r="L622" s="14">
        <v>8.4351</v>
      </c>
      <c r="M622" s="14" t="s">
        <v>26</v>
      </c>
    </row>
    <row r="623" ht="15.75" customHeight="1">
      <c r="A623" s="14" t="s">
        <v>48</v>
      </c>
      <c r="B623" s="14" t="s">
        <v>2585</v>
      </c>
      <c r="C623" s="14">
        <v>1.0</v>
      </c>
      <c r="D623" s="14" t="s">
        <v>9</v>
      </c>
      <c r="E623" s="14">
        <v>0.5362</v>
      </c>
      <c r="F623" s="14">
        <v>6.0226</v>
      </c>
      <c r="G623" s="14">
        <v>14.1668</v>
      </c>
      <c r="H623" s="14">
        <v>0.9857</v>
      </c>
      <c r="I623" s="14">
        <v>0.3771</v>
      </c>
      <c r="J623" s="14">
        <v>0.2723</v>
      </c>
      <c r="K623" s="14">
        <v>0.0751</v>
      </c>
      <c r="L623" s="14">
        <v>9.3388</v>
      </c>
      <c r="M623" s="14" t="s">
        <v>26</v>
      </c>
    </row>
    <row r="624" ht="15.75" customHeight="1">
      <c r="A624" s="14" t="s">
        <v>2587</v>
      </c>
      <c r="B624" s="14" t="s">
        <v>2588</v>
      </c>
      <c r="C624" s="14">
        <v>1.0</v>
      </c>
      <c r="D624" s="14" t="s">
        <v>9</v>
      </c>
      <c r="E624" s="14">
        <v>0.4145</v>
      </c>
      <c r="F624" s="14">
        <v>6.0192</v>
      </c>
      <c r="G624" s="14">
        <v>13.9314</v>
      </c>
      <c r="H624" s="14">
        <v>0.9853</v>
      </c>
      <c r="I624" s="14">
        <v>0.3897</v>
      </c>
      <c r="J624" s="14">
        <v>0.2767</v>
      </c>
      <c r="K624" s="14">
        <v>0.0621</v>
      </c>
      <c r="L624" s="14">
        <v>9.1321</v>
      </c>
      <c r="M624" s="14" t="s">
        <v>26</v>
      </c>
    </row>
    <row r="625" ht="15.75" customHeight="1">
      <c r="A625" s="14" t="s">
        <v>2591</v>
      </c>
      <c r="B625" s="14" t="s">
        <v>2592</v>
      </c>
      <c r="C625" s="14">
        <v>1.0</v>
      </c>
      <c r="D625" s="14" t="s">
        <v>9</v>
      </c>
      <c r="E625" s="14">
        <v>0.4374</v>
      </c>
      <c r="F625" s="14">
        <v>5.9811</v>
      </c>
      <c r="G625" s="14">
        <v>14.0024</v>
      </c>
      <c r="H625" s="14">
        <v>0.9858</v>
      </c>
      <c r="I625" s="14">
        <v>0.3833</v>
      </c>
      <c r="J625" s="14">
        <v>0.2781</v>
      </c>
      <c r="K625" s="14">
        <v>0.0631</v>
      </c>
      <c r="L625" s="14">
        <v>9.1558</v>
      </c>
      <c r="M625" s="14" t="s">
        <v>26</v>
      </c>
    </row>
    <row r="626" ht="15.75" customHeight="1">
      <c r="A626" s="14" t="s">
        <v>280</v>
      </c>
      <c r="B626" s="14" t="s">
        <v>2595</v>
      </c>
      <c r="C626" s="14">
        <v>1.0</v>
      </c>
      <c r="D626" s="14" t="s">
        <v>9</v>
      </c>
      <c r="E626" s="14">
        <v>0.3118</v>
      </c>
      <c r="F626" s="14">
        <v>5.9776</v>
      </c>
      <c r="G626" s="14">
        <v>17.6977</v>
      </c>
      <c r="H626" s="14">
        <v>0.9949</v>
      </c>
      <c r="I626" s="14">
        <v>0.2398</v>
      </c>
      <c r="J626" s="14">
        <v>0.3785</v>
      </c>
      <c r="K626" s="14">
        <v>0.0988</v>
      </c>
      <c r="L626" s="14">
        <v>8.2925</v>
      </c>
      <c r="M626" s="14" t="s">
        <v>26</v>
      </c>
    </row>
    <row r="627" ht="15.75" customHeight="1">
      <c r="A627" s="14" t="s">
        <v>2598</v>
      </c>
      <c r="B627" s="14" t="s">
        <v>2599</v>
      </c>
      <c r="C627" s="14">
        <v>1.0</v>
      </c>
      <c r="D627" s="14" t="s">
        <v>9</v>
      </c>
      <c r="E627" s="14">
        <v>0.4418</v>
      </c>
      <c r="F627" s="14">
        <v>5.9534</v>
      </c>
      <c r="G627" s="14">
        <v>13.9658</v>
      </c>
      <c r="H627" s="14">
        <v>0.9851</v>
      </c>
      <c r="I627" s="14">
        <v>0.3836</v>
      </c>
      <c r="J627" s="14">
        <v>0.2703</v>
      </c>
      <c r="K627" s="14">
        <v>0.056</v>
      </c>
      <c r="L627" s="14">
        <v>9.1915</v>
      </c>
      <c r="M627" s="14" t="s">
        <v>26</v>
      </c>
    </row>
    <row r="628" ht="15.75" customHeight="1">
      <c r="A628" s="14" t="s">
        <v>21</v>
      </c>
      <c r="B628" s="14" t="s">
        <v>2602</v>
      </c>
      <c r="C628" s="14">
        <v>1.0</v>
      </c>
      <c r="D628" s="14" t="s">
        <v>9</v>
      </c>
      <c r="E628" s="14">
        <v>0.4277</v>
      </c>
      <c r="F628" s="14">
        <v>5.9395</v>
      </c>
      <c r="G628" s="14">
        <v>14.1323</v>
      </c>
      <c r="H628" s="14">
        <v>0.9858</v>
      </c>
      <c r="I628" s="14">
        <v>0.3737</v>
      </c>
      <c r="J628" s="14">
        <v>0.2851</v>
      </c>
      <c r="K628" s="14">
        <v>0.0665</v>
      </c>
      <c r="L628" s="14">
        <v>9.1168</v>
      </c>
      <c r="M628" s="14" t="s">
        <v>26</v>
      </c>
    </row>
    <row r="629" ht="15.75" customHeight="1">
      <c r="A629" s="14" t="s">
        <v>621</v>
      </c>
      <c r="B629" s="14" t="s">
        <v>2605</v>
      </c>
      <c r="C629" s="14">
        <v>1.0</v>
      </c>
      <c r="D629" s="14" t="s">
        <v>9</v>
      </c>
      <c r="E629" s="14">
        <v>0.5654</v>
      </c>
      <c r="F629" s="14">
        <v>5.9291</v>
      </c>
      <c r="G629" s="14">
        <v>13.4891</v>
      </c>
      <c r="H629" s="14">
        <v>0.981</v>
      </c>
      <c r="I629" s="14">
        <v>0.4095</v>
      </c>
      <c r="J629" s="14">
        <v>0.2956</v>
      </c>
      <c r="K629" s="14">
        <v>0.113</v>
      </c>
      <c r="L629" s="14">
        <v>8.9229</v>
      </c>
      <c r="M629" s="14" t="s">
        <v>26</v>
      </c>
    </row>
    <row r="630" ht="15.75" customHeight="1">
      <c r="A630" s="14" t="s">
        <v>2608</v>
      </c>
      <c r="B630" s="14" t="s">
        <v>2609</v>
      </c>
      <c r="C630" s="14">
        <v>1.0</v>
      </c>
      <c r="D630" s="14" t="s">
        <v>9</v>
      </c>
      <c r="E630" s="14">
        <v>0.5631</v>
      </c>
      <c r="F630" s="14">
        <v>5.9291</v>
      </c>
      <c r="G630" s="14">
        <v>13.6758</v>
      </c>
      <c r="H630" s="14">
        <v>0.9846</v>
      </c>
      <c r="I630" s="14">
        <v>0.3984</v>
      </c>
      <c r="J630" s="14">
        <v>0.2695</v>
      </c>
      <c r="K630" s="14">
        <v>0.0795</v>
      </c>
      <c r="L630" s="14">
        <v>9.3084</v>
      </c>
      <c r="M630" s="14" t="s">
        <v>26</v>
      </c>
    </row>
    <row r="631" ht="15.75" customHeight="1">
      <c r="A631" s="14" t="s">
        <v>2612</v>
      </c>
      <c r="B631" s="14" t="s">
        <v>2613</v>
      </c>
      <c r="C631" s="14">
        <v>1.0</v>
      </c>
      <c r="D631" s="14" t="s">
        <v>9</v>
      </c>
      <c r="E631" s="14">
        <v>0.4175</v>
      </c>
      <c r="F631" s="14">
        <v>5.9257</v>
      </c>
      <c r="G631" s="14">
        <v>13.7994</v>
      </c>
      <c r="H631" s="14">
        <v>0.9851</v>
      </c>
      <c r="I631" s="14">
        <v>0.391</v>
      </c>
      <c r="J631" s="14">
        <v>0.2759</v>
      </c>
      <c r="K631" s="14">
        <v>0.0589</v>
      </c>
      <c r="L631" s="14">
        <v>9.1624</v>
      </c>
      <c r="M631" s="14" t="s">
        <v>26</v>
      </c>
    </row>
    <row r="632" ht="15.75" customHeight="1">
      <c r="A632" s="14" t="s">
        <v>58</v>
      </c>
      <c r="B632" s="14" t="s">
        <v>2615</v>
      </c>
      <c r="C632" s="14">
        <v>1.0</v>
      </c>
      <c r="D632" s="14" t="s">
        <v>9</v>
      </c>
      <c r="E632" s="14">
        <v>0.4277</v>
      </c>
      <c r="F632" s="14">
        <v>5.9187</v>
      </c>
      <c r="G632" s="14">
        <v>13.9658</v>
      </c>
      <c r="H632" s="14">
        <v>0.9851</v>
      </c>
      <c r="I632" s="14">
        <v>0.3813</v>
      </c>
      <c r="J632" s="14">
        <v>0.2809</v>
      </c>
      <c r="K632" s="14">
        <v>0.06</v>
      </c>
      <c r="L632" s="14">
        <v>9.1346</v>
      </c>
      <c r="M632" s="14" t="s">
        <v>26</v>
      </c>
    </row>
    <row r="633" ht="15.75" customHeight="1">
      <c r="A633" s="14" t="s">
        <v>2618</v>
      </c>
      <c r="B633" s="14" t="s">
        <v>2619</v>
      </c>
      <c r="C633" s="14">
        <v>1.0</v>
      </c>
      <c r="D633" s="14" t="s">
        <v>9</v>
      </c>
      <c r="E633" s="14">
        <v>0.4175</v>
      </c>
      <c r="F633" s="14">
        <v>5.9187</v>
      </c>
      <c r="G633" s="14">
        <v>13.9658</v>
      </c>
      <c r="H633" s="14">
        <v>0.9851</v>
      </c>
      <c r="I633" s="14">
        <v>0.3813</v>
      </c>
      <c r="J633" s="14">
        <v>0.2773</v>
      </c>
      <c r="K633" s="14">
        <v>0.0592</v>
      </c>
      <c r="L633" s="14">
        <v>9.1466</v>
      </c>
      <c r="M633" s="14" t="s">
        <v>26</v>
      </c>
    </row>
    <row r="634" ht="15.75" customHeight="1">
      <c r="A634" s="14" t="s">
        <v>466</v>
      </c>
      <c r="B634" s="14" t="s">
        <v>2622</v>
      </c>
      <c r="C634" s="14">
        <v>1.0</v>
      </c>
      <c r="D634" s="14" t="s">
        <v>9</v>
      </c>
      <c r="E634" s="14">
        <v>0.289</v>
      </c>
      <c r="F634" s="14">
        <v>5.9153</v>
      </c>
      <c r="G634" s="14">
        <v>16.1391</v>
      </c>
      <c r="H634" s="14">
        <v>0.9938</v>
      </c>
      <c r="I634" s="14">
        <v>0.2854</v>
      </c>
      <c r="J634" s="14">
        <v>0.4002</v>
      </c>
      <c r="K634" s="14">
        <v>0.0734</v>
      </c>
      <c r="L634" s="14">
        <v>8.1549</v>
      </c>
      <c r="M634" s="14" t="s">
        <v>26</v>
      </c>
    </row>
    <row r="635" ht="15.75" customHeight="1">
      <c r="A635" s="14" t="s">
        <v>486</v>
      </c>
      <c r="B635" s="14" t="s">
        <v>2625</v>
      </c>
      <c r="C635" s="14">
        <v>1.0</v>
      </c>
      <c r="D635" s="14" t="s">
        <v>9</v>
      </c>
      <c r="E635" s="14">
        <v>0.5002</v>
      </c>
      <c r="F635" s="14">
        <v>5.9153</v>
      </c>
      <c r="G635" s="14">
        <v>14.0431</v>
      </c>
      <c r="H635" s="14">
        <v>0.9847</v>
      </c>
      <c r="I635" s="14">
        <v>0.3769</v>
      </c>
      <c r="J635" s="14">
        <v>0.2701</v>
      </c>
      <c r="K635" s="14">
        <v>0.1277</v>
      </c>
      <c r="L635" s="14">
        <v>9.345</v>
      </c>
      <c r="M635" s="14" t="s">
        <v>26</v>
      </c>
    </row>
    <row r="636" ht="15.75" customHeight="1">
      <c r="A636" s="14" t="s">
        <v>1471</v>
      </c>
      <c r="B636" s="14" t="s">
        <v>2628</v>
      </c>
      <c r="C636" s="14">
        <v>1.0</v>
      </c>
      <c r="D636" s="14" t="s">
        <v>9</v>
      </c>
      <c r="E636" s="14">
        <v>0.5688</v>
      </c>
      <c r="F636" s="14">
        <v>5.9118</v>
      </c>
      <c r="G636" s="14">
        <v>13.6758</v>
      </c>
      <c r="H636" s="14">
        <v>0.9847</v>
      </c>
      <c r="I636" s="14">
        <v>0.3972</v>
      </c>
      <c r="J636" s="14">
        <v>0.2663</v>
      </c>
      <c r="K636" s="14">
        <v>0.0813</v>
      </c>
      <c r="L636" s="14">
        <v>9.3251</v>
      </c>
      <c r="M636" s="14" t="s">
        <v>26</v>
      </c>
    </row>
    <row r="637" ht="15.75" customHeight="1">
      <c r="A637" s="14" t="s">
        <v>152</v>
      </c>
      <c r="B637" s="14" t="s">
        <v>2631</v>
      </c>
      <c r="C637" s="14">
        <v>1.0</v>
      </c>
      <c r="D637" s="14" t="s">
        <v>9</v>
      </c>
      <c r="E637" s="14">
        <v>0.4253</v>
      </c>
      <c r="F637" s="14">
        <v>5.9084</v>
      </c>
      <c r="G637" s="14">
        <v>13.9314</v>
      </c>
      <c r="H637" s="14">
        <v>0.986</v>
      </c>
      <c r="I637" s="14">
        <v>0.3826</v>
      </c>
      <c r="J637" s="14">
        <v>0.2877</v>
      </c>
      <c r="K637" s="14">
        <v>0.0698</v>
      </c>
      <c r="L637" s="14">
        <v>9.0846</v>
      </c>
      <c r="M637" s="14" t="s">
        <v>26</v>
      </c>
    </row>
    <row r="638" ht="15.75" customHeight="1">
      <c r="A638" s="14" t="s">
        <v>2634</v>
      </c>
      <c r="B638" s="14" t="s">
        <v>2635</v>
      </c>
      <c r="C638" s="14">
        <v>1.0</v>
      </c>
      <c r="D638" s="14" t="s">
        <v>9</v>
      </c>
      <c r="E638" s="14">
        <v>0.5669</v>
      </c>
      <c r="F638" s="14">
        <v>5.9084</v>
      </c>
      <c r="G638" s="14">
        <v>13.8767</v>
      </c>
      <c r="H638" s="14">
        <v>0.9847</v>
      </c>
      <c r="I638" s="14">
        <v>0.3856</v>
      </c>
      <c r="J638" s="14">
        <v>0.2707</v>
      </c>
      <c r="K638" s="14">
        <v>0.0814</v>
      </c>
      <c r="L638" s="14">
        <v>9.2954</v>
      </c>
      <c r="M638" s="14" t="s">
        <v>26</v>
      </c>
    </row>
    <row r="639" ht="15.75" customHeight="1">
      <c r="A639" s="14" t="s">
        <v>190</v>
      </c>
      <c r="B639" s="14" t="s">
        <v>2638</v>
      </c>
      <c r="C639" s="14">
        <v>1.0</v>
      </c>
      <c r="D639" s="14" t="s">
        <v>9</v>
      </c>
      <c r="E639" s="14">
        <v>0.4135</v>
      </c>
      <c r="F639" s="14">
        <v>5.9084</v>
      </c>
      <c r="G639" s="14">
        <v>13.9314</v>
      </c>
      <c r="H639" s="14">
        <v>0.9851</v>
      </c>
      <c r="I639" s="14">
        <v>0.3826</v>
      </c>
      <c r="J639" s="14">
        <v>0.2825</v>
      </c>
      <c r="K639" s="14">
        <v>0.0605</v>
      </c>
      <c r="L639" s="14">
        <v>9.1237</v>
      </c>
      <c r="M639" s="14" t="s">
        <v>26</v>
      </c>
    </row>
    <row r="640" ht="15.75" customHeight="1">
      <c r="A640" s="14" t="s">
        <v>715</v>
      </c>
      <c r="B640" s="14" t="s">
        <v>2641</v>
      </c>
      <c r="C640" s="14">
        <v>1.0</v>
      </c>
      <c r="D640" s="14" t="s">
        <v>9</v>
      </c>
      <c r="E640" s="14">
        <v>0.637</v>
      </c>
      <c r="F640" s="14">
        <v>5.9049</v>
      </c>
      <c r="G640" s="14">
        <v>13.5664</v>
      </c>
      <c r="H640" s="14">
        <v>0.9797</v>
      </c>
      <c r="I640" s="14">
        <v>0.4032</v>
      </c>
      <c r="J640" s="14">
        <v>0.3002</v>
      </c>
      <c r="K640" s="14">
        <v>0.1199</v>
      </c>
      <c r="L640" s="14">
        <v>8.8935</v>
      </c>
      <c r="M640" s="14" t="s">
        <v>26</v>
      </c>
    </row>
    <row r="641" ht="15.75" customHeight="1">
      <c r="A641" s="14" t="s">
        <v>221</v>
      </c>
      <c r="B641" s="14" t="s">
        <v>2644</v>
      </c>
      <c r="C641" s="14">
        <v>1.0</v>
      </c>
      <c r="D641" s="14" t="s">
        <v>9</v>
      </c>
      <c r="E641" s="14">
        <v>0.4012</v>
      </c>
      <c r="F641" s="14">
        <v>5.9049</v>
      </c>
      <c r="G641" s="14">
        <v>14.1688</v>
      </c>
      <c r="H641" s="14">
        <v>0.9856</v>
      </c>
      <c r="I641" s="14">
        <v>0.3696</v>
      </c>
      <c r="J641" s="14">
        <v>0.3111</v>
      </c>
      <c r="K641" s="14">
        <v>0.0719</v>
      </c>
      <c r="L641" s="14">
        <v>9.1986</v>
      </c>
      <c r="M641" s="14" t="s">
        <v>26</v>
      </c>
    </row>
    <row r="642" ht="15.75" customHeight="1">
      <c r="A642" s="14" t="s">
        <v>2646</v>
      </c>
      <c r="B642" s="14" t="s">
        <v>2647</v>
      </c>
      <c r="C642" s="14">
        <v>1.0</v>
      </c>
      <c r="D642" s="14" t="s">
        <v>9</v>
      </c>
      <c r="E642" s="14">
        <v>0.429</v>
      </c>
      <c r="F642" s="14">
        <v>5.9014</v>
      </c>
      <c r="G642" s="14">
        <v>13.7994</v>
      </c>
      <c r="H642" s="14">
        <v>0.9852</v>
      </c>
      <c r="I642" s="14">
        <v>0.3894</v>
      </c>
      <c r="J642" s="14">
        <v>0.2709</v>
      </c>
      <c r="K642" s="14">
        <v>0.0597</v>
      </c>
      <c r="L642" s="14">
        <v>9.2067</v>
      </c>
      <c r="M642" s="14" t="s">
        <v>26</v>
      </c>
    </row>
    <row r="643" ht="15.75" customHeight="1">
      <c r="A643" s="14" t="s">
        <v>1054</v>
      </c>
      <c r="B643" s="14" t="s">
        <v>2650</v>
      </c>
      <c r="C643" s="14">
        <v>1.0</v>
      </c>
      <c r="D643" s="14" t="s">
        <v>9</v>
      </c>
      <c r="E643" s="14">
        <v>0.4834</v>
      </c>
      <c r="F643" s="14">
        <v>5.898</v>
      </c>
      <c r="G643" s="14">
        <v>14.0633</v>
      </c>
      <c r="H643" s="14">
        <v>0.9862</v>
      </c>
      <c r="I643" s="14">
        <v>0.3747</v>
      </c>
      <c r="J643" s="14">
        <v>0.3395</v>
      </c>
      <c r="K643" s="14">
        <v>0.1314</v>
      </c>
      <c r="L643" s="14">
        <v>8.8821</v>
      </c>
      <c r="M643" s="14" t="s">
        <v>26</v>
      </c>
    </row>
    <row r="644" ht="15.75" customHeight="1">
      <c r="A644" s="14" t="s">
        <v>2652</v>
      </c>
      <c r="B644" s="14" t="s">
        <v>2653</v>
      </c>
      <c r="C644" s="14">
        <v>1.0</v>
      </c>
      <c r="D644" s="14" t="s">
        <v>9</v>
      </c>
      <c r="E644" s="14">
        <v>0.4376</v>
      </c>
      <c r="F644" s="14">
        <v>5.898</v>
      </c>
      <c r="G644" s="14">
        <v>14.0633</v>
      </c>
      <c r="H644" s="14">
        <v>0.9851</v>
      </c>
      <c r="I644" s="14">
        <v>0.3747</v>
      </c>
      <c r="J644" s="14">
        <v>0.2813</v>
      </c>
      <c r="K644" s="14">
        <v>0.0604</v>
      </c>
      <c r="L644" s="14">
        <v>9.1698</v>
      </c>
      <c r="M644" s="14" t="s">
        <v>26</v>
      </c>
    </row>
    <row r="645" ht="15.75" customHeight="1">
      <c r="A645" s="14" t="s">
        <v>500</v>
      </c>
      <c r="B645" s="14" t="s">
        <v>2656</v>
      </c>
      <c r="C645" s="14">
        <v>1.0</v>
      </c>
      <c r="D645" s="14" t="s">
        <v>9</v>
      </c>
      <c r="E645" s="14">
        <v>0.4862</v>
      </c>
      <c r="F645" s="14">
        <v>5.898</v>
      </c>
      <c r="G645" s="14">
        <v>13.8422</v>
      </c>
      <c r="H645" s="14">
        <v>0.9844</v>
      </c>
      <c r="I645" s="14">
        <v>0.3868</v>
      </c>
      <c r="J645" s="14">
        <v>0.2741</v>
      </c>
      <c r="K645" s="14">
        <v>0.1312</v>
      </c>
      <c r="L645" s="14">
        <v>9.2909</v>
      </c>
      <c r="M645" s="14" t="s">
        <v>26</v>
      </c>
    </row>
    <row r="646" ht="15.75" customHeight="1">
      <c r="A646" s="14" t="s">
        <v>2658</v>
      </c>
      <c r="B646" s="14" t="s">
        <v>2661</v>
      </c>
      <c r="C646" s="14">
        <v>1.0</v>
      </c>
      <c r="D646" s="14" t="s">
        <v>9</v>
      </c>
      <c r="E646" s="14">
        <v>0.5707</v>
      </c>
      <c r="F646" s="14">
        <v>5.898</v>
      </c>
      <c r="G646" s="14">
        <v>13.7102</v>
      </c>
      <c r="H646" s="14">
        <v>0.9851</v>
      </c>
      <c r="I646" s="14">
        <v>0.3943</v>
      </c>
      <c r="J646" s="14">
        <v>0.2711</v>
      </c>
      <c r="K646" s="14">
        <v>0.0814</v>
      </c>
      <c r="L646" s="14">
        <v>9.2824</v>
      </c>
      <c r="M646" s="14" t="s">
        <v>26</v>
      </c>
    </row>
    <row r="647" ht="15.75" customHeight="1">
      <c r="A647" s="14" t="s">
        <v>157</v>
      </c>
      <c r="B647" s="14" t="s">
        <v>2662</v>
      </c>
      <c r="C647" s="14">
        <v>1.0</v>
      </c>
      <c r="D647" s="14" t="s">
        <v>9</v>
      </c>
      <c r="E647" s="14">
        <v>0.4153</v>
      </c>
      <c r="F647" s="14">
        <v>5.8945</v>
      </c>
      <c r="G647" s="14">
        <v>13.9658</v>
      </c>
      <c r="H647" s="14">
        <v>0.9863</v>
      </c>
      <c r="I647" s="14">
        <v>0.3798</v>
      </c>
      <c r="J647" s="14">
        <v>0.2907</v>
      </c>
      <c r="K647" s="14">
        <v>0.0705</v>
      </c>
      <c r="L647" s="14">
        <v>9.0601</v>
      </c>
      <c r="M647" s="14" t="s">
        <v>26</v>
      </c>
    </row>
    <row r="648" ht="15.75" customHeight="1">
      <c r="A648" s="14" t="s">
        <v>347</v>
      </c>
      <c r="B648" s="14" t="s">
        <v>2665</v>
      </c>
      <c r="C648" s="14">
        <v>1.0</v>
      </c>
      <c r="D648" s="14" t="s">
        <v>9</v>
      </c>
      <c r="E648" s="14">
        <v>0.3104</v>
      </c>
      <c r="F648" s="14">
        <v>5.891</v>
      </c>
      <c r="G648" s="14">
        <v>15.3437</v>
      </c>
      <c r="H648" s="14">
        <v>0.9911</v>
      </c>
      <c r="I648" s="14">
        <v>0.3144</v>
      </c>
      <c r="J648" s="14">
        <v>0.3964</v>
      </c>
      <c r="K648" s="14">
        <v>0.1151</v>
      </c>
      <c r="L648" s="14">
        <v>7.6872</v>
      </c>
      <c r="M648" s="14" t="s">
        <v>26</v>
      </c>
    </row>
    <row r="649" ht="15.75" customHeight="1">
      <c r="A649" s="14" t="s">
        <v>2668</v>
      </c>
      <c r="B649" s="14" t="s">
        <v>2671</v>
      </c>
      <c r="C649" s="14">
        <v>1.0</v>
      </c>
      <c r="D649" s="14" t="s">
        <v>9</v>
      </c>
      <c r="E649" s="14">
        <v>0.5684</v>
      </c>
      <c r="F649" s="14">
        <v>5.8876</v>
      </c>
      <c r="G649" s="14">
        <v>13.6758</v>
      </c>
      <c r="H649" s="14">
        <v>0.9847</v>
      </c>
      <c r="I649" s="14">
        <v>0.3956</v>
      </c>
      <c r="J649" s="14">
        <v>0.2698</v>
      </c>
      <c r="K649" s="14">
        <v>0.084</v>
      </c>
      <c r="L649" s="14">
        <v>9.2852</v>
      </c>
      <c r="M649" s="14" t="s">
        <v>26</v>
      </c>
    </row>
    <row r="650" ht="15.75" customHeight="1">
      <c r="A650" s="14" t="s">
        <v>2673</v>
      </c>
      <c r="B650" s="14" t="s">
        <v>2675</v>
      </c>
      <c r="C650" s="14">
        <v>1.0</v>
      </c>
      <c r="D650" s="14" t="s">
        <v>9</v>
      </c>
      <c r="E650" s="14">
        <v>0.576</v>
      </c>
      <c r="F650" s="14">
        <v>5.8876</v>
      </c>
      <c r="G650" s="14">
        <v>13.7447</v>
      </c>
      <c r="H650" s="14">
        <v>0.9851</v>
      </c>
      <c r="I650" s="14">
        <v>0.3916</v>
      </c>
      <c r="J650" s="14">
        <v>0.2713</v>
      </c>
      <c r="K650" s="14">
        <v>0.083</v>
      </c>
      <c r="L650" s="14">
        <v>9.2532</v>
      </c>
      <c r="M650" s="14" t="s">
        <v>26</v>
      </c>
    </row>
    <row r="651" ht="15.75" customHeight="1">
      <c r="A651" s="14" t="s">
        <v>1671</v>
      </c>
      <c r="B651" s="14" t="s">
        <v>2678</v>
      </c>
      <c r="C651" s="14">
        <v>1.0</v>
      </c>
      <c r="D651" s="14" t="s">
        <v>9</v>
      </c>
      <c r="E651" s="14">
        <v>0.5655</v>
      </c>
      <c r="F651" s="14">
        <v>5.8841</v>
      </c>
      <c r="G651" s="14">
        <v>13.6758</v>
      </c>
      <c r="H651" s="14">
        <v>0.9848</v>
      </c>
      <c r="I651" s="14">
        <v>0.3954</v>
      </c>
      <c r="J651" s="14">
        <v>0.2763</v>
      </c>
      <c r="K651" s="14">
        <v>0.0843</v>
      </c>
      <c r="L651" s="14">
        <v>9.2788</v>
      </c>
      <c r="M651" s="14" t="s">
        <v>26</v>
      </c>
    </row>
    <row r="652" ht="15.75" customHeight="1">
      <c r="A652" s="14" t="s">
        <v>518</v>
      </c>
      <c r="B652" s="14" t="s">
        <v>2681</v>
      </c>
      <c r="C652" s="14">
        <v>1.0</v>
      </c>
      <c r="D652" s="14" t="s">
        <v>9</v>
      </c>
      <c r="E652" s="14">
        <v>0.4576</v>
      </c>
      <c r="F652" s="14">
        <v>5.8807</v>
      </c>
      <c r="G652" s="14">
        <v>13.205</v>
      </c>
      <c r="H652" s="14">
        <v>0.9789</v>
      </c>
      <c r="I652" s="14">
        <v>0.4238</v>
      </c>
      <c r="J652" s="14">
        <v>0.3525</v>
      </c>
      <c r="K652" s="14">
        <v>0.1009</v>
      </c>
      <c r="L652" s="14">
        <v>8.46</v>
      </c>
      <c r="M652" s="14" t="s">
        <v>26</v>
      </c>
    </row>
    <row r="653" ht="15.75" customHeight="1">
      <c r="A653" s="14" t="s">
        <v>2684</v>
      </c>
      <c r="B653" s="14" t="s">
        <v>2685</v>
      </c>
      <c r="C653" s="14">
        <v>1.0</v>
      </c>
      <c r="D653" s="14" t="s">
        <v>9</v>
      </c>
      <c r="E653" s="14">
        <v>0.4211</v>
      </c>
      <c r="F653" s="14">
        <v>5.8807</v>
      </c>
      <c r="G653" s="14">
        <v>14.0978</v>
      </c>
      <c r="H653" s="14">
        <v>0.9862</v>
      </c>
      <c r="I653" s="14">
        <v>0.3718</v>
      </c>
      <c r="J653" s="14">
        <v>0.2843</v>
      </c>
      <c r="K653" s="14">
        <v>0.071</v>
      </c>
      <c r="L653" s="14">
        <v>9.1005</v>
      </c>
      <c r="M653" s="14" t="s">
        <v>26</v>
      </c>
    </row>
    <row r="654" ht="15.75" customHeight="1">
      <c r="A654" s="14" t="s">
        <v>395</v>
      </c>
      <c r="B654" s="14" t="s">
        <v>2688</v>
      </c>
      <c r="C654" s="14">
        <v>1.0</v>
      </c>
      <c r="D654" s="14" t="s">
        <v>9</v>
      </c>
      <c r="E654" s="14">
        <v>0.6582</v>
      </c>
      <c r="F654" s="14">
        <v>5.8807</v>
      </c>
      <c r="G654" s="14">
        <v>13.4344</v>
      </c>
      <c r="H654" s="14">
        <v>0.9806</v>
      </c>
      <c r="I654" s="14">
        <v>0.4094</v>
      </c>
      <c r="J654" s="14">
        <v>0.2586</v>
      </c>
      <c r="K654" s="14">
        <v>0.1195</v>
      </c>
      <c r="L654" s="14">
        <v>9.4059</v>
      </c>
      <c r="M654" s="14" t="s">
        <v>26</v>
      </c>
    </row>
    <row r="655" ht="15.75" customHeight="1">
      <c r="A655" s="14" t="s">
        <v>1657</v>
      </c>
      <c r="B655" s="14" t="s">
        <v>2691</v>
      </c>
      <c r="C655" s="14">
        <v>1.0</v>
      </c>
      <c r="D655" s="14" t="s">
        <v>9</v>
      </c>
      <c r="E655" s="14">
        <v>0.5626</v>
      </c>
      <c r="F655" s="14">
        <v>5.8737</v>
      </c>
      <c r="G655" s="14">
        <v>13.7102</v>
      </c>
      <c r="H655" s="14">
        <v>0.9848</v>
      </c>
      <c r="I655" s="14">
        <v>0.3927</v>
      </c>
      <c r="J655" s="14">
        <v>0.2703</v>
      </c>
      <c r="K655" s="14">
        <v>0.0859</v>
      </c>
      <c r="L655" s="14">
        <v>9.278</v>
      </c>
      <c r="M655" s="14" t="s">
        <v>26</v>
      </c>
    </row>
    <row r="656" ht="15.75" customHeight="1">
      <c r="A656" s="14" t="s">
        <v>2694</v>
      </c>
      <c r="B656" s="14" t="s">
        <v>2695</v>
      </c>
      <c r="C656" s="14">
        <v>1.0</v>
      </c>
      <c r="D656" s="14" t="s">
        <v>9</v>
      </c>
      <c r="E656" s="14">
        <v>0.5629</v>
      </c>
      <c r="F656" s="14">
        <v>5.8737</v>
      </c>
      <c r="G656" s="14">
        <v>13.7102</v>
      </c>
      <c r="H656" s="14">
        <v>0.9851</v>
      </c>
      <c r="I656" s="14">
        <v>0.3927</v>
      </c>
      <c r="J656" s="14">
        <v>0.2736</v>
      </c>
      <c r="K656" s="14">
        <v>0.0844</v>
      </c>
      <c r="L656" s="14">
        <v>9.2971</v>
      </c>
      <c r="M656" s="14" t="s">
        <v>26</v>
      </c>
    </row>
    <row r="657" ht="15.75" customHeight="1">
      <c r="A657" s="14" t="s">
        <v>1498</v>
      </c>
      <c r="B657" s="14" t="s">
        <v>2698</v>
      </c>
      <c r="C657" s="14">
        <v>1.0</v>
      </c>
      <c r="D657" s="14" t="s">
        <v>9</v>
      </c>
      <c r="E657" s="14">
        <v>0.5684</v>
      </c>
      <c r="F657" s="14">
        <v>5.8703</v>
      </c>
      <c r="G657" s="14">
        <v>13.7102</v>
      </c>
      <c r="H657" s="14">
        <v>0.9851</v>
      </c>
      <c r="I657" s="14">
        <v>0.3924</v>
      </c>
      <c r="J657" s="14">
        <v>0.2671</v>
      </c>
      <c r="K657" s="14">
        <v>0.0842</v>
      </c>
      <c r="L657" s="14">
        <v>9.3281</v>
      </c>
      <c r="M657" s="14" t="s">
        <v>26</v>
      </c>
    </row>
    <row r="658" ht="15.75" customHeight="1">
      <c r="A658" s="14" t="s">
        <v>1288</v>
      </c>
      <c r="B658" s="14" t="s">
        <v>2702</v>
      </c>
      <c r="C658" s="14">
        <v>1.0</v>
      </c>
      <c r="D658" s="14" t="s">
        <v>9</v>
      </c>
      <c r="E658" s="14">
        <v>0.6629</v>
      </c>
      <c r="F658" s="14">
        <v>5.8703</v>
      </c>
      <c r="G658" s="14">
        <v>13.6009</v>
      </c>
      <c r="H658" s="14">
        <v>0.9812</v>
      </c>
      <c r="I658" s="14">
        <v>0.3988</v>
      </c>
      <c r="J658" s="14">
        <v>0.2592</v>
      </c>
      <c r="K658" s="14">
        <v>0.1197</v>
      </c>
      <c r="L658" s="14">
        <v>9.4139</v>
      </c>
      <c r="M658" s="14" t="s">
        <v>26</v>
      </c>
    </row>
    <row r="659" ht="15.75" customHeight="1">
      <c r="A659" s="14" t="s">
        <v>1150</v>
      </c>
      <c r="B659" s="14" t="s">
        <v>2705</v>
      </c>
      <c r="C659" s="14">
        <v>1.0</v>
      </c>
      <c r="D659" s="14" t="s">
        <v>9</v>
      </c>
      <c r="E659" s="14">
        <v>0.5124</v>
      </c>
      <c r="F659" s="14">
        <v>5.8703</v>
      </c>
      <c r="G659" s="14">
        <v>13.9599</v>
      </c>
      <c r="H659" s="14">
        <v>0.985</v>
      </c>
      <c r="I659" s="14">
        <v>0.3785</v>
      </c>
      <c r="J659" s="14">
        <v>0.2806</v>
      </c>
      <c r="K659" s="14">
        <v>0.134</v>
      </c>
      <c r="L659" s="14">
        <v>9.2746</v>
      </c>
      <c r="M659" s="14" t="s">
        <v>26</v>
      </c>
    </row>
    <row r="660" ht="15.75" customHeight="1">
      <c r="A660" s="14" t="s">
        <v>2708</v>
      </c>
      <c r="B660" s="14" t="s">
        <v>2709</v>
      </c>
      <c r="C660" s="14">
        <v>1.0</v>
      </c>
      <c r="D660" s="14" t="s">
        <v>9</v>
      </c>
      <c r="E660" s="14">
        <v>0.5696</v>
      </c>
      <c r="F660" s="14">
        <v>5.8668</v>
      </c>
      <c r="G660" s="14">
        <v>13.8767</v>
      </c>
      <c r="H660" s="14">
        <v>0.9848</v>
      </c>
      <c r="I660" s="14">
        <v>0.3829</v>
      </c>
      <c r="J660" s="14">
        <v>0.2703</v>
      </c>
      <c r="K660" s="14">
        <v>0.0861</v>
      </c>
      <c r="L660" s="14">
        <v>9.2676</v>
      </c>
      <c r="M660" s="14" t="s">
        <v>26</v>
      </c>
    </row>
    <row r="661" ht="15.75" customHeight="1">
      <c r="A661" s="14" t="s">
        <v>383</v>
      </c>
      <c r="B661" s="14" t="s">
        <v>2712</v>
      </c>
      <c r="C661" s="14">
        <v>1.0</v>
      </c>
      <c r="D661" s="14" t="s">
        <v>9</v>
      </c>
      <c r="E661" s="14">
        <v>0.6557</v>
      </c>
      <c r="F661" s="14">
        <v>5.8633</v>
      </c>
      <c r="G661" s="14">
        <v>13.4344</v>
      </c>
      <c r="H661" s="14">
        <v>0.9806</v>
      </c>
      <c r="I661" s="14">
        <v>0.4082</v>
      </c>
      <c r="J661" s="14">
        <v>0.2619</v>
      </c>
      <c r="K661" s="14">
        <v>0.1212</v>
      </c>
      <c r="L661" s="14">
        <v>9.4205</v>
      </c>
      <c r="M661" s="14" t="s">
        <v>26</v>
      </c>
    </row>
    <row r="662" ht="15.75" customHeight="1">
      <c r="A662" s="14" t="s">
        <v>2714</v>
      </c>
      <c r="B662" s="14" t="s">
        <v>2715</v>
      </c>
      <c r="C662" s="14">
        <v>1.0</v>
      </c>
      <c r="D662" s="14" t="s">
        <v>9</v>
      </c>
      <c r="E662" s="14">
        <v>0.5677</v>
      </c>
      <c r="F662" s="14">
        <v>5.8633</v>
      </c>
      <c r="G662" s="14">
        <v>13.7102</v>
      </c>
      <c r="H662" s="14">
        <v>0.9851</v>
      </c>
      <c r="I662" s="14">
        <v>0.392</v>
      </c>
      <c r="J662" s="14">
        <v>0.2747</v>
      </c>
      <c r="K662" s="14">
        <v>0.0857</v>
      </c>
      <c r="L662" s="14">
        <v>9.2694</v>
      </c>
      <c r="M662" s="14" t="s">
        <v>26</v>
      </c>
    </row>
    <row r="663" ht="15.75" customHeight="1">
      <c r="A663" s="14" t="s">
        <v>523</v>
      </c>
      <c r="B663" s="14" t="s">
        <v>2718</v>
      </c>
      <c r="C663" s="14">
        <v>1.0</v>
      </c>
      <c r="D663" s="14" t="s">
        <v>9</v>
      </c>
      <c r="E663" s="14">
        <v>0.4804</v>
      </c>
      <c r="F663" s="14">
        <v>5.8633</v>
      </c>
      <c r="G663" s="14">
        <v>13.9112</v>
      </c>
      <c r="H663" s="14">
        <v>0.9858</v>
      </c>
      <c r="I663" s="14">
        <v>0.3807</v>
      </c>
      <c r="J663" s="14">
        <v>0.249</v>
      </c>
      <c r="K663" s="14">
        <v>0.078</v>
      </c>
      <c r="L663" s="14">
        <v>9.5192</v>
      </c>
      <c r="M663" s="14" t="s">
        <v>26</v>
      </c>
    </row>
    <row r="664" ht="15.75" customHeight="1">
      <c r="A664" s="14" t="s">
        <v>195</v>
      </c>
      <c r="B664" s="14" t="s">
        <v>2721</v>
      </c>
      <c r="C664" s="14">
        <v>1.0</v>
      </c>
      <c r="D664" s="14" t="s">
        <v>9</v>
      </c>
      <c r="E664" s="14">
        <v>0.4193</v>
      </c>
      <c r="F664" s="14">
        <v>5.8495</v>
      </c>
      <c r="G664" s="14">
        <v>13.7994</v>
      </c>
      <c r="H664" s="14">
        <v>0.9855</v>
      </c>
      <c r="I664" s="14">
        <v>0.386</v>
      </c>
      <c r="J664" s="14">
        <v>0.2832</v>
      </c>
      <c r="K664" s="14">
        <v>0.0639</v>
      </c>
      <c r="L664" s="14">
        <v>9.1433</v>
      </c>
      <c r="M664" s="14" t="s">
        <v>26</v>
      </c>
    </row>
    <row r="665" ht="15.75" customHeight="1">
      <c r="A665" s="14" t="s">
        <v>2723</v>
      </c>
      <c r="B665" s="14" t="s">
        <v>2724</v>
      </c>
      <c r="C665" s="14">
        <v>1.0</v>
      </c>
      <c r="D665" s="14" t="s">
        <v>9</v>
      </c>
      <c r="E665" s="14">
        <v>0.4281</v>
      </c>
      <c r="F665" s="14">
        <v>5.8426</v>
      </c>
      <c r="G665" s="14">
        <v>14.1323</v>
      </c>
      <c r="H665" s="14">
        <v>0.9856</v>
      </c>
      <c r="I665" s="14">
        <v>0.3676</v>
      </c>
      <c r="J665" s="14">
        <v>0.2782</v>
      </c>
      <c r="K665" s="14">
        <v>0.0629</v>
      </c>
      <c r="L665" s="14">
        <v>9.1712</v>
      </c>
      <c r="M665" s="14" t="s">
        <v>26</v>
      </c>
    </row>
    <row r="666" ht="15.75" customHeight="1">
      <c r="A666" s="14" t="s">
        <v>175</v>
      </c>
      <c r="B666" s="14" t="s">
        <v>2727</v>
      </c>
      <c r="C666" s="14">
        <v>1.0</v>
      </c>
      <c r="D666" s="14" t="s">
        <v>9</v>
      </c>
      <c r="E666" s="14">
        <v>0.4583</v>
      </c>
      <c r="F666" s="14">
        <v>5.8287</v>
      </c>
      <c r="G666" s="14">
        <v>14.0978</v>
      </c>
      <c r="H666" s="14">
        <v>0.9861</v>
      </c>
      <c r="I666" s="14">
        <v>0.3685</v>
      </c>
      <c r="J666" s="14">
        <v>0.271</v>
      </c>
      <c r="K666" s="14">
        <v>0.0762</v>
      </c>
      <c r="L666" s="14">
        <v>9.407</v>
      </c>
      <c r="M666" s="14" t="s">
        <v>26</v>
      </c>
    </row>
    <row r="667" ht="15.75" customHeight="1">
      <c r="A667" s="14" t="s">
        <v>1066</v>
      </c>
      <c r="B667" s="14" t="s">
        <v>2730</v>
      </c>
      <c r="C667" s="14">
        <v>1.0</v>
      </c>
      <c r="D667" s="14" t="s">
        <v>9</v>
      </c>
      <c r="E667" s="14">
        <v>0.6182</v>
      </c>
      <c r="F667" s="14">
        <v>5.8252</v>
      </c>
      <c r="G667" s="14">
        <v>13.3369</v>
      </c>
      <c r="H667" s="14">
        <v>0.9803</v>
      </c>
      <c r="I667" s="14">
        <v>0.4115</v>
      </c>
      <c r="J667" s="14">
        <v>0.2864</v>
      </c>
      <c r="K667" s="14">
        <v>0.1109</v>
      </c>
      <c r="L667" s="14">
        <v>9.2007</v>
      </c>
      <c r="M667" s="14" t="s">
        <v>26</v>
      </c>
    </row>
    <row r="668" ht="15.75" customHeight="1">
      <c r="A668" s="14" t="s">
        <v>2733</v>
      </c>
      <c r="B668" s="14" t="s">
        <v>2734</v>
      </c>
      <c r="C668" s="14">
        <v>1.0</v>
      </c>
      <c r="D668" s="14" t="s">
        <v>9</v>
      </c>
      <c r="E668" s="14">
        <v>0.3547</v>
      </c>
      <c r="F668" s="14">
        <v>5.8252</v>
      </c>
      <c r="G668" s="14">
        <v>13.9658</v>
      </c>
      <c r="H668" s="14">
        <v>0.9865</v>
      </c>
      <c r="I668" s="14">
        <v>0.3753</v>
      </c>
      <c r="J668" s="14">
        <v>0.3478</v>
      </c>
      <c r="K668" s="14">
        <v>0.0809</v>
      </c>
      <c r="L668" s="14">
        <v>8.7167</v>
      </c>
      <c r="M668" s="14" t="s">
        <v>26</v>
      </c>
    </row>
    <row r="669" ht="15.75" customHeight="1">
      <c r="A669" s="14" t="s">
        <v>1104</v>
      </c>
      <c r="B669" s="14" t="s">
        <v>2737</v>
      </c>
      <c r="C669" s="14">
        <v>1.0</v>
      </c>
      <c r="D669" s="14" t="s">
        <v>9</v>
      </c>
      <c r="E669" s="14">
        <v>0.5077</v>
      </c>
      <c r="F669" s="14">
        <v>5.8183</v>
      </c>
      <c r="G669" s="14">
        <v>13.759</v>
      </c>
      <c r="H669" s="14">
        <v>0.9852</v>
      </c>
      <c r="I669" s="14">
        <v>0.3862</v>
      </c>
      <c r="J669" s="14">
        <v>0.2837</v>
      </c>
      <c r="K669" s="14">
        <v>0.1421</v>
      </c>
      <c r="L669" s="14">
        <v>9.2227</v>
      </c>
      <c r="M669" s="14" t="s">
        <v>26</v>
      </c>
    </row>
    <row r="670" ht="15.75" customHeight="1">
      <c r="A670" s="14" t="s">
        <v>2741</v>
      </c>
      <c r="B670" s="14" t="s">
        <v>2742</v>
      </c>
      <c r="C670" s="14">
        <v>1.0</v>
      </c>
      <c r="D670" s="14" t="s">
        <v>9</v>
      </c>
      <c r="E670" s="14">
        <v>0.4278</v>
      </c>
      <c r="F670" s="14">
        <v>5.8079</v>
      </c>
      <c r="G670" s="14">
        <v>13.7994</v>
      </c>
      <c r="H670" s="14">
        <v>0.9858</v>
      </c>
      <c r="I670" s="14">
        <v>0.3833</v>
      </c>
      <c r="J670" s="14">
        <v>0.289</v>
      </c>
      <c r="K670" s="14">
        <v>0.068</v>
      </c>
      <c r="L670" s="14">
        <v>9.0718</v>
      </c>
      <c r="M670" s="14" t="s">
        <v>26</v>
      </c>
    </row>
    <row r="671" ht="15.75" customHeight="1">
      <c r="A671" s="14" t="s">
        <v>756</v>
      </c>
      <c r="B671" s="14" t="s">
        <v>2744</v>
      </c>
      <c r="C671" s="14">
        <v>1.0</v>
      </c>
      <c r="D671" s="14" t="s">
        <v>9</v>
      </c>
      <c r="E671" s="14">
        <v>0.3052</v>
      </c>
      <c r="F671" s="14">
        <v>5.8045</v>
      </c>
      <c r="G671" s="14">
        <v>13.2192</v>
      </c>
      <c r="H671" s="14">
        <v>0.9789</v>
      </c>
      <c r="I671" s="14">
        <v>0.4174</v>
      </c>
      <c r="J671" s="14">
        <v>0.4443</v>
      </c>
      <c r="K671" s="14">
        <v>0.1569</v>
      </c>
      <c r="L671" s="14">
        <v>7.912</v>
      </c>
      <c r="M671" s="14" t="s">
        <v>26</v>
      </c>
    </row>
    <row r="672" ht="15.75" customHeight="1">
      <c r="A672" s="14" t="s">
        <v>1026</v>
      </c>
      <c r="B672" s="14" t="s">
        <v>2747</v>
      </c>
      <c r="C672" s="14">
        <v>1.0</v>
      </c>
      <c r="D672" s="14" t="s">
        <v>9</v>
      </c>
      <c r="E672" s="14">
        <v>0.5025</v>
      </c>
      <c r="F672" s="14">
        <v>5.8045</v>
      </c>
      <c r="G672" s="14">
        <v>13.759</v>
      </c>
      <c r="H672" s="14">
        <v>0.9854</v>
      </c>
      <c r="I672" s="14">
        <v>0.3853</v>
      </c>
      <c r="J672" s="14">
        <v>0.2881</v>
      </c>
      <c r="K672" s="14">
        <v>0.143</v>
      </c>
      <c r="L672" s="14">
        <v>9.1897</v>
      </c>
      <c r="M672" s="14" t="s">
        <v>26</v>
      </c>
    </row>
    <row r="673" ht="15.75" customHeight="1">
      <c r="A673" s="14" t="s">
        <v>187</v>
      </c>
      <c r="B673" s="14" t="s">
        <v>2750</v>
      </c>
      <c r="C673" s="14">
        <v>1.0</v>
      </c>
      <c r="D673" s="14" t="s">
        <v>9</v>
      </c>
      <c r="E673" s="14">
        <v>0.4481</v>
      </c>
      <c r="F673" s="14">
        <v>5.801</v>
      </c>
      <c r="G673" s="14">
        <v>13.7649</v>
      </c>
      <c r="H673" s="14">
        <v>0.9857</v>
      </c>
      <c r="I673" s="14">
        <v>0.3847</v>
      </c>
      <c r="J673" s="14">
        <v>0.2878</v>
      </c>
      <c r="K673" s="14">
        <v>0.0679</v>
      </c>
      <c r="L673" s="14">
        <v>9.0933</v>
      </c>
      <c r="M673" s="14" t="s">
        <v>26</v>
      </c>
    </row>
    <row r="674" ht="15.75" customHeight="1">
      <c r="A674" s="14" t="s">
        <v>2753</v>
      </c>
      <c r="B674" s="14" t="s">
        <v>2754</v>
      </c>
      <c r="C674" s="14">
        <v>1.0</v>
      </c>
      <c r="D674" s="14" t="s">
        <v>9</v>
      </c>
      <c r="E674" s="14">
        <v>0.4133</v>
      </c>
      <c r="F674" s="14">
        <v>5.7975</v>
      </c>
      <c r="G674" s="14">
        <v>13.9658</v>
      </c>
      <c r="H674" s="14">
        <v>0.9859</v>
      </c>
      <c r="I674" s="14">
        <v>0.3735</v>
      </c>
      <c r="J674" s="14">
        <v>0.2832</v>
      </c>
      <c r="K674" s="14">
        <v>0.0677</v>
      </c>
      <c r="L674" s="14">
        <v>9.0846</v>
      </c>
      <c r="M674" s="14" t="s">
        <v>26</v>
      </c>
    </row>
    <row r="675" ht="15.75" customHeight="1">
      <c r="A675" s="14" t="s">
        <v>442</v>
      </c>
      <c r="B675" s="14" t="s">
        <v>2757</v>
      </c>
      <c r="C675" s="14">
        <v>1.0</v>
      </c>
      <c r="D675" s="14" t="s">
        <v>9</v>
      </c>
      <c r="E675" s="14">
        <v>0.5079</v>
      </c>
      <c r="F675" s="14">
        <v>5.7975</v>
      </c>
      <c r="G675" s="14">
        <v>13.7733</v>
      </c>
      <c r="H675" s="14">
        <v>0.9852</v>
      </c>
      <c r="I675" s="14">
        <v>0.384</v>
      </c>
      <c r="J675" s="14">
        <v>0.2826</v>
      </c>
      <c r="K675" s="14">
        <v>0.1428</v>
      </c>
      <c r="L675" s="14">
        <v>9.2087</v>
      </c>
      <c r="M675" s="14" t="s">
        <v>26</v>
      </c>
    </row>
    <row r="676" ht="15.75" customHeight="1">
      <c r="A676" s="14" t="s">
        <v>98</v>
      </c>
      <c r="B676" s="14" t="s">
        <v>2760</v>
      </c>
      <c r="C676" s="14">
        <v>1.0</v>
      </c>
      <c r="D676" s="14" t="s">
        <v>9</v>
      </c>
      <c r="E676" s="14">
        <v>0.4911</v>
      </c>
      <c r="F676" s="14">
        <v>5.7941</v>
      </c>
      <c r="G676" s="14">
        <v>14.0978</v>
      </c>
      <c r="H676" s="14">
        <v>0.9872</v>
      </c>
      <c r="I676" s="14">
        <v>0.3663</v>
      </c>
      <c r="J676" s="14">
        <v>0.366</v>
      </c>
      <c r="K676" s="14">
        <v>0.1652</v>
      </c>
      <c r="L676" s="14">
        <v>8.6584</v>
      </c>
      <c r="M676" s="14" t="s">
        <v>26</v>
      </c>
    </row>
    <row r="677" ht="15.75" customHeight="1">
      <c r="A677" s="14" t="s">
        <v>601</v>
      </c>
      <c r="B677" s="14" t="s">
        <v>2763</v>
      </c>
      <c r="C677" s="14">
        <v>1.0</v>
      </c>
      <c r="D677" s="14" t="s">
        <v>9</v>
      </c>
      <c r="E677" s="14">
        <v>0.2832</v>
      </c>
      <c r="F677" s="14">
        <v>5.7941</v>
      </c>
      <c r="G677" s="14">
        <v>13.4021</v>
      </c>
      <c r="H677" s="14">
        <v>0.9813</v>
      </c>
      <c r="I677" s="14">
        <v>0.4054</v>
      </c>
      <c r="J677" s="14">
        <v>0.4903</v>
      </c>
      <c r="K677" s="14">
        <v>0.1934</v>
      </c>
      <c r="L677" s="14">
        <v>7.3512</v>
      </c>
      <c r="M677" s="14" t="s">
        <v>26</v>
      </c>
    </row>
    <row r="678" ht="15.75" customHeight="1">
      <c r="A678" s="14" t="s">
        <v>2766</v>
      </c>
      <c r="B678" s="14" t="s">
        <v>2768</v>
      </c>
      <c r="C678" s="14">
        <v>1.0</v>
      </c>
      <c r="D678" s="14" t="s">
        <v>9</v>
      </c>
      <c r="E678" s="14">
        <v>0.4351</v>
      </c>
      <c r="F678" s="14">
        <v>5.7941</v>
      </c>
      <c r="G678" s="14">
        <v>14.0146</v>
      </c>
      <c r="H678" s="14">
        <v>0.9859</v>
      </c>
      <c r="I678" s="14">
        <v>0.3707</v>
      </c>
      <c r="J678" s="14">
        <v>0.2818</v>
      </c>
      <c r="K678" s="14">
        <v>0.0676</v>
      </c>
      <c r="L678" s="14">
        <v>9.1035</v>
      </c>
      <c r="M678" s="14" t="s">
        <v>26</v>
      </c>
    </row>
    <row r="679" ht="15.75" customHeight="1">
      <c r="A679" s="14" t="s">
        <v>974</v>
      </c>
      <c r="B679" s="14" t="s">
        <v>2771</v>
      </c>
      <c r="C679" s="14">
        <v>1.0</v>
      </c>
      <c r="D679" s="14" t="s">
        <v>9</v>
      </c>
      <c r="E679" s="14">
        <v>0.5011</v>
      </c>
      <c r="F679" s="14">
        <v>5.7906</v>
      </c>
      <c r="G679" s="14">
        <v>13.9112</v>
      </c>
      <c r="H679" s="14">
        <v>0.986</v>
      </c>
      <c r="I679" s="14">
        <v>0.376</v>
      </c>
      <c r="J679" s="14">
        <v>0.2428</v>
      </c>
      <c r="K679" s="14">
        <v>0.085</v>
      </c>
      <c r="L679" s="14">
        <v>9.5591</v>
      </c>
      <c r="M679" s="14" t="s">
        <v>26</v>
      </c>
    </row>
    <row r="680" ht="15.75" customHeight="1">
      <c r="A680" s="14" t="s">
        <v>1031</v>
      </c>
      <c r="B680" s="14" t="s">
        <v>2774</v>
      </c>
      <c r="C680" s="14">
        <v>1.0</v>
      </c>
      <c r="D680" s="14" t="s">
        <v>9</v>
      </c>
      <c r="E680" s="14">
        <v>0.5023</v>
      </c>
      <c r="F680" s="14">
        <v>5.7906</v>
      </c>
      <c r="G680" s="14">
        <v>14.0776</v>
      </c>
      <c r="H680" s="14">
        <v>0.9851</v>
      </c>
      <c r="I680" s="14">
        <v>0.3672</v>
      </c>
      <c r="J680" s="14">
        <v>0.2827</v>
      </c>
      <c r="K680" s="14">
        <v>0.1429</v>
      </c>
      <c r="L680" s="14">
        <v>9.1849</v>
      </c>
      <c r="M680" s="14" t="s">
        <v>26</v>
      </c>
    </row>
    <row r="681" ht="15.75" customHeight="1">
      <c r="A681" s="14" t="s">
        <v>370</v>
      </c>
      <c r="B681" s="14" t="s">
        <v>2777</v>
      </c>
      <c r="C681" s="14">
        <v>1.0</v>
      </c>
      <c r="D681" s="14" t="s">
        <v>9</v>
      </c>
      <c r="E681" s="14">
        <v>0.5486</v>
      </c>
      <c r="F681" s="14">
        <v>5.7906</v>
      </c>
      <c r="G681" s="14">
        <v>13.7994</v>
      </c>
      <c r="H681" s="14">
        <v>0.9864</v>
      </c>
      <c r="I681" s="14">
        <v>0.3821</v>
      </c>
      <c r="J681" s="14">
        <v>0.2775</v>
      </c>
      <c r="K681" s="14">
        <v>0.0865</v>
      </c>
      <c r="L681" s="14">
        <v>9.2745</v>
      </c>
      <c r="M681" s="14" t="s">
        <v>26</v>
      </c>
    </row>
    <row r="682" ht="15.75" customHeight="1">
      <c r="A682" s="14" t="s">
        <v>999</v>
      </c>
      <c r="B682" s="14" t="s">
        <v>2780</v>
      </c>
      <c r="C682" s="14">
        <v>1.0</v>
      </c>
      <c r="D682" s="14" t="s">
        <v>9</v>
      </c>
      <c r="E682" s="14">
        <v>0.6612</v>
      </c>
      <c r="F682" s="14">
        <v>5.7871</v>
      </c>
      <c r="G682" s="14">
        <v>13.4689</v>
      </c>
      <c r="H682" s="14">
        <v>0.9804</v>
      </c>
      <c r="I682" s="14">
        <v>0.4009</v>
      </c>
      <c r="J682" s="14">
        <v>0.2685</v>
      </c>
      <c r="K682" s="14">
        <v>0.1151</v>
      </c>
      <c r="L682" s="14">
        <v>9.3048</v>
      </c>
      <c r="M682" s="14" t="s">
        <v>26</v>
      </c>
    </row>
    <row r="683" ht="15.75" customHeight="1">
      <c r="A683" s="14" t="s">
        <v>1684</v>
      </c>
      <c r="B683" s="14" t="s">
        <v>2783</v>
      </c>
      <c r="C683" s="14">
        <v>1.0</v>
      </c>
      <c r="D683" s="14" t="s">
        <v>9</v>
      </c>
      <c r="E683" s="14">
        <v>0.6476</v>
      </c>
      <c r="F683" s="14">
        <v>5.7871</v>
      </c>
      <c r="G683" s="14">
        <v>13.5034</v>
      </c>
      <c r="H683" s="14">
        <v>0.9805</v>
      </c>
      <c r="I683" s="14">
        <v>0.3988</v>
      </c>
      <c r="J683" s="14">
        <v>0.27</v>
      </c>
      <c r="K683" s="14">
        <v>0.1171</v>
      </c>
      <c r="L683" s="14">
        <v>9.2969</v>
      </c>
      <c r="M683" s="14" t="s">
        <v>26</v>
      </c>
    </row>
    <row r="684" ht="15.75" customHeight="1">
      <c r="A684" s="14" t="s">
        <v>1134</v>
      </c>
      <c r="B684" s="14" t="s">
        <v>2785</v>
      </c>
      <c r="C684" s="14">
        <v>1.0</v>
      </c>
      <c r="D684" s="14" t="s">
        <v>9</v>
      </c>
      <c r="E684" s="14">
        <v>0.5007</v>
      </c>
      <c r="F684" s="14">
        <v>5.7837</v>
      </c>
      <c r="G684" s="14">
        <v>14.0431</v>
      </c>
      <c r="H684" s="14">
        <v>0.9859</v>
      </c>
      <c r="I684" s="14">
        <v>0.3685</v>
      </c>
      <c r="J684" s="14">
        <v>0.2982</v>
      </c>
      <c r="K684" s="14">
        <v>0.1598</v>
      </c>
      <c r="L684" s="14">
        <v>9.0746</v>
      </c>
      <c r="M684" s="14" t="s">
        <v>26</v>
      </c>
    </row>
    <row r="685" ht="15.75" customHeight="1">
      <c r="A685" s="14" t="s">
        <v>777</v>
      </c>
      <c r="B685" s="14" t="s">
        <v>2788</v>
      </c>
      <c r="C685" s="14">
        <v>1.0</v>
      </c>
      <c r="D685" s="14" t="s">
        <v>9</v>
      </c>
      <c r="E685" s="14">
        <v>0.6945</v>
      </c>
      <c r="F685" s="14">
        <v>5.7802</v>
      </c>
      <c r="G685" s="14">
        <v>13.3941</v>
      </c>
      <c r="H685" s="14">
        <v>0.979</v>
      </c>
      <c r="I685" s="14">
        <v>0.4049</v>
      </c>
      <c r="J685" s="14">
        <v>0.3234</v>
      </c>
      <c r="K685" s="14">
        <v>0.1949</v>
      </c>
      <c r="L685" s="14">
        <v>8.7084</v>
      </c>
      <c r="M685" s="14" t="s">
        <v>26</v>
      </c>
    </row>
    <row r="686" ht="15.75" customHeight="1">
      <c r="A686" s="14" t="s">
        <v>1004</v>
      </c>
      <c r="B686" s="14" t="s">
        <v>2791</v>
      </c>
      <c r="C686" s="14">
        <v>1.0</v>
      </c>
      <c r="D686" s="14" t="s">
        <v>9</v>
      </c>
      <c r="E686" s="14">
        <v>0.6585</v>
      </c>
      <c r="F686" s="14">
        <v>5.7802</v>
      </c>
      <c r="G686" s="14">
        <v>13.5034</v>
      </c>
      <c r="H686" s="14">
        <v>0.9803</v>
      </c>
      <c r="I686" s="14">
        <v>0.3984</v>
      </c>
      <c r="J686" s="14">
        <v>0.2701</v>
      </c>
      <c r="K686" s="14">
        <v>0.1164</v>
      </c>
      <c r="L686" s="14">
        <v>9.2953</v>
      </c>
      <c r="M686" s="14" t="s">
        <v>26</v>
      </c>
    </row>
    <row r="687" ht="15.75" customHeight="1">
      <c r="A687" s="14" t="s">
        <v>366</v>
      </c>
      <c r="B687" s="14" t="s">
        <v>2794</v>
      </c>
      <c r="C687" s="14">
        <v>1.0</v>
      </c>
      <c r="D687" s="14" t="s">
        <v>9</v>
      </c>
      <c r="E687" s="14">
        <v>0.6484</v>
      </c>
      <c r="F687" s="14">
        <v>5.7768</v>
      </c>
      <c r="G687" s="14">
        <v>13.268</v>
      </c>
      <c r="H687" s="14">
        <v>0.98</v>
      </c>
      <c r="I687" s="14">
        <v>0.4124</v>
      </c>
      <c r="J687" s="14">
        <v>0.2518</v>
      </c>
      <c r="K687" s="14">
        <v>0.1169</v>
      </c>
      <c r="L687" s="14">
        <v>9.3998</v>
      </c>
      <c r="M687" s="14" t="s">
        <v>26</v>
      </c>
    </row>
    <row r="688" ht="15.75" customHeight="1">
      <c r="A688" s="14" t="s">
        <v>357</v>
      </c>
      <c r="B688" s="14" t="s">
        <v>2797</v>
      </c>
      <c r="C688" s="14">
        <v>1.0</v>
      </c>
      <c r="D688" s="14" t="s">
        <v>9</v>
      </c>
      <c r="E688" s="14">
        <v>0.5037</v>
      </c>
      <c r="F688" s="14">
        <v>5.7733</v>
      </c>
      <c r="G688" s="14">
        <v>14.1264</v>
      </c>
      <c r="H688" s="14">
        <v>0.9855</v>
      </c>
      <c r="I688" s="14">
        <v>0.3636</v>
      </c>
      <c r="J688" s="14">
        <v>0.2872</v>
      </c>
      <c r="K688" s="14">
        <v>0.1457</v>
      </c>
      <c r="L688" s="14">
        <v>9.1613</v>
      </c>
      <c r="M688" s="14" t="s">
        <v>26</v>
      </c>
    </row>
    <row r="689" ht="15.75" customHeight="1">
      <c r="A689" s="14" t="s">
        <v>1423</v>
      </c>
      <c r="B689" s="14" t="s">
        <v>2800</v>
      </c>
      <c r="C689" s="14">
        <v>1.0</v>
      </c>
      <c r="D689" s="14" t="s">
        <v>9</v>
      </c>
      <c r="E689" s="14">
        <v>0.5091</v>
      </c>
      <c r="F689" s="14">
        <v>5.7733</v>
      </c>
      <c r="G689" s="14">
        <v>13.9254</v>
      </c>
      <c r="H689" s="14">
        <v>0.9857</v>
      </c>
      <c r="I689" s="14">
        <v>0.3741</v>
      </c>
      <c r="J689" s="14">
        <v>0.285</v>
      </c>
      <c r="K689" s="14">
        <v>0.1447</v>
      </c>
      <c r="L689" s="14">
        <v>9.1752</v>
      </c>
      <c r="M689" s="14" t="s">
        <v>26</v>
      </c>
    </row>
    <row r="690" ht="15.75" customHeight="1">
      <c r="A690" s="14" t="s">
        <v>296</v>
      </c>
      <c r="B690" s="14" t="s">
        <v>2803</v>
      </c>
      <c r="C690" s="14">
        <v>1.0</v>
      </c>
      <c r="D690" s="14" t="s">
        <v>9</v>
      </c>
      <c r="E690" s="14">
        <v>0.6513</v>
      </c>
      <c r="F690" s="14">
        <v>5.7664</v>
      </c>
      <c r="G690" s="14">
        <v>13.4344</v>
      </c>
      <c r="H690" s="14">
        <v>0.9804</v>
      </c>
      <c r="I690" s="14">
        <v>0.4015</v>
      </c>
      <c r="J690" s="14">
        <v>0.252</v>
      </c>
      <c r="K690" s="14">
        <v>0.1166</v>
      </c>
      <c r="L690" s="14">
        <v>9.4237</v>
      </c>
      <c r="M690" s="14" t="s">
        <v>26</v>
      </c>
    </row>
    <row r="691" ht="15.75" customHeight="1">
      <c r="A691" s="14" t="s">
        <v>360</v>
      </c>
      <c r="B691" s="14" t="s">
        <v>2806</v>
      </c>
      <c r="C691" s="14">
        <v>1.0</v>
      </c>
      <c r="D691" s="14" t="s">
        <v>9</v>
      </c>
      <c r="E691" s="14">
        <v>0.6508</v>
      </c>
      <c r="F691" s="14">
        <v>5.7664</v>
      </c>
      <c r="G691" s="14">
        <v>13.4344</v>
      </c>
      <c r="H691" s="14">
        <v>0.98</v>
      </c>
      <c r="I691" s="14">
        <v>0.4015</v>
      </c>
      <c r="J691" s="14">
        <v>0.2532</v>
      </c>
      <c r="K691" s="14">
        <v>0.1182</v>
      </c>
      <c r="L691" s="14">
        <v>9.4075</v>
      </c>
      <c r="M691" s="14" t="s">
        <v>26</v>
      </c>
    </row>
    <row r="692" ht="15.75" customHeight="1">
      <c r="A692" s="14" t="s">
        <v>1493</v>
      </c>
      <c r="B692" s="14" t="s">
        <v>2809</v>
      </c>
      <c r="C692" s="14">
        <v>1.0</v>
      </c>
      <c r="D692" s="14" t="s">
        <v>9</v>
      </c>
      <c r="E692" s="14">
        <v>0.4328</v>
      </c>
      <c r="F692" s="14">
        <v>5.7594</v>
      </c>
      <c r="G692" s="14">
        <v>13.2192</v>
      </c>
      <c r="H692" s="14">
        <v>0.982</v>
      </c>
      <c r="I692" s="14">
        <v>0.4142</v>
      </c>
      <c r="J692" s="14">
        <v>0.3876</v>
      </c>
      <c r="K692" s="14">
        <v>0.1198</v>
      </c>
      <c r="L692" s="14">
        <v>7.9524</v>
      </c>
      <c r="M692" s="14" t="s">
        <v>26</v>
      </c>
    </row>
    <row r="693" ht="15.75" customHeight="1">
      <c r="A693" s="14" t="s">
        <v>615</v>
      </c>
      <c r="B693" s="14" t="s">
        <v>2811</v>
      </c>
      <c r="C693" s="14">
        <v>1.0</v>
      </c>
      <c r="D693" s="14" t="s">
        <v>9</v>
      </c>
      <c r="E693" s="14">
        <v>0.6751</v>
      </c>
      <c r="F693" s="14">
        <v>5.756</v>
      </c>
      <c r="G693" s="14">
        <v>13.0326</v>
      </c>
      <c r="H693" s="14">
        <v>0.9791</v>
      </c>
      <c r="I693" s="14">
        <v>0.4259</v>
      </c>
      <c r="J693" s="14">
        <v>0.2759</v>
      </c>
      <c r="K693" s="14">
        <v>0.121</v>
      </c>
      <c r="L693" s="14">
        <v>9.1755</v>
      </c>
      <c r="M693" s="14" t="s">
        <v>26</v>
      </c>
    </row>
    <row r="694" ht="15.75" customHeight="1">
      <c r="A694" s="14" t="s">
        <v>444</v>
      </c>
      <c r="B694" s="14" t="s">
        <v>2814</v>
      </c>
      <c r="C694" s="14">
        <v>1.0</v>
      </c>
      <c r="D694" s="14" t="s">
        <v>9</v>
      </c>
      <c r="E694" s="14">
        <v>0.6596</v>
      </c>
      <c r="F694" s="14">
        <v>5.7525</v>
      </c>
      <c r="G694" s="14">
        <v>13.2436</v>
      </c>
      <c r="H694" s="14">
        <v>0.9802</v>
      </c>
      <c r="I694" s="14">
        <v>0.4121</v>
      </c>
      <c r="J694" s="14">
        <v>0.2538</v>
      </c>
      <c r="K694" s="14">
        <v>0.119</v>
      </c>
      <c r="L694" s="14">
        <v>9.4417</v>
      </c>
      <c r="M694" s="14" t="s">
        <v>26</v>
      </c>
    </row>
    <row r="695" ht="15.75" customHeight="1">
      <c r="A695" s="14" t="s">
        <v>1706</v>
      </c>
      <c r="B695" s="14" t="s">
        <v>2817</v>
      </c>
      <c r="C695" s="14">
        <v>1.0</v>
      </c>
      <c r="D695" s="14" t="s">
        <v>9</v>
      </c>
      <c r="E695" s="14">
        <v>0.6455</v>
      </c>
      <c r="F695" s="14">
        <v>5.749</v>
      </c>
      <c r="G695" s="14">
        <v>13.4344</v>
      </c>
      <c r="H695" s="14">
        <v>0.9804</v>
      </c>
      <c r="I695" s="14">
        <v>0.4003</v>
      </c>
      <c r="J695" s="14">
        <v>0.2584</v>
      </c>
      <c r="K695" s="14">
        <v>0.1189</v>
      </c>
      <c r="L695" s="14">
        <v>9.4004</v>
      </c>
      <c r="M695" s="14" t="s">
        <v>26</v>
      </c>
    </row>
    <row r="696" ht="15.75" customHeight="1">
      <c r="A696" s="14" t="s">
        <v>64</v>
      </c>
      <c r="B696" s="14" t="s">
        <v>2820</v>
      </c>
      <c r="C696" s="14">
        <v>1.0</v>
      </c>
      <c r="D696" s="14" t="s">
        <v>9</v>
      </c>
      <c r="E696" s="14">
        <v>0.6535</v>
      </c>
      <c r="F696" s="14">
        <v>5.749</v>
      </c>
      <c r="G696" s="14">
        <v>13.4689</v>
      </c>
      <c r="H696" s="14">
        <v>0.9805</v>
      </c>
      <c r="I696" s="14">
        <v>0.3982</v>
      </c>
      <c r="J696" s="14">
        <v>0.2563</v>
      </c>
      <c r="K696" s="14">
        <v>0.1184</v>
      </c>
      <c r="L696" s="14">
        <v>9.3987</v>
      </c>
      <c r="M696" s="14" t="s">
        <v>26</v>
      </c>
    </row>
    <row r="697" ht="15.75" customHeight="1">
      <c r="A697" s="14" t="s">
        <v>459</v>
      </c>
      <c r="B697" s="14" t="s">
        <v>2823</v>
      </c>
      <c r="C697" s="14">
        <v>1.0</v>
      </c>
      <c r="D697" s="14" t="s">
        <v>9</v>
      </c>
      <c r="E697" s="14">
        <v>0.6607</v>
      </c>
      <c r="F697" s="14">
        <v>5.749</v>
      </c>
      <c r="G697" s="14">
        <v>13.4344</v>
      </c>
      <c r="H697" s="14">
        <v>0.9806</v>
      </c>
      <c r="I697" s="14">
        <v>0.4003</v>
      </c>
      <c r="J697" s="14">
        <v>0.2554</v>
      </c>
      <c r="K697" s="14">
        <v>0.1183</v>
      </c>
      <c r="L697" s="14">
        <v>9.4371</v>
      </c>
      <c r="M697" s="14" t="s">
        <v>26</v>
      </c>
    </row>
    <row r="698" ht="15.75" customHeight="1">
      <c r="A698" s="14" t="s">
        <v>1060</v>
      </c>
      <c r="B698" s="14" t="s">
        <v>2826</v>
      </c>
      <c r="C698" s="14">
        <v>1.0</v>
      </c>
      <c r="D698" s="14" t="s">
        <v>9</v>
      </c>
      <c r="E698" s="14">
        <v>0.5132</v>
      </c>
      <c r="F698" s="14">
        <v>5.749</v>
      </c>
      <c r="G698" s="14">
        <v>13.9254</v>
      </c>
      <c r="H698" s="14">
        <v>0.9857</v>
      </c>
      <c r="I698" s="14">
        <v>0.3726</v>
      </c>
      <c r="J698" s="14">
        <v>0.2903</v>
      </c>
      <c r="K698" s="14">
        <v>0.1493</v>
      </c>
      <c r="L698" s="14">
        <v>9.1468</v>
      </c>
      <c r="M698" s="14" t="s">
        <v>26</v>
      </c>
    </row>
    <row r="699" ht="15.75" customHeight="1">
      <c r="A699" s="14" t="s">
        <v>1038</v>
      </c>
      <c r="B699" s="14" t="s">
        <v>2829</v>
      </c>
      <c r="C699" s="14">
        <v>1.0</v>
      </c>
      <c r="D699" s="14" t="s">
        <v>9</v>
      </c>
      <c r="E699" s="14">
        <v>0.6495</v>
      </c>
      <c r="F699" s="14">
        <v>5.749</v>
      </c>
      <c r="G699" s="14">
        <v>13.5034</v>
      </c>
      <c r="H699" s="14">
        <v>0.9807</v>
      </c>
      <c r="I699" s="14">
        <v>0.3962</v>
      </c>
      <c r="J699" s="14">
        <v>0.2745</v>
      </c>
      <c r="K699" s="14">
        <v>0.1202</v>
      </c>
      <c r="L699" s="14">
        <v>9.2575</v>
      </c>
      <c r="M699" s="14" t="s">
        <v>26</v>
      </c>
    </row>
    <row r="700" ht="15.75" customHeight="1">
      <c r="A700" s="14" t="s">
        <v>430</v>
      </c>
      <c r="B700" s="14" t="s">
        <v>2832</v>
      </c>
      <c r="C700" s="14">
        <v>1.0</v>
      </c>
      <c r="D700" s="14" t="s">
        <v>9</v>
      </c>
      <c r="E700" s="14">
        <v>0.6484</v>
      </c>
      <c r="F700" s="14">
        <v>5.7456</v>
      </c>
      <c r="G700" s="14">
        <v>13.4344</v>
      </c>
      <c r="H700" s="14">
        <v>0.9805</v>
      </c>
      <c r="I700" s="14">
        <v>0.4</v>
      </c>
      <c r="J700" s="14">
        <v>0.2562</v>
      </c>
      <c r="K700" s="14">
        <v>0.1197</v>
      </c>
      <c r="L700" s="14">
        <v>9.3979</v>
      </c>
      <c r="M700" s="14" t="s">
        <v>26</v>
      </c>
    </row>
    <row r="701" ht="15.75" customHeight="1">
      <c r="A701" s="14" t="s">
        <v>437</v>
      </c>
      <c r="B701" s="14" t="s">
        <v>2835</v>
      </c>
      <c r="C701" s="14">
        <v>1.0</v>
      </c>
      <c r="D701" s="14" t="s">
        <v>9</v>
      </c>
      <c r="E701" s="14">
        <v>0.6439</v>
      </c>
      <c r="F701" s="14">
        <v>5.7456</v>
      </c>
      <c r="G701" s="14">
        <v>13.4344</v>
      </c>
      <c r="H701" s="14">
        <v>0.9805</v>
      </c>
      <c r="I701" s="14">
        <v>0.4</v>
      </c>
      <c r="J701" s="14">
        <v>0.2562</v>
      </c>
      <c r="K701" s="14">
        <v>0.1189</v>
      </c>
      <c r="L701" s="14">
        <v>9.4135</v>
      </c>
      <c r="M701" s="14" t="s">
        <v>26</v>
      </c>
    </row>
    <row r="702" ht="15.75" customHeight="1">
      <c r="A702" s="14" t="s">
        <v>681</v>
      </c>
      <c r="B702" s="14" t="s">
        <v>2838</v>
      </c>
      <c r="C702" s="14">
        <v>1.0</v>
      </c>
      <c r="D702" s="14" t="s">
        <v>9</v>
      </c>
      <c r="E702" s="14">
        <v>0.7066</v>
      </c>
      <c r="F702" s="14">
        <v>5.7421</v>
      </c>
      <c r="G702" s="14">
        <v>13.1301</v>
      </c>
      <c r="H702" s="14">
        <v>0.9792</v>
      </c>
      <c r="I702" s="14">
        <v>0.4185</v>
      </c>
      <c r="J702" s="14">
        <v>0.2716</v>
      </c>
      <c r="K702" s="14">
        <v>0.1366</v>
      </c>
      <c r="L702" s="14">
        <v>9.1274</v>
      </c>
      <c r="M702" s="14" t="s">
        <v>26</v>
      </c>
    </row>
    <row r="703" ht="15.75" customHeight="1">
      <c r="A703" s="14" t="s">
        <v>2151</v>
      </c>
      <c r="B703" s="14" t="s">
        <v>2842</v>
      </c>
      <c r="C703" s="14">
        <v>1.0</v>
      </c>
      <c r="D703" s="14" t="s">
        <v>9</v>
      </c>
      <c r="E703" s="14">
        <v>0.6537</v>
      </c>
      <c r="F703" s="14">
        <v>5.7387</v>
      </c>
      <c r="G703" s="14">
        <v>13.4344</v>
      </c>
      <c r="H703" s="14">
        <v>0.9804</v>
      </c>
      <c r="I703" s="14">
        <v>0.3996</v>
      </c>
      <c r="J703" s="14">
        <v>0.256</v>
      </c>
      <c r="K703" s="14">
        <v>0.12</v>
      </c>
      <c r="L703" s="14">
        <v>9.3854</v>
      </c>
      <c r="M703" s="14" t="s">
        <v>26</v>
      </c>
    </row>
    <row r="704" ht="15.75" customHeight="1">
      <c r="A704" s="14" t="s">
        <v>125</v>
      </c>
      <c r="B704" s="14" t="s">
        <v>2845</v>
      </c>
      <c r="C704" s="14">
        <v>1.0</v>
      </c>
      <c r="D704" s="14" t="s">
        <v>9</v>
      </c>
      <c r="E704" s="14">
        <v>0.4315</v>
      </c>
      <c r="F704" s="14">
        <v>5.7387</v>
      </c>
      <c r="G704" s="14">
        <v>14.2155</v>
      </c>
      <c r="H704" s="14">
        <v>0.9877</v>
      </c>
      <c r="I704" s="14">
        <v>0.3569</v>
      </c>
      <c r="J704" s="14">
        <v>0.2544</v>
      </c>
      <c r="K704" s="14">
        <v>0.0928</v>
      </c>
      <c r="L704" s="14">
        <v>9.5103</v>
      </c>
      <c r="M704" s="14" t="s">
        <v>26</v>
      </c>
    </row>
    <row r="705" ht="15.75" customHeight="1">
      <c r="A705" s="14" t="s">
        <v>315</v>
      </c>
      <c r="B705" s="14" t="s">
        <v>2848</v>
      </c>
      <c r="C705" s="14">
        <v>1.0</v>
      </c>
      <c r="D705" s="14" t="s">
        <v>9</v>
      </c>
      <c r="E705" s="14">
        <v>0.4273</v>
      </c>
      <c r="F705" s="14">
        <v>5.7387</v>
      </c>
      <c r="G705" s="14">
        <v>14.1323</v>
      </c>
      <c r="H705" s="14">
        <v>0.9878</v>
      </c>
      <c r="I705" s="14">
        <v>0.3611</v>
      </c>
      <c r="J705" s="14">
        <v>0.2552</v>
      </c>
      <c r="K705" s="14">
        <v>0.093</v>
      </c>
      <c r="L705" s="14">
        <v>9.5291</v>
      </c>
      <c r="M705" s="14" t="s">
        <v>26</v>
      </c>
    </row>
    <row r="706" ht="15.75" customHeight="1">
      <c r="A706" s="14" t="s">
        <v>322</v>
      </c>
      <c r="B706" s="14" t="s">
        <v>2851</v>
      </c>
      <c r="C706" s="14">
        <v>1.0</v>
      </c>
      <c r="D706" s="14" t="s">
        <v>9</v>
      </c>
      <c r="E706" s="14">
        <v>0.4187</v>
      </c>
      <c r="F706" s="14">
        <v>5.7352</v>
      </c>
      <c r="G706" s="14">
        <v>14.181</v>
      </c>
      <c r="H706" s="14">
        <v>0.9878</v>
      </c>
      <c r="I706" s="14">
        <v>0.3584</v>
      </c>
      <c r="J706" s="14">
        <v>0.257</v>
      </c>
      <c r="K706" s="14">
        <v>0.0926</v>
      </c>
      <c r="L706" s="14">
        <v>9.5182</v>
      </c>
      <c r="M706" s="14" t="s">
        <v>26</v>
      </c>
    </row>
    <row r="707" ht="15.75" customHeight="1">
      <c r="A707" s="14" t="s">
        <v>1121</v>
      </c>
      <c r="B707" s="14" t="s">
        <v>2853</v>
      </c>
      <c r="C707" s="14">
        <v>1.0</v>
      </c>
      <c r="D707" s="14" t="s">
        <v>9</v>
      </c>
      <c r="E707" s="14">
        <v>0.4414</v>
      </c>
      <c r="F707" s="14">
        <v>5.7352</v>
      </c>
      <c r="G707" s="14">
        <v>13.8683</v>
      </c>
      <c r="H707" s="14">
        <v>0.9882</v>
      </c>
      <c r="I707" s="14">
        <v>0.3747</v>
      </c>
      <c r="J707" s="14">
        <v>0.2726</v>
      </c>
      <c r="K707" s="14">
        <v>0.0449</v>
      </c>
      <c r="L707" s="14">
        <v>9.4769</v>
      </c>
      <c r="M707" s="14" t="s">
        <v>26</v>
      </c>
    </row>
    <row r="708" ht="15.75" customHeight="1">
      <c r="A708" s="14" t="s">
        <v>1010</v>
      </c>
      <c r="B708" s="14" t="s">
        <v>2856</v>
      </c>
      <c r="C708" s="14">
        <v>1.0</v>
      </c>
      <c r="D708" s="14" t="s">
        <v>9</v>
      </c>
      <c r="E708" s="14">
        <v>0.6463</v>
      </c>
      <c r="F708" s="14">
        <v>5.7352</v>
      </c>
      <c r="G708" s="14">
        <v>13.5379</v>
      </c>
      <c r="H708" s="14">
        <v>0.981</v>
      </c>
      <c r="I708" s="14">
        <v>0.3932</v>
      </c>
      <c r="J708" s="14">
        <v>0.2747</v>
      </c>
      <c r="K708" s="14">
        <v>0.1202</v>
      </c>
      <c r="L708" s="14">
        <v>9.2623</v>
      </c>
      <c r="M708" s="14" t="s">
        <v>26</v>
      </c>
    </row>
    <row r="709" ht="15.75" customHeight="1">
      <c r="A709" s="14" t="s">
        <v>370</v>
      </c>
      <c r="B709" s="14" t="s">
        <v>2859</v>
      </c>
      <c r="C709" s="14">
        <v>1.0</v>
      </c>
      <c r="D709" s="14" t="s">
        <v>9</v>
      </c>
      <c r="E709" s="14">
        <v>0.4341</v>
      </c>
      <c r="F709" s="14">
        <v>5.7283</v>
      </c>
      <c r="G709" s="14">
        <v>14.181</v>
      </c>
      <c r="H709" s="14">
        <v>0.9878</v>
      </c>
      <c r="I709" s="14">
        <v>0.3579</v>
      </c>
      <c r="J709" s="14">
        <v>0.2586</v>
      </c>
      <c r="K709" s="14">
        <v>0.0935</v>
      </c>
      <c r="L709" s="14">
        <v>9.5394</v>
      </c>
      <c r="M709" s="14" t="s">
        <v>26</v>
      </c>
    </row>
    <row r="710" ht="15.75" customHeight="1">
      <c r="A710" s="14" t="s">
        <v>1785</v>
      </c>
      <c r="B710" s="14" t="s">
        <v>2862</v>
      </c>
      <c r="C710" s="14">
        <v>1.0</v>
      </c>
      <c r="D710" s="14" t="s">
        <v>9</v>
      </c>
      <c r="E710" s="14">
        <v>0.6522</v>
      </c>
      <c r="F710" s="14">
        <v>5.7283</v>
      </c>
      <c r="G710" s="14">
        <v>13.5034</v>
      </c>
      <c r="H710" s="14">
        <v>0.9811</v>
      </c>
      <c r="I710" s="14">
        <v>0.3948</v>
      </c>
      <c r="J710" s="14">
        <v>0.282</v>
      </c>
      <c r="K710" s="14">
        <v>0.1228</v>
      </c>
      <c r="L710" s="14">
        <v>9.2422</v>
      </c>
      <c r="M710" s="14" t="s">
        <v>26</v>
      </c>
    </row>
    <row r="711" ht="15.75" customHeight="1">
      <c r="A711" s="14" t="s">
        <v>1016</v>
      </c>
      <c r="B711" s="14" t="s">
        <v>2865</v>
      </c>
      <c r="C711" s="14">
        <v>1.0</v>
      </c>
      <c r="D711" s="14" t="s">
        <v>9</v>
      </c>
      <c r="E711" s="14">
        <v>0.6635</v>
      </c>
      <c r="F711" s="14">
        <v>5.7283</v>
      </c>
      <c r="G711" s="14">
        <v>13.4689</v>
      </c>
      <c r="H711" s="14">
        <v>0.9806</v>
      </c>
      <c r="I711" s="14">
        <v>0.3968</v>
      </c>
      <c r="J711" s="14">
        <v>0.2763</v>
      </c>
      <c r="K711" s="14">
        <v>0.1235</v>
      </c>
      <c r="L711" s="14">
        <v>9.2602</v>
      </c>
      <c r="M711" s="14" t="s">
        <v>26</v>
      </c>
    </row>
    <row r="712" ht="15.75" customHeight="1">
      <c r="A712" s="14" t="s">
        <v>390</v>
      </c>
      <c r="B712" s="14" t="s">
        <v>2868</v>
      </c>
      <c r="C712" s="14">
        <v>1.0</v>
      </c>
      <c r="D712" s="14" t="s">
        <v>9</v>
      </c>
      <c r="E712" s="14">
        <v>0.4428</v>
      </c>
      <c r="F712" s="14">
        <v>5.7283</v>
      </c>
      <c r="G712" s="14">
        <v>14.1323</v>
      </c>
      <c r="H712" s="14">
        <v>0.9878</v>
      </c>
      <c r="I712" s="14">
        <v>0.3604</v>
      </c>
      <c r="J712" s="14">
        <v>0.259</v>
      </c>
      <c r="K712" s="14">
        <v>0.0936</v>
      </c>
      <c r="L712" s="14">
        <v>9.5198</v>
      </c>
      <c r="M712" s="14" t="s">
        <v>26</v>
      </c>
    </row>
    <row r="713" ht="15.75" customHeight="1">
      <c r="A713" s="14" t="s">
        <v>523</v>
      </c>
      <c r="B713" s="14" t="s">
        <v>2871</v>
      </c>
      <c r="C713" s="14">
        <v>1.0</v>
      </c>
      <c r="D713" s="14" t="s">
        <v>9</v>
      </c>
      <c r="E713" s="14">
        <v>0.3696</v>
      </c>
      <c r="F713" s="14">
        <v>5.7248</v>
      </c>
      <c r="G713" s="14">
        <v>14.1037</v>
      </c>
      <c r="H713" s="14">
        <v>0.9884</v>
      </c>
      <c r="I713" s="14">
        <v>0.3617</v>
      </c>
      <c r="J713" s="14">
        <v>0.3141</v>
      </c>
      <c r="K713" s="14">
        <v>0.0485</v>
      </c>
      <c r="L713" s="14">
        <v>9.2184</v>
      </c>
      <c r="M713" s="14" t="s">
        <v>26</v>
      </c>
    </row>
    <row r="714" ht="15.75" customHeight="1">
      <c r="A714" s="14" t="s">
        <v>218</v>
      </c>
      <c r="B714" s="14" t="s">
        <v>2874</v>
      </c>
      <c r="C714" s="14">
        <v>1.0</v>
      </c>
      <c r="D714" s="14" t="s">
        <v>9</v>
      </c>
      <c r="E714" s="14">
        <v>0.462</v>
      </c>
      <c r="F714" s="14">
        <v>5.7213</v>
      </c>
      <c r="G714" s="14">
        <v>13.6514</v>
      </c>
      <c r="H714" s="14">
        <v>0.9838</v>
      </c>
      <c r="I714" s="14">
        <v>0.3858</v>
      </c>
      <c r="J714" s="14">
        <v>0.3392</v>
      </c>
      <c r="K714" s="14">
        <v>0.0744</v>
      </c>
      <c r="L714" s="14">
        <v>8.9632</v>
      </c>
      <c r="M714" s="14" t="s">
        <v>26</v>
      </c>
    </row>
    <row r="715" ht="15.75" customHeight="1">
      <c r="A715" s="14" t="s">
        <v>412</v>
      </c>
      <c r="B715" s="14" t="s">
        <v>2877</v>
      </c>
      <c r="C715" s="14">
        <v>1.0</v>
      </c>
      <c r="D715" s="14" t="s">
        <v>9</v>
      </c>
      <c r="E715" s="14">
        <v>0.4238</v>
      </c>
      <c r="F715" s="14">
        <v>5.7213</v>
      </c>
      <c r="G715" s="14">
        <v>14.1323</v>
      </c>
      <c r="H715" s="14">
        <v>0.9878</v>
      </c>
      <c r="I715" s="14">
        <v>0.36</v>
      </c>
      <c r="J715" s="14">
        <v>0.26</v>
      </c>
      <c r="K715" s="14">
        <v>0.0943</v>
      </c>
      <c r="L715" s="14">
        <v>9.5219</v>
      </c>
      <c r="M715" s="14" t="s">
        <v>26</v>
      </c>
    </row>
    <row r="716" ht="15.75" customHeight="1">
      <c r="A716" s="14" t="s">
        <v>959</v>
      </c>
      <c r="B716" s="14" t="s">
        <v>2879</v>
      </c>
      <c r="C716" s="14">
        <v>1.0</v>
      </c>
      <c r="D716" s="14" t="s">
        <v>9</v>
      </c>
      <c r="E716" s="14">
        <v>0.66</v>
      </c>
      <c r="F716" s="14">
        <v>5.7213</v>
      </c>
      <c r="G716" s="14">
        <v>13.5379</v>
      </c>
      <c r="H716" s="14">
        <v>0.9813</v>
      </c>
      <c r="I716" s="14">
        <v>0.3923</v>
      </c>
      <c r="J716" s="14">
        <v>0.2779</v>
      </c>
      <c r="K716" s="14">
        <v>0.123</v>
      </c>
      <c r="L716" s="14">
        <v>9.2735</v>
      </c>
      <c r="M716" s="14" t="s">
        <v>26</v>
      </c>
    </row>
    <row r="717" ht="15.75" customHeight="1">
      <c r="A717" s="14" t="s">
        <v>997</v>
      </c>
      <c r="B717" s="14" t="s">
        <v>2882</v>
      </c>
      <c r="C717" s="14">
        <v>1.0</v>
      </c>
      <c r="D717" s="14" t="s">
        <v>9</v>
      </c>
      <c r="E717" s="14">
        <v>0.5031</v>
      </c>
      <c r="F717" s="14">
        <v>5.7213</v>
      </c>
      <c r="G717" s="14">
        <v>13.891</v>
      </c>
      <c r="H717" s="14">
        <v>0.9852</v>
      </c>
      <c r="I717" s="14">
        <v>0.3726</v>
      </c>
      <c r="J717" s="14">
        <v>0.2887</v>
      </c>
      <c r="K717" s="14">
        <v>0.1482</v>
      </c>
      <c r="L717" s="14">
        <v>9.1351</v>
      </c>
      <c r="M717" s="14" t="s">
        <v>26</v>
      </c>
    </row>
    <row r="718" ht="15.75" customHeight="1">
      <c r="A718" s="14" t="s">
        <v>529</v>
      </c>
      <c r="B718" s="14" t="s">
        <v>2885</v>
      </c>
      <c r="C718" s="14">
        <v>1.0</v>
      </c>
      <c r="D718" s="14" t="s">
        <v>9</v>
      </c>
      <c r="E718" s="14">
        <v>0.4329</v>
      </c>
      <c r="F718" s="14">
        <v>5.7179</v>
      </c>
      <c r="G718" s="14">
        <v>14.0999</v>
      </c>
      <c r="H718" s="14">
        <v>0.9875</v>
      </c>
      <c r="I718" s="14">
        <v>0.3614</v>
      </c>
      <c r="J718" s="14">
        <v>0.2567</v>
      </c>
      <c r="K718" s="14">
        <v>0.0946</v>
      </c>
      <c r="L718" s="14">
        <v>9.5126</v>
      </c>
      <c r="M718" s="14" t="s">
        <v>26</v>
      </c>
    </row>
    <row r="719" ht="15.75" customHeight="1">
      <c r="A719" s="14" t="s">
        <v>455</v>
      </c>
      <c r="B719" s="14" t="s">
        <v>2888</v>
      </c>
      <c r="C719" s="14">
        <v>1.0</v>
      </c>
      <c r="D719" s="14" t="s">
        <v>9</v>
      </c>
      <c r="E719" s="14">
        <v>0.5029</v>
      </c>
      <c r="F719" s="14">
        <v>5.7179</v>
      </c>
      <c r="G719" s="14">
        <v>14.0087</v>
      </c>
      <c r="H719" s="14">
        <v>0.986</v>
      </c>
      <c r="I719" s="14">
        <v>0.3661</v>
      </c>
      <c r="J719" s="14">
        <v>0.3029</v>
      </c>
      <c r="K719" s="14">
        <v>0.1658</v>
      </c>
      <c r="L719" s="14">
        <v>9.0348</v>
      </c>
      <c r="M719" s="14" t="s">
        <v>26</v>
      </c>
    </row>
    <row r="720" ht="15.75" customHeight="1">
      <c r="A720" s="14" t="s">
        <v>890</v>
      </c>
      <c r="B720" s="14" t="s">
        <v>2891</v>
      </c>
      <c r="C720" s="14">
        <v>1.0</v>
      </c>
      <c r="D720" s="14" t="s">
        <v>9</v>
      </c>
      <c r="E720" s="14">
        <v>0.698</v>
      </c>
      <c r="F720" s="14">
        <v>5.7179</v>
      </c>
      <c r="G720" s="14">
        <v>13.2133</v>
      </c>
      <c r="H720" s="14">
        <v>0.9797</v>
      </c>
      <c r="I720" s="14">
        <v>0.4115</v>
      </c>
      <c r="J720" s="14">
        <v>0.2758</v>
      </c>
      <c r="K720" s="14">
        <v>0.1394</v>
      </c>
      <c r="L720" s="14">
        <v>9.1316</v>
      </c>
      <c r="M720" s="14" t="s">
        <v>26</v>
      </c>
    </row>
    <row r="721" ht="15.75" customHeight="1">
      <c r="A721" s="14" t="s">
        <v>1109</v>
      </c>
      <c r="B721" s="14" t="s">
        <v>2894</v>
      </c>
      <c r="C721" s="14">
        <v>1.0</v>
      </c>
      <c r="D721" s="14" t="s">
        <v>9</v>
      </c>
      <c r="E721" s="14">
        <v>0.509</v>
      </c>
      <c r="F721" s="14">
        <v>5.7179</v>
      </c>
      <c r="G721" s="14">
        <v>13.9112</v>
      </c>
      <c r="H721" s="14">
        <v>0.9859</v>
      </c>
      <c r="I721" s="14">
        <v>0.3713</v>
      </c>
      <c r="J721" s="14">
        <v>0.294</v>
      </c>
      <c r="K721" s="14">
        <v>0.1531</v>
      </c>
      <c r="L721" s="14">
        <v>9.1184</v>
      </c>
      <c r="M721" s="14" t="s">
        <v>26</v>
      </c>
    </row>
    <row r="722" ht="15.75" customHeight="1">
      <c r="A722" s="14" t="s">
        <v>449</v>
      </c>
      <c r="B722" s="14" t="s">
        <v>2897</v>
      </c>
      <c r="C722" s="14">
        <v>1.0</v>
      </c>
      <c r="D722" s="14" t="s">
        <v>9</v>
      </c>
      <c r="E722" s="14">
        <v>0.4224</v>
      </c>
      <c r="F722" s="14">
        <v>5.7144</v>
      </c>
      <c r="G722" s="14">
        <v>14.1323</v>
      </c>
      <c r="H722" s="14">
        <v>0.9879</v>
      </c>
      <c r="I722" s="14">
        <v>0.3595</v>
      </c>
      <c r="J722" s="14">
        <v>0.261</v>
      </c>
      <c r="K722" s="14">
        <v>0.0952</v>
      </c>
      <c r="L722" s="14">
        <v>9.4929</v>
      </c>
      <c r="M722" s="14" t="s">
        <v>26</v>
      </c>
    </row>
    <row r="723" ht="15.75" customHeight="1">
      <c r="A723" s="14" t="s">
        <v>280</v>
      </c>
      <c r="B723" s="14" t="s">
        <v>2901</v>
      </c>
      <c r="C723" s="14">
        <v>1.0</v>
      </c>
      <c r="D723" s="14" t="s">
        <v>9</v>
      </c>
      <c r="E723" s="14">
        <v>0.6385</v>
      </c>
      <c r="F723" s="14">
        <v>5.7144</v>
      </c>
      <c r="G723" s="14">
        <v>13.5379</v>
      </c>
      <c r="H723" s="14">
        <v>0.9814</v>
      </c>
      <c r="I723" s="14">
        <v>0.3918</v>
      </c>
      <c r="J723" s="14">
        <v>0.2779</v>
      </c>
      <c r="K723" s="14">
        <v>0.1225</v>
      </c>
      <c r="L723" s="14">
        <v>9.2387</v>
      </c>
      <c r="M723" s="14" t="s">
        <v>26</v>
      </c>
    </row>
    <row r="724" ht="15.75" customHeight="1">
      <c r="A724" s="14" t="s">
        <v>868</v>
      </c>
      <c r="B724" s="14" t="s">
        <v>2903</v>
      </c>
      <c r="C724" s="14">
        <v>1.0</v>
      </c>
      <c r="D724" s="14" t="s">
        <v>9</v>
      </c>
      <c r="E724" s="14">
        <v>0.6989</v>
      </c>
      <c r="F724" s="14">
        <v>5.7144</v>
      </c>
      <c r="G724" s="14">
        <v>12.9981</v>
      </c>
      <c r="H724" s="14">
        <v>0.9788</v>
      </c>
      <c r="I724" s="14">
        <v>0.425</v>
      </c>
      <c r="J724" s="14">
        <v>0.2694</v>
      </c>
      <c r="K724" s="14">
        <v>0.1262</v>
      </c>
      <c r="L724" s="14">
        <v>9.2143</v>
      </c>
      <c r="M724" s="14" t="s">
        <v>26</v>
      </c>
    </row>
    <row r="725" ht="15.75" customHeight="1">
      <c r="A725" s="14" t="s">
        <v>1027</v>
      </c>
      <c r="B725" s="14" t="s">
        <v>2906</v>
      </c>
      <c r="C725" s="14">
        <v>1.0</v>
      </c>
      <c r="D725" s="14" t="s">
        <v>9</v>
      </c>
      <c r="E725" s="14">
        <v>0.6548</v>
      </c>
      <c r="F725" s="14">
        <v>5.7144</v>
      </c>
      <c r="G725" s="14">
        <v>13.6354</v>
      </c>
      <c r="H725" s="14">
        <v>0.9811</v>
      </c>
      <c r="I725" s="14">
        <v>0.3862</v>
      </c>
      <c r="J725" s="14">
        <v>0.2741</v>
      </c>
      <c r="K725" s="14">
        <v>0.1227</v>
      </c>
      <c r="L725" s="14">
        <v>9.2656</v>
      </c>
      <c r="M725" s="14" t="s">
        <v>26</v>
      </c>
    </row>
    <row r="726" ht="15.75" customHeight="1">
      <c r="A726" s="14" t="s">
        <v>423</v>
      </c>
      <c r="B726" s="14" t="s">
        <v>2911</v>
      </c>
      <c r="C726" s="14">
        <v>1.0</v>
      </c>
      <c r="D726" s="14" t="s">
        <v>9</v>
      </c>
      <c r="E726" s="14">
        <v>0.6552</v>
      </c>
      <c r="F726" s="14">
        <v>5.711</v>
      </c>
      <c r="G726" s="14">
        <v>13.4344</v>
      </c>
      <c r="H726" s="14">
        <v>0.9805</v>
      </c>
      <c r="I726" s="14">
        <v>0.3976</v>
      </c>
      <c r="J726" s="14">
        <v>0.2636</v>
      </c>
      <c r="K726" s="14">
        <v>0.1233</v>
      </c>
      <c r="L726" s="14">
        <v>9.3917</v>
      </c>
      <c r="M726" s="14" t="s">
        <v>26</v>
      </c>
    </row>
    <row r="727" ht="15.75" customHeight="1">
      <c r="A727" s="14" t="s">
        <v>403</v>
      </c>
      <c r="B727" s="14" t="s">
        <v>2914</v>
      </c>
      <c r="C727" s="14">
        <v>1.0</v>
      </c>
      <c r="D727" s="14" t="s">
        <v>9</v>
      </c>
      <c r="E727" s="14">
        <v>0.4259</v>
      </c>
      <c r="F727" s="14">
        <v>5.711</v>
      </c>
      <c r="G727" s="14">
        <v>14.0978</v>
      </c>
      <c r="H727" s="14">
        <v>0.9878</v>
      </c>
      <c r="I727" s="14">
        <v>0.3611</v>
      </c>
      <c r="J727" s="14">
        <v>0.2626</v>
      </c>
      <c r="K727" s="14">
        <v>0.096</v>
      </c>
      <c r="L727" s="14">
        <v>9.5197</v>
      </c>
      <c r="M727" s="14" t="s">
        <v>26</v>
      </c>
    </row>
    <row r="728" ht="15.75" customHeight="1">
      <c r="A728" s="14" t="s">
        <v>451</v>
      </c>
      <c r="B728" s="14" t="s">
        <v>2917</v>
      </c>
      <c r="C728" s="14">
        <v>1.0</v>
      </c>
      <c r="D728" s="14" t="s">
        <v>9</v>
      </c>
      <c r="E728" s="14">
        <v>0.6534</v>
      </c>
      <c r="F728" s="14">
        <v>5.711</v>
      </c>
      <c r="G728" s="14">
        <v>13.4344</v>
      </c>
      <c r="H728" s="14">
        <v>0.9805</v>
      </c>
      <c r="I728" s="14">
        <v>0.3976</v>
      </c>
      <c r="J728" s="14">
        <v>0.2581</v>
      </c>
      <c r="K728" s="14">
        <v>0.1228</v>
      </c>
      <c r="L728" s="14">
        <v>9.3887</v>
      </c>
      <c r="M728" s="14" t="s">
        <v>26</v>
      </c>
    </row>
    <row r="729" ht="15.75" customHeight="1">
      <c r="A729" s="14" t="s">
        <v>1071</v>
      </c>
      <c r="B729" s="14" t="s">
        <v>2920</v>
      </c>
      <c r="C729" s="14">
        <v>1.0</v>
      </c>
      <c r="D729" s="14" t="s">
        <v>9</v>
      </c>
      <c r="E729" s="14">
        <v>0.6539</v>
      </c>
      <c r="F729" s="14">
        <v>5.711</v>
      </c>
      <c r="G729" s="14">
        <v>13.4689</v>
      </c>
      <c r="H729" s="14">
        <v>0.981</v>
      </c>
      <c r="I729" s="14">
        <v>0.3956</v>
      </c>
      <c r="J729" s="14">
        <v>0.2794</v>
      </c>
      <c r="K729" s="14">
        <v>0.125</v>
      </c>
      <c r="L729" s="14">
        <v>9.2254</v>
      </c>
      <c r="M729" s="14" t="s">
        <v>26</v>
      </c>
    </row>
    <row r="730" ht="15.75" customHeight="1">
      <c r="A730" s="14" t="s">
        <v>1956</v>
      </c>
      <c r="B730" s="14" t="s">
        <v>2922</v>
      </c>
      <c r="C730" s="14">
        <v>1.0</v>
      </c>
      <c r="D730" s="14" t="s">
        <v>9</v>
      </c>
      <c r="E730" s="14">
        <v>0.6492</v>
      </c>
      <c r="F730" s="14">
        <v>5.7075</v>
      </c>
      <c r="G730" s="14">
        <v>13.5034</v>
      </c>
      <c r="H730" s="14">
        <v>0.9813</v>
      </c>
      <c r="I730" s="14">
        <v>0.3933</v>
      </c>
      <c r="J730" s="14">
        <v>0.2773</v>
      </c>
      <c r="K730" s="14">
        <v>0.1238</v>
      </c>
      <c r="L730" s="14">
        <v>9.2387</v>
      </c>
      <c r="M730" s="14" t="s">
        <v>26</v>
      </c>
    </row>
    <row r="731" ht="15.75" customHeight="1">
      <c r="A731" s="14" t="s">
        <v>687</v>
      </c>
      <c r="B731" s="14" t="s">
        <v>2925</v>
      </c>
      <c r="C731" s="14">
        <v>1.0</v>
      </c>
      <c r="D731" s="14" t="s">
        <v>9</v>
      </c>
      <c r="E731" s="14">
        <v>0.6924</v>
      </c>
      <c r="F731" s="14">
        <v>5.7075</v>
      </c>
      <c r="G731" s="14">
        <v>13.1158</v>
      </c>
      <c r="H731" s="14">
        <v>0.9792</v>
      </c>
      <c r="I731" s="14">
        <v>0.4169</v>
      </c>
      <c r="J731" s="14">
        <v>0.2692</v>
      </c>
      <c r="K731" s="14">
        <v>0.1264</v>
      </c>
      <c r="L731" s="14">
        <v>9.2185</v>
      </c>
      <c r="M731" s="14" t="s">
        <v>26</v>
      </c>
    </row>
    <row r="732" ht="15.75" customHeight="1">
      <c r="A732" s="14" t="s">
        <v>425</v>
      </c>
      <c r="B732" s="14" t="s">
        <v>2928</v>
      </c>
      <c r="C732" s="14">
        <v>1.0</v>
      </c>
      <c r="D732" s="14" t="s">
        <v>9</v>
      </c>
      <c r="E732" s="14">
        <v>0.4285</v>
      </c>
      <c r="F732" s="14">
        <v>5.7006</v>
      </c>
      <c r="G732" s="14">
        <v>14.1567</v>
      </c>
      <c r="H732" s="14">
        <v>0.988</v>
      </c>
      <c r="I732" s="14">
        <v>0.3574</v>
      </c>
      <c r="J732" s="14">
        <v>0.2594</v>
      </c>
      <c r="K732" s="14">
        <v>0.0958</v>
      </c>
      <c r="L732" s="14">
        <v>9.4959</v>
      </c>
      <c r="M732" s="14" t="s">
        <v>26</v>
      </c>
    </row>
    <row r="733" ht="15.75" customHeight="1">
      <c r="A733" s="14" t="s">
        <v>702</v>
      </c>
      <c r="B733" s="14" t="s">
        <v>2930</v>
      </c>
      <c r="C733" s="14">
        <v>1.0</v>
      </c>
      <c r="D733" s="14" t="s">
        <v>9</v>
      </c>
      <c r="E733" s="14">
        <v>0.6813</v>
      </c>
      <c r="F733" s="14">
        <v>5.7006</v>
      </c>
      <c r="G733" s="14">
        <v>12.9981</v>
      </c>
      <c r="H733" s="14">
        <v>0.979</v>
      </c>
      <c r="I733" s="14">
        <v>0.424</v>
      </c>
      <c r="J733" s="14">
        <v>0.263</v>
      </c>
      <c r="K733" s="14">
        <v>0.1269</v>
      </c>
      <c r="L733" s="14">
        <v>9.2402</v>
      </c>
      <c r="M733" s="14" t="s">
        <v>26</v>
      </c>
    </row>
    <row r="734" ht="15.75" customHeight="1">
      <c r="A734" s="14" t="s">
        <v>528</v>
      </c>
      <c r="B734" s="14" t="s">
        <v>2934</v>
      </c>
      <c r="C734" s="14">
        <v>1.0</v>
      </c>
      <c r="D734" s="14" t="s">
        <v>9</v>
      </c>
      <c r="E734" s="14">
        <v>0.6922</v>
      </c>
      <c r="F734" s="14">
        <v>5.7006</v>
      </c>
      <c r="G734" s="14">
        <v>13.0956</v>
      </c>
      <c r="H734" s="14">
        <v>0.9795</v>
      </c>
      <c r="I734" s="14">
        <v>0.4177</v>
      </c>
      <c r="J734" s="14">
        <v>0.2777</v>
      </c>
      <c r="K734" s="14">
        <v>0.1421</v>
      </c>
      <c r="L734" s="14">
        <v>9.1393</v>
      </c>
      <c r="M734" s="14" t="s">
        <v>26</v>
      </c>
    </row>
    <row r="735" ht="15.75" customHeight="1">
      <c r="A735" s="14" t="s">
        <v>479</v>
      </c>
      <c r="B735" s="14" t="s">
        <v>2937</v>
      </c>
      <c r="C735" s="14">
        <v>1.0</v>
      </c>
      <c r="D735" s="14" t="s">
        <v>9</v>
      </c>
      <c r="E735" s="14">
        <v>0.426</v>
      </c>
      <c r="F735" s="14">
        <v>5.7006</v>
      </c>
      <c r="G735" s="14">
        <v>14.0633</v>
      </c>
      <c r="H735" s="14">
        <v>0.988</v>
      </c>
      <c r="I735" s="14">
        <v>0.3622</v>
      </c>
      <c r="J735" s="14">
        <v>0.2559</v>
      </c>
      <c r="K735" s="14">
        <v>0.0953</v>
      </c>
      <c r="L735" s="14">
        <v>9.5133</v>
      </c>
      <c r="M735" s="14" t="s">
        <v>26</v>
      </c>
    </row>
    <row r="736" ht="15.75" customHeight="1">
      <c r="A736" s="14" t="s">
        <v>492</v>
      </c>
      <c r="B736" s="14" t="s">
        <v>2940</v>
      </c>
      <c r="C736" s="14">
        <v>1.0</v>
      </c>
      <c r="D736" s="14" t="s">
        <v>9</v>
      </c>
      <c r="E736" s="14">
        <v>0.7054</v>
      </c>
      <c r="F736" s="14">
        <v>5.6936</v>
      </c>
      <c r="G736" s="14">
        <v>12.9981</v>
      </c>
      <c r="H736" s="14">
        <v>0.9792</v>
      </c>
      <c r="I736" s="14">
        <v>0.4235</v>
      </c>
      <c r="J736" s="14">
        <v>0.2663</v>
      </c>
      <c r="K736" s="14">
        <v>0.1288</v>
      </c>
      <c r="L736" s="14">
        <v>9.208</v>
      </c>
      <c r="M736" s="14" t="s">
        <v>26</v>
      </c>
    </row>
    <row r="737" ht="15.75" customHeight="1">
      <c r="A737" s="14" t="s">
        <v>1061</v>
      </c>
      <c r="B737" s="14" t="s">
        <v>2943</v>
      </c>
      <c r="C737" s="14">
        <v>1.0</v>
      </c>
      <c r="D737" s="14" t="s">
        <v>9</v>
      </c>
      <c r="E737" s="14">
        <v>0.6606</v>
      </c>
      <c r="F737" s="14">
        <v>5.6936</v>
      </c>
      <c r="G737" s="14">
        <v>13.3369</v>
      </c>
      <c r="H737" s="14">
        <v>0.9808</v>
      </c>
      <c r="I737" s="14">
        <v>0.4022</v>
      </c>
      <c r="J737" s="14">
        <v>0.2766</v>
      </c>
      <c r="K737" s="14">
        <v>0.1242</v>
      </c>
      <c r="L737" s="14">
        <v>9.2365</v>
      </c>
      <c r="M737" s="14" t="s">
        <v>26</v>
      </c>
    </row>
    <row r="738" ht="15.75" customHeight="1">
      <c r="A738" s="14" t="s">
        <v>2065</v>
      </c>
      <c r="B738" s="14" t="s">
        <v>2946</v>
      </c>
      <c r="C738" s="14">
        <v>1.0</v>
      </c>
      <c r="D738" s="14" t="s">
        <v>9</v>
      </c>
      <c r="E738" s="14">
        <v>0.654</v>
      </c>
      <c r="F738" s="14">
        <v>5.6902</v>
      </c>
      <c r="G738" s="14">
        <v>13.3025</v>
      </c>
      <c r="H738" s="14">
        <v>0.9803</v>
      </c>
      <c r="I738" s="14">
        <v>0.4041</v>
      </c>
      <c r="J738" s="14">
        <v>0.2823</v>
      </c>
      <c r="K738" s="14">
        <v>0.126</v>
      </c>
      <c r="L738" s="14">
        <v>9.2182</v>
      </c>
      <c r="M738" s="14" t="s">
        <v>26</v>
      </c>
    </row>
    <row r="739" ht="15.75" customHeight="1">
      <c r="A739" s="14" t="s">
        <v>689</v>
      </c>
      <c r="B739" s="14" t="s">
        <v>2949</v>
      </c>
      <c r="C739" s="14">
        <v>1.0</v>
      </c>
      <c r="D739" s="14" t="s">
        <v>9</v>
      </c>
      <c r="E739" s="14">
        <v>0.6901</v>
      </c>
      <c r="F739" s="14">
        <v>5.6902</v>
      </c>
      <c r="G739" s="14">
        <v>13.0671</v>
      </c>
      <c r="H739" s="14">
        <v>0.9793</v>
      </c>
      <c r="I739" s="14">
        <v>0.4188</v>
      </c>
      <c r="J739" s="14">
        <v>0.2685</v>
      </c>
      <c r="K739" s="14">
        <v>0.1295</v>
      </c>
      <c r="L739" s="14">
        <v>9.1931</v>
      </c>
      <c r="M739" s="14" t="s">
        <v>26</v>
      </c>
    </row>
    <row r="740" ht="15.75" customHeight="1">
      <c r="A740" s="14" t="s">
        <v>808</v>
      </c>
      <c r="B740" s="14" t="s">
        <v>2951</v>
      </c>
      <c r="C740" s="14">
        <v>1.0</v>
      </c>
      <c r="D740" s="14" t="s">
        <v>9</v>
      </c>
      <c r="E740" s="14">
        <v>0.3293</v>
      </c>
      <c r="F740" s="14">
        <v>5.6902</v>
      </c>
      <c r="G740" s="14">
        <v>13.8161</v>
      </c>
      <c r="H740" s="14">
        <v>0.9832</v>
      </c>
      <c r="I740" s="14">
        <v>0.3746</v>
      </c>
      <c r="J740" s="14">
        <v>0.4099</v>
      </c>
      <c r="K740" s="14">
        <v>0.1332</v>
      </c>
      <c r="L740" s="14">
        <v>7.9702</v>
      </c>
      <c r="M740" s="14" t="s">
        <v>26</v>
      </c>
    </row>
    <row r="741" ht="15.75" customHeight="1">
      <c r="A741" s="14" t="s">
        <v>374</v>
      </c>
      <c r="B741" s="14" t="s">
        <v>2954</v>
      </c>
      <c r="C741" s="14">
        <v>1.0</v>
      </c>
      <c r="D741" s="14" t="s">
        <v>9</v>
      </c>
      <c r="E741" s="14">
        <v>0.7058</v>
      </c>
      <c r="F741" s="14">
        <v>5.6832</v>
      </c>
      <c r="G741" s="14">
        <v>13.1587</v>
      </c>
      <c r="H741" s="14">
        <v>0.9781</v>
      </c>
      <c r="I741" s="14">
        <v>0.4125</v>
      </c>
      <c r="J741" s="14">
        <v>0.3221</v>
      </c>
      <c r="K741" s="14">
        <v>0.1933</v>
      </c>
      <c r="L741" s="14">
        <v>8.7291</v>
      </c>
      <c r="M741" s="14" t="s">
        <v>26</v>
      </c>
    </row>
    <row r="742" ht="15.75" customHeight="1">
      <c r="A742" s="14" t="s">
        <v>2205</v>
      </c>
      <c r="B742" s="14" t="s">
        <v>2958</v>
      </c>
      <c r="C742" s="14">
        <v>1.0</v>
      </c>
      <c r="D742" s="14" t="s">
        <v>9</v>
      </c>
      <c r="E742" s="14">
        <v>0.5193</v>
      </c>
      <c r="F742" s="14">
        <v>5.6798</v>
      </c>
      <c r="G742" s="14">
        <v>12.7627</v>
      </c>
      <c r="H742" s="14">
        <v>0.9772</v>
      </c>
      <c r="I742" s="14">
        <v>0.4382</v>
      </c>
      <c r="J742" s="14">
        <v>0.3889</v>
      </c>
      <c r="K742" s="14">
        <v>0.1109</v>
      </c>
      <c r="L742" s="14">
        <v>8.4117</v>
      </c>
      <c r="M742" s="14" t="s">
        <v>26</v>
      </c>
    </row>
    <row r="743" ht="15.75" customHeight="1">
      <c r="A743" s="14" t="s">
        <v>782</v>
      </c>
      <c r="B743" s="14" t="s">
        <v>2960</v>
      </c>
      <c r="C743" s="14">
        <v>1.0</v>
      </c>
      <c r="D743" s="14" t="s">
        <v>9</v>
      </c>
      <c r="E743" s="14">
        <v>0.7052</v>
      </c>
      <c r="F743" s="14">
        <v>5.6798</v>
      </c>
      <c r="G743" s="14">
        <v>13.0956</v>
      </c>
      <c r="H743" s="14">
        <v>0.9794</v>
      </c>
      <c r="I743" s="14">
        <v>0.4162</v>
      </c>
      <c r="J743" s="14">
        <v>0.2761</v>
      </c>
      <c r="K743" s="14">
        <v>0.1448</v>
      </c>
      <c r="L743" s="14">
        <v>9.1061</v>
      </c>
      <c r="M743" s="14" t="s">
        <v>26</v>
      </c>
    </row>
    <row r="744" ht="15.75" customHeight="1">
      <c r="A744" s="14" t="s">
        <v>794</v>
      </c>
      <c r="B744" s="14" t="s">
        <v>2963</v>
      </c>
      <c r="C744" s="14">
        <v>1.0</v>
      </c>
      <c r="D744" s="14" t="s">
        <v>9</v>
      </c>
      <c r="E744" s="14">
        <v>0.7009</v>
      </c>
      <c r="F744" s="14">
        <v>5.6798</v>
      </c>
      <c r="G744" s="14">
        <v>12.8317</v>
      </c>
      <c r="H744" s="14">
        <v>0.9786</v>
      </c>
      <c r="I744" s="14">
        <v>0.4335</v>
      </c>
      <c r="J744" s="14">
        <v>0.2521</v>
      </c>
      <c r="K744" s="14">
        <v>0.1151</v>
      </c>
      <c r="L744" s="14">
        <v>9.301</v>
      </c>
      <c r="M744" s="14" t="s">
        <v>26</v>
      </c>
    </row>
    <row r="745" ht="15.75" customHeight="1">
      <c r="A745" s="14" t="s">
        <v>461</v>
      </c>
      <c r="B745" s="14" t="s">
        <v>2966</v>
      </c>
      <c r="C745" s="14">
        <v>1.0</v>
      </c>
      <c r="D745" s="14" t="s">
        <v>9</v>
      </c>
      <c r="E745" s="14">
        <v>0.4224</v>
      </c>
      <c r="F745" s="14">
        <v>5.6729</v>
      </c>
      <c r="G745" s="14">
        <v>14.0146</v>
      </c>
      <c r="H745" s="14">
        <v>0.9877</v>
      </c>
      <c r="I745" s="14">
        <v>0.363</v>
      </c>
      <c r="J745" s="14">
        <v>0.2604</v>
      </c>
      <c r="K745" s="14">
        <v>0.0937</v>
      </c>
      <c r="L745" s="14">
        <v>9.5278</v>
      </c>
      <c r="M745" s="14" t="s">
        <v>26</v>
      </c>
    </row>
    <row r="746" ht="15.75" customHeight="1">
      <c r="A746" s="14" t="s">
        <v>376</v>
      </c>
      <c r="B746" s="14" t="s">
        <v>2969</v>
      </c>
      <c r="C746" s="14">
        <v>1.0</v>
      </c>
      <c r="D746" s="14" t="s">
        <v>9</v>
      </c>
      <c r="E746" s="14">
        <v>0.4381</v>
      </c>
      <c r="F746" s="14">
        <v>5.6729</v>
      </c>
      <c r="G746" s="14">
        <v>14.0289</v>
      </c>
      <c r="H746" s="14">
        <v>0.9876</v>
      </c>
      <c r="I746" s="14">
        <v>0.3622</v>
      </c>
      <c r="J746" s="14">
        <v>0.2581</v>
      </c>
      <c r="K746" s="14">
        <v>0.093</v>
      </c>
      <c r="L746" s="14">
        <v>9.5112</v>
      </c>
      <c r="M746" s="14" t="s">
        <v>26</v>
      </c>
    </row>
    <row r="747" ht="15.75" customHeight="1">
      <c r="A747" s="14" t="s">
        <v>721</v>
      </c>
      <c r="B747" s="14" t="s">
        <v>2973</v>
      </c>
      <c r="C747" s="14">
        <v>1.0</v>
      </c>
      <c r="D747" s="14" t="s">
        <v>9</v>
      </c>
      <c r="E747" s="14">
        <v>0.7012</v>
      </c>
      <c r="F747" s="14">
        <v>5.6729</v>
      </c>
      <c r="G747" s="14">
        <v>12.9981</v>
      </c>
      <c r="H747" s="14">
        <v>0.9789</v>
      </c>
      <c r="I747" s="14">
        <v>0.4219</v>
      </c>
      <c r="J747" s="14">
        <v>0.2714</v>
      </c>
      <c r="K747" s="14">
        <v>0.1316</v>
      </c>
      <c r="L747" s="14">
        <v>9.1618</v>
      </c>
      <c r="M747" s="14" t="s">
        <v>26</v>
      </c>
    </row>
    <row r="748" ht="15.75" customHeight="1">
      <c r="A748" s="14" t="s">
        <v>416</v>
      </c>
      <c r="B748" s="14" t="s">
        <v>2976</v>
      </c>
      <c r="C748" s="14">
        <v>1.0</v>
      </c>
      <c r="D748" s="14" t="s">
        <v>9</v>
      </c>
      <c r="E748" s="14">
        <v>0.6509</v>
      </c>
      <c r="F748" s="14">
        <v>5.6729</v>
      </c>
      <c r="G748" s="14">
        <v>13.1503</v>
      </c>
      <c r="H748" s="14">
        <v>0.9811</v>
      </c>
      <c r="I748" s="14">
        <v>0.4122</v>
      </c>
      <c r="J748" s="14">
        <v>0.2757</v>
      </c>
      <c r="K748" s="14">
        <v>0.1251</v>
      </c>
      <c r="L748" s="14">
        <v>9.266</v>
      </c>
      <c r="M748" s="14" t="s">
        <v>26</v>
      </c>
    </row>
    <row r="749" ht="15.75" customHeight="1">
      <c r="A749" s="14" t="s">
        <v>1822</v>
      </c>
      <c r="B749" s="14" t="s">
        <v>2979</v>
      </c>
      <c r="C749" s="14">
        <v>1.0</v>
      </c>
      <c r="D749" s="14" t="s">
        <v>9</v>
      </c>
      <c r="E749" s="14">
        <v>0.6438</v>
      </c>
      <c r="F749" s="14">
        <v>5.6659</v>
      </c>
      <c r="G749" s="14">
        <v>13.3025</v>
      </c>
      <c r="H749" s="14">
        <v>0.9809</v>
      </c>
      <c r="I749" s="14">
        <v>0.4024</v>
      </c>
      <c r="J749" s="14">
        <v>0.2601</v>
      </c>
      <c r="K749" s="14">
        <v>0.1275</v>
      </c>
      <c r="L749" s="14">
        <v>9.3624</v>
      </c>
      <c r="M749" s="14" t="s">
        <v>26</v>
      </c>
    </row>
    <row r="750" ht="15.75" customHeight="1">
      <c r="A750" s="14" t="s">
        <v>507</v>
      </c>
      <c r="B750" s="14" t="s">
        <v>2983</v>
      </c>
      <c r="C750" s="14">
        <v>1.0</v>
      </c>
      <c r="D750" s="14" t="s">
        <v>9</v>
      </c>
      <c r="E750" s="14">
        <v>0.7038</v>
      </c>
      <c r="F750" s="14">
        <v>5.6659</v>
      </c>
      <c r="G750" s="14">
        <v>12.9779</v>
      </c>
      <c r="H750" s="14">
        <v>0.9792</v>
      </c>
      <c r="I750" s="14">
        <v>0.4227</v>
      </c>
      <c r="J750" s="14">
        <v>0.2711</v>
      </c>
      <c r="K750" s="14">
        <v>0.1319</v>
      </c>
      <c r="L750" s="14">
        <v>9.1875</v>
      </c>
      <c r="M750" s="14" t="s">
        <v>26</v>
      </c>
    </row>
    <row r="751" ht="15.75" customHeight="1">
      <c r="A751" s="14" t="s">
        <v>965</v>
      </c>
      <c r="B751" s="14" t="s">
        <v>2986</v>
      </c>
      <c r="C751" s="14">
        <v>1.0</v>
      </c>
      <c r="D751" s="14" t="s">
        <v>9</v>
      </c>
      <c r="E751" s="14">
        <v>0.6598</v>
      </c>
      <c r="F751" s="14">
        <v>5.659</v>
      </c>
      <c r="G751" s="14">
        <v>13.4689</v>
      </c>
      <c r="H751" s="14">
        <v>0.9813</v>
      </c>
      <c r="I751" s="14">
        <v>0.392</v>
      </c>
      <c r="J751" s="14">
        <v>0.2832</v>
      </c>
      <c r="K751" s="14">
        <v>0.1308</v>
      </c>
      <c r="L751" s="14">
        <v>9.177</v>
      </c>
      <c r="M751" s="14" t="s">
        <v>26</v>
      </c>
    </row>
    <row r="752" ht="15.75" customHeight="1">
      <c r="A752" s="14" t="s">
        <v>745</v>
      </c>
      <c r="B752" s="14" t="s">
        <v>2989</v>
      </c>
      <c r="C752" s="14">
        <v>1.0</v>
      </c>
      <c r="D752" s="14" t="s">
        <v>9</v>
      </c>
      <c r="E752" s="14">
        <v>0.5221</v>
      </c>
      <c r="F752" s="14">
        <v>5.659</v>
      </c>
      <c r="G752" s="14">
        <v>12.9065</v>
      </c>
      <c r="H752" s="14">
        <v>0.9823</v>
      </c>
      <c r="I752" s="14">
        <v>0.4269</v>
      </c>
      <c r="J752" s="14">
        <v>0.3087</v>
      </c>
      <c r="K752" s="14">
        <v>0.0671</v>
      </c>
      <c r="L752" s="14">
        <v>8.8536</v>
      </c>
      <c r="M752" s="14" t="s">
        <v>26</v>
      </c>
    </row>
    <row r="753" ht="15.75" customHeight="1">
      <c r="A753" s="14" t="s">
        <v>637</v>
      </c>
      <c r="B753" s="14" t="s">
        <v>2992</v>
      </c>
      <c r="C753" s="14">
        <v>1.0</v>
      </c>
      <c r="D753" s="14" t="s">
        <v>9</v>
      </c>
      <c r="E753" s="14">
        <v>0.6963</v>
      </c>
      <c r="F753" s="14">
        <v>5.659</v>
      </c>
      <c r="G753" s="14">
        <v>13.0814</v>
      </c>
      <c r="H753" s="14">
        <v>0.9792</v>
      </c>
      <c r="I753" s="14">
        <v>0.4156</v>
      </c>
      <c r="J753" s="14">
        <v>0.2712</v>
      </c>
      <c r="K753" s="14">
        <v>0.1332</v>
      </c>
      <c r="L753" s="14">
        <v>9.1902</v>
      </c>
      <c r="M753" s="14" t="s">
        <v>26</v>
      </c>
    </row>
    <row r="754" ht="15.75" customHeight="1">
      <c r="A754" s="14" t="s">
        <v>1884</v>
      </c>
      <c r="B754" s="14" t="s">
        <v>2995</v>
      </c>
      <c r="C754" s="14">
        <v>1.0</v>
      </c>
      <c r="D754" s="14" t="s">
        <v>9</v>
      </c>
      <c r="E754" s="14">
        <v>0.6577</v>
      </c>
      <c r="F754" s="14">
        <v>5.6555</v>
      </c>
      <c r="G754" s="14">
        <v>13.4344</v>
      </c>
      <c r="H754" s="14">
        <v>0.9811</v>
      </c>
      <c r="I754" s="14">
        <v>0.3938</v>
      </c>
      <c r="J754" s="14">
        <v>0.2845</v>
      </c>
      <c r="K754" s="14">
        <v>0.1289</v>
      </c>
      <c r="L754" s="14">
        <v>9.1891</v>
      </c>
      <c r="M754" s="14" t="s">
        <v>26</v>
      </c>
    </row>
    <row r="755" ht="15.75" customHeight="1">
      <c r="A755" s="14" t="s">
        <v>279</v>
      </c>
      <c r="B755" s="14" t="s">
        <v>2997</v>
      </c>
      <c r="C755" s="14">
        <v>1.0</v>
      </c>
      <c r="D755" s="14" t="s">
        <v>9</v>
      </c>
      <c r="E755" s="14">
        <v>0.448</v>
      </c>
      <c r="F755" s="14">
        <v>5.6555</v>
      </c>
      <c r="G755" s="14">
        <v>14.0146</v>
      </c>
      <c r="H755" s="14">
        <v>0.9875</v>
      </c>
      <c r="I755" s="14">
        <v>0.3618</v>
      </c>
      <c r="J755" s="14">
        <v>0.25</v>
      </c>
      <c r="K755" s="14">
        <v>0.0883</v>
      </c>
      <c r="L755" s="14">
        <v>9.5405</v>
      </c>
      <c r="M755" s="14" t="s">
        <v>26</v>
      </c>
    </row>
    <row r="756" ht="15.75" customHeight="1">
      <c r="A756" s="14" t="s">
        <v>1095</v>
      </c>
      <c r="B756" s="14" t="s">
        <v>3000</v>
      </c>
      <c r="C756" s="14">
        <v>1.0</v>
      </c>
      <c r="D756" s="14" t="s">
        <v>9</v>
      </c>
      <c r="E756" s="14">
        <v>0.6552</v>
      </c>
      <c r="F756" s="14">
        <v>5.6521</v>
      </c>
      <c r="G756" s="14">
        <v>13.4689</v>
      </c>
      <c r="H756" s="14">
        <v>0.9812</v>
      </c>
      <c r="I756" s="14">
        <v>0.3915</v>
      </c>
      <c r="J756" s="14">
        <v>0.2808</v>
      </c>
      <c r="K756" s="14">
        <v>0.1295</v>
      </c>
      <c r="L756" s="14">
        <v>9.2035</v>
      </c>
      <c r="M756" s="14" t="s">
        <v>26</v>
      </c>
    </row>
    <row r="757" ht="15.75" customHeight="1">
      <c r="A757" s="14" t="s">
        <v>756</v>
      </c>
      <c r="B757" s="14" t="s">
        <v>3003</v>
      </c>
      <c r="C757" s="14">
        <v>1.0</v>
      </c>
      <c r="D757" s="14" t="s">
        <v>9</v>
      </c>
      <c r="E757" s="14">
        <v>0.7042</v>
      </c>
      <c r="F757" s="14">
        <v>5.6486</v>
      </c>
      <c r="G757" s="14">
        <v>13.0469</v>
      </c>
      <c r="H757" s="14">
        <v>0.9792</v>
      </c>
      <c r="I757" s="14">
        <v>0.417</v>
      </c>
      <c r="J757" s="14">
        <v>0.2713</v>
      </c>
      <c r="K757" s="14">
        <v>0.1342</v>
      </c>
      <c r="L757" s="14">
        <v>9.1667</v>
      </c>
      <c r="M757" s="14" t="s">
        <v>26</v>
      </c>
    </row>
    <row r="758" ht="15.75" customHeight="1">
      <c r="A758" s="14" t="s">
        <v>467</v>
      </c>
      <c r="B758" s="14" t="s">
        <v>3007</v>
      </c>
      <c r="C758" s="14">
        <v>1.0</v>
      </c>
      <c r="D758" s="14" t="s">
        <v>9</v>
      </c>
      <c r="E758" s="14">
        <v>0.5056</v>
      </c>
      <c r="F758" s="14">
        <v>5.6451</v>
      </c>
      <c r="G758" s="14">
        <v>13.8767</v>
      </c>
      <c r="H758" s="14">
        <v>0.9861</v>
      </c>
      <c r="I758" s="14">
        <v>0.3684</v>
      </c>
      <c r="J758" s="14">
        <v>0.2981</v>
      </c>
      <c r="K758" s="14">
        <v>0.1599</v>
      </c>
      <c r="L758" s="14">
        <v>9.0485</v>
      </c>
      <c r="M758" s="14" t="s">
        <v>26</v>
      </c>
    </row>
    <row r="759" ht="15.75" customHeight="1">
      <c r="A759" s="14" t="s">
        <v>665</v>
      </c>
      <c r="B759" s="14" t="s">
        <v>3011</v>
      </c>
      <c r="C759" s="14">
        <v>1.0</v>
      </c>
      <c r="D759" s="14" t="s">
        <v>9</v>
      </c>
      <c r="E759" s="14">
        <v>0.6939</v>
      </c>
      <c r="F759" s="14">
        <v>5.6451</v>
      </c>
      <c r="G759" s="14">
        <v>12.9981</v>
      </c>
      <c r="H759" s="14">
        <v>0.9789</v>
      </c>
      <c r="I759" s="14">
        <v>0.4199</v>
      </c>
      <c r="J759" s="14">
        <v>0.2705</v>
      </c>
      <c r="K759" s="14">
        <v>0.1353</v>
      </c>
      <c r="L759" s="14">
        <v>9.1357</v>
      </c>
      <c r="M759" s="14" t="s">
        <v>26</v>
      </c>
    </row>
    <row r="760" ht="15.75" customHeight="1">
      <c r="A760" s="14" t="s">
        <v>1873</v>
      </c>
      <c r="B760" s="14" t="s">
        <v>3014</v>
      </c>
      <c r="C760" s="14">
        <v>1.0</v>
      </c>
      <c r="D760" s="14" t="s">
        <v>9</v>
      </c>
      <c r="E760" s="14">
        <v>0.6412</v>
      </c>
      <c r="F760" s="14">
        <v>5.6451</v>
      </c>
      <c r="G760" s="14">
        <v>13.3025</v>
      </c>
      <c r="H760" s="14">
        <v>0.9816</v>
      </c>
      <c r="I760" s="14">
        <v>0.4009</v>
      </c>
      <c r="J760" s="14">
        <v>0.2892</v>
      </c>
      <c r="K760" s="14">
        <v>0.1327</v>
      </c>
      <c r="L760" s="14">
        <v>9.1141</v>
      </c>
      <c r="M760" s="14" t="s">
        <v>26</v>
      </c>
    </row>
    <row r="761" ht="15.75" customHeight="1">
      <c r="A761" s="14" t="s">
        <v>1377</v>
      </c>
      <c r="B761" s="14" t="s">
        <v>3017</v>
      </c>
      <c r="C761" s="14">
        <v>1.0</v>
      </c>
      <c r="D761" s="14" t="s">
        <v>9</v>
      </c>
      <c r="E761" s="14">
        <v>0.5282</v>
      </c>
      <c r="F761" s="14">
        <v>5.6417</v>
      </c>
      <c r="G761" s="14">
        <v>13.6758</v>
      </c>
      <c r="H761" s="14">
        <v>0.9859</v>
      </c>
      <c r="I761" s="14">
        <v>0.3791</v>
      </c>
      <c r="J761" s="14">
        <v>0.3621</v>
      </c>
      <c r="K761" s="14">
        <v>0.1638</v>
      </c>
      <c r="L761" s="14">
        <v>8.543</v>
      </c>
      <c r="M761" s="14" t="s">
        <v>26</v>
      </c>
    </row>
    <row r="762" ht="15.75" customHeight="1">
      <c r="A762" s="14" t="s">
        <v>1044</v>
      </c>
      <c r="B762" s="14" t="s">
        <v>3020</v>
      </c>
      <c r="C762" s="14">
        <v>1.0</v>
      </c>
      <c r="D762" s="14" t="s">
        <v>9</v>
      </c>
      <c r="E762" s="14">
        <v>0.6602</v>
      </c>
      <c r="F762" s="14">
        <v>5.6417</v>
      </c>
      <c r="G762" s="14">
        <v>13.4344</v>
      </c>
      <c r="H762" s="14">
        <v>0.981</v>
      </c>
      <c r="I762" s="14">
        <v>0.3928</v>
      </c>
      <c r="J762" s="14">
        <v>0.2803</v>
      </c>
      <c r="K762" s="14">
        <v>0.13</v>
      </c>
      <c r="L762" s="14">
        <v>9.2052</v>
      </c>
      <c r="M762" s="14" t="s">
        <v>26</v>
      </c>
    </row>
    <row r="763" ht="15.75" customHeight="1">
      <c r="A763" s="14" t="s">
        <v>1136</v>
      </c>
      <c r="B763" s="14" t="s">
        <v>3024</v>
      </c>
      <c r="C763" s="14">
        <v>1.0</v>
      </c>
      <c r="D763" s="14" t="s">
        <v>9</v>
      </c>
      <c r="E763" s="14">
        <v>0.6624</v>
      </c>
      <c r="F763" s="14">
        <v>5.6382</v>
      </c>
      <c r="G763" s="14">
        <v>13.4689</v>
      </c>
      <c r="H763" s="14">
        <v>0.9812</v>
      </c>
      <c r="I763" s="14">
        <v>0.3906</v>
      </c>
      <c r="J763" s="14">
        <v>0.2848</v>
      </c>
      <c r="K763" s="14">
        <v>0.1304</v>
      </c>
      <c r="L763" s="14">
        <v>9.2011</v>
      </c>
      <c r="M763" s="14" t="s">
        <v>26</v>
      </c>
    </row>
    <row r="764" ht="15.75" customHeight="1">
      <c r="A764" s="14" t="s">
        <v>556</v>
      </c>
      <c r="B764" s="14" t="s">
        <v>3028</v>
      </c>
      <c r="C764" s="14">
        <v>1.0</v>
      </c>
      <c r="D764" s="14" t="s">
        <v>9</v>
      </c>
      <c r="E764" s="14">
        <v>0.6903</v>
      </c>
      <c r="F764" s="14">
        <v>5.6348</v>
      </c>
      <c r="G764" s="14">
        <v>12.9981</v>
      </c>
      <c r="H764" s="14">
        <v>0.9791</v>
      </c>
      <c r="I764" s="14">
        <v>0.4191</v>
      </c>
      <c r="J764" s="14">
        <v>0.2773</v>
      </c>
      <c r="K764" s="14">
        <v>0.1363</v>
      </c>
      <c r="L764" s="14">
        <v>9.1625</v>
      </c>
      <c r="M764" s="14" t="s">
        <v>26</v>
      </c>
    </row>
    <row r="765" ht="15.75" customHeight="1">
      <c r="A765" s="14" t="s">
        <v>1150</v>
      </c>
      <c r="B765" s="14" t="s">
        <v>3031</v>
      </c>
      <c r="C765" s="14">
        <v>1.0</v>
      </c>
      <c r="D765" s="14" t="s">
        <v>9</v>
      </c>
      <c r="E765" s="14">
        <v>0.4599</v>
      </c>
      <c r="F765" s="14">
        <v>5.6348</v>
      </c>
      <c r="G765" s="14">
        <v>13.986</v>
      </c>
      <c r="H765" s="14">
        <v>0.9885</v>
      </c>
      <c r="I765" s="14">
        <v>0.362</v>
      </c>
      <c r="J765" s="14">
        <v>0.2718</v>
      </c>
      <c r="K765" s="14">
        <v>0.0447</v>
      </c>
      <c r="L765" s="14">
        <v>9.4955</v>
      </c>
      <c r="M765" s="14" t="s">
        <v>26</v>
      </c>
    </row>
    <row r="766" ht="15.75" customHeight="1">
      <c r="A766" s="14" t="s">
        <v>676</v>
      </c>
      <c r="B766" s="14" t="s">
        <v>3035</v>
      </c>
      <c r="C766" s="14">
        <v>1.0</v>
      </c>
      <c r="D766" s="14" t="s">
        <v>9</v>
      </c>
      <c r="E766" s="14">
        <v>0.6909</v>
      </c>
      <c r="F766" s="14">
        <v>5.6313</v>
      </c>
      <c r="G766" s="14">
        <v>12.9981</v>
      </c>
      <c r="H766" s="14">
        <v>0.979</v>
      </c>
      <c r="I766" s="14">
        <v>0.4188</v>
      </c>
      <c r="J766" s="14">
        <v>0.2746</v>
      </c>
      <c r="K766" s="14">
        <v>0.1365</v>
      </c>
      <c r="L766" s="14">
        <v>9.1382</v>
      </c>
      <c r="M766" s="14" t="s">
        <v>26</v>
      </c>
    </row>
    <row r="767" ht="15.75" customHeight="1">
      <c r="A767" s="14" t="s">
        <v>388</v>
      </c>
      <c r="B767" s="14" t="s">
        <v>3039</v>
      </c>
      <c r="C767" s="14">
        <v>1.0</v>
      </c>
      <c r="D767" s="14" t="s">
        <v>9</v>
      </c>
      <c r="E767" s="14">
        <v>0.6494</v>
      </c>
      <c r="F767" s="14">
        <v>5.6313</v>
      </c>
      <c r="G767" s="14">
        <v>13.3369</v>
      </c>
      <c r="H767" s="14">
        <v>0.9834</v>
      </c>
      <c r="I767" s="14">
        <v>0.3978</v>
      </c>
      <c r="J767" s="14">
        <v>0.2246</v>
      </c>
      <c r="K767" s="14">
        <v>0.0805</v>
      </c>
      <c r="L767" s="14">
        <v>9.6776</v>
      </c>
      <c r="M767" s="14" t="s">
        <v>26</v>
      </c>
    </row>
    <row r="768" ht="15.75" customHeight="1">
      <c r="A768" s="14" t="s">
        <v>798</v>
      </c>
      <c r="B768" s="14" t="s">
        <v>3041</v>
      </c>
      <c r="C768" s="14">
        <v>1.0</v>
      </c>
      <c r="D768" s="14" t="s">
        <v>9</v>
      </c>
      <c r="E768" s="14">
        <v>0.6981</v>
      </c>
      <c r="F768" s="14">
        <v>5.6278</v>
      </c>
      <c r="G768" s="14">
        <v>12.8661</v>
      </c>
      <c r="H768" s="14">
        <v>0.9788</v>
      </c>
      <c r="I768" s="14">
        <v>0.4272</v>
      </c>
      <c r="J768" s="14">
        <v>0.2561</v>
      </c>
      <c r="K768" s="14">
        <v>0.1218</v>
      </c>
      <c r="L768" s="14">
        <v>9.2801</v>
      </c>
      <c r="M768" s="14" t="s">
        <v>26</v>
      </c>
    </row>
    <row r="769" ht="15.75" customHeight="1">
      <c r="A769" s="14" t="s">
        <v>384</v>
      </c>
      <c r="B769" s="14" t="s">
        <v>3045</v>
      </c>
      <c r="C769" s="14">
        <v>1.0</v>
      </c>
      <c r="D769" s="14" t="s">
        <v>9</v>
      </c>
      <c r="E769" s="14">
        <v>0.4371</v>
      </c>
      <c r="F769" s="14">
        <v>5.6244</v>
      </c>
      <c r="G769" s="14">
        <v>13.8969</v>
      </c>
      <c r="H769" s="14">
        <v>0.9872</v>
      </c>
      <c r="I769" s="14">
        <v>0.366</v>
      </c>
      <c r="J769" s="14">
        <v>0.2486</v>
      </c>
      <c r="K769" s="14">
        <v>0.0853</v>
      </c>
      <c r="L769" s="14">
        <v>9.5927</v>
      </c>
      <c r="M769" s="14" t="s">
        <v>26</v>
      </c>
    </row>
    <row r="770" ht="15.75" customHeight="1">
      <c r="A770" s="14" t="s">
        <v>473</v>
      </c>
      <c r="B770" s="14" t="s">
        <v>3049</v>
      </c>
      <c r="C770" s="14">
        <v>1.0</v>
      </c>
      <c r="D770" s="14" t="s">
        <v>9</v>
      </c>
      <c r="E770" s="14">
        <v>0.4493</v>
      </c>
      <c r="F770" s="14">
        <v>5.6244</v>
      </c>
      <c r="G770" s="14">
        <v>13.8969</v>
      </c>
      <c r="H770" s="14">
        <v>0.9872</v>
      </c>
      <c r="I770" s="14">
        <v>0.366</v>
      </c>
      <c r="J770" s="14">
        <v>0.2501</v>
      </c>
      <c r="K770" s="14">
        <v>0.0855</v>
      </c>
      <c r="L770" s="14">
        <v>9.5878</v>
      </c>
      <c r="M770" s="14" t="s">
        <v>26</v>
      </c>
    </row>
    <row r="771" ht="15.75" customHeight="1">
      <c r="A771" s="14" t="s">
        <v>468</v>
      </c>
      <c r="B771" s="14" t="s">
        <v>3053</v>
      </c>
      <c r="C771" s="14">
        <v>1.0</v>
      </c>
      <c r="D771" s="14" t="s">
        <v>9</v>
      </c>
      <c r="E771" s="14">
        <v>0.3956</v>
      </c>
      <c r="F771" s="14">
        <v>5.614</v>
      </c>
      <c r="G771" s="14">
        <v>13.3084</v>
      </c>
      <c r="H771" s="14">
        <v>0.9849</v>
      </c>
      <c r="I771" s="14">
        <v>0.3983</v>
      </c>
      <c r="J771" s="14">
        <v>0.3621</v>
      </c>
      <c r="K771" s="14">
        <v>0.0877</v>
      </c>
      <c r="L771" s="14">
        <v>8.7992</v>
      </c>
      <c r="M771" s="14" t="s">
        <v>26</v>
      </c>
    </row>
    <row r="772" ht="15.75" customHeight="1">
      <c r="A772" s="14" t="s">
        <v>396</v>
      </c>
      <c r="B772" s="14" t="s">
        <v>3056</v>
      </c>
      <c r="C772" s="14">
        <v>1.0</v>
      </c>
      <c r="D772" s="14" t="s">
        <v>9</v>
      </c>
      <c r="E772" s="14">
        <v>0.4251</v>
      </c>
      <c r="F772" s="14">
        <v>5.614</v>
      </c>
      <c r="G772" s="14">
        <v>13.8826</v>
      </c>
      <c r="H772" s="14">
        <v>0.9873</v>
      </c>
      <c r="I772" s="14">
        <v>0.366</v>
      </c>
      <c r="J772" s="14">
        <v>0.2506</v>
      </c>
      <c r="K772" s="14">
        <v>0.0869</v>
      </c>
      <c r="L772" s="14">
        <v>9.5631</v>
      </c>
      <c r="M772" s="14" t="s">
        <v>26</v>
      </c>
    </row>
    <row r="773" ht="15.75" customHeight="1">
      <c r="A773" s="14" t="s">
        <v>923</v>
      </c>
      <c r="B773" s="14" t="s">
        <v>3059</v>
      </c>
      <c r="C773" s="14">
        <v>1.0</v>
      </c>
      <c r="D773" s="14" t="s">
        <v>9</v>
      </c>
      <c r="E773" s="14">
        <v>0.5458</v>
      </c>
      <c r="F773" s="14">
        <v>5.6105</v>
      </c>
      <c r="G773" s="14">
        <v>13.5438</v>
      </c>
      <c r="H773" s="14">
        <v>0.9851</v>
      </c>
      <c r="I773" s="14">
        <v>0.3844</v>
      </c>
      <c r="J773" s="14">
        <v>0.3049</v>
      </c>
      <c r="K773" s="14">
        <v>0.084</v>
      </c>
      <c r="L773" s="14">
        <v>9.0047</v>
      </c>
      <c r="M773" s="14" t="s">
        <v>26</v>
      </c>
    </row>
    <row r="774" ht="15.75" customHeight="1">
      <c r="A774" s="14" t="s">
        <v>1818</v>
      </c>
      <c r="B774" s="14" t="s">
        <v>3062</v>
      </c>
      <c r="C774" s="14">
        <v>1.0</v>
      </c>
      <c r="D774" s="14" t="s">
        <v>9</v>
      </c>
      <c r="E774" s="14">
        <v>0.6366</v>
      </c>
      <c r="F774" s="14">
        <v>5.6105</v>
      </c>
      <c r="G774" s="14">
        <v>13.3714</v>
      </c>
      <c r="H774" s="14">
        <v>0.9838</v>
      </c>
      <c r="I774" s="14">
        <v>0.3943</v>
      </c>
      <c r="J774" s="14">
        <v>0.2264</v>
      </c>
      <c r="K774" s="14">
        <v>0.0821</v>
      </c>
      <c r="L774" s="14">
        <v>9.6448</v>
      </c>
      <c r="M774" s="14" t="s">
        <v>26</v>
      </c>
    </row>
    <row r="775" ht="15.75" customHeight="1">
      <c r="A775" s="14" t="s">
        <v>135</v>
      </c>
      <c r="B775" s="14" t="s">
        <v>3066</v>
      </c>
      <c r="C775" s="14">
        <v>1.0</v>
      </c>
      <c r="D775" s="14" t="s">
        <v>9</v>
      </c>
      <c r="E775" s="14">
        <v>0.4216</v>
      </c>
      <c r="F775" s="14">
        <v>5.6105</v>
      </c>
      <c r="G775" s="14">
        <v>13.8826</v>
      </c>
      <c r="H775" s="14">
        <v>0.9873</v>
      </c>
      <c r="I775" s="14">
        <v>0.3658</v>
      </c>
      <c r="J775" s="14">
        <v>0.2524</v>
      </c>
      <c r="K775" s="14">
        <v>0.0877</v>
      </c>
      <c r="L775" s="14">
        <v>9.553</v>
      </c>
      <c r="M775" s="14" t="s">
        <v>26</v>
      </c>
    </row>
    <row r="776" ht="15.75" customHeight="1">
      <c r="A776" s="14" t="s">
        <v>402</v>
      </c>
      <c r="B776" s="14" t="s">
        <v>3070</v>
      </c>
      <c r="C776" s="14">
        <v>1.0</v>
      </c>
      <c r="D776" s="14" t="s">
        <v>9</v>
      </c>
      <c r="E776" s="14">
        <v>0.6564</v>
      </c>
      <c r="F776" s="14">
        <v>5.6036</v>
      </c>
      <c r="G776" s="14">
        <v>13.004</v>
      </c>
      <c r="H776" s="14">
        <v>0.9826</v>
      </c>
      <c r="I776" s="14">
        <v>0.4164</v>
      </c>
      <c r="J776" s="14">
        <v>0.2181</v>
      </c>
      <c r="K776" s="14">
        <v>0.0707</v>
      </c>
      <c r="L776" s="14">
        <v>9.7818</v>
      </c>
      <c r="M776" s="14" t="s">
        <v>26</v>
      </c>
    </row>
    <row r="777" ht="15.75" customHeight="1">
      <c r="A777" s="14" t="s">
        <v>1428</v>
      </c>
      <c r="B777" s="14" t="s">
        <v>3075</v>
      </c>
      <c r="C777" s="14">
        <v>1.0</v>
      </c>
      <c r="D777" s="14" t="s">
        <v>9</v>
      </c>
      <c r="E777" s="14">
        <v>0.4987</v>
      </c>
      <c r="F777" s="14">
        <v>5.6001</v>
      </c>
      <c r="G777" s="14">
        <v>13.8422</v>
      </c>
      <c r="H777" s="14">
        <v>0.986</v>
      </c>
      <c r="I777" s="14">
        <v>0.3673</v>
      </c>
      <c r="J777" s="14">
        <v>0.3055</v>
      </c>
      <c r="K777" s="14">
        <v>0.1655</v>
      </c>
      <c r="L777" s="14">
        <v>9.0011</v>
      </c>
      <c r="M777" s="14" t="s">
        <v>26</v>
      </c>
    </row>
    <row r="778" ht="15.75" customHeight="1">
      <c r="A778" s="14" t="s">
        <v>431</v>
      </c>
      <c r="B778" s="14" t="s">
        <v>3077</v>
      </c>
      <c r="C778" s="14">
        <v>1.0</v>
      </c>
      <c r="D778" s="14" t="s">
        <v>9</v>
      </c>
      <c r="E778" s="14">
        <v>0.4531</v>
      </c>
      <c r="F778" s="14">
        <v>5.5967</v>
      </c>
      <c r="G778" s="14">
        <v>13.7649</v>
      </c>
      <c r="H778" s="14">
        <v>0.9875</v>
      </c>
      <c r="I778" s="14">
        <v>0.3712</v>
      </c>
      <c r="J778" s="14">
        <v>0.248</v>
      </c>
      <c r="K778" s="14">
        <v>0.0878</v>
      </c>
      <c r="L778" s="14">
        <v>9.5576</v>
      </c>
      <c r="M778" s="14" t="s">
        <v>26</v>
      </c>
    </row>
    <row r="779" ht="15.75" customHeight="1">
      <c r="A779" s="14" t="s">
        <v>1428</v>
      </c>
      <c r="B779" s="14" t="s">
        <v>3080</v>
      </c>
      <c r="C779" s="14">
        <v>1.0</v>
      </c>
      <c r="D779" s="14" t="s">
        <v>9</v>
      </c>
      <c r="E779" s="14">
        <v>0.4645</v>
      </c>
      <c r="F779" s="14">
        <v>5.5967</v>
      </c>
      <c r="G779" s="14">
        <v>13.5497</v>
      </c>
      <c r="H779" s="14">
        <v>0.9876</v>
      </c>
      <c r="I779" s="14">
        <v>0.3831</v>
      </c>
      <c r="J779" s="14">
        <v>0.1925</v>
      </c>
      <c r="K779" s="14">
        <v>0.0372</v>
      </c>
      <c r="L779" s="14">
        <v>9.9293</v>
      </c>
      <c r="M779" s="14" t="s">
        <v>26</v>
      </c>
    </row>
    <row r="780" ht="15.75" customHeight="1">
      <c r="A780" s="14" t="s">
        <v>467</v>
      </c>
      <c r="B780" s="14" t="s">
        <v>3083</v>
      </c>
      <c r="C780" s="14">
        <v>1.0</v>
      </c>
      <c r="D780" s="14" t="s">
        <v>9</v>
      </c>
      <c r="E780" s="14">
        <v>0.4555</v>
      </c>
      <c r="F780" s="14">
        <v>5.5967</v>
      </c>
      <c r="G780" s="14">
        <v>13.5497</v>
      </c>
      <c r="H780" s="14">
        <v>0.9876</v>
      </c>
      <c r="I780" s="14">
        <v>0.3831</v>
      </c>
      <c r="J780" s="14">
        <v>0.1931</v>
      </c>
      <c r="K780" s="14">
        <v>0.0371</v>
      </c>
      <c r="L780" s="14">
        <v>9.943</v>
      </c>
      <c r="M780" s="14" t="s">
        <v>26</v>
      </c>
    </row>
    <row r="781" ht="15.75" customHeight="1">
      <c r="A781" s="14" t="s">
        <v>997</v>
      </c>
      <c r="B781" s="14" t="s">
        <v>3087</v>
      </c>
      <c r="C781" s="14">
        <v>1.0</v>
      </c>
      <c r="D781" s="14" t="s">
        <v>9</v>
      </c>
      <c r="E781" s="14">
        <v>0.4593</v>
      </c>
      <c r="F781" s="14">
        <v>5.5967</v>
      </c>
      <c r="G781" s="14">
        <v>13.5497</v>
      </c>
      <c r="H781" s="14">
        <v>0.9876</v>
      </c>
      <c r="I781" s="14">
        <v>0.3831</v>
      </c>
      <c r="J781" s="14">
        <v>0.1972</v>
      </c>
      <c r="K781" s="14">
        <v>0.0371</v>
      </c>
      <c r="L781" s="14">
        <v>9.916</v>
      </c>
      <c r="M781" s="14" t="s">
        <v>26</v>
      </c>
    </row>
    <row r="782" ht="15.75" customHeight="1">
      <c r="A782" s="14" t="s">
        <v>1134</v>
      </c>
      <c r="B782" s="14" t="s">
        <v>3090</v>
      </c>
      <c r="C782" s="14">
        <v>1.0</v>
      </c>
      <c r="D782" s="14" t="s">
        <v>9</v>
      </c>
      <c r="E782" s="14">
        <v>0.4589</v>
      </c>
      <c r="F782" s="14">
        <v>5.5967</v>
      </c>
      <c r="G782" s="14">
        <v>13.5842</v>
      </c>
      <c r="H782" s="14">
        <v>0.9876</v>
      </c>
      <c r="I782" s="14">
        <v>0.3811</v>
      </c>
      <c r="J782" s="14">
        <v>0.1986</v>
      </c>
      <c r="K782" s="14">
        <v>0.0367</v>
      </c>
      <c r="L782" s="14">
        <v>9.9461</v>
      </c>
      <c r="M782" s="14" t="s">
        <v>26</v>
      </c>
    </row>
    <row r="783" ht="15.75" customHeight="1">
      <c r="A783" s="14" t="s">
        <v>528</v>
      </c>
      <c r="B783" s="14" t="s">
        <v>3095</v>
      </c>
      <c r="C783" s="14">
        <v>1.0</v>
      </c>
      <c r="D783" s="14" t="s">
        <v>9</v>
      </c>
      <c r="E783" s="14">
        <v>0.4479</v>
      </c>
      <c r="F783" s="14">
        <v>5.5967</v>
      </c>
      <c r="G783" s="14">
        <v>13.4487</v>
      </c>
      <c r="H783" s="14">
        <v>0.9809</v>
      </c>
      <c r="I783" s="14">
        <v>0.3888</v>
      </c>
      <c r="J783" s="14">
        <v>0.3881</v>
      </c>
      <c r="K783" s="14">
        <v>0.1883</v>
      </c>
      <c r="L783" s="14">
        <v>8.1589</v>
      </c>
      <c r="M783" s="14" t="s">
        <v>26</v>
      </c>
    </row>
    <row r="784" ht="15.75" customHeight="1">
      <c r="A784" s="14" t="s">
        <v>493</v>
      </c>
      <c r="B784" s="14" t="s">
        <v>3098</v>
      </c>
      <c r="C784" s="14">
        <v>1.0</v>
      </c>
      <c r="D784" s="14" t="s">
        <v>9</v>
      </c>
      <c r="E784" s="14">
        <v>0.4721</v>
      </c>
      <c r="F784" s="14">
        <v>5.5967</v>
      </c>
      <c r="G784" s="14">
        <v>13.5497</v>
      </c>
      <c r="H784" s="14">
        <v>0.9876</v>
      </c>
      <c r="I784" s="14">
        <v>0.3831</v>
      </c>
      <c r="J784" s="14">
        <v>0.1945</v>
      </c>
      <c r="K784" s="14">
        <v>0.0366</v>
      </c>
      <c r="L784" s="14">
        <v>9.9556</v>
      </c>
      <c r="M784" s="14" t="s">
        <v>26</v>
      </c>
    </row>
    <row r="785" ht="15.75" customHeight="1">
      <c r="A785" s="14" t="s">
        <v>286</v>
      </c>
      <c r="B785" s="14" t="s">
        <v>3102</v>
      </c>
      <c r="C785" s="14">
        <v>1.0</v>
      </c>
      <c r="D785" s="14" t="s">
        <v>9</v>
      </c>
      <c r="E785" s="14">
        <v>0.6496</v>
      </c>
      <c r="F785" s="14">
        <v>5.5932</v>
      </c>
      <c r="G785" s="14">
        <v>13.0385</v>
      </c>
      <c r="H785" s="14">
        <v>0.9827</v>
      </c>
      <c r="I785" s="14">
        <v>0.4134</v>
      </c>
      <c r="J785" s="14">
        <v>0.221</v>
      </c>
      <c r="K785" s="14">
        <v>0.0719</v>
      </c>
      <c r="L785" s="14">
        <v>9.7369</v>
      </c>
      <c r="M785" s="14" t="s">
        <v>26</v>
      </c>
    </row>
    <row r="786" ht="15.75" customHeight="1">
      <c r="A786" s="14" t="s">
        <v>1054</v>
      </c>
      <c r="B786" s="14" t="s">
        <v>3106</v>
      </c>
      <c r="C786" s="14">
        <v>1.0</v>
      </c>
      <c r="D786" s="14" t="s">
        <v>9</v>
      </c>
      <c r="E786" s="14">
        <v>0.4789</v>
      </c>
      <c r="F786" s="14">
        <v>5.5897</v>
      </c>
      <c r="G786" s="14">
        <v>13.5497</v>
      </c>
      <c r="H786" s="14">
        <v>0.9876</v>
      </c>
      <c r="I786" s="14">
        <v>0.3826</v>
      </c>
      <c r="J786" s="14">
        <v>0.2031</v>
      </c>
      <c r="K786" s="14">
        <v>0.0371</v>
      </c>
      <c r="L786" s="14">
        <v>9.9425</v>
      </c>
      <c r="M786" s="14" t="s">
        <v>26</v>
      </c>
    </row>
    <row r="787" ht="15.75" customHeight="1">
      <c r="A787" s="14" t="s">
        <v>1026</v>
      </c>
      <c r="B787" s="14" t="s">
        <v>3110</v>
      </c>
      <c r="C787" s="14">
        <v>1.0</v>
      </c>
      <c r="D787" s="14" t="s">
        <v>9</v>
      </c>
      <c r="E787" s="14">
        <v>0.461</v>
      </c>
      <c r="F787" s="14">
        <v>5.5897</v>
      </c>
      <c r="G787" s="14">
        <v>13.5497</v>
      </c>
      <c r="H787" s="14">
        <v>0.9876</v>
      </c>
      <c r="I787" s="14">
        <v>0.3826</v>
      </c>
      <c r="J787" s="14">
        <v>0.1986</v>
      </c>
      <c r="K787" s="14">
        <v>0.0368</v>
      </c>
      <c r="L787" s="14">
        <v>9.9515</v>
      </c>
      <c r="M787" s="14" t="s">
        <v>26</v>
      </c>
    </row>
    <row r="788" ht="15.75" customHeight="1">
      <c r="A788" s="14" t="s">
        <v>1060</v>
      </c>
      <c r="B788" s="14" t="s">
        <v>3114</v>
      </c>
      <c r="C788" s="14">
        <v>1.0</v>
      </c>
      <c r="D788" s="14" t="s">
        <v>9</v>
      </c>
      <c r="E788" s="14">
        <v>0.4629</v>
      </c>
      <c r="F788" s="14">
        <v>5.5897</v>
      </c>
      <c r="G788" s="14">
        <v>13.5497</v>
      </c>
      <c r="H788" s="14">
        <v>0.9876</v>
      </c>
      <c r="I788" s="14">
        <v>0.3826</v>
      </c>
      <c r="J788" s="14">
        <v>0.1961</v>
      </c>
      <c r="K788" s="14">
        <v>0.0371</v>
      </c>
      <c r="L788" s="14">
        <v>9.9309</v>
      </c>
      <c r="M788" s="14" t="s">
        <v>26</v>
      </c>
    </row>
    <row r="789" ht="15.75" customHeight="1">
      <c r="A789" s="14" t="s">
        <v>1031</v>
      </c>
      <c r="B789" s="14" t="s">
        <v>3119</v>
      </c>
      <c r="C789" s="14">
        <v>1.0</v>
      </c>
      <c r="D789" s="14" t="s">
        <v>9</v>
      </c>
      <c r="E789" s="14">
        <v>0.4631</v>
      </c>
      <c r="F789" s="14">
        <v>5.5897</v>
      </c>
      <c r="G789" s="14">
        <v>13.5497</v>
      </c>
      <c r="H789" s="14">
        <v>0.9876</v>
      </c>
      <c r="I789" s="14">
        <v>0.3826</v>
      </c>
      <c r="J789" s="14">
        <v>0.2009</v>
      </c>
      <c r="K789" s="14">
        <v>0.0375</v>
      </c>
      <c r="L789" s="14">
        <v>9.9213</v>
      </c>
      <c r="M789" s="14" t="s">
        <v>26</v>
      </c>
    </row>
    <row r="790" ht="15.75" customHeight="1">
      <c r="A790" s="14" t="s">
        <v>409</v>
      </c>
      <c r="B790" s="14" t="s">
        <v>3123</v>
      </c>
      <c r="C790" s="14">
        <v>1.0</v>
      </c>
      <c r="D790" s="14" t="s">
        <v>9</v>
      </c>
      <c r="E790" s="14">
        <v>0.6229</v>
      </c>
      <c r="F790" s="14">
        <v>5.5897</v>
      </c>
      <c r="G790" s="14">
        <v>13.3714</v>
      </c>
      <c r="H790" s="14">
        <v>0.9824</v>
      </c>
      <c r="I790" s="14">
        <v>0.3929</v>
      </c>
      <c r="J790" s="14">
        <v>0.3134</v>
      </c>
      <c r="K790" s="14">
        <v>0.1317</v>
      </c>
      <c r="L790" s="14">
        <v>8.9911</v>
      </c>
      <c r="M790" s="14" t="s">
        <v>26</v>
      </c>
    </row>
    <row r="791" ht="15.75" customHeight="1">
      <c r="A791" s="14" t="s">
        <v>1109</v>
      </c>
      <c r="B791" s="14" t="s">
        <v>3126</v>
      </c>
      <c r="C791" s="14">
        <v>1.0</v>
      </c>
      <c r="D791" s="14" t="s">
        <v>9</v>
      </c>
      <c r="E791" s="14">
        <v>0.459</v>
      </c>
      <c r="F791" s="14">
        <v>5.5897</v>
      </c>
      <c r="G791" s="14">
        <v>13.5497</v>
      </c>
      <c r="H791" s="14">
        <v>0.9876</v>
      </c>
      <c r="I791" s="14">
        <v>0.3826</v>
      </c>
      <c r="J791" s="14">
        <v>0.1987</v>
      </c>
      <c r="K791" s="14">
        <v>0.0372</v>
      </c>
      <c r="L791" s="14">
        <v>9.9252</v>
      </c>
      <c r="M791" s="14" t="s">
        <v>26</v>
      </c>
    </row>
    <row r="792" ht="15.75" customHeight="1">
      <c r="A792" s="14" t="s">
        <v>455</v>
      </c>
      <c r="B792" s="14" t="s">
        <v>3129</v>
      </c>
      <c r="C792" s="14">
        <v>1.0</v>
      </c>
      <c r="D792" s="14" t="s">
        <v>9</v>
      </c>
      <c r="E792" s="14">
        <v>0.4598</v>
      </c>
      <c r="F792" s="14">
        <v>5.5897</v>
      </c>
      <c r="G792" s="14">
        <v>13.5497</v>
      </c>
      <c r="H792" s="14">
        <v>0.9876</v>
      </c>
      <c r="I792" s="14">
        <v>0.3826</v>
      </c>
      <c r="J792" s="14">
        <v>0.198</v>
      </c>
      <c r="K792" s="14">
        <v>0.0369</v>
      </c>
      <c r="L792" s="14">
        <v>9.9373</v>
      </c>
      <c r="M792" s="14" t="s">
        <v>26</v>
      </c>
    </row>
    <row r="793" ht="15.75" customHeight="1">
      <c r="A793" s="14" t="s">
        <v>1423</v>
      </c>
      <c r="B793" s="14" t="s">
        <v>3132</v>
      </c>
      <c r="C793" s="14">
        <v>1.0</v>
      </c>
      <c r="D793" s="14" t="s">
        <v>9</v>
      </c>
      <c r="E793" s="14">
        <v>0.4621</v>
      </c>
      <c r="F793" s="14">
        <v>5.5897</v>
      </c>
      <c r="G793" s="14">
        <v>13.5497</v>
      </c>
      <c r="H793" s="14">
        <v>0.9876</v>
      </c>
      <c r="I793" s="14">
        <v>0.3826</v>
      </c>
      <c r="J793" s="14">
        <v>0.1948</v>
      </c>
      <c r="K793" s="14">
        <v>0.0371</v>
      </c>
      <c r="L793" s="14">
        <v>9.9403</v>
      </c>
      <c r="M793" s="14" t="s">
        <v>26</v>
      </c>
    </row>
    <row r="794" ht="15.75" customHeight="1">
      <c r="A794" s="14" t="s">
        <v>500</v>
      </c>
      <c r="B794" s="14" t="s">
        <v>3135</v>
      </c>
      <c r="C794" s="14">
        <v>1.0</v>
      </c>
      <c r="D794" s="14" t="s">
        <v>9</v>
      </c>
      <c r="E794" s="14">
        <v>0.4521</v>
      </c>
      <c r="F794" s="14">
        <v>5.5897</v>
      </c>
      <c r="G794" s="14">
        <v>13.5497</v>
      </c>
      <c r="H794" s="14">
        <v>0.9876</v>
      </c>
      <c r="I794" s="14">
        <v>0.3826</v>
      </c>
      <c r="J794" s="14">
        <v>0.1972</v>
      </c>
      <c r="K794" s="14">
        <v>0.0373</v>
      </c>
      <c r="L794" s="14">
        <v>9.93</v>
      </c>
      <c r="M794" s="14" t="s">
        <v>26</v>
      </c>
    </row>
    <row r="795" ht="15.75" customHeight="1">
      <c r="A795" s="14" t="s">
        <v>1104</v>
      </c>
      <c r="B795" s="14" t="s">
        <v>3139</v>
      </c>
      <c r="C795" s="14">
        <v>1.0</v>
      </c>
      <c r="D795" s="14" t="s">
        <v>9</v>
      </c>
      <c r="E795" s="14">
        <v>0.4564</v>
      </c>
      <c r="F795" s="14">
        <v>5.5897</v>
      </c>
      <c r="G795" s="14">
        <v>13.5497</v>
      </c>
      <c r="H795" s="14">
        <v>0.9876</v>
      </c>
      <c r="I795" s="14">
        <v>0.3826</v>
      </c>
      <c r="J795" s="14">
        <v>0.1991</v>
      </c>
      <c r="K795" s="14">
        <v>0.0374</v>
      </c>
      <c r="L795" s="14">
        <v>9.9135</v>
      </c>
      <c r="M795" s="14" t="s">
        <v>26</v>
      </c>
    </row>
    <row r="796" ht="15.75" customHeight="1">
      <c r="A796" s="14" t="s">
        <v>442</v>
      </c>
      <c r="B796" s="14" t="s">
        <v>3142</v>
      </c>
      <c r="C796" s="14">
        <v>1.0</v>
      </c>
      <c r="D796" s="14" t="s">
        <v>9</v>
      </c>
      <c r="E796" s="14">
        <v>0.4549</v>
      </c>
      <c r="F796" s="14">
        <v>5.5863</v>
      </c>
      <c r="G796" s="14">
        <v>13.5497</v>
      </c>
      <c r="H796" s="14">
        <v>0.9876</v>
      </c>
      <c r="I796" s="14">
        <v>0.3824</v>
      </c>
      <c r="J796" s="14">
        <v>0.1965</v>
      </c>
      <c r="K796" s="14">
        <v>0.038</v>
      </c>
      <c r="L796" s="14">
        <v>9.8883</v>
      </c>
      <c r="M796" s="14" t="s">
        <v>26</v>
      </c>
    </row>
    <row r="797" ht="15.75" customHeight="1">
      <c r="A797" s="14" t="s">
        <v>486</v>
      </c>
      <c r="B797" s="14" t="s">
        <v>3145</v>
      </c>
      <c r="C797" s="14">
        <v>1.0</v>
      </c>
      <c r="D797" s="14" t="s">
        <v>9</v>
      </c>
      <c r="E797" s="14">
        <v>0.4584</v>
      </c>
      <c r="F797" s="14">
        <v>5.5863</v>
      </c>
      <c r="G797" s="14">
        <v>13.5497</v>
      </c>
      <c r="H797" s="14">
        <v>0.9876</v>
      </c>
      <c r="I797" s="14">
        <v>0.3824</v>
      </c>
      <c r="J797" s="14">
        <v>0.198</v>
      </c>
      <c r="K797" s="14">
        <v>0.0369</v>
      </c>
      <c r="L797" s="14">
        <v>9.9323</v>
      </c>
      <c r="M797" s="14" t="s">
        <v>26</v>
      </c>
    </row>
    <row r="798" ht="15.75" customHeight="1">
      <c r="A798" s="14" t="s">
        <v>671</v>
      </c>
      <c r="B798" s="14" t="s">
        <v>3150</v>
      </c>
      <c r="C798" s="14">
        <v>1.0</v>
      </c>
      <c r="D798" s="14" t="s">
        <v>9</v>
      </c>
      <c r="E798" s="14">
        <v>0.3553</v>
      </c>
      <c r="F798" s="14">
        <v>5.5863</v>
      </c>
      <c r="G798" s="14">
        <v>13.0873</v>
      </c>
      <c r="H798" s="14">
        <v>0.9815</v>
      </c>
      <c r="I798" s="14">
        <v>0.4099</v>
      </c>
      <c r="J798" s="14">
        <v>0.4004</v>
      </c>
      <c r="K798" s="14">
        <v>0.1307</v>
      </c>
      <c r="L798" s="14">
        <v>8.2228</v>
      </c>
      <c r="M798" s="14" t="s">
        <v>26</v>
      </c>
    </row>
    <row r="799" ht="15.75" customHeight="1">
      <c r="A799" s="14" t="s">
        <v>974</v>
      </c>
      <c r="B799" s="14" t="s">
        <v>3153</v>
      </c>
      <c r="C799" s="14">
        <v>1.0</v>
      </c>
      <c r="D799" s="14" t="s">
        <v>9</v>
      </c>
      <c r="E799" s="14">
        <v>0.4572</v>
      </c>
      <c r="F799" s="14">
        <v>5.5863</v>
      </c>
      <c r="G799" s="14">
        <v>13.5497</v>
      </c>
      <c r="H799" s="14">
        <v>0.9876</v>
      </c>
      <c r="I799" s="14">
        <v>0.3824</v>
      </c>
      <c r="J799" s="14">
        <v>0.1987</v>
      </c>
      <c r="K799" s="14">
        <v>0.0369</v>
      </c>
      <c r="L799" s="14">
        <v>9.9359</v>
      </c>
      <c r="M799" s="14" t="s">
        <v>26</v>
      </c>
    </row>
    <row r="800" ht="15.75" customHeight="1">
      <c r="A800" s="14" t="s">
        <v>357</v>
      </c>
      <c r="B800" s="14" t="s">
        <v>3156</v>
      </c>
      <c r="C800" s="14">
        <v>1.0</v>
      </c>
      <c r="D800" s="14" t="s">
        <v>9</v>
      </c>
      <c r="E800" s="14">
        <v>0.4735</v>
      </c>
      <c r="F800" s="14">
        <v>5.5863</v>
      </c>
      <c r="G800" s="14">
        <v>13.5497</v>
      </c>
      <c r="H800" s="14">
        <v>0.9876</v>
      </c>
      <c r="I800" s="14">
        <v>0.3824</v>
      </c>
      <c r="J800" s="14">
        <v>0.2032</v>
      </c>
      <c r="K800" s="14">
        <v>0.0374</v>
      </c>
      <c r="L800" s="14">
        <v>9.9085</v>
      </c>
      <c r="M800" s="14" t="s">
        <v>26</v>
      </c>
    </row>
    <row r="801" ht="15.75" customHeight="1">
      <c r="A801" s="14" t="s">
        <v>342</v>
      </c>
      <c r="B801" s="14" t="s">
        <v>3159</v>
      </c>
      <c r="C801" s="14">
        <v>1.0</v>
      </c>
      <c r="D801" s="14" t="s">
        <v>9</v>
      </c>
      <c r="E801" s="14">
        <v>0.4304</v>
      </c>
      <c r="F801" s="14">
        <v>5.5793</v>
      </c>
      <c r="G801" s="14">
        <v>13.9801</v>
      </c>
      <c r="H801" s="14">
        <v>0.9876</v>
      </c>
      <c r="I801" s="14">
        <v>0.3587</v>
      </c>
      <c r="J801" s="14">
        <v>0.2672</v>
      </c>
      <c r="K801" s="14">
        <v>0.0906</v>
      </c>
      <c r="L801" s="14">
        <v>9.4147</v>
      </c>
      <c r="M801" s="14" t="s">
        <v>26</v>
      </c>
    </row>
    <row r="802" ht="15.75" customHeight="1">
      <c r="A802" s="14" t="s">
        <v>493</v>
      </c>
      <c r="B802" s="14" t="s">
        <v>3161</v>
      </c>
      <c r="C802" s="14">
        <v>1.0</v>
      </c>
      <c r="D802" s="14" t="s">
        <v>9</v>
      </c>
      <c r="E802" s="14">
        <v>0.5056</v>
      </c>
      <c r="F802" s="14">
        <v>5.569</v>
      </c>
      <c r="G802" s="14">
        <v>13.8422</v>
      </c>
      <c r="H802" s="14">
        <v>0.9863</v>
      </c>
      <c r="I802" s="14">
        <v>0.3652</v>
      </c>
      <c r="J802" s="14">
        <v>0.3047</v>
      </c>
      <c r="K802" s="14">
        <v>0.1689</v>
      </c>
      <c r="L802" s="14">
        <v>8.9726</v>
      </c>
      <c r="M802" s="14" t="s">
        <v>26</v>
      </c>
    </row>
    <row r="803" ht="15.75" customHeight="1">
      <c r="A803" s="14" t="s">
        <v>2071</v>
      </c>
      <c r="B803" s="14" t="s">
        <v>3164</v>
      </c>
      <c r="C803" s="14">
        <v>1.0</v>
      </c>
      <c r="D803" s="14" t="s">
        <v>9</v>
      </c>
      <c r="E803" s="14">
        <v>0.4303</v>
      </c>
      <c r="F803" s="14">
        <v>5.5655</v>
      </c>
      <c r="G803" s="14">
        <v>13.004</v>
      </c>
      <c r="H803" s="14">
        <v>0.983</v>
      </c>
      <c r="I803" s="14">
        <v>0.4136</v>
      </c>
      <c r="J803" s="14">
        <v>0.3367</v>
      </c>
      <c r="K803" s="14">
        <v>0.083</v>
      </c>
      <c r="L803" s="14">
        <v>8.797</v>
      </c>
      <c r="M803" s="14" t="s">
        <v>26</v>
      </c>
    </row>
    <row r="804" ht="15.75" customHeight="1">
      <c r="A804" s="14" t="s">
        <v>550</v>
      </c>
      <c r="B804" s="14" t="s">
        <v>3167</v>
      </c>
      <c r="C804" s="14">
        <v>1.0</v>
      </c>
      <c r="D804" s="14" t="s">
        <v>9</v>
      </c>
      <c r="E804" s="14">
        <v>0.4489</v>
      </c>
      <c r="F804" s="14">
        <v>5.5655</v>
      </c>
      <c r="G804" s="14">
        <v>18.0508</v>
      </c>
      <c r="H804" s="14">
        <v>0.9965</v>
      </c>
      <c r="I804" s="14">
        <v>0.2146</v>
      </c>
      <c r="J804" s="14">
        <v>0.3706</v>
      </c>
      <c r="K804" s="14">
        <v>0.079</v>
      </c>
      <c r="L804" s="14">
        <v>8.1409</v>
      </c>
      <c r="M804" s="14" t="s">
        <v>26</v>
      </c>
    </row>
    <row r="805" ht="15.75" customHeight="1">
      <c r="A805" s="14" t="s">
        <v>76</v>
      </c>
      <c r="B805" s="14" t="s">
        <v>3170</v>
      </c>
      <c r="C805" s="14">
        <v>1.0</v>
      </c>
      <c r="D805" s="14" t="s">
        <v>9</v>
      </c>
      <c r="E805" s="14">
        <v>0.386</v>
      </c>
      <c r="F805" s="14">
        <v>5.5655</v>
      </c>
      <c r="G805" s="14">
        <v>13.696</v>
      </c>
      <c r="H805" s="14">
        <v>0.9872</v>
      </c>
      <c r="I805" s="14">
        <v>0.3689</v>
      </c>
      <c r="J805" s="14">
        <v>0.3762</v>
      </c>
      <c r="K805" s="14">
        <v>0.1027</v>
      </c>
      <c r="L805" s="14">
        <v>8.6483</v>
      </c>
      <c r="M805" s="14" t="s">
        <v>26</v>
      </c>
    </row>
    <row r="806" ht="15.75" customHeight="1">
      <c r="A806" s="14" t="s">
        <v>363</v>
      </c>
      <c r="B806" s="14" t="s">
        <v>3173</v>
      </c>
      <c r="C806" s="14">
        <v>1.0</v>
      </c>
      <c r="D806" s="14" t="s">
        <v>9</v>
      </c>
      <c r="E806" s="14">
        <v>0.4682</v>
      </c>
      <c r="F806" s="14">
        <v>5.562</v>
      </c>
      <c r="G806" s="14">
        <v>13.7162</v>
      </c>
      <c r="H806" s="14">
        <v>0.9876</v>
      </c>
      <c r="I806" s="14">
        <v>0.3715</v>
      </c>
      <c r="J806" s="14">
        <v>0.207</v>
      </c>
      <c r="K806" s="14">
        <v>0.0387</v>
      </c>
      <c r="L806" s="14">
        <v>9.8434</v>
      </c>
      <c r="M806" s="14" t="s">
        <v>26</v>
      </c>
    </row>
    <row r="807" ht="15.75" customHeight="1">
      <c r="A807" s="14" t="s">
        <v>536</v>
      </c>
      <c r="B807" s="14" t="s">
        <v>3176</v>
      </c>
      <c r="C807" s="14">
        <v>1.0</v>
      </c>
      <c r="D807" s="14" t="s">
        <v>9</v>
      </c>
      <c r="E807" s="14">
        <v>0.3635</v>
      </c>
      <c r="F807" s="14">
        <v>5.5413</v>
      </c>
      <c r="G807" s="14">
        <v>13.3512</v>
      </c>
      <c r="H807" s="14">
        <v>0.9833</v>
      </c>
      <c r="I807" s="14">
        <v>0.3906</v>
      </c>
      <c r="J807" s="14">
        <v>0.4026</v>
      </c>
      <c r="K807" s="14">
        <v>0.1487</v>
      </c>
      <c r="L807" s="14">
        <v>7.8437</v>
      </c>
      <c r="M807" s="14" t="s">
        <v>26</v>
      </c>
    </row>
    <row r="808" ht="15.75" customHeight="1">
      <c r="A808" s="14" t="s">
        <v>514</v>
      </c>
      <c r="B808" s="14" t="s">
        <v>3179</v>
      </c>
      <c r="C808" s="14">
        <v>1.0</v>
      </c>
      <c r="D808" s="14" t="s">
        <v>9</v>
      </c>
      <c r="E808" s="14">
        <v>0.4707</v>
      </c>
      <c r="F808" s="14">
        <v>5.5343</v>
      </c>
      <c r="G808" s="14">
        <v>13.7506</v>
      </c>
      <c r="H808" s="14">
        <v>0.9877</v>
      </c>
      <c r="I808" s="14">
        <v>0.3678</v>
      </c>
      <c r="J808" s="14">
        <v>0.2124</v>
      </c>
      <c r="K808" s="14">
        <v>0.0401</v>
      </c>
      <c r="L808" s="14">
        <v>9.7932</v>
      </c>
      <c r="M808" s="14" t="s">
        <v>26</v>
      </c>
    </row>
    <row r="809" ht="15.75" customHeight="1">
      <c r="A809" s="14" t="s">
        <v>514</v>
      </c>
      <c r="B809" s="14" t="s">
        <v>3182</v>
      </c>
      <c r="C809" s="14">
        <v>1.0</v>
      </c>
      <c r="D809" s="14" t="s">
        <v>9</v>
      </c>
      <c r="E809" s="14">
        <v>0.5105</v>
      </c>
      <c r="F809" s="14">
        <v>5.5343</v>
      </c>
      <c r="G809" s="14">
        <v>13.8767</v>
      </c>
      <c r="H809" s="14">
        <v>0.9863</v>
      </c>
      <c r="I809" s="14">
        <v>0.3612</v>
      </c>
      <c r="J809" s="14">
        <v>0.3038</v>
      </c>
      <c r="K809" s="14">
        <v>0.1706</v>
      </c>
      <c r="L809" s="14">
        <v>8.9708</v>
      </c>
      <c r="M809" s="14" t="s">
        <v>26</v>
      </c>
    </row>
    <row r="810" ht="15.75" customHeight="1">
      <c r="A810" s="14" t="s">
        <v>3185</v>
      </c>
      <c r="B810" s="14" t="s">
        <v>3186</v>
      </c>
      <c r="C810" s="14">
        <v>1.0</v>
      </c>
      <c r="D810" s="14" t="s">
        <v>9</v>
      </c>
      <c r="E810" s="14">
        <v>0.3583</v>
      </c>
      <c r="F810" s="14">
        <v>5.5274</v>
      </c>
      <c r="G810" s="14">
        <v>13.5152</v>
      </c>
      <c r="H810" s="14">
        <v>0.9875</v>
      </c>
      <c r="I810" s="14">
        <v>0.3803</v>
      </c>
      <c r="J810" s="14">
        <v>0.2912</v>
      </c>
      <c r="K810" s="14">
        <v>0.0525</v>
      </c>
      <c r="L810" s="14">
        <v>8.9945</v>
      </c>
      <c r="M810" s="14" t="s">
        <v>26</v>
      </c>
    </row>
    <row r="811" ht="15.75" customHeight="1">
      <c r="A811" s="14" t="s">
        <v>329</v>
      </c>
      <c r="B811" s="14" t="s">
        <v>3189</v>
      </c>
      <c r="C811" s="14">
        <v>1.0</v>
      </c>
      <c r="D811" s="14" t="s">
        <v>9</v>
      </c>
      <c r="E811" s="14">
        <v>0.4209</v>
      </c>
      <c r="F811" s="14">
        <v>5.5274</v>
      </c>
      <c r="G811" s="14">
        <v>13.8826</v>
      </c>
      <c r="H811" s="14">
        <v>0.9883</v>
      </c>
      <c r="I811" s="14">
        <v>0.3604</v>
      </c>
      <c r="J811" s="14">
        <v>0.2546</v>
      </c>
      <c r="K811" s="14">
        <v>0.0493</v>
      </c>
      <c r="L811" s="14">
        <v>9.4857</v>
      </c>
      <c r="M811" s="14" t="s">
        <v>26</v>
      </c>
    </row>
    <row r="812" ht="15.75" customHeight="1">
      <c r="A812" s="14" t="s">
        <v>655</v>
      </c>
      <c r="B812" s="14" t="s">
        <v>3192</v>
      </c>
      <c r="C812" s="14">
        <v>1.0</v>
      </c>
      <c r="D812" s="14" t="s">
        <v>9</v>
      </c>
      <c r="E812" s="14">
        <v>0.5428</v>
      </c>
      <c r="F812" s="14">
        <v>5.517</v>
      </c>
      <c r="G812" s="14">
        <v>12.2919</v>
      </c>
      <c r="H812" s="14">
        <v>0.9729</v>
      </c>
      <c r="I812" s="14">
        <v>0.4589</v>
      </c>
      <c r="J812" s="14">
        <v>0.3643</v>
      </c>
      <c r="K812" s="14">
        <v>0.0932</v>
      </c>
      <c r="L812" s="14">
        <v>8.3203</v>
      </c>
      <c r="M812" s="14" t="s">
        <v>26</v>
      </c>
    </row>
    <row r="813" ht="15.75" customHeight="1">
      <c r="A813" s="14" t="s">
        <v>3195</v>
      </c>
      <c r="B813" s="14" t="s">
        <v>3196</v>
      </c>
      <c r="C813" s="14">
        <v>1.0</v>
      </c>
      <c r="D813" s="14" t="s">
        <v>9</v>
      </c>
      <c r="E813" s="14">
        <v>0.4069</v>
      </c>
      <c r="F813" s="14">
        <v>5.5135</v>
      </c>
      <c r="G813" s="14">
        <v>13.5842</v>
      </c>
      <c r="H813" s="14">
        <v>0.9877</v>
      </c>
      <c r="I813" s="14">
        <v>0.3755</v>
      </c>
      <c r="J813" s="14">
        <v>0.227</v>
      </c>
      <c r="K813" s="14">
        <v>0.0429</v>
      </c>
      <c r="L813" s="14">
        <v>9.6822</v>
      </c>
      <c r="M813" s="14" t="s">
        <v>26</v>
      </c>
    </row>
    <row r="814" ht="15.75" customHeight="1">
      <c r="A814" s="14" t="s">
        <v>1328</v>
      </c>
      <c r="B814" s="14" t="s">
        <v>3199</v>
      </c>
      <c r="C814" s="14">
        <v>1.0</v>
      </c>
      <c r="D814" s="14" t="s">
        <v>9</v>
      </c>
      <c r="E814" s="14">
        <v>0.638</v>
      </c>
      <c r="F814" s="14">
        <v>5.5066</v>
      </c>
      <c r="G814" s="14">
        <v>13.268</v>
      </c>
      <c r="H814" s="14">
        <v>0.9826</v>
      </c>
      <c r="I814" s="14">
        <v>0.3931</v>
      </c>
      <c r="J814" s="14">
        <v>0.2921</v>
      </c>
      <c r="K814" s="14">
        <v>0.1403</v>
      </c>
      <c r="L814" s="14">
        <v>9.0873</v>
      </c>
      <c r="M814" s="14" t="s">
        <v>26</v>
      </c>
    </row>
    <row r="815" ht="15.75" customHeight="1">
      <c r="A815" s="14" t="s">
        <v>999</v>
      </c>
      <c r="B815" s="14" t="s">
        <v>3202</v>
      </c>
      <c r="C815" s="14">
        <v>1.0</v>
      </c>
      <c r="D815" s="14" t="s">
        <v>9</v>
      </c>
      <c r="E815" s="14">
        <v>0.347</v>
      </c>
      <c r="F815" s="14">
        <v>5.4824</v>
      </c>
      <c r="G815" s="14">
        <v>13.268</v>
      </c>
      <c r="H815" s="14">
        <v>0.9805</v>
      </c>
      <c r="I815" s="14">
        <v>0.3914</v>
      </c>
      <c r="J815" s="14">
        <v>0.3737</v>
      </c>
      <c r="K815" s="14">
        <v>0.1423</v>
      </c>
      <c r="L815" s="14">
        <v>8.1317</v>
      </c>
      <c r="M815" s="14" t="s">
        <v>26</v>
      </c>
    </row>
    <row r="816" ht="15.75" customHeight="1">
      <c r="A816" s="14" t="s">
        <v>43</v>
      </c>
      <c r="B816" s="14" t="s">
        <v>3205</v>
      </c>
      <c r="C816" s="14">
        <v>1.0</v>
      </c>
      <c r="D816" s="14" t="s">
        <v>9</v>
      </c>
      <c r="E816" s="14">
        <v>0.4013</v>
      </c>
      <c r="F816" s="14">
        <v>5.4616</v>
      </c>
      <c r="G816" s="14">
        <v>13.9171</v>
      </c>
      <c r="H816" s="14">
        <v>0.9886</v>
      </c>
      <c r="I816" s="14">
        <v>0.3544</v>
      </c>
      <c r="J816" s="14">
        <v>0.3213</v>
      </c>
      <c r="K816" s="14">
        <v>0.0589</v>
      </c>
      <c r="L816" s="14">
        <v>9.1598</v>
      </c>
      <c r="M816" s="14" t="s">
        <v>26</v>
      </c>
    </row>
    <row r="817" ht="15.75" customHeight="1">
      <c r="A817" s="14" t="s">
        <v>798</v>
      </c>
      <c r="B817" s="14" t="s">
        <v>3208</v>
      </c>
      <c r="C817" s="14">
        <v>1.0</v>
      </c>
      <c r="D817" s="14" t="s">
        <v>9</v>
      </c>
      <c r="E817" s="14">
        <v>0.4748</v>
      </c>
      <c r="F817" s="14">
        <v>5.4512</v>
      </c>
      <c r="G817" s="14">
        <v>13.4832</v>
      </c>
      <c r="H817" s="14">
        <v>0.9822</v>
      </c>
      <c r="I817" s="14">
        <v>0.3768</v>
      </c>
      <c r="J817" s="14">
        <v>0.3252</v>
      </c>
      <c r="K817" s="14">
        <v>0.1493</v>
      </c>
      <c r="L817" s="14">
        <v>8.6936</v>
      </c>
      <c r="M817" s="14" t="s">
        <v>26</v>
      </c>
    </row>
    <row r="818" ht="15.75" customHeight="1">
      <c r="A818" s="14" t="s">
        <v>890</v>
      </c>
      <c r="B818" s="14" t="s">
        <v>3211</v>
      </c>
      <c r="C818" s="14">
        <v>1.0</v>
      </c>
      <c r="D818" s="14" t="s">
        <v>9</v>
      </c>
      <c r="E818" s="14">
        <v>0.4727</v>
      </c>
      <c r="F818" s="14">
        <v>5.4477</v>
      </c>
      <c r="G818" s="14">
        <v>13.7329</v>
      </c>
      <c r="H818" s="14">
        <v>0.9835</v>
      </c>
      <c r="I818" s="14">
        <v>0.363</v>
      </c>
      <c r="J818" s="14">
        <v>0.3178</v>
      </c>
      <c r="K818" s="14">
        <v>0.1616</v>
      </c>
      <c r="L818" s="14">
        <v>8.7519</v>
      </c>
      <c r="M818" s="14" t="s">
        <v>26</v>
      </c>
    </row>
    <row r="819" ht="15.75" customHeight="1">
      <c r="A819" s="14" t="s">
        <v>721</v>
      </c>
      <c r="B819" s="14" t="s">
        <v>3214</v>
      </c>
      <c r="C819" s="14">
        <v>1.0</v>
      </c>
      <c r="D819" s="14" t="s">
        <v>9</v>
      </c>
      <c r="E819" s="14">
        <v>0.4563</v>
      </c>
      <c r="F819" s="14">
        <v>5.4408</v>
      </c>
      <c r="G819" s="14">
        <v>13.9683</v>
      </c>
      <c r="H819" s="14">
        <v>0.9846</v>
      </c>
      <c r="I819" s="14">
        <v>0.3504</v>
      </c>
      <c r="J819" s="14">
        <v>0.3341</v>
      </c>
      <c r="K819" s="14">
        <v>0.1762</v>
      </c>
      <c r="L819" s="14">
        <v>8.6403</v>
      </c>
      <c r="M819" s="14" t="s">
        <v>26</v>
      </c>
    </row>
    <row r="820" ht="15.75" customHeight="1">
      <c r="A820" s="14" t="s">
        <v>1184</v>
      </c>
      <c r="B820" s="14" t="s">
        <v>3217</v>
      </c>
      <c r="C820" s="14">
        <v>1.0</v>
      </c>
      <c r="D820" s="14" t="s">
        <v>9</v>
      </c>
      <c r="E820" s="14">
        <v>0.5293</v>
      </c>
      <c r="F820" s="14">
        <v>5.4374</v>
      </c>
      <c r="G820" s="14">
        <v>12.1885</v>
      </c>
      <c r="H820" s="14">
        <v>0.9697</v>
      </c>
      <c r="I820" s="14">
        <v>0.4599</v>
      </c>
      <c r="J820" s="14">
        <v>0.3818</v>
      </c>
      <c r="K820" s="14">
        <v>0.139</v>
      </c>
      <c r="L820" s="14">
        <v>8.3</v>
      </c>
      <c r="M820" s="14" t="s">
        <v>26</v>
      </c>
    </row>
    <row r="821" ht="15.75" customHeight="1">
      <c r="A821" s="14" t="s">
        <v>959</v>
      </c>
      <c r="B821" s="14" t="s">
        <v>3220</v>
      </c>
      <c r="C821" s="14">
        <v>1.0</v>
      </c>
      <c r="D821" s="14" t="s">
        <v>9</v>
      </c>
      <c r="E821" s="14">
        <v>0.4205</v>
      </c>
      <c r="F821" s="14">
        <v>5.427</v>
      </c>
      <c r="G821" s="14">
        <v>13.4832</v>
      </c>
      <c r="H821" s="14">
        <v>0.9819</v>
      </c>
      <c r="I821" s="14">
        <v>0.3751</v>
      </c>
      <c r="J821" s="14">
        <v>0.3199</v>
      </c>
      <c r="K821" s="14">
        <v>0.1513</v>
      </c>
      <c r="L821" s="14">
        <v>8.6191</v>
      </c>
      <c r="M821" s="14" t="s">
        <v>26</v>
      </c>
    </row>
    <row r="822" ht="15.75" customHeight="1">
      <c r="A822" s="14" t="s">
        <v>2042</v>
      </c>
      <c r="B822" s="14" t="s">
        <v>3223</v>
      </c>
      <c r="C822" s="14">
        <v>1.0</v>
      </c>
      <c r="D822" s="14" t="s">
        <v>9</v>
      </c>
      <c r="E822" s="14">
        <v>0.4096</v>
      </c>
      <c r="F822" s="14">
        <v>5.427</v>
      </c>
      <c r="G822" s="14">
        <v>13.4</v>
      </c>
      <c r="H822" s="14">
        <v>0.9816</v>
      </c>
      <c r="I822" s="14">
        <v>0.3798</v>
      </c>
      <c r="J822" s="14">
        <v>0.3208</v>
      </c>
      <c r="K822" s="14">
        <v>0.1577</v>
      </c>
      <c r="L822" s="14">
        <v>8.5334</v>
      </c>
      <c r="M822" s="14" t="s">
        <v>26</v>
      </c>
    </row>
    <row r="823" ht="15.75" customHeight="1">
      <c r="A823" s="14" t="s">
        <v>868</v>
      </c>
      <c r="B823" s="14" t="s">
        <v>3227</v>
      </c>
      <c r="C823" s="14">
        <v>1.0</v>
      </c>
      <c r="D823" s="14" t="s">
        <v>9</v>
      </c>
      <c r="E823" s="14">
        <v>0.4517</v>
      </c>
      <c r="F823" s="14">
        <v>5.4235</v>
      </c>
      <c r="G823" s="14">
        <v>13.7329</v>
      </c>
      <c r="H823" s="14">
        <v>0.9842</v>
      </c>
      <c r="I823" s="14">
        <v>0.3614</v>
      </c>
      <c r="J823" s="14">
        <v>0.3251</v>
      </c>
      <c r="K823" s="14">
        <v>0.1667</v>
      </c>
      <c r="L823" s="14">
        <v>8.6641</v>
      </c>
      <c r="M823" s="14" t="s">
        <v>26</v>
      </c>
    </row>
    <row r="824" ht="15.75" customHeight="1">
      <c r="A824" s="14" t="s">
        <v>753</v>
      </c>
      <c r="B824" s="14" t="s">
        <v>3230</v>
      </c>
      <c r="C824" s="14">
        <v>1.0</v>
      </c>
      <c r="D824" s="14" t="s">
        <v>9</v>
      </c>
      <c r="E824" s="14">
        <v>0.4588</v>
      </c>
      <c r="F824" s="14">
        <v>5.4166</v>
      </c>
      <c r="G824" s="14">
        <v>13.8018</v>
      </c>
      <c r="H824" s="14">
        <v>0.984</v>
      </c>
      <c r="I824" s="14">
        <v>0.3573</v>
      </c>
      <c r="J824" s="14">
        <v>0.3267</v>
      </c>
      <c r="K824" s="14">
        <v>0.1674</v>
      </c>
      <c r="L824" s="14">
        <v>8.6756</v>
      </c>
      <c r="M824" s="14" t="s">
        <v>26</v>
      </c>
    </row>
    <row r="825" ht="15.75" customHeight="1">
      <c r="A825" s="14" t="s">
        <v>697</v>
      </c>
      <c r="B825" s="14" t="s">
        <v>3233</v>
      </c>
      <c r="C825" s="14">
        <v>1.0</v>
      </c>
      <c r="D825" s="14" t="s">
        <v>9</v>
      </c>
      <c r="E825" s="14">
        <v>0.458</v>
      </c>
      <c r="F825" s="14">
        <v>5.4131</v>
      </c>
      <c r="G825" s="14">
        <v>13.3655</v>
      </c>
      <c r="H825" s="14">
        <v>0.983</v>
      </c>
      <c r="I825" s="14">
        <v>0.3808</v>
      </c>
      <c r="J825" s="14">
        <v>0.3163</v>
      </c>
      <c r="K825" s="14">
        <v>0.1547</v>
      </c>
      <c r="L825" s="14">
        <v>8.7656</v>
      </c>
      <c r="M825" s="14" t="s">
        <v>26</v>
      </c>
    </row>
    <row r="826" ht="15.75" customHeight="1">
      <c r="A826" s="14" t="s">
        <v>969</v>
      </c>
      <c r="B826" s="14" t="s">
        <v>3236</v>
      </c>
      <c r="C826" s="14">
        <v>1.0</v>
      </c>
      <c r="D826" s="14" t="s">
        <v>9</v>
      </c>
      <c r="E826" s="14">
        <v>0.494</v>
      </c>
      <c r="F826" s="14">
        <v>5.4096</v>
      </c>
      <c r="G826" s="14">
        <v>13.7447</v>
      </c>
      <c r="H826" s="14">
        <v>0.9876</v>
      </c>
      <c r="I826" s="14">
        <v>0.3598</v>
      </c>
      <c r="J826" s="14">
        <v>0.2641</v>
      </c>
      <c r="K826" s="14">
        <v>0.1165</v>
      </c>
      <c r="L826" s="14">
        <v>9.3234</v>
      </c>
      <c r="M826" s="14" t="s">
        <v>26</v>
      </c>
    </row>
    <row r="827" ht="15.75" customHeight="1">
      <c r="A827" s="14" t="s">
        <v>719</v>
      </c>
      <c r="B827" s="14" t="s">
        <v>3239</v>
      </c>
      <c r="C827" s="14">
        <v>1.0</v>
      </c>
      <c r="D827" s="14" t="s">
        <v>9</v>
      </c>
      <c r="E827" s="14">
        <v>0.4643</v>
      </c>
      <c r="F827" s="14">
        <v>5.4062</v>
      </c>
      <c r="G827" s="14">
        <v>13.4832</v>
      </c>
      <c r="H827" s="14">
        <v>0.983</v>
      </c>
      <c r="I827" s="14">
        <v>0.3737</v>
      </c>
      <c r="J827" s="14">
        <v>0.3149</v>
      </c>
      <c r="K827" s="14">
        <v>0.1564</v>
      </c>
      <c r="L827" s="14">
        <v>8.7722</v>
      </c>
      <c r="M827" s="14" t="s">
        <v>26</v>
      </c>
    </row>
    <row r="828" ht="15.75" customHeight="1">
      <c r="A828" s="14" t="s">
        <v>969</v>
      </c>
      <c r="B828" s="14" t="s">
        <v>3242</v>
      </c>
      <c r="C828" s="14">
        <v>1.0</v>
      </c>
      <c r="D828" s="14" t="s">
        <v>9</v>
      </c>
      <c r="E828" s="14">
        <v>0.4878</v>
      </c>
      <c r="F828" s="14">
        <v>5.4027</v>
      </c>
      <c r="G828" s="14">
        <v>13.8683</v>
      </c>
      <c r="H828" s="14">
        <v>0.9895</v>
      </c>
      <c r="I828" s="14">
        <v>0.353</v>
      </c>
      <c r="J828" s="14">
        <v>0.2699</v>
      </c>
      <c r="K828" s="14">
        <v>0.0622</v>
      </c>
      <c r="L828" s="14">
        <v>9.4697</v>
      </c>
      <c r="M828" s="14" t="s">
        <v>26</v>
      </c>
    </row>
    <row r="829" ht="15.75" customHeight="1">
      <c r="A829" s="14" t="s">
        <v>492</v>
      </c>
      <c r="B829" s="14" t="s">
        <v>3245</v>
      </c>
      <c r="C829" s="14">
        <v>1.0</v>
      </c>
      <c r="D829" s="14" t="s">
        <v>9</v>
      </c>
      <c r="E829" s="14">
        <v>0.4541</v>
      </c>
      <c r="F829" s="14">
        <v>5.3958</v>
      </c>
      <c r="G829" s="14">
        <v>13.8791</v>
      </c>
      <c r="H829" s="14">
        <v>0.9847</v>
      </c>
      <c r="I829" s="14">
        <v>0.352</v>
      </c>
      <c r="J829" s="14">
        <v>0.3391</v>
      </c>
      <c r="K829" s="14">
        <v>0.1824</v>
      </c>
      <c r="L829" s="14">
        <v>8.5833</v>
      </c>
      <c r="M829" s="14" t="s">
        <v>26</v>
      </c>
    </row>
    <row r="830" ht="15.75" customHeight="1">
      <c r="A830" s="14" t="s">
        <v>595</v>
      </c>
      <c r="B830" s="14" t="s">
        <v>3248</v>
      </c>
      <c r="C830" s="14">
        <v>1.0</v>
      </c>
      <c r="D830" s="14" t="s">
        <v>9</v>
      </c>
      <c r="E830" s="14">
        <v>0.4418</v>
      </c>
      <c r="F830" s="14">
        <v>5.3923</v>
      </c>
      <c r="G830" s="14">
        <v>13.2537</v>
      </c>
      <c r="H830" s="14">
        <v>0.9857</v>
      </c>
      <c r="I830" s="14">
        <v>0.3858</v>
      </c>
      <c r="J830" s="14">
        <v>0.4024</v>
      </c>
      <c r="K830" s="14">
        <v>0.1604</v>
      </c>
      <c r="L830" s="14">
        <v>7.9166</v>
      </c>
      <c r="M830" s="14" t="s">
        <v>26</v>
      </c>
    </row>
    <row r="831" ht="15.75" customHeight="1">
      <c r="A831" s="14" t="s">
        <v>1680</v>
      </c>
      <c r="B831" s="14" t="s">
        <v>3251</v>
      </c>
      <c r="C831" s="14">
        <v>1.0</v>
      </c>
      <c r="D831" s="14" t="s">
        <v>9</v>
      </c>
      <c r="E831" s="14">
        <v>0.444</v>
      </c>
      <c r="F831" s="14">
        <v>5.3854</v>
      </c>
      <c r="G831" s="14">
        <v>13.2335</v>
      </c>
      <c r="H831" s="14">
        <v>0.9815</v>
      </c>
      <c r="I831" s="14">
        <v>0.3864</v>
      </c>
      <c r="J831" s="14">
        <v>0.3193</v>
      </c>
      <c r="K831" s="14">
        <v>0.1487</v>
      </c>
      <c r="L831" s="14">
        <v>8.6023</v>
      </c>
      <c r="M831" s="14" t="s">
        <v>26</v>
      </c>
    </row>
    <row r="832" ht="15.75" customHeight="1">
      <c r="A832" s="14" t="s">
        <v>1038</v>
      </c>
      <c r="B832" s="14" t="s">
        <v>3254</v>
      </c>
      <c r="C832" s="14">
        <v>1.0</v>
      </c>
      <c r="D832" s="14" t="s">
        <v>9</v>
      </c>
      <c r="E832" s="14">
        <v>0.421</v>
      </c>
      <c r="F832" s="14">
        <v>5.3819</v>
      </c>
      <c r="G832" s="14">
        <v>13.1158</v>
      </c>
      <c r="H832" s="14">
        <v>0.9804</v>
      </c>
      <c r="I832" s="14">
        <v>0.3931</v>
      </c>
      <c r="J832" s="14">
        <v>0.3248</v>
      </c>
      <c r="K832" s="14">
        <v>0.1485</v>
      </c>
      <c r="L832" s="14">
        <v>8.4922</v>
      </c>
      <c r="M832" s="14" t="s">
        <v>26</v>
      </c>
    </row>
    <row r="833" ht="15.75" customHeight="1">
      <c r="A833" s="14" t="s">
        <v>268</v>
      </c>
      <c r="B833" s="14" t="s">
        <v>3257</v>
      </c>
      <c r="C833" s="14">
        <v>1.0</v>
      </c>
      <c r="D833" s="14" t="s">
        <v>9</v>
      </c>
      <c r="E833" s="14">
        <v>0.4149</v>
      </c>
      <c r="F833" s="14">
        <v>5.3785</v>
      </c>
      <c r="G833" s="14">
        <v>13.4546</v>
      </c>
      <c r="H833" s="14">
        <v>0.985</v>
      </c>
      <c r="I833" s="14">
        <v>0.3734</v>
      </c>
      <c r="J833" s="14">
        <v>0.3828</v>
      </c>
      <c r="K833" s="14">
        <v>0.1833</v>
      </c>
      <c r="L833" s="14">
        <v>8.0041</v>
      </c>
      <c r="M833" s="14" t="s">
        <v>26</v>
      </c>
    </row>
    <row r="834" ht="15.75" customHeight="1">
      <c r="A834" s="14" t="s">
        <v>1086</v>
      </c>
      <c r="B834" s="14" t="s">
        <v>3260</v>
      </c>
      <c r="C834" s="14">
        <v>1.0</v>
      </c>
      <c r="D834" s="14" t="s">
        <v>9</v>
      </c>
      <c r="E834" s="14">
        <v>0.3914</v>
      </c>
      <c r="F834" s="14">
        <v>5.3785</v>
      </c>
      <c r="G834" s="14">
        <v>13.205</v>
      </c>
      <c r="H834" s="14">
        <v>0.9838</v>
      </c>
      <c r="I834" s="14">
        <v>0.3876</v>
      </c>
      <c r="J834" s="14">
        <v>0.4046</v>
      </c>
      <c r="K834" s="14">
        <v>0.1692</v>
      </c>
      <c r="L834" s="14">
        <v>7.8675</v>
      </c>
      <c r="M834" s="14" t="s">
        <v>26</v>
      </c>
    </row>
    <row r="835" ht="15.75" customHeight="1">
      <c r="A835" s="14" t="s">
        <v>1884</v>
      </c>
      <c r="B835" s="14" t="s">
        <v>3263</v>
      </c>
      <c r="C835" s="14">
        <v>1.0</v>
      </c>
      <c r="D835" s="14" t="s">
        <v>9</v>
      </c>
      <c r="E835" s="14">
        <v>0.404</v>
      </c>
      <c r="F835" s="14">
        <v>5.375</v>
      </c>
      <c r="G835" s="14">
        <v>13.3575</v>
      </c>
      <c r="H835" s="14">
        <v>0.9815</v>
      </c>
      <c r="I835" s="14">
        <v>0.3786</v>
      </c>
      <c r="J835" s="14">
        <v>0.3274</v>
      </c>
      <c r="K835" s="14">
        <v>0.1639</v>
      </c>
      <c r="L835" s="14">
        <v>8.5115</v>
      </c>
      <c r="M835" s="14" t="s">
        <v>26</v>
      </c>
    </row>
    <row r="836" ht="15.75" customHeight="1">
      <c r="A836" s="14" t="s">
        <v>1873</v>
      </c>
      <c r="B836" s="14" t="s">
        <v>3267</v>
      </c>
      <c r="C836" s="14">
        <v>1.0</v>
      </c>
      <c r="D836" s="14" t="s">
        <v>9</v>
      </c>
      <c r="E836" s="14">
        <v>0.4338</v>
      </c>
      <c r="F836" s="14">
        <v>5.375</v>
      </c>
      <c r="G836" s="14">
        <v>13.3655</v>
      </c>
      <c r="H836" s="14">
        <v>0.9817</v>
      </c>
      <c r="I836" s="14">
        <v>0.3781</v>
      </c>
      <c r="J836" s="14">
        <v>0.3171</v>
      </c>
      <c r="K836" s="14">
        <v>0.1513</v>
      </c>
      <c r="L836" s="14">
        <v>8.6115</v>
      </c>
      <c r="M836" s="14" t="s">
        <v>26</v>
      </c>
    </row>
    <row r="837" ht="15.75" customHeight="1">
      <c r="A837" s="14" t="s">
        <v>637</v>
      </c>
      <c r="B837" s="14" t="s">
        <v>3270</v>
      </c>
      <c r="C837" s="14">
        <v>1.0</v>
      </c>
      <c r="D837" s="14" t="s">
        <v>9</v>
      </c>
      <c r="E837" s="14">
        <v>0.4506</v>
      </c>
      <c r="F837" s="14">
        <v>5.375</v>
      </c>
      <c r="G837" s="14">
        <v>13.7186</v>
      </c>
      <c r="H837" s="14">
        <v>0.9846</v>
      </c>
      <c r="I837" s="14">
        <v>0.3589</v>
      </c>
      <c r="J837" s="14">
        <v>0.3303</v>
      </c>
      <c r="K837" s="14">
        <v>0.1746</v>
      </c>
      <c r="L837" s="14">
        <v>8.6458</v>
      </c>
      <c r="M837" s="14" t="s">
        <v>26</v>
      </c>
    </row>
    <row r="838" ht="15.75" customHeight="1">
      <c r="A838" s="14" t="s">
        <v>687</v>
      </c>
      <c r="B838" s="14" t="s">
        <v>3273</v>
      </c>
      <c r="C838" s="14">
        <v>1.0</v>
      </c>
      <c r="D838" s="14" t="s">
        <v>9</v>
      </c>
      <c r="E838" s="14">
        <v>0.4495</v>
      </c>
      <c r="F838" s="14">
        <v>5.3715</v>
      </c>
      <c r="G838" s="14">
        <v>13.463</v>
      </c>
      <c r="H838" s="14">
        <v>0.9833</v>
      </c>
      <c r="I838" s="14">
        <v>0.3724</v>
      </c>
      <c r="J838" s="14">
        <v>0.3204</v>
      </c>
      <c r="K838" s="14">
        <v>0.1599</v>
      </c>
      <c r="L838" s="14">
        <v>8.7298</v>
      </c>
      <c r="M838" s="14" t="s">
        <v>26</v>
      </c>
    </row>
    <row r="839" ht="15.75" customHeight="1">
      <c r="A839" s="14" t="s">
        <v>1785</v>
      </c>
      <c r="B839" s="14" t="s">
        <v>3276</v>
      </c>
      <c r="C839" s="14">
        <v>1.0</v>
      </c>
      <c r="D839" s="14" t="s">
        <v>9</v>
      </c>
      <c r="E839" s="14">
        <v>0.422</v>
      </c>
      <c r="F839" s="14">
        <v>5.3646</v>
      </c>
      <c r="G839" s="14">
        <v>13.2823</v>
      </c>
      <c r="H839" s="14">
        <v>0.9818</v>
      </c>
      <c r="I839" s="14">
        <v>0.3821</v>
      </c>
      <c r="J839" s="14">
        <v>0.3201</v>
      </c>
      <c r="K839" s="14">
        <v>0.1515</v>
      </c>
      <c r="L839" s="14">
        <v>8.6149</v>
      </c>
      <c r="M839" s="14" t="s">
        <v>26</v>
      </c>
    </row>
    <row r="840" ht="15.75" customHeight="1">
      <c r="A840" s="14" t="s">
        <v>1684</v>
      </c>
      <c r="B840" s="14" t="s">
        <v>3279</v>
      </c>
      <c r="C840" s="14">
        <v>1.0</v>
      </c>
      <c r="D840" s="14" t="s">
        <v>9</v>
      </c>
      <c r="E840" s="14">
        <v>0.4271</v>
      </c>
      <c r="F840" s="14">
        <v>5.3612</v>
      </c>
      <c r="G840" s="14">
        <v>13.2823</v>
      </c>
      <c r="H840" s="14">
        <v>0.9818</v>
      </c>
      <c r="I840" s="14">
        <v>0.3819</v>
      </c>
      <c r="J840" s="14">
        <v>0.3172</v>
      </c>
      <c r="K840" s="14">
        <v>0.1511</v>
      </c>
      <c r="L840" s="14">
        <v>8.5988</v>
      </c>
      <c r="M840" s="14" t="s">
        <v>26</v>
      </c>
    </row>
    <row r="841" ht="15.75" customHeight="1">
      <c r="A841" s="14" t="s">
        <v>2071</v>
      </c>
      <c r="B841" s="14" t="s">
        <v>3282</v>
      </c>
      <c r="C841" s="14">
        <v>1.0</v>
      </c>
      <c r="D841" s="14" t="s">
        <v>9</v>
      </c>
      <c r="E841" s="14">
        <v>0.4369</v>
      </c>
      <c r="F841" s="14">
        <v>5.3577</v>
      </c>
      <c r="G841" s="14">
        <v>13.2823</v>
      </c>
      <c r="H841" s="14">
        <v>0.9815</v>
      </c>
      <c r="I841" s="14">
        <v>0.3816</v>
      </c>
      <c r="J841" s="14">
        <v>0.3311</v>
      </c>
      <c r="K841" s="14">
        <v>0.1674</v>
      </c>
      <c r="L841" s="14">
        <v>8.4778</v>
      </c>
      <c r="M841" s="14" t="s">
        <v>26</v>
      </c>
    </row>
    <row r="842" ht="15.75" customHeight="1">
      <c r="A842" s="14" t="s">
        <v>280</v>
      </c>
      <c r="B842" s="14" t="s">
        <v>3285</v>
      </c>
      <c r="C842" s="14">
        <v>1.0</v>
      </c>
      <c r="D842" s="14" t="s">
        <v>9</v>
      </c>
      <c r="E842" s="14">
        <v>0.4495</v>
      </c>
      <c r="F842" s="14">
        <v>5.3577</v>
      </c>
      <c r="G842" s="14">
        <v>13.3087</v>
      </c>
      <c r="H842" s="14">
        <v>0.9815</v>
      </c>
      <c r="I842" s="14">
        <v>0.3801</v>
      </c>
      <c r="J842" s="14">
        <v>0.3312</v>
      </c>
      <c r="K842" s="14">
        <v>0.1652</v>
      </c>
      <c r="L842" s="14">
        <v>8.4818</v>
      </c>
      <c r="M842" s="14" t="s">
        <v>26</v>
      </c>
    </row>
    <row r="843" ht="15.75" customHeight="1">
      <c r="A843" s="14" t="s">
        <v>794</v>
      </c>
      <c r="B843" s="14" t="s">
        <v>3288</v>
      </c>
      <c r="C843" s="14">
        <v>1.0</v>
      </c>
      <c r="D843" s="14" t="s">
        <v>9</v>
      </c>
      <c r="E843" s="14">
        <v>0.4588</v>
      </c>
      <c r="F843" s="14">
        <v>5.3542</v>
      </c>
      <c r="G843" s="14">
        <v>13.3046</v>
      </c>
      <c r="H843" s="14">
        <v>0.9828</v>
      </c>
      <c r="I843" s="14">
        <v>0.3801</v>
      </c>
      <c r="J843" s="14">
        <v>0.317</v>
      </c>
      <c r="K843" s="14">
        <v>0.1579</v>
      </c>
      <c r="L843" s="14">
        <v>8.7605</v>
      </c>
      <c r="M843" s="14" t="s">
        <v>26</v>
      </c>
    </row>
    <row r="844" ht="15.75" customHeight="1">
      <c r="A844" s="14" t="s">
        <v>289</v>
      </c>
      <c r="B844" s="14" t="s">
        <v>3291</v>
      </c>
      <c r="C844" s="14">
        <v>1.0</v>
      </c>
      <c r="D844" s="14" t="s">
        <v>9</v>
      </c>
      <c r="E844" s="14">
        <v>0.4264</v>
      </c>
      <c r="F844" s="14">
        <v>5.3508</v>
      </c>
      <c r="G844" s="14">
        <v>13.3025</v>
      </c>
      <c r="H844" s="14">
        <v>0.9847</v>
      </c>
      <c r="I844" s="14">
        <v>0.38</v>
      </c>
      <c r="J844" s="14">
        <v>0.371</v>
      </c>
      <c r="K844" s="14">
        <v>0.1713</v>
      </c>
      <c r="L844" s="14">
        <v>8.0878</v>
      </c>
      <c r="M844" s="14" t="s">
        <v>26</v>
      </c>
    </row>
    <row r="845" ht="15.75" customHeight="1">
      <c r="A845" s="14" t="s">
        <v>665</v>
      </c>
      <c r="B845" s="14" t="s">
        <v>3294</v>
      </c>
      <c r="C845" s="14">
        <v>1.0</v>
      </c>
      <c r="D845" s="14" t="s">
        <v>9</v>
      </c>
      <c r="E845" s="14">
        <v>0.4803</v>
      </c>
      <c r="F845" s="14">
        <v>5.3508</v>
      </c>
      <c r="G845" s="14">
        <v>13.4487</v>
      </c>
      <c r="H845" s="14">
        <v>0.9835</v>
      </c>
      <c r="I845" s="14">
        <v>0.3718</v>
      </c>
      <c r="J845" s="14">
        <v>0.3204</v>
      </c>
      <c r="K845" s="14">
        <v>0.1634</v>
      </c>
      <c r="L845" s="14">
        <v>8.7257</v>
      </c>
      <c r="M845" s="14" t="s">
        <v>26</v>
      </c>
    </row>
    <row r="846" ht="15.75" customHeight="1">
      <c r="A846" s="14" t="s">
        <v>1136</v>
      </c>
      <c r="B846" s="14" t="s">
        <v>3297</v>
      </c>
      <c r="C846" s="14">
        <v>1.0</v>
      </c>
      <c r="D846" s="14" t="s">
        <v>9</v>
      </c>
      <c r="E846" s="14">
        <v>0.4296</v>
      </c>
      <c r="F846" s="14">
        <v>5.3473</v>
      </c>
      <c r="G846" s="14">
        <v>13.2743</v>
      </c>
      <c r="H846" s="14">
        <v>0.9816</v>
      </c>
      <c r="I846" s="14">
        <v>0.3813</v>
      </c>
      <c r="J846" s="14">
        <v>0.3306</v>
      </c>
      <c r="K846" s="14">
        <v>0.1668</v>
      </c>
      <c r="L846" s="14">
        <v>8.489</v>
      </c>
      <c r="M846" s="14" t="s">
        <v>26</v>
      </c>
    </row>
    <row r="847" ht="15.75" customHeight="1">
      <c r="A847" s="14" t="s">
        <v>883</v>
      </c>
      <c r="B847" s="14" t="s">
        <v>3300</v>
      </c>
      <c r="C847" s="14">
        <v>1.0</v>
      </c>
      <c r="D847" s="14" t="s">
        <v>9</v>
      </c>
      <c r="E847" s="14">
        <v>0.4765</v>
      </c>
      <c r="F847" s="14">
        <v>5.3438</v>
      </c>
      <c r="G847" s="14">
        <v>13.4891</v>
      </c>
      <c r="H847" s="14">
        <v>0.9864</v>
      </c>
      <c r="I847" s="14">
        <v>0.3691</v>
      </c>
      <c r="J847" s="14">
        <v>0.3739</v>
      </c>
      <c r="K847" s="14">
        <v>0.1164</v>
      </c>
      <c r="L847" s="14">
        <v>8.1867</v>
      </c>
      <c r="M847" s="14" t="s">
        <v>26</v>
      </c>
    </row>
    <row r="848" ht="15.75" customHeight="1">
      <c r="A848" s="14" t="s">
        <v>1071</v>
      </c>
      <c r="B848" s="14" t="s">
        <v>3303</v>
      </c>
      <c r="C848" s="14">
        <v>1.0</v>
      </c>
      <c r="D848" s="14" t="s">
        <v>9</v>
      </c>
      <c r="E848" s="14">
        <v>0.4218</v>
      </c>
      <c r="F848" s="14">
        <v>5.3404</v>
      </c>
      <c r="G848" s="14">
        <v>13.331</v>
      </c>
      <c r="H848" s="14">
        <v>0.9821</v>
      </c>
      <c r="I848" s="14">
        <v>0.3776</v>
      </c>
      <c r="J848" s="14">
        <v>0.333</v>
      </c>
      <c r="K848" s="14">
        <v>0.1704</v>
      </c>
      <c r="L848" s="14">
        <v>8.4834</v>
      </c>
      <c r="M848" s="14" t="s">
        <v>26</v>
      </c>
    </row>
    <row r="849" ht="15.75" customHeight="1">
      <c r="A849" s="14" t="s">
        <v>965</v>
      </c>
      <c r="B849" s="14" t="s">
        <v>3307</v>
      </c>
      <c r="C849" s="14">
        <v>1.0</v>
      </c>
      <c r="D849" s="14" t="s">
        <v>9</v>
      </c>
      <c r="E849" s="14">
        <v>0.4389</v>
      </c>
      <c r="F849" s="14">
        <v>5.3369</v>
      </c>
      <c r="G849" s="14">
        <v>13.2478</v>
      </c>
      <c r="H849" s="14">
        <v>0.9817</v>
      </c>
      <c r="I849" s="14">
        <v>0.3821</v>
      </c>
      <c r="J849" s="14">
        <v>0.3205</v>
      </c>
      <c r="K849" s="14">
        <v>0.1555</v>
      </c>
      <c r="L849" s="14">
        <v>8.5441</v>
      </c>
      <c r="M849" s="14" t="s">
        <v>26</v>
      </c>
    </row>
    <row r="850" ht="15.75" customHeight="1">
      <c r="A850" s="14" t="s">
        <v>507</v>
      </c>
      <c r="B850" s="14" t="s">
        <v>3310</v>
      </c>
      <c r="C850" s="14">
        <v>1.0</v>
      </c>
      <c r="D850" s="14" t="s">
        <v>9</v>
      </c>
      <c r="E850" s="14">
        <v>0.4593</v>
      </c>
      <c r="F850" s="14">
        <v>5.3369</v>
      </c>
      <c r="G850" s="14">
        <v>13.205</v>
      </c>
      <c r="H850" s="14">
        <v>0.9838</v>
      </c>
      <c r="I850" s="14">
        <v>0.3846</v>
      </c>
      <c r="J850" s="14">
        <v>0.258</v>
      </c>
      <c r="K850" s="14">
        <v>0.0883</v>
      </c>
      <c r="L850" s="14">
        <v>9.1889</v>
      </c>
      <c r="M850" s="14" t="s">
        <v>26</v>
      </c>
    </row>
    <row r="851" ht="15.75" customHeight="1">
      <c r="A851" s="14" t="s">
        <v>1996</v>
      </c>
      <c r="B851" s="14" t="s">
        <v>3313</v>
      </c>
      <c r="C851" s="14">
        <v>1.0</v>
      </c>
      <c r="D851" s="14" t="s">
        <v>9</v>
      </c>
      <c r="E851" s="14">
        <v>0.4374</v>
      </c>
      <c r="F851" s="14">
        <v>5.3369</v>
      </c>
      <c r="G851" s="14">
        <v>13.268</v>
      </c>
      <c r="H851" s="14">
        <v>0.982</v>
      </c>
      <c r="I851" s="14">
        <v>0.381</v>
      </c>
      <c r="J851" s="14">
        <v>0.3272</v>
      </c>
      <c r="K851" s="14">
        <v>0.1573</v>
      </c>
      <c r="L851" s="14">
        <v>8.5338</v>
      </c>
      <c r="M851" s="14" t="s">
        <v>26</v>
      </c>
    </row>
    <row r="852" ht="15.75" customHeight="1">
      <c r="A852" s="14" t="s">
        <v>368</v>
      </c>
      <c r="B852" s="14" t="s">
        <v>3316</v>
      </c>
      <c r="C852" s="14">
        <v>1.0</v>
      </c>
      <c r="D852" s="14" t="s">
        <v>9</v>
      </c>
      <c r="E852" s="14">
        <v>0.3996</v>
      </c>
      <c r="F852" s="14">
        <v>5.3265</v>
      </c>
      <c r="G852" s="14">
        <v>13.4647</v>
      </c>
      <c r="H852" s="14">
        <v>0.9854</v>
      </c>
      <c r="I852" s="14">
        <v>0.3692</v>
      </c>
      <c r="J852" s="14">
        <v>0.3199</v>
      </c>
      <c r="K852" s="14">
        <v>0.1078</v>
      </c>
      <c r="L852" s="14">
        <v>8.501</v>
      </c>
      <c r="M852" s="14" t="s">
        <v>26</v>
      </c>
    </row>
    <row r="853" ht="15.75" customHeight="1">
      <c r="A853" s="14" t="s">
        <v>1956</v>
      </c>
      <c r="B853" s="14" t="s">
        <v>3319</v>
      </c>
      <c r="C853" s="14">
        <v>1.0</v>
      </c>
      <c r="D853" s="14" t="s">
        <v>9</v>
      </c>
      <c r="E853" s="14">
        <v>0.4414</v>
      </c>
      <c r="F853" s="14">
        <v>5.3265</v>
      </c>
      <c r="G853" s="14">
        <v>13.3168</v>
      </c>
      <c r="H853" s="14">
        <v>0.9819</v>
      </c>
      <c r="I853" s="14">
        <v>0.3774</v>
      </c>
      <c r="J853" s="14">
        <v>0.3255</v>
      </c>
      <c r="K853" s="14">
        <v>0.1564</v>
      </c>
      <c r="L853" s="14">
        <v>8.5434</v>
      </c>
      <c r="M853" s="14" t="s">
        <v>26</v>
      </c>
    </row>
    <row r="854" ht="15.75" customHeight="1">
      <c r="A854" s="14" t="s">
        <v>676</v>
      </c>
      <c r="B854" s="14" t="s">
        <v>3322</v>
      </c>
      <c r="C854" s="14">
        <v>1.0</v>
      </c>
      <c r="D854" s="14" t="s">
        <v>9</v>
      </c>
      <c r="E854" s="14">
        <v>0.4412</v>
      </c>
      <c r="F854" s="14">
        <v>5.3231</v>
      </c>
      <c r="G854" s="14">
        <v>13.4487</v>
      </c>
      <c r="H854" s="14">
        <v>0.9834</v>
      </c>
      <c r="I854" s="14">
        <v>0.3698</v>
      </c>
      <c r="J854" s="14">
        <v>0.3228</v>
      </c>
      <c r="K854" s="14">
        <v>0.1669</v>
      </c>
      <c r="L854" s="14">
        <v>8.675</v>
      </c>
      <c r="M854" s="14" t="s">
        <v>26</v>
      </c>
    </row>
    <row r="855" ht="15.75" customHeight="1">
      <c r="A855" s="14" t="s">
        <v>354</v>
      </c>
      <c r="B855" s="14" t="s">
        <v>3325</v>
      </c>
      <c r="C855" s="14">
        <v>1.0</v>
      </c>
      <c r="D855" s="14" t="s">
        <v>9</v>
      </c>
      <c r="E855" s="14">
        <v>0.4179</v>
      </c>
      <c r="F855" s="14">
        <v>5.3231</v>
      </c>
      <c r="G855" s="14">
        <v>13.3227</v>
      </c>
      <c r="H855" s="14">
        <v>0.9854</v>
      </c>
      <c r="I855" s="14">
        <v>0.3769</v>
      </c>
      <c r="J855" s="14">
        <v>0.3262</v>
      </c>
      <c r="K855" s="14">
        <v>0.107</v>
      </c>
      <c r="L855" s="14">
        <v>8.5132</v>
      </c>
      <c r="M855" s="14" t="s">
        <v>26</v>
      </c>
    </row>
    <row r="856" ht="15.75" customHeight="1">
      <c r="A856" s="14" t="s">
        <v>657</v>
      </c>
      <c r="B856" s="14" t="s">
        <v>3327</v>
      </c>
      <c r="C856" s="14">
        <v>1.0</v>
      </c>
      <c r="D856" s="14" t="s">
        <v>9</v>
      </c>
      <c r="E856" s="14">
        <v>0.473</v>
      </c>
      <c r="F856" s="14">
        <v>5.3161</v>
      </c>
      <c r="G856" s="14">
        <v>13.5807</v>
      </c>
      <c r="H856" s="14">
        <v>0.9836</v>
      </c>
      <c r="I856" s="14">
        <v>0.3622</v>
      </c>
      <c r="J856" s="14">
        <v>0.3269</v>
      </c>
      <c r="K856" s="14">
        <v>0.1672</v>
      </c>
      <c r="L856" s="14">
        <v>8.6683</v>
      </c>
      <c r="M856" s="14" t="s">
        <v>26</v>
      </c>
    </row>
    <row r="857" ht="15.75" customHeight="1">
      <c r="A857" s="14" t="s">
        <v>1016</v>
      </c>
      <c r="B857" s="14" t="s">
        <v>3330</v>
      </c>
      <c r="C857" s="14">
        <v>1.0</v>
      </c>
      <c r="D857" s="14" t="s">
        <v>9</v>
      </c>
      <c r="E857" s="14">
        <v>0.4185</v>
      </c>
      <c r="F857" s="14">
        <v>5.3161</v>
      </c>
      <c r="G857" s="14">
        <v>13.463</v>
      </c>
      <c r="H857" s="14">
        <v>0.9819</v>
      </c>
      <c r="I857" s="14">
        <v>0.3686</v>
      </c>
      <c r="J857" s="14">
        <v>0.3304</v>
      </c>
      <c r="K857" s="14">
        <v>0.167</v>
      </c>
      <c r="L857" s="14">
        <v>8.4968</v>
      </c>
      <c r="M857" s="14" t="s">
        <v>26</v>
      </c>
    </row>
    <row r="858" ht="15.75" customHeight="1">
      <c r="A858" s="14" t="s">
        <v>689</v>
      </c>
      <c r="B858" s="14" t="s">
        <v>3333</v>
      </c>
      <c r="C858" s="14">
        <v>1.0</v>
      </c>
      <c r="D858" s="14" t="s">
        <v>9</v>
      </c>
      <c r="E858" s="14">
        <v>0.4726</v>
      </c>
      <c r="F858" s="14">
        <v>5.3127</v>
      </c>
      <c r="G858" s="14">
        <v>13.471</v>
      </c>
      <c r="H858" s="14">
        <v>0.9836</v>
      </c>
      <c r="I858" s="14">
        <v>0.3679</v>
      </c>
      <c r="J858" s="14">
        <v>0.3185</v>
      </c>
      <c r="K858" s="14">
        <v>0.1644</v>
      </c>
      <c r="L858" s="14">
        <v>8.6993</v>
      </c>
      <c r="M858" s="14" t="s">
        <v>26</v>
      </c>
    </row>
    <row r="859" ht="15.75" customHeight="1">
      <c r="A859" s="14" t="s">
        <v>2065</v>
      </c>
      <c r="B859" s="14" t="s">
        <v>3336</v>
      </c>
      <c r="C859" s="14">
        <v>1.0</v>
      </c>
      <c r="D859" s="14" t="s">
        <v>9</v>
      </c>
      <c r="E859" s="14">
        <v>0.4278</v>
      </c>
      <c r="F859" s="14">
        <v>5.3092</v>
      </c>
      <c r="G859" s="14">
        <v>13.1991</v>
      </c>
      <c r="H859" s="14">
        <v>0.982</v>
      </c>
      <c r="I859" s="14">
        <v>0.383</v>
      </c>
      <c r="J859" s="14">
        <v>0.3285</v>
      </c>
      <c r="K859" s="14">
        <v>0.16</v>
      </c>
      <c r="L859" s="14">
        <v>8.4927</v>
      </c>
      <c r="M859" s="14" t="s">
        <v>26</v>
      </c>
    </row>
    <row r="860" ht="15.75" customHeight="1">
      <c r="A860" s="14" t="s">
        <v>1095</v>
      </c>
      <c r="B860" s="14" t="s">
        <v>3339</v>
      </c>
      <c r="C860" s="14">
        <v>1.0</v>
      </c>
      <c r="D860" s="14" t="s">
        <v>9</v>
      </c>
      <c r="E860" s="14">
        <v>0.4326</v>
      </c>
      <c r="F860" s="14">
        <v>5.3057</v>
      </c>
      <c r="G860" s="14">
        <v>13.3655</v>
      </c>
      <c r="H860" s="14">
        <v>0.9823</v>
      </c>
      <c r="I860" s="14">
        <v>0.3732</v>
      </c>
      <c r="J860" s="14">
        <v>0.333</v>
      </c>
      <c r="K860" s="14">
        <v>0.1722</v>
      </c>
      <c r="L860" s="14">
        <v>8.4536</v>
      </c>
      <c r="M860" s="14" t="s">
        <v>26</v>
      </c>
    </row>
    <row r="861" ht="15.75" customHeight="1">
      <c r="A861" s="14" t="s">
        <v>681</v>
      </c>
      <c r="B861" s="14" t="s">
        <v>3342</v>
      </c>
      <c r="C861" s="14">
        <v>1.0</v>
      </c>
      <c r="D861" s="14" t="s">
        <v>9</v>
      </c>
      <c r="E861" s="14">
        <v>0.4483</v>
      </c>
      <c r="F861" s="14">
        <v>5.3057</v>
      </c>
      <c r="G861" s="14">
        <v>13.4143</v>
      </c>
      <c r="H861" s="14">
        <v>0.9834</v>
      </c>
      <c r="I861" s="14">
        <v>0.3705</v>
      </c>
      <c r="J861" s="14">
        <v>0.3295</v>
      </c>
      <c r="K861" s="14">
        <v>0.169</v>
      </c>
      <c r="L861" s="14">
        <v>8.6345</v>
      </c>
      <c r="M861" s="14" t="s">
        <v>26</v>
      </c>
    </row>
    <row r="862" ht="15.75" customHeight="1">
      <c r="A862" s="14" t="s">
        <v>498</v>
      </c>
      <c r="B862" s="14" t="s">
        <v>3345</v>
      </c>
      <c r="C862" s="14">
        <v>1.0</v>
      </c>
      <c r="D862" s="14" t="s">
        <v>9</v>
      </c>
      <c r="E862" s="14">
        <v>0.4287</v>
      </c>
      <c r="F862" s="14">
        <v>5.3023</v>
      </c>
      <c r="G862" s="14">
        <v>13.1075</v>
      </c>
      <c r="H862" s="14">
        <v>0.9852</v>
      </c>
      <c r="I862" s="14">
        <v>0.3878</v>
      </c>
      <c r="J862" s="14">
        <v>0.3114</v>
      </c>
      <c r="K862" s="14">
        <v>0.0944</v>
      </c>
      <c r="L862" s="14">
        <v>8.6038</v>
      </c>
      <c r="M862" s="14" t="s">
        <v>26</v>
      </c>
    </row>
    <row r="863" ht="15.75" customHeight="1">
      <c r="A863" s="14" t="s">
        <v>1010</v>
      </c>
      <c r="B863" s="14" t="s">
        <v>3348</v>
      </c>
      <c r="C863" s="14">
        <v>1.0</v>
      </c>
      <c r="D863" s="14" t="s">
        <v>9</v>
      </c>
      <c r="E863" s="14">
        <v>0.4494</v>
      </c>
      <c r="F863" s="14">
        <v>5.2954</v>
      </c>
      <c r="G863" s="14">
        <v>13.3655</v>
      </c>
      <c r="H863" s="14">
        <v>0.9819</v>
      </c>
      <c r="I863" s="14">
        <v>0.3725</v>
      </c>
      <c r="J863" s="14">
        <v>0.3232</v>
      </c>
      <c r="K863" s="14">
        <v>0.1598</v>
      </c>
      <c r="L863" s="14">
        <v>8.5333</v>
      </c>
      <c r="M863" s="14" t="s">
        <v>26</v>
      </c>
    </row>
    <row r="864" ht="15.75" customHeight="1">
      <c r="A864" s="14" t="s">
        <v>2007</v>
      </c>
      <c r="B864" s="14" t="s">
        <v>3351</v>
      </c>
      <c r="C864" s="14">
        <v>1.0</v>
      </c>
      <c r="D864" s="14" t="s">
        <v>9</v>
      </c>
      <c r="E864" s="14">
        <v>0.4357</v>
      </c>
      <c r="F864" s="14">
        <v>5.2884</v>
      </c>
      <c r="G864" s="14">
        <v>13.331</v>
      </c>
      <c r="H864" s="14">
        <v>0.9824</v>
      </c>
      <c r="I864" s="14">
        <v>0.3739</v>
      </c>
      <c r="J864" s="14">
        <v>0.3395</v>
      </c>
      <c r="K864" s="14">
        <v>0.1771</v>
      </c>
      <c r="L864" s="14">
        <v>8.3841</v>
      </c>
      <c r="M864" s="14" t="s">
        <v>26</v>
      </c>
    </row>
    <row r="865" ht="15.75" customHeight="1">
      <c r="A865" s="14" t="s">
        <v>347</v>
      </c>
      <c r="B865" s="14" t="s">
        <v>3354</v>
      </c>
      <c r="C865" s="14">
        <v>1.0</v>
      </c>
      <c r="D865" s="14" t="s">
        <v>9</v>
      </c>
      <c r="E865" s="14">
        <v>0.4348</v>
      </c>
      <c r="F865" s="14">
        <v>5.285</v>
      </c>
      <c r="G865" s="14">
        <v>13.136</v>
      </c>
      <c r="H865" s="14">
        <v>0.9855</v>
      </c>
      <c r="I865" s="14">
        <v>0.3849</v>
      </c>
      <c r="J865" s="14">
        <v>0.3186</v>
      </c>
      <c r="K865" s="14">
        <v>0.1034</v>
      </c>
      <c r="L865" s="14">
        <v>8.5434</v>
      </c>
      <c r="M865" s="14" t="s">
        <v>26</v>
      </c>
    </row>
    <row r="866" ht="15.75" customHeight="1">
      <c r="A866" s="14" t="s">
        <v>1324</v>
      </c>
      <c r="B866" s="14" t="s">
        <v>3357</v>
      </c>
      <c r="C866" s="14">
        <v>1.0</v>
      </c>
      <c r="D866" s="14" t="s">
        <v>9</v>
      </c>
      <c r="E866" s="14">
        <v>0.3942</v>
      </c>
      <c r="F866" s="14">
        <v>5.285</v>
      </c>
      <c r="G866" s="14">
        <v>13.5236</v>
      </c>
      <c r="H866" s="14">
        <v>0.9853</v>
      </c>
      <c r="I866" s="14">
        <v>0.3631</v>
      </c>
      <c r="J866" s="14">
        <v>0.334</v>
      </c>
      <c r="K866" s="14">
        <v>0.114</v>
      </c>
      <c r="L866" s="14">
        <v>8.4408</v>
      </c>
      <c r="M866" s="14" t="s">
        <v>26</v>
      </c>
    </row>
    <row r="867" ht="15.75" customHeight="1">
      <c r="A867" s="14" t="s">
        <v>723</v>
      </c>
      <c r="B867" s="14" t="s">
        <v>3360</v>
      </c>
      <c r="C867" s="14">
        <v>1.0</v>
      </c>
      <c r="D867" s="14" t="s">
        <v>9</v>
      </c>
      <c r="E867" s="14">
        <v>0.4606</v>
      </c>
      <c r="F867" s="14">
        <v>5.285</v>
      </c>
      <c r="G867" s="14">
        <v>13.4143</v>
      </c>
      <c r="H867" s="14">
        <v>0.9849</v>
      </c>
      <c r="I867" s="14">
        <v>0.3691</v>
      </c>
      <c r="J867" s="14">
        <v>0.3362</v>
      </c>
      <c r="K867" s="14">
        <v>0.1751</v>
      </c>
      <c r="L867" s="14">
        <v>8.6003</v>
      </c>
      <c r="M867" s="14" t="s">
        <v>26</v>
      </c>
    </row>
    <row r="868" ht="15.75" customHeight="1">
      <c r="A868" s="14" t="s">
        <v>1908</v>
      </c>
      <c r="B868" s="14" t="s">
        <v>3363</v>
      </c>
      <c r="C868" s="14">
        <v>1.0</v>
      </c>
      <c r="D868" s="14" t="s">
        <v>9</v>
      </c>
      <c r="E868" s="14">
        <v>0.4547</v>
      </c>
      <c r="F868" s="14">
        <v>5.2815</v>
      </c>
      <c r="G868" s="14">
        <v>13.4404</v>
      </c>
      <c r="H868" s="14">
        <v>0.9867</v>
      </c>
      <c r="I868" s="14">
        <v>0.3674</v>
      </c>
      <c r="J868" s="14">
        <v>0.3553</v>
      </c>
      <c r="K868" s="14">
        <v>0.1965</v>
      </c>
      <c r="L868" s="14">
        <v>8.3774</v>
      </c>
      <c r="M868" s="14" t="s">
        <v>26</v>
      </c>
    </row>
    <row r="869" ht="15.75" customHeight="1">
      <c r="A869" s="14" t="s">
        <v>715</v>
      </c>
      <c r="B869" s="14" t="s">
        <v>3366</v>
      </c>
      <c r="C869" s="14">
        <v>1.0</v>
      </c>
      <c r="D869" s="14" t="s">
        <v>9</v>
      </c>
      <c r="E869" s="14">
        <v>0.4834</v>
      </c>
      <c r="F869" s="14">
        <v>5.278</v>
      </c>
      <c r="G869" s="14">
        <v>13.3655</v>
      </c>
      <c r="H869" s="14">
        <v>0.9837</v>
      </c>
      <c r="I869" s="14">
        <v>0.3713</v>
      </c>
      <c r="J869" s="14">
        <v>0.3261</v>
      </c>
      <c r="K869" s="14">
        <v>0.1736</v>
      </c>
      <c r="L869" s="14">
        <v>8.6392</v>
      </c>
      <c r="M869" s="14" t="s">
        <v>26</v>
      </c>
    </row>
    <row r="870" ht="15.75" customHeight="1">
      <c r="A870" s="14" t="s">
        <v>735</v>
      </c>
      <c r="B870" s="14" t="s">
        <v>3368</v>
      </c>
      <c r="C870" s="14">
        <v>1.0</v>
      </c>
      <c r="D870" s="14" t="s">
        <v>9</v>
      </c>
      <c r="E870" s="14">
        <v>0.4617</v>
      </c>
      <c r="F870" s="14">
        <v>5.278</v>
      </c>
      <c r="G870" s="14">
        <v>13.3714</v>
      </c>
      <c r="H870" s="14">
        <v>0.9868</v>
      </c>
      <c r="I870" s="14">
        <v>0.371</v>
      </c>
      <c r="J870" s="14">
        <v>0.3737</v>
      </c>
      <c r="K870" s="14">
        <v>0.1805</v>
      </c>
      <c r="L870" s="14">
        <v>8.1385</v>
      </c>
      <c r="M870" s="14" t="s">
        <v>26</v>
      </c>
    </row>
    <row r="871" ht="15.75" customHeight="1">
      <c r="A871" s="14" t="s">
        <v>550</v>
      </c>
      <c r="B871" s="14" t="s">
        <v>3372</v>
      </c>
      <c r="C871" s="14">
        <v>1.0</v>
      </c>
      <c r="D871" s="14" t="s">
        <v>9</v>
      </c>
      <c r="E871" s="14">
        <v>0.3825</v>
      </c>
      <c r="F871" s="14">
        <v>5.2746</v>
      </c>
      <c r="G871" s="14">
        <v>13.3227</v>
      </c>
      <c r="H871" s="14">
        <v>0.9858</v>
      </c>
      <c r="I871" s="14">
        <v>0.3734</v>
      </c>
      <c r="J871" s="14">
        <v>0.3294</v>
      </c>
      <c r="K871" s="14">
        <v>0.1138</v>
      </c>
      <c r="L871" s="14">
        <v>8.4716</v>
      </c>
      <c r="M871" s="14" t="s">
        <v>26</v>
      </c>
    </row>
    <row r="872" ht="15.75" customHeight="1">
      <c r="A872" s="14" t="s">
        <v>1027</v>
      </c>
      <c r="B872" s="14" t="s">
        <v>3375</v>
      </c>
      <c r="C872" s="14">
        <v>1.0</v>
      </c>
      <c r="D872" s="14" t="s">
        <v>9</v>
      </c>
      <c r="E872" s="14">
        <v>0.4444</v>
      </c>
      <c r="F872" s="14">
        <v>5.2746</v>
      </c>
      <c r="G872" s="14">
        <v>13.1991</v>
      </c>
      <c r="H872" s="14">
        <v>0.9817</v>
      </c>
      <c r="I872" s="14">
        <v>0.3805</v>
      </c>
      <c r="J872" s="14">
        <v>0.3203</v>
      </c>
      <c r="K872" s="14">
        <v>0.1549</v>
      </c>
      <c r="L872" s="14">
        <v>8.5983</v>
      </c>
      <c r="M872" s="14" t="s">
        <v>26</v>
      </c>
    </row>
    <row r="873" ht="15.75" customHeight="1">
      <c r="A873" s="14" t="s">
        <v>534</v>
      </c>
      <c r="B873" s="14" t="s">
        <v>3378</v>
      </c>
      <c r="C873" s="14">
        <v>1.0</v>
      </c>
      <c r="D873" s="14" t="s">
        <v>9</v>
      </c>
      <c r="E873" s="14">
        <v>0.4211</v>
      </c>
      <c r="F873" s="14">
        <v>5.2746</v>
      </c>
      <c r="G873" s="14">
        <v>13.696</v>
      </c>
      <c r="H873" s="14">
        <v>0.9885</v>
      </c>
      <c r="I873" s="14">
        <v>0.3534</v>
      </c>
      <c r="J873" s="14">
        <v>0.2305</v>
      </c>
      <c r="K873" s="14">
        <v>0.0592</v>
      </c>
      <c r="L873" s="14">
        <v>9.6478</v>
      </c>
      <c r="M873" s="14" t="s">
        <v>26</v>
      </c>
    </row>
    <row r="874" ht="15.75" customHeight="1">
      <c r="A874" s="14" t="s">
        <v>782</v>
      </c>
      <c r="B874" s="14" t="s">
        <v>3381</v>
      </c>
      <c r="C874" s="14">
        <v>1.0</v>
      </c>
      <c r="D874" s="14" t="s">
        <v>9</v>
      </c>
      <c r="E874" s="14">
        <v>0.4693</v>
      </c>
      <c r="F874" s="14">
        <v>5.2711</v>
      </c>
      <c r="G874" s="14">
        <v>13.532</v>
      </c>
      <c r="H874" s="14">
        <v>0.9837</v>
      </c>
      <c r="I874" s="14">
        <v>0.3617</v>
      </c>
      <c r="J874" s="14">
        <v>0.3279</v>
      </c>
      <c r="K874" s="14">
        <v>0.1735</v>
      </c>
      <c r="L874" s="14">
        <v>8.6233</v>
      </c>
      <c r="M874" s="14" t="s">
        <v>26</v>
      </c>
    </row>
    <row r="875" ht="15.75" customHeight="1">
      <c r="A875" s="14" t="s">
        <v>331</v>
      </c>
      <c r="B875" s="14" t="s">
        <v>3384</v>
      </c>
      <c r="C875" s="14">
        <v>1.0</v>
      </c>
      <c r="D875" s="14" t="s">
        <v>9</v>
      </c>
      <c r="E875" s="14">
        <v>0.4044</v>
      </c>
      <c r="F875" s="14">
        <v>5.2573</v>
      </c>
      <c r="G875" s="14">
        <v>13.3227</v>
      </c>
      <c r="H875" s="14">
        <v>0.9858</v>
      </c>
      <c r="I875" s="14">
        <v>0.3722</v>
      </c>
      <c r="J875" s="14">
        <v>0.3355</v>
      </c>
      <c r="K875" s="14">
        <v>0.1178</v>
      </c>
      <c r="L875" s="14">
        <v>8.4235</v>
      </c>
      <c r="M875" s="14" t="s">
        <v>26</v>
      </c>
    </row>
    <row r="876" ht="15.75" customHeight="1">
      <c r="A876" s="14" t="s">
        <v>361</v>
      </c>
      <c r="B876" s="14" t="s">
        <v>3387</v>
      </c>
      <c r="C876" s="14">
        <v>1.0</v>
      </c>
      <c r="D876" s="14" t="s">
        <v>9</v>
      </c>
      <c r="E876" s="14">
        <v>0.428</v>
      </c>
      <c r="F876" s="14">
        <v>5.2573</v>
      </c>
      <c r="G876" s="14">
        <v>13.3571</v>
      </c>
      <c r="H876" s="14">
        <v>0.9859</v>
      </c>
      <c r="I876" s="14">
        <v>0.3703</v>
      </c>
      <c r="J876" s="14">
        <v>0.3394</v>
      </c>
      <c r="K876" s="14">
        <v>0.1175</v>
      </c>
      <c r="L876" s="14">
        <v>8.4012</v>
      </c>
      <c r="M876" s="14" t="s">
        <v>26</v>
      </c>
    </row>
    <row r="877" ht="15.75" customHeight="1">
      <c r="A877" s="14" t="s">
        <v>585</v>
      </c>
      <c r="B877" s="14" t="s">
        <v>3390</v>
      </c>
      <c r="C877" s="14">
        <v>1.0</v>
      </c>
      <c r="D877" s="14" t="s">
        <v>9</v>
      </c>
      <c r="E877" s="14">
        <v>0.3919</v>
      </c>
      <c r="F877" s="14">
        <v>5.2538</v>
      </c>
      <c r="G877" s="14">
        <v>13.4891</v>
      </c>
      <c r="H877" s="14">
        <v>0.9856</v>
      </c>
      <c r="I877" s="14">
        <v>0.3628</v>
      </c>
      <c r="J877" s="14">
        <v>0.3381</v>
      </c>
      <c r="K877" s="14">
        <v>0.118</v>
      </c>
      <c r="L877" s="14">
        <v>8.423</v>
      </c>
      <c r="M877" s="14" t="s">
        <v>26</v>
      </c>
    </row>
    <row r="878" ht="15.75" customHeight="1">
      <c r="A878" s="14" t="s">
        <v>894</v>
      </c>
      <c r="B878" s="14" t="s">
        <v>3393</v>
      </c>
      <c r="C878" s="14">
        <v>1.0</v>
      </c>
      <c r="D878" s="14" t="s">
        <v>9</v>
      </c>
      <c r="E878" s="14">
        <v>0.4661</v>
      </c>
      <c r="F878" s="14">
        <v>5.2503</v>
      </c>
      <c r="G878" s="14">
        <v>13.3714</v>
      </c>
      <c r="H878" s="14">
        <v>0.9871</v>
      </c>
      <c r="I878" s="14">
        <v>0.369</v>
      </c>
      <c r="J878" s="14">
        <v>0.3812</v>
      </c>
      <c r="K878" s="14">
        <v>0.1857</v>
      </c>
      <c r="L878" s="14">
        <v>8.1085</v>
      </c>
      <c r="M878" s="14" t="s">
        <v>26</v>
      </c>
    </row>
    <row r="879" ht="15.75" customHeight="1">
      <c r="A879" s="14" t="s">
        <v>1101</v>
      </c>
      <c r="B879" s="14" t="s">
        <v>3397</v>
      </c>
      <c r="C879" s="14">
        <v>1.0</v>
      </c>
      <c r="D879" s="14" t="s">
        <v>9</v>
      </c>
      <c r="E879" s="14">
        <v>0.3958</v>
      </c>
      <c r="F879" s="14">
        <v>5.2503</v>
      </c>
      <c r="G879" s="14">
        <v>12.8721</v>
      </c>
      <c r="H879" s="14">
        <v>0.9834</v>
      </c>
      <c r="I879" s="14">
        <v>0.3982</v>
      </c>
      <c r="J879" s="14">
        <v>0.266</v>
      </c>
      <c r="K879" s="14">
        <v>0.0736</v>
      </c>
      <c r="L879" s="14">
        <v>9.0495</v>
      </c>
      <c r="M879" s="14" t="s">
        <v>26</v>
      </c>
    </row>
    <row r="880" ht="15.75" customHeight="1">
      <c r="A880" s="14" t="s">
        <v>696</v>
      </c>
      <c r="B880" s="14" t="s">
        <v>3400</v>
      </c>
      <c r="C880" s="14">
        <v>1.0</v>
      </c>
      <c r="D880" s="14" t="s">
        <v>9</v>
      </c>
      <c r="E880" s="14">
        <v>0.4816</v>
      </c>
      <c r="F880" s="14">
        <v>5.2469</v>
      </c>
      <c r="G880" s="14">
        <v>13.4059</v>
      </c>
      <c r="H880" s="14">
        <v>0.9871</v>
      </c>
      <c r="I880" s="14">
        <v>0.3669</v>
      </c>
      <c r="J880" s="14">
        <v>0.3842</v>
      </c>
      <c r="K880" s="14">
        <v>0.1869</v>
      </c>
      <c r="L880" s="14">
        <v>8.0956</v>
      </c>
      <c r="M880" s="14" t="s">
        <v>26</v>
      </c>
    </row>
    <row r="881" ht="15.75" customHeight="1">
      <c r="A881" s="14" t="s">
        <v>261</v>
      </c>
      <c r="B881" s="14" t="s">
        <v>3403</v>
      </c>
      <c r="C881" s="14">
        <v>1.0</v>
      </c>
      <c r="D881" s="14" t="s">
        <v>9</v>
      </c>
      <c r="E881" s="14">
        <v>0.3937</v>
      </c>
      <c r="F881" s="14">
        <v>5.2434</v>
      </c>
      <c r="G881" s="14">
        <v>13.3571</v>
      </c>
      <c r="H881" s="14">
        <v>0.9856</v>
      </c>
      <c r="I881" s="14">
        <v>0.3693</v>
      </c>
      <c r="J881" s="14">
        <v>0.3339</v>
      </c>
      <c r="K881" s="14">
        <v>0.1189</v>
      </c>
      <c r="L881" s="14">
        <v>8.4432</v>
      </c>
      <c r="M881" s="14" t="s">
        <v>26</v>
      </c>
    </row>
    <row r="882" ht="15.75" customHeight="1">
      <c r="A882" s="14" t="s">
        <v>683</v>
      </c>
      <c r="B882" s="14" t="s">
        <v>3406</v>
      </c>
      <c r="C882" s="14">
        <v>1.0</v>
      </c>
      <c r="D882" s="14" t="s">
        <v>9</v>
      </c>
      <c r="E882" s="14">
        <v>0.4265</v>
      </c>
      <c r="F882" s="14">
        <v>5.2434</v>
      </c>
      <c r="G882" s="14">
        <v>13.1217</v>
      </c>
      <c r="H882" s="14">
        <v>0.9854</v>
      </c>
      <c r="I882" s="14">
        <v>0.3827</v>
      </c>
      <c r="J882" s="14">
        <v>0.3242</v>
      </c>
      <c r="K882" s="14">
        <v>0.1035</v>
      </c>
      <c r="L882" s="14">
        <v>8.5184</v>
      </c>
      <c r="M882" s="14" t="s">
        <v>26</v>
      </c>
    </row>
    <row r="883" ht="15.75" customHeight="1">
      <c r="A883" s="14" t="s">
        <v>438</v>
      </c>
      <c r="B883" s="14" t="s">
        <v>3409</v>
      </c>
      <c r="C883" s="14">
        <v>1.0</v>
      </c>
      <c r="D883" s="14" t="s">
        <v>9</v>
      </c>
      <c r="E883" s="14">
        <v>0.4224</v>
      </c>
      <c r="F883" s="14">
        <v>5.2399</v>
      </c>
      <c r="G883" s="14">
        <v>13.2638</v>
      </c>
      <c r="H883" s="14">
        <v>0.9858</v>
      </c>
      <c r="I883" s="14">
        <v>0.3743</v>
      </c>
      <c r="J883" s="14">
        <v>0.3305</v>
      </c>
      <c r="K883" s="14">
        <v>0.1182</v>
      </c>
      <c r="L883" s="14">
        <v>8.4407</v>
      </c>
      <c r="M883" s="14" t="s">
        <v>26</v>
      </c>
    </row>
    <row r="884" ht="15.75" customHeight="1">
      <c r="A884" s="14" t="s">
        <v>702</v>
      </c>
      <c r="B884" s="14" t="s">
        <v>3412</v>
      </c>
      <c r="C884" s="14">
        <v>1.0</v>
      </c>
      <c r="D884" s="14" t="s">
        <v>9</v>
      </c>
      <c r="E884" s="14">
        <v>0.4543</v>
      </c>
      <c r="F884" s="14">
        <v>5.2399</v>
      </c>
      <c r="G884" s="14">
        <v>13.3655</v>
      </c>
      <c r="H884" s="14">
        <v>0.9842</v>
      </c>
      <c r="I884" s="14">
        <v>0.3686</v>
      </c>
      <c r="J884" s="14">
        <v>0.332</v>
      </c>
      <c r="K884" s="14">
        <v>0.1739</v>
      </c>
      <c r="L884" s="14">
        <v>8.6153</v>
      </c>
      <c r="M884" s="14" t="s">
        <v>26</v>
      </c>
    </row>
    <row r="885" ht="15.75" customHeight="1">
      <c r="A885" s="14" t="s">
        <v>512</v>
      </c>
      <c r="B885" s="14" t="s">
        <v>3415</v>
      </c>
      <c r="C885" s="14">
        <v>1.0</v>
      </c>
      <c r="D885" s="14" t="s">
        <v>9</v>
      </c>
      <c r="E885" s="14">
        <v>0.4401</v>
      </c>
      <c r="F885" s="14">
        <v>5.2365</v>
      </c>
      <c r="G885" s="14">
        <v>13.1705</v>
      </c>
      <c r="H885" s="14">
        <v>0.9854</v>
      </c>
      <c r="I885" s="14">
        <v>0.3794</v>
      </c>
      <c r="J885" s="14">
        <v>0.3189</v>
      </c>
      <c r="K885" s="14">
        <v>0.1043</v>
      </c>
      <c r="L885" s="14">
        <v>8.5111</v>
      </c>
      <c r="M885" s="14" t="s">
        <v>26</v>
      </c>
    </row>
    <row r="886" ht="15.75" customHeight="1">
      <c r="A886" s="14" t="s">
        <v>282</v>
      </c>
      <c r="B886" s="14" t="s">
        <v>3418</v>
      </c>
      <c r="C886" s="14">
        <v>1.0</v>
      </c>
      <c r="D886" s="14" t="s">
        <v>9</v>
      </c>
      <c r="E886" s="14">
        <v>0.3775</v>
      </c>
      <c r="F886" s="14">
        <v>5.2365</v>
      </c>
      <c r="G886" s="14">
        <v>13.2882</v>
      </c>
      <c r="H886" s="14">
        <v>0.9858</v>
      </c>
      <c r="I886" s="14">
        <v>0.3727</v>
      </c>
      <c r="J886" s="14">
        <v>0.338</v>
      </c>
      <c r="K886" s="14">
        <v>0.1205</v>
      </c>
      <c r="L886" s="14">
        <v>8.4459</v>
      </c>
      <c r="M886" s="14" t="s">
        <v>26</v>
      </c>
    </row>
    <row r="887" ht="15.75" customHeight="1">
      <c r="A887" s="14" t="s">
        <v>731</v>
      </c>
      <c r="B887" s="14" t="s">
        <v>3421</v>
      </c>
      <c r="C887" s="14">
        <v>1.0</v>
      </c>
      <c r="D887" s="14" t="s">
        <v>9</v>
      </c>
      <c r="E887" s="14">
        <v>0.4428</v>
      </c>
      <c r="F887" s="14">
        <v>5.233</v>
      </c>
      <c r="G887" s="14">
        <v>13.4689</v>
      </c>
      <c r="H887" s="14">
        <v>0.9865</v>
      </c>
      <c r="I887" s="14">
        <v>0.3625</v>
      </c>
      <c r="J887" s="14">
        <v>0.3591</v>
      </c>
      <c r="K887" s="14">
        <v>0.2029</v>
      </c>
      <c r="L887" s="14">
        <v>8.3256</v>
      </c>
      <c r="M887" s="14" t="s">
        <v>26</v>
      </c>
    </row>
    <row r="888" ht="15.75" customHeight="1">
      <c r="A888" s="14" t="s">
        <v>1113</v>
      </c>
      <c r="B888" s="14" t="s">
        <v>3424</v>
      </c>
      <c r="C888" s="14">
        <v>1.0</v>
      </c>
      <c r="D888" s="14" t="s">
        <v>9</v>
      </c>
      <c r="E888" s="14">
        <v>0.3928</v>
      </c>
      <c r="F888" s="14">
        <v>5.233</v>
      </c>
      <c r="G888" s="14">
        <v>13.2638</v>
      </c>
      <c r="H888" s="14">
        <v>0.9853</v>
      </c>
      <c r="I888" s="14">
        <v>0.3738</v>
      </c>
      <c r="J888" s="14">
        <v>0.3219</v>
      </c>
      <c r="K888" s="14">
        <v>0.1054</v>
      </c>
      <c r="L888" s="14">
        <v>8.4837</v>
      </c>
      <c r="M888" s="14" t="s">
        <v>26</v>
      </c>
    </row>
    <row r="889" ht="15.75" customHeight="1">
      <c r="A889" s="14" t="s">
        <v>1117</v>
      </c>
      <c r="B889" s="14" t="s">
        <v>3427</v>
      </c>
      <c r="C889" s="14">
        <v>1.0</v>
      </c>
      <c r="D889" s="14" t="s">
        <v>9</v>
      </c>
      <c r="E889" s="14">
        <v>0.3599</v>
      </c>
      <c r="F889" s="14">
        <v>5.233</v>
      </c>
      <c r="G889" s="14">
        <v>13.073</v>
      </c>
      <c r="H889" s="14">
        <v>0.9845</v>
      </c>
      <c r="I889" s="14">
        <v>0.3848</v>
      </c>
      <c r="J889" s="14">
        <v>0.2776</v>
      </c>
      <c r="K889" s="14">
        <v>0.0902</v>
      </c>
      <c r="L889" s="14">
        <v>8.9614</v>
      </c>
      <c r="M889" s="14" t="s">
        <v>26</v>
      </c>
    </row>
    <row r="890" ht="15.75" customHeight="1">
      <c r="A890" s="14" t="s">
        <v>1544</v>
      </c>
      <c r="B890" s="14" t="s">
        <v>3430</v>
      </c>
      <c r="C890" s="14">
        <v>1.0</v>
      </c>
      <c r="D890" s="14" t="s">
        <v>9</v>
      </c>
      <c r="E890" s="14">
        <v>0.4432</v>
      </c>
      <c r="F890" s="14">
        <v>5.2296</v>
      </c>
      <c r="G890" s="14">
        <v>13.5093</v>
      </c>
      <c r="H890" s="14">
        <v>0.9878</v>
      </c>
      <c r="I890" s="14">
        <v>0.3601</v>
      </c>
      <c r="J890" s="14">
        <v>0.377</v>
      </c>
      <c r="K890" s="14">
        <v>0.1401</v>
      </c>
      <c r="L890" s="14">
        <v>8.4857</v>
      </c>
      <c r="M890" s="14" t="s">
        <v>26</v>
      </c>
    </row>
    <row r="891" ht="15.75" customHeight="1">
      <c r="A891" s="14" t="s">
        <v>526</v>
      </c>
      <c r="B891" s="14" t="s">
        <v>3433</v>
      </c>
      <c r="C891" s="14">
        <v>1.0</v>
      </c>
      <c r="D891" s="14" t="s">
        <v>9</v>
      </c>
      <c r="E891" s="14">
        <v>0.4685</v>
      </c>
      <c r="F891" s="14">
        <v>5.2296</v>
      </c>
      <c r="G891" s="14">
        <v>13.3857</v>
      </c>
      <c r="H891" s="14">
        <v>0.9869</v>
      </c>
      <c r="I891" s="14">
        <v>0.3668</v>
      </c>
      <c r="J891" s="14">
        <v>0.3826</v>
      </c>
      <c r="K891" s="14">
        <v>0.1885</v>
      </c>
      <c r="L891" s="14">
        <v>8.081</v>
      </c>
      <c r="M891" s="14" t="s">
        <v>26</v>
      </c>
    </row>
    <row r="892" ht="15.75" customHeight="1">
      <c r="A892" s="14" t="s">
        <v>2123</v>
      </c>
      <c r="B892" s="14" t="s">
        <v>3436</v>
      </c>
      <c r="C892" s="14">
        <v>1.0</v>
      </c>
      <c r="D892" s="14" t="s">
        <v>9</v>
      </c>
      <c r="E892" s="14">
        <v>0.4021</v>
      </c>
      <c r="F892" s="14">
        <v>5.2261</v>
      </c>
      <c r="G892" s="14">
        <v>13.1075</v>
      </c>
      <c r="H892" s="14">
        <v>0.9847</v>
      </c>
      <c r="I892" s="14">
        <v>0.3823</v>
      </c>
      <c r="J892" s="14">
        <v>0.2782</v>
      </c>
      <c r="K892" s="14">
        <v>0.0939</v>
      </c>
      <c r="L892" s="14">
        <v>8.9354</v>
      </c>
      <c r="M892" s="14" t="s">
        <v>26</v>
      </c>
    </row>
    <row r="893" ht="15.75" customHeight="1">
      <c r="A893" s="14" t="s">
        <v>317</v>
      </c>
      <c r="B893" s="14" t="s">
        <v>3439</v>
      </c>
      <c r="C893" s="14">
        <v>1.0</v>
      </c>
      <c r="D893" s="14" t="s">
        <v>9</v>
      </c>
      <c r="E893" s="14">
        <v>0.4135</v>
      </c>
      <c r="F893" s="14">
        <v>5.2261</v>
      </c>
      <c r="G893" s="14">
        <v>13.2882</v>
      </c>
      <c r="H893" s="14">
        <v>0.9859</v>
      </c>
      <c r="I893" s="14">
        <v>0.3719</v>
      </c>
      <c r="J893" s="14">
        <v>0.3442</v>
      </c>
      <c r="K893" s="14">
        <v>0.1211</v>
      </c>
      <c r="L893" s="14">
        <v>8.4094</v>
      </c>
      <c r="M893" s="14" t="s">
        <v>26</v>
      </c>
    </row>
    <row r="894" ht="15.75" customHeight="1">
      <c r="A894" s="14" t="s">
        <v>70</v>
      </c>
      <c r="B894" s="14" t="s">
        <v>3442</v>
      </c>
      <c r="C894" s="14">
        <v>1.0</v>
      </c>
      <c r="D894" s="14" t="s">
        <v>9</v>
      </c>
      <c r="E894" s="14">
        <v>0.4479</v>
      </c>
      <c r="F894" s="14">
        <v>5.2122</v>
      </c>
      <c r="G894" s="14">
        <v>13.2882</v>
      </c>
      <c r="H894" s="14">
        <v>0.9865</v>
      </c>
      <c r="I894" s="14">
        <v>0.3709</v>
      </c>
      <c r="J894" s="14">
        <v>0.3538</v>
      </c>
      <c r="K894" s="14">
        <v>0.193</v>
      </c>
      <c r="L894" s="14">
        <v>8.3724</v>
      </c>
      <c r="M894" s="14" t="s">
        <v>26</v>
      </c>
    </row>
    <row r="895" ht="15.75" customHeight="1">
      <c r="A895" s="14" t="s">
        <v>714</v>
      </c>
      <c r="B895" s="14" t="s">
        <v>3445</v>
      </c>
      <c r="C895" s="14">
        <v>1.0</v>
      </c>
      <c r="D895" s="14" t="s">
        <v>9</v>
      </c>
      <c r="E895" s="14">
        <v>0.4778</v>
      </c>
      <c r="F895" s="14">
        <v>5.2053</v>
      </c>
      <c r="G895" s="14">
        <v>13.4344</v>
      </c>
      <c r="H895" s="14">
        <v>0.9858</v>
      </c>
      <c r="I895" s="14">
        <v>0.3624</v>
      </c>
      <c r="J895" s="14">
        <v>0.3507</v>
      </c>
      <c r="K895" s="14">
        <v>0.1923</v>
      </c>
      <c r="L895" s="14">
        <v>8.3889</v>
      </c>
      <c r="M895" s="14" t="s">
        <v>26</v>
      </c>
    </row>
    <row r="896" ht="15.75" customHeight="1">
      <c r="A896" s="14" t="s">
        <v>778</v>
      </c>
      <c r="B896" s="14" t="s">
        <v>3448</v>
      </c>
      <c r="C896" s="14">
        <v>1.0</v>
      </c>
      <c r="D896" s="14" t="s">
        <v>9</v>
      </c>
      <c r="E896" s="14">
        <v>0.4642</v>
      </c>
      <c r="F896" s="14">
        <v>5.2053</v>
      </c>
      <c r="G896" s="14">
        <v>13.3369</v>
      </c>
      <c r="H896" s="14">
        <v>0.9869</v>
      </c>
      <c r="I896" s="14">
        <v>0.3677</v>
      </c>
      <c r="J896" s="14">
        <v>0.3856</v>
      </c>
      <c r="K896" s="14">
        <v>0.1902</v>
      </c>
      <c r="L896" s="14">
        <v>8.0925</v>
      </c>
      <c r="M896" s="14" t="s">
        <v>26</v>
      </c>
    </row>
    <row r="897" ht="15.75" customHeight="1">
      <c r="A897" s="14" t="s">
        <v>2037</v>
      </c>
      <c r="B897" s="14" t="s">
        <v>3451</v>
      </c>
      <c r="C897" s="14">
        <v>1.0</v>
      </c>
      <c r="D897" s="14" t="s">
        <v>9</v>
      </c>
      <c r="E897" s="14">
        <v>0.4722</v>
      </c>
      <c r="F897" s="14">
        <v>5.2018</v>
      </c>
      <c r="G897" s="14">
        <v>13.4748</v>
      </c>
      <c r="H897" s="14">
        <v>0.9874</v>
      </c>
      <c r="I897" s="14">
        <v>0.36</v>
      </c>
      <c r="J897" s="14">
        <v>0.3029</v>
      </c>
      <c r="K897" s="14">
        <v>0.1283</v>
      </c>
      <c r="L897" s="14">
        <v>8.8185</v>
      </c>
      <c r="M897" s="14" t="s">
        <v>26</v>
      </c>
    </row>
    <row r="898" ht="15.75" customHeight="1">
      <c r="A898" s="14" t="s">
        <v>424</v>
      </c>
      <c r="B898" s="14" t="s">
        <v>3454</v>
      </c>
      <c r="C898" s="14">
        <v>1.0</v>
      </c>
      <c r="D898" s="14" t="s">
        <v>9</v>
      </c>
      <c r="E898" s="14">
        <v>0.3969</v>
      </c>
      <c r="F898" s="14">
        <v>5.2018</v>
      </c>
      <c r="G898" s="14">
        <v>13.3227</v>
      </c>
      <c r="H898" s="14">
        <v>0.986</v>
      </c>
      <c r="I898" s="14">
        <v>0.3683</v>
      </c>
      <c r="J898" s="14">
        <v>0.3388</v>
      </c>
      <c r="K898" s="14">
        <v>0.1257</v>
      </c>
      <c r="L898" s="14">
        <v>8.4011</v>
      </c>
      <c r="M898" s="14" t="s">
        <v>26</v>
      </c>
    </row>
    <row r="899" ht="15.75" customHeight="1">
      <c r="A899" s="14" t="s">
        <v>809</v>
      </c>
      <c r="B899" s="14" t="s">
        <v>3457</v>
      </c>
      <c r="C899" s="14">
        <v>1.0</v>
      </c>
      <c r="D899" s="14" t="s">
        <v>9</v>
      </c>
      <c r="E899" s="14">
        <v>0.4784</v>
      </c>
      <c r="F899" s="14">
        <v>5.2018</v>
      </c>
      <c r="G899" s="14">
        <v>13.3025</v>
      </c>
      <c r="H899" s="14">
        <v>0.9868</v>
      </c>
      <c r="I899" s="14">
        <v>0.3694</v>
      </c>
      <c r="J899" s="14">
        <v>0.3815</v>
      </c>
      <c r="K899" s="14">
        <v>0.1897</v>
      </c>
      <c r="L899" s="14">
        <v>8.0919</v>
      </c>
      <c r="M899" s="14" t="s">
        <v>26</v>
      </c>
    </row>
    <row r="900" ht="15.75" customHeight="1">
      <c r="A900" s="14" t="s">
        <v>410</v>
      </c>
      <c r="B900" s="14" t="s">
        <v>3459</v>
      </c>
      <c r="C900" s="14">
        <v>1.0</v>
      </c>
      <c r="D900" s="14" t="s">
        <v>9</v>
      </c>
      <c r="E900" s="14">
        <v>0.4088</v>
      </c>
      <c r="F900" s="14">
        <v>5.2018</v>
      </c>
      <c r="G900" s="14">
        <v>13.3227</v>
      </c>
      <c r="H900" s="14">
        <v>0.9858</v>
      </c>
      <c r="I900" s="14">
        <v>0.3683</v>
      </c>
      <c r="J900" s="14">
        <v>0.3425</v>
      </c>
      <c r="K900" s="14">
        <v>0.1248</v>
      </c>
      <c r="L900" s="14">
        <v>8.3867</v>
      </c>
      <c r="M900" s="14" t="s">
        <v>26</v>
      </c>
    </row>
    <row r="901" ht="15.75" customHeight="1">
      <c r="A901" s="14" t="s">
        <v>830</v>
      </c>
      <c r="B901" s="14" t="s">
        <v>3462</v>
      </c>
      <c r="C901" s="14">
        <v>1.0</v>
      </c>
      <c r="D901" s="14" t="s">
        <v>9</v>
      </c>
      <c r="E901" s="14">
        <v>0.434</v>
      </c>
      <c r="F901" s="14">
        <v>5.2018</v>
      </c>
      <c r="G901" s="14">
        <v>13.4404</v>
      </c>
      <c r="H901" s="14">
        <v>0.9873</v>
      </c>
      <c r="I901" s="14">
        <v>0.3619</v>
      </c>
      <c r="J901" s="14">
        <v>0.3601</v>
      </c>
      <c r="K901" s="14">
        <v>0.1433</v>
      </c>
      <c r="L901" s="14">
        <v>8.3913</v>
      </c>
      <c r="M901" s="14" t="s">
        <v>26</v>
      </c>
    </row>
    <row r="902" ht="15.75" customHeight="1">
      <c r="A902" s="14" t="s">
        <v>631</v>
      </c>
      <c r="B902" s="14" t="s">
        <v>3465</v>
      </c>
      <c r="C902" s="14">
        <v>1.0</v>
      </c>
      <c r="D902" s="14" t="s">
        <v>9</v>
      </c>
      <c r="E902" s="14">
        <v>0.4615</v>
      </c>
      <c r="F902" s="14">
        <v>5.2018</v>
      </c>
      <c r="G902" s="14">
        <v>13.3084</v>
      </c>
      <c r="H902" s="14">
        <v>0.9871</v>
      </c>
      <c r="I902" s="14">
        <v>0.3691</v>
      </c>
      <c r="J902" s="14">
        <v>0.3883</v>
      </c>
      <c r="K902" s="14">
        <v>0.1927</v>
      </c>
      <c r="L902" s="14">
        <v>8.0402</v>
      </c>
      <c r="M902" s="14" t="s">
        <v>26</v>
      </c>
    </row>
    <row r="903" ht="15.75" customHeight="1">
      <c r="A903" s="14" t="s">
        <v>572</v>
      </c>
      <c r="B903" s="14" t="s">
        <v>3468</v>
      </c>
      <c r="C903" s="14">
        <v>1.0</v>
      </c>
      <c r="D903" s="14" t="s">
        <v>9</v>
      </c>
      <c r="E903" s="14">
        <v>0.4682</v>
      </c>
      <c r="F903" s="14">
        <v>5.1949</v>
      </c>
      <c r="G903" s="14">
        <v>13.3857</v>
      </c>
      <c r="H903" s="14">
        <v>0.9867</v>
      </c>
      <c r="I903" s="14">
        <v>0.3643</v>
      </c>
      <c r="J903" s="14">
        <v>0.3795</v>
      </c>
      <c r="K903" s="14">
        <v>0.1901</v>
      </c>
      <c r="L903" s="14">
        <v>8.0933</v>
      </c>
      <c r="M903" s="14" t="s">
        <v>26</v>
      </c>
    </row>
    <row r="904" ht="15.75" customHeight="1">
      <c r="A904" s="14" t="s">
        <v>815</v>
      </c>
      <c r="B904" s="14" t="s">
        <v>3471</v>
      </c>
      <c r="C904" s="14">
        <v>1.0</v>
      </c>
      <c r="D904" s="14" t="s">
        <v>9</v>
      </c>
      <c r="E904" s="14">
        <v>0.4512</v>
      </c>
      <c r="F904" s="14">
        <v>5.1949</v>
      </c>
      <c r="G904" s="14">
        <v>13.3025</v>
      </c>
      <c r="H904" s="14">
        <v>0.987</v>
      </c>
      <c r="I904" s="14">
        <v>0.3689</v>
      </c>
      <c r="J904" s="14">
        <v>0.3843</v>
      </c>
      <c r="K904" s="14">
        <v>0.1904</v>
      </c>
      <c r="L904" s="14">
        <v>8.076</v>
      </c>
      <c r="M904" s="14" t="s">
        <v>26</v>
      </c>
    </row>
    <row r="905" ht="15.75" customHeight="1">
      <c r="A905" s="14" t="s">
        <v>877</v>
      </c>
      <c r="B905" s="14" t="s">
        <v>3474</v>
      </c>
      <c r="C905" s="14">
        <v>1.0</v>
      </c>
      <c r="D905" s="14" t="s">
        <v>9</v>
      </c>
      <c r="E905" s="14">
        <v>0.4279</v>
      </c>
      <c r="F905" s="14">
        <v>5.1915</v>
      </c>
      <c r="G905" s="14">
        <v>13.5135</v>
      </c>
      <c r="H905" s="14">
        <v>0.9871</v>
      </c>
      <c r="I905" s="14">
        <v>0.3572</v>
      </c>
      <c r="J905" s="14">
        <v>0.3021</v>
      </c>
      <c r="K905" s="14">
        <v>0.129</v>
      </c>
      <c r="L905" s="14">
        <v>8.803</v>
      </c>
      <c r="M905" s="14" t="s">
        <v>26</v>
      </c>
    </row>
    <row r="906" ht="15.75" customHeight="1">
      <c r="A906" s="14" t="s">
        <v>2093</v>
      </c>
      <c r="B906" s="14" t="s">
        <v>3477</v>
      </c>
      <c r="C906" s="14">
        <v>1.0</v>
      </c>
      <c r="D906" s="14" t="s">
        <v>9</v>
      </c>
      <c r="E906" s="14">
        <v>0.4621</v>
      </c>
      <c r="F906" s="14">
        <v>5.188</v>
      </c>
      <c r="G906" s="14">
        <v>13.4992</v>
      </c>
      <c r="H906" s="14">
        <v>0.9873</v>
      </c>
      <c r="I906" s="14">
        <v>0.3578</v>
      </c>
      <c r="J906" s="14">
        <v>0.3038</v>
      </c>
      <c r="K906" s="14">
        <v>0.1285</v>
      </c>
      <c r="L906" s="14">
        <v>8.7898</v>
      </c>
      <c r="M906" s="14" t="s">
        <v>26</v>
      </c>
    </row>
    <row r="907" ht="15.75" customHeight="1">
      <c r="A907" s="14" t="s">
        <v>89</v>
      </c>
      <c r="B907" s="14" t="s">
        <v>3480</v>
      </c>
      <c r="C907" s="14">
        <v>1.0</v>
      </c>
      <c r="D907" s="14" t="s">
        <v>9</v>
      </c>
      <c r="E907" s="14">
        <v>0.3335</v>
      </c>
      <c r="F907" s="14">
        <v>5.1811</v>
      </c>
      <c r="G907" s="14">
        <v>13.073</v>
      </c>
      <c r="H907" s="14">
        <v>0.9849</v>
      </c>
      <c r="I907" s="14">
        <v>0.381</v>
      </c>
      <c r="J907" s="14">
        <v>0.2718</v>
      </c>
      <c r="K907" s="14">
        <v>0.0974</v>
      </c>
      <c r="L907" s="14">
        <v>8.9311</v>
      </c>
      <c r="M907" s="14" t="s">
        <v>26</v>
      </c>
    </row>
    <row r="908" ht="15.75" customHeight="1">
      <c r="A908" s="14" t="s">
        <v>787</v>
      </c>
      <c r="B908" s="14" t="s">
        <v>3483</v>
      </c>
      <c r="C908" s="14">
        <v>1.0</v>
      </c>
      <c r="D908" s="14" t="s">
        <v>9</v>
      </c>
      <c r="E908" s="14">
        <v>0.4695</v>
      </c>
      <c r="F908" s="14">
        <v>5.1672</v>
      </c>
      <c r="G908" s="14">
        <v>13.5034</v>
      </c>
      <c r="H908" s="14">
        <v>0.9873</v>
      </c>
      <c r="I908" s="14">
        <v>0.3561</v>
      </c>
      <c r="J908" s="14">
        <v>0.301</v>
      </c>
      <c r="K908" s="14">
        <v>0.1319</v>
      </c>
      <c r="L908" s="14">
        <v>8.8337</v>
      </c>
      <c r="M908" s="14" t="s">
        <v>26</v>
      </c>
    </row>
    <row r="909" ht="15.75" customHeight="1">
      <c r="A909" s="14" t="s">
        <v>540</v>
      </c>
      <c r="B909" s="14" t="s">
        <v>3486</v>
      </c>
      <c r="C909" s="14">
        <v>1.0</v>
      </c>
      <c r="D909" s="14" t="s">
        <v>9</v>
      </c>
      <c r="E909" s="14">
        <v>0.4761</v>
      </c>
      <c r="F909" s="14">
        <v>5.1638</v>
      </c>
      <c r="G909" s="14">
        <v>13.3025</v>
      </c>
      <c r="H909" s="14">
        <v>0.9868</v>
      </c>
      <c r="I909" s="14">
        <v>0.3667</v>
      </c>
      <c r="J909" s="14">
        <v>0.3554</v>
      </c>
      <c r="K909" s="14">
        <v>0.1466</v>
      </c>
      <c r="L909" s="14">
        <v>8.3932</v>
      </c>
      <c r="M909" s="14" t="s">
        <v>26</v>
      </c>
    </row>
    <row r="910" ht="15.75" customHeight="1">
      <c r="A910" s="14" t="s">
        <v>1738</v>
      </c>
      <c r="B910" s="14" t="s">
        <v>3489</v>
      </c>
      <c r="C910" s="14">
        <v>1.0</v>
      </c>
      <c r="D910" s="14" t="s">
        <v>9</v>
      </c>
      <c r="E910" s="14">
        <v>0.341</v>
      </c>
      <c r="F910" s="14">
        <v>5.1638</v>
      </c>
      <c r="G910" s="14">
        <v>13.0242</v>
      </c>
      <c r="H910" s="14">
        <v>0.9851</v>
      </c>
      <c r="I910" s="14">
        <v>0.3825</v>
      </c>
      <c r="J910" s="14">
        <v>0.2852</v>
      </c>
      <c r="K910" s="14">
        <v>0.1022</v>
      </c>
      <c r="L910" s="14">
        <v>8.8542</v>
      </c>
      <c r="M910" s="14" t="s">
        <v>26</v>
      </c>
    </row>
    <row r="911" ht="15.75" customHeight="1">
      <c r="A911" s="14" t="s">
        <v>1654</v>
      </c>
      <c r="B911" s="14" t="s">
        <v>3492</v>
      </c>
      <c r="C911" s="14">
        <v>1.0</v>
      </c>
      <c r="D911" s="14" t="s">
        <v>9</v>
      </c>
      <c r="E911" s="14">
        <v>0.4171</v>
      </c>
      <c r="F911" s="14">
        <v>5.1603</v>
      </c>
      <c r="G911" s="14">
        <v>12.9431</v>
      </c>
      <c r="H911" s="14">
        <v>0.9852</v>
      </c>
      <c r="I911" s="14">
        <v>0.3871</v>
      </c>
      <c r="J911" s="14">
        <v>0.2848</v>
      </c>
      <c r="K911" s="14">
        <v>0.1013</v>
      </c>
      <c r="L911" s="14">
        <v>8.8797</v>
      </c>
      <c r="M911" s="14" t="s">
        <v>26</v>
      </c>
    </row>
    <row r="912" ht="15.75" customHeight="1">
      <c r="A912" s="14" t="s">
        <v>549</v>
      </c>
      <c r="B912" s="14" t="s">
        <v>3495</v>
      </c>
      <c r="C912" s="14">
        <v>1.0</v>
      </c>
      <c r="D912" s="14" t="s">
        <v>9</v>
      </c>
      <c r="E912" s="14">
        <v>0.4507</v>
      </c>
      <c r="F912" s="14">
        <v>5.1534</v>
      </c>
      <c r="G912" s="14">
        <v>13.2394</v>
      </c>
      <c r="H912" s="14">
        <v>0.9866</v>
      </c>
      <c r="I912" s="14">
        <v>0.3695</v>
      </c>
      <c r="J912" s="14">
        <v>0.3483</v>
      </c>
      <c r="K912" s="14">
        <v>0.1344</v>
      </c>
      <c r="L912" s="14">
        <v>8.4794</v>
      </c>
      <c r="M912" s="14" t="s">
        <v>26</v>
      </c>
    </row>
    <row r="913" ht="15.75" customHeight="1">
      <c r="A913" s="14" t="s">
        <v>1050</v>
      </c>
      <c r="B913" s="14" t="s">
        <v>3498</v>
      </c>
      <c r="C913" s="14">
        <v>1.0</v>
      </c>
      <c r="D913" s="14" t="s">
        <v>9</v>
      </c>
      <c r="E913" s="14">
        <v>0.371</v>
      </c>
      <c r="F913" s="14">
        <v>5.1499</v>
      </c>
      <c r="G913" s="14">
        <v>12.8721</v>
      </c>
      <c r="H913" s="14">
        <v>0.9838</v>
      </c>
      <c r="I913" s="14">
        <v>0.3906</v>
      </c>
      <c r="J913" s="14">
        <v>0.2723</v>
      </c>
      <c r="K913" s="14">
        <v>0.0885</v>
      </c>
      <c r="L913" s="14">
        <v>8.9469</v>
      </c>
      <c r="M913" s="14" t="s">
        <v>26</v>
      </c>
    </row>
    <row r="914" ht="15.75" customHeight="1">
      <c r="A914" s="14" t="s">
        <v>2106</v>
      </c>
      <c r="B914" s="14" t="s">
        <v>3501</v>
      </c>
      <c r="C914" s="14">
        <v>1.0</v>
      </c>
      <c r="D914" s="14" t="s">
        <v>9</v>
      </c>
      <c r="E914" s="14">
        <v>0.3687</v>
      </c>
      <c r="F914" s="14">
        <v>5.1499</v>
      </c>
      <c r="G914" s="14">
        <v>13.0486</v>
      </c>
      <c r="H914" s="14">
        <v>0.9851</v>
      </c>
      <c r="I914" s="14">
        <v>0.3801</v>
      </c>
      <c r="J914" s="14">
        <v>0.2772</v>
      </c>
      <c r="K914" s="14">
        <v>0.102</v>
      </c>
      <c r="L914" s="14">
        <v>8.8964</v>
      </c>
      <c r="M914" s="14" t="s">
        <v>26</v>
      </c>
    </row>
    <row r="915" ht="15.75" customHeight="1">
      <c r="A915" s="14" t="s">
        <v>1172</v>
      </c>
      <c r="B915" s="14" t="s">
        <v>3505</v>
      </c>
      <c r="C915" s="14">
        <v>1.0</v>
      </c>
      <c r="D915" s="14" t="s">
        <v>9</v>
      </c>
      <c r="E915" s="14">
        <v>0.4302</v>
      </c>
      <c r="F915" s="14">
        <v>5.1464</v>
      </c>
      <c r="G915" s="14">
        <v>12.8721</v>
      </c>
      <c r="H915" s="14">
        <v>0.9838</v>
      </c>
      <c r="I915" s="14">
        <v>0.3903</v>
      </c>
      <c r="J915" s="14">
        <v>0.2731</v>
      </c>
      <c r="K915" s="14">
        <v>0.0889</v>
      </c>
      <c r="L915" s="14">
        <v>8.9523</v>
      </c>
      <c r="M915" s="14" t="s">
        <v>26</v>
      </c>
    </row>
    <row r="916" ht="15.75" customHeight="1">
      <c r="A916" s="14" t="s">
        <v>952</v>
      </c>
      <c r="B916" s="14" t="s">
        <v>3508</v>
      </c>
      <c r="C916" s="14">
        <v>1.0</v>
      </c>
      <c r="D916" s="14" t="s">
        <v>9</v>
      </c>
      <c r="E916" s="14">
        <v>0.4613</v>
      </c>
      <c r="F916" s="14">
        <v>5.143</v>
      </c>
      <c r="G916" s="14">
        <v>13.4546</v>
      </c>
      <c r="H916" s="14">
        <v>0.9874</v>
      </c>
      <c r="I916" s="14">
        <v>0.357</v>
      </c>
      <c r="J916" s="14">
        <v>0.306</v>
      </c>
      <c r="K916" s="14">
        <v>0.1345</v>
      </c>
      <c r="L916" s="14">
        <v>8.7802</v>
      </c>
      <c r="M916" s="14" t="s">
        <v>26</v>
      </c>
    </row>
    <row r="917" ht="15.75" customHeight="1">
      <c r="A917" s="14" t="s">
        <v>680</v>
      </c>
      <c r="B917" s="14" t="s">
        <v>3511</v>
      </c>
      <c r="C917" s="14">
        <v>1.0</v>
      </c>
      <c r="D917" s="14" t="s">
        <v>9</v>
      </c>
      <c r="E917" s="14">
        <v>0.4591</v>
      </c>
      <c r="F917" s="14">
        <v>5.1395</v>
      </c>
      <c r="G917" s="14">
        <v>13.5034</v>
      </c>
      <c r="H917" s="14">
        <v>0.9867</v>
      </c>
      <c r="I917" s="14">
        <v>0.3542</v>
      </c>
      <c r="J917" s="14">
        <v>0.2905</v>
      </c>
      <c r="K917" s="14">
        <v>0.1221</v>
      </c>
      <c r="L917" s="14">
        <v>8.8734</v>
      </c>
      <c r="M917" s="14" t="s">
        <v>26</v>
      </c>
    </row>
    <row r="918" ht="15.75" customHeight="1">
      <c r="A918" s="14" t="s">
        <v>660</v>
      </c>
      <c r="B918" s="14" t="s">
        <v>3514</v>
      </c>
      <c r="C918" s="14">
        <v>1.0</v>
      </c>
      <c r="D918" s="14" t="s">
        <v>9</v>
      </c>
      <c r="E918" s="14">
        <v>0.4558</v>
      </c>
      <c r="F918" s="14">
        <v>5.136</v>
      </c>
      <c r="G918" s="14">
        <v>13.5135</v>
      </c>
      <c r="H918" s="14">
        <v>0.987</v>
      </c>
      <c r="I918" s="14">
        <v>0.3534</v>
      </c>
      <c r="J918" s="14">
        <v>0.3043</v>
      </c>
      <c r="K918" s="14">
        <v>0.1343</v>
      </c>
      <c r="L918" s="14">
        <v>8.8058</v>
      </c>
      <c r="M918" s="14" t="s">
        <v>26</v>
      </c>
    </row>
    <row r="919" ht="15.75" customHeight="1">
      <c r="A919" s="14" t="s">
        <v>45</v>
      </c>
      <c r="B919" s="14" t="s">
        <v>3517</v>
      </c>
      <c r="C919" s="14">
        <v>1.0</v>
      </c>
      <c r="D919" s="14" t="s">
        <v>9</v>
      </c>
      <c r="E919" s="14">
        <v>0.4401</v>
      </c>
      <c r="F919" s="14">
        <v>5.1291</v>
      </c>
      <c r="G919" s="14">
        <v>13.2394</v>
      </c>
      <c r="H919" s="14">
        <v>0.9868</v>
      </c>
      <c r="I919" s="14">
        <v>0.3677</v>
      </c>
      <c r="J919" s="14">
        <v>0.3453</v>
      </c>
      <c r="K919" s="14">
        <v>0.1388</v>
      </c>
      <c r="L919" s="14">
        <v>8.44</v>
      </c>
      <c r="M919" s="14" t="s">
        <v>26</v>
      </c>
    </row>
    <row r="920" ht="15.75" customHeight="1">
      <c r="A920" s="14" t="s">
        <v>2205</v>
      </c>
      <c r="B920" s="14" t="s">
        <v>3520</v>
      </c>
      <c r="C920" s="14">
        <v>1.0</v>
      </c>
      <c r="D920" s="14" t="s">
        <v>9</v>
      </c>
      <c r="E920" s="14">
        <v>0.3517</v>
      </c>
      <c r="F920" s="14">
        <v>5.1291</v>
      </c>
      <c r="G920" s="14">
        <v>12.9208</v>
      </c>
      <c r="H920" s="14">
        <v>0.984</v>
      </c>
      <c r="I920" s="14">
        <v>0.3861</v>
      </c>
      <c r="J920" s="14">
        <v>0.2707</v>
      </c>
      <c r="K920" s="14">
        <v>0.0908</v>
      </c>
      <c r="L920" s="14">
        <v>8.9288</v>
      </c>
      <c r="M920" s="14" t="s">
        <v>26</v>
      </c>
    </row>
    <row r="921" ht="15.75" customHeight="1">
      <c r="A921" s="14" t="s">
        <v>664</v>
      </c>
      <c r="B921" s="14" t="s">
        <v>3523</v>
      </c>
      <c r="C921" s="14">
        <v>1.0</v>
      </c>
      <c r="D921" s="14" t="s">
        <v>9</v>
      </c>
      <c r="E921" s="14">
        <v>0.4571</v>
      </c>
      <c r="F921" s="14">
        <v>5.1257</v>
      </c>
      <c r="G921" s="14">
        <v>13.3571</v>
      </c>
      <c r="H921" s="14">
        <v>0.9875</v>
      </c>
      <c r="I921" s="14">
        <v>0.361</v>
      </c>
      <c r="J921" s="14">
        <v>0.3084</v>
      </c>
      <c r="K921" s="14">
        <v>0.1375</v>
      </c>
      <c r="L921" s="14">
        <v>8.7458</v>
      </c>
      <c r="M921" s="14" t="s">
        <v>26</v>
      </c>
    </row>
    <row r="922" ht="15.75" customHeight="1">
      <c r="A922" s="14" t="s">
        <v>115</v>
      </c>
      <c r="B922" s="14" t="s">
        <v>3525</v>
      </c>
      <c r="C922" s="14">
        <v>1.0</v>
      </c>
      <c r="D922" s="14" t="s">
        <v>9</v>
      </c>
      <c r="E922" s="14">
        <v>0.4974</v>
      </c>
      <c r="F922" s="14">
        <v>5.1083</v>
      </c>
      <c r="G922" s="14">
        <v>13.3369</v>
      </c>
      <c r="H922" s="14">
        <v>0.9875</v>
      </c>
      <c r="I922" s="14">
        <v>0.3609</v>
      </c>
      <c r="J922" s="14">
        <v>0.3148</v>
      </c>
      <c r="K922" s="14">
        <v>0.1404</v>
      </c>
      <c r="L922" s="14">
        <v>8.7374</v>
      </c>
      <c r="M922" s="14" t="s">
        <v>26</v>
      </c>
    </row>
    <row r="923" ht="15.75" customHeight="1">
      <c r="A923" s="14" t="s">
        <v>466</v>
      </c>
      <c r="B923" s="14" t="s">
        <v>3528</v>
      </c>
      <c r="C923" s="14">
        <v>1.0</v>
      </c>
      <c r="D923" s="14" t="s">
        <v>9</v>
      </c>
      <c r="E923" s="14">
        <v>0.4592</v>
      </c>
      <c r="F923" s="14">
        <v>5.1049</v>
      </c>
      <c r="G923" s="14">
        <v>13.2537</v>
      </c>
      <c r="H923" s="14">
        <v>0.9868</v>
      </c>
      <c r="I923" s="14">
        <v>0.3652</v>
      </c>
      <c r="J923" s="14">
        <v>0.3501</v>
      </c>
      <c r="K923" s="14">
        <v>0.1406</v>
      </c>
      <c r="L923" s="14">
        <v>8.4329</v>
      </c>
      <c r="M923" s="14" t="s">
        <v>26</v>
      </c>
    </row>
    <row r="924" ht="15.75" customHeight="1">
      <c r="A924" s="14" t="s">
        <v>1719</v>
      </c>
      <c r="B924" s="14" t="s">
        <v>3531</v>
      </c>
      <c r="C924" s="14">
        <v>1.0</v>
      </c>
      <c r="D924" s="14" t="s">
        <v>9</v>
      </c>
      <c r="E924" s="14">
        <v>0.4032</v>
      </c>
      <c r="F924" s="14">
        <v>5.1049</v>
      </c>
      <c r="G924" s="14">
        <v>12.9208</v>
      </c>
      <c r="H924" s="14">
        <v>0.9842</v>
      </c>
      <c r="I924" s="14">
        <v>0.3843</v>
      </c>
      <c r="J924" s="14">
        <v>0.2758</v>
      </c>
      <c r="K924" s="14">
        <v>0.0946</v>
      </c>
      <c r="L924" s="14">
        <v>8.9175</v>
      </c>
      <c r="M924" s="14" t="s">
        <v>26</v>
      </c>
    </row>
    <row r="925" ht="15.75" customHeight="1">
      <c r="A925" s="14" t="s">
        <v>301</v>
      </c>
      <c r="B925" s="14" t="s">
        <v>3534</v>
      </c>
      <c r="C925" s="14">
        <v>1.0</v>
      </c>
      <c r="D925" s="14" t="s">
        <v>9</v>
      </c>
      <c r="E925" s="14">
        <v>0.4713</v>
      </c>
      <c r="F925" s="14">
        <v>5.1014</v>
      </c>
      <c r="G925" s="14">
        <v>13.1562</v>
      </c>
      <c r="H925" s="14">
        <v>0.9872</v>
      </c>
      <c r="I925" s="14">
        <v>0.3704</v>
      </c>
      <c r="J925" s="14">
        <v>0.3018</v>
      </c>
      <c r="K925" s="14">
        <v>0.1269</v>
      </c>
      <c r="L925" s="14">
        <v>8.8331</v>
      </c>
      <c r="M925" s="14" t="s">
        <v>26</v>
      </c>
    </row>
    <row r="926" ht="15.75" customHeight="1">
      <c r="A926" s="14" t="s">
        <v>695</v>
      </c>
      <c r="B926" s="14" t="s">
        <v>3537</v>
      </c>
      <c r="C926" s="14">
        <v>1.0</v>
      </c>
      <c r="D926" s="14" t="s">
        <v>9</v>
      </c>
      <c r="E926" s="14">
        <v>0.5001</v>
      </c>
      <c r="F926" s="14">
        <v>5.1014</v>
      </c>
      <c r="G926" s="14">
        <v>12.9696</v>
      </c>
      <c r="H926" s="14">
        <v>0.986</v>
      </c>
      <c r="I926" s="14">
        <v>0.3811</v>
      </c>
      <c r="J926" s="14">
        <v>0.3481</v>
      </c>
      <c r="K926" s="14">
        <v>0.1217</v>
      </c>
      <c r="L926" s="14">
        <v>8.4464</v>
      </c>
      <c r="M926" s="14" t="s">
        <v>26</v>
      </c>
    </row>
    <row r="927" ht="15.75" customHeight="1">
      <c r="A927" s="14" t="s">
        <v>308</v>
      </c>
      <c r="B927" s="14" t="s">
        <v>3540</v>
      </c>
      <c r="C927" s="14">
        <v>1.0</v>
      </c>
      <c r="D927" s="14" t="s">
        <v>9</v>
      </c>
      <c r="E927" s="14">
        <v>0.4404</v>
      </c>
      <c r="F927" s="14">
        <v>5.1014</v>
      </c>
      <c r="G927" s="14">
        <v>13.1583</v>
      </c>
      <c r="H927" s="14">
        <v>0.9871</v>
      </c>
      <c r="I927" s="14">
        <v>0.3703</v>
      </c>
      <c r="J927" s="14">
        <v>0.3043</v>
      </c>
      <c r="K927" s="14">
        <v>0.1272</v>
      </c>
      <c r="L927" s="14">
        <v>8.8032</v>
      </c>
      <c r="M927" s="14" t="s">
        <v>26</v>
      </c>
    </row>
    <row r="928" ht="15.75" customHeight="1">
      <c r="A928" s="14" t="s">
        <v>1082</v>
      </c>
      <c r="B928" s="14" t="s">
        <v>3543</v>
      </c>
      <c r="C928" s="14">
        <v>1.0</v>
      </c>
      <c r="D928" s="14" t="s">
        <v>9</v>
      </c>
      <c r="E928" s="14">
        <v>0.3852</v>
      </c>
      <c r="F928" s="14">
        <v>5.0979</v>
      </c>
      <c r="G928" s="14">
        <v>12.7888</v>
      </c>
      <c r="H928" s="14">
        <v>0.9841</v>
      </c>
      <c r="I928" s="14">
        <v>0.3917</v>
      </c>
      <c r="J928" s="14">
        <v>0.2723</v>
      </c>
      <c r="K928" s="14">
        <v>0.0946</v>
      </c>
      <c r="L928" s="14">
        <v>8.9232</v>
      </c>
      <c r="M928" s="14" t="s">
        <v>26</v>
      </c>
    </row>
    <row r="929" ht="15.75" customHeight="1">
      <c r="A929" s="14" t="s">
        <v>634</v>
      </c>
      <c r="B929" s="14" t="s">
        <v>3546</v>
      </c>
      <c r="C929" s="14">
        <v>1.0</v>
      </c>
      <c r="D929" s="14" t="s">
        <v>9</v>
      </c>
      <c r="E929" s="14">
        <v>0.4633</v>
      </c>
      <c r="F929" s="14">
        <v>5.0979</v>
      </c>
      <c r="G929" s="14">
        <v>13.2394</v>
      </c>
      <c r="H929" s="14">
        <v>0.9868</v>
      </c>
      <c r="I929" s="14">
        <v>0.3655</v>
      </c>
      <c r="J929" s="14">
        <v>0.3528</v>
      </c>
      <c r="K929" s="14">
        <v>0.1417</v>
      </c>
      <c r="L929" s="14">
        <v>8.4235</v>
      </c>
      <c r="M929" s="14" t="s">
        <v>26</v>
      </c>
    </row>
    <row r="930" ht="15.75" customHeight="1">
      <c r="A930" s="14" t="s">
        <v>2232</v>
      </c>
      <c r="B930" s="14" t="s">
        <v>3549</v>
      </c>
      <c r="C930" s="14">
        <v>1.0</v>
      </c>
      <c r="D930" s="14" t="s">
        <v>9</v>
      </c>
      <c r="E930" s="14">
        <v>0.3653</v>
      </c>
      <c r="F930" s="14">
        <v>5.0945</v>
      </c>
      <c r="G930" s="14">
        <v>12.8721</v>
      </c>
      <c r="H930" s="14">
        <v>0.9843</v>
      </c>
      <c r="I930" s="14">
        <v>0.3864</v>
      </c>
      <c r="J930" s="14">
        <v>0.2794</v>
      </c>
      <c r="K930" s="14">
        <v>0.0956</v>
      </c>
      <c r="L930" s="14">
        <v>8.9382</v>
      </c>
      <c r="M930" s="14" t="s">
        <v>26</v>
      </c>
    </row>
    <row r="931" ht="15.75" customHeight="1">
      <c r="A931" s="14" t="s">
        <v>603</v>
      </c>
      <c r="B931" s="14" t="s">
        <v>3552</v>
      </c>
      <c r="C931" s="14">
        <v>1.0</v>
      </c>
      <c r="D931" s="14" t="s">
        <v>9</v>
      </c>
      <c r="E931" s="14">
        <v>0.4464</v>
      </c>
      <c r="F931" s="14">
        <v>5.0841</v>
      </c>
      <c r="G931" s="14">
        <v>13.205</v>
      </c>
      <c r="H931" s="14">
        <v>0.9869</v>
      </c>
      <c r="I931" s="14">
        <v>0.3664</v>
      </c>
      <c r="J931" s="14">
        <v>0.3515</v>
      </c>
      <c r="K931" s="14">
        <v>0.1442</v>
      </c>
      <c r="L931" s="14">
        <v>8.4024</v>
      </c>
      <c r="M931" s="14" t="s">
        <v>26</v>
      </c>
    </row>
    <row r="932" ht="15.75" customHeight="1">
      <c r="A932" s="14" t="s">
        <v>1196</v>
      </c>
      <c r="B932" s="14" t="s">
        <v>3554</v>
      </c>
      <c r="C932" s="14">
        <v>1.0</v>
      </c>
      <c r="D932" s="14" t="s">
        <v>9</v>
      </c>
      <c r="E932" s="14">
        <v>0.39</v>
      </c>
      <c r="F932" s="14">
        <v>5.0806</v>
      </c>
      <c r="G932" s="14">
        <v>12.8742</v>
      </c>
      <c r="H932" s="14">
        <v>0.9845</v>
      </c>
      <c r="I932" s="14">
        <v>0.3852</v>
      </c>
      <c r="J932" s="14">
        <v>0.2791</v>
      </c>
      <c r="K932" s="14">
        <v>0.097</v>
      </c>
      <c r="L932" s="14">
        <v>8.8798</v>
      </c>
      <c r="M932" s="14" t="s">
        <v>26</v>
      </c>
    </row>
    <row r="933" ht="15.75" customHeight="1">
      <c r="A933" s="14" t="s">
        <v>2027</v>
      </c>
      <c r="B933" s="14" t="s">
        <v>3557</v>
      </c>
      <c r="C933" s="14">
        <v>1.0</v>
      </c>
      <c r="D933" s="14" t="s">
        <v>9</v>
      </c>
      <c r="E933" s="14">
        <v>0.4703</v>
      </c>
      <c r="F933" s="14">
        <v>5.0772</v>
      </c>
      <c r="G933" s="14">
        <v>13.3126</v>
      </c>
      <c r="H933" s="14">
        <v>0.9868</v>
      </c>
      <c r="I933" s="14">
        <v>0.36</v>
      </c>
      <c r="J933" s="14">
        <v>0.3041</v>
      </c>
      <c r="K933" s="14">
        <v>0.1308</v>
      </c>
      <c r="L933" s="14">
        <v>8.7879</v>
      </c>
      <c r="M933" s="14" t="s">
        <v>26</v>
      </c>
    </row>
    <row r="934" ht="15.75" customHeight="1">
      <c r="A934" s="14" t="s">
        <v>509</v>
      </c>
      <c r="B934" s="14" t="s">
        <v>3560</v>
      </c>
      <c r="C934" s="14">
        <v>1.0</v>
      </c>
      <c r="D934" s="14" t="s">
        <v>9</v>
      </c>
      <c r="E934" s="14">
        <v>0.4501</v>
      </c>
      <c r="F934" s="14">
        <v>5.0772</v>
      </c>
      <c r="G934" s="14">
        <v>13.205</v>
      </c>
      <c r="H934" s="14">
        <v>0.9869</v>
      </c>
      <c r="I934" s="14">
        <v>0.3659</v>
      </c>
      <c r="J934" s="14">
        <v>0.3559</v>
      </c>
      <c r="K934" s="14">
        <v>0.1447</v>
      </c>
      <c r="L934" s="14">
        <v>8.408</v>
      </c>
      <c r="M934" s="14" t="s">
        <v>26</v>
      </c>
    </row>
    <row r="935" ht="15.75" customHeight="1">
      <c r="A935" s="14" t="s">
        <v>1099</v>
      </c>
      <c r="B935" s="14" t="s">
        <v>3564</v>
      </c>
      <c r="C935" s="14">
        <v>1.0</v>
      </c>
      <c r="D935" s="14" t="s">
        <v>9</v>
      </c>
      <c r="E935" s="14">
        <v>0.3594</v>
      </c>
      <c r="F935" s="14">
        <v>5.0702</v>
      </c>
      <c r="G935" s="14">
        <v>12.7199</v>
      </c>
      <c r="H935" s="14">
        <v>0.9845</v>
      </c>
      <c r="I935" s="14">
        <v>0.3938</v>
      </c>
      <c r="J935" s="14">
        <v>0.2783</v>
      </c>
      <c r="K935" s="14">
        <v>0.097</v>
      </c>
      <c r="L935" s="14">
        <v>8.9143</v>
      </c>
      <c r="M935" s="14" t="s">
        <v>26</v>
      </c>
    </row>
    <row r="936" ht="15.75" customHeight="1">
      <c r="A936" s="14" t="s">
        <v>840</v>
      </c>
      <c r="B936" s="14" t="s">
        <v>3567</v>
      </c>
      <c r="C936" s="14">
        <v>1.0</v>
      </c>
      <c r="D936" s="14" t="s">
        <v>9</v>
      </c>
      <c r="E936" s="14">
        <v>0.4754</v>
      </c>
      <c r="F936" s="14">
        <v>5.0668</v>
      </c>
      <c r="G936" s="14">
        <v>13.205</v>
      </c>
      <c r="H936" s="14">
        <v>0.9871</v>
      </c>
      <c r="I936" s="14">
        <v>0.3651</v>
      </c>
      <c r="J936" s="14">
        <v>0.3538</v>
      </c>
      <c r="K936" s="14">
        <v>0.146</v>
      </c>
      <c r="L936" s="14">
        <v>8.3982</v>
      </c>
      <c r="M936" s="14" t="s">
        <v>26</v>
      </c>
    </row>
    <row r="937" ht="15.75" customHeight="1">
      <c r="A937" s="14" t="s">
        <v>764</v>
      </c>
      <c r="B937" s="14" t="s">
        <v>3570</v>
      </c>
      <c r="C937" s="14">
        <v>1.0</v>
      </c>
      <c r="D937" s="14" t="s">
        <v>9</v>
      </c>
      <c r="E937" s="14">
        <v>0.464</v>
      </c>
      <c r="F937" s="14">
        <v>5.0599</v>
      </c>
      <c r="G937" s="14">
        <v>13.205</v>
      </c>
      <c r="H937" s="14">
        <v>0.987</v>
      </c>
      <c r="I937" s="14">
        <v>0.3646</v>
      </c>
      <c r="J937" s="14">
        <v>0.303</v>
      </c>
      <c r="K937" s="14">
        <v>0.1331</v>
      </c>
      <c r="L937" s="14">
        <v>8.774</v>
      </c>
      <c r="M937" s="14" t="s">
        <v>26</v>
      </c>
    </row>
    <row r="938" ht="15.75" customHeight="1">
      <c r="A938" s="14" t="s">
        <v>690</v>
      </c>
      <c r="B938" s="14" t="s">
        <v>3573</v>
      </c>
      <c r="C938" s="14">
        <v>1.0</v>
      </c>
      <c r="D938" s="14" t="s">
        <v>9</v>
      </c>
      <c r="E938" s="14">
        <v>0.4486</v>
      </c>
      <c r="F938" s="14">
        <v>5.0599</v>
      </c>
      <c r="G938" s="14">
        <v>13.3227</v>
      </c>
      <c r="H938" s="14">
        <v>0.9868</v>
      </c>
      <c r="I938" s="14">
        <v>0.3582</v>
      </c>
      <c r="J938" s="14">
        <v>0.3086</v>
      </c>
      <c r="K938" s="14">
        <v>0.1338</v>
      </c>
      <c r="L938" s="14">
        <v>8.7812</v>
      </c>
      <c r="M938" s="14" t="s">
        <v>26</v>
      </c>
    </row>
    <row r="939" ht="15.75" customHeight="1">
      <c r="A939" s="14" t="s">
        <v>1141</v>
      </c>
      <c r="B939" s="14" t="s">
        <v>3576</v>
      </c>
      <c r="C939" s="14">
        <v>1.0</v>
      </c>
      <c r="D939" s="14" t="s">
        <v>9</v>
      </c>
      <c r="E939" s="14">
        <v>0.3857</v>
      </c>
      <c r="F939" s="14">
        <v>5.0564</v>
      </c>
      <c r="G939" s="14">
        <v>12.8376</v>
      </c>
      <c r="H939" s="14">
        <v>0.9843</v>
      </c>
      <c r="I939" s="14">
        <v>0.3856</v>
      </c>
      <c r="J939" s="14">
        <v>0.3135</v>
      </c>
      <c r="K939" s="14">
        <v>0.1043</v>
      </c>
      <c r="L939" s="14">
        <v>8.6111</v>
      </c>
      <c r="M939" s="14" t="s">
        <v>26</v>
      </c>
    </row>
    <row r="940" ht="15.75" customHeight="1">
      <c r="A940" s="14" t="s">
        <v>1693</v>
      </c>
      <c r="B940" s="14" t="s">
        <v>3579</v>
      </c>
      <c r="C940" s="14">
        <v>1.0</v>
      </c>
      <c r="D940" s="14" t="s">
        <v>9</v>
      </c>
      <c r="E940" s="14">
        <v>0.3981</v>
      </c>
      <c r="F940" s="14">
        <v>5.0529</v>
      </c>
      <c r="G940" s="14">
        <v>12.7888</v>
      </c>
      <c r="H940" s="14">
        <v>0.9844</v>
      </c>
      <c r="I940" s="14">
        <v>0.3882</v>
      </c>
      <c r="J940" s="14">
        <v>0.286</v>
      </c>
      <c r="K940" s="14">
        <v>0.1025</v>
      </c>
      <c r="L940" s="14">
        <v>8.8766</v>
      </c>
      <c r="M940" s="14" t="s">
        <v>26</v>
      </c>
    </row>
    <row r="941" ht="15.75" customHeight="1">
      <c r="A941" s="14" t="s">
        <v>1700</v>
      </c>
      <c r="B941" s="14" t="s">
        <v>3582</v>
      </c>
      <c r="C941" s="14">
        <v>1.0</v>
      </c>
      <c r="D941" s="14" t="s">
        <v>9</v>
      </c>
      <c r="E941" s="14">
        <v>0.3704</v>
      </c>
      <c r="F941" s="14">
        <v>5.046</v>
      </c>
      <c r="G941" s="14">
        <v>12.8477</v>
      </c>
      <c r="H941" s="14">
        <v>0.9846</v>
      </c>
      <c r="I941" s="14">
        <v>0.3842</v>
      </c>
      <c r="J941" s="14">
        <v>0.2804</v>
      </c>
      <c r="K941" s="14">
        <v>0.1031</v>
      </c>
      <c r="L941" s="14">
        <v>8.8784</v>
      </c>
      <c r="M941" s="14" t="s">
        <v>26</v>
      </c>
    </row>
    <row r="942" ht="15.75" customHeight="1">
      <c r="A942" s="14" t="s">
        <v>180</v>
      </c>
      <c r="B942" s="14" t="s">
        <v>3585</v>
      </c>
      <c r="C942" s="14">
        <v>1.0</v>
      </c>
      <c r="D942" s="14" t="s">
        <v>9</v>
      </c>
      <c r="E942" s="14">
        <v>0.4189</v>
      </c>
      <c r="F942" s="14">
        <v>5.0425</v>
      </c>
      <c r="G942" s="14">
        <v>13.2394</v>
      </c>
      <c r="H942" s="14">
        <v>0.9876</v>
      </c>
      <c r="I942" s="14">
        <v>0.3615</v>
      </c>
      <c r="J942" s="14">
        <v>0.3235</v>
      </c>
      <c r="K942" s="14">
        <v>0.1386</v>
      </c>
      <c r="L942" s="14">
        <v>8.6798</v>
      </c>
      <c r="M942" s="14" t="s">
        <v>26</v>
      </c>
    </row>
    <row r="943" ht="15.75" customHeight="1">
      <c r="A943" s="14" t="s">
        <v>381</v>
      </c>
      <c r="B943" s="14" t="s">
        <v>3588</v>
      </c>
      <c r="C943" s="14">
        <v>1.0</v>
      </c>
      <c r="D943" s="14" t="s">
        <v>9</v>
      </c>
      <c r="E943" s="14">
        <v>0.4477</v>
      </c>
      <c r="F943" s="14">
        <v>5.0425</v>
      </c>
      <c r="G943" s="14">
        <v>13.2537</v>
      </c>
      <c r="H943" s="14">
        <v>0.9871</v>
      </c>
      <c r="I943" s="14">
        <v>0.3607</v>
      </c>
      <c r="J943" s="14">
        <v>0.3528</v>
      </c>
      <c r="K943" s="14">
        <v>0.1466</v>
      </c>
      <c r="L943" s="14">
        <v>8.3615</v>
      </c>
      <c r="M943" s="14" t="s">
        <v>26</v>
      </c>
    </row>
    <row r="944" ht="15.75" customHeight="1">
      <c r="A944" s="14" t="s">
        <v>761</v>
      </c>
      <c r="B944" s="14" t="s">
        <v>3591</v>
      </c>
      <c r="C944" s="14">
        <v>1.0</v>
      </c>
      <c r="D944" s="14" t="s">
        <v>9</v>
      </c>
      <c r="E944" s="14">
        <v>0.465</v>
      </c>
      <c r="F944" s="14">
        <v>5.0425</v>
      </c>
      <c r="G944" s="14">
        <v>13.2394</v>
      </c>
      <c r="H944" s="14">
        <v>0.987</v>
      </c>
      <c r="I944" s="14">
        <v>0.3615</v>
      </c>
      <c r="J944" s="14">
        <v>0.3639</v>
      </c>
      <c r="K944" s="14">
        <v>0.1499</v>
      </c>
      <c r="L944" s="14">
        <v>8.3457</v>
      </c>
      <c r="M944" s="14" t="s">
        <v>26</v>
      </c>
    </row>
    <row r="945" ht="15.75" customHeight="1">
      <c r="A945" s="14" t="s">
        <v>1454</v>
      </c>
      <c r="B945" s="14" t="s">
        <v>3593</v>
      </c>
      <c r="C945" s="14">
        <v>1.0</v>
      </c>
      <c r="D945" s="14" t="s">
        <v>9</v>
      </c>
      <c r="E945" s="14">
        <v>0.2615</v>
      </c>
      <c r="F945" s="14">
        <v>5.0425</v>
      </c>
      <c r="G945" s="14">
        <v>12.4845</v>
      </c>
      <c r="H945" s="14">
        <v>0.9832</v>
      </c>
      <c r="I945" s="14">
        <v>0.4066</v>
      </c>
      <c r="J945" s="14">
        <v>0.4516</v>
      </c>
      <c r="K945" s="14">
        <v>0.1739</v>
      </c>
      <c r="L945" s="14">
        <v>7.861</v>
      </c>
      <c r="M945" s="14" t="s">
        <v>26</v>
      </c>
    </row>
    <row r="946" ht="15.75" customHeight="1">
      <c r="A946" s="14" t="s">
        <v>1055</v>
      </c>
      <c r="B946" s="14" t="s">
        <v>3596</v>
      </c>
      <c r="C946" s="14">
        <v>1.0</v>
      </c>
      <c r="D946" s="14" t="s">
        <v>9</v>
      </c>
      <c r="E946" s="14">
        <v>0.2833</v>
      </c>
      <c r="F946" s="14">
        <v>5.0391</v>
      </c>
      <c r="G946" s="14">
        <v>12.0624</v>
      </c>
      <c r="H946" s="14">
        <v>0.9785</v>
      </c>
      <c r="I946" s="14">
        <v>0.4352</v>
      </c>
      <c r="J946" s="14">
        <v>0.3317</v>
      </c>
      <c r="K946" s="14">
        <v>0.0764</v>
      </c>
      <c r="L946" s="14">
        <v>8.6889</v>
      </c>
      <c r="M946" s="14" t="s">
        <v>26</v>
      </c>
    </row>
    <row r="947" ht="15.75" customHeight="1">
      <c r="A947" s="14" t="s">
        <v>1178</v>
      </c>
      <c r="B947" s="14" t="s">
        <v>3599</v>
      </c>
      <c r="C947" s="14">
        <v>1.0</v>
      </c>
      <c r="D947" s="14" t="s">
        <v>9</v>
      </c>
      <c r="E947" s="14">
        <v>0.3969</v>
      </c>
      <c r="F947" s="14">
        <v>5.0321</v>
      </c>
      <c r="G947" s="14">
        <v>12.6711</v>
      </c>
      <c r="H947" s="14">
        <v>0.9847</v>
      </c>
      <c r="I947" s="14">
        <v>0.3939</v>
      </c>
      <c r="J947" s="14">
        <v>0.284</v>
      </c>
      <c r="K947" s="14">
        <v>0.1031</v>
      </c>
      <c r="L947" s="14">
        <v>8.8633</v>
      </c>
      <c r="M947" s="14" t="s">
        <v>26</v>
      </c>
    </row>
    <row r="948" ht="15.75" customHeight="1">
      <c r="A948" s="14" t="s">
        <v>293</v>
      </c>
      <c r="B948" s="14" t="s">
        <v>3602</v>
      </c>
      <c r="C948" s="14">
        <v>1.0</v>
      </c>
      <c r="D948" s="14" t="s">
        <v>9</v>
      </c>
      <c r="E948" s="14">
        <v>0.484</v>
      </c>
      <c r="F948" s="14">
        <v>5.0252</v>
      </c>
      <c r="G948" s="14">
        <v>13.1848</v>
      </c>
      <c r="H948" s="14">
        <v>0.9865</v>
      </c>
      <c r="I948" s="14">
        <v>0.3633</v>
      </c>
      <c r="J948" s="14">
        <v>0.2936</v>
      </c>
      <c r="K948" s="14">
        <v>0.1231</v>
      </c>
      <c r="L948" s="14">
        <v>8.8579</v>
      </c>
      <c r="M948" s="14" t="s">
        <v>26</v>
      </c>
    </row>
    <row r="949" ht="15.75" customHeight="1">
      <c r="A949" s="14" t="s">
        <v>670</v>
      </c>
      <c r="B949" s="14" t="s">
        <v>3605</v>
      </c>
      <c r="C949" s="14">
        <v>1.0</v>
      </c>
      <c r="D949" s="14" t="s">
        <v>9</v>
      </c>
      <c r="E949" s="14">
        <v>0.4072</v>
      </c>
      <c r="F949" s="14">
        <v>5.0044</v>
      </c>
      <c r="G949" s="14">
        <v>13.205</v>
      </c>
      <c r="H949" s="14">
        <v>0.9876</v>
      </c>
      <c r="I949" s="14">
        <v>0.3607</v>
      </c>
      <c r="J949" s="14">
        <v>0.3251</v>
      </c>
      <c r="K949" s="14">
        <v>0.1451</v>
      </c>
      <c r="L949" s="14">
        <v>8.5735</v>
      </c>
      <c r="M949" s="14" t="s">
        <v>26</v>
      </c>
    </row>
    <row r="950" ht="15.75" customHeight="1">
      <c r="A950" s="14" t="s">
        <v>587</v>
      </c>
      <c r="B950" s="14" t="s">
        <v>3608</v>
      </c>
      <c r="C950" s="14">
        <v>1.0</v>
      </c>
      <c r="D950" s="14" t="s">
        <v>9</v>
      </c>
      <c r="E950" s="14">
        <v>0.2568</v>
      </c>
      <c r="F950" s="14">
        <v>4.956</v>
      </c>
      <c r="G950" s="14">
        <v>10.983</v>
      </c>
      <c r="H950" s="14">
        <v>0.9671</v>
      </c>
      <c r="I950" s="14">
        <v>0.5163</v>
      </c>
      <c r="J950" s="14">
        <v>0.4637</v>
      </c>
      <c r="K950" s="14">
        <v>0.1326</v>
      </c>
      <c r="L950" s="14">
        <v>7.1616</v>
      </c>
      <c r="M950" s="14" t="s">
        <v>26</v>
      </c>
    </row>
    <row r="951" ht="15.75" customHeight="1">
      <c r="A951" s="14" t="s">
        <v>1438</v>
      </c>
      <c r="B951" s="14" t="s">
        <v>3611</v>
      </c>
      <c r="C951" s="14">
        <v>1.0</v>
      </c>
      <c r="D951" s="14" t="s">
        <v>9</v>
      </c>
      <c r="E951" s="14">
        <v>0.4189</v>
      </c>
      <c r="F951" s="14">
        <v>4.9456</v>
      </c>
      <c r="G951" s="14">
        <v>12.8031</v>
      </c>
      <c r="H951" s="14">
        <v>0.9854</v>
      </c>
      <c r="I951" s="14">
        <v>0.3791</v>
      </c>
      <c r="J951" s="14">
        <v>0.2992</v>
      </c>
      <c r="K951" s="14">
        <v>0.119</v>
      </c>
      <c r="L951" s="14">
        <v>8.7013</v>
      </c>
      <c r="M951" s="14" t="s">
        <v>26</v>
      </c>
    </row>
    <row r="952" ht="15.75" customHeight="1">
      <c r="A952" s="14" t="s">
        <v>2300</v>
      </c>
      <c r="B952" s="14" t="s">
        <v>3615</v>
      </c>
      <c r="C952" s="14">
        <v>1.0</v>
      </c>
      <c r="D952" s="14" t="s">
        <v>9</v>
      </c>
      <c r="E952" s="14">
        <v>0.2862</v>
      </c>
      <c r="F952" s="14">
        <v>4.4295</v>
      </c>
      <c r="G952" s="14">
        <v>12.0339</v>
      </c>
      <c r="H952" s="14">
        <v>0.9859</v>
      </c>
      <c r="I952" s="14">
        <v>0.3844</v>
      </c>
      <c r="J952" s="14">
        <v>0.3403</v>
      </c>
      <c r="K952" s="14">
        <v>0.1027</v>
      </c>
      <c r="L952" s="14">
        <v>8.5592</v>
      </c>
      <c r="M952" s="14" t="s">
        <v>26</v>
      </c>
    </row>
    <row r="953" ht="15.75" customHeight="1">
      <c r="A953" s="14" t="s">
        <v>565</v>
      </c>
      <c r="B953" s="14" t="s">
        <v>3618</v>
      </c>
      <c r="C953" s="14">
        <v>1.0</v>
      </c>
      <c r="D953" s="14" t="s">
        <v>9</v>
      </c>
      <c r="E953" s="14">
        <v>0.2587</v>
      </c>
      <c r="F953" s="14">
        <v>4.3949</v>
      </c>
      <c r="G953" s="14">
        <v>11.833</v>
      </c>
      <c r="H953" s="14">
        <v>0.9853</v>
      </c>
      <c r="I953" s="14">
        <v>0.3944</v>
      </c>
      <c r="J953" s="14">
        <v>0.2851</v>
      </c>
      <c r="K953" s="14">
        <v>0.0882</v>
      </c>
      <c r="L953" s="14">
        <v>8.9098</v>
      </c>
      <c r="M953" s="14" t="s">
        <v>26</v>
      </c>
    </row>
    <row r="954" ht="15.75" customHeight="1">
      <c r="A954" s="14" t="s">
        <v>1205</v>
      </c>
      <c r="B954" s="14" t="s">
        <v>3621</v>
      </c>
      <c r="C954" s="14">
        <v>1.0</v>
      </c>
      <c r="D954" s="14" t="s">
        <v>9</v>
      </c>
      <c r="E954" s="14">
        <v>0.2526</v>
      </c>
      <c r="F954" s="14">
        <v>4.3949</v>
      </c>
      <c r="G954" s="14">
        <v>12.2003</v>
      </c>
      <c r="H954" s="14">
        <v>0.9866</v>
      </c>
      <c r="I954" s="14">
        <v>0.371</v>
      </c>
      <c r="J954" s="14">
        <v>0.3642</v>
      </c>
      <c r="K954" s="14">
        <v>0.093</v>
      </c>
      <c r="L954" s="14">
        <v>8.1299</v>
      </c>
      <c r="M954" s="14" t="s">
        <v>26</v>
      </c>
    </row>
    <row r="955" ht="15.75" customHeight="1">
      <c r="A955" s="14" t="s">
        <v>2151</v>
      </c>
      <c r="B955" s="14" t="s">
        <v>3624</v>
      </c>
      <c r="C955" s="14">
        <v>1.0</v>
      </c>
      <c r="D955" s="14" t="s">
        <v>9</v>
      </c>
      <c r="E955" s="14">
        <v>0.3143</v>
      </c>
      <c r="F955" s="14">
        <v>4.291</v>
      </c>
      <c r="G955" s="14">
        <v>11.8674</v>
      </c>
      <c r="H955" s="14">
        <v>0.9877</v>
      </c>
      <c r="I955" s="14">
        <v>0.3829</v>
      </c>
      <c r="J955" s="14">
        <v>0.2487</v>
      </c>
      <c r="K955" s="14">
        <v>0.0476</v>
      </c>
      <c r="L955" s="14">
        <v>9.1934</v>
      </c>
      <c r="M955" s="14" t="s">
        <v>26</v>
      </c>
    </row>
    <row r="956" ht="15.75" customHeight="1">
      <c r="A956" s="14" t="s">
        <v>1091</v>
      </c>
      <c r="B956" s="14" t="s">
        <v>3628</v>
      </c>
      <c r="C956" s="14">
        <v>1.0</v>
      </c>
      <c r="D956" s="14" t="s">
        <v>9</v>
      </c>
      <c r="E956" s="14">
        <v>0.3009</v>
      </c>
      <c r="F956" s="14">
        <v>4.2806</v>
      </c>
      <c r="G956" s="14">
        <v>11.8674</v>
      </c>
      <c r="H956" s="14">
        <v>0.9876</v>
      </c>
      <c r="I956" s="14">
        <v>0.3819</v>
      </c>
      <c r="J956" s="14">
        <v>0.2743</v>
      </c>
      <c r="K956" s="14">
        <v>0.0514</v>
      </c>
      <c r="L956" s="14">
        <v>9.0404</v>
      </c>
      <c r="M956" s="14" t="s">
        <v>26</v>
      </c>
    </row>
    <row r="957" ht="15.75" customHeight="1">
      <c r="A957" s="14" t="s">
        <v>1465</v>
      </c>
      <c r="B957" s="14" t="s">
        <v>3631</v>
      </c>
      <c r="C957" s="14">
        <v>1.0</v>
      </c>
      <c r="D957" s="14" t="s">
        <v>9</v>
      </c>
      <c r="E957" s="14">
        <v>0.2811</v>
      </c>
      <c r="F957" s="14">
        <v>4.2252</v>
      </c>
      <c r="G957" s="14">
        <v>11.7985</v>
      </c>
      <c r="H957" s="14">
        <v>0.9867</v>
      </c>
      <c r="I957" s="14">
        <v>0.3814</v>
      </c>
      <c r="J957" s="14">
        <v>0.3873</v>
      </c>
      <c r="K957" s="14">
        <v>0.1101</v>
      </c>
      <c r="L957" s="14">
        <v>7.9878</v>
      </c>
      <c r="M957" s="14" t="s">
        <v>26</v>
      </c>
    </row>
    <row r="958" ht="15.75" customHeight="1">
      <c r="A958" s="14" t="s">
        <v>1706</v>
      </c>
      <c r="B958" s="14" t="s">
        <v>3634</v>
      </c>
      <c r="C958" s="14">
        <v>1.0</v>
      </c>
      <c r="D958" s="14" t="s">
        <v>9</v>
      </c>
      <c r="E958" s="14">
        <v>0.3715</v>
      </c>
      <c r="F958" s="14">
        <v>4.1698</v>
      </c>
      <c r="G958" s="14">
        <v>11.833</v>
      </c>
      <c r="H958" s="14">
        <v>0.9873</v>
      </c>
      <c r="I958" s="14">
        <v>0.3742</v>
      </c>
      <c r="J958" s="14">
        <v>0.2011</v>
      </c>
      <c r="K958" s="14">
        <v>0.043</v>
      </c>
      <c r="L958" s="14">
        <v>9.5315</v>
      </c>
      <c r="M958" s="14" t="s">
        <v>26</v>
      </c>
    </row>
    <row r="959" ht="15.75" customHeight="1">
      <c r="A959" s="14" t="s">
        <v>1280</v>
      </c>
      <c r="B959" s="14" t="s">
        <v>3637</v>
      </c>
      <c r="C959" s="14">
        <v>1.0</v>
      </c>
      <c r="D959" s="14" t="s">
        <v>9</v>
      </c>
      <c r="E959" s="14">
        <v>0.3702</v>
      </c>
      <c r="F959" s="14">
        <v>4.0763</v>
      </c>
      <c r="G959" s="14">
        <v>11.833</v>
      </c>
      <c r="H959" s="14">
        <v>0.9884</v>
      </c>
      <c r="I959" s="14">
        <v>0.3658</v>
      </c>
      <c r="J959" s="14">
        <v>0.2292</v>
      </c>
      <c r="K959" s="14">
        <v>0.0621</v>
      </c>
      <c r="L959" s="14">
        <v>9.2834</v>
      </c>
      <c r="M959" s="14" t="s">
        <v>26</v>
      </c>
    </row>
    <row r="960" ht="15.75" customHeight="1">
      <c r="A960" s="14" t="s">
        <v>811</v>
      </c>
      <c r="B960" s="14" t="s">
        <v>3640</v>
      </c>
      <c r="C960" s="14">
        <v>1.0</v>
      </c>
      <c r="D960" s="14" t="s">
        <v>9</v>
      </c>
      <c r="E960" s="14">
        <v>0.3707</v>
      </c>
      <c r="F960" s="14">
        <v>4.0659</v>
      </c>
      <c r="G960" s="14">
        <v>11.833</v>
      </c>
      <c r="H960" s="14">
        <v>0.9885</v>
      </c>
      <c r="I960" s="14">
        <v>0.3649</v>
      </c>
      <c r="J960" s="14">
        <v>0.2264</v>
      </c>
      <c r="K960" s="14">
        <v>0.0626</v>
      </c>
      <c r="L960" s="14">
        <v>9.3352</v>
      </c>
      <c r="M960" s="14" t="s">
        <v>26</v>
      </c>
    </row>
    <row r="961" ht="15.75" customHeight="1">
      <c r="A961" s="14" t="s">
        <v>804</v>
      </c>
      <c r="B961" s="14" t="s">
        <v>3642</v>
      </c>
      <c r="C961" s="14">
        <v>1.0</v>
      </c>
      <c r="D961" s="14" t="s">
        <v>9</v>
      </c>
      <c r="E961" s="14">
        <v>0.3663</v>
      </c>
      <c r="F961" s="14">
        <v>4.0624</v>
      </c>
      <c r="G961" s="14">
        <v>11.833</v>
      </c>
      <c r="H961" s="14">
        <v>0.9884</v>
      </c>
      <c r="I961" s="14">
        <v>0.3646</v>
      </c>
      <c r="J961" s="14">
        <v>0.2328</v>
      </c>
      <c r="K961" s="14">
        <v>0.0634</v>
      </c>
      <c r="L961" s="14">
        <v>9.318</v>
      </c>
      <c r="M961" s="14" t="s">
        <v>26</v>
      </c>
    </row>
    <row r="962" ht="15.75" customHeight="1">
      <c r="A962" s="14" t="s">
        <v>1072</v>
      </c>
      <c r="B962" s="14" t="s">
        <v>3645</v>
      </c>
      <c r="C962" s="14">
        <v>1.0</v>
      </c>
      <c r="D962" s="14" t="s">
        <v>9</v>
      </c>
      <c r="E962" s="14">
        <v>0.3416</v>
      </c>
      <c r="F962" s="14">
        <v>4.0624</v>
      </c>
      <c r="G962" s="14">
        <v>11.833</v>
      </c>
      <c r="H962" s="14">
        <v>0.9884</v>
      </c>
      <c r="I962" s="14">
        <v>0.3646</v>
      </c>
      <c r="J962" s="14">
        <v>0.2309</v>
      </c>
      <c r="K962" s="14">
        <v>0.0635</v>
      </c>
      <c r="L962" s="14">
        <v>9.3051</v>
      </c>
      <c r="M962" s="14" t="s">
        <v>26</v>
      </c>
    </row>
    <row r="963" ht="15.75" customHeight="1">
      <c r="A963" s="14" t="s">
        <v>1252</v>
      </c>
      <c r="B963" s="14" t="s">
        <v>3648</v>
      </c>
      <c r="C963" s="14">
        <v>1.0</v>
      </c>
      <c r="D963" s="14" t="s">
        <v>9</v>
      </c>
      <c r="E963" s="14">
        <v>0.3703</v>
      </c>
      <c r="F963" s="14">
        <v>4.059</v>
      </c>
      <c r="G963" s="14">
        <v>11.833</v>
      </c>
      <c r="H963" s="14">
        <v>0.9884</v>
      </c>
      <c r="I963" s="14">
        <v>0.3643</v>
      </c>
      <c r="J963" s="14">
        <v>0.2334</v>
      </c>
      <c r="K963" s="14">
        <v>0.0643</v>
      </c>
      <c r="L963" s="14">
        <v>9.2835</v>
      </c>
      <c r="M963" s="14" t="s">
        <v>26</v>
      </c>
    </row>
    <row r="964" ht="15.75" customHeight="1">
      <c r="A964" s="14" t="s">
        <v>1782</v>
      </c>
      <c r="B964" s="14" t="s">
        <v>3651</v>
      </c>
      <c r="C964" s="14">
        <v>1.0</v>
      </c>
      <c r="D964" s="14" t="s">
        <v>9</v>
      </c>
      <c r="E964" s="14">
        <v>0.2678</v>
      </c>
      <c r="F964" s="14">
        <v>4.059</v>
      </c>
      <c r="G964" s="14">
        <v>11.7497</v>
      </c>
      <c r="H964" s="14">
        <v>0.9873</v>
      </c>
      <c r="I964" s="14">
        <v>0.3695</v>
      </c>
      <c r="J964" s="14">
        <v>0.3839</v>
      </c>
      <c r="K964" s="14">
        <v>0.1304</v>
      </c>
      <c r="L964" s="14">
        <v>7.9737</v>
      </c>
      <c r="M964" s="14" t="s">
        <v>26</v>
      </c>
    </row>
    <row r="965" ht="15.75" customHeight="1">
      <c r="A965" s="14" t="s">
        <v>1822</v>
      </c>
      <c r="B965" s="14" t="s">
        <v>3656</v>
      </c>
      <c r="C965" s="14">
        <v>1.0</v>
      </c>
      <c r="D965" s="14" t="s">
        <v>9</v>
      </c>
      <c r="E965" s="14">
        <v>0.3732</v>
      </c>
      <c r="F965" s="14">
        <v>4.0347</v>
      </c>
      <c r="G965" s="14">
        <v>11.6665</v>
      </c>
      <c r="H965" s="14">
        <v>0.9879</v>
      </c>
      <c r="I965" s="14">
        <v>0.3725</v>
      </c>
      <c r="J965" s="14">
        <v>0.2197</v>
      </c>
      <c r="K965" s="14">
        <v>0.0541</v>
      </c>
      <c r="L965" s="14">
        <v>9.4035</v>
      </c>
      <c r="M965" s="14" t="s">
        <v>26</v>
      </c>
    </row>
    <row r="966" ht="15.75" customHeight="1">
      <c r="A966" s="14" t="s">
        <v>1288</v>
      </c>
      <c r="B966" s="14" t="s">
        <v>3659</v>
      </c>
      <c r="C966" s="14">
        <v>1.0</v>
      </c>
      <c r="D966" s="14" t="s">
        <v>9</v>
      </c>
      <c r="E966" s="14">
        <v>0.3982</v>
      </c>
      <c r="F966" s="14">
        <v>4.0313</v>
      </c>
      <c r="G966" s="14">
        <v>11.6665</v>
      </c>
      <c r="H966" s="14">
        <v>0.9879</v>
      </c>
      <c r="I966" s="14">
        <v>0.3722</v>
      </c>
      <c r="J966" s="14">
        <v>0.2262</v>
      </c>
      <c r="K966" s="14">
        <v>0.0548</v>
      </c>
      <c r="L966" s="14">
        <v>9.3928</v>
      </c>
      <c r="M966" s="14" t="s">
        <v>26</v>
      </c>
    </row>
    <row r="967" ht="15.75" customHeight="1">
      <c r="A967" s="14" t="s">
        <v>1233</v>
      </c>
      <c r="B967" s="14" t="s">
        <v>3662</v>
      </c>
      <c r="C967" s="14">
        <v>1.0</v>
      </c>
      <c r="D967" s="14" t="s">
        <v>9</v>
      </c>
      <c r="E967" s="14">
        <v>0.3454</v>
      </c>
      <c r="F967" s="14">
        <v>4.0278</v>
      </c>
      <c r="G967" s="14">
        <v>11.6665</v>
      </c>
      <c r="H967" s="14">
        <v>0.988</v>
      </c>
      <c r="I967" s="14">
        <v>0.3719</v>
      </c>
      <c r="J967" s="14">
        <v>0.2249</v>
      </c>
      <c r="K967" s="14">
        <v>0.0553</v>
      </c>
      <c r="L967" s="14">
        <v>9.3602</v>
      </c>
      <c r="M967" s="14" t="s">
        <v>26</v>
      </c>
    </row>
    <row r="968" ht="15.75" customHeight="1">
      <c r="A968" s="14" t="s">
        <v>1328</v>
      </c>
      <c r="B968" s="14" t="s">
        <v>3665</v>
      </c>
      <c r="C968" s="14">
        <v>1.0</v>
      </c>
      <c r="D968" s="14" t="s">
        <v>9</v>
      </c>
      <c r="E968" s="14">
        <v>0.3697</v>
      </c>
      <c r="F968" s="14">
        <v>4.0243</v>
      </c>
      <c r="G968" s="14">
        <v>11.6665</v>
      </c>
      <c r="H968" s="14">
        <v>0.988</v>
      </c>
      <c r="I968" s="14">
        <v>0.3716</v>
      </c>
      <c r="J968" s="14">
        <v>0.2251</v>
      </c>
      <c r="K968" s="14">
        <v>0.0556</v>
      </c>
      <c r="L968" s="14">
        <v>9.3841</v>
      </c>
      <c r="M968" s="14" t="s">
        <v>26</v>
      </c>
    </row>
    <row r="969" ht="15.75" customHeight="1">
      <c r="A969" s="14" t="s">
        <v>1202</v>
      </c>
      <c r="B969" s="14" t="s">
        <v>3669</v>
      </c>
      <c r="C969" s="14">
        <v>1.0</v>
      </c>
      <c r="D969" s="14" t="s">
        <v>9</v>
      </c>
      <c r="E969" s="14">
        <v>0.3824</v>
      </c>
      <c r="F969" s="14">
        <v>4.0243</v>
      </c>
      <c r="G969" s="14">
        <v>11.6665</v>
      </c>
      <c r="H969" s="14">
        <v>0.988</v>
      </c>
      <c r="I969" s="14">
        <v>0.3716</v>
      </c>
      <c r="J969" s="14">
        <v>0.2209</v>
      </c>
      <c r="K969" s="14">
        <v>0.0562</v>
      </c>
      <c r="L969" s="14">
        <v>9.3383</v>
      </c>
      <c r="M969" s="14" t="s">
        <v>26</v>
      </c>
    </row>
    <row r="970" ht="15.75" customHeight="1">
      <c r="A970" s="14" t="s">
        <v>1818</v>
      </c>
      <c r="B970" s="14" t="s">
        <v>3672</v>
      </c>
      <c r="C970" s="14">
        <v>1.0</v>
      </c>
      <c r="D970" s="14" t="s">
        <v>9</v>
      </c>
      <c r="E970" s="14">
        <v>0.3399</v>
      </c>
      <c r="F970" s="14">
        <v>4.0209</v>
      </c>
      <c r="G970" s="14">
        <v>11.7985</v>
      </c>
      <c r="H970" s="14">
        <v>0.9885</v>
      </c>
      <c r="I970" s="14">
        <v>0.363</v>
      </c>
      <c r="J970" s="14">
        <v>0.2462</v>
      </c>
      <c r="K970" s="14">
        <v>0.0699</v>
      </c>
      <c r="L970" s="14">
        <v>9.2127</v>
      </c>
      <c r="M970" s="14" t="s">
        <v>26</v>
      </c>
    </row>
    <row r="971" ht="15.75" customHeight="1">
      <c r="A971" s="14" t="s">
        <v>1261</v>
      </c>
      <c r="B971" s="14" t="s">
        <v>3675</v>
      </c>
      <c r="C971" s="14">
        <v>1.0</v>
      </c>
      <c r="D971" s="14" t="s">
        <v>9</v>
      </c>
      <c r="E971" s="14">
        <v>0.3748</v>
      </c>
      <c r="F971" s="14">
        <v>4.0209</v>
      </c>
      <c r="G971" s="14">
        <v>11.6665</v>
      </c>
      <c r="H971" s="14">
        <v>0.988</v>
      </c>
      <c r="I971" s="14">
        <v>0.3712</v>
      </c>
      <c r="J971" s="14">
        <v>0.223</v>
      </c>
      <c r="K971" s="14">
        <v>0.0563</v>
      </c>
      <c r="L971" s="14">
        <v>9.3634</v>
      </c>
      <c r="M971" s="14" t="s">
        <v>26</v>
      </c>
    </row>
    <row r="972" ht="15.75" customHeight="1">
      <c r="A972" s="14" t="s">
        <v>1293</v>
      </c>
      <c r="B972" s="14" t="s">
        <v>3678</v>
      </c>
      <c r="C972" s="14">
        <v>1.0</v>
      </c>
      <c r="D972" s="14" t="s">
        <v>9</v>
      </c>
      <c r="E972" s="14">
        <v>0.3696</v>
      </c>
      <c r="F972" s="14">
        <v>4.0209</v>
      </c>
      <c r="G972" s="14">
        <v>11.6665</v>
      </c>
      <c r="H972" s="14">
        <v>0.988</v>
      </c>
      <c r="I972" s="14">
        <v>0.3712</v>
      </c>
      <c r="J972" s="14">
        <v>0.2209</v>
      </c>
      <c r="K972" s="14">
        <v>0.0566</v>
      </c>
      <c r="L972" s="14">
        <v>9.3312</v>
      </c>
      <c r="M972" s="14" t="s">
        <v>26</v>
      </c>
    </row>
    <row r="973" ht="15.75" customHeight="1">
      <c r="A973" s="14" t="s">
        <v>1393</v>
      </c>
      <c r="B973" s="14" t="s">
        <v>3681</v>
      </c>
      <c r="C973" s="14">
        <v>1.0</v>
      </c>
      <c r="D973" s="14" t="s">
        <v>9</v>
      </c>
      <c r="E973" s="14">
        <v>0.3931</v>
      </c>
      <c r="F973" s="14">
        <v>4.0174</v>
      </c>
      <c r="G973" s="14">
        <v>11.6665</v>
      </c>
      <c r="H973" s="14">
        <v>0.988</v>
      </c>
      <c r="I973" s="14">
        <v>0.3709</v>
      </c>
      <c r="J973" s="14">
        <v>0.2273</v>
      </c>
      <c r="K973" s="14">
        <v>0.0565</v>
      </c>
      <c r="L973" s="14">
        <v>9.383</v>
      </c>
      <c r="M973" s="14" t="s">
        <v>26</v>
      </c>
    </row>
    <row r="974" ht="15.75" customHeight="1">
      <c r="A974" s="14" t="s">
        <v>1145</v>
      </c>
      <c r="B974" s="14" t="s">
        <v>3685</v>
      </c>
      <c r="C974" s="14">
        <v>1.0</v>
      </c>
      <c r="D974" s="14" t="s">
        <v>9</v>
      </c>
      <c r="E974" s="14">
        <v>0.3661</v>
      </c>
      <c r="F974" s="14">
        <v>4.0139</v>
      </c>
      <c r="G974" s="14">
        <v>11.6665</v>
      </c>
      <c r="H974" s="14">
        <v>0.988</v>
      </c>
      <c r="I974" s="14">
        <v>0.3706</v>
      </c>
      <c r="J974" s="14">
        <v>0.2252</v>
      </c>
      <c r="K974" s="14">
        <v>0.0578</v>
      </c>
      <c r="L974" s="14">
        <v>9.3284</v>
      </c>
      <c r="M974" s="14" t="s">
        <v>26</v>
      </c>
    </row>
    <row r="975" ht="15.75" customHeight="1">
      <c r="A975" s="14" t="s">
        <v>924</v>
      </c>
      <c r="B975" s="14" t="s">
        <v>3688</v>
      </c>
      <c r="C975" s="14">
        <v>1.0</v>
      </c>
      <c r="D975" s="14" t="s">
        <v>9</v>
      </c>
      <c r="E975" s="14">
        <v>0.3917</v>
      </c>
      <c r="F975" s="14">
        <v>4.0139</v>
      </c>
      <c r="G975" s="14">
        <v>11.6665</v>
      </c>
      <c r="H975" s="14">
        <v>0.988</v>
      </c>
      <c r="I975" s="14">
        <v>0.3706</v>
      </c>
      <c r="J975" s="14">
        <v>0.221</v>
      </c>
      <c r="K975" s="14">
        <v>0.0573</v>
      </c>
      <c r="L975" s="14">
        <v>9.3325</v>
      </c>
      <c r="M975" s="14" t="s">
        <v>26</v>
      </c>
    </row>
    <row r="976" ht="15.75" customHeight="1">
      <c r="A976" s="14" t="s">
        <v>1127</v>
      </c>
      <c r="B976" s="14" t="s">
        <v>3691</v>
      </c>
      <c r="C976" s="14">
        <v>1.0</v>
      </c>
      <c r="D976" s="14" t="s">
        <v>9</v>
      </c>
      <c r="E976" s="14">
        <v>0.373</v>
      </c>
      <c r="F976" s="14">
        <v>4.0139</v>
      </c>
      <c r="G976" s="14">
        <v>11.6665</v>
      </c>
      <c r="H976" s="14">
        <v>0.988</v>
      </c>
      <c r="I976" s="14">
        <v>0.3706</v>
      </c>
      <c r="J976" s="14">
        <v>0.2295</v>
      </c>
      <c r="K976" s="14">
        <v>0.0581</v>
      </c>
      <c r="L976" s="14">
        <v>9.2998</v>
      </c>
      <c r="M976" s="14" t="s">
        <v>26</v>
      </c>
    </row>
    <row r="977" ht="15.75" customHeight="1">
      <c r="A977" s="14" t="s">
        <v>1048</v>
      </c>
      <c r="B977" s="14" t="s">
        <v>3694</v>
      </c>
      <c r="C977" s="14">
        <v>1.0</v>
      </c>
      <c r="D977" s="14" t="s">
        <v>9</v>
      </c>
      <c r="E977" s="14">
        <v>0.3772</v>
      </c>
      <c r="F977" s="14">
        <v>4.0139</v>
      </c>
      <c r="G977" s="14">
        <v>11.6665</v>
      </c>
      <c r="H977" s="14">
        <v>0.988</v>
      </c>
      <c r="I977" s="14">
        <v>0.3706</v>
      </c>
      <c r="J977" s="14">
        <v>0.2208</v>
      </c>
      <c r="K977" s="14">
        <v>0.057</v>
      </c>
      <c r="L977" s="14">
        <v>9.3565</v>
      </c>
      <c r="M977" s="14" t="s">
        <v>26</v>
      </c>
    </row>
    <row r="978" ht="15.75" customHeight="1">
      <c r="A978" s="14" t="s">
        <v>979</v>
      </c>
      <c r="B978" s="14" t="s">
        <v>3697</v>
      </c>
      <c r="C978" s="14">
        <v>1.0</v>
      </c>
      <c r="D978" s="14" t="s">
        <v>9</v>
      </c>
      <c r="E978" s="14">
        <v>0.3893</v>
      </c>
      <c r="F978" s="14">
        <v>4.0139</v>
      </c>
      <c r="G978" s="14">
        <v>11.6665</v>
      </c>
      <c r="H978" s="14">
        <v>0.988</v>
      </c>
      <c r="I978" s="14">
        <v>0.3706</v>
      </c>
      <c r="J978" s="14">
        <v>0.2258</v>
      </c>
      <c r="K978" s="14">
        <v>0.0577</v>
      </c>
      <c r="L978" s="14">
        <v>9.3209</v>
      </c>
      <c r="M978" s="14" t="s">
        <v>26</v>
      </c>
    </row>
    <row r="979" ht="15.75" customHeight="1">
      <c r="A979" s="14" t="s">
        <v>1097</v>
      </c>
      <c r="B979" s="14" t="s">
        <v>3700</v>
      </c>
      <c r="C979" s="14">
        <v>1.0</v>
      </c>
      <c r="D979" s="14" t="s">
        <v>9</v>
      </c>
      <c r="E979" s="14">
        <v>0.3565</v>
      </c>
      <c r="F979" s="14">
        <v>4.0139</v>
      </c>
      <c r="G979" s="14">
        <v>11.6665</v>
      </c>
      <c r="H979" s="14">
        <v>0.988</v>
      </c>
      <c r="I979" s="14">
        <v>0.3706</v>
      </c>
      <c r="J979" s="14">
        <v>0.229</v>
      </c>
      <c r="K979" s="14">
        <v>0.0577</v>
      </c>
      <c r="L979" s="14">
        <v>9.3309</v>
      </c>
      <c r="M979" s="14" t="s">
        <v>26</v>
      </c>
    </row>
    <row r="980" ht="15.75" customHeight="1">
      <c r="A980" s="14" t="s">
        <v>27</v>
      </c>
      <c r="B980" s="14" t="s">
        <v>3702</v>
      </c>
      <c r="C980" s="14">
        <v>1.0</v>
      </c>
      <c r="D980" s="14" t="s">
        <v>9</v>
      </c>
      <c r="E980" s="14">
        <v>0.2536</v>
      </c>
      <c r="F980" s="14">
        <v>2.9888</v>
      </c>
      <c r="G980" s="14">
        <v>8.4197</v>
      </c>
      <c r="H980" s="14">
        <v>0.9624</v>
      </c>
      <c r="I980" s="14">
        <v>0.5298</v>
      </c>
      <c r="J980" s="14">
        <v>0.3836</v>
      </c>
      <c r="K980" s="14">
        <v>0.1404</v>
      </c>
      <c r="L980" s="14">
        <v>7.9242</v>
      </c>
      <c r="M980" s="14" t="s">
        <v>26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39.71"/>
    <col customWidth="1" min="3" max="3" width="13.86"/>
    <col customWidth="1" min="4" max="4" width="21.57"/>
    <col customWidth="1" min="5" max="5" width="16.71"/>
    <col customWidth="1" min="6" max="6" width="16.14"/>
    <col customWidth="1" min="7" max="7" width="20.0"/>
    <col customWidth="1" min="8" max="8" width="17.29"/>
    <col customWidth="1" min="9" max="9" width="19.14"/>
    <col customWidth="1" min="10" max="10" width="24.14"/>
    <col customWidth="1" min="11" max="11" width="18.29"/>
    <col customWidth="1" min="12" max="12" width="19.0"/>
    <col customWidth="1" min="13" max="13" width="34.43"/>
    <col customWidth="1" min="14" max="15" width="16.29"/>
    <col customWidth="1" min="16" max="26" width="8.71"/>
  </cols>
  <sheetData>
    <row r="1" ht="22.5" customHeight="1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0</v>
      </c>
      <c r="G1" s="11" t="s">
        <v>1</v>
      </c>
      <c r="H1" s="11" t="s">
        <v>2</v>
      </c>
      <c r="I1" s="11" t="s">
        <v>3</v>
      </c>
      <c r="J1" s="11" t="s">
        <v>15</v>
      </c>
      <c r="K1" s="11" t="s">
        <v>4</v>
      </c>
      <c r="L1" s="11" t="s">
        <v>5</v>
      </c>
      <c r="M1" s="11" t="s">
        <v>16</v>
      </c>
    </row>
    <row r="2" ht="22.5" customHeight="1">
      <c r="A2" s="14" t="s">
        <v>21</v>
      </c>
      <c r="B2" s="15" t="s">
        <v>23</v>
      </c>
      <c r="C2" s="14">
        <v>3.0</v>
      </c>
      <c r="D2" s="14" t="s">
        <v>24</v>
      </c>
      <c r="E2" s="14">
        <v>0.6251</v>
      </c>
      <c r="F2" s="14">
        <v>20.4992</v>
      </c>
      <c r="G2" s="14">
        <v>18.4541</v>
      </c>
      <c r="H2" s="14">
        <v>0.632</v>
      </c>
      <c r="I2" s="14">
        <v>0.7564</v>
      </c>
      <c r="J2" s="14">
        <v>0.5688</v>
      </c>
      <c r="K2" s="14">
        <v>0.2223</v>
      </c>
      <c r="L2" s="14">
        <v>7.068</v>
      </c>
      <c r="M2" s="14" t="s">
        <v>31</v>
      </c>
    </row>
    <row r="3" ht="22.5" customHeight="1">
      <c r="A3" s="14" t="s">
        <v>32</v>
      </c>
      <c r="B3" s="15" t="s">
        <v>23</v>
      </c>
      <c r="C3" s="14">
        <v>3.0</v>
      </c>
      <c r="D3" s="14" t="s">
        <v>24</v>
      </c>
      <c r="E3" s="14">
        <v>0.8476</v>
      </c>
      <c r="F3" s="14">
        <v>18.3554</v>
      </c>
      <c r="G3" s="14">
        <v>17.0334</v>
      </c>
      <c r="H3" s="14">
        <v>0.3676</v>
      </c>
      <c r="I3" s="14">
        <v>0.795</v>
      </c>
      <c r="J3" s="14">
        <v>0.6276</v>
      </c>
      <c r="K3" s="14">
        <v>0.2102</v>
      </c>
      <c r="L3" s="14">
        <v>6.755</v>
      </c>
      <c r="M3" s="14" t="s">
        <v>31</v>
      </c>
    </row>
    <row r="4" ht="22.5" customHeight="1">
      <c r="A4" s="14" t="s">
        <v>35</v>
      </c>
      <c r="B4" s="15" t="s">
        <v>23</v>
      </c>
      <c r="C4" s="14">
        <v>3.0</v>
      </c>
      <c r="D4" s="14" t="s">
        <v>24</v>
      </c>
      <c r="E4" s="14">
        <v>0.8379</v>
      </c>
      <c r="F4" s="14">
        <v>18.0853</v>
      </c>
      <c r="G4" s="14">
        <v>16.6945</v>
      </c>
      <c r="H4" s="14">
        <v>0.3304</v>
      </c>
      <c r="I4" s="14">
        <v>0.8154</v>
      </c>
      <c r="J4" s="14">
        <v>0.6145</v>
      </c>
      <c r="K4" s="14">
        <v>0.2049</v>
      </c>
      <c r="L4" s="14">
        <v>6.8557</v>
      </c>
      <c r="M4" s="14" t="s">
        <v>31</v>
      </c>
    </row>
    <row r="5" ht="22.5" customHeight="1">
      <c r="A5" s="14" t="s">
        <v>40</v>
      </c>
      <c r="B5" s="15" t="s">
        <v>23</v>
      </c>
      <c r="C5" s="14">
        <v>3.0</v>
      </c>
      <c r="D5" s="14" t="s">
        <v>24</v>
      </c>
      <c r="E5" s="14">
        <v>0.4117</v>
      </c>
      <c r="F5" s="14">
        <v>17.7147</v>
      </c>
      <c r="G5" s="14">
        <v>18.592</v>
      </c>
      <c r="H5" s="14">
        <v>0.6999</v>
      </c>
      <c r="I5" s="14">
        <v>0.644</v>
      </c>
      <c r="J5" s="14">
        <v>0.5897</v>
      </c>
      <c r="K5" s="14">
        <v>0.2444</v>
      </c>
      <c r="L5" s="14">
        <v>6.803</v>
      </c>
      <c r="M5" s="14" t="s">
        <v>31</v>
      </c>
    </row>
    <row r="6" ht="22.5" customHeight="1">
      <c r="A6" s="14" t="s">
        <v>45</v>
      </c>
      <c r="B6" s="15" t="s">
        <v>23</v>
      </c>
      <c r="C6" s="14">
        <v>3.0</v>
      </c>
      <c r="D6" s="14" t="s">
        <v>24</v>
      </c>
      <c r="E6" s="14">
        <v>0.8276</v>
      </c>
      <c r="F6" s="14">
        <v>17.029</v>
      </c>
      <c r="G6" s="14">
        <v>17.1796</v>
      </c>
      <c r="H6" s="14">
        <v>0.4802</v>
      </c>
      <c r="I6" s="14">
        <v>0.7251</v>
      </c>
      <c r="J6" s="14">
        <v>0.6079</v>
      </c>
      <c r="K6" s="14">
        <v>0.2265</v>
      </c>
      <c r="L6" s="14">
        <v>6.0862</v>
      </c>
      <c r="M6" s="14" t="s">
        <v>31</v>
      </c>
    </row>
    <row r="7" ht="22.5" customHeight="1">
      <c r="A7" s="14" t="s">
        <v>50</v>
      </c>
      <c r="B7" s="15" t="s">
        <v>23</v>
      </c>
      <c r="C7" s="14">
        <v>3.0</v>
      </c>
      <c r="D7" s="14" t="s">
        <v>24</v>
      </c>
      <c r="E7" s="14">
        <v>0.8817</v>
      </c>
      <c r="F7" s="14">
        <v>16.0211</v>
      </c>
      <c r="G7" s="14">
        <v>17.4293</v>
      </c>
      <c r="H7" s="14">
        <v>0.54</v>
      </c>
      <c r="I7" s="14">
        <v>0.6627</v>
      </c>
      <c r="J7" s="14">
        <v>0.5901</v>
      </c>
      <c r="K7" s="14">
        <v>0.2086</v>
      </c>
      <c r="L7" s="14">
        <v>7.2168</v>
      </c>
      <c r="M7" s="14" t="s">
        <v>31</v>
      </c>
    </row>
    <row r="8" ht="22.5" customHeight="1">
      <c r="A8" s="14" t="s">
        <v>53</v>
      </c>
      <c r="B8" s="15" t="s">
        <v>23</v>
      </c>
      <c r="C8" s="14">
        <v>3.0</v>
      </c>
      <c r="D8" s="14" t="s">
        <v>24</v>
      </c>
      <c r="E8" s="14">
        <v>0.9023</v>
      </c>
      <c r="F8" s="14">
        <v>15.7233</v>
      </c>
      <c r="G8" s="14">
        <v>15.9218</v>
      </c>
      <c r="H8" s="14">
        <v>0.5171</v>
      </c>
      <c r="I8" s="14">
        <v>0.7794</v>
      </c>
      <c r="J8" s="14">
        <v>0.5809</v>
      </c>
      <c r="K8" s="14">
        <v>0.2576</v>
      </c>
      <c r="L8" s="14">
        <v>6.7296</v>
      </c>
      <c r="M8" s="14" t="s">
        <v>31</v>
      </c>
    </row>
    <row r="9" ht="22.5" customHeight="1">
      <c r="A9" s="14" t="s">
        <v>58</v>
      </c>
      <c r="B9" s="15" t="s">
        <v>23</v>
      </c>
      <c r="C9" s="14">
        <v>3.0</v>
      </c>
      <c r="D9" s="14" t="s">
        <v>24</v>
      </c>
      <c r="E9" s="14">
        <v>0.8954</v>
      </c>
      <c r="F9" s="14">
        <v>14.4557</v>
      </c>
      <c r="G9" s="14">
        <v>14.9315</v>
      </c>
      <c r="H9" s="14">
        <v>0.4394</v>
      </c>
      <c r="I9" s="14">
        <v>0.8148</v>
      </c>
      <c r="J9" s="14">
        <v>0.5701</v>
      </c>
      <c r="K9" s="14">
        <v>0.2638</v>
      </c>
      <c r="L9" s="14">
        <v>6.7141</v>
      </c>
      <c r="M9" s="14" t="s">
        <v>31</v>
      </c>
    </row>
    <row r="10" ht="22.5" customHeight="1">
      <c r="A10" s="14" t="s">
        <v>64</v>
      </c>
      <c r="B10" s="15" t="s">
        <v>23</v>
      </c>
      <c r="C10" s="14">
        <v>3.0</v>
      </c>
      <c r="D10" s="14" t="s">
        <v>24</v>
      </c>
      <c r="E10" s="14">
        <v>0.9086</v>
      </c>
      <c r="F10" s="14">
        <v>14.196</v>
      </c>
      <c r="G10" s="14">
        <v>15.3107</v>
      </c>
      <c r="H10" s="14">
        <v>0.6749</v>
      </c>
      <c r="I10" s="14">
        <v>0.761</v>
      </c>
      <c r="J10" s="14">
        <v>0.6032</v>
      </c>
      <c r="K10" s="14">
        <v>0.2742</v>
      </c>
      <c r="L10" s="14">
        <v>6.908</v>
      </c>
      <c r="M10" s="14" t="s">
        <v>31</v>
      </c>
    </row>
    <row r="11" ht="22.5" customHeight="1">
      <c r="A11" s="14" t="s">
        <v>69</v>
      </c>
      <c r="B11" s="15" t="s">
        <v>23</v>
      </c>
      <c r="C11" s="14">
        <v>3.0</v>
      </c>
      <c r="D11" s="14" t="s">
        <v>24</v>
      </c>
      <c r="E11" s="14">
        <v>0.6815</v>
      </c>
      <c r="F11" s="14">
        <v>13.9917</v>
      </c>
      <c r="G11" s="14">
        <v>15.1561</v>
      </c>
      <c r="H11" s="14">
        <v>0.7413</v>
      </c>
      <c r="I11" s="14">
        <v>0.7654</v>
      </c>
      <c r="J11" s="14">
        <v>0.5933</v>
      </c>
      <c r="K11" s="14">
        <v>0.2234</v>
      </c>
      <c r="L11" s="14">
        <v>6.8379</v>
      </c>
      <c r="M11" s="14" t="s">
        <v>31</v>
      </c>
    </row>
    <row r="12" ht="22.5" customHeight="1">
      <c r="A12" s="14" t="s">
        <v>74</v>
      </c>
      <c r="B12" s="15" t="s">
        <v>23</v>
      </c>
      <c r="C12" s="14">
        <v>3.0</v>
      </c>
      <c r="D12" s="14" t="s">
        <v>24</v>
      </c>
      <c r="E12" s="14">
        <v>0.8656</v>
      </c>
      <c r="F12" s="14">
        <v>13.8739</v>
      </c>
      <c r="G12" s="14">
        <v>15.1014</v>
      </c>
      <c r="H12" s="14">
        <v>0.6905</v>
      </c>
      <c r="I12" s="14">
        <v>0.7645</v>
      </c>
      <c r="J12" s="14">
        <v>0.5862</v>
      </c>
      <c r="K12" s="14">
        <v>0.2454</v>
      </c>
      <c r="L12" s="14">
        <v>6.0422</v>
      </c>
      <c r="M12" s="14" t="s">
        <v>31</v>
      </c>
    </row>
    <row r="13" ht="22.5" customHeight="1">
      <c r="A13" s="14" t="s">
        <v>79</v>
      </c>
      <c r="B13" s="15" t="s">
        <v>23</v>
      </c>
      <c r="C13" s="14">
        <v>3.0</v>
      </c>
      <c r="D13" s="14" t="s">
        <v>24</v>
      </c>
      <c r="E13" s="14">
        <v>0.9266</v>
      </c>
      <c r="F13" s="14">
        <v>13.4583</v>
      </c>
      <c r="G13" s="14">
        <v>14.2883</v>
      </c>
      <c r="H13" s="14">
        <v>0.4608</v>
      </c>
      <c r="I13" s="14">
        <v>0.8284</v>
      </c>
      <c r="J13" s="14">
        <v>0.5586</v>
      </c>
      <c r="K13" s="14">
        <v>0.2727</v>
      </c>
      <c r="L13" s="14">
        <v>7.0096</v>
      </c>
      <c r="M13" s="14" t="s">
        <v>31</v>
      </c>
    </row>
    <row r="14" ht="22.5" customHeight="1">
      <c r="A14" s="14" t="s">
        <v>84</v>
      </c>
      <c r="B14" s="15" t="s">
        <v>23</v>
      </c>
      <c r="C14" s="14">
        <v>3.0</v>
      </c>
      <c r="D14" s="14" t="s">
        <v>24</v>
      </c>
      <c r="E14" s="14">
        <v>0.9274</v>
      </c>
      <c r="F14" s="14">
        <v>13.4306</v>
      </c>
      <c r="G14" s="14">
        <v>14.2824</v>
      </c>
      <c r="H14" s="14">
        <v>0.4583</v>
      </c>
      <c r="I14" s="14">
        <v>0.8274</v>
      </c>
      <c r="J14" s="14">
        <v>0.5583</v>
      </c>
      <c r="K14" s="14">
        <v>0.2917</v>
      </c>
      <c r="L14" s="14">
        <v>6.985</v>
      </c>
      <c r="M14" s="14" t="s">
        <v>31</v>
      </c>
    </row>
    <row r="15" ht="22.5" customHeight="1">
      <c r="A15" s="14" t="s">
        <v>89</v>
      </c>
      <c r="B15" s="15" t="s">
        <v>23</v>
      </c>
      <c r="C15" s="14">
        <v>3.0</v>
      </c>
      <c r="D15" s="14" t="s">
        <v>24</v>
      </c>
      <c r="E15" s="14">
        <v>0.7984</v>
      </c>
      <c r="F15" s="14">
        <v>13.4064</v>
      </c>
      <c r="G15" s="14">
        <v>14.7483</v>
      </c>
      <c r="H15" s="14">
        <v>0.7379</v>
      </c>
      <c r="I15" s="14">
        <v>0.7745</v>
      </c>
      <c r="J15" s="14">
        <v>0.5943</v>
      </c>
      <c r="K15" s="14">
        <v>0.2389</v>
      </c>
      <c r="L15" s="14">
        <v>6.777</v>
      </c>
      <c r="M15" s="14" t="s">
        <v>31</v>
      </c>
    </row>
    <row r="16" ht="22.5" customHeight="1">
      <c r="A16" s="14" t="s">
        <v>93</v>
      </c>
      <c r="B16" s="15" t="s">
        <v>23</v>
      </c>
      <c r="C16" s="14">
        <v>3.0</v>
      </c>
      <c r="D16" s="14" t="s">
        <v>24</v>
      </c>
      <c r="E16" s="14">
        <v>0.9281</v>
      </c>
      <c r="F16" s="14">
        <v>13.344</v>
      </c>
      <c r="G16" s="14">
        <v>14.1445</v>
      </c>
      <c r="H16" s="14">
        <v>0.448</v>
      </c>
      <c r="I16" s="14">
        <v>0.8381</v>
      </c>
      <c r="J16" s="14">
        <v>0.5592</v>
      </c>
      <c r="K16" s="14">
        <v>0.2964</v>
      </c>
      <c r="L16" s="14">
        <v>6.9502</v>
      </c>
      <c r="M16" s="14" t="s">
        <v>31</v>
      </c>
    </row>
    <row r="17" ht="15.75" customHeight="1">
      <c r="A17" s="14" t="s">
        <v>97</v>
      </c>
      <c r="B17" s="15" t="s">
        <v>23</v>
      </c>
      <c r="C17" s="14">
        <v>3.0</v>
      </c>
      <c r="D17" s="14" t="s">
        <v>24</v>
      </c>
      <c r="E17" s="14">
        <v>0.9274</v>
      </c>
      <c r="F17" s="14">
        <v>13.3406</v>
      </c>
      <c r="G17" s="14">
        <v>14.248</v>
      </c>
      <c r="H17" s="14">
        <v>0.4665</v>
      </c>
      <c r="I17" s="14">
        <v>0.8258</v>
      </c>
      <c r="J17" s="14">
        <v>0.5545</v>
      </c>
      <c r="K17" s="14">
        <v>0.2962</v>
      </c>
      <c r="L17" s="14">
        <v>6.9753</v>
      </c>
      <c r="M17" s="14" t="s">
        <v>31</v>
      </c>
    </row>
    <row r="18" ht="15.75" customHeight="1">
      <c r="A18" s="14" t="s">
        <v>102</v>
      </c>
      <c r="B18" s="15" t="s">
        <v>23</v>
      </c>
      <c r="C18" s="14">
        <v>3.0</v>
      </c>
      <c r="D18" s="14" t="s">
        <v>24</v>
      </c>
      <c r="E18" s="14">
        <v>0.9278</v>
      </c>
      <c r="F18" s="14">
        <v>13.3302</v>
      </c>
      <c r="G18" s="14">
        <v>14.248</v>
      </c>
      <c r="H18" s="14">
        <v>0.4579</v>
      </c>
      <c r="I18" s="14">
        <v>0.8252</v>
      </c>
      <c r="J18" s="14">
        <v>0.5602</v>
      </c>
      <c r="K18" s="14">
        <v>0.2968</v>
      </c>
      <c r="L18" s="14">
        <v>6.9438</v>
      </c>
      <c r="M18" s="14" t="s">
        <v>31</v>
      </c>
    </row>
    <row r="19" ht="15.75" customHeight="1">
      <c r="A19" s="14" t="s">
        <v>106</v>
      </c>
      <c r="B19" s="15" t="s">
        <v>23</v>
      </c>
      <c r="C19" s="14">
        <v>3.0</v>
      </c>
      <c r="D19" s="14" t="s">
        <v>24</v>
      </c>
      <c r="E19" s="14">
        <v>0.933</v>
      </c>
      <c r="F19" s="14">
        <v>13.3267</v>
      </c>
      <c r="G19" s="14">
        <v>14.0126</v>
      </c>
      <c r="H19" s="14">
        <v>0.5317</v>
      </c>
      <c r="I19" s="14">
        <v>0.8529</v>
      </c>
      <c r="J19" s="14">
        <v>0.5843</v>
      </c>
      <c r="K19" s="14">
        <v>0.28</v>
      </c>
      <c r="L19" s="14">
        <v>6.7525</v>
      </c>
      <c r="M19" s="14" t="s">
        <v>31</v>
      </c>
    </row>
    <row r="20" ht="15.75" customHeight="1">
      <c r="A20" s="14" t="s">
        <v>112</v>
      </c>
      <c r="B20" s="15" t="s">
        <v>23</v>
      </c>
      <c r="C20" s="14">
        <v>3.0</v>
      </c>
      <c r="D20" s="14" t="s">
        <v>24</v>
      </c>
      <c r="E20" s="14">
        <v>0.9288</v>
      </c>
      <c r="F20" s="14">
        <v>13.2921</v>
      </c>
      <c r="G20" s="14">
        <v>14.2194</v>
      </c>
      <c r="H20" s="14">
        <v>0.4883</v>
      </c>
      <c r="I20" s="14">
        <v>0.8261</v>
      </c>
      <c r="J20" s="14">
        <v>0.5475</v>
      </c>
      <c r="K20" s="14">
        <v>0.2803</v>
      </c>
      <c r="L20" s="14">
        <v>7.0693</v>
      </c>
      <c r="M20" s="14" t="s">
        <v>31</v>
      </c>
    </row>
    <row r="21" ht="15.75" customHeight="1">
      <c r="A21" s="14" t="s">
        <v>117</v>
      </c>
      <c r="B21" s="15" t="s">
        <v>23</v>
      </c>
      <c r="C21" s="14">
        <v>3.0</v>
      </c>
      <c r="D21" s="14" t="s">
        <v>24</v>
      </c>
      <c r="E21" s="14">
        <v>0.9295</v>
      </c>
      <c r="F21" s="14">
        <v>13.2574</v>
      </c>
      <c r="G21" s="14">
        <v>14.248</v>
      </c>
      <c r="H21" s="14">
        <v>0.4731</v>
      </c>
      <c r="I21" s="14">
        <v>0.8207</v>
      </c>
      <c r="J21" s="14">
        <v>0.5585</v>
      </c>
      <c r="K21" s="14">
        <v>0.2999</v>
      </c>
      <c r="L21" s="14">
        <v>6.9289</v>
      </c>
      <c r="M21" s="14" t="s">
        <v>31</v>
      </c>
    </row>
    <row r="22" ht="15.75" customHeight="1">
      <c r="A22" s="14" t="s">
        <v>121</v>
      </c>
      <c r="B22" s="15" t="s">
        <v>23</v>
      </c>
      <c r="C22" s="14">
        <v>3.0</v>
      </c>
      <c r="D22" s="14" t="s">
        <v>24</v>
      </c>
      <c r="E22" s="14">
        <v>0.9301</v>
      </c>
      <c r="F22" s="14">
        <v>13.254</v>
      </c>
      <c r="G22" s="14">
        <v>14.1849</v>
      </c>
      <c r="H22" s="14">
        <v>0.4846</v>
      </c>
      <c r="I22" s="14">
        <v>0.8278</v>
      </c>
      <c r="J22" s="14">
        <v>0.5518</v>
      </c>
      <c r="K22" s="14">
        <v>0.2819</v>
      </c>
      <c r="L22" s="14">
        <v>7.0525</v>
      </c>
      <c r="M22" s="14" t="s">
        <v>31</v>
      </c>
    </row>
    <row r="23" ht="15.75" customHeight="1">
      <c r="A23" s="14" t="s">
        <v>126</v>
      </c>
      <c r="B23" s="15" t="s">
        <v>23</v>
      </c>
      <c r="C23" s="14">
        <v>3.0</v>
      </c>
      <c r="D23" s="14" t="s">
        <v>24</v>
      </c>
      <c r="E23" s="14">
        <v>0.9276</v>
      </c>
      <c r="F23" s="14">
        <v>13.2505</v>
      </c>
      <c r="G23" s="14">
        <v>14.0958</v>
      </c>
      <c r="H23" s="14">
        <v>0.4594</v>
      </c>
      <c r="I23" s="14">
        <v>0.838</v>
      </c>
      <c r="J23" s="14">
        <v>0.5542</v>
      </c>
      <c r="K23" s="14">
        <v>0.2829</v>
      </c>
      <c r="L23" s="14">
        <v>7.032</v>
      </c>
      <c r="M23" s="14" t="s">
        <v>31</v>
      </c>
    </row>
    <row r="24" ht="15.75" customHeight="1">
      <c r="A24" s="14" t="s">
        <v>132</v>
      </c>
      <c r="B24" s="15" t="s">
        <v>23</v>
      </c>
      <c r="C24" s="14">
        <v>3.0</v>
      </c>
      <c r="D24" s="14" t="s">
        <v>24</v>
      </c>
      <c r="E24" s="14">
        <v>0.9283</v>
      </c>
      <c r="F24" s="14">
        <v>13.2332</v>
      </c>
      <c r="G24" s="14">
        <v>14.1647</v>
      </c>
      <c r="H24" s="14">
        <v>0.4749</v>
      </c>
      <c r="I24" s="14">
        <v>0.8288</v>
      </c>
      <c r="J24" s="14">
        <v>0.5544</v>
      </c>
      <c r="K24" s="14">
        <v>0.2833</v>
      </c>
      <c r="L24" s="14">
        <v>7.0321</v>
      </c>
      <c r="M24" s="14" t="s">
        <v>31</v>
      </c>
    </row>
    <row r="25" ht="15.75" customHeight="1">
      <c r="A25" s="14" t="s">
        <v>137</v>
      </c>
      <c r="B25" s="15" t="s">
        <v>23</v>
      </c>
      <c r="C25" s="14">
        <v>3.0</v>
      </c>
      <c r="D25" s="14" t="s">
        <v>24</v>
      </c>
      <c r="E25" s="14">
        <v>0.9286</v>
      </c>
      <c r="F25" s="14">
        <v>13.2297</v>
      </c>
      <c r="G25" s="14">
        <v>14.0815</v>
      </c>
      <c r="H25" s="14">
        <v>0.4621</v>
      </c>
      <c r="I25" s="14">
        <v>0.8384</v>
      </c>
      <c r="J25" s="14">
        <v>0.5514</v>
      </c>
      <c r="K25" s="14">
        <v>0.283</v>
      </c>
      <c r="L25" s="14">
        <v>7.0494</v>
      </c>
      <c r="M25" s="14" t="s">
        <v>31</v>
      </c>
    </row>
    <row r="26" ht="15.75" customHeight="1">
      <c r="A26" s="14" t="s">
        <v>142</v>
      </c>
      <c r="B26" s="15" t="s">
        <v>23</v>
      </c>
      <c r="C26" s="14">
        <v>3.0</v>
      </c>
      <c r="D26" s="14" t="s">
        <v>24</v>
      </c>
      <c r="E26" s="14">
        <v>0.9278</v>
      </c>
      <c r="F26" s="14">
        <v>13.2228</v>
      </c>
      <c r="G26" s="14">
        <v>14.1849</v>
      </c>
      <c r="H26" s="14">
        <v>0.4814</v>
      </c>
      <c r="I26" s="14">
        <v>0.8258</v>
      </c>
      <c r="J26" s="14">
        <v>0.5521</v>
      </c>
      <c r="K26" s="14">
        <v>0.2825</v>
      </c>
      <c r="L26" s="14">
        <v>7.0503</v>
      </c>
      <c r="M26" s="14" t="s">
        <v>31</v>
      </c>
    </row>
    <row r="27" ht="15.75" customHeight="1">
      <c r="A27" s="14" t="s">
        <v>147</v>
      </c>
      <c r="B27" s="15" t="s">
        <v>23</v>
      </c>
      <c r="C27" s="14">
        <v>3.0</v>
      </c>
      <c r="D27" s="14" t="s">
        <v>24</v>
      </c>
      <c r="E27" s="14">
        <v>0.9273</v>
      </c>
      <c r="F27" s="14">
        <v>13.1951</v>
      </c>
      <c r="G27" s="14">
        <v>14.2824</v>
      </c>
      <c r="H27" s="14">
        <v>0.4766</v>
      </c>
      <c r="I27" s="14">
        <v>0.8129</v>
      </c>
      <c r="J27" s="14">
        <v>0.5643</v>
      </c>
      <c r="K27" s="14">
        <v>0.303</v>
      </c>
      <c r="L27" s="14">
        <v>6.8887</v>
      </c>
      <c r="M27" s="14" t="s">
        <v>31</v>
      </c>
    </row>
    <row r="28" ht="15.75" customHeight="1">
      <c r="A28" s="14" t="s">
        <v>152</v>
      </c>
      <c r="B28" s="15" t="s">
        <v>23</v>
      </c>
      <c r="C28" s="14">
        <v>3.0</v>
      </c>
      <c r="D28" s="14" t="s">
        <v>24</v>
      </c>
      <c r="E28" s="14">
        <v>0.9285</v>
      </c>
      <c r="F28" s="14">
        <v>13.1882</v>
      </c>
      <c r="G28" s="14">
        <v>14.0815</v>
      </c>
      <c r="H28" s="14">
        <v>0.4679</v>
      </c>
      <c r="I28" s="14">
        <v>0.8358</v>
      </c>
      <c r="J28" s="14">
        <v>0.5392</v>
      </c>
      <c r="K28" s="14">
        <v>0.284</v>
      </c>
      <c r="L28" s="14">
        <v>7.1005</v>
      </c>
      <c r="M28" s="14" t="s">
        <v>31</v>
      </c>
    </row>
    <row r="29" ht="15.75" customHeight="1">
      <c r="A29" s="14" t="s">
        <v>157</v>
      </c>
      <c r="B29" s="15" t="s">
        <v>23</v>
      </c>
      <c r="C29" s="14">
        <v>3.0</v>
      </c>
      <c r="D29" s="14" t="s">
        <v>24</v>
      </c>
      <c r="E29" s="14">
        <v>0.9287</v>
      </c>
      <c r="F29" s="14">
        <v>13.1882</v>
      </c>
      <c r="G29" s="14">
        <v>14.116</v>
      </c>
      <c r="H29" s="14">
        <v>0.4892</v>
      </c>
      <c r="I29" s="14">
        <v>0.8317</v>
      </c>
      <c r="J29" s="14">
        <v>0.5406</v>
      </c>
      <c r="K29" s="14">
        <v>0.2845</v>
      </c>
      <c r="L29" s="14">
        <v>7.0992</v>
      </c>
      <c r="M29" s="14" t="s">
        <v>31</v>
      </c>
    </row>
    <row r="30" ht="15.75" customHeight="1">
      <c r="A30" s="14" t="s">
        <v>162</v>
      </c>
      <c r="B30" s="15" t="s">
        <v>23</v>
      </c>
      <c r="C30" s="14">
        <v>3.0</v>
      </c>
      <c r="D30" s="14" t="s">
        <v>24</v>
      </c>
      <c r="E30" s="14">
        <v>0.7896</v>
      </c>
      <c r="F30" s="14">
        <v>13.1778</v>
      </c>
      <c r="G30" s="14">
        <v>14.6508</v>
      </c>
      <c r="H30" s="14">
        <v>0.7349</v>
      </c>
      <c r="I30" s="14">
        <v>0.7715</v>
      </c>
      <c r="J30" s="14">
        <v>0.5977</v>
      </c>
      <c r="K30" s="14">
        <v>0.2309</v>
      </c>
      <c r="L30" s="14">
        <v>6.7648</v>
      </c>
      <c r="M30" s="14" t="s">
        <v>31</v>
      </c>
    </row>
    <row r="31" ht="15.75" customHeight="1">
      <c r="A31" s="14" t="s">
        <v>167</v>
      </c>
      <c r="B31" s="15" t="s">
        <v>23</v>
      </c>
      <c r="C31" s="14">
        <v>3.0</v>
      </c>
      <c r="D31" s="14" t="s">
        <v>24</v>
      </c>
      <c r="E31" s="14">
        <v>0.9303</v>
      </c>
      <c r="F31" s="14">
        <v>13.1466</v>
      </c>
      <c r="G31" s="14">
        <v>14.0815</v>
      </c>
      <c r="H31" s="14">
        <v>0.4767</v>
      </c>
      <c r="I31" s="14">
        <v>0.8332</v>
      </c>
      <c r="J31" s="14">
        <v>0.5572</v>
      </c>
      <c r="K31" s="14">
        <v>0.2874</v>
      </c>
      <c r="L31" s="14">
        <v>7.0082</v>
      </c>
      <c r="M31" s="14" t="s">
        <v>31</v>
      </c>
    </row>
    <row r="32" ht="15.75" customHeight="1">
      <c r="A32" s="14" t="s">
        <v>172</v>
      </c>
      <c r="B32" s="15" t="s">
        <v>23</v>
      </c>
      <c r="C32" s="14">
        <v>3.0</v>
      </c>
      <c r="D32" s="14" t="s">
        <v>24</v>
      </c>
      <c r="E32" s="14">
        <v>0.9276</v>
      </c>
      <c r="F32" s="14">
        <v>13.1224</v>
      </c>
      <c r="G32" s="14">
        <v>14.116</v>
      </c>
      <c r="H32" s="14">
        <v>0.4915</v>
      </c>
      <c r="I32" s="14">
        <v>0.8276</v>
      </c>
      <c r="J32" s="14">
        <v>0.5571</v>
      </c>
      <c r="K32" s="14">
        <v>0.2883</v>
      </c>
      <c r="L32" s="14">
        <v>6.9945</v>
      </c>
      <c r="M32" s="14" t="s">
        <v>31</v>
      </c>
    </row>
    <row r="33" ht="15.75" customHeight="1">
      <c r="A33" s="14" t="s">
        <v>177</v>
      </c>
      <c r="B33" s="15" t="s">
        <v>23</v>
      </c>
      <c r="C33" s="14">
        <v>3.0</v>
      </c>
      <c r="D33" s="14" t="s">
        <v>24</v>
      </c>
      <c r="E33" s="14">
        <v>0.928</v>
      </c>
      <c r="F33" s="14">
        <v>13.1189</v>
      </c>
      <c r="G33" s="14">
        <v>14.0126</v>
      </c>
      <c r="H33" s="14">
        <v>0.4755</v>
      </c>
      <c r="I33" s="14">
        <v>0.8396</v>
      </c>
      <c r="J33" s="14">
        <v>0.5555</v>
      </c>
      <c r="K33" s="14">
        <v>0.2887</v>
      </c>
      <c r="L33" s="14">
        <v>7.0103</v>
      </c>
      <c r="M33" s="14" t="s">
        <v>31</v>
      </c>
    </row>
    <row r="34" ht="15.75" customHeight="1">
      <c r="A34" s="14" t="s">
        <v>182</v>
      </c>
      <c r="B34" s="15" t="s">
        <v>23</v>
      </c>
      <c r="C34" s="14">
        <v>3.0</v>
      </c>
      <c r="D34" s="14" t="s">
        <v>24</v>
      </c>
      <c r="E34" s="14">
        <v>0.942</v>
      </c>
      <c r="F34" s="14">
        <v>13.06</v>
      </c>
      <c r="G34" s="14">
        <v>14.0815</v>
      </c>
      <c r="H34" s="14">
        <v>0.5142</v>
      </c>
      <c r="I34" s="14">
        <v>0.8277</v>
      </c>
      <c r="J34" s="14">
        <v>0.5649</v>
      </c>
      <c r="K34" s="14">
        <v>0.29</v>
      </c>
      <c r="L34" s="14">
        <v>6.9666</v>
      </c>
      <c r="M34" s="14" t="s">
        <v>31</v>
      </c>
    </row>
    <row r="35" ht="15.75" customHeight="1">
      <c r="A35" s="14" t="s">
        <v>187</v>
      </c>
      <c r="B35" s="15" t="s">
        <v>23</v>
      </c>
      <c r="C35" s="14">
        <v>3.0</v>
      </c>
      <c r="D35" s="14" t="s">
        <v>24</v>
      </c>
      <c r="E35" s="14">
        <v>0.9303</v>
      </c>
      <c r="F35" s="14">
        <v>13.0358</v>
      </c>
      <c r="G35" s="14">
        <v>14.0126</v>
      </c>
      <c r="H35" s="14">
        <v>0.4657</v>
      </c>
      <c r="I35" s="14">
        <v>0.8343</v>
      </c>
      <c r="J35" s="14">
        <v>0.5464</v>
      </c>
      <c r="K35" s="14">
        <v>0.2918</v>
      </c>
      <c r="L35" s="14">
        <v>7.0332</v>
      </c>
      <c r="M35" s="14" t="s">
        <v>31</v>
      </c>
    </row>
    <row r="36" ht="15.75" customHeight="1">
      <c r="A36" s="14" t="s">
        <v>190</v>
      </c>
      <c r="B36" s="15" t="s">
        <v>23</v>
      </c>
      <c r="C36" s="14">
        <v>3.0</v>
      </c>
      <c r="D36" s="14" t="s">
        <v>24</v>
      </c>
      <c r="E36" s="14">
        <v>0.9297</v>
      </c>
      <c r="F36" s="14">
        <v>13.0289</v>
      </c>
      <c r="G36" s="14">
        <v>14.0126</v>
      </c>
      <c r="H36" s="14">
        <v>0.4949</v>
      </c>
      <c r="I36" s="14">
        <v>0.8338</v>
      </c>
      <c r="J36" s="14">
        <v>0.5463</v>
      </c>
      <c r="K36" s="14">
        <v>0.2914</v>
      </c>
      <c r="L36" s="14">
        <v>7.0408</v>
      </c>
      <c r="M36" s="14" t="s">
        <v>31</v>
      </c>
    </row>
    <row r="37" ht="15.75" customHeight="1">
      <c r="A37" s="14" t="s">
        <v>195</v>
      </c>
      <c r="B37" s="15" t="s">
        <v>23</v>
      </c>
      <c r="C37" s="14">
        <v>3.0</v>
      </c>
      <c r="D37" s="14" t="s">
        <v>24</v>
      </c>
      <c r="E37" s="14">
        <v>0.9239</v>
      </c>
      <c r="F37" s="14">
        <v>12.9873</v>
      </c>
      <c r="G37" s="14">
        <v>13.9495</v>
      </c>
      <c r="H37" s="14">
        <v>0.4644</v>
      </c>
      <c r="I37" s="14">
        <v>0.8387</v>
      </c>
      <c r="J37" s="14">
        <v>0.5634</v>
      </c>
      <c r="K37" s="14">
        <v>0.2786</v>
      </c>
      <c r="L37" s="14">
        <v>6.8906</v>
      </c>
      <c r="M37" s="14" t="s">
        <v>31</v>
      </c>
    </row>
    <row r="38" ht="15.75" customHeight="1">
      <c r="A38" s="14" t="s">
        <v>199</v>
      </c>
      <c r="B38" s="15" t="s">
        <v>23</v>
      </c>
      <c r="C38" s="14">
        <v>3.0</v>
      </c>
      <c r="D38" s="14" t="s">
        <v>24</v>
      </c>
      <c r="E38" s="14">
        <v>0.9416</v>
      </c>
      <c r="F38" s="14">
        <v>12.9838</v>
      </c>
      <c r="G38" s="14">
        <v>13.9436</v>
      </c>
      <c r="H38" s="14">
        <v>0.508</v>
      </c>
      <c r="I38" s="14">
        <v>0.8392</v>
      </c>
      <c r="J38" s="14">
        <v>0.5672</v>
      </c>
      <c r="K38" s="14">
        <v>0.2946</v>
      </c>
      <c r="L38" s="14">
        <v>6.9962</v>
      </c>
      <c r="M38" s="14" t="s">
        <v>31</v>
      </c>
    </row>
    <row r="39" ht="15.75" customHeight="1">
      <c r="A39" s="14" t="s">
        <v>203</v>
      </c>
      <c r="B39" s="15" t="s">
        <v>23</v>
      </c>
      <c r="C39" s="14">
        <v>3.0</v>
      </c>
      <c r="D39" s="14" t="s">
        <v>24</v>
      </c>
      <c r="E39" s="14">
        <v>0.939</v>
      </c>
      <c r="F39" s="14">
        <v>12.9665</v>
      </c>
      <c r="G39" s="14">
        <v>14.047</v>
      </c>
      <c r="H39" s="14">
        <v>0.4896</v>
      </c>
      <c r="I39" s="14">
        <v>0.8258</v>
      </c>
      <c r="J39" s="14">
        <v>0.5668</v>
      </c>
      <c r="K39" s="14">
        <v>0.2951</v>
      </c>
      <c r="L39" s="14">
        <v>6.9885</v>
      </c>
      <c r="M39" s="14" t="s">
        <v>31</v>
      </c>
    </row>
    <row r="40" ht="15.75" customHeight="1">
      <c r="A40" s="14" t="s">
        <v>208</v>
      </c>
      <c r="B40" s="15" t="s">
        <v>23</v>
      </c>
      <c r="C40" s="14">
        <v>3.0</v>
      </c>
      <c r="D40" s="14" t="s">
        <v>24</v>
      </c>
      <c r="E40" s="14">
        <v>0.9421</v>
      </c>
      <c r="F40" s="14">
        <v>12.9631</v>
      </c>
      <c r="G40" s="14">
        <v>14.0126</v>
      </c>
      <c r="H40" s="14">
        <v>0.4745</v>
      </c>
      <c r="I40" s="14">
        <v>0.8296</v>
      </c>
      <c r="J40" s="14">
        <v>0.5659</v>
      </c>
      <c r="K40" s="14">
        <v>0.2952</v>
      </c>
      <c r="L40" s="14">
        <v>6.998</v>
      </c>
      <c r="M40" s="14" t="s">
        <v>31</v>
      </c>
    </row>
    <row r="41" ht="15.75" customHeight="1">
      <c r="A41" s="14" t="s">
        <v>212</v>
      </c>
      <c r="B41" s="15" t="s">
        <v>23</v>
      </c>
      <c r="C41" s="14">
        <v>3.0</v>
      </c>
      <c r="D41" s="14" t="s">
        <v>24</v>
      </c>
      <c r="E41" s="14">
        <v>0.9395</v>
      </c>
      <c r="F41" s="14">
        <v>12.9284</v>
      </c>
      <c r="G41" s="14">
        <v>14.179</v>
      </c>
      <c r="H41" s="14">
        <v>0.5056</v>
      </c>
      <c r="I41" s="14">
        <v>0.8081</v>
      </c>
      <c r="J41" s="14">
        <v>0.5744</v>
      </c>
      <c r="K41" s="14">
        <v>0.3155</v>
      </c>
      <c r="L41" s="14">
        <v>6.8508</v>
      </c>
      <c r="M41" s="14" t="s">
        <v>31</v>
      </c>
    </row>
    <row r="42" ht="15.75" customHeight="1">
      <c r="A42" s="14" t="s">
        <v>218</v>
      </c>
      <c r="B42" s="15" t="s">
        <v>23</v>
      </c>
      <c r="C42" s="14">
        <v>3.0</v>
      </c>
      <c r="D42" s="14" t="s">
        <v>24</v>
      </c>
      <c r="E42" s="14">
        <v>0.9422</v>
      </c>
      <c r="F42" s="14">
        <v>12.918</v>
      </c>
      <c r="G42" s="14">
        <v>13.9436</v>
      </c>
      <c r="H42" s="14">
        <v>0.4999</v>
      </c>
      <c r="I42" s="14">
        <v>0.8349</v>
      </c>
      <c r="J42" s="14">
        <v>0.5639</v>
      </c>
      <c r="K42" s="14">
        <v>0.2977</v>
      </c>
      <c r="L42" s="14">
        <v>6.9831</v>
      </c>
      <c r="M42" s="14" t="s">
        <v>31</v>
      </c>
    </row>
    <row r="43" ht="15.75" customHeight="1">
      <c r="A43" s="14" t="s">
        <v>27</v>
      </c>
      <c r="B43" s="15" t="s">
        <v>23</v>
      </c>
      <c r="C43" s="14">
        <v>3.0</v>
      </c>
      <c r="D43" s="14" t="s">
        <v>24</v>
      </c>
      <c r="E43" s="14">
        <v>0.9419</v>
      </c>
      <c r="F43" s="14">
        <v>12.9111</v>
      </c>
      <c r="G43" s="14">
        <v>13.9436</v>
      </c>
      <c r="H43" s="14">
        <v>0.5074</v>
      </c>
      <c r="I43" s="14">
        <v>0.8345</v>
      </c>
      <c r="J43" s="14">
        <v>0.5667</v>
      </c>
      <c r="K43" s="14">
        <v>0.2983</v>
      </c>
      <c r="L43" s="14">
        <v>6.9629</v>
      </c>
      <c r="M43" s="14" t="s">
        <v>31</v>
      </c>
    </row>
    <row r="44" ht="15.75" customHeight="1">
      <c r="A44" s="14" t="s">
        <v>232</v>
      </c>
      <c r="B44" s="15" t="s">
        <v>23</v>
      </c>
      <c r="C44" s="14">
        <v>3.0</v>
      </c>
      <c r="D44" s="14" t="s">
        <v>24</v>
      </c>
      <c r="E44" s="14">
        <v>0.941</v>
      </c>
      <c r="F44" s="14">
        <v>12.8938</v>
      </c>
      <c r="G44" s="14">
        <v>14.0571</v>
      </c>
      <c r="H44" s="14">
        <v>0.4981</v>
      </c>
      <c r="I44" s="14">
        <v>0.82</v>
      </c>
      <c r="J44" s="14">
        <v>0.5641</v>
      </c>
      <c r="K44" s="14">
        <v>0.2979</v>
      </c>
      <c r="L44" s="14">
        <v>6.9718</v>
      </c>
      <c r="M44" s="14" t="s">
        <v>31</v>
      </c>
    </row>
    <row r="45" ht="15.75" customHeight="1">
      <c r="A45" s="14" t="s">
        <v>240</v>
      </c>
      <c r="B45" s="15" t="s">
        <v>23</v>
      </c>
      <c r="C45" s="14">
        <v>3.0</v>
      </c>
      <c r="D45" s="14" t="s">
        <v>24</v>
      </c>
      <c r="E45" s="14">
        <v>0.9393</v>
      </c>
      <c r="F45" s="14">
        <v>12.8765</v>
      </c>
      <c r="G45" s="14">
        <v>13.8806</v>
      </c>
      <c r="H45" s="14">
        <v>0.4726</v>
      </c>
      <c r="I45" s="14">
        <v>0.8398</v>
      </c>
      <c r="J45" s="14">
        <v>0.5566</v>
      </c>
      <c r="K45" s="14">
        <v>0.2815</v>
      </c>
      <c r="L45" s="14">
        <v>7.0329</v>
      </c>
      <c r="M45" s="14" t="s">
        <v>31</v>
      </c>
    </row>
    <row r="46" ht="15.75" customHeight="1">
      <c r="A46" s="14" t="s">
        <v>249</v>
      </c>
      <c r="B46" s="15" t="s">
        <v>23</v>
      </c>
      <c r="C46" s="14">
        <v>3.0</v>
      </c>
      <c r="D46" s="14" t="s">
        <v>24</v>
      </c>
      <c r="E46" s="14">
        <v>0.9421</v>
      </c>
      <c r="F46" s="14">
        <v>12.8765</v>
      </c>
      <c r="G46" s="14">
        <v>14.0857</v>
      </c>
      <c r="H46" s="14">
        <v>0.493</v>
      </c>
      <c r="I46" s="14">
        <v>0.8156</v>
      </c>
      <c r="J46" s="14">
        <v>0.5774</v>
      </c>
      <c r="K46" s="14">
        <v>0.3173</v>
      </c>
      <c r="L46" s="14">
        <v>6.8299</v>
      </c>
      <c r="M46" s="14" t="s">
        <v>31</v>
      </c>
    </row>
    <row r="47" ht="15.75" customHeight="1">
      <c r="A47" s="14" t="s">
        <v>256</v>
      </c>
      <c r="B47" s="15" t="s">
        <v>23</v>
      </c>
      <c r="C47" s="14">
        <v>3.0</v>
      </c>
      <c r="D47" s="14" t="s">
        <v>24</v>
      </c>
      <c r="E47" s="14">
        <v>0.9409</v>
      </c>
      <c r="F47" s="14">
        <v>12.8626</v>
      </c>
      <c r="G47" s="14">
        <v>13.9436</v>
      </c>
      <c r="H47" s="14">
        <v>0.5076</v>
      </c>
      <c r="I47" s="14">
        <v>0.8314</v>
      </c>
      <c r="J47" s="14">
        <v>0.5689</v>
      </c>
      <c r="K47" s="14">
        <v>0.3006</v>
      </c>
      <c r="L47" s="14">
        <v>6.9398</v>
      </c>
      <c r="M47" s="14" t="s">
        <v>31</v>
      </c>
    </row>
    <row r="48" ht="15.75" customHeight="1">
      <c r="A48" s="14" t="s">
        <v>262</v>
      </c>
      <c r="B48" s="15" t="s">
        <v>23</v>
      </c>
      <c r="C48" s="14">
        <v>3.0</v>
      </c>
      <c r="D48" s="14" t="s">
        <v>24</v>
      </c>
      <c r="E48" s="14">
        <v>0.9402</v>
      </c>
      <c r="F48" s="14">
        <v>12.8626</v>
      </c>
      <c r="G48" s="14">
        <v>13.9436</v>
      </c>
      <c r="H48" s="14">
        <v>0.5025</v>
      </c>
      <c r="I48" s="14">
        <v>0.8314</v>
      </c>
      <c r="J48" s="14">
        <v>0.5655</v>
      </c>
      <c r="K48" s="14">
        <v>0.3002</v>
      </c>
      <c r="L48" s="14">
        <v>6.9491</v>
      </c>
      <c r="M48" s="14" t="s">
        <v>31</v>
      </c>
    </row>
    <row r="49" ht="15.75" customHeight="1">
      <c r="A49" s="14" t="s">
        <v>269</v>
      </c>
      <c r="B49" s="15" t="s">
        <v>23</v>
      </c>
      <c r="C49" s="14">
        <v>3.0</v>
      </c>
      <c r="D49" s="14" t="s">
        <v>24</v>
      </c>
      <c r="E49" s="14">
        <v>0.8232</v>
      </c>
      <c r="F49" s="14">
        <v>12.8592</v>
      </c>
      <c r="G49" s="14">
        <v>14.5129</v>
      </c>
      <c r="H49" s="14">
        <v>0.7503</v>
      </c>
      <c r="I49" s="14">
        <v>0.7672</v>
      </c>
      <c r="J49" s="14">
        <v>0.5887</v>
      </c>
      <c r="K49" s="14">
        <v>0.2469</v>
      </c>
      <c r="L49" s="14">
        <v>6.7319</v>
      </c>
      <c r="M49" s="14" t="s">
        <v>31</v>
      </c>
    </row>
    <row r="50" ht="15.75" customHeight="1">
      <c r="A50" s="14" t="s">
        <v>275</v>
      </c>
      <c r="B50" s="15" t="s">
        <v>23</v>
      </c>
      <c r="C50" s="14">
        <v>3.0</v>
      </c>
      <c r="D50" s="14" t="s">
        <v>24</v>
      </c>
      <c r="E50" s="14">
        <v>0.9427</v>
      </c>
      <c r="F50" s="14">
        <v>12.8453</v>
      </c>
      <c r="G50" s="14">
        <v>13.8116</v>
      </c>
      <c r="H50" s="14">
        <v>0.5045</v>
      </c>
      <c r="I50" s="14">
        <v>0.8462</v>
      </c>
      <c r="J50" s="14">
        <v>0.5566</v>
      </c>
      <c r="K50" s="14">
        <v>0.2827</v>
      </c>
      <c r="L50" s="14">
        <v>7.0842</v>
      </c>
      <c r="M50" s="14" t="s">
        <v>31</v>
      </c>
    </row>
    <row r="51" ht="15.75" customHeight="1">
      <c r="A51" s="14" t="s">
        <v>280</v>
      </c>
      <c r="B51" s="15" t="s">
        <v>23</v>
      </c>
      <c r="C51" s="14">
        <v>3.0</v>
      </c>
      <c r="D51" s="14" t="s">
        <v>24</v>
      </c>
      <c r="E51" s="14">
        <v>0.8599</v>
      </c>
      <c r="F51" s="14">
        <v>12.8453</v>
      </c>
      <c r="G51" s="14">
        <v>14.4784</v>
      </c>
      <c r="H51" s="14">
        <v>0.7474</v>
      </c>
      <c r="I51" s="14">
        <v>0.77</v>
      </c>
      <c r="J51" s="14">
        <v>0.5983</v>
      </c>
      <c r="K51" s="14">
        <v>0.251</v>
      </c>
      <c r="L51" s="14">
        <v>6.709</v>
      </c>
      <c r="M51" s="14" t="s">
        <v>31</v>
      </c>
    </row>
    <row r="52" ht="15.75" customHeight="1">
      <c r="A52" s="14" t="s">
        <v>286</v>
      </c>
      <c r="B52" s="15" t="s">
        <v>23</v>
      </c>
      <c r="C52" s="14">
        <v>3.0</v>
      </c>
      <c r="D52" s="14" t="s">
        <v>24</v>
      </c>
      <c r="E52" s="14">
        <v>0.9318</v>
      </c>
      <c r="F52" s="14">
        <v>12.8453</v>
      </c>
      <c r="G52" s="14">
        <v>14.3573</v>
      </c>
      <c r="H52" s="14">
        <v>0.6951</v>
      </c>
      <c r="I52" s="14">
        <v>0.7831</v>
      </c>
      <c r="J52" s="14">
        <v>0.6003</v>
      </c>
      <c r="K52" s="14">
        <v>0.3037</v>
      </c>
      <c r="L52" s="14">
        <v>6.8049</v>
      </c>
      <c r="M52" s="14" t="s">
        <v>31</v>
      </c>
    </row>
    <row r="53" ht="15.75" customHeight="1">
      <c r="A53" s="14" t="s">
        <v>293</v>
      </c>
      <c r="B53" s="15" t="s">
        <v>23</v>
      </c>
      <c r="C53" s="14">
        <v>3.0</v>
      </c>
      <c r="D53" s="14" t="s">
        <v>24</v>
      </c>
      <c r="E53" s="14">
        <v>0.9318</v>
      </c>
      <c r="F53" s="14">
        <v>12.8384</v>
      </c>
      <c r="G53" s="14">
        <v>14.148</v>
      </c>
      <c r="H53" s="14">
        <v>0.6536</v>
      </c>
      <c r="I53" s="14">
        <v>0.806</v>
      </c>
      <c r="J53" s="14">
        <v>0.6077</v>
      </c>
      <c r="K53" s="14">
        <v>0.2661</v>
      </c>
      <c r="L53" s="14">
        <v>6.1235</v>
      </c>
      <c r="M53" s="14" t="s">
        <v>31</v>
      </c>
    </row>
    <row r="54" ht="15.75" customHeight="1">
      <c r="A54" s="14" t="s">
        <v>300</v>
      </c>
      <c r="B54" s="15" t="s">
        <v>23</v>
      </c>
      <c r="C54" s="14">
        <v>3.0</v>
      </c>
      <c r="D54" s="14" t="s">
        <v>24</v>
      </c>
      <c r="E54" s="14">
        <v>0.9234</v>
      </c>
      <c r="F54" s="14">
        <v>12.828</v>
      </c>
      <c r="G54" s="14">
        <v>14.3169</v>
      </c>
      <c r="H54" s="14">
        <v>0.6743</v>
      </c>
      <c r="I54" s="14">
        <v>0.7864</v>
      </c>
      <c r="J54" s="14">
        <v>0.638</v>
      </c>
      <c r="K54" s="14">
        <v>0.3233</v>
      </c>
      <c r="L54" s="14">
        <v>6.5049</v>
      </c>
      <c r="M54" s="14" t="s">
        <v>31</v>
      </c>
    </row>
    <row r="55" ht="15.75" customHeight="1">
      <c r="A55" s="14" t="s">
        <v>307</v>
      </c>
      <c r="B55" s="15" t="s">
        <v>23</v>
      </c>
      <c r="C55" s="14">
        <v>3.0</v>
      </c>
      <c r="D55" s="14" t="s">
        <v>24</v>
      </c>
      <c r="E55" s="14">
        <v>0.9431</v>
      </c>
      <c r="F55" s="14">
        <v>12.8245</v>
      </c>
      <c r="G55" s="14">
        <v>13.9781</v>
      </c>
      <c r="H55" s="14">
        <v>0.4921</v>
      </c>
      <c r="I55" s="14">
        <v>0.8248</v>
      </c>
      <c r="J55" s="14">
        <v>0.5704</v>
      </c>
      <c r="K55" s="14">
        <v>0.3023</v>
      </c>
      <c r="L55" s="14">
        <v>6.9243</v>
      </c>
      <c r="M55" s="14" t="s">
        <v>31</v>
      </c>
    </row>
    <row r="56" ht="15.75" customHeight="1">
      <c r="A56" s="14" t="s">
        <v>314</v>
      </c>
      <c r="B56" s="15" t="s">
        <v>23</v>
      </c>
      <c r="C56" s="14">
        <v>3.0</v>
      </c>
      <c r="D56" s="14" t="s">
        <v>24</v>
      </c>
      <c r="E56" s="14">
        <v>0.9414</v>
      </c>
      <c r="F56" s="14">
        <v>12.8038</v>
      </c>
      <c r="G56" s="14">
        <v>13.8482</v>
      </c>
      <c r="H56" s="14">
        <v>0.5021</v>
      </c>
      <c r="I56" s="14">
        <v>0.839</v>
      </c>
      <c r="J56" s="14">
        <v>0.5703</v>
      </c>
      <c r="K56" s="14">
        <v>0.303</v>
      </c>
      <c r="L56" s="14">
        <v>6.9281</v>
      </c>
      <c r="M56" s="14" t="s">
        <v>31</v>
      </c>
    </row>
    <row r="57" ht="15.75" customHeight="1">
      <c r="A57" s="14" t="s">
        <v>321</v>
      </c>
      <c r="B57" s="15" t="s">
        <v>23</v>
      </c>
      <c r="C57" s="14">
        <v>3.0</v>
      </c>
      <c r="D57" s="14" t="s">
        <v>24</v>
      </c>
      <c r="E57" s="14">
        <v>0.9407</v>
      </c>
      <c r="F57" s="14">
        <v>12.8038</v>
      </c>
      <c r="G57" s="14">
        <v>13.8461</v>
      </c>
      <c r="H57" s="14">
        <v>0.4977</v>
      </c>
      <c r="I57" s="14">
        <v>0.8393</v>
      </c>
      <c r="J57" s="14">
        <v>0.5574</v>
      </c>
      <c r="K57" s="14">
        <v>0.2848</v>
      </c>
      <c r="L57" s="14">
        <v>7.0741</v>
      </c>
      <c r="M57" s="14" t="s">
        <v>31</v>
      </c>
    </row>
    <row r="58" ht="15.75" customHeight="1">
      <c r="A58" s="14" t="s">
        <v>328</v>
      </c>
      <c r="B58" s="15" t="s">
        <v>23</v>
      </c>
      <c r="C58" s="14">
        <v>3.0</v>
      </c>
      <c r="D58" s="14" t="s">
        <v>24</v>
      </c>
      <c r="E58" s="14">
        <v>0.9425</v>
      </c>
      <c r="F58" s="14">
        <v>12.7934</v>
      </c>
      <c r="G58" s="14">
        <v>13.8482</v>
      </c>
      <c r="H58" s="14">
        <v>0.5084</v>
      </c>
      <c r="I58" s="14">
        <v>0.8383</v>
      </c>
      <c r="J58" s="14">
        <v>0.5711</v>
      </c>
      <c r="K58" s="14">
        <v>0.303</v>
      </c>
      <c r="L58" s="14">
        <v>6.9396</v>
      </c>
      <c r="M58" s="14" t="s">
        <v>31</v>
      </c>
    </row>
    <row r="59" ht="15.75" customHeight="1">
      <c r="A59" s="14" t="s">
        <v>235</v>
      </c>
      <c r="B59" s="15" t="s">
        <v>23</v>
      </c>
      <c r="C59" s="14">
        <v>3.0</v>
      </c>
      <c r="D59" s="14" t="s">
        <v>24</v>
      </c>
      <c r="E59" s="14">
        <v>0.9394</v>
      </c>
      <c r="F59" s="14">
        <v>12.783</v>
      </c>
      <c r="G59" s="14">
        <v>13.8827</v>
      </c>
      <c r="H59" s="14">
        <v>0.5029</v>
      </c>
      <c r="I59" s="14">
        <v>0.8335</v>
      </c>
      <c r="J59" s="14">
        <v>0.5718</v>
      </c>
      <c r="K59" s="14">
        <v>0.3037</v>
      </c>
      <c r="L59" s="14">
        <v>6.9107</v>
      </c>
      <c r="M59" s="14" t="s">
        <v>31</v>
      </c>
    </row>
    <row r="60" ht="15.75" customHeight="1">
      <c r="A60" s="14" t="s">
        <v>341</v>
      </c>
      <c r="B60" s="15" t="s">
        <v>23</v>
      </c>
      <c r="C60" s="14">
        <v>3.0</v>
      </c>
      <c r="D60" s="14" t="s">
        <v>24</v>
      </c>
      <c r="E60" s="14">
        <v>0.9408</v>
      </c>
      <c r="F60" s="14">
        <v>12.7622</v>
      </c>
      <c r="G60" s="14">
        <v>13.9436</v>
      </c>
      <c r="H60" s="14">
        <v>0.5035</v>
      </c>
      <c r="I60" s="14">
        <v>0.8249</v>
      </c>
      <c r="J60" s="14">
        <v>0.5627</v>
      </c>
      <c r="K60" s="14">
        <v>0.3053</v>
      </c>
      <c r="L60" s="14">
        <v>6.9575</v>
      </c>
      <c r="M60" s="14" t="s">
        <v>31</v>
      </c>
    </row>
    <row r="61" ht="15.75" customHeight="1">
      <c r="A61" s="14" t="s">
        <v>346</v>
      </c>
      <c r="B61" s="15" t="s">
        <v>23</v>
      </c>
      <c r="C61" s="14">
        <v>3.0</v>
      </c>
      <c r="D61" s="14" t="s">
        <v>24</v>
      </c>
      <c r="E61" s="14">
        <v>0.9418</v>
      </c>
      <c r="F61" s="14">
        <v>12.7553</v>
      </c>
      <c r="G61" s="14">
        <v>13.8116</v>
      </c>
      <c r="H61" s="14">
        <v>0.4886</v>
      </c>
      <c r="I61" s="14">
        <v>0.8403</v>
      </c>
      <c r="J61" s="14">
        <v>0.5604</v>
      </c>
      <c r="K61" s="14">
        <v>0.2878</v>
      </c>
      <c r="L61" s="14">
        <v>7.0474</v>
      </c>
      <c r="M61" s="14" t="s">
        <v>31</v>
      </c>
    </row>
    <row r="62" ht="15.75" customHeight="1">
      <c r="A62" s="14" t="s">
        <v>353</v>
      </c>
      <c r="B62" s="15" t="s">
        <v>23</v>
      </c>
      <c r="C62" s="14">
        <v>3.0</v>
      </c>
      <c r="D62" s="14" t="s">
        <v>24</v>
      </c>
      <c r="E62" s="14">
        <v>0.9419</v>
      </c>
      <c r="F62" s="14">
        <v>12.6895</v>
      </c>
      <c r="G62" s="14">
        <v>13.7427</v>
      </c>
      <c r="H62" s="14">
        <v>0.5027</v>
      </c>
      <c r="I62" s="14">
        <v>0.8443</v>
      </c>
      <c r="J62" s="14">
        <v>0.5635</v>
      </c>
      <c r="K62" s="14">
        <v>0.2913</v>
      </c>
      <c r="L62" s="14">
        <v>7.0152</v>
      </c>
      <c r="M62" s="14" t="s">
        <v>31</v>
      </c>
    </row>
    <row r="63" ht="15.75" customHeight="1">
      <c r="A63" s="14" t="s">
        <v>360</v>
      </c>
      <c r="B63" s="15" t="s">
        <v>23</v>
      </c>
      <c r="C63" s="14">
        <v>3.0</v>
      </c>
      <c r="D63" s="14" t="s">
        <v>24</v>
      </c>
      <c r="E63" s="14">
        <v>0.9305</v>
      </c>
      <c r="F63" s="14">
        <v>12.641</v>
      </c>
      <c r="G63" s="14">
        <v>14.1504</v>
      </c>
      <c r="H63" s="14">
        <v>0.6768</v>
      </c>
      <c r="I63" s="14">
        <v>0.7933</v>
      </c>
      <c r="J63" s="14">
        <v>0.6046</v>
      </c>
      <c r="K63" s="14">
        <v>0.3144</v>
      </c>
      <c r="L63" s="14">
        <v>6.7331</v>
      </c>
      <c r="M63" s="14" t="s">
        <v>31</v>
      </c>
    </row>
    <row r="64" ht="15.75" customHeight="1">
      <c r="A64" s="14" t="s">
        <v>366</v>
      </c>
      <c r="B64" s="15" t="s">
        <v>23</v>
      </c>
      <c r="C64" s="14">
        <v>3.0</v>
      </c>
      <c r="D64" s="14" t="s">
        <v>24</v>
      </c>
      <c r="E64" s="14">
        <v>0.93</v>
      </c>
      <c r="F64" s="14">
        <v>12.6375</v>
      </c>
      <c r="G64" s="14">
        <v>14.2194</v>
      </c>
      <c r="H64" s="14">
        <v>0.682</v>
      </c>
      <c r="I64" s="14">
        <v>0.7854</v>
      </c>
      <c r="J64" s="14">
        <v>0.6083</v>
      </c>
      <c r="K64" s="14">
        <v>0.3143</v>
      </c>
      <c r="L64" s="14">
        <v>6.7244</v>
      </c>
      <c r="M64" s="14" t="s">
        <v>31</v>
      </c>
    </row>
    <row r="65" ht="15.75" customHeight="1">
      <c r="A65" s="14" t="s">
        <v>296</v>
      </c>
      <c r="B65" s="15" t="s">
        <v>23</v>
      </c>
      <c r="C65" s="14">
        <v>3.0</v>
      </c>
      <c r="D65" s="14" t="s">
        <v>24</v>
      </c>
      <c r="E65" s="14">
        <v>0.9314</v>
      </c>
      <c r="F65" s="14">
        <v>12.5371</v>
      </c>
      <c r="G65" s="14">
        <v>14.0185</v>
      </c>
      <c r="H65" s="14">
        <v>0.6644</v>
      </c>
      <c r="I65" s="14">
        <v>0.8017</v>
      </c>
      <c r="J65" s="14">
        <v>0.6041</v>
      </c>
      <c r="K65" s="14">
        <v>0.3014</v>
      </c>
      <c r="L65" s="14">
        <v>6.799</v>
      </c>
      <c r="M65" s="14" t="s">
        <v>31</v>
      </c>
    </row>
    <row r="66" ht="15.75" customHeight="1">
      <c r="A66" s="14" t="s">
        <v>377</v>
      </c>
      <c r="B66" s="15" t="s">
        <v>23</v>
      </c>
      <c r="C66" s="14">
        <v>3.0</v>
      </c>
      <c r="D66" s="14" t="s">
        <v>24</v>
      </c>
      <c r="E66" s="14">
        <v>0.8961</v>
      </c>
      <c r="F66" s="14">
        <v>12.5094</v>
      </c>
      <c r="G66" s="14">
        <v>14.507</v>
      </c>
      <c r="H66" s="14">
        <v>0.742</v>
      </c>
      <c r="I66" s="14">
        <v>0.7469</v>
      </c>
      <c r="J66" s="14">
        <v>0.6084</v>
      </c>
      <c r="K66" s="14">
        <v>0.2853</v>
      </c>
      <c r="L66" s="14">
        <v>6.5636</v>
      </c>
      <c r="M66" s="14" t="s">
        <v>31</v>
      </c>
    </row>
    <row r="67" ht="15.75" customHeight="1">
      <c r="A67" s="14" t="s">
        <v>383</v>
      </c>
      <c r="B67" s="15" t="s">
        <v>23</v>
      </c>
      <c r="C67" s="14">
        <v>3.0</v>
      </c>
      <c r="D67" s="14" t="s">
        <v>24</v>
      </c>
      <c r="E67" s="14">
        <v>0.9309</v>
      </c>
      <c r="F67" s="14">
        <v>12.499</v>
      </c>
      <c r="G67" s="14">
        <v>14.0815</v>
      </c>
      <c r="H67" s="14">
        <v>0.6703</v>
      </c>
      <c r="I67" s="14">
        <v>0.7921</v>
      </c>
      <c r="J67" s="14">
        <v>0.6139</v>
      </c>
      <c r="K67" s="14">
        <v>0.3208</v>
      </c>
      <c r="L67" s="14">
        <v>6.6574</v>
      </c>
      <c r="M67" s="14" t="s">
        <v>31</v>
      </c>
    </row>
    <row r="68" ht="15.75" customHeight="1">
      <c r="A68" s="14" t="s">
        <v>388</v>
      </c>
      <c r="B68" s="15" t="s">
        <v>23</v>
      </c>
      <c r="C68" s="14">
        <v>3.0</v>
      </c>
      <c r="D68" s="14" t="s">
        <v>24</v>
      </c>
      <c r="E68" s="14">
        <v>0.9312</v>
      </c>
      <c r="F68" s="14">
        <v>12.4886</v>
      </c>
      <c r="G68" s="14">
        <v>14.2194</v>
      </c>
      <c r="H68" s="14">
        <v>0.6629</v>
      </c>
      <c r="I68" s="14">
        <v>0.7762</v>
      </c>
      <c r="J68" s="14">
        <v>0.6134</v>
      </c>
      <c r="K68" s="14">
        <v>0.3222</v>
      </c>
      <c r="L68" s="14">
        <v>6.6502</v>
      </c>
      <c r="M68" s="14" t="s">
        <v>31</v>
      </c>
    </row>
    <row r="69" ht="15.75" customHeight="1">
      <c r="A69" s="14" t="s">
        <v>395</v>
      </c>
      <c r="B69" s="15" t="s">
        <v>23</v>
      </c>
      <c r="C69" s="14">
        <v>3.0</v>
      </c>
      <c r="D69" s="14" t="s">
        <v>24</v>
      </c>
      <c r="E69" s="14">
        <v>0.933</v>
      </c>
      <c r="F69" s="14">
        <v>12.4851</v>
      </c>
      <c r="G69" s="14">
        <v>13.984</v>
      </c>
      <c r="H69" s="14">
        <v>0.6655</v>
      </c>
      <c r="I69" s="14">
        <v>0.8023</v>
      </c>
      <c r="J69" s="14">
        <v>0.5996</v>
      </c>
      <c r="K69" s="14">
        <v>0.3037</v>
      </c>
      <c r="L69" s="14">
        <v>6.8012</v>
      </c>
      <c r="M69" s="14" t="s">
        <v>31</v>
      </c>
    </row>
    <row r="70" ht="15.75" customHeight="1">
      <c r="A70" s="14" t="s">
        <v>402</v>
      </c>
      <c r="B70" s="15" t="s">
        <v>23</v>
      </c>
      <c r="C70" s="14">
        <v>3.0</v>
      </c>
      <c r="D70" s="14" t="s">
        <v>24</v>
      </c>
      <c r="E70" s="14">
        <v>0.9322</v>
      </c>
      <c r="F70" s="14">
        <v>12.4817</v>
      </c>
      <c r="G70" s="14">
        <v>14.0815</v>
      </c>
      <c r="H70" s="14">
        <v>0.6686</v>
      </c>
      <c r="I70" s="14">
        <v>0.791</v>
      </c>
      <c r="J70" s="14">
        <v>0.6167</v>
      </c>
      <c r="K70" s="14">
        <v>0.3218</v>
      </c>
      <c r="L70" s="14">
        <v>6.6592</v>
      </c>
      <c r="M70" s="14" t="s">
        <v>31</v>
      </c>
    </row>
    <row r="71" ht="15.75" customHeight="1">
      <c r="A71" s="14" t="s">
        <v>409</v>
      </c>
      <c r="B71" s="15" t="s">
        <v>23</v>
      </c>
      <c r="C71" s="14">
        <v>3.0</v>
      </c>
      <c r="D71" s="14" t="s">
        <v>24</v>
      </c>
      <c r="E71" s="14">
        <v>0.9306</v>
      </c>
      <c r="F71" s="14">
        <v>12.4643</v>
      </c>
      <c r="G71" s="14">
        <v>13.915</v>
      </c>
      <c r="H71" s="14">
        <v>0.6507</v>
      </c>
      <c r="I71" s="14">
        <v>0.8089</v>
      </c>
      <c r="J71" s="14">
        <v>0.6034</v>
      </c>
      <c r="K71" s="14">
        <v>0.3053</v>
      </c>
      <c r="L71" s="14">
        <v>6.7842</v>
      </c>
      <c r="M71" s="14" t="s">
        <v>31</v>
      </c>
    </row>
    <row r="72" ht="15.75" customHeight="1">
      <c r="A72" s="14" t="s">
        <v>416</v>
      </c>
      <c r="B72" s="15" t="s">
        <v>23</v>
      </c>
      <c r="C72" s="14">
        <v>3.0</v>
      </c>
      <c r="D72" s="14" t="s">
        <v>24</v>
      </c>
      <c r="E72" s="14">
        <v>0.9314</v>
      </c>
      <c r="F72" s="14">
        <v>12.4609</v>
      </c>
      <c r="G72" s="14">
        <v>14.0529</v>
      </c>
      <c r="H72" s="14">
        <v>0.6625</v>
      </c>
      <c r="I72" s="14">
        <v>0.7929</v>
      </c>
      <c r="J72" s="14">
        <v>0.6032</v>
      </c>
      <c r="K72" s="14">
        <v>0.3057</v>
      </c>
      <c r="L72" s="14">
        <v>6.7673</v>
      </c>
      <c r="M72" s="14" t="s">
        <v>31</v>
      </c>
    </row>
    <row r="73" ht="15.75" customHeight="1">
      <c r="A73" s="14" t="s">
        <v>423</v>
      </c>
      <c r="B73" s="15" t="s">
        <v>23</v>
      </c>
      <c r="C73" s="14">
        <v>3.0</v>
      </c>
      <c r="D73" s="14" t="s">
        <v>24</v>
      </c>
      <c r="E73" s="14">
        <v>0.9324</v>
      </c>
      <c r="F73" s="14">
        <v>12.4297</v>
      </c>
      <c r="G73" s="14">
        <v>13.984</v>
      </c>
      <c r="H73" s="14">
        <v>0.6742</v>
      </c>
      <c r="I73" s="14">
        <v>0.7987</v>
      </c>
      <c r="J73" s="14">
        <v>0.6045</v>
      </c>
      <c r="K73" s="14">
        <v>0.3072</v>
      </c>
      <c r="L73" s="14">
        <v>6.7583</v>
      </c>
      <c r="M73" s="14" t="s">
        <v>31</v>
      </c>
    </row>
    <row r="74" ht="15.75" customHeight="1">
      <c r="A74" s="14" t="s">
        <v>430</v>
      </c>
      <c r="B74" s="15" t="s">
        <v>23</v>
      </c>
      <c r="C74" s="14">
        <v>3.0</v>
      </c>
      <c r="D74" s="14" t="s">
        <v>24</v>
      </c>
      <c r="E74" s="14">
        <v>0.9339</v>
      </c>
      <c r="F74" s="14">
        <v>12.4297</v>
      </c>
      <c r="G74" s="14">
        <v>14.0185</v>
      </c>
      <c r="H74" s="14">
        <v>0.6688</v>
      </c>
      <c r="I74" s="14">
        <v>0.7948</v>
      </c>
      <c r="J74" s="14">
        <v>0.6059</v>
      </c>
      <c r="K74" s="14">
        <v>0.3074</v>
      </c>
      <c r="L74" s="14">
        <v>6.7676</v>
      </c>
      <c r="M74" s="14" t="s">
        <v>31</v>
      </c>
    </row>
    <row r="75" ht="15.75" customHeight="1">
      <c r="A75" s="14" t="s">
        <v>437</v>
      </c>
      <c r="B75" s="15" t="s">
        <v>23</v>
      </c>
      <c r="C75" s="14">
        <v>3.0</v>
      </c>
      <c r="D75" s="14" t="s">
        <v>24</v>
      </c>
      <c r="E75" s="14">
        <v>0.9336</v>
      </c>
      <c r="F75" s="14">
        <v>12.4159</v>
      </c>
      <c r="G75" s="14">
        <v>13.915</v>
      </c>
      <c r="H75" s="14">
        <v>0.6656</v>
      </c>
      <c r="I75" s="14">
        <v>0.8058</v>
      </c>
      <c r="J75" s="14">
        <v>0.6085</v>
      </c>
      <c r="K75" s="14">
        <v>0.3074</v>
      </c>
      <c r="L75" s="14">
        <v>6.7583</v>
      </c>
      <c r="M75" s="14" t="s">
        <v>31</v>
      </c>
    </row>
    <row r="76" ht="15.75" customHeight="1">
      <c r="A76" s="14" t="s">
        <v>444</v>
      </c>
      <c r="B76" s="15" t="s">
        <v>23</v>
      </c>
      <c r="C76" s="14">
        <v>3.0</v>
      </c>
      <c r="D76" s="14" t="s">
        <v>24</v>
      </c>
      <c r="E76" s="14">
        <v>0.9315</v>
      </c>
      <c r="F76" s="14">
        <v>12.402</v>
      </c>
      <c r="G76" s="14">
        <v>13.984</v>
      </c>
      <c r="H76" s="14">
        <v>0.6574</v>
      </c>
      <c r="I76" s="14">
        <v>0.797</v>
      </c>
      <c r="J76" s="14">
        <v>0.6043</v>
      </c>
      <c r="K76" s="14">
        <v>0.308</v>
      </c>
      <c r="L76" s="14">
        <v>6.7617</v>
      </c>
      <c r="M76" s="14" t="s">
        <v>31</v>
      </c>
    </row>
    <row r="77" ht="15.75" customHeight="1">
      <c r="A77" s="14" t="s">
        <v>451</v>
      </c>
      <c r="B77" s="15" t="s">
        <v>23</v>
      </c>
      <c r="C77" s="14">
        <v>3.0</v>
      </c>
      <c r="D77" s="14" t="s">
        <v>24</v>
      </c>
      <c r="E77" s="14">
        <v>0.9317</v>
      </c>
      <c r="F77" s="14">
        <v>12.3882</v>
      </c>
      <c r="G77" s="14">
        <v>14.0529</v>
      </c>
      <c r="H77" s="14">
        <v>0.6658</v>
      </c>
      <c r="I77" s="14">
        <v>0.7883</v>
      </c>
      <c r="J77" s="14">
        <v>0.6054</v>
      </c>
      <c r="K77" s="14">
        <v>0.3086</v>
      </c>
      <c r="L77" s="14">
        <v>6.7675</v>
      </c>
      <c r="M77" s="14" t="s">
        <v>31</v>
      </c>
    </row>
    <row r="78" ht="15.75" customHeight="1">
      <c r="A78" s="14" t="s">
        <v>459</v>
      </c>
      <c r="B78" s="15" t="s">
        <v>23</v>
      </c>
      <c r="C78" s="14">
        <v>3.0</v>
      </c>
      <c r="D78" s="14" t="s">
        <v>24</v>
      </c>
      <c r="E78" s="14">
        <v>0.9284</v>
      </c>
      <c r="F78" s="14">
        <v>12.3708</v>
      </c>
      <c r="G78" s="14">
        <v>13.8806</v>
      </c>
      <c r="H78" s="14">
        <v>0.6654</v>
      </c>
      <c r="I78" s="14">
        <v>0.8069</v>
      </c>
      <c r="J78" s="14">
        <v>0.6066</v>
      </c>
      <c r="K78" s="14">
        <v>0.31</v>
      </c>
      <c r="L78" s="14">
        <v>6.7503</v>
      </c>
      <c r="M78" s="14" t="s">
        <v>31</v>
      </c>
    </row>
    <row r="79" ht="15.75" customHeight="1">
      <c r="A79" s="14" t="s">
        <v>468</v>
      </c>
      <c r="B79" s="15" t="s">
        <v>23</v>
      </c>
      <c r="C79" s="14">
        <v>3.0</v>
      </c>
      <c r="D79" s="14" t="s">
        <v>24</v>
      </c>
      <c r="E79" s="14">
        <v>0.9322</v>
      </c>
      <c r="F79" s="14">
        <v>12.3639</v>
      </c>
      <c r="G79" s="14">
        <v>13.9495</v>
      </c>
      <c r="H79" s="14">
        <v>0.6569</v>
      </c>
      <c r="I79" s="14">
        <v>0.7984</v>
      </c>
      <c r="J79" s="14">
        <v>0.6076</v>
      </c>
      <c r="K79" s="14">
        <v>0.3106</v>
      </c>
      <c r="L79" s="14">
        <v>6.7272</v>
      </c>
      <c r="M79" s="14" t="s">
        <v>31</v>
      </c>
    </row>
    <row r="80" ht="15.75" customHeight="1">
      <c r="A80" s="14" t="s">
        <v>475</v>
      </c>
      <c r="B80" s="15" t="s">
        <v>23</v>
      </c>
      <c r="C80" s="14">
        <v>3.0</v>
      </c>
      <c r="D80" s="14" t="s">
        <v>24</v>
      </c>
      <c r="E80" s="14">
        <v>0.932</v>
      </c>
      <c r="F80" s="14">
        <v>12.3362</v>
      </c>
      <c r="G80" s="14">
        <v>14.0529</v>
      </c>
      <c r="H80" s="14">
        <v>0.678</v>
      </c>
      <c r="I80" s="14">
        <v>0.785</v>
      </c>
      <c r="J80" s="14">
        <v>0.6163</v>
      </c>
      <c r="K80" s="14">
        <v>0.3124</v>
      </c>
      <c r="L80" s="14">
        <v>6.6902</v>
      </c>
      <c r="M80" s="14" t="s">
        <v>31</v>
      </c>
    </row>
    <row r="81" ht="15.75" customHeight="1">
      <c r="A81" s="14" t="s">
        <v>483</v>
      </c>
      <c r="B81" s="15" t="s">
        <v>23</v>
      </c>
      <c r="C81" s="14">
        <v>3.0</v>
      </c>
      <c r="D81" s="14" t="s">
        <v>24</v>
      </c>
      <c r="E81" s="14">
        <v>0.9313</v>
      </c>
      <c r="F81" s="14">
        <v>12.2843</v>
      </c>
      <c r="G81" s="14">
        <v>13.915</v>
      </c>
      <c r="H81" s="14">
        <v>0.661</v>
      </c>
      <c r="I81" s="14">
        <v>0.7972</v>
      </c>
      <c r="J81" s="14">
        <v>0.6227</v>
      </c>
      <c r="K81" s="14">
        <v>0.3149</v>
      </c>
      <c r="L81" s="14">
        <v>6.6654</v>
      </c>
      <c r="M81" s="14" t="s">
        <v>31</v>
      </c>
    </row>
    <row r="82" ht="15.75" customHeight="1">
      <c r="A82" s="14" t="s">
        <v>492</v>
      </c>
      <c r="B82" s="15" t="s">
        <v>23</v>
      </c>
      <c r="C82" s="14">
        <v>3.0</v>
      </c>
      <c r="D82" s="14" t="s">
        <v>24</v>
      </c>
      <c r="E82" s="14">
        <v>0.9238</v>
      </c>
      <c r="F82" s="14">
        <v>12.2392</v>
      </c>
      <c r="G82" s="14">
        <v>13.8175</v>
      </c>
      <c r="H82" s="14">
        <v>0.6894</v>
      </c>
      <c r="I82" s="14">
        <v>0.8056</v>
      </c>
      <c r="J82" s="14">
        <v>0.6129</v>
      </c>
      <c r="K82" s="14">
        <v>0.2994</v>
      </c>
      <c r="L82" s="14">
        <v>6.6744</v>
      </c>
      <c r="M82" s="14" t="s">
        <v>31</v>
      </c>
    </row>
    <row r="83" ht="15.75" customHeight="1">
      <c r="A83" s="14" t="s">
        <v>497</v>
      </c>
      <c r="B83" s="15" t="s">
        <v>23</v>
      </c>
      <c r="C83" s="14">
        <v>3.0</v>
      </c>
      <c r="D83" s="14" t="s">
        <v>24</v>
      </c>
      <c r="E83" s="14">
        <v>0.9342</v>
      </c>
      <c r="F83" s="14">
        <v>12.2358</v>
      </c>
      <c r="G83" s="14">
        <v>13.8461</v>
      </c>
      <c r="H83" s="14">
        <v>0.6662</v>
      </c>
      <c r="I83" s="14">
        <v>0.802</v>
      </c>
      <c r="J83" s="14">
        <v>0.6159</v>
      </c>
      <c r="K83" s="14">
        <v>0.3162</v>
      </c>
      <c r="L83" s="14">
        <v>6.6913</v>
      </c>
      <c r="M83" s="14" t="s">
        <v>31</v>
      </c>
    </row>
    <row r="84" ht="15.75" customHeight="1">
      <c r="A84" s="14" t="s">
        <v>504</v>
      </c>
      <c r="B84" s="15" t="s">
        <v>23</v>
      </c>
      <c r="C84" s="14">
        <v>3.0</v>
      </c>
      <c r="D84" s="14" t="s">
        <v>24</v>
      </c>
      <c r="E84" s="14">
        <v>0.901</v>
      </c>
      <c r="F84" s="14">
        <v>12.1423</v>
      </c>
      <c r="G84" s="14">
        <v>13.8924</v>
      </c>
      <c r="H84" s="14">
        <v>0.6606</v>
      </c>
      <c r="I84" s="14">
        <v>0.7906</v>
      </c>
      <c r="J84" s="14">
        <v>0.6063</v>
      </c>
      <c r="K84" s="14">
        <v>0.2901</v>
      </c>
      <c r="L84" s="14">
        <v>5.9814</v>
      </c>
      <c r="M84" s="14" t="s">
        <v>31</v>
      </c>
    </row>
    <row r="85" ht="15.75" customHeight="1">
      <c r="A85" s="14" t="s">
        <v>509</v>
      </c>
      <c r="B85" s="15" t="s">
        <v>23</v>
      </c>
      <c r="C85" s="14">
        <v>3.0</v>
      </c>
      <c r="D85" s="14" t="s">
        <v>24</v>
      </c>
      <c r="E85" s="14">
        <v>0.9371</v>
      </c>
      <c r="F85" s="14">
        <v>12.0107</v>
      </c>
      <c r="G85" s="14">
        <v>13.7545</v>
      </c>
      <c r="H85" s="14">
        <v>0.5889</v>
      </c>
      <c r="I85" s="14">
        <v>0.7978</v>
      </c>
      <c r="J85" s="14">
        <v>0.5537</v>
      </c>
      <c r="K85" s="14">
        <v>0.2731</v>
      </c>
      <c r="L85" s="14">
        <v>6.9085</v>
      </c>
      <c r="M85" s="14" t="s">
        <v>31</v>
      </c>
    </row>
    <row r="86" ht="15.75" customHeight="1">
      <c r="A86" s="14" t="s">
        <v>324</v>
      </c>
      <c r="B86" s="15" t="s">
        <v>23</v>
      </c>
      <c r="C86" s="14">
        <v>3.0</v>
      </c>
      <c r="D86" s="14" t="s">
        <v>24</v>
      </c>
      <c r="E86" s="14">
        <v>0.9202</v>
      </c>
      <c r="F86" s="14">
        <v>11.9068</v>
      </c>
      <c r="G86" s="14">
        <v>13.7545</v>
      </c>
      <c r="H86" s="14">
        <v>0.6813</v>
      </c>
      <c r="I86" s="14">
        <v>0.7909</v>
      </c>
      <c r="J86" s="14">
        <v>0.6088</v>
      </c>
      <c r="K86" s="14">
        <v>0.2975</v>
      </c>
      <c r="L86" s="14">
        <v>6.6412</v>
      </c>
      <c r="M86" s="14" t="s">
        <v>31</v>
      </c>
    </row>
    <row r="87" ht="15.75" customHeight="1">
      <c r="A87" s="14" t="s">
        <v>520</v>
      </c>
      <c r="B87" s="15" t="s">
        <v>23</v>
      </c>
      <c r="C87" s="14">
        <v>3.0</v>
      </c>
      <c r="D87" s="14" t="s">
        <v>24</v>
      </c>
      <c r="E87" s="14">
        <v>0.9192</v>
      </c>
      <c r="F87" s="14">
        <v>11.886</v>
      </c>
      <c r="G87" s="14">
        <v>13.6654</v>
      </c>
      <c r="H87" s="14">
        <v>0.6277</v>
      </c>
      <c r="I87" s="14">
        <v>0.7998</v>
      </c>
      <c r="J87" s="14">
        <v>0.5912</v>
      </c>
      <c r="K87" s="14">
        <v>0.2986</v>
      </c>
      <c r="L87" s="14">
        <v>6.319</v>
      </c>
      <c r="M87" s="14" t="s">
        <v>31</v>
      </c>
    </row>
    <row r="88" ht="15.75" customHeight="1">
      <c r="A88" s="14" t="s">
        <v>526</v>
      </c>
      <c r="B88" s="15" t="s">
        <v>23</v>
      </c>
      <c r="C88" s="14">
        <v>3.0</v>
      </c>
      <c r="D88" s="14" t="s">
        <v>24</v>
      </c>
      <c r="E88" s="14">
        <v>0.9478</v>
      </c>
      <c r="F88" s="14">
        <v>11.7128</v>
      </c>
      <c r="G88" s="14">
        <v>13.3955</v>
      </c>
      <c r="H88" s="14">
        <v>0.5695</v>
      </c>
      <c r="I88" s="14">
        <v>0.8203</v>
      </c>
      <c r="J88" s="14">
        <v>0.5609</v>
      </c>
      <c r="K88" s="14">
        <v>0.2887</v>
      </c>
      <c r="L88" s="14">
        <v>6.9291</v>
      </c>
      <c r="M88" s="14" t="s">
        <v>31</v>
      </c>
    </row>
    <row r="89" ht="15.75" customHeight="1">
      <c r="A89" s="14" t="s">
        <v>533</v>
      </c>
      <c r="B89" s="15" t="s">
        <v>23</v>
      </c>
      <c r="C89" s="14">
        <v>3.0</v>
      </c>
      <c r="D89" s="14" t="s">
        <v>24</v>
      </c>
      <c r="E89" s="14">
        <v>0.9475</v>
      </c>
      <c r="F89" s="14">
        <v>11.6678</v>
      </c>
      <c r="G89" s="14">
        <v>13.5334</v>
      </c>
      <c r="H89" s="14">
        <v>0.5835</v>
      </c>
      <c r="I89" s="14">
        <v>0.8005</v>
      </c>
      <c r="J89" s="14">
        <v>0.5639</v>
      </c>
      <c r="K89" s="14">
        <v>0.2915</v>
      </c>
      <c r="L89" s="14">
        <v>6.9031</v>
      </c>
      <c r="M89" s="14" t="s">
        <v>31</v>
      </c>
    </row>
    <row r="90" ht="15.75" customHeight="1">
      <c r="A90" s="14" t="s">
        <v>540</v>
      </c>
      <c r="B90" s="15" t="s">
        <v>23</v>
      </c>
      <c r="C90" s="14">
        <v>3.0</v>
      </c>
      <c r="D90" s="14" t="s">
        <v>24</v>
      </c>
      <c r="E90" s="14">
        <v>0.9454</v>
      </c>
      <c r="F90" s="14">
        <v>11.6574</v>
      </c>
      <c r="G90" s="14">
        <v>13.4157</v>
      </c>
      <c r="H90" s="14">
        <v>0.585</v>
      </c>
      <c r="I90" s="14">
        <v>0.8139</v>
      </c>
      <c r="J90" s="14">
        <v>0.5669</v>
      </c>
      <c r="K90" s="14">
        <v>0.2923</v>
      </c>
      <c r="L90" s="14">
        <v>6.8941</v>
      </c>
      <c r="M90" s="14" t="s">
        <v>31</v>
      </c>
    </row>
    <row r="91" ht="15.75" customHeight="1">
      <c r="A91" s="14" t="s">
        <v>354</v>
      </c>
      <c r="B91" s="15" t="s">
        <v>23</v>
      </c>
      <c r="C91" s="14">
        <v>3.0</v>
      </c>
      <c r="D91" s="14" t="s">
        <v>24</v>
      </c>
      <c r="E91" s="14">
        <v>0.9252</v>
      </c>
      <c r="F91" s="14">
        <v>11.6505</v>
      </c>
      <c r="G91" s="14">
        <v>13.9613</v>
      </c>
      <c r="H91" s="14">
        <v>0.6838</v>
      </c>
      <c r="I91" s="14">
        <v>0.7511</v>
      </c>
      <c r="J91" s="14">
        <v>0.5994</v>
      </c>
      <c r="K91" s="14">
        <v>0.3111</v>
      </c>
      <c r="L91" s="14">
        <v>6.5204</v>
      </c>
      <c r="M91" s="14" t="s">
        <v>31</v>
      </c>
    </row>
    <row r="92" ht="15.75" customHeight="1">
      <c r="A92" s="14" t="s">
        <v>549</v>
      </c>
      <c r="B92" s="15" t="s">
        <v>23</v>
      </c>
      <c r="C92" s="14">
        <v>3.0</v>
      </c>
      <c r="D92" s="14" t="s">
        <v>24</v>
      </c>
      <c r="E92" s="14">
        <v>0.9389</v>
      </c>
      <c r="F92" s="14">
        <v>11.6401</v>
      </c>
      <c r="G92" s="14">
        <v>13.5132</v>
      </c>
      <c r="H92" s="14">
        <v>0.5679</v>
      </c>
      <c r="I92" s="14">
        <v>0.801</v>
      </c>
      <c r="J92" s="14">
        <v>0.5637</v>
      </c>
      <c r="K92" s="14">
        <v>0.2924</v>
      </c>
      <c r="L92" s="14">
        <v>6.9106</v>
      </c>
      <c r="M92" s="14" t="s">
        <v>31</v>
      </c>
    </row>
    <row r="93" ht="15.75" customHeight="1">
      <c r="A93" s="14" t="s">
        <v>555</v>
      </c>
      <c r="B93" s="15" t="s">
        <v>23</v>
      </c>
      <c r="C93" s="14">
        <v>3.0</v>
      </c>
      <c r="D93" s="14" t="s">
        <v>24</v>
      </c>
      <c r="E93" s="14">
        <v>0.9457</v>
      </c>
      <c r="F93" s="14">
        <v>11.6297</v>
      </c>
      <c r="G93" s="14">
        <v>13.4644</v>
      </c>
      <c r="H93" s="14">
        <v>0.5639</v>
      </c>
      <c r="I93" s="14">
        <v>0.8061</v>
      </c>
      <c r="J93" s="14">
        <v>0.5636</v>
      </c>
      <c r="K93" s="14">
        <v>0.2933</v>
      </c>
      <c r="L93" s="14">
        <v>6.9053</v>
      </c>
      <c r="M93" s="14" t="s">
        <v>31</v>
      </c>
    </row>
    <row r="94" ht="15.75" customHeight="1">
      <c r="A94" s="14" t="s">
        <v>561</v>
      </c>
      <c r="B94" s="15" t="s">
        <v>23</v>
      </c>
      <c r="C94" s="14">
        <v>3.0</v>
      </c>
      <c r="D94" s="14" t="s">
        <v>24</v>
      </c>
      <c r="E94" s="14">
        <v>0.9399</v>
      </c>
      <c r="F94" s="14">
        <v>11.6297</v>
      </c>
      <c r="G94" s="14">
        <v>13.6368</v>
      </c>
      <c r="H94" s="14">
        <v>0.6367</v>
      </c>
      <c r="I94" s="14">
        <v>0.7859</v>
      </c>
      <c r="J94" s="14">
        <v>0.6049</v>
      </c>
      <c r="K94" s="14">
        <v>0.2987</v>
      </c>
      <c r="L94" s="14">
        <v>6.2402</v>
      </c>
      <c r="M94" s="14" t="s">
        <v>31</v>
      </c>
    </row>
    <row r="95" ht="15.75" customHeight="1">
      <c r="A95" s="14" t="s">
        <v>568</v>
      </c>
      <c r="B95" s="15" t="s">
        <v>23</v>
      </c>
      <c r="C95" s="14">
        <v>3.0</v>
      </c>
      <c r="D95" s="14" t="s">
        <v>24</v>
      </c>
      <c r="E95" s="14">
        <v>0.9448</v>
      </c>
      <c r="F95" s="14">
        <v>11.6228</v>
      </c>
      <c r="G95" s="14">
        <v>13.5132</v>
      </c>
      <c r="H95" s="14">
        <v>0.5758</v>
      </c>
      <c r="I95" s="14">
        <v>0.7998</v>
      </c>
      <c r="J95" s="14">
        <v>0.5627</v>
      </c>
      <c r="K95" s="14">
        <v>0.2936</v>
      </c>
      <c r="L95" s="14">
        <v>6.929</v>
      </c>
      <c r="M95" s="14" t="s">
        <v>31</v>
      </c>
    </row>
    <row r="96" ht="15.75" customHeight="1">
      <c r="A96" s="14" t="s">
        <v>574</v>
      </c>
      <c r="B96" s="15" t="s">
        <v>23</v>
      </c>
      <c r="C96" s="14">
        <v>3.0</v>
      </c>
      <c r="D96" s="14" t="s">
        <v>24</v>
      </c>
      <c r="E96" s="14">
        <v>0.9462</v>
      </c>
      <c r="F96" s="14">
        <v>11.6193</v>
      </c>
      <c r="G96" s="14">
        <v>13.4787</v>
      </c>
      <c r="H96" s="14">
        <v>0.5733</v>
      </c>
      <c r="I96" s="14">
        <v>0.8037</v>
      </c>
      <c r="J96" s="14">
        <v>0.5609</v>
      </c>
      <c r="K96" s="14">
        <v>0.294</v>
      </c>
      <c r="L96" s="14">
        <v>6.9197</v>
      </c>
      <c r="M96" s="14" t="s">
        <v>31</v>
      </c>
    </row>
    <row r="97" ht="15.75" customHeight="1">
      <c r="A97" s="14" t="s">
        <v>580</v>
      </c>
      <c r="B97" s="15" t="s">
        <v>23</v>
      </c>
      <c r="C97" s="14">
        <v>3.0</v>
      </c>
      <c r="D97" s="14" t="s">
        <v>24</v>
      </c>
      <c r="E97" s="14">
        <v>0.9476</v>
      </c>
      <c r="F97" s="14">
        <v>11.6158</v>
      </c>
      <c r="G97" s="14">
        <v>13.5334</v>
      </c>
      <c r="H97" s="14">
        <v>0.5768</v>
      </c>
      <c r="I97" s="14">
        <v>0.797</v>
      </c>
      <c r="J97" s="14">
        <v>0.5636</v>
      </c>
      <c r="K97" s="14">
        <v>0.2943</v>
      </c>
      <c r="L97" s="14">
        <v>6.8913</v>
      </c>
      <c r="M97" s="14" t="s">
        <v>31</v>
      </c>
    </row>
    <row r="98" ht="15.75" customHeight="1">
      <c r="A98" s="14" t="s">
        <v>587</v>
      </c>
      <c r="B98" s="15" t="s">
        <v>23</v>
      </c>
      <c r="C98" s="14">
        <v>3.0</v>
      </c>
      <c r="D98" s="14" t="s">
        <v>24</v>
      </c>
      <c r="E98" s="14">
        <v>0.9393</v>
      </c>
      <c r="F98" s="14">
        <v>11.6124</v>
      </c>
      <c r="G98" s="14">
        <v>13.3955</v>
      </c>
      <c r="H98" s="14">
        <v>0.5777</v>
      </c>
      <c r="I98" s="14">
        <v>0.8132</v>
      </c>
      <c r="J98" s="14">
        <v>0.5634</v>
      </c>
      <c r="K98" s="14">
        <v>0.2944</v>
      </c>
      <c r="L98" s="14">
        <v>6.8982</v>
      </c>
      <c r="M98" s="14" t="s">
        <v>31</v>
      </c>
    </row>
    <row r="99" ht="15.75" customHeight="1">
      <c r="A99" s="14" t="s">
        <v>572</v>
      </c>
      <c r="B99" s="15" t="s">
        <v>23</v>
      </c>
      <c r="C99" s="14">
        <v>3.0</v>
      </c>
      <c r="D99" s="14" t="s">
        <v>24</v>
      </c>
      <c r="E99" s="14">
        <v>0.9388</v>
      </c>
      <c r="F99" s="14">
        <v>11.6089</v>
      </c>
      <c r="G99" s="14">
        <v>13.4644</v>
      </c>
      <c r="H99" s="14">
        <v>0.5772</v>
      </c>
      <c r="I99" s="14">
        <v>0.8047</v>
      </c>
      <c r="J99" s="14">
        <v>0.562</v>
      </c>
      <c r="K99" s="14">
        <v>0.2944</v>
      </c>
      <c r="L99" s="14">
        <v>6.8951</v>
      </c>
      <c r="M99" s="14" t="s">
        <v>31</v>
      </c>
    </row>
    <row r="100" ht="15.75" customHeight="1">
      <c r="A100" s="14" t="s">
        <v>595</v>
      </c>
      <c r="B100" s="15" t="s">
        <v>23</v>
      </c>
      <c r="C100" s="14">
        <v>3.0</v>
      </c>
      <c r="D100" s="14" t="s">
        <v>24</v>
      </c>
      <c r="E100" s="14">
        <v>0.9471</v>
      </c>
      <c r="F100" s="14">
        <v>11.5881</v>
      </c>
      <c r="G100" s="14">
        <v>13.5679</v>
      </c>
      <c r="H100" s="14">
        <v>0.5898</v>
      </c>
      <c r="I100" s="14">
        <v>0.791</v>
      </c>
      <c r="J100" s="14">
        <v>0.5613</v>
      </c>
      <c r="K100" s="14">
        <v>0.2958</v>
      </c>
      <c r="L100" s="14">
        <v>6.8958</v>
      </c>
      <c r="M100" s="14" t="s">
        <v>31</v>
      </c>
    </row>
    <row r="101" ht="15.75" customHeight="1">
      <c r="A101" s="14" t="s">
        <v>601</v>
      </c>
      <c r="B101" s="15" t="s">
        <v>23</v>
      </c>
      <c r="C101" s="14">
        <v>3.0</v>
      </c>
      <c r="D101" s="14" t="s">
        <v>24</v>
      </c>
      <c r="E101" s="14">
        <v>0.9467</v>
      </c>
      <c r="F101" s="14">
        <v>11.5812</v>
      </c>
      <c r="G101" s="14">
        <v>13.4644</v>
      </c>
      <c r="H101" s="14">
        <v>0.5815</v>
      </c>
      <c r="I101" s="14">
        <v>0.8028</v>
      </c>
      <c r="J101" s="14">
        <v>0.5677</v>
      </c>
      <c r="K101" s="14">
        <v>0.2957</v>
      </c>
      <c r="L101" s="14">
        <v>6.8791</v>
      </c>
      <c r="M101" s="14" t="s">
        <v>31</v>
      </c>
    </row>
    <row r="102" ht="15.75" customHeight="1">
      <c r="A102" s="14" t="s">
        <v>606</v>
      </c>
      <c r="B102" s="15" t="s">
        <v>23</v>
      </c>
      <c r="C102" s="14">
        <v>3.0</v>
      </c>
      <c r="D102" s="14" t="s">
        <v>24</v>
      </c>
      <c r="E102" s="14">
        <v>0.9461</v>
      </c>
      <c r="F102" s="14">
        <v>11.5777</v>
      </c>
      <c r="G102" s="14">
        <v>13.4989</v>
      </c>
      <c r="H102" s="14">
        <v>0.5793</v>
      </c>
      <c r="I102" s="14">
        <v>0.7984</v>
      </c>
      <c r="J102" s="14">
        <v>0.5658</v>
      </c>
      <c r="K102" s="14">
        <v>0.2965</v>
      </c>
      <c r="L102" s="14">
        <v>6.8774</v>
      </c>
      <c r="M102" s="14" t="s">
        <v>31</v>
      </c>
    </row>
    <row r="103" ht="15.75" customHeight="1">
      <c r="A103" s="14" t="s">
        <v>610</v>
      </c>
      <c r="B103" s="15" t="s">
        <v>23</v>
      </c>
      <c r="C103" s="14">
        <v>3.0</v>
      </c>
      <c r="D103" s="14" t="s">
        <v>24</v>
      </c>
      <c r="E103" s="14">
        <v>0.9472</v>
      </c>
      <c r="F103" s="14">
        <v>11.557</v>
      </c>
      <c r="G103" s="14">
        <v>13.5132</v>
      </c>
      <c r="H103" s="14">
        <v>0.5876</v>
      </c>
      <c r="I103" s="14">
        <v>0.7953</v>
      </c>
      <c r="J103" s="14">
        <v>0.5619</v>
      </c>
      <c r="K103" s="14">
        <v>0.2974</v>
      </c>
      <c r="L103" s="14">
        <v>6.8941</v>
      </c>
      <c r="M103" s="14" t="s">
        <v>31</v>
      </c>
    </row>
    <row r="104" ht="15.75" customHeight="1">
      <c r="A104" s="14" t="s">
        <v>617</v>
      </c>
      <c r="B104" s="15" t="s">
        <v>23</v>
      </c>
      <c r="C104" s="14">
        <v>3.0</v>
      </c>
      <c r="D104" s="14" t="s">
        <v>24</v>
      </c>
      <c r="E104" s="14">
        <v>0.9476</v>
      </c>
      <c r="F104" s="14">
        <v>11.5466</v>
      </c>
      <c r="G104" s="14">
        <v>13.5132</v>
      </c>
      <c r="H104" s="14">
        <v>0.571</v>
      </c>
      <c r="I104" s="14">
        <v>0.7946</v>
      </c>
      <c r="J104" s="14">
        <v>0.5647</v>
      </c>
      <c r="K104" s="14">
        <v>0.2977</v>
      </c>
      <c r="L104" s="14">
        <v>6.8883</v>
      </c>
      <c r="M104" s="14" t="s">
        <v>31</v>
      </c>
    </row>
    <row r="105" ht="15.75" customHeight="1">
      <c r="A105" s="14" t="s">
        <v>381</v>
      </c>
      <c r="B105" s="15" t="s">
        <v>23</v>
      </c>
      <c r="C105" s="14">
        <v>3.0</v>
      </c>
      <c r="D105" s="14" t="s">
        <v>24</v>
      </c>
      <c r="E105" s="14">
        <v>0.9447</v>
      </c>
      <c r="F105" s="14">
        <v>11.5466</v>
      </c>
      <c r="G105" s="14">
        <v>13.361</v>
      </c>
      <c r="H105" s="14">
        <v>0.5711</v>
      </c>
      <c r="I105" s="14">
        <v>0.8128</v>
      </c>
      <c r="J105" s="14">
        <v>0.5654</v>
      </c>
      <c r="K105" s="14">
        <v>0.2981</v>
      </c>
      <c r="L105" s="14">
        <v>6.8555</v>
      </c>
      <c r="M105" s="14" t="s">
        <v>31</v>
      </c>
    </row>
    <row r="106" ht="15.75" customHeight="1">
      <c r="A106" s="14" t="s">
        <v>629</v>
      </c>
      <c r="B106" s="15" t="s">
        <v>23</v>
      </c>
      <c r="C106" s="14">
        <v>3.0</v>
      </c>
      <c r="D106" s="14" t="s">
        <v>24</v>
      </c>
      <c r="E106" s="14">
        <v>0.9399</v>
      </c>
      <c r="F106" s="14">
        <v>11.5293</v>
      </c>
      <c r="G106" s="14">
        <v>13.361</v>
      </c>
      <c r="H106" s="14">
        <v>0.5799</v>
      </c>
      <c r="I106" s="14">
        <v>0.8116</v>
      </c>
      <c r="J106" s="14">
        <v>0.5666</v>
      </c>
      <c r="K106" s="14">
        <v>0.299</v>
      </c>
      <c r="L106" s="14">
        <v>6.8404</v>
      </c>
      <c r="M106" s="14" t="s">
        <v>31</v>
      </c>
    </row>
    <row r="107" ht="15.75" customHeight="1">
      <c r="A107" s="14" t="s">
        <v>634</v>
      </c>
      <c r="B107" s="15" t="s">
        <v>23</v>
      </c>
      <c r="C107" s="14">
        <v>3.0</v>
      </c>
      <c r="D107" s="14" t="s">
        <v>24</v>
      </c>
      <c r="E107" s="14">
        <v>0.9467</v>
      </c>
      <c r="F107" s="14">
        <v>11.5119</v>
      </c>
      <c r="G107" s="14">
        <v>13.4787</v>
      </c>
      <c r="H107" s="14">
        <v>0.5755</v>
      </c>
      <c r="I107" s="14">
        <v>0.7963</v>
      </c>
      <c r="J107" s="14">
        <v>0.5686</v>
      </c>
      <c r="K107" s="14">
        <v>0.3001</v>
      </c>
      <c r="L107" s="14">
        <v>6.8263</v>
      </c>
      <c r="M107" s="14" t="s">
        <v>31</v>
      </c>
    </row>
    <row r="108" ht="15.75" customHeight="1">
      <c r="A108" s="14" t="s">
        <v>466</v>
      </c>
      <c r="B108" s="15" t="s">
        <v>23</v>
      </c>
      <c r="C108" s="14">
        <v>3.0</v>
      </c>
      <c r="D108" s="14" t="s">
        <v>24</v>
      </c>
      <c r="E108" s="14">
        <v>0.946</v>
      </c>
      <c r="F108" s="14">
        <v>11.5085</v>
      </c>
      <c r="G108" s="14">
        <v>13.361</v>
      </c>
      <c r="H108" s="14">
        <v>0.569</v>
      </c>
      <c r="I108" s="14">
        <v>0.8101</v>
      </c>
      <c r="J108" s="14">
        <v>0.5664</v>
      </c>
      <c r="K108" s="14">
        <v>0.3002</v>
      </c>
      <c r="L108" s="14">
        <v>6.8479</v>
      </c>
      <c r="M108" s="14" t="s">
        <v>31</v>
      </c>
    </row>
    <row r="109" ht="15.75" customHeight="1">
      <c r="A109" s="14" t="s">
        <v>581</v>
      </c>
      <c r="B109" s="15" t="s">
        <v>23</v>
      </c>
      <c r="C109" s="14">
        <v>3.0</v>
      </c>
      <c r="D109" s="14" t="s">
        <v>24</v>
      </c>
      <c r="E109" s="14">
        <v>0.9455</v>
      </c>
      <c r="F109" s="14">
        <v>11.4288</v>
      </c>
      <c r="G109" s="14">
        <v>13.3467</v>
      </c>
      <c r="H109" s="14">
        <v>0.5947</v>
      </c>
      <c r="I109" s="14">
        <v>0.8062</v>
      </c>
      <c r="J109" s="14">
        <v>0.5845</v>
      </c>
      <c r="K109" s="14">
        <v>0.3059</v>
      </c>
      <c r="L109" s="14">
        <v>6.638</v>
      </c>
      <c r="M109" s="14" t="s">
        <v>31</v>
      </c>
    </row>
    <row r="110" ht="15.75" customHeight="1">
      <c r="A110" s="14" t="s">
        <v>648</v>
      </c>
      <c r="B110" s="15" t="s">
        <v>23</v>
      </c>
      <c r="C110" s="14">
        <v>3.0</v>
      </c>
      <c r="D110" s="14" t="s">
        <v>24</v>
      </c>
      <c r="E110" s="14">
        <v>0.9156</v>
      </c>
      <c r="F110" s="14">
        <v>11.4219</v>
      </c>
      <c r="G110" s="14">
        <v>13.7663</v>
      </c>
      <c r="H110" s="14">
        <v>0.6895</v>
      </c>
      <c r="I110" s="14">
        <v>0.7574</v>
      </c>
      <c r="J110" s="14">
        <v>0.6147</v>
      </c>
      <c r="K110" s="14">
        <v>0.2896</v>
      </c>
      <c r="L110" s="14">
        <v>6.5103</v>
      </c>
      <c r="M110" s="14" t="s">
        <v>31</v>
      </c>
    </row>
    <row r="111" ht="15.75" customHeight="1">
      <c r="A111" s="14" t="s">
        <v>303</v>
      </c>
      <c r="B111" s="15" t="s">
        <v>23</v>
      </c>
      <c r="C111" s="14">
        <v>3.0</v>
      </c>
      <c r="D111" s="14" t="s">
        <v>24</v>
      </c>
      <c r="E111" s="14">
        <v>0.9319</v>
      </c>
      <c r="F111" s="14">
        <v>11.4011</v>
      </c>
      <c r="G111" s="14">
        <v>13.4502</v>
      </c>
      <c r="H111" s="14">
        <v>0.6528</v>
      </c>
      <c r="I111" s="14">
        <v>0.792</v>
      </c>
      <c r="J111" s="14">
        <v>0.5934</v>
      </c>
      <c r="K111" s="14">
        <v>0.3066</v>
      </c>
      <c r="L111" s="14">
        <v>6.7888</v>
      </c>
      <c r="M111" s="14" t="s">
        <v>31</v>
      </c>
    </row>
    <row r="112" ht="15.75" customHeight="1">
      <c r="A112" s="14" t="s">
        <v>660</v>
      </c>
      <c r="B112" s="15" t="s">
        <v>23</v>
      </c>
      <c r="C112" s="14">
        <v>3.0</v>
      </c>
      <c r="D112" s="14" t="s">
        <v>24</v>
      </c>
      <c r="E112" s="14">
        <v>0.931</v>
      </c>
      <c r="F112" s="14">
        <v>11.37</v>
      </c>
      <c r="G112" s="14">
        <v>13.3123</v>
      </c>
      <c r="H112" s="14">
        <v>0.5844</v>
      </c>
      <c r="I112" s="14">
        <v>0.8062</v>
      </c>
      <c r="J112" s="14">
        <v>0.5779</v>
      </c>
      <c r="K112" s="14">
        <v>0.3083</v>
      </c>
      <c r="L112" s="14">
        <v>6.8298</v>
      </c>
      <c r="M112" s="14" t="s">
        <v>31</v>
      </c>
    </row>
    <row r="113" ht="15.75" customHeight="1">
      <c r="A113" s="14" t="s">
        <v>664</v>
      </c>
      <c r="B113" s="15" t="s">
        <v>23</v>
      </c>
      <c r="C113" s="14">
        <v>3.0</v>
      </c>
      <c r="D113" s="14" t="s">
        <v>24</v>
      </c>
      <c r="E113" s="14">
        <v>0.9363</v>
      </c>
      <c r="F113" s="14">
        <v>11.3596</v>
      </c>
      <c r="G113" s="14">
        <v>13.3123</v>
      </c>
      <c r="H113" s="14">
        <v>0.5954</v>
      </c>
      <c r="I113" s="14">
        <v>0.8055</v>
      </c>
      <c r="J113" s="14">
        <v>0.5783</v>
      </c>
      <c r="K113" s="14">
        <v>0.3095</v>
      </c>
      <c r="L113" s="14">
        <v>6.819</v>
      </c>
      <c r="M113" s="14" t="s">
        <v>31</v>
      </c>
    </row>
    <row r="114" ht="15.75" customHeight="1">
      <c r="A114" s="14" t="s">
        <v>670</v>
      </c>
      <c r="B114" s="15" t="s">
        <v>23</v>
      </c>
      <c r="C114" s="14">
        <v>3.0</v>
      </c>
      <c r="D114" s="14" t="s">
        <v>24</v>
      </c>
      <c r="E114" s="14">
        <v>0.931</v>
      </c>
      <c r="F114" s="14">
        <v>11.3596</v>
      </c>
      <c r="G114" s="14">
        <v>13.2433</v>
      </c>
      <c r="H114" s="14">
        <v>0.5955</v>
      </c>
      <c r="I114" s="14">
        <v>0.8139</v>
      </c>
      <c r="J114" s="14">
        <v>0.5806</v>
      </c>
      <c r="K114" s="14">
        <v>0.3091</v>
      </c>
      <c r="L114" s="14">
        <v>6.8166</v>
      </c>
      <c r="M114" s="14" t="s">
        <v>31</v>
      </c>
    </row>
    <row r="115" ht="15.75" customHeight="1">
      <c r="A115" s="14" t="s">
        <v>374</v>
      </c>
      <c r="B115" s="15" t="s">
        <v>23</v>
      </c>
      <c r="C115" s="14">
        <v>3.0</v>
      </c>
      <c r="D115" s="14" t="s">
        <v>24</v>
      </c>
      <c r="E115" s="14">
        <v>0.939</v>
      </c>
      <c r="F115" s="14">
        <v>11.3422</v>
      </c>
      <c r="G115" s="14">
        <v>13.4502</v>
      </c>
      <c r="H115" s="14">
        <v>0.6521</v>
      </c>
      <c r="I115" s="14">
        <v>0.7879</v>
      </c>
      <c r="J115" s="14">
        <v>0.5979</v>
      </c>
      <c r="K115" s="14">
        <v>0.3096</v>
      </c>
      <c r="L115" s="14">
        <v>6.8436</v>
      </c>
      <c r="M115" s="14" t="s">
        <v>31</v>
      </c>
    </row>
    <row r="116" ht="15.75" customHeight="1">
      <c r="A116" s="14" t="s">
        <v>680</v>
      </c>
      <c r="B116" s="15" t="s">
        <v>23</v>
      </c>
      <c r="C116" s="14">
        <v>3.0</v>
      </c>
      <c r="D116" s="14" t="s">
        <v>24</v>
      </c>
      <c r="E116" s="14">
        <v>0.933</v>
      </c>
      <c r="F116" s="14">
        <v>11.3353</v>
      </c>
      <c r="G116" s="14">
        <v>13.2433</v>
      </c>
      <c r="H116" s="14">
        <v>0.5918</v>
      </c>
      <c r="I116" s="14">
        <v>0.8122</v>
      </c>
      <c r="J116" s="14">
        <v>0.5795</v>
      </c>
      <c r="K116" s="14">
        <v>0.3107</v>
      </c>
      <c r="L116" s="14">
        <v>6.8043</v>
      </c>
      <c r="M116" s="14" t="s">
        <v>31</v>
      </c>
    </row>
    <row r="117" ht="15.75" customHeight="1">
      <c r="A117" s="14" t="s">
        <v>518</v>
      </c>
      <c r="B117" s="15" t="s">
        <v>23</v>
      </c>
      <c r="C117" s="14">
        <v>3.0</v>
      </c>
      <c r="D117" s="14" t="s">
        <v>24</v>
      </c>
      <c r="E117" s="14">
        <v>0.9372</v>
      </c>
      <c r="F117" s="14">
        <v>11.3319</v>
      </c>
      <c r="G117" s="14">
        <v>13.5821</v>
      </c>
      <c r="H117" s="14">
        <v>0.6482</v>
      </c>
      <c r="I117" s="14">
        <v>0.7719</v>
      </c>
      <c r="J117" s="14">
        <v>0.606</v>
      </c>
      <c r="K117" s="14">
        <v>0.3292</v>
      </c>
      <c r="L117" s="14">
        <v>6.7226</v>
      </c>
      <c r="M117" s="14" t="s">
        <v>31</v>
      </c>
    </row>
    <row r="118" ht="15.75" customHeight="1">
      <c r="A118" s="14" t="s">
        <v>690</v>
      </c>
      <c r="B118" s="15" t="s">
        <v>23</v>
      </c>
      <c r="C118" s="14">
        <v>3.0</v>
      </c>
      <c r="D118" s="14" t="s">
        <v>24</v>
      </c>
      <c r="E118" s="14">
        <v>0.9316</v>
      </c>
      <c r="F118" s="14">
        <v>11.3284</v>
      </c>
      <c r="G118" s="14">
        <v>13.2433</v>
      </c>
      <c r="H118" s="14">
        <v>0.5957</v>
      </c>
      <c r="I118" s="14">
        <v>0.8117</v>
      </c>
      <c r="J118" s="14">
        <v>0.5815</v>
      </c>
      <c r="K118" s="14">
        <v>0.3111</v>
      </c>
      <c r="L118" s="14">
        <v>6.7696</v>
      </c>
      <c r="M118" s="14" t="s">
        <v>31</v>
      </c>
    </row>
    <row r="119" ht="15.75" customHeight="1">
      <c r="A119" s="14" t="s">
        <v>695</v>
      </c>
      <c r="B119" s="15" t="s">
        <v>23</v>
      </c>
      <c r="C119" s="14">
        <v>3.0</v>
      </c>
      <c r="D119" s="14" t="s">
        <v>24</v>
      </c>
      <c r="E119" s="14">
        <v>0.9324</v>
      </c>
      <c r="F119" s="14">
        <v>11.3249</v>
      </c>
      <c r="G119" s="14">
        <v>13.2433</v>
      </c>
      <c r="H119" s="14">
        <v>0.5949</v>
      </c>
      <c r="I119" s="14">
        <v>0.8114</v>
      </c>
      <c r="J119" s="14">
        <v>0.5795</v>
      </c>
      <c r="K119" s="14">
        <v>0.3113</v>
      </c>
      <c r="L119" s="14">
        <v>6.8055</v>
      </c>
      <c r="M119" s="14" t="s">
        <v>31</v>
      </c>
    </row>
    <row r="120" ht="15.75" customHeight="1">
      <c r="A120" s="14" t="s">
        <v>556</v>
      </c>
      <c r="B120" s="15" t="s">
        <v>23</v>
      </c>
      <c r="C120" s="14">
        <v>3.0</v>
      </c>
      <c r="D120" s="14" t="s">
        <v>24</v>
      </c>
      <c r="E120" s="14">
        <v>0.9362</v>
      </c>
      <c r="F120" s="14">
        <v>11.318</v>
      </c>
      <c r="G120" s="14">
        <v>13.3812</v>
      </c>
      <c r="H120" s="14">
        <v>0.6495</v>
      </c>
      <c r="I120" s="14">
        <v>0.7943</v>
      </c>
      <c r="J120" s="14">
        <v>0.5986</v>
      </c>
      <c r="K120" s="14">
        <v>0.3115</v>
      </c>
      <c r="L120" s="14">
        <v>6.8201</v>
      </c>
      <c r="M120" s="14" t="s">
        <v>31</v>
      </c>
    </row>
    <row r="121" ht="15.75" customHeight="1">
      <c r="A121" s="14" t="s">
        <v>707</v>
      </c>
      <c r="B121" s="15" t="s">
        <v>23</v>
      </c>
      <c r="C121" s="14">
        <v>3.0</v>
      </c>
      <c r="D121" s="14" t="s">
        <v>24</v>
      </c>
      <c r="E121" s="14">
        <v>0.9326</v>
      </c>
      <c r="F121" s="14">
        <v>11.3111</v>
      </c>
      <c r="G121" s="14">
        <v>13.2778</v>
      </c>
      <c r="H121" s="14">
        <v>0.5928</v>
      </c>
      <c r="I121" s="14">
        <v>0.8062</v>
      </c>
      <c r="J121" s="14">
        <v>0.5756</v>
      </c>
      <c r="K121" s="14">
        <v>0.3117</v>
      </c>
      <c r="L121" s="14">
        <v>6.8214</v>
      </c>
      <c r="M121" s="14" t="s">
        <v>31</v>
      </c>
    </row>
    <row r="122" ht="15.75" customHeight="1">
      <c r="A122" s="14" t="s">
        <v>714</v>
      </c>
      <c r="B122" s="15" t="s">
        <v>23</v>
      </c>
      <c r="C122" s="14">
        <v>3.0</v>
      </c>
      <c r="D122" s="14" t="s">
        <v>24</v>
      </c>
      <c r="E122" s="14">
        <v>0.9305</v>
      </c>
      <c r="F122" s="14">
        <v>11.3007</v>
      </c>
      <c r="G122" s="14">
        <v>13.3123</v>
      </c>
      <c r="H122" s="14">
        <v>0.5989</v>
      </c>
      <c r="I122" s="14">
        <v>0.8013</v>
      </c>
      <c r="J122" s="14">
        <v>0.5804</v>
      </c>
      <c r="K122" s="14">
        <v>0.3124</v>
      </c>
      <c r="L122" s="14">
        <v>6.7994</v>
      </c>
      <c r="M122" s="14" t="s">
        <v>31</v>
      </c>
    </row>
    <row r="123" ht="15.75" customHeight="1">
      <c r="A123" s="14" t="s">
        <v>721</v>
      </c>
      <c r="B123" s="15" t="s">
        <v>23</v>
      </c>
      <c r="C123" s="14">
        <v>3.0</v>
      </c>
      <c r="D123" s="14" t="s">
        <v>24</v>
      </c>
      <c r="E123" s="14">
        <v>0.936</v>
      </c>
      <c r="F123" s="14">
        <v>11.2972</v>
      </c>
      <c r="G123" s="14">
        <v>13.4846</v>
      </c>
      <c r="H123" s="14">
        <v>0.6545</v>
      </c>
      <c r="I123" s="14">
        <v>0.7807</v>
      </c>
      <c r="J123" s="14">
        <v>0.5972</v>
      </c>
      <c r="K123" s="14">
        <v>0.3119</v>
      </c>
      <c r="L123" s="14">
        <v>6.8199</v>
      </c>
      <c r="M123" s="14" t="s">
        <v>31</v>
      </c>
    </row>
    <row r="124" ht="15.75" customHeight="1">
      <c r="A124" s="14" t="s">
        <v>689</v>
      </c>
      <c r="B124" s="15" t="s">
        <v>23</v>
      </c>
      <c r="C124" s="14">
        <v>3.0</v>
      </c>
      <c r="D124" s="14" t="s">
        <v>24</v>
      </c>
      <c r="E124" s="14">
        <v>0.9395</v>
      </c>
      <c r="F124" s="14">
        <v>11.2938</v>
      </c>
      <c r="G124" s="14">
        <v>13.3467</v>
      </c>
      <c r="H124" s="14">
        <v>0.6562</v>
      </c>
      <c r="I124" s="14">
        <v>0.7967</v>
      </c>
      <c r="J124" s="14">
        <v>0.5975</v>
      </c>
      <c r="K124" s="14">
        <v>0.3131</v>
      </c>
      <c r="L124" s="14">
        <v>6.8124</v>
      </c>
      <c r="M124" s="14" t="s">
        <v>31</v>
      </c>
    </row>
    <row r="125" ht="15.75" customHeight="1">
      <c r="A125" s="14" t="s">
        <v>731</v>
      </c>
      <c r="B125" s="15" t="s">
        <v>23</v>
      </c>
      <c r="C125" s="14">
        <v>3.0</v>
      </c>
      <c r="D125" s="14" t="s">
        <v>24</v>
      </c>
      <c r="E125" s="14">
        <v>0.9289</v>
      </c>
      <c r="F125" s="14">
        <v>11.2903</v>
      </c>
      <c r="G125" s="14">
        <v>13.2778</v>
      </c>
      <c r="H125" s="14">
        <v>0.6015</v>
      </c>
      <c r="I125" s="14">
        <v>0.8048</v>
      </c>
      <c r="J125" s="14">
        <v>0.5814</v>
      </c>
      <c r="K125" s="14">
        <v>0.3132</v>
      </c>
      <c r="L125" s="14">
        <v>6.7786</v>
      </c>
      <c r="M125" s="14" t="s">
        <v>31</v>
      </c>
    </row>
    <row r="126" ht="15.75" customHeight="1">
      <c r="A126" s="14" t="s">
        <v>738</v>
      </c>
      <c r="B126" s="15" t="s">
        <v>23</v>
      </c>
      <c r="C126" s="14">
        <v>3.0</v>
      </c>
      <c r="D126" s="14" t="s">
        <v>24</v>
      </c>
      <c r="E126" s="14">
        <v>0.9302</v>
      </c>
      <c r="F126" s="14">
        <v>11.2834</v>
      </c>
      <c r="G126" s="14">
        <v>13.2778</v>
      </c>
      <c r="H126" s="14">
        <v>0.6035</v>
      </c>
      <c r="I126" s="14">
        <v>0.8043</v>
      </c>
      <c r="J126" s="14">
        <v>0.5775</v>
      </c>
      <c r="K126" s="14">
        <v>0.3131</v>
      </c>
      <c r="L126" s="14">
        <v>6.8189</v>
      </c>
      <c r="M126" s="14" t="s">
        <v>31</v>
      </c>
    </row>
    <row r="127" ht="15.75" customHeight="1">
      <c r="A127" s="14" t="s">
        <v>745</v>
      </c>
      <c r="B127" s="15" t="s">
        <v>23</v>
      </c>
      <c r="C127" s="14">
        <v>3.0</v>
      </c>
      <c r="D127" s="14" t="s">
        <v>24</v>
      </c>
      <c r="E127" s="14">
        <v>0.926</v>
      </c>
      <c r="F127" s="14">
        <v>11.2799</v>
      </c>
      <c r="G127" s="14">
        <v>13.2089</v>
      </c>
      <c r="H127" s="14">
        <v>0.5892</v>
      </c>
      <c r="I127" s="14">
        <v>0.8124</v>
      </c>
      <c r="J127" s="14">
        <v>0.5788</v>
      </c>
      <c r="K127" s="14">
        <v>0.3137</v>
      </c>
      <c r="L127" s="14">
        <v>6.7953</v>
      </c>
      <c r="M127" s="14" t="s">
        <v>31</v>
      </c>
    </row>
    <row r="128" ht="15.75" customHeight="1">
      <c r="A128" s="14" t="s">
        <v>752</v>
      </c>
      <c r="B128" s="15" t="s">
        <v>23</v>
      </c>
      <c r="C128" s="14">
        <v>3.0</v>
      </c>
      <c r="D128" s="14" t="s">
        <v>24</v>
      </c>
      <c r="E128" s="14">
        <v>0.9308</v>
      </c>
      <c r="F128" s="14">
        <v>11.2799</v>
      </c>
      <c r="G128" s="14">
        <v>13.1744</v>
      </c>
      <c r="H128" s="14">
        <v>0.5956</v>
      </c>
      <c r="I128" s="14">
        <v>0.8167</v>
      </c>
      <c r="J128" s="14">
        <v>0.5845</v>
      </c>
      <c r="K128" s="14">
        <v>0.3139</v>
      </c>
      <c r="L128" s="14">
        <v>6.7692</v>
      </c>
      <c r="M128" s="14" t="s">
        <v>31</v>
      </c>
    </row>
    <row r="129" ht="15.75" customHeight="1">
      <c r="A129" s="14" t="s">
        <v>758</v>
      </c>
      <c r="B129" s="15" t="s">
        <v>23</v>
      </c>
      <c r="C129" s="14">
        <v>3.0</v>
      </c>
      <c r="D129" s="14" t="s">
        <v>24</v>
      </c>
      <c r="E129" s="14">
        <v>0.9305</v>
      </c>
      <c r="F129" s="14">
        <v>11.2764</v>
      </c>
      <c r="G129" s="14">
        <v>13.2433</v>
      </c>
      <c r="H129" s="14">
        <v>0.5999</v>
      </c>
      <c r="I129" s="14">
        <v>0.808</v>
      </c>
      <c r="J129" s="14">
        <v>0.5829</v>
      </c>
      <c r="K129" s="14">
        <v>0.3139</v>
      </c>
      <c r="L129" s="14">
        <v>6.7863</v>
      </c>
      <c r="M129" s="14" t="s">
        <v>31</v>
      </c>
    </row>
    <row r="130" ht="15.75" customHeight="1">
      <c r="A130" s="14" t="s">
        <v>764</v>
      </c>
      <c r="B130" s="15" t="s">
        <v>23</v>
      </c>
      <c r="C130" s="14">
        <v>3.0</v>
      </c>
      <c r="D130" s="14" t="s">
        <v>24</v>
      </c>
      <c r="E130" s="14">
        <v>0.9312</v>
      </c>
      <c r="F130" s="14">
        <v>11.2695</v>
      </c>
      <c r="G130" s="14">
        <v>13.1399</v>
      </c>
      <c r="H130" s="14">
        <v>0.5976</v>
      </c>
      <c r="I130" s="14">
        <v>0.8202</v>
      </c>
      <c r="J130" s="14">
        <v>0.579</v>
      </c>
      <c r="K130" s="14">
        <v>0.3142</v>
      </c>
      <c r="L130" s="14">
        <v>6.7888</v>
      </c>
      <c r="M130" s="14" t="s">
        <v>31</v>
      </c>
    </row>
    <row r="131" ht="15.75" customHeight="1">
      <c r="A131" s="14" t="s">
        <v>767</v>
      </c>
      <c r="B131" s="15" t="s">
        <v>23</v>
      </c>
      <c r="C131" s="14">
        <v>3.0</v>
      </c>
      <c r="D131" s="14" t="s">
        <v>24</v>
      </c>
      <c r="E131" s="14">
        <v>0.9285</v>
      </c>
      <c r="F131" s="14">
        <v>11.2661</v>
      </c>
      <c r="G131" s="14">
        <v>13.2089</v>
      </c>
      <c r="H131" s="14">
        <v>0.588</v>
      </c>
      <c r="I131" s="14">
        <v>0.8114</v>
      </c>
      <c r="J131" s="14">
        <v>0.5819</v>
      </c>
      <c r="K131" s="14">
        <v>0.3142</v>
      </c>
      <c r="L131" s="14">
        <v>6.796</v>
      </c>
      <c r="M131" s="14" t="s">
        <v>31</v>
      </c>
    </row>
    <row r="132" ht="15.75" customHeight="1">
      <c r="A132" s="14" t="s">
        <v>772</v>
      </c>
      <c r="B132" s="15" t="s">
        <v>23</v>
      </c>
      <c r="C132" s="14">
        <v>3.0</v>
      </c>
      <c r="D132" s="14" t="s">
        <v>24</v>
      </c>
      <c r="E132" s="14">
        <v>0.9418</v>
      </c>
      <c r="F132" s="14">
        <v>11.2661</v>
      </c>
      <c r="G132" s="14">
        <v>13.361</v>
      </c>
      <c r="H132" s="14">
        <v>0.5953</v>
      </c>
      <c r="I132" s="14">
        <v>0.7931</v>
      </c>
      <c r="J132" s="14">
        <v>0.5932</v>
      </c>
      <c r="K132" s="14">
        <v>0.3155</v>
      </c>
      <c r="L132" s="14">
        <v>6.5782</v>
      </c>
      <c r="M132" s="14" t="s">
        <v>31</v>
      </c>
    </row>
    <row r="133" ht="15.75" customHeight="1">
      <c r="A133" s="14" t="s">
        <v>777</v>
      </c>
      <c r="B133" s="15" t="s">
        <v>23</v>
      </c>
      <c r="C133" s="14">
        <v>3.0</v>
      </c>
      <c r="D133" s="14" t="s">
        <v>24</v>
      </c>
      <c r="E133" s="14">
        <v>0.9387</v>
      </c>
      <c r="F133" s="14">
        <v>11.2661</v>
      </c>
      <c r="G133" s="14">
        <v>13.3812</v>
      </c>
      <c r="H133" s="14">
        <v>0.6544</v>
      </c>
      <c r="I133" s="14">
        <v>0.7907</v>
      </c>
      <c r="J133" s="14">
        <v>0.6019</v>
      </c>
      <c r="K133" s="14">
        <v>0.3144</v>
      </c>
      <c r="L133" s="14">
        <v>6.8119</v>
      </c>
      <c r="M133" s="14" t="s">
        <v>31</v>
      </c>
    </row>
    <row r="134" ht="15.75" customHeight="1">
      <c r="A134" s="14" t="s">
        <v>782</v>
      </c>
      <c r="B134" s="15" t="s">
        <v>23</v>
      </c>
      <c r="C134" s="14">
        <v>3.0</v>
      </c>
      <c r="D134" s="14" t="s">
        <v>24</v>
      </c>
      <c r="E134" s="14">
        <v>0.9398</v>
      </c>
      <c r="F134" s="14">
        <v>11.2626</v>
      </c>
      <c r="G134" s="14">
        <v>13.4157</v>
      </c>
      <c r="H134" s="14">
        <v>0.6419</v>
      </c>
      <c r="I134" s="14">
        <v>0.7864</v>
      </c>
      <c r="J134" s="14">
        <v>0.5997</v>
      </c>
      <c r="K134" s="14">
        <v>0.3138</v>
      </c>
      <c r="L134" s="14">
        <v>6.8057</v>
      </c>
      <c r="M134" s="14" t="s">
        <v>31</v>
      </c>
    </row>
    <row r="135" ht="15.75" customHeight="1">
      <c r="A135" s="14" t="s">
        <v>787</v>
      </c>
      <c r="B135" s="15" t="s">
        <v>23</v>
      </c>
      <c r="C135" s="14">
        <v>3.0</v>
      </c>
      <c r="D135" s="14" t="s">
        <v>24</v>
      </c>
      <c r="E135" s="14">
        <v>0.9303</v>
      </c>
      <c r="F135" s="14">
        <v>11.2626</v>
      </c>
      <c r="G135" s="14">
        <v>13.2089</v>
      </c>
      <c r="H135" s="14">
        <v>0.594</v>
      </c>
      <c r="I135" s="14">
        <v>0.8112</v>
      </c>
      <c r="J135" s="14">
        <v>0.5813</v>
      </c>
      <c r="K135" s="14">
        <v>0.3146</v>
      </c>
      <c r="L135" s="14">
        <v>6.788</v>
      </c>
      <c r="M135" s="14" t="s">
        <v>31</v>
      </c>
    </row>
    <row r="136" ht="15.75" customHeight="1">
      <c r="A136" s="14" t="s">
        <v>790</v>
      </c>
      <c r="B136" s="15" t="s">
        <v>23</v>
      </c>
      <c r="C136" s="14">
        <v>3.0</v>
      </c>
      <c r="D136" s="14" t="s">
        <v>24</v>
      </c>
      <c r="E136" s="14">
        <v>0.9323</v>
      </c>
      <c r="F136" s="14">
        <v>11.2626</v>
      </c>
      <c r="G136" s="14">
        <v>13.2433</v>
      </c>
      <c r="H136" s="14">
        <v>0.591</v>
      </c>
      <c r="I136" s="14">
        <v>0.807</v>
      </c>
      <c r="J136" s="14">
        <v>0.5797</v>
      </c>
      <c r="K136" s="14">
        <v>0.3145</v>
      </c>
      <c r="L136" s="14">
        <v>6.8035</v>
      </c>
      <c r="M136" s="14" t="s">
        <v>31</v>
      </c>
    </row>
    <row r="137" ht="15.75" customHeight="1">
      <c r="A137" s="14" t="s">
        <v>794</v>
      </c>
      <c r="B137" s="15" t="s">
        <v>23</v>
      </c>
      <c r="C137" s="14">
        <v>3.0</v>
      </c>
      <c r="D137" s="14" t="s">
        <v>24</v>
      </c>
      <c r="E137" s="14">
        <v>0.9394</v>
      </c>
      <c r="F137" s="14">
        <v>11.2591</v>
      </c>
      <c r="G137" s="14">
        <v>13.3182</v>
      </c>
      <c r="H137" s="14">
        <v>0.655</v>
      </c>
      <c r="I137" s="14">
        <v>0.7977</v>
      </c>
      <c r="J137" s="14">
        <v>0.5876</v>
      </c>
      <c r="K137" s="14">
        <v>0.295</v>
      </c>
      <c r="L137" s="14">
        <v>6.9432</v>
      </c>
      <c r="M137" s="14" t="s">
        <v>31</v>
      </c>
    </row>
    <row r="138" ht="15.75" customHeight="1">
      <c r="A138" s="14" t="s">
        <v>756</v>
      </c>
      <c r="B138" s="15" t="s">
        <v>23</v>
      </c>
      <c r="C138" s="14">
        <v>3.0</v>
      </c>
      <c r="D138" s="14" t="s">
        <v>24</v>
      </c>
      <c r="E138" s="14">
        <v>0.9337</v>
      </c>
      <c r="F138" s="14">
        <v>11.2591</v>
      </c>
      <c r="G138" s="14">
        <v>13.3812</v>
      </c>
      <c r="H138" s="14">
        <v>0.6571</v>
      </c>
      <c r="I138" s="14">
        <v>0.7902</v>
      </c>
      <c r="J138" s="14">
        <v>0.6018</v>
      </c>
      <c r="K138" s="14">
        <v>0.3155</v>
      </c>
      <c r="L138" s="14">
        <v>6.7961</v>
      </c>
      <c r="M138" s="14" t="s">
        <v>31</v>
      </c>
    </row>
    <row r="139" ht="15.75" customHeight="1">
      <c r="A139" s="14" t="s">
        <v>350</v>
      </c>
      <c r="B139" s="15" t="s">
        <v>23</v>
      </c>
      <c r="C139" s="14">
        <v>3.0</v>
      </c>
      <c r="D139" s="14" t="s">
        <v>24</v>
      </c>
      <c r="E139" s="14">
        <v>0.939</v>
      </c>
      <c r="F139" s="14">
        <v>11.2591</v>
      </c>
      <c r="G139" s="14">
        <v>13.4157</v>
      </c>
      <c r="H139" s="14">
        <v>0.651</v>
      </c>
      <c r="I139" s="14">
        <v>0.7861</v>
      </c>
      <c r="J139" s="14">
        <v>0.5955</v>
      </c>
      <c r="K139" s="14">
        <v>0.3148</v>
      </c>
      <c r="L139" s="14">
        <v>6.8433</v>
      </c>
      <c r="M139" s="14" t="s">
        <v>31</v>
      </c>
    </row>
    <row r="140" ht="15.75" customHeight="1">
      <c r="A140" s="14" t="s">
        <v>808</v>
      </c>
      <c r="B140" s="15" t="s">
        <v>23</v>
      </c>
      <c r="C140" s="14">
        <v>3.0</v>
      </c>
      <c r="D140" s="14" t="s">
        <v>24</v>
      </c>
      <c r="E140" s="14">
        <v>0.9286</v>
      </c>
      <c r="F140" s="14">
        <v>11.2557</v>
      </c>
      <c r="G140" s="14">
        <v>13.2089</v>
      </c>
      <c r="H140" s="14">
        <v>0.5991</v>
      </c>
      <c r="I140" s="14">
        <v>0.8107</v>
      </c>
      <c r="J140" s="14">
        <v>0.5812</v>
      </c>
      <c r="K140" s="14">
        <v>0.3151</v>
      </c>
      <c r="L140" s="14">
        <v>6.7747</v>
      </c>
      <c r="M140" s="14" t="s">
        <v>31</v>
      </c>
    </row>
    <row r="141" ht="15.75" customHeight="1">
      <c r="A141" s="14" t="s">
        <v>454</v>
      </c>
      <c r="B141" s="15" t="s">
        <v>23</v>
      </c>
      <c r="C141" s="14">
        <v>3.0</v>
      </c>
      <c r="D141" s="14" t="s">
        <v>24</v>
      </c>
      <c r="E141" s="14">
        <v>0.9385</v>
      </c>
      <c r="F141" s="14">
        <v>11.2418</v>
      </c>
      <c r="G141" s="14">
        <v>13.4502</v>
      </c>
      <c r="H141" s="14">
        <v>0.646</v>
      </c>
      <c r="I141" s="14">
        <v>0.7809</v>
      </c>
      <c r="J141" s="14">
        <v>0.5859</v>
      </c>
      <c r="K141" s="14">
        <v>0.3157</v>
      </c>
      <c r="L141" s="14">
        <v>6.8414</v>
      </c>
      <c r="M141" s="14" t="s">
        <v>31</v>
      </c>
    </row>
    <row r="142" ht="15.75" customHeight="1">
      <c r="A142" s="14" t="s">
        <v>817</v>
      </c>
      <c r="B142" s="15" t="s">
        <v>23</v>
      </c>
      <c r="C142" s="14">
        <v>3.0</v>
      </c>
      <c r="D142" s="14" t="s">
        <v>24</v>
      </c>
      <c r="E142" s="14">
        <v>0.9262</v>
      </c>
      <c r="F142" s="14">
        <v>11.2383</v>
      </c>
      <c r="G142" s="14">
        <v>13.1744</v>
      </c>
      <c r="H142" s="14">
        <v>0.5928</v>
      </c>
      <c r="I142" s="14">
        <v>0.8137</v>
      </c>
      <c r="J142" s="14">
        <v>0.5849</v>
      </c>
      <c r="K142" s="14">
        <v>0.3164</v>
      </c>
      <c r="L142" s="14">
        <v>6.7779</v>
      </c>
      <c r="M142" s="14" t="s">
        <v>31</v>
      </c>
    </row>
    <row r="143" ht="15.75" customHeight="1">
      <c r="A143" s="14" t="s">
        <v>268</v>
      </c>
      <c r="B143" s="15" t="s">
        <v>23</v>
      </c>
      <c r="C143" s="14">
        <v>3.0</v>
      </c>
      <c r="D143" s="14" t="s">
        <v>24</v>
      </c>
      <c r="E143" s="14">
        <v>0.9289</v>
      </c>
      <c r="F143" s="14">
        <v>11.2141</v>
      </c>
      <c r="G143" s="14">
        <v>13.72</v>
      </c>
      <c r="H143" s="14">
        <v>0.6768</v>
      </c>
      <c r="I143" s="14">
        <v>0.7486</v>
      </c>
      <c r="J143" s="14">
        <v>0.6026</v>
      </c>
      <c r="K143" s="14">
        <v>0.3348</v>
      </c>
      <c r="L143" s="14">
        <v>6.4462</v>
      </c>
      <c r="M143" s="14" t="s">
        <v>31</v>
      </c>
    </row>
    <row r="144" ht="15.75" customHeight="1">
      <c r="A144" s="14" t="s">
        <v>615</v>
      </c>
      <c r="B144" s="15" t="s">
        <v>23</v>
      </c>
      <c r="C144" s="14">
        <v>3.0</v>
      </c>
      <c r="D144" s="14" t="s">
        <v>24</v>
      </c>
      <c r="E144" s="14">
        <v>0.9371</v>
      </c>
      <c r="F144" s="14">
        <v>11.2037</v>
      </c>
      <c r="G144" s="14">
        <v>13.4157</v>
      </c>
      <c r="H144" s="14">
        <v>0.6489</v>
      </c>
      <c r="I144" s="14">
        <v>0.7823</v>
      </c>
      <c r="J144" s="14">
        <v>0.5997</v>
      </c>
      <c r="K144" s="14">
        <v>0.3185</v>
      </c>
      <c r="L144" s="14">
        <v>6.7735</v>
      </c>
      <c r="M144" s="14" t="s">
        <v>31</v>
      </c>
    </row>
    <row r="145" ht="15.75" customHeight="1">
      <c r="A145" s="14" t="s">
        <v>498</v>
      </c>
      <c r="B145" s="15" t="s">
        <v>23</v>
      </c>
      <c r="C145" s="14">
        <v>3.0</v>
      </c>
      <c r="D145" s="14" t="s">
        <v>24</v>
      </c>
      <c r="E145" s="14">
        <v>0.93</v>
      </c>
      <c r="F145" s="14">
        <v>11.1968</v>
      </c>
      <c r="G145" s="14">
        <v>13.789</v>
      </c>
      <c r="H145" s="14">
        <v>0.6749</v>
      </c>
      <c r="I145" s="14">
        <v>0.74</v>
      </c>
      <c r="J145" s="14">
        <v>0.606</v>
      </c>
      <c r="K145" s="14">
        <v>0.3359</v>
      </c>
      <c r="L145" s="14">
        <v>6.4273</v>
      </c>
      <c r="M145" s="14" t="s">
        <v>31</v>
      </c>
    </row>
    <row r="146" ht="15.75" customHeight="1">
      <c r="A146" s="14" t="s">
        <v>836</v>
      </c>
      <c r="B146" s="15" t="s">
        <v>23</v>
      </c>
      <c r="C146" s="14">
        <v>3.0</v>
      </c>
      <c r="D146" s="14" t="s">
        <v>24</v>
      </c>
      <c r="E146" s="14">
        <v>0.9264</v>
      </c>
      <c r="F146" s="14">
        <v>11.1933</v>
      </c>
      <c r="G146" s="14">
        <v>13.1803</v>
      </c>
      <c r="H146" s="14">
        <v>0.5799</v>
      </c>
      <c r="I146" s="14">
        <v>0.8097</v>
      </c>
      <c r="J146" s="14">
        <v>0.5696</v>
      </c>
      <c r="K146" s="14">
        <v>0.3007</v>
      </c>
      <c r="L146" s="14">
        <v>6.9175</v>
      </c>
      <c r="M146" s="14" t="s">
        <v>31</v>
      </c>
    </row>
    <row r="147" ht="15.75" customHeight="1">
      <c r="A147" s="14" t="s">
        <v>337</v>
      </c>
      <c r="B147" s="15" t="s">
        <v>23</v>
      </c>
      <c r="C147" s="14">
        <v>3.0</v>
      </c>
      <c r="D147" s="14" t="s">
        <v>24</v>
      </c>
      <c r="E147" s="14">
        <v>0.9383</v>
      </c>
      <c r="F147" s="14">
        <v>11.1899</v>
      </c>
      <c r="G147" s="14">
        <v>13.2492</v>
      </c>
      <c r="H147" s="14">
        <v>0.6585</v>
      </c>
      <c r="I147" s="14">
        <v>0.801</v>
      </c>
      <c r="J147" s="14">
        <v>0.5791</v>
      </c>
      <c r="K147" s="14">
        <v>0.2993</v>
      </c>
      <c r="L147" s="14">
        <v>6.9697</v>
      </c>
      <c r="M147" s="14" t="s">
        <v>31</v>
      </c>
    </row>
    <row r="148" ht="15.75" customHeight="1">
      <c r="A148" s="14" t="s">
        <v>550</v>
      </c>
      <c r="B148" s="15" t="s">
        <v>23</v>
      </c>
      <c r="C148" s="14">
        <v>3.0</v>
      </c>
      <c r="D148" s="14" t="s">
        <v>24</v>
      </c>
      <c r="E148" s="14">
        <v>0.9283</v>
      </c>
      <c r="F148" s="14">
        <v>11.1864</v>
      </c>
      <c r="G148" s="14">
        <v>13.6225</v>
      </c>
      <c r="H148" s="14">
        <v>0.673</v>
      </c>
      <c r="I148" s="14">
        <v>0.7575</v>
      </c>
      <c r="J148" s="14">
        <v>0.5939</v>
      </c>
      <c r="K148" s="14">
        <v>0.3191</v>
      </c>
      <c r="L148" s="14">
        <v>6.557</v>
      </c>
      <c r="M148" s="14" t="s">
        <v>31</v>
      </c>
    </row>
    <row r="149" ht="15.75" customHeight="1">
      <c r="A149" s="14" t="s">
        <v>432</v>
      </c>
      <c r="B149" s="15" t="s">
        <v>23</v>
      </c>
      <c r="C149" s="14">
        <v>3.0</v>
      </c>
      <c r="D149" s="14" t="s">
        <v>24</v>
      </c>
      <c r="E149" s="14">
        <v>0.929</v>
      </c>
      <c r="F149" s="14">
        <v>11.1829</v>
      </c>
      <c r="G149" s="14">
        <v>13.8377</v>
      </c>
      <c r="H149" s="14">
        <v>0.6697</v>
      </c>
      <c r="I149" s="14">
        <v>0.7339</v>
      </c>
      <c r="J149" s="14">
        <v>0.6041</v>
      </c>
      <c r="K149" s="14">
        <v>0.3365</v>
      </c>
      <c r="L149" s="14">
        <v>6.4351</v>
      </c>
      <c r="M149" s="14" t="s">
        <v>31</v>
      </c>
    </row>
    <row r="150" ht="15.75" customHeight="1">
      <c r="A150" s="14" t="s">
        <v>668</v>
      </c>
      <c r="B150" s="15" t="s">
        <v>23</v>
      </c>
      <c r="C150" s="14">
        <v>3.0</v>
      </c>
      <c r="D150" s="14" t="s">
        <v>24</v>
      </c>
      <c r="E150" s="14">
        <v>0.9375</v>
      </c>
      <c r="F150" s="14">
        <v>11.1829</v>
      </c>
      <c r="G150" s="14">
        <v>13.3527</v>
      </c>
      <c r="H150" s="14">
        <v>0.6546</v>
      </c>
      <c r="I150" s="14">
        <v>0.7882</v>
      </c>
      <c r="J150" s="14">
        <v>0.5778</v>
      </c>
      <c r="K150" s="14">
        <v>0.2997</v>
      </c>
      <c r="L150" s="14">
        <v>6.973</v>
      </c>
      <c r="M150" s="14" t="s">
        <v>31</v>
      </c>
    </row>
    <row r="151" ht="15.75" customHeight="1">
      <c r="A151" s="14" t="s">
        <v>621</v>
      </c>
      <c r="B151" s="15" t="s">
        <v>23</v>
      </c>
      <c r="C151" s="14">
        <v>3.0</v>
      </c>
      <c r="D151" s="14" t="s">
        <v>24</v>
      </c>
      <c r="E151" s="14">
        <v>0.9353</v>
      </c>
      <c r="F151" s="14">
        <v>11.1795</v>
      </c>
      <c r="G151" s="14">
        <v>13.1862</v>
      </c>
      <c r="H151" s="14">
        <v>0.6553</v>
      </c>
      <c r="I151" s="14">
        <v>0.808</v>
      </c>
      <c r="J151" s="14">
        <v>0.5796</v>
      </c>
      <c r="K151" s="14">
        <v>0.2816</v>
      </c>
      <c r="L151" s="14">
        <v>7.0568</v>
      </c>
      <c r="M151" s="14" t="s">
        <v>31</v>
      </c>
    </row>
    <row r="152" ht="15.75" customHeight="1">
      <c r="A152" s="14" t="s">
        <v>528</v>
      </c>
      <c r="B152" s="15" t="s">
        <v>23</v>
      </c>
      <c r="C152" s="14">
        <v>3.0</v>
      </c>
      <c r="D152" s="14" t="s">
        <v>24</v>
      </c>
      <c r="E152" s="14">
        <v>0.9376</v>
      </c>
      <c r="F152" s="14">
        <v>11.1795</v>
      </c>
      <c r="G152" s="14">
        <v>13.3182</v>
      </c>
      <c r="H152" s="14">
        <v>0.6555</v>
      </c>
      <c r="I152" s="14">
        <v>0.792</v>
      </c>
      <c r="J152" s="14">
        <v>0.591</v>
      </c>
      <c r="K152" s="14">
        <v>0.2998</v>
      </c>
      <c r="L152" s="14">
        <v>6.914</v>
      </c>
      <c r="M152" s="14" t="s">
        <v>31</v>
      </c>
    </row>
    <row r="153" ht="15.75" customHeight="1">
      <c r="A153" s="14" t="s">
        <v>868</v>
      </c>
      <c r="B153" s="15" t="s">
        <v>23</v>
      </c>
      <c r="C153" s="14">
        <v>3.0</v>
      </c>
      <c r="D153" s="14" t="s">
        <v>24</v>
      </c>
      <c r="E153" s="14">
        <v>0.9378</v>
      </c>
      <c r="F153" s="14">
        <v>11.176</v>
      </c>
      <c r="G153" s="14">
        <v>13.3182</v>
      </c>
      <c r="H153" s="14">
        <v>0.6561</v>
      </c>
      <c r="I153" s="14">
        <v>0.7918</v>
      </c>
      <c r="J153" s="14">
        <v>0.596</v>
      </c>
      <c r="K153" s="14">
        <v>0.3001</v>
      </c>
      <c r="L153" s="14">
        <v>6.8988</v>
      </c>
      <c r="M153" s="14" t="s">
        <v>31</v>
      </c>
    </row>
    <row r="154" ht="15.75" customHeight="1">
      <c r="A154" s="14" t="s">
        <v>874</v>
      </c>
      <c r="B154" s="15" t="s">
        <v>23</v>
      </c>
      <c r="C154" s="14">
        <v>3.0</v>
      </c>
      <c r="D154" s="14" t="s">
        <v>24</v>
      </c>
      <c r="E154" s="14">
        <v>0.93</v>
      </c>
      <c r="F154" s="14">
        <v>11.176</v>
      </c>
      <c r="G154" s="14">
        <v>13.6915</v>
      </c>
      <c r="H154" s="14">
        <v>0.6703</v>
      </c>
      <c r="I154" s="14">
        <v>0.7492</v>
      </c>
      <c r="J154" s="14">
        <v>0.5948</v>
      </c>
      <c r="K154" s="14">
        <v>0.3186</v>
      </c>
      <c r="L154" s="14">
        <v>6.5514</v>
      </c>
      <c r="M154" s="14" t="s">
        <v>31</v>
      </c>
    </row>
    <row r="155" ht="15.75" customHeight="1">
      <c r="A155" s="14" t="s">
        <v>368</v>
      </c>
      <c r="B155" s="15" t="s">
        <v>23</v>
      </c>
      <c r="C155" s="14">
        <v>3.0</v>
      </c>
      <c r="D155" s="14" t="s">
        <v>24</v>
      </c>
      <c r="E155" s="14">
        <v>0.9292</v>
      </c>
      <c r="F155" s="14">
        <v>11.1725</v>
      </c>
      <c r="G155" s="14">
        <v>13.7545</v>
      </c>
      <c r="H155" s="14">
        <v>0.6692</v>
      </c>
      <c r="I155" s="14">
        <v>0.7421</v>
      </c>
      <c r="J155" s="14">
        <v>0.611</v>
      </c>
      <c r="K155" s="14">
        <v>0.3371</v>
      </c>
      <c r="L155" s="14">
        <v>6.4155</v>
      </c>
      <c r="M155" s="14" t="s">
        <v>31</v>
      </c>
    </row>
    <row r="156" ht="15.75" customHeight="1">
      <c r="A156" s="14" t="s">
        <v>702</v>
      </c>
      <c r="B156" s="15" t="s">
        <v>23</v>
      </c>
      <c r="C156" s="14">
        <v>3.0</v>
      </c>
      <c r="D156" s="14" t="s">
        <v>24</v>
      </c>
      <c r="E156" s="14">
        <v>0.9383</v>
      </c>
      <c r="F156" s="14">
        <v>11.1691</v>
      </c>
      <c r="G156" s="14">
        <v>13.2837</v>
      </c>
      <c r="H156" s="14">
        <v>0.6438</v>
      </c>
      <c r="I156" s="14">
        <v>0.7954</v>
      </c>
      <c r="J156" s="14">
        <v>0.5884</v>
      </c>
      <c r="K156" s="14">
        <v>0.3003</v>
      </c>
      <c r="L156" s="14">
        <v>6.9237</v>
      </c>
      <c r="M156" s="14" t="s">
        <v>31</v>
      </c>
    </row>
    <row r="157" ht="15.75" customHeight="1">
      <c r="A157" s="14" t="s">
        <v>890</v>
      </c>
      <c r="B157" s="15" t="s">
        <v>23</v>
      </c>
      <c r="C157" s="14">
        <v>3.0</v>
      </c>
      <c r="D157" s="14" t="s">
        <v>24</v>
      </c>
      <c r="E157" s="14">
        <v>0.9386</v>
      </c>
      <c r="F157" s="14">
        <v>11.1483</v>
      </c>
      <c r="G157" s="14">
        <v>13.3182</v>
      </c>
      <c r="H157" s="14">
        <v>0.6551</v>
      </c>
      <c r="I157" s="14">
        <v>0.7898</v>
      </c>
      <c r="J157" s="14">
        <v>0.5895</v>
      </c>
      <c r="K157" s="14">
        <v>0.3015</v>
      </c>
      <c r="L157" s="14">
        <v>6.9064</v>
      </c>
      <c r="M157" s="14" t="s">
        <v>31</v>
      </c>
    </row>
    <row r="158" ht="15.75" customHeight="1">
      <c r="A158" s="14" t="s">
        <v>638</v>
      </c>
      <c r="B158" s="15" t="s">
        <v>23</v>
      </c>
      <c r="C158" s="14">
        <v>3.0</v>
      </c>
      <c r="D158" s="14" t="s">
        <v>24</v>
      </c>
      <c r="E158" s="14">
        <v>0.9282</v>
      </c>
      <c r="F158" s="14">
        <v>11.1448</v>
      </c>
      <c r="G158" s="14">
        <v>13.657</v>
      </c>
      <c r="H158" s="14">
        <v>0.6802</v>
      </c>
      <c r="I158" s="14">
        <v>0.7509</v>
      </c>
      <c r="J158" s="14">
        <v>0.5938</v>
      </c>
      <c r="K158" s="14">
        <v>0.3205</v>
      </c>
      <c r="L158" s="14">
        <v>6.5388</v>
      </c>
      <c r="M158" s="14" t="s">
        <v>31</v>
      </c>
    </row>
    <row r="159" ht="15.75" customHeight="1">
      <c r="A159" s="14" t="s">
        <v>289</v>
      </c>
      <c r="B159" s="15" t="s">
        <v>23</v>
      </c>
      <c r="C159" s="14">
        <v>3.0</v>
      </c>
      <c r="D159" s="14" t="s">
        <v>24</v>
      </c>
      <c r="E159" s="14">
        <v>0.9277</v>
      </c>
      <c r="F159" s="14">
        <v>11.1414</v>
      </c>
      <c r="G159" s="14">
        <v>13.6511</v>
      </c>
      <c r="H159" s="14">
        <v>0.6759</v>
      </c>
      <c r="I159" s="14">
        <v>0.7513</v>
      </c>
      <c r="J159" s="14">
        <v>0.601</v>
      </c>
      <c r="K159" s="14">
        <v>0.3385</v>
      </c>
      <c r="L159" s="14">
        <v>6.4125</v>
      </c>
      <c r="M159" s="14" t="s">
        <v>31</v>
      </c>
    </row>
    <row r="160" ht="15.75" customHeight="1">
      <c r="A160" s="14" t="s">
        <v>798</v>
      </c>
      <c r="B160" s="15" t="s">
        <v>23</v>
      </c>
      <c r="C160" s="14">
        <v>3.0</v>
      </c>
      <c r="D160" s="14" t="s">
        <v>24</v>
      </c>
      <c r="E160" s="14">
        <v>0.9397</v>
      </c>
      <c r="F160" s="14">
        <v>11.1414</v>
      </c>
      <c r="G160" s="14">
        <v>13.3527</v>
      </c>
      <c r="H160" s="14">
        <v>0.6557</v>
      </c>
      <c r="I160" s="14">
        <v>0.7853</v>
      </c>
      <c r="J160" s="14">
        <v>0.5887</v>
      </c>
      <c r="K160" s="14">
        <v>0.3019</v>
      </c>
      <c r="L160" s="14">
        <v>6.9</v>
      </c>
      <c r="M160" s="14" t="s">
        <v>31</v>
      </c>
    </row>
    <row r="161" ht="15.75" customHeight="1">
      <c r="A161" s="14" t="s">
        <v>649</v>
      </c>
      <c r="B161" s="15" t="s">
        <v>23</v>
      </c>
      <c r="C161" s="14">
        <v>3.0</v>
      </c>
      <c r="D161" s="14" t="s">
        <v>24</v>
      </c>
      <c r="E161" s="14">
        <v>0.9292</v>
      </c>
      <c r="F161" s="14">
        <v>11.1241</v>
      </c>
      <c r="G161" s="14">
        <v>13.72</v>
      </c>
      <c r="H161" s="14">
        <v>0.6716</v>
      </c>
      <c r="I161" s="14">
        <v>0.7426</v>
      </c>
      <c r="J161" s="14">
        <v>0.6015</v>
      </c>
      <c r="K161" s="14">
        <v>0.3394</v>
      </c>
      <c r="L161" s="14">
        <v>6.4201</v>
      </c>
      <c r="M161" s="14" t="s">
        <v>31</v>
      </c>
    </row>
    <row r="162" ht="15.75" customHeight="1">
      <c r="A162" s="14" t="s">
        <v>347</v>
      </c>
      <c r="B162" s="15" t="s">
        <v>23</v>
      </c>
      <c r="C162" s="14">
        <v>3.0</v>
      </c>
      <c r="D162" s="14" t="s">
        <v>24</v>
      </c>
      <c r="E162" s="14">
        <v>0.9288</v>
      </c>
      <c r="F162" s="14">
        <v>11.0894</v>
      </c>
      <c r="G162" s="14">
        <v>13.6856</v>
      </c>
      <c r="H162" s="14">
        <v>0.6687</v>
      </c>
      <c r="I162" s="14">
        <v>0.744</v>
      </c>
      <c r="J162" s="14">
        <v>0.6088</v>
      </c>
      <c r="K162" s="14">
        <v>0.3417</v>
      </c>
      <c r="L162" s="14">
        <v>6.3642</v>
      </c>
      <c r="M162" s="14" t="s">
        <v>31</v>
      </c>
    </row>
    <row r="163" ht="15.75" customHeight="1">
      <c r="A163" s="14" t="s">
        <v>655</v>
      </c>
      <c r="B163" s="15" t="s">
        <v>23</v>
      </c>
      <c r="C163" s="14">
        <v>3.0</v>
      </c>
      <c r="D163" s="14" t="s">
        <v>24</v>
      </c>
      <c r="E163" s="14">
        <v>0.9284</v>
      </c>
      <c r="F163" s="14">
        <v>11.079</v>
      </c>
      <c r="G163" s="14">
        <v>13.7545</v>
      </c>
      <c r="H163" s="14">
        <v>0.6741</v>
      </c>
      <c r="I163" s="14">
        <v>0.7359</v>
      </c>
      <c r="J163" s="14">
        <v>0.6066</v>
      </c>
      <c r="K163" s="14">
        <v>0.3421</v>
      </c>
      <c r="L163" s="14">
        <v>6.3895</v>
      </c>
      <c r="M163" s="14" t="s">
        <v>31</v>
      </c>
    </row>
    <row r="164" ht="15.75" customHeight="1">
      <c r="A164" s="14" t="s">
        <v>923</v>
      </c>
      <c r="B164" s="15" t="s">
        <v>23</v>
      </c>
      <c r="C164" s="14">
        <v>3.0</v>
      </c>
      <c r="D164" s="14" t="s">
        <v>24</v>
      </c>
      <c r="E164" s="14">
        <v>0.9216</v>
      </c>
      <c r="F164" s="14">
        <v>11.0548</v>
      </c>
      <c r="G164" s="14">
        <v>13.462</v>
      </c>
      <c r="H164" s="14">
        <v>0.66</v>
      </c>
      <c r="I164" s="14">
        <v>0.7666</v>
      </c>
      <c r="J164" s="14">
        <v>0.6</v>
      </c>
      <c r="K164" s="14">
        <v>0.2919</v>
      </c>
      <c r="L164" s="14">
        <v>6.6427</v>
      </c>
      <c r="M164" s="14" t="s">
        <v>31</v>
      </c>
    </row>
    <row r="165" ht="15.75" customHeight="1">
      <c r="A165" s="14" t="s">
        <v>662</v>
      </c>
      <c r="B165" s="15" t="s">
        <v>23</v>
      </c>
      <c r="C165" s="14">
        <v>3.0</v>
      </c>
      <c r="D165" s="14" t="s">
        <v>24</v>
      </c>
      <c r="E165" s="14">
        <v>0.9295</v>
      </c>
      <c r="F165" s="14">
        <v>11.0513</v>
      </c>
      <c r="G165" s="14">
        <v>13.72</v>
      </c>
      <c r="H165" s="14">
        <v>0.6668</v>
      </c>
      <c r="I165" s="14">
        <v>0.7378</v>
      </c>
      <c r="J165" s="14">
        <v>0.6114</v>
      </c>
      <c r="K165" s="14">
        <v>0.3437</v>
      </c>
      <c r="L165" s="14">
        <v>6.3753</v>
      </c>
      <c r="M165" s="14" t="s">
        <v>31</v>
      </c>
    </row>
    <row r="166" ht="15.75" customHeight="1">
      <c r="A166" s="14" t="s">
        <v>933</v>
      </c>
      <c r="B166" s="15" t="s">
        <v>23</v>
      </c>
      <c r="C166" s="14">
        <v>3.0</v>
      </c>
      <c r="D166" s="14" t="s">
        <v>24</v>
      </c>
      <c r="E166" s="14">
        <v>0.9289</v>
      </c>
      <c r="F166" s="14">
        <v>11.0479</v>
      </c>
      <c r="G166" s="14">
        <v>13.594</v>
      </c>
      <c r="H166" s="14">
        <v>0.6736</v>
      </c>
      <c r="I166" s="14">
        <v>0.7513</v>
      </c>
      <c r="J166" s="14">
        <v>0.5898</v>
      </c>
      <c r="K166" s="14">
        <v>0.3093</v>
      </c>
      <c r="L166" s="14">
        <v>6.6177</v>
      </c>
      <c r="M166" s="14" t="s">
        <v>31</v>
      </c>
    </row>
    <row r="167" ht="15.75" customHeight="1">
      <c r="A167" s="14" t="s">
        <v>438</v>
      </c>
      <c r="B167" s="15" t="s">
        <v>23</v>
      </c>
      <c r="C167" s="14">
        <v>3.0</v>
      </c>
      <c r="D167" s="14" t="s">
        <v>24</v>
      </c>
      <c r="E167" s="14">
        <v>0.9302</v>
      </c>
      <c r="F167" s="14">
        <v>11.0409</v>
      </c>
      <c r="G167" s="14">
        <v>13.6856</v>
      </c>
      <c r="H167" s="14">
        <v>0.6699</v>
      </c>
      <c r="I167" s="14">
        <v>0.7408</v>
      </c>
      <c r="J167" s="14">
        <v>0.6099</v>
      </c>
      <c r="K167" s="14">
        <v>0.3442</v>
      </c>
      <c r="L167" s="14">
        <v>6.3617</v>
      </c>
      <c r="M167" s="14" t="s">
        <v>31</v>
      </c>
    </row>
    <row r="168" ht="15.75" customHeight="1">
      <c r="A168" s="14" t="s">
        <v>943</v>
      </c>
      <c r="B168" s="15" t="s">
        <v>23</v>
      </c>
      <c r="C168" s="14">
        <v>3.0</v>
      </c>
      <c r="D168" s="14" t="s">
        <v>24</v>
      </c>
      <c r="E168" s="14">
        <v>0.9248</v>
      </c>
      <c r="F168" s="14">
        <v>11.0271</v>
      </c>
      <c r="G168" s="14">
        <v>13.4561</v>
      </c>
      <c r="H168" s="14">
        <v>0.666</v>
      </c>
      <c r="I168" s="14">
        <v>0.7653</v>
      </c>
      <c r="J168" s="14">
        <v>0.6122</v>
      </c>
      <c r="K168" s="14">
        <v>0.3089</v>
      </c>
      <c r="L168" s="14">
        <v>6.5334</v>
      </c>
      <c r="M168" s="14" t="s">
        <v>31</v>
      </c>
    </row>
    <row r="169" ht="15.75" customHeight="1">
      <c r="A169" s="14" t="s">
        <v>948</v>
      </c>
      <c r="B169" s="15" t="s">
        <v>23</v>
      </c>
      <c r="C169" s="14">
        <v>3.0</v>
      </c>
      <c r="D169" s="14" t="s">
        <v>24</v>
      </c>
      <c r="E169" s="14">
        <v>0.9295</v>
      </c>
      <c r="F169" s="14">
        <v>11.0271</v>
      </c>
      <c r="G169" s="14">
        <v>13.5595</v>
      </c>
      <c r="H169" s="14">
        <v>0.6693</v>
      </c>
      <c r="I169" s="14">
        <v>0.7537</v>
      </c>
      <c r="J169" s="14">
        <v>0.5882</v>
      </c>
      <c r="K169" s="14">
        <v>0.3094</v>
      </c>
      <c r="L169" s="14">
        <v>6.6159</v>
      </c>
      <c r="M169" s="14" t="s">
        <v>31</v>
      </c>
    </row>
    <row r="170" ht="15.75" customHeight="1">
      <c r="A170" s="14" t="s">
        <v>954</v>
      </c>
      <c r="B170" s="15" t="s">
        <v>23</v>
      </c>
      <c r="C170" s="14">
        <v>3.0</v>
      </c>
      <c r="D170" s="14" t="s">
        <v>24</v>
      </c>
      <c r="E170" s="14">
        <v>0.9269</v>
      </c>
      <c r="F170" s="14">
        <v>11.0132</v>
      </c>
      <c r="G170" s="14">
        <v>13.5881</v>
      </c>
      <c r="H170" s="14">
        <v>0.67</v>
      </c>
      <c r="I170" s="14">
        <v>0.7496</v>
      </c>
      <c r="J170" s="14">
        <v>0.6116</v>
      </c>
      <c r="K170" s="14">
        <v>0.3297</v>
      </c>
      <c r="L170" s="14">
        <v>6.375</v>
      </c>
      <c r="M170" s="14" t="s">
        <v>31</v>
      </c>
    </row>
    <row r="171" ht="15.75" customHeight="1">
      <c r="A171" s="14" t="s">
        <v>959</v>
      </c>
      <c r="B171" s="15" t="s">
        <v>23</v>
      </c>
      <c r="C171" s="14">
        <v>3.0</v>
      </c>
      <c r="D171" s="14" t="s">
        <v>24</v>
      </c>
      <c r="E171" s="14">
        <v>0.9253</v>
      </c>
      <c r="F171" s="14">
        <v>11.0132</v>
      </c>
      <c r="G171" s="14">
        <v>13.3871</v>
      </c>
      <c r="H171" s="14">
        <v>0.6612</v>
      </c>
      <c r="I171" s="14">
        <v>0.7722</v>
      </c>
      <c r="J171" s="14">
        <v>0.6148</v>
      </c>
      <c r="K171" s="14">
        <v>0.3109</v>
      </c>
      <c r="L171" s="14">
        <v>6.5136</v>
      </c>
      <c r="M171" s="14" t="s">
        <v>31</v>
      </c>
    </row>
    <row r="172" ht="15.75" customHeight="1">
      <c r="A172" s="14" t="s">
        <v>965</v>
      </c>
      <c r="B172" s="15" t="s">
        <v>23</v>
      </c>
      <c r="C172" s="14">
        <v>3.0</v>
      </c>
      <c r="D172" s="14" t="s">
        <v>24</v>
      </c>
      <c r="E172" s="14">
        <v>0.9169</v>
      </c>
      <c r="F172" s="14">
        <v>11.0098</v>
      </c>
      <c r="G172" s="14">
        <v>13.5393</v>
      </c>
      <c r="H172" s="14">
        <v>0.6644</v>
      </c>
      <c r="I172" s="14">
        <v>0.7547</v>
      </c>
      <c r="J172" s="14">
        <v>0.6103</v>
      </c>
      <c r="K172" s="14">
        <v>0.3109</v>
      </c>
      <c r="L172" s="14">
        <v>6.5282</v>
      </c>
      <c r="M172" s="14" t="s">
        <v>31</v>
      </c>
    </row>
    <row r="173" ht="15.75" customHeight="1">
      <c r="A173" s="14" t="s">
        <v>242</v>
      </c>
      <c r="B173" s="15" t="s">
        <v>23</v>
      </c>
      <c r="C173" s="14">
        <v>3.0</v>
      </c>
      <c r="D173" s="14" t="s">
        <v>24</v>
      </c>
      <c r="E173" s="14">
        <v>0.9287</v>
      </c>
      <c r="F173" s="14">
        <v>11.0098</v>
      </c>
      <c r="G173" s="14">
        <v>13.657</v>
      </c>
      <c r="H173" s="14">
        <v>0.6675</v>
      </c>
      <c r="I173" s="14">
        <v>0.7418</v>
      </c>
      <c r="J173" s="14">
        <v>0.5994</v>
      </c>
      <c r="K173" s="14">
        <v>0.3295</v>
      </c>
      <c r="L173" s="14">
        <v>6.4805</v>
      </c>
      <c r="M173" s="14" t="s">
        <v>31</v>
      </c>
    </row>
    <row r="174" ht="15.75" customHeight="1">
      <c r="A174" s="14" t="s">
        <v>536</v>
      </c>
      <c r="B174" s="15" t="s">
        <v>23</v>
      </c>
      <c r="C174" s="14">
        <v>3.0</v>
      </c>
      <c r="D174" s="14" t="s">
        <v>24</v>
      </c>
      <c r="E174" s="14">
        <v>0.9296</v>
      </c>
      <c r="F174" s="14">
        <v>11.0063</v>
      </c>
      <c r="G174" s="14">
        <v>13.6856</v>
      </c>
      <c r="H174" s="14">
        <v>0.6721</v>
      </c>
      <c r="I174" s="14">
        <v>0.7385</v>
      </c>
      <c r="J174" s="14">
        <v>0.6101</v>
      </c>
      <c r="K174" s="14">
        <v>0.3459</v>
      </c>
      <c r="L174" s="14">
        <v>6.3612</v>
      </c>
      <c r="M174" s="14" t="s">
        <v>31</v>
      </c>
    </row>
    <row r="175" ht="15.75" customHeight="1">
      <c r="A175" s="14" t="s">
        <v>981</v>
      </c>
      <c r="B175" s="15" t="s">
        <v>23</v>
      </c>
      <c r="C175" s="14">
        <v>3.0</v>
      </c>
      <c r="D175" s="14" t="s">
        <v>24</v>
      </c>
      <c r="E175" s="14">
        <v>0.9287</v>
      </c>
      <c r="F175" s="14">
        <v>11.0063</v>
      </c>
      <c r="G175" s="14">
        <v>13.6225</v>
      </c>
      <c r="H175" s="14">
        <v>0.6765</v>
      </c>
      <c r="I175" s="14">
        <v>0.7453</v>
      </c>
      <c r="J175" s="14">
        <v>0.5999</v>
      </c>
      <c r="K175" s="14">
        <v>0.3269</v>
      </c>
      <c r="L175" s="14">
        <v>6.48</v>
      </c>
      <c r="M175" s="14" t="s">
        <v>31</v>
      </c>
    </row>
    <row r="176" ht="15.75" customHeight="1">
      <c r="A176" s="14" t="s">
        <v>987</v>
      </c>
      <c r="B176" s="15" t="s">
        <v>23</v>
      </c>
      <c r="C176" s="14">
        <v>3.0</v>
      </c>
      <c r="D176" s="14" t="s">
        <v>24</v>
      </c>
      <c r="E176" s="14">
        <v>0.9169</v>
      </c>
      <c r="F176" s="14">
        <v>10.9855</v>
      </c>
      <c r="G176" s="14">
        <v>13.2552</v>
      </c>
      <c r="H176" s="14">
        <v>0.6648</v>
      </c>
      <c r="I176" s="14">
        <v>0.7857</v>
      </c>
      <c r="J176" s="14">
        <v>0.6025</v>
      </c>
      <c r="K176" s="14">
        <v>0.2939</v>
      </c>
      <c r="L176" s="14">
        <v>6.6342</v>
      </c>
      <c r="M176" s="14" t="s">
        <v>31</v>
      </c>
    </row>
    <row r="177" ht="15.75" customHeight="1">
      <c r="A177" s="14" t="s">
        <v>993</v>
      </c>
      <c r="B177" s="15" t="s">
        <v>23</v>
      </c>
      <c r="C177" s="14">
        <v>3.0</v>
      </c>
      <c r="D177" s="14" t="s">
        <v>24</v>
      </c>
      <c r="E177" s="14">
        <v>0.9163</v>
      </c>
      <c r="F177" s="14">
        <v>10.9821</v>
      </c>
      <c r="G177" s="14">
        <v>13.3241</v>
      </c>
      <c r="H177" s="14">
        <v>0.6636</v>
      </c>
      <c r="I177" s="14">
        <v>0.7774</v>
      </c>
      <c r="J177" s="14">
        <v>0.6057</v>
      </c>
      <c r="K177" s="14">
        <v>0.2934</v>
      </c>
      <c r="L177" s="14">
        <v>6.6445</v>
      </c>
      <c r="M177" s="14" t="s">
        <v>31</v>
      </c>
    </row>
    <row r="178" ht="15.75" customHeight="1">
      <c r="A178" s="14" t="s">
        <v>999</v>
      </c>
      <c r="B178" s="15" t="s">
        <v>23</v>
      </c>
      <c r="C178" s="14">
        <v>3.0</v>
      </c>
      <c r="D178" s="14" t="s">
        <v>24</v>
      </c>
      <c r="E178" s="14">
        <v>0.925</v>
      </c>
      <c r="F178" s="14">
        <v>10.9821</v>
      </c>
      <c r="G178" s="14">
        <v>13.3586</v>
      </c>
      <c r="H178" s="14">
        <v>0.6681</v>
      </c>
      <c r="I178" s="14">
        <v>0.7733</v>
      </c>
      <c r="J178" s="14">
        <v>0.6024</v>
      </c>
      <c r="K178" s="14">
        <v>0.2942</v>
      </c>
      <c r="L178" s="14">
        <v>6.6229</v>
      </c>
      <c r="M178" s="14" t="s">
        <v>31</v>
      </c>
    </row>
    <row r="179" ht="15.75" customHeight="1">
      <c r="A179" s="14" t="s">
        <v>1004</v>
      </c>
      <c r="B179" s="15" t="s">
        <v>23</v>
      </c>
      <c r="C179" s="14">
        <v>3.0</v>
      </c>
      <c r="D179" s="14" t="s">
        <v>24</v>
      </c>
      <c r="E179" s="14">
        <v>0.9276</v>
      </c>
      <c r="F179" s="14">
        <v>10.9786</v>
      </c>
      <c r="G179" s="14">
        <v>13.4906</v>
      </c>
      <c r="H179" s="14">
        <v>0.6567</v>
      </c>
      <c r="I179" s="14">
        <v>0.758</v>
      </c>
      <c r="J179" s="14">
        <v>0.6166</v>
      </c>
      <c r="K179" s="14">
        <v>0.3136</v>
      </c>
      <c r="L179" s="14">
        <v>6.4962</v>
      </c>
      <c r="M179" s="14" t="s">
        <v>31</v>
      </c>
    </row>
    <row r="180" ht="15.75" customHeight="1">
      <c r="A180" s="14" t="s">
        <v>1010</v>
      </c>
      <c r="B180" s="15" t="s">
        <v>23</v>
      </c>
      <c r="C180" s="14">
        <v>3.0</v>
      </c>
      <c r="D180" s="14" t="s">
        <v>24</v>
      </c>
      <c r="E180" s="14">
        <v>0.9269</v>
      </c>
      <c r="F180" s="14">
        <v>10.9786</v>
      </c>
      <c r="G180" s="14">
        <v>13.3527</v>
      </c>
      <c r="H180" s="14">
        <v>0.6558</v>
      </c>
      <c r="I180" s="14">
        <v>0.7738</v>
      </c>
      <c r="J180" s="14">
        <v>0.6158</v>
      </c>
      <c r="K180" s="14">
        <v>0.3138</v>
      </c>
      <c r="L180" s="14">
        <v>6.494</v>
      </c>
      <c r="M180" s="14" t="s">
        <v>31</v>
      </c>
    </row>
    <row r="181" ht="15.75" customHeight="1">
      <c r="A181" s="14" t="s">
        <v>1016</v>
      </c>
      <c r="B181" s="15" t="s">
        <v>23</v>
      </c>
      <c r="C181" s="14">
        <v>3.0</v>
      </c>
      <c r="D181" s="14" t="s">
        <v>24</v>
      </c>
      <c r="E181" s="14">
        <v>0.9289</v>
      </c>
      <c r="F181" s="14">
        <v>10.9751</v>
      </c>
      <c r="G181" s="14">
        <v>13.4216</v>
      </c>
      <c r="H181" s="14">
        <v>0.6566</v>
      </c>
      <c r="I181" s="14">
        <v>0.7656</v>
      </c>
      <c r="J181" s="14">
        <v>0.6134</v>
      </c>
      <c r="K181" s="14">
        <v>0.3134</v>
      </c>
      <c r="L181" s="14">
        <v>6.5171</v>
      </c>
      <c r="M181" s="14" t="s">
        <v>31</v>
      </c>
    </row>
    <row r="182" ht="15.75" customHeight="1">
      <c r="A182" s="14" t="s">
        <v>1022</v>
      </c>
      <c r="B182" s="15" t="s">
        <v>23</v>
      </c>
      <c r="C182" s="14">
        <v>3.0</v>
      </c>
      <c r="D182" s="14" t="s">
        <v>24</v>
      </c>
      <c r="E182" s="14">
        <v>0.9186</v>
      </c>
      <c r="F182" s="14">
        <v>10.9682</v>
      </c>
      <c r="G182" s="14">
        <v>13.3586</v>
      </c>
      <c r="H182" s="14">
        <v>0.6647</v>
      </c>
      <c r="I182" s="14">
        <v>0.7724</v>
      </c>
      <c r="J182" s="14">
        <v>0.5998</v>
      </c>
      <c r="K182" s="14">
        <v>0.2959</v>
      </c>
      <c r="L182" s="14">
        <v>6.5705</v>
      </c>
      <c r="M182" s="14" t="s">
        <v>31</v>
      </c>
    </row>
    <row r="183" ht="15.75" customHeight="1">
      <c r="A183" s="14" t="s">
        <v>1027</v>
      </c>
      <c r="B183" s="15" t="s">
        <v>23</v>
      </c>
      <c r="C183" s="14">
        <v>3.0</v>
      </c>
      <c r="D183" s="14" t="s">
        <v>24</v>
      </c>
      <c r="E183" s="14">
        <v>0.9276</v>
      </c>
      <c r="F183" s="14">
        <v>10.9647</v>
      </c>
      <c r="G183" s="14">
        <v>13.5048</v>
      </c>
      <c r="H183" s="14">
        <v>0.6619</v>
      </c>
      <c r="I183" s="14">
        <v>0.7555</v>
      </c>
      <c r="J183" s="14">
        <v>0.6118</v>
      </c>
      <c r="K183" s="14">
        <v>0.3141</v>
      </c>
      <c r="L183" s="14">
        <v>6.5203</v>
      </c>
      <c r="M183" s="14" t="s">
        <v>31</v>
      </c>
    </row>
    <row r="184" ht="15.75" customHeight="1">
      <c r="A184" s="14" t="s">
        <v>1032</v>
      </c>
      <c r="B184" s="15" t="s">
        <v>23</v>
      </c>
      <c r="C184" s="14">
        <v>3.0</v>
      </c>
      <c r="D184" s="14" t="s">
        <v>24</v>
      </c>
      <c r="E184" s="14">
        <v>0.9289</v>
      </c>
      <c r="F184" s="14">
        <v>10.9578</v>
      </c>
      <c r="G184" s="14">
        <v>13.393</v>
      </c>
      <c r="H184" s="14">
        <v>0.662</v>
      </c>
      <c r="I184" s="14">
        <v>0.7677</v>
      </c>
      <c r="J184" s="14">
        <v>0.607</v>
      </c>
      <c r="K184" s="14">
        <v>0.2954</v>
      </c>
      <c r="L184" s="14">
        <v>6.6208</v>
      </c>
      <c r="M184" s="14" t="s">
        <v>31</v>
      </c>
    </row>
    <row r="185" ht="15.75" customHeight="1">
      <c r="A185" s="14" t="s">
        <v>1038</v>
      </c>
      <c r="B185" s="15" t="s">
        <v>23</v>
      </c>
      <c r="C185" s="14">
        <v>3.0</v>
      </c>
      <c r="D185" s="14" t="s">
        <v>24</v>
      </c>
      <c r="E185" s="14">
        <v>0.9178</v>
      </c>
      <c r="F185" s="14">
        <v>10.9578</v>
      </c>
      <c r="G185" s="14">
        <v>13.4216</v>
      </c>
      <c r="H185" s="14">
        <v>0.6605</v>
      </c>
      <c r="I185" s="14">
        <v>0.7644</v>
      </c>
      <c r="J185" s="14">
        <v>0.6101</v>
      </c>
      <c r="K185" s="14">
        <v>0.3135</v>
      </c>
      <c r="L185" s="14">
        <v>6.5377</v>
      </c>
      <c r="M185" s="14" t="s">
        <v>31</v>
      </c>
    </row>
    <row r="186" ht="15.75" customHeight="1">
      <c r="A186" s="14" t="s">
        <v>1044</v>
      </c>
      <c r="B186" s="15" t="s">
        <v>23</v>
      </c>
      <c r="C186" s="14">
        <v>3.0</v>
      </c>
      <c r="D186" s="14" t="s">
        <v>24</v>
      </c>
      <c r="E186" s="14">
        <v>0.9299</v>
      </c>
      <c r="F186" s="14">
        <v>10.9578</v>
      </c>
      <c r="G186" s="14">
        <v>13.4216</v>
      </c>
      <c r="H186" s="14">
        <v>0.6561</v>
      </c>
      <c r="I186" s="14">
        <v>0.7644</v>
      </c>
      <c r="J186" s="14">
        <v>0.6116</v>
      </c>
      <c r="K186" s="14">
        <v>0.3143</v>
      </c>
      <c r="L186" s="14">
        <v>6.5024</v>
      </c>
      <c r="M186" s="14" t="s">
        <v>31</v>
      </c>
    </row>
    <row r="187" ht="15.75" customHeight="1">
      <c r="A187" s="14" t="s">
        <v>1050</v>
      </c>
      <c r="B187" s="15" t="s">
        <v>23</v>
      </c>
      <c r="C187" s="14">
        <v>3.0</v>
      </c>
      <c r="D187" s="14" t="s">
        <v>24</v>
      </c>
      <c r="E187" s="14">
        <v>0.9232</v>
      </c>
      <c r="F187" s="14">
        <v>10.9474</v>
      </c>
      <c r="G187" s="14">
        <v>13.4906</v>
      </c>
      <c r="H187" s="14">
        <v>0.6603</v>
      </c>
      <c r="I187" s="14">
        <v>0.7559</v>
      </c>
      <c r="J187" s="14">
        <v>0.5962</v>
      </c>
      <c r="K187" s="14">
        <v>0.3136</v>
      </c>
      <c r="L187" s="14">
        <v>6.5978</v>
      </c>
      <c r="M187" s="14" t="s">
        <v>31</v>
      </c>
    </row>
    <row r="188" ht="15.75" customHeight="1">
      <c r="A188" s="14" t="s">
        <v>1055</v>
      </c>
      <c r="B188" s="15" t="s">
        <v>23</v>
      </c>
      <c r="C188" s="14">
        <v>3.0</v>
      </c>
      <c r="D188" s="14" t="s">
        <v>24</v>
      </c>
      <c r="E188" s="14">
        <v>0.9276</v>
      </c>
      <c r="F188" s="14">
        <v>10.9474</v>
      </c>
      <c r="G188" s="14">
        <v>13.3241</v>
      </c>
      <c r="H188" s="14">
        <v>0.6646</v>
      </c>
      <c r="I188" s="14">
        <v>0.7749</v>
      </c>
      <c r="J188" s="14">
        <v>0.6041</v>
      </c>
      <c r="K188" s="14">
        <v>0.2962</v>
      </c>
      <c r="L188" s="14">
        <v>6.6139</v>
      </c>
      <c r="M188" s="14" t="s">
        <v>31</v>
      </c>
    </row>
    <row r="189" ht="15.75" customHeight="1">
      <c r="A189" s="14" t="s">
        <v>1061</v>
      </c>
      <c r="B189" s="15" t="s">
        <v>23</v>
      </c>
      <c r="C189" s="14">
        <v>3.0</v>
      </c>
      <c r="D189" s="14" t="s">
        <v>24</v>
      </c>
      <c r="E189" s="14">
        <v>0.928</v>
      </c>
      <c r="F189" s="14">
        <v>10.9474</v>
      </c>
      <c r="G189" s="14">
        <v>13.3586</v>
      </c>
      <c r="H189" s="14">
        <v>0.6612</v>
      </c>
      <c r="I189" s="14">
        <v>0.7709</v>
      </c>
      <c r="J189" s="14">
        <v>0.6041</v>
      </c>
      <c r="K189" s="14">
        <v>0.2964</v>
      </c>
      <c r="L189" s="14">
        <v>6.6134</v>
      </c>
      <c r="M189" s="14" t="s">
        <v>31</v>
      </c>
    </row>
    <row r="190" ht="15.75" customHeight="1">
      <c r="A190" s="14" t="s">
        <v>1066</v>
      </c>
      <c r="B190" s="15" t="s">
        <v>23</v>
      </c>
      <c r="C190" s="14">
        <v>3.0</v>
      </c>
      <c r="D190" s="14" t="s">
        <v>24</v>
      </c>
      <c r="E190" s="14">
        <v>0.9277</v>
      </c>
      <c r="F190" s="14">
        <v>10.937</v>
      </c>
      <c r="G190" s="14">
        <v>13.3241</v>
      </c>
      <c r="H190" s="14">
        <v>0.6657</v>
      </c>
      <c r="I190" s="14">
        <v>0.7742</v>
      </c>
      <c r="J190" s="14">
        <v>0.6083</v>
      </c>
      <c r="K190" s="14">
        <v>0.2971</v>
      </c>
      <c r="L190" s="14">
        <v>6.6064</v>
      </c>
      <c r="M190" s="14" t="s">
        <v>31</v>
      </c>
    </row>
    <row r="191" ht="15.75" customHeight="1">
      <c r="A191" s="14" t="s">
        <v>1071</v>
      </c>
      <c r="B191" s="15" t="s">
        <v>23</v>
      </c>
      <c r="C191" s="14">
        <v>3.0</v>
      </c>
      <c r="D191" s="14" t="s">
        <v>24</v>
      </c>
      <c r="E191" s="14">
        <v>0.9295</v>
      </c>
      <c r="F191" s="14">
        <v>10.937</v>
      </c>
      <c r="G191" s="14">
        <v>13.3871</v>
      </c>
      <c r="H191" s="14">
        <v>0.6498</v>
      </c>
      <c r="I191" s="14">
        <v>0.7669</v>
      </c>
      <c r="J191" s="14">
        <v>0.6179</v>
      </c>
      <c r="K191" s="14">
        <v>0.316</v>
      </c>
      <c r="L191" s="14">
        <v>6.4846</v>
      </c>
      <c r="M191" s="14" t="s">
        <v>31</v>
      </c>
    </row>
    <row r="192" ht="15.75" customHeight="1">
      <c r="A192" s="14" t="s">
        <v>1076</v>
      </c>
      <c r="B192" s="15" t="s">
        <v>23</v>
      </c>
      <c r="C192" s="14">
        <v>3.0</v>
      </c>
      <c r="D192" s="14" t="s">
        <v>24</v>
      </c>
      <c r="E192" s="14">
        <v>0.9248</v>
      </c>
      <c r="F192" s="14">
        <v>10.9232</v>
      </c>
      <c r="G192" s="14">
        <v>13.4216</v>
      </c>
      <c r="H192" s="14">
        <v>0.6559</v>
      </c>
      <c r="I192" s="14">
        <v>0.762</v>
      </c>
      <c r="J192" s="14">
        <v>0.5966</v>
      </c>
      <c r="K192" s="14">
        <v>0.315</v>
      </c>
      <c r="L192" s="14">
        <v>6.5987</v>
      </c>
      <c r="M192" s="14" t="s">
        <v>31</v>
      </c>
    </row>
    <row r="193" ht="15.75" customHeight="1">
      <c r="A193" s="14" t="s">
        <v>1082</v>
      </c>
      <c r="B193" s="15" t="s">
        <v>23</v>
      </c>
      <c r="C193" s="14">
        <v>3.0</v>
      </c>
      <c r="D193" s="14" t="s">
        <v>24</v>
      </c>
      <c r="E193" s="14">
        <v>0.9248</v>
      </c>
      <c r="F193" s="14">
        <v>10.8886</v>
      </c>
      <c r="G193" s="14">
        <v>13.1862</v>
      </c>
      <c r="H193" s="14">
        <v>0.6485</v>
      </c>
      <c r="I193" s="14">
        <v>0.7869</v>
      </c>
      <c r="J193" s="14">
        <v>0.5886</v>
      </c>
      <c r="K193" s="14">
        <v>0.2992</v>
      </c>
      <c r="L193" s="14">
        <v>6.6994</v>
      </c>
      <c r="M193" s="14" t="s">
        <v>31</v>
      </c>
    </row>
    <row r="194" ht="15.75" customHeight="1">
      <c r="A194" s="14" t="s">
        <v>1086</v>
      </c>
      <c r="B194" s="15" t="s">
        <v>23</v>
      </c>
      <c r="C194" s="14">
        <v>3.0</v>
      </c>
      <c r="D194" s="14" t="s">
        <v>24</v>
      </c>
      <c r="E194" s="14">
        <v>0.9257</v>
      </c>
      <c r="F194" s="14">
        <v>10.8851</v>
      </c>
      <c r="G194" s="14">
        <v>13.4216</v>
      </c>
      <c r="H194" s="14">
        <v>0.65</v>
      </c>
      <c r="I194" s="14">
        <v>0.7593</v>
      </c>
      <c r="J194" s="14">
        <v>0.5961</v>
      </c>
      <c r="K194" s="14">
        <v>0.3169</v>
      </c>
      <c r="L194" s="14">
        <v>6.5852</v>
      </c>
      <c r="M194" s="14" t="s">
        <v>31</v>
      </c>
    </row>
    <row r="195" ht="15.75" customHeight="1">
      <c r="A195" s="14" t="s">
        <v>1089</v>
      </c>
      <c r="B195" s="15" t="s">
        <v>23</v>
      </c>
      <c r="C195" s="14">
        <v>3.0</v>
      </c>
      <c r="D195" s="14" t="s">
        <v>24</v>
      </c>
      <c r="E195" s="14">
        <v>0.9293</v>
      </c>
      <c r="F195" s="14">
        <v>10.8851</v>
      </c>
      <c r="G195" s="14">
        <v>13.4216</v>
      </c>
      <c r="H195" s="14">
        <v>0.6681</v>
      </c>
      <c r="I195" s="14">
        <v>0.7593</v>
      </c>
      <c r="J195" s="14">
        <v>0.6015</v>
      </c>
      <c r="K195" s="14">
        <v>0.3172</v>
      </c>
      <c r="L195" s="14">
        <v>6.5248</v>
      </c>
      <c r="M195" s="14" t="s">
        <v>31</v>
      </c>
    </row>
    <row r="196" ht="15.75" customHeight="1">
      <c r="A196" s="14" t="s">
        <v>1095</v>
      </c>
      <c r="B196" s="15" t="s">
        <v>23</v>
      </c>
      <c r="C196" s="14">
        <v>3.0</v>
      </c>
      <c r="D196" s="14" t="s">
        <v>24</v>
      </c>
      <c r="E196" s="14">
        <v>0.9287</v>
      </c>
      <c r="F196" s="14">
        <v>10.8712</v>
      </c>
      <c r="G196" s="14">
        <v>13.4014</v>
      </c>
      <c r="H196" s="14">
        <v>0.6559</v>
      </c>
      <c r="I196" s="14">
        <v>0.7607</v>
      </c>
      <c r="J196" s="14">
        <v>0.612</v>
      </c>
      <c r="K196" s="14">
        <v>0.3191</v>
      </c>
      <c r="L196" s="14">
        <v>6.4854</v>
      </c>
      <c r="M196" s="14" t="s">
        <v>31</v>
      </c>
    </row>
    <row r="197" ht="15.75" customHeight="1">
      <c r="A197" s="14" t="s">
        <v>1099</v>
      </c>
      <c r="B197" s="15" t="s">
        <v>23</v>
      </c>
      <c r="C197" s="14">
        <v>3.0</v>
      </c>
      <c r="D197" s="14" t="s">
        <v>24</v>
      </c>
      <c r="E197" s="14">
        <v>0.9243</v>
      </c>
      <c r="F197" s="14">
        <v>10.8678</v>
      </c>
      <c r="G197" s="14">
        <v>13.2896</v>
      </c>
      <c r="H197" s="14">
        <v>0.6553</v>
      </c>
      <c r="I197" s="14">
        <v>0.7733</v>
      </c>
      <c r="J197" s="14">
        <v>0.5882</v>
      </c>
      <c r="K197" s="14">
        <v>0.3002</v>
      </c>
      <c r="L197" s="14">
        <v>6.6993</v>
      </c>
      <c r="M197" s="14" t="s">
        <v>31</v>
      </c>
    </row>
    <row r="198" ht="15.75" customHeight="1">
      <c r="A198" s="14" t="s">
        <v>1106</v>
      </c>
      <c r="B198" s="15" t="s">
        <v>23</v>
      </c>
      <c r="C198" s="14">
        <v>3.0</v>
      </c>
      <c r="D198" s="14" t="s">
        <v>24</v>
      </c>
      <c r="E198" s="14">
        <v>0.9254</v>
      </c>
      <c r="F198" s="14">
        <v>10.8574</v>
      </c>
      <c r="G198" s="14">
        <v>13.3527</v>
      </c>
      <c r="H198" s="14">
        <v>0.6544</v>
      </c>
      <c r="I198" s="14">
        <v>0.7652</v>
      </c>
      <c r="J198" s="14">
        <v>0.5985</v>
      </c>
      <c r="K198" s="14">
        <v>0.3186</v>
      </c>
      <c r="L198" s="14">
        <v>6.5666</v>
      </c>
      <c r="M198" s="14" t="s">
        <v>31</v>
      </c>
    </row>
    <row r="199" ht="15.75" customHeight="1">
      <c r="A199" s="14" t="s">
        <v>1101</v>
      </c>
      <c r="B199" s="15" t="s">
        <v>23</v>
      </c>
      <c r="C199" s="14">
        <v>3.0</v>
      </c>
      <c r="D199" s="14" t="s">
        <v>24</v>
      </c>
      <c r="E199" s="14">
        <v>0.9253</v>
      </c>
      <c r="F199" s="14">
        <v>10.8574</v>
      </c>
      <c r="G199" s="14">
        <v>13.2896</v>
      </c>
      <c r="H199" s="14">
        <v>0.6615</v>
      </c>
      <c r="I199" s="14">
        <v>0.7725</v>
      </c>
      <c r="J199" s="14">
        <v>0.5902</v>
      </c>
      <c r="K199" s="14">
        <v>0.3009</v>
      </c>
      <c r="L199" s="14">
        <v>6.6961</v>
      </c>
      <c r="M199" s="14" t="s">
        <v>31</v>
      </c>
    </row>
    <row r="200" ht="15.75" customHeight="1">
      <c r="A200" s="14" t="s">
        <v>1117</v>
      </c>
      <c r="B200" s="15" t="s">
        <v>23</v>
      </c>
      <c r="C200" s="14">
        <v>3.0</v>
      </c>
      <c r="D200" s="14" t="s">
        <v>24</v>
      </c>
      <c r="E200" s="14">
        <v>0.9249</v>
      </c>
      <c r="F200" s="14">
        <v>10.8505</v>
      </c>
      <c r="G200" s="14">
        <v>13.393</v>
      </c>
      <c r="H200" s="14">
        <v>0.6401</v>
      </c>
      <c r="I200" s="14">
        <v>0.7601</v>
      </c>
      <c r="J200" s="14">
        <v>0.5895</v>
      </c>
      <c r="K200" s="14">
        <v>0.3018</v>
      </c>
      <c r="L200" s="14">
        <v>6.6957</v>
      </c>
      <c r="M200" s="14" t="s">
        <v>31</v>
      </c>
    </row>
    <row r="201" ht="15.75" customHeight="1">
      <c r="A201" s="14" t="s">
        <v>1123</v>
      </c>
      <c r="B201" s="15" t="s">
        <v>23</v>
      </c>
      <c r="C201" s="14">
        <v>3.0</v>
      </c>
      <c r="D201" s="14" t="s">
        <v>24</v>
      </c>
      <c r="E201" s="14">
        <v>0.9269</v>
      </c>
      <c r="F201" s="14">
        <v>10.8401</v>
      </c>
      <c r="G201" s="14">
        <v>13.2552</v>
      </c>
      <c r="H201" s="14">
        <v>0.6569</v>
      </c>
      <c r="I201" s="14">
        <v>0.7753</v>
      </c>
      <c r="J201" s="14">
        <v>0.5897</v>
      </c>
      <c r="K201" s="14">
        <v>0.3017</v>
      </c>
      <c r="L201" s="14">
        <v>6.6866</v>
      </c>
      <c r="M201" s="14" t="s">
        <v>31</v>
      </c>
    </row>
    <row r="202" ht="15.75" customHeight="1">
      <c r="A202" s="14" t="s">
        <v>1129</v>
      </c>
      <c r="B202" s="15" t="s">
        <v>23</v>
      </c>
      <c r="C202" s="14">
        <v>3.0</v>
      </c>
      <c r="D202" s="14" t="s">
        <v>24</v>
      </c>
      <c r="E202" s="14">
        <v>0.928</v>
      </c>
      <c r="F202" s="14">
        <v>10.8331</v>
      </c>
      <c r="G202" s="14">
        <v>13.235</v>
      </c>
      <c r="H202" s="14">
        <v>0.6573</v>
      </c>
      <c r="I202" s="14">
        <v>0.7772</v>
      </c>
      <c r="J202" s="14">
        <v>0.5937</v>
      </c>
      <c r="K202" s="14">
        <v>0.3021</v>
      </c>
      <c r="L202" s="14">
        <v>6.6648</v>
      </c>
      <c r="M202" s="14" t="s">
        <v>31</v>
      </c>
    </row>
    <row r="203" ht="15.75" customHeight="1">
      <c r="A203" s="14" t="s">
        <v>1136</v>
      </c>
      <c r="B203" s="15" t="s">
        <v>23</v>
      </c>
      <c r="C203" s="14">
        <v>3.0</v>
      </c>
      <c r="D203" s="14" t="s">
        <v>24</v>
      </c>
      <c r="E203" s="14">
        <v>0.9265</v>
      </c>
      <c r="F203" s="14">
        <v>10.8297</v>
      </c>
      <c r="G203" s="14">
        <v>13.2837</v>
      </c>
      <c r="H203" s="14">
        <v>0.6502</v>
      </c>
      <c r="I203" s="14">
        <v>0.7712</v>
      </c>
      <c r="J203" s="14">
        <v>0.6161</v>
      </c>
      <c r="K203" s="14">
        <v>0.3215</v>
      </c>
      <c r="L203" s="14">
        <v>6.4515</v>
      </c>
      <c r="M203" s="14" t="s">
        <v>31</v>
      </c>
    </row>
    <row r="204" ht="15.75" customHeight="1">
      <c r="A204" s="14" t="s">
        <v>1141</v>
      </c>
      <c r="B204" s="15" t="s">
        <v>23</v>
      </c>
      <c r="C204" s="14">
        <v>3.0</v>
      </c>
      <c r="D204" s="14" t="s">
        <v>24</v>
      </c>
      <c r="E204" s="14">
        <v>0.9249</v>
      </c>
      <c r="F204" s="14">
        <v>10.8054</v>
      </c>
      <c r="G204" s="14">
        <v>13.1921</v>
      </c>
      <c r="H204" s="14">
        <v>0.644</v>
      </c>
      <c r="I204" s="14">
        <v>0.7802</v>
      </c>
      <c r="J204" s="14">
        <v>0.5861</v>
      </c>
      <c r="K204" s="14">
        <v>0.2859</v>
      </c>
      <c r="L204" s="14">
        <v>6.7824</v>
      </c>
      <c r="M204" s="14" t="s">
        <v>31</v>
      </c>
    </row>
    <row r="205" ht="15.75" customHeight="1">
      <c r="A205" s="14" t="s">
        <v>1147</v>
      </c>
      <c r="B205" s="15" t="s">
        <v>23</v>
      </c>
      <c r="C205" s="14">
        <v>3.0</v>
      </c>
      <c r="D205" s="14" t="s">
        <v>24</v>
      </c>
      <c r="E205" s="14">
        <v>0.9267</v>
      </c>
      <c r="F205" s="14">
        <v>10.802</v>
      </c>
      <c r="G205" s="14">
        <v>13.2207</v>
      </c>
      <c r="H205" s="14">
        <v>0.6492</v>
      </c>
      <c r="I205" s="14">
        <v>0.7766</v>
      </c>
      <c r="J205" s="14">
        <v>0.5903</v>
      </c>
      <c r="K205" s="14">
        <v>0.304</v>
      </c>
      <c r="L205" s="14">
        <v>6.6633</v>
      </c>
      <c r="M205" s="14" t="s">
        <v>31</v>
      </c>
    </row>
    <row r="206" ht="15.75" customHeight="1">
      <c r="A206" s="14" t="s">
        <v>1152</v>
      </c>
      <c r="B206" s="15" t="s">
        <v>23</v>
      </c>
      <c r="C206" s="14">
        <v>3.0</v>
      </c>
      <c r="D206" s="14" t="s">
        <v>24</v>
      </c>
      <c r="E206" s="14">
        <v>0.9265</v>
      </c>
      <c r="F206" s="14">
        <v>10.7985</v>
      </c>
      <c r="G206" s="14">
        <v>13.2896</v>
      </c>
      <c r="H206" s="14">
        <v>0.6412</v>
      </c>
      <c r="I206" s="14">
        <v>0.7683</v>
      </c>
      <c r="J206" s="14">
        <v>0.5918</v>
      </c>
      <c r="K206" s="14">
        <v>0.3041</v>
      </c>
      <c r="L206" s="14">
        <v>6.6759</v>
      </c>
      <c r="M206" s="14" t="s">
        <v>31</v>
      </c>
    </row>
    <row r="207" ht="15.75" customHeight="1">
      <c r="A207" s="14" t="s">
        <v>1157</v>
      </c>
      <c r="B207" s="15" t="s">
        <v>23</v>
      </c>
      <c r="C207" s="14">
        <v>3.0</v>
      </c>
      <c r="D207" s="14" t="s">
        <v>24</v>
      </c>
      <c r="E207" s="14">
        <v>0.9243</v>
      </c>
      <c r="F207" s="14">
        <v>10.7847</v>
      </c>
      <c r="G207" s="14">
        <v>13.2064</v>
      </c>
      <c r="H207" s="14">
        <v>0.6556</v>
      </c>
      <c r="I207" s="14">
        <v>0.777</v>
      </c>
      <c r="J207" s="14">
        <v>0.58</v>
      </c>
      <c r="K207" s="14">
        <v>0.287</v>
      </c>
      <c r="L207" s="14">
        <v>6.7668</v>
      </c>
      <c r="M207" s="14" t="s">
        <v>31</v>
      </c>
    </row>
    <row r="208" ht="15.75" customHeight="1">
      <c r="A208" s="14" t="s">
        <v>1162</v>
      </c>
      <c r="B208" s="15" t="s">
        <v>23</v>
      </c>
      <c r="C208" s="14">
        <v>3.0</v>
      </c>
      <c r="D208" s="14" t="s">
        <v>24</v>
      </c>
      <c r="E208" s="14">
        <v>0.9275</v>
      </c>
      <c r="F208" s="14">
        <v>10.7812</v>
      </c>
      <c r="G208" s="14">
        <v>13.2207</v>
      </c>
      <c r="H208" s="14">
        <v>0.6477</v>
      </c>
      <c r="I208" s="14">
        <v>0.7751</v>
      </c>
      <c r="J208" s="14">
        <v>0.5909</v>
      </c>
      <c r="K208" s="14">
        <v>0.3048</v>
      </c>
      <c r="L208" s="14">
        <v>6.6694</v>
      </c>
      <c r="M208" s="14" t="s">
        <v>31</v>
      </c>
    </row>
    <row r="209" ht="15.75" customHeight="1">
      <c r="A209" s="14" t="s">
        <v>1167</v>
      </c>
      <c r="B209" s="15" t="s">
        <v>23</v>
      </c>
      <c r="C209" s="14">
        <v>3.0</v>
      </c>
      <c r="D209" s="14" t="s">
        <v>24</v>
      </c>
      <c r="E209" s="14">
        <v>0.9253</v>
      </c>
      <c r="F209" s="14">
        <v>10.7708</v>
      </c>
      <c r="G209" s="14">
        <v>13.1576</v>
      </c>
      <c r="H209" s="14">
        <v>0.6407</v>
      </c>
      <c r="I209" s="14">
        <v>0.7818</v>
      </c>
      <c r="J209" s="14">
        <v>0.5814</v>
      </c>
      <c r="K209" s="14">
        <v>0.2879</v>
      </c>
      <c r="L209" s="14">
        <v>6.7808</v>
      </c>
      <c r="M209" s="14" t="s">
        <v>31</v>
      </c>
    </row>
    <row r="210" ht="15.75" customHeight="1">
      <c r="A210" s="14" t="s">
        <v>1172</v>
      </c>
      <c r="B210" s="15" t="s">
        <v>23</v>
      </c>
      <c r="C210" s="14">
        <v>3.0</v>
      </c>
      <c r="D210" s="14" t="s">
        <v>24</v>
      </c>
      <c r="E210" s="14">
        <v>0.9243</v>
      </c>
      <c r="F210" s="14">
        <v>10.7327</v>
      </c>
      <c r="G210" s="14">
        <v>13.1232</v>
      </c>
      <c r="H210" s="14">
        <v>0.6459</v>
      </c>
      <c r="I210" s="14">
        <v>0.7831</v>
      </c>
      <c r="J210" s="14">
        <v>0.5853</v>
      </c>
      <c r="K210" s="14">
        <v>0.2902</v>
      </c>
      <c r="L210" s="14">
        <v>6.7668</v>
      </c>
      <c r="M210" s="14" t="s">
        <v>31</v>
      </c>
    </row>
    <row r="211" ht="15.75" customHeight="1">
      <c r="A211" s="14" t="s">
        <v>1178</v>
      </c>
      <c r="B211" s="15" t="s">
        <v>23</v>
      </c>
      <c r="C211" s="14">
        <v>3.0</v>
      </c>
      <c r="D211" s="14" t="s">
        <v>24</v>
      </c>
      <c r="E211" s="14">
        <v>0.9264</v>
      </c>
      <c r="F211" s="14">
        <v>10.7015</v>
      </c>
      <c r="G211" s="14">
        <v>13.1232</v>
      </c>
      <c r="H211" s="14">
        <v>0.6459</v>
      </c>
      <c r="I211" s="14">
        <v>0.7809</v>
      </c>
      <c r="J211" s="14">
        <v>0.586</v>
      </c>
      <c r="K211" s="14">
        <v>0.2922</v>
      </c>
      <c r="L211" s="14">
        <v>6.7452</v>
      </c>
      <c r="M211" s="14" t="s">
        <v>31</v>
      </c>
    </row>
    <row r="212" ht="15.75" customHeight="1">
      <c r="A212" s="14" t="s">
        <v>1184</v>
      </c>
      <c r="B212" s="15" t="s">
        <v>23</v>
      </c>
      <c r="C212" s="14">
        <v>3.0</v>
      </c>
      <c r="D212" s="14" t="s">
        <v>24</v>
      </c>
      <c r="E212" s="14">
        <v>0.9268</v>
      </c>
      <c r="F212" s="14">
        <v>10.7015</v>
      </c>
      <c r="G212" s="14">
        <v>13.1921</v>
      </c>
      <c r="H212" s="14">
        <v>0.6421</v>
      </c>
      <c r="I212" s="14">
        <v>0.7727</v>
      </c>
      <c r="J212" s="14">
        <v>0.5881</v>
      </c>
      <c r="K212" s="14">
        <v>0.2922</v>
      </c>
      <c r="L212" s="14">
        <v>6.7365</v>
      </c>
      <c r="M212" s="14" t="s">
        <v>31</v>
      </c>
    </row>
    <row r="213" ht="15.75" customHeight="1">
      <c r="A213" s="14" t="s">
        <v>1188</v>
      </c>
      <c r="B213" s="15" t="s">
        <v>23</v>
      </c>
      <c r="C213" s="14">
        <v>3.0</v>
      </c>
      <c r="D213" s="14" t="s">
        <v>24</v>
      </c>
      <c r="E213" s="14">
        <v>0.9265</v>
      </c>
      <c r="F213" s="14">
        <v>10.6911</v>
      </c>
      <c r="G213" s="14">
        <v>12.9853</v>
      </c>
      <c r="H213" s="14">
        <v>0.6439</v>
      </c>
      <c r="I213" s="14">
        <v>0.7968</v>
      </c>
      <c r="J213" s="14">
        <v>0.5818</v>
      </c>
      <c r="K213" s="14">
        <v>0.2925</v>
      </c>
      <c r="L213" s="14">
        <v>6.7513</v>
      </c>
      <c r="M213" s="14" t="s">
        <v>31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41.71"/>
    <col customWidth="1" min="3" max="3" width="13.86"/>
    <col customWidth="1" min="4" max="4" width="17.43"/>
    <col customWidth="1" min="5" max="5" width="16.71"/>
    <col customWidth="1" min="6" max="6" width="16.14"/>
    <col customWidth="1" min="7" max="7" width="20.0"/>
    <col customWidth="1" min="8" max="8" width="17.29"/>
    <col customWidth="1" min="9" max="9" width="19.14"/>
    <col customWidth="1" min="10" max="10" width="24.14"/>
    <col customWidth="1" min="11" max="11" width="18.29"/>
    <col customWidth="1" min="12" max="12" width="19.0"/>
    <col customWidth="1" min="13" max="13" width="36.0"/>
    <col customWidth="1" min="14" max="16" width="16.29"/>
    <col customWidth="1" min="17" max="26" width="8.71"/>
  </cols>
  <sheetData>
    <row r="1" ht="22.5" customHeight="1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0</v>
      </c>
      <c r="G1" s="11" t="s">
        <v>1</v>
      </c>
      <c r="H1" s="11" t="s">
        <v>2</v>
      </c>
      <c r="I1" s="11" t="s">
        <v>3</v>
      </c>
      <c r="J1" s="11" t="s">
        <v>15</v>
      </c>
      <c r="K1" s="11" t="s">
        <v>4</v>
      </c>
      <c r="L1" s="11" t="s">
        <v>5</v>
      </c>
      <c r="M1" s="11" t="s">
        <v>16</v>
      </c>
    </row>
    <row r="2" ht="22.5" customHeight="1">
      <c r="A2" s="15" t="s">
        <v>17</v>
      </c>
      <c r="B2" s="15" t="s">
        <v>20</v>
      </c>
      <c r="C2" s="15">
        <v>2.0</v>
      </c>
      <c r="D2" s="15" t="s">
        <v>22</v>
      </c>
      <c r="E2" s="15">
        <v>0.31</v>
      </c>
      <c r="F2" s="15">
        <v>68.76</v>
      </c>
      <c r="G2" s="15">
        <v>41.06</v>
      </c>
      <c r="H2" s="15">
        <v>0.89</v>
      </c>
      <c r="I2" s="15">
        <v>0.51</v>
      </c>
      <c r="J2" s="15">
        <v>0.6</v>
      </c>
      <c r="K2" s="15">
        <v>0.08</v>
      </c>
      <c r="L2" s="15">
        <v>7.94</v>
      </c>
      <c r="M2" s="15" t="s">
        <v>25</v>
      </c>
    </row>
    <row r="3" ht="22.5" customHeight="1">
      <c r="A3" s="15" t="s">
        <v>27</v>
      </c>
      <c r="B3" s="15" t="s">
        <v>29</v>
      </c>
      <c r="C3" s="15">
        <v>2.0</v>
      </c>
      <c r="D3" s="15" t="s">
        <v>22</v>
      </c>
      <c r="E3" s="15">
        <v>0.39</v>
      </c>
      <c r="F3" s="15">
        <v>60.99</v>
      </c>
      <c r="G3" s="15">
        <v>35.84</v>
      </c>
      <c r="H3" s="15">
        <v>0.94</v>
      </c>
      <c r="I3" s="15">
        <v>0.6</v>
      </c>
      <c r="J3" s="15">
        <v>0.51</v>
      </c>
      <c r="K3" s="15">
        <v>0.07</v>
      </c>
      <c r="L3" s="15">
        <v>8.31</v>
      </c>
      <c r="M3" s="15" t="s">
        <v>25</v>
      </c>
    </row>
    <row r="4" ht="15.75" customHeight="1">
      <c r="A4" s="15" t="s">
        <v>33</v>
      </c>
      <c r="B4" s="15" t="s">
        <v>34</v>
      </c>
      <c r="C4" s="15">
        <v>2.0</v>
      </c>
      <c r="D4" s="15" t="s">
        <v>22</v>
      </c>
      <c r="E4" s="15">
        <v>0.78</v>
      </c>
      <c r="F4" s="15">
        <v>59.05</v>
      </c>
      <c r="G4" s="15">
        <v>31.77</v>
      </c>
      <c r="H4" s="15">
        <v>0.84</v>
      </c>
      <c r="I4" s="15">
        <v>0.74</v>
      </c>
      <c r="J4" s="15">
        <v>0.41</v>
      </c>
      <c r="K4" s="15">
        <v>0.05</v>
      </c>
      <c r="L4" s="15">
        <v>8.88</v>
      </c>
      <c r="M4" s="15" t="s">
        <v>25</v>
      </c>
    </row>
    <row r="5" ht="15.75" customHeight="1">
      <c r="A5" s="15" t="s">
        <v>38</v>
      </c>
      <c r="B5" s="15" t="s">
        <v>39</v>
      </c>
      <c r="C5" s="15">
        <v>2.0</v>
      </c>
      <c r="D5" s="15" t="s">
        <v>22</v>
      </c>
      <c r="E5" s="15">
        <v>0.74</v>
      </c>
      <c r="F5" s="15">
        <v>58.69</v>
      </c>
      <c r="G5" s="15">
        <v>33.4</v>
      </c>
      <c r="H5" s="15">
        <v>0.88</v>
      </c>
      <c r="I5" s="15">
        <v>0.66</v>
      </c>
      <c r="J5" s="15">
        <v>0.56</v>
      </c>
      <c r="K5" s="15">
        <v>0.07</v>
      </c>
      <c r="L5" s="15">
        <v>8.01</v>
      </c>
      <c r="M5" s="15" t="s">
        <v>25</v>
      </c>
    </row>
    <row r="6" ht="15.75" customHeight="1">
      <c r="A6" s="15" t="s">
        <v>43</v>
      </c>
      <c r="B6" s="15" t="s">
        <v>44</v>
      </c>
      <c r="C6" s="15">
        <v>2.0</v>
      </c>
      <c r="D6" s="15" t="s">
        <v>22</v>
      </c>
      <c r="E6" s="15">
        <v>0.74</v>
      </c>
      <c r="F6" s="15">
        <v>58.53</v>
      </c>
      <c r="G6" s="15">
        <v>32.65</v>
      </c>
      <c r="H6" s="15">
        <v>0.88</v>
      </c>
      <c r="I6" s="15">
        <v>0.69</v>
      </c>
      <c r="J6" s="15">
        <v>0.5</v>
      </c>
      <c r="K6" s="15">
        <v>0.07</v>
      </c>
      <c r="L6" s="15">
        <v>8.23</v>
      </c>
      <c r="M6" s="15" t="s">
        <v>25</v>
      </c>
    </row>
    <row r="7" ht="15.75" customHeight="1">
      <c r="A7" s="15" t="s">
        <v>48</v>
      </c>
      <c r="B7" s="15" t="s">
        <v>49</v>
      </c>
      <c r="C7" s="15">
        <v>2.0</v>
      </c>
      <c r="D7" s="15" t="s">
        <v>22</v>
      </c>
      <c r="E7" s="15">
        <v>0.82</v>
      </c>
      <c r="F7" s="15">
        <v>58.2</v>
      </c>
      <c r="G7" s="15">
        <v>32.24</v>
      </c>
      <c r="H7" s="15">
        <v>0.85</v>
      </c>
      <c r="I7" s="15">
        <v>0.7</v>
      </c>
      <c r="J7" s="15">
        <v>0.36</v>
      </c>
      <c r="K7" s="15">
        <v>0.05</v>
      </c>
      <c r="L7" s="15">
        <v>8.95</v>
      </c>
      <c r="M7" s="15" t="s">
        <v>25</v>
      </c>
    </row>
    <row r="8" ht="15.75" customHeight="1">
      <c r="A8" s="15" t="s">
        <v>56</v>
      </c>
      <c r="B8" s="15" t="s">
        <v>57</v>
      </c>
      <c r="C8" s="15">
        <v>2.0</v>
      </c>
      <c r="D8" s="15" t="s">
        <v>22</v>
      </c>
      <c r="E8" s="15">
        <v>0.83</v>
      </c>
      <c r="F8" s="15">
        <v>58.11</v>
      </c>
      <c r="G8" s="15">
        <v>32.2</v>
      </c>
      <c r="H8" s="15">
        <v>0.85</v>
      </c>
      <c r="I8" s="15">
        <v>0.7</v>
      </c>
      <c r="J8" s="15">
        <v>0.36</v>
      </c>
      <c r="K8" s="15">
        <v>0.05</v>
      </c>
      <c r="L8" s="15">
        <v>8.95</v>
      </c>
      <c r="M8" s="15" t="s">
        <v>25</v>
      </c>
    </row>
    <row r="9" ht="15.75" customHeight="1">
      <c r="A9" s="15" t="s">
        <v>59</v>
      </c>
      <c r="B9" s="15" t="s">
        <v>62</v>
      </c>
      <c r="C9" s="15">
        <v>2.0</v>
      </c>
      <c r="D9" s="15" t="s">
        <v>22</v>
      </c>
      <c r="E9" s="15">
        <v>0.83</v>
      </c>
      <c r="F9" s="15">
        <v>58.11</v>
      </c>
      <c r="G9" s="15">
        <v>32.17</v>
      </c>
      <c r="H9" s="15">
        <v>0.85</v>
      </c>
      <c r="I9" s="15">
        <v>0.71</v>
      </c>
      <c r="J9" s="15">
        <v>0.36</v>
      </c>
      <c r="K9" s="15">
        <v>0.05</v>
      </c>
      <c r="L9" s="15">
        <v>8.95</v>
      </c>
      <c r="M9" s="15" t="s">
        <v>25</v>
      </c>
    </row>
    <row r="10" ht="15.75" customHeight="1">
      <c r="A10" s="15" t="s">
        <v>65</v>
      </c>
      <c r="B10" s="15" t="s">
        <v>67</v>
      </c>
      <c r="C10" s="15">
        <v>2.0</v>
      </c>
      <c r="D10" s="15" t="s">
        <v>22</v>
      </c>
      <c r="E10" s="15">
        <v>0.83</v>
      </c>
      <c r="F10" s="15">
        <v>58.11</v>
      </c>
      <c r="G10" s="15">
        <v>32.17</v>
      </c>
      <c r="H10" s="15">
        <v>0.85</v>
      </c>
      <c r="I10" s="15">
        <v>0.71</v>
      </c>
      <c r="J10" s="15">
        <v>0.36</v>
      </c>
      <c r="K10" s="15">
        <v>0.05</v>
      </c>
      <c r="L10" s="15">
        <v>8.96</v>
      </c>
      <c r="M10" s="15" t="s">
        <v>25</v>
      </c>
    </row>
    <row r="11" ht="15.75" customHeight="1">
      <c r="A11" s="15" t="s">
        <v>70</v>
      </c>
      <c r="B11" s="15" t="s">
        <v>72</v>
      </c>
      <c r="C11" s="15">
        <v>2.0</v>
      </c>
      <c r="D11" s="15" t="s">
        <v>22</v>
      </c>
      <c r="E11" s="15">
        <v>0.83</v>
      </c>
      <c r="F11" s="15">
        <v>58.09</v>
      </c>
      <c r="G11" s="15">
        <v>32.0</v>
      </c>
      <c r="H11" s="15">
        <v>0.85</v>
      </c>
      <c r="I11" s="15">
        <v>0.71</v>
      </c>
      <c r="J11" s="15">
        <v>0.36</v>
      </c>
      <c r="K11" s="15">
        <v>0.05</v>
      </c>
      <c r="L11" s="15">
        <v>8.95</v>
      </c>
      <c r="M11" s="15" t="s">
        <v>25</v>
      </c>
    </row>
    <row r="12" ht="15.75" customHeight="1">
      <c r="A12" s="15" t="s">
        <v>76</v>
      </c>
      <c r="B12" s="15" t="s">
        <v>78</v>
      </c>
      <c r="C12" s="15">
        <v>2.0</v>
      </c>
      <c r="D12" s="15" t="s">
        <v>22</v>
      </c>
      <c r="E12" s="15">
        <v>0.83</v>
      </c>
      <c r="F12" s="15">
        <v>58.05</v>
      </c>
      <c r="G12" s="15">
        <v>32.74</v>
      </c>
      <c r="H12" s="15">
        <v>0.85</v>
      </c>
      <c r="I12" s="15">
        <v>0.68</v>
      </c>
      <c r="J12" s="15">
        <v>0.36</v>
      </c>
      <c r="K12" s="15">
        <v>0.05</v>
      </c>
      <c r="L12" s="15">
        <v>8.97</v>
      </c>
      <c r="M12" s="15" t="s">
        <v>25</v>
      </c>
    </row>
    <row r="13" ht="15.75" customHeight="1">
      <c r="A13" s="15" t="s">
        <v>82</v>
      </c>
      <c r="B13" s="15" t="s">
        <v>83</v>
      </c>
      <c r="C13" s="15">
        <v>2.0</v>
      </c>
      <c r="D13" s="15" t="s">
        <v>22</v>
      </c>
      <c r="E13" s="15">
        <v>0.83</v>
      </c>
      <c r="F13" s="15">
        <v>58.04</v>
      </c>
      <c r="G13" s="15">
        <v>32.78</v>
      </c>
      <c r="H13" s="15">
        <v>0.85</v>
      </c>
      <c r="I13" s="15">
        <v>0.68</v>
      </c>
      <c r="J13" s="15">
        <v>0.36</v>
      </c>
      <c r="K13" s="15">
        <v>0.05</v>
      </c>
      <c r="L13" s="15">
        <v>8.96</v>
      </c>
      <c r="M13" s="15" t="s">
        <v>25</v>
      </c>
    </row>
    <row r="14" ht="15.75" customHeight="1">
      <c r="A14" s="15" t="s">
        <v>87</v>
      </c>
      <c r="B14" s="15" t="s">
        <v>88</v>
      </c>
      <c r="C14" s="15">
        <v>2.0</v>
      </c>
      <c r="D14" s="15" t="s">
        <v>22</v>
      </c>
      <c r="E14" s="15">
        <v>0.36</v>
      </c>
      <c r="F14" s="15">
        <v>58.04</v>
      </c>
      <c r="G14" s="15">
        <v>36.82</v>
      </c>
      <c r="H14" s="15">
        <v>0.92</v>
      </c>
      <c r="I14" s="15">
        <v>0.54</v>
      </c>
      <c r="J14" s="15">
        <v>0.59</v>
      </c>
      <c r="K14" s="15">
        <v>0.08</v>
      </c>
      <c r="L14" s="15">
        <v>7.84</v>
      </c>
      <c r="M14" s="15" t="s">
        <v>25</v>
      </c>
    </row>
    <row r="15" ht="15.75" customHeight="1">
      <c r="A15" s="15" t="s">
        <v>92</v>
      </c>
      <c r="B15" s="15" t="s">
        <v>94</v>
      </c>
      <c r="C15" s="15">
        <v>2.0</v>
      </c>
      <c r="D15" s="15" t="s">
        <v>22</v>
      </c>
      <c r="E15" s="15">
        <v>0.83</v>
      </c>
      <c r="F15" s="15">
        <v>58.01</v>
      </c>
      <c r="G15" s="15">
        <v>32.13</v>
      </c>
      <c r="H15" s="15">
        <v>0.85</v>
      </c>
      <c r="I15" s="15">
        <v>0.71</v>
      </c>
      <c r="J15" s="15">
        <v>0.36</v>
      </c>
      <c r="K15" s="15">
        <v>0.05</v>
      </c>
      <c r="L15" s="15">
        <v>8.96</v>
      </c>
      <c r="M15" s="15" t="s">
        <v>25</v>
      </c>
    </row>
    <row r="16" ht="15.75" customHeight="1">
      <c r="A16" s="15" t="s">
        <v>98</v>
      </c>
      <c r="B16" s="15" t="s">
        <v>99</v>
      </c>
      <c r="C16" s="15">
        <v>2.0</v>
      </c>
      <c r="D16" s="15" t="s">
        <v>22</v>
      </c>
      <c r="E16" s="15">
        <v>0.83</v>
      </c>
      <c r="F16" s="15">
        <v>58.0</v>
      </c>
      <c r="G16" s="15">
        <v>32.73</v>
      </c>
      <c r="H16" s="15">
        <v>0.85</v>
      </c>
      <c r="I16" s="15">
        <v>0.68</v>
      </c>
      <c r="J16" s="15">
        <v>0.36</v>
      </c>
      <c r="K16" s="15">
        <v>0.05</v>
      </c>
      <c r="L16" s="15">
        <v>8.98</v>
      </c>
      <c r="M16" s="15" t="s">
        <v>25</v>
      </c>
    </row>
    <row r="17" ht="15.75" customHeight="1">
      <c r="A17" s="15" t="s">
        <v>105</v>
      </c>
      <c r="B17" s="15" t="s">
        <v>107</v>
      </c>
      <c r="C17" s="15">
        <v>2.0</v>
      </c>
      <c r="D17" s="15" t="s">
        <v>22</v>
      </c>
      <c r="E17" s="15">
        <v>0.83</v>
      </c>
      <c r="F17" s="15">
        <v>58.0</v>
      </c>
      <c r="G17" s="15">
        <v>32.29</v>
      </c>
      <c r="H17" s="15">
        <v>0.85</v>
      </c>
      <c r="I17" s="15">
        <v>0.7</v>
      </c>
      <c r="J17" s="15">
        <v>0.36</v>
      </c>
      <c r="K17" s="15">
        <v>0.05</v>
      </c>
      <c r="L17" s="15">
        <v>8.97</v>
      </c>
      <c r="M17" s="15" t="s">
        <v>25</v>
      </c>
    </row>
    <row r="18" ht="15.75" customHeight="1">
      <c r="A18" s="15" t="s">
        <v>110</v>
      </c>
      <c r="B18" s="15" t="s">
        <v>111</v>
      </c>
      <c r="C18" s="15">
        <v>2.0</v>
      </c>
      <c r="D18" s="15" t="s">
        <v>22</v>
      </c>
      <c r="E18" s="15">
        <v>0.83</v>
      </c>
      <c r="F18" s="15">
        <v>57.96</v>
      </c>
      <c r="G18" s="15">
        <v>32.34</v>
      </c>
      <c r="H18" s="15">
        <v>0.86</v>
      </c>
      <c r="I18" s="15">
        <v>0.7</v>
      </c>
      <c r="J18" s="15">
        <v>0.36</v>
      </c>
      <c r="K18" s="15">
        <v>0.05</v>
      </c>
      <c r="L18" s="15">
        <v>8.97</v>
      </c>
      <c r="M18" s="15" t="s">
        <v>25</v>
      </c>
    </row>
    <row r="19" ht="15.75" customHeight="1">
      <c r="A19" s="15" t="s">
        <v>115</v>
      </c>
      <c r="B19" s="15" t="s">
        <v>116</v>
      </c>
      <c r="C19" s="15">
        <v>2.0</v>
      </c>
      <c r="D19" s="15" t="s">
        <v>22</v>
      </c>
      <c r="E19" s="15">
        <v>0.83</v>
      </c>
      <c r="F19" s="15">
        <v>57.94</v>
      </c>
      <c r="G19" s="15">
        <v>32.81</v>
      </c>
      <c r="H19" s="15">
        <v>0.85</v>
      </c>
      <c r="I19" s="15">
        <v>0.68</v>
      </c>
      <c r="J19" s="15">
        <v>0.36</v>
      </c>
      <c r="K19" s="15">
        <v>0.05</v>
      </c>
      <c r="L19" s="15">
        <v>8.99</v>
      </c>
      <c r="M19" s="15" t="s">
        <v>25</v>
      </c>
    </row>
    <row r="20" ht="15.75" customHeight="1">
      <c r="A20" s="15" t="s">
        <v>120</v>
      </c>
      <c r="B20" s="15" t="s">
        <v>122</v>
      </c>
      <c r="C20" s="15">
        <v>2.0</v>
      </c>
      <c r="D20" s="15" t="s">
        <v>22</v>
      </c>
      <c r="E20" s="15">
        <v>0.83</v>
      </c>
      <c r="F20" s="15">
        <v>57.91</v>
      </c>
      <c r="G20" s="15">
        <v>32.65</v>
      </c>
      <c r="H20" s="15">
        <v>0.86</v>
      </c>
      <c r="I20" s="15">
        <v>0.68</v>
      </c>
      <c r="J20" s="15">
        <v>0.36</v>
      </c>
      <c r="K20" s="15">
        <v>0.05</v>
      </c>
      <c r="L20" s="15">
        <v>8.99</v>
      </c>
      <c r="M20" s="15" t="s">
        <v>25</v>
      </c>
    </row>
    <row r="21" ht="15.75" customHeight="1">
      <c r="A21" s="15" t="s">
        <v>125</v>
      </c>
      <c r="B21" s="15" t="s">
        <v>127</v>
      </c>
      <c r="C21" s="15">
        <v>2.0</v>
      </c>
      <c r="D21" s="15" t="s">
        <v>22</v>
      </c>
      <c r="E21" s="15">
        <v>0.75</v>
      </c>
      <c r="F21" s="15">
        <v>57.9</v>
      </c>
      <c r="G21" s="15">
        <v>32.58</v>
      </c>
      <c r="H21" s="15">
        <v>0.87</v>
      </c>
      <c r="I21" s="15">
        <v>0.69</v>
      </c>
      <c r="J21" s="15">
        <v>0.42</v>
      </c>
      <c r="K21" s="15">
        <v>0.06</v>
      </c>
      <c r="L21" s="15">
        <v>8.7</v>
      </c>
      <c r="M21" s="15" t="s">
        <v>25</v>
      </c>
    </row>
    <row r="22" ht="15.75" customHeight="1">
      <c r="A22" s="15" t="s">
        <v>130</v>
      </c>
      <c r="B22" s="15" t="s">
        <v>131</v>
      </c>
      <c r="C22" s="15">
        <v>2.0</v>
      </c>
      <c r="D22" s="15" t="s">
        <v>22</v>
      </c>
      <c r="E22" s="15">
        <v>0.83</v>
      </c>
      <c r="F22" s="15">
        <v>57.89</v>
      </c>
      <c r="G22" s="15">
        <v>32.75</v>
      </c>
      <c r="H22" s="15">
        <v>0.85</v>
      </c>
      <c r="I22" s="15">
        <v>0.68</v>
      </c>
      <c r="J22" s="15">
        <v>0.36</v>
      </c>
      <c r="K22" s="15">
        <v>0.05</v>
      </c>
      <c r="L22" s="15">
        <v>8.98</v>
      </c>
      <c r="M22" s="15" t="s">
        <v>25</v>
      </c>
    </row>
    <row r="23" ht="15.75" customHeight="1">
      <c r="A23" s="15" t="s">
        <v>135</v>
      </c>
      <c r="B23" s="15" t="s">
        <v>136</v>
      </c>
      <c r="C23" s="15">
        <v>2.0</v>
      </c>
      <c r="D23" s="15" t="s">
        <v>22</v>
      </c>
      <c r="E23" s="15">
        <v>0.75</v>
      </c>
      <c r="F23" s="15">
        <v>57.89</v>
      </c>
      <c r="G23" s="15">
        <v>32.58</v>
      </c>
      <c r="H23" s="15">
        <v>0.87</v>
      </c>
      <c r="I23" s="15">
        <v>0.69</v>
      </c>
      <c r="J23" s="15">
        <v>0.42</v>
      </c>
      <c r="K23" s="15">
        <v>0.06</v>
      </c>
      <c r="L23" s="15">
        <v>8.7</v>
      </c>
      <c r="M23" s="15" t="s">
        <v>25</v>
      </c>
    </row>
    <row r="24" ht="15.75" customHeight="1">
      <c r="A24" s="15" t="s">
        <v>140</v>
      </c>
      <c r="B24" s="15" t="s">
        <v>141</v>
      </c>
      <c r="C24" s="15">
        <v>2.0</v>
      </c>
      <c r="D24" s="15" t="s">
        <v>22</v>
      </c>
      <c r="E24" s="15">
        <v>0.79</v>
      </c>
      <c r="F24" s="15">
        <v>57.88</v>
      </c>
      <c r="G24" s="15">
        <v>31.64</v>
      </c>
      <c r="H24" s="15">
        <v>0.85</v>
      </c>
      <c r="I24" s="15">
        <v>0.73</v>
      </c>
      <c r="J24" s="15">
        <v>0.42</v>
      </c>
      <c r="K24" s="15">
        <v>0.06</v>
      </c>
      <c r="L24" s="15">
        <v>8.83</v>
      </c>
      <c r="M24" s="15" t="s">
        <v>25</v>
      </c>
    </row>
    <row r="25" ht="15.75" customHeight="1">
      <c r="A25" s="15" t="s">
        <v>145</v>
      </c>
      <c r="B25" s="15" t="s">
        <v>146</v>
      </c>
      <c r="C25" s="15">
        <v>2.0</v>
      </c>
      <c r="D25" s="15" t="s">
        <v>22</v>
      </c>
      <c r="E25" s="15">
        <v>0.83</v>
      </c>
      <c r="F25" s="15">
        <v>57.87</v>
      </c>
      <c r="G25" s="15">
        <v>32.97</v>
      </c>
      <c r="H25" s="15">
        <v>0.86</v>
      </c>
      <c r="I25" s="15">
        <v>0.67</v>
      </c>
      <c r="J25" s="15">
        <v>0.36</v>
      </c>
      <c r="K25" s="15">
        <v>0.05</v>
      </c>
      <c r="L25" s="15">
        <v>8.98</v>
      </c>
      <c r="M25" s="15" t="s">
        <v>25</v>
      </c>
    </row>
    <row r="26" ht="15.75" customHeight="1">
      <c r="A26" s="15" t="s">
        <v>150</v>
      </c>
      <c r="B26" s="15" t="s">
        <v>151</v>
      </c>
      <c r="C26" s="15">
        <v>2.0</v>
      </c>
      <c r="D26" s="15" t="s">
        <v>22</v>
      </c>
      <c r="E26" s="15">
        <v>0.78</v>
      </c>
      <c r="F26" s="15">
        <v>57.87</v>
      </c>
      <c r="G26" s="15">
        <v>31.68</v>
      </c>
      <c r="H26" s="15">
        <v>0.85</v>
      </c>
      <c r="I26" s="15">
        <v>0.72</v>
      </c>
      <c r="J26" s="15">
        <v>0.42</v>
      </c>
      <c r="K26" s="15">
        <v>0.06</v>
      </c>
      <c r="L26" s="15">
        <v>8.82</v>
      </c>
      <c r="M26" s="15" t="s">
        <v>25</v>
      </c>
    </row>
    <row r="27" ht="15.75" customHeight="1">
      <c r="A27" s="15" t="s">
        <v>155</v>
      </c>
      <c r="B27" s="15" t="s">
        <v>156</v>
      </c>
      <c r="C27" s="15">
        <v>2.0</v>
      </c>
      <c r="D27" s="15" t="s">
        <v>22</v>
      </c>
      <c r="E27" s="15">
        <v>0.78</v>
      </c>
      <c r="F27" s="15">
        <v>57.86</v>
      </c>
      <c r="G27" s="15">
        <v>31.64</v>
      </c>
      <c r="H27" s="15">
        <v>0.85</v>
      </c>
      <c r="I27" s="15">
        <v>0.73</v>
      </c>
      <c r="J27" s="15">
        <v>0.42</v>
      </c>
      <c r="K27" s="15">
        <v>0.06</v>
      </c>
      <c r="L27" s="15">
        <v>8.81</v>
      </c>
      <c r="M27" s="15" t="s">
        <v>25</v>
      </c>
    </row>
    <row r="28" ht="15.75" customHeight="1">
      <c r="A28" s="15" t="s">
        <v>160</v>
      </c>
      <c r="B28" s="15" t="s">
        <v>161</v>
      </c>
      <c r="C28" s="15">
        <v>2.0</v>
      </c>
      <c r="D28" s="15" t="s">
        <v>22</v>
      </c>
      <c r="E28" s="15">
        <v>0.78</v>
      </c>
      <c r="F28" s="15">
        <v>57.83</v>
      </c>
      <c r="G28" s="15">
        <v>31.57</v>
      </c>
      <c r="H28" s="15">
        <v>0.85</v>
      </c>
      <c r="I28" s="15">
        <v>0.73</v>
      </c>
      <c r="J28" s="15">
        <v>0.42</v>
      </c>
      <c r="K28" s="15">
        <v>0.06</v>
      </c>
      <c r="L28" s="15">
        <v>8.81</v>
      </c>
      <c r="M28" s="15" t="s">
        <v>25</v>
      </c>
    </row>
    <row r="29" ht="15.75" customHeight="1">
      <c r="A29" s="15" t="s">
        <v>165</v>
      </c>
      <c r="B29" s="15" t="s">
        <v>166</v>
      </c>
      <c r="C29" s="15">
        <v>2.0</v>
      </c>
      <c r="D29" s="15" t="s">
        <v>22</v>
      </c>
      <c r="E29" s="15">
        <v>0.77</v>
      </c>
      <c r="F29" s="15">
        <v>57.83</v>
      </c>
      <c r="G29" s="15">
        <v>31.61</v>
      </c>
      <c r="H29" s="15">
        <v>0.85</v>
      </c>
      <c r="I29" s="15">
        <v>0.73</v>
      </c>
      <c r="J29" s="15">
        <v>0.41</v>
      </c>
      <c r="K29" s="15">
        <v>0.05</v>
      </c>
      <c r="L29" s="15">
        <v>8.85</v>
      </c>
      <c r="M29" s="15" t="s">
        <v>25</v>
      </c>
    </row>
    <row r="30" ht="15.75" customHeight="1">
      <c r="A30" s="15" t="s">
        <v>170</v>
      </c>
      <c r="B30" s="15" t="s">
        <v>171</v>
      </c>
      <c r="C30" s="15">
        <v>2.0</v>
      </c>
      <c r="D30" s="15" t="s">
        <v>22</v>
      </c>
      <c r="E30" s="15">
        <v>0.83</v>
      </c>
      <c r="F30" s="15">
        <v>57.83</v>
      </c>
      <c r="G30" s="15">
        <v>32.1</v>
      </c>
      <c r="H30" s="15">
        <v>0.86</v>
      </c>
      <c r="I30" s="15">
        <v>0.71</v>
      </c>
      <c r="J30" s="15">
        <v>0.36</v>
      </c>
      <c r="K30" s="15">
        <v>0.05</v>
      </c>
      <c r="L30" s="15">
        <v>8.99</v>
      </c>
      <c r="M30" s="15" t="s">
        <v>25</v>
      </c>
    </row>
    <row r="31" ht="15.75" customHeight="1">
      <c r="A31" s="15" t="s">
        <v>175</v>
      </c>
      <c r="B31" s="15" t="s">
        <v>176</v>
      </c>
      <c r="C31" s="15">
        <v>2.0</v>
      </c>
      <c r="D31" s="15" t="s">
        <v>22</v>
      </c>
      <c r="E31" s="15">
        <v>0.78</v>
      </c>
      <c r="F31" s="15">
        <v>57.81</v>
      </c>
      <c r="G31" s="15">
        <v>31.81</v>
      </c>
      <c r="H31" s="15">
        <v>0.85</v>
      </c>
      <c r="I31" s="15">
        <v>0.72</v>
      </c>
      <c r="J31" s="15">
        <v>0.42</v>
      </c>
      <c r="K31" s="15">
        <v>0.06</v>
      </c>
      <c r="L31" s="15">
        <v>8.82</v>
      </c>
      <c r="M31" s="15" t="s">
        <v>25</v>
      </c>
    </row>
    <row r="32" ht="15.75" customHeight="1">
      <c r="A32" s="15" t="s">
        <v>180</v>
      </c>
      <c r="B32" s="15" t="s">
        <v>181</v>
      </c>
      <c r="C32" s="15">
        <v>2.0</v>
      </c>
      <c r="D32" s="15" t="s">
        <v>22</v>
      </c>
      <c r="E32" s="15">
        <v>0.83</v>
      </c>
      <c r="F32" s="15">
        <v>57.81</v>
      </c>
      <c r="G32" s="15">
        <v>32.27</v>
      </c>
      <c r="H32" s="15">
        <v>0.86</v>
      </c>
      <c r="I32" s="15">
        <v>0.7</v>
      </c>
      <c r="J32" s="15">
        <v>0.36</v>
      </c>
      <c r="K32" s="15">
        <v>0.05</v>
      </c>
      <c r="L32" s="15">
        <v>8.97</v>
      </c>
      <c r="M32" s="15" t="s">
        <v>25</v>
      </c>
    </row>
    <row r="33" ht="15.75" customHeight="1">
      <c r="A33" s="15" t="s">
        <v>185</v>
      </c>
      <c r="B33" s="15" t="s">
        <v>186</v>
      </c>
      <c r="C33" s="15">
        <v>2.0</v>
      </c>
      <c r="D33" s="15" t="s">
        <v>22</v>
      </c>
      <c r="E33" s="15">
        <v>0.78</v>
      </c>
      <c r="F33" s="15">
        <v>57.8</v>
      </c>
      <c r="G33" s="15">
        <v>31.92</v>
      </c>
      <c r="H33" s="15">
        <v>0.85</v>
      </c>
      <c r="I33" s="15">
        <v>0.71</v>
      </c>
      <c r="J33" s="15">
        <v>0.42</v>
      </c>
      <c r="K33" s="15">
        <v>0.06</v>
      </c>
      <c r="L33" s="15">
        <v>8.81</v>
      </c>
      <c r="M33" s="15" t="s">
        <v>25</v>
      </c>
    </row>
    <row r="34" ht="15.75" customHeight="1">
      <c r="A34" s="15" t="s">
        <v>191</v>
      </c>
      <c r="B34" s="15" t="s">
        <v>192</v>
      </c>
      <c r="C34" s="15">
        <v>2.0</v>
      </c>
      <c r="D34" s="15" t="s">
        <v>22</v>
      </c>
      <c r="E34" s="15">
        <v>0.83</v>
      </c>
      <c r="F34" s="15">
        <v>57.79</v>
      </c>
      <c r="G34" s="15">
        <v>32.46</v>
      </c>
      <c r="H34" s="15">
        <v>0.86</v>
      </c>
      <c r="I34" s="15">
        <v>0.69</v>
      </c>
      <c r="J34" s="15">
        <v>0.36</v>
      </c>
      <c r="K34" s="15">
        <v>0.05</v>
      </c>
      <c r="L34" s="15">
        <v>8.97</v>
      </c>
      <c r="M34" s="15" t="s">
        <v>25</v>
      </c>
    </row>
    <row r="35" ht="15.75" customHeight="1">
      <c r="A35" s="15" t="s">
        <v>197</v>
      </c>
      <c r="B35" s="15" t="s">
        <v>200</v>
      </c>
      <c r="C35" s="15">
        <v>2.0</v>
      </c>
      <c r="D35" s="15" t="s">
        <v>22</v>
      </c>
      <c r="E35" s="15">
        <v>0.78</v>
      </c>
      <c r="F35" s="15">
        <v>57.78</v>
      </c>
      <c r="G35" s="15">
        <v>31.78</v>
      </c>
      <c r="H35" s="15">
        <v>0.85</v>
      </c>
      <c r="I35" s="15">
        <v>0.72</v>
      </c>
      <c r="J35" s="15">
        <v>0.42</v>
      </c>
      <c r="K35" s="15">
        <v>0.06</v>
      </c>
      <c r="L35" s="15">
        <v>8.83</v>
      </c>
      <c r="M35" s="15" t="s">
        <v>25</v>
      </c>
    </row>
    <row r="36" ht="15.75" customHeight="1">
      <c r="A36" s="15" t="s">
        <v>204</v>
      </c>
      <c r="B36" s="15" t="s">
        <v>205</v>
      </c>
      <c r="C36" s="15">
        <v>2.0</v>
      </c>
      <c r="D36" s="15" t="s">
        <v>22</v>
      </c>
      <c r="E36" s="15">
        <v>0.78</v>
      </c>
      <c r="F36" s="15">
        <v>57.77</v>
      </c>
      <c r="G36" s="15">
        <v>31.61</v>
      </c>
      <c r="H36" s="15">
        <v>0.85</v>
      </c>
      <c r="I36" s="15">
        <v>0.73</v>
      </c>
      <c r="J36" s="15">
        <v>0.42</v>
      </c>
      <c r="K36" s="15">
        <v>0.06</v>
      </c>
      <c r="L36" s="15">
        <v>8.82</v>
      </c>
      <c r="M36" s="15" t="s">
        <v>25</v>
      </c>
    </row>
    <row r="37" ht="15.75" customHeight="1">
      <c r="A37" s="15" t="s">
        <v>209</v>
      </c>
      <c r="B37" s="15" t="s">
        <v>210</v>
      </c>
      <c r="C37" s="15">
        <v>2.0</v>
      </c>
      <c r="D37" s="15" t="s">
        <v>22</v>
      </c>
      <c r="E37" s="15">
        <v>0.79</v>
      </c>
      <c r="F37" s="15">
        <v>57.77</v>
      </c>
      <c r="G37" s="15">
        <v>31.7</v>
      </c>
      <c r="H37" s="15">
        <v>0.85</v>
      </c>
      <c r="I37" s="15">
        <v>0.72</v>
      </c>
      <c r="J37" s="15">
        <v>0.42</v>
      </c>
      <c r="K37" s="15">
        <v>0.06</v>
      </c>
      <c r="L37" s="15">
        <v>8.82</v>
      </c>
      <c r="M37" s="15" t="s">
        <v>25</v>
      </c>
    </row>
    <row r="38" ht="15.75" customHeight="1">
      <c r="A38" s="15" t="s">
        <v>214</v>
      </c>
      <c r="B38" s="15" t="s">
        <v>215</v>
      </c>
      <c r="C38" s="15">
        <v>2.0</v>
      </c>
      <c r="D38" s="15" t="s">
        <v>22</v>
      </c>
      <c r="E38" s="15">
        <v>0.78</v>
      </c>
      <c r="F38" s="15">
        <v>57.76</v>
      </c>
      <c r="G38" s="15">
        <v>31.61</v>
      </c>
      <c r="H38" s="15">
        <v>0.85</v>
      </c>
      <c r="I38" s="15">
        <v>0.73</v>
      </c>
      <c r="J38" s="15">
        <v>0.42</v>
      </c>
      <c r="K38" s="15">
        <v>0.06</v>
      </c>
      <c r="L38" s="15">
        <v>8.82</v>
      </c>
      <c r="M38" s="15" t="s">
        <v>25</v>
      </c>
    </row>
    <row r="39" ht="15.75" customHeight="1">
      <c r="A39" s="15" t="s">
        <v>221</v>
      </c>
      <c r="B39" s="15" t="s">
        <v>222</v>
      </c>
      <c r="C39" s="15">
        <v>2.0</v>
      </c>
      <c r="D39" s="15" t="s">
        <v>22</v>
      </c>
      <c r="E39" s="15">
        <v>0.78</v>
      </c>
      <c r="F39" s="15">
        <v>57.76</v>
      </c>
      <c r="G39" s="15">
        <v>31.75</v>
      </c>
      <c r="H39" s="15">
        <v>0.85</v>
      </c>
      <c r="I39" s="15">
        <v>0.72</v>
      </c>
      <c r="J39" s="15">
        <v>0.42</v>
      </c>
      <c r="K39" s="15">
        <v>0.06</v>
      </c>
      <c r="L39" s="15">
        <v>8.83</v>
      </c>
      <c r="M39" s="15" t="s">
        <v>25</v>
      </c>
    </row>
    <row r="40" ht="15.75" customHeight="1">
      <c r="A40" s="15" t="s">
        <v>226</v>
      </c>
      <c r="B40" s="15" t="s">
        <v>228</v>
      </c>
      <c r="C40" s="15">
        <v>2.0</v>
      </c>
      <c r="D40" s="15" t="s">
        <v>22</v>
      </c>
      <c r="E40" s="15">
        <v>0.79</v>
      </c>
      <c r="F40" s="15">
        <v>57.75</v>
      </c>
      <c r="G40" s="15">
        <v>31.61</v>
      </c>
      <c r="H40" s="15">
        <v>0.85</v>
      </c>
      <c r="I40" s="15">
        <v>0.73</v>
      </c>
      <c r="J40" s="15">
        <v>0.42</v>
      </c>
      <c r="K40" s="15">
        <v>0.06</v>
      </c>
      <c r="L40" s="15">
        <v>8.83</v>
      </c>
      <c r="M40" s="15" t="s">
        <v>25</v>
      </c>
    </row>
    <row r="41" ht="15.75" customHeight="1">
      <c r="A41" s="15" t="s">
        <v>233</v>
      </c>
      <c r="B41" s="15" t="s">
        <v>234</v>
      </c>
      <c r="C41" s="15">
        <v>2.0</v>
      </c>
      <c r="D41" s="15" t="s">
        <v>22</v>
      </c>
      <c r="E41" s="15">
        <v>0.77</v>
      </c>
      <c r="F41" s="15">
        <v>57.75</v>
      </c>
      <c r="G41" s="15">
        <v>31.61</v>
      </c>
      <c r="H41" s="15">
        <v>0.85</v>
      </c>
      <c r="I41" s="15">
        <v>0.73</v>
      </c>
      <c r="J41" s="15">
        <v>0.42</v>
      </c>
      <c r="K41" s="15">
        <v>0.06</v>
      </c>
      <c r="L41" s="15">
        <v>8.82</v>
      </c>
      <c r="M41" s="15" t="s">
        <v>25</v>
      </c>
    </row>
    <row r="42" ht="15.75" customHeight="1">
      <c r="A42" s="15" t="s">
        <v>239</v>
      </c>
      <c r="B42" s="15" t="s">
        <v>241</v>
      </c>
      <c r="C42" s="15">
        <v>2.0</v>
      </c>
      <c r="D42" s="15" t="s">
        <v>22</v>
      </c>
      <c r="E42" s="15">
        <v>0.79</v>
      </c>
      <c r="F42" s="15">
        <v>57.75</v>
      </c>
      <c r="G42" s="15">
        <v>32.11</v>
      </c>
      <c r="H42" s="15">
        <v>0.85</v>
      </c>
      <c r="I42" s="15">
        <v>0.7</v>
      </c>
      <c r="J42" s="15">
        <v>0.42</v>
      </c>
      <c r="K42" s="15">
        <v>0.06</v>
      </c>
      <c r="L42" s="15">
        <v>8.84</v>
      </c>
      <c r="M42" s="15" t="s">
        <v>25</v>
      </c>
    </row>
    <row r="43" ht="15.75" customHeight="1">
      <c r="A43" s="15" t="s">
        <v>246</v>
      </c>
      <c r="B43" s="15" t="s">
        <v>247</v>
      </c>
      <c r="C43" s="15">
        <v>2.0</v>
      </c>
      <c r="D43" s="15" t="s">
        <v>22</v>
      </c>
      <c r="E43" s="15">
        <v>0.83</v>
      </c>
      <c r="F43" s="15">
        <v>57.75</v>
      </c>
      <c r="G43" s="15">
        <v>32.02</v>
      </c>
      <c r="H43" s="15">
        <v>0.86</v>
      </c>
      <c r="I43" s="15">
        <v>0.71</v>
      </c>
      <c r="J43" s="15">
        <v>0.36</v>
      </c>
      <c r="K43" s="15">
        <v>0.05</v>
      </c>
      <c r="L43" s="15">
        <v>8.98</v>
      </c>
      <c r="M43" s="15" t="s">
        <v>25</v>
      </c>
    </row>
    <row r="44" ht="15.75" customHeight="1">
      <c r="A44" s="15" t="s">
        <v>252</v>
      </c>
      <c r="B44" s="15" t="s">
        <v>253</v>
      </c>
      <c r="C44" s="15">
        <v>2.0</v>
      </c>
      <c r="D44" s="15" t="s">
        <v>22</v>
      </c>
      <c r="E44" s="15">
        <v>0.77</v>
      </c>
      <c r="F44" s="15">
        <v>57.74</v>
      </c>
      <c r="G44" s="15">
        <v>31.57</v>
      </c>
      <c r="H44" s="15">
        <v>0.85</v>
      </c>
      <c r="I44" s="15">
        <v>0.73</v>
      </c>
      <c r="J44" s="15">
        <v>0.44</v>
      </c>
      <c r="K44" s="15">
        <v>0.06</v>
      </c>
      <c r="L44" s="15">
        <v>8.74</v>
      </c>
      <c r="M44" s="15" t="s">
        <v>25</v>
      </c>
    </row>
    <row r="45" ht="15.75" customHeight="1">
      <c r="A45" s="15" t="s">
        <v>259</v>
      </c>
      <c r="B45" s="15" t="s">
        <v>260</v>
      </c>
      <c r="C45" s="15">
        <v>2.0</v>
      </c>
      <c r="D45" s="15" t="s">
        <v>22</v>
      </c>
      <c r="E45" s="15">
        <v>0.79</v>
      </c>
      <c r="F45" s="15">
        <v>57.73</v>
      </c>
      <c r="G45" s="15">
        <v>31.61</v>
      </c>
      <c r="H45" s="15">
        <v>0.85</v>
      </c>
      <c r="I45" s="15">
        <v>0.73</v>
      </c>
      <c r="J45" s="15">
        <v>0.42</v>
      </c>
      <c r="K45" s="15">
        <v>0.06</v>
      </c>
      <c r="L45" s="15">
        <v>8.83</v>
      </c>
      <c r="M45" s="15" t="s">
        <v>25</v>
      </c>
    </row>
    <row r="46" ht="15.75" customHeight="1">
      <c r="A46" s="15" t="s">
        <v>266</v>
      </c>
      <c r="B46" s="15" t="s">
        <v>267</v>
      </c>
      <c r="C46" s="15">
        <v>2.0</v>
      </c>
      <c r="D46" s="15" t="s">
        <v>22</v>
      </c>
      <c r="E46" s="15">
        <v>0.78</v>
      </c>
      <c r="F46" s="15">
        <v>57.73</v>
      </c>
      <c r="G46" s="15">
        <v>31.69</v>
      </c>
      <c r="H46" s="15">
        <v>0.85</v>
      </c>
      <c r="I46" s="15">
        <v>0.72</v>
      </c>
      <c r="J46" s="15">
        <v>0.42</v>
      </c>
      <c r="K46" s="15">
        <v>0.06</v>
      </c>
      <c r="L46" s="15">
        <v>8.82</v>
      </c>
      <c r="M46" s="15" t="s">
        <v>25</v>
      </c>
    </row>
    <row r="47" ht="15.75" customHeight="1">
      <c r="A47" s="15" t="s">
        <v>273</v>
      </c>
      <c r="B47" s="15" t="s">
        <v>274</v>
      </c>
      <c r="C47" s="15">
        <v>2.0</v>
      </c>
      <c r="D47" s="15" t="s">
        <v>22</v>
      </c>
      <c r="E47" s="15">
        <v>0.79</v>
      </c>
      <c r="F47" s="15">
        <v>57.71</v>
      </c>
      <c r="G47" s="15">
        <v>31.7</v>
      </c>
      <c r="H47" s="15">
        <v>0.85</v>
      </c>
      <c r="I47" s="15">
        <v>0.72</v>
      </c>
      <c r="J47" s="15">
        <v>0.42</v>
      </c>
      <c r="K47" s="15">
        <v>0.06</v>
      </c>
      <c r="L47" s="15">
        <v>8.84</v>
      </c>
      <c r="M47" s="15" t="s">
        <v>25</v>
      </c>
    </row>
    <row r="48" ht="15.75" customHeight="1">
      <c r="A48" s="15" t="s">
        <v>279</v>
      </c>
      <c r="B48" s="15" t="s">
        <v>281</v>
      </c>
      <c r="C48" s="15">
        <v>2.0</v>
      </c>
      <c r="D48" s="15" t="s">
        <v>22</v>
      </c>
      <c r="E48" s="15">
        <v>0.75</v>
      </c>
      <c r="F48" s="15">
        <v>57.66</v>
      </c>
      <c r="G48" s="15">
        <v>32.13</v>
      </c>
      <c r="H48" s="15">
        <v>0.87</v>
      </c>
      <c r="I48" s="15">
        <v>0.7</v>
      </c>
      <c r="J48" s="15">
        <v>0.42</v>
      </c>
      <c r="K48" s="15">
        <v>0.06</v>
      </c>
      <c r="L48" s="15">
        <v>8.63</v>
      </c>
      <c r="M48" s="15" t="s">
        <v>25</v>
      </c>
    </row>
    <row r="49" ht="15.75" customHeight="1">
      <c r="A49" s="15" t="s">
        <v>287</v>
      </c>
      <c r="B49" s="15" t="s">
        <v>288</v>
      </c>
      <c r="C49" s="15">
        <v>2.0</v>
      </c>
      <c r="D49" s="15" t="s">
        <v>22</v>
      </c>
      <c r="E49" s="15">
        <v>0.78</v>
      </c>
      <c r="F49" s="15">
        <v>57.63</v>
      </c>
      <c r="G49" s="15">
        <v>31.82</v>
      </c>
      <c r="H49" s="15">
        <v>0.85</v>
      </c>
      <c r="I49" s="15">
        <v>0.72</v>
      </c>
      <c r="J49" s="15">
        <v>0.42</v>
      </c>
      <c r="K49" s="15">
        <v>0.06</v>
      </c>
      <c r="L49" s="15">
        <v>8.83</v>
      </c>
      <c r="M49" s="15" t="s">
        <v>25</v>
      </c>
    </row>
    <row r="50" ht="15.75" customHeight="1">
      <c r="A50" s="15" t="s">
        <v>294</v>
      </c>
      <c r="B50" s="15" t="s">
        <v>295</v>
      </c>
      <c r="C50" s="15">
        <v>2.0</v>
      </c>
      <c r="D50" s="15" t="s">
        <v>22</v>
      </c>
      <c r="E50" s="15">
        <v>0.83</v>
      </c>
      <c r="F50" s="15">
        <v>57.3</v>
      </c>
      <c r="G50" s="15">
        <v>31.57</v>
      </c>
      <c r="H50" s="15">
        <v>0.85</v>
      </c>
      <c r="I50" s="15">
        <v>0.72</v>
      </c>
      <c r="J50" s="15">
        <v>0.39</v>
      </c>
      <c r="K50" s="15">
        <v>0.06</v>
      </c>
      <c r="L50" s="15">
        <v>8.8</v>
      </c>
      <c r="M50" s="15" t="s">
        <v>25</v>
      </c>
    </row>
    <row r="51" ht="15.75" customHeight="1">
      <c r="A51" s="15" t="s">
        <v>301</v>
      </c>
      <c r="B51" s="15" t="s">
        <v>302</v>
      </c>
      <c r="C51" s="15">
        <v>2.0</v>
      </c>
      <c r="D51" s="15" t="s">
        <v>22</v>
      </c>
      <c r="E51" s="15">
        <v>0.83</v>
      </c>
      <c r="F51" s="15">
        <v>57.3</v>
      </c>
      <c r="G51" s="15">
        <v>32.38</v>
      </c>
      <c r="H51" s="15">
        <v>0.85</v>
      </c>
      <c r="I51" s="15">
        <v>0.69</v>
      </c>
      <c r="J51" s="15">
        <v>0.37</v>
      </c>
      <c r="K51" s="15">
        <v>0.06</v>
      </c>
      <c r="L51" s="15">
        <v>8.86</v>
      </c>
      <c r="M51" s="15" t="s">
        <v>25</v>
      </c>
    </row>
    <row r="52" ht="15.75" customHeight="1">
      <c r="A52" s="15" t="s">
        <v>308</v>
      </c>
      <c r="B52" s="15" t="s">
        <v>309</v>
      </c>
      <c r="C52" s="15">
        <v>2.0</v>
      </c>
      <c r="D52" s="15" t="s">
        <v>22</v>
      </c>
      <c r="E52" s="15">
        <v>0.82</v>
      </c>
      <c r="F52" s="15">
        <v>57.3</v>
      </c>
      <c r="G52" s="15">
        <v>32.1</v>
      </c>
      <c r="H52" s="15">
        <v>0.85</v>
      </c>
      <c r="I52" s="15">
        <v>0.7</v>
      </c>
      <c r="J52" s="15">
        <v>0.42</v>
      </c>
      <c r="K52" s="15">
        <v>0.06</v>
      </c>
      <c r="L52" s="15">
        <v>8.64</v>
      </c>
      <c r="M52" s="15" t="s">
        <v>25</v>
      </c>
    </row>
    <row r="53" ht="15.75" customHeight="1">
      <c r="A53" s="15" t="s">
        <v>315</v>
      </c>
      <c r="B53" s="15" t="s">
        <v>316</v>
      </c>
      <c r="C53" s="15">
        <v>2.0</v>
      </c>
      <c r="D53" s="15" t="s">
        <v>22</v>
      </c>
      <c r="E53" s="15">
        <v>0.75</v>
      </c>
      <c r="F53" s="15">
        <v>57.23</v>
      </c>
      <c r="G53" s="15">
        <v>32.47</v>
      </c>
      <c r="H53" s="15">
        <v>0.88</v>
      </c>
      <c r="I53" s="15">
        <v>0.68</v>
      </c>
      <c r="J53" s="15">
        <v>0.6</v>
      </c>
      <c r="K53" s="15">
        <v>0.08</v>
      </c>
      <c r="L53" s="15">
        <v>7.78</v>
      </c>
      <c r="M53" s="15" t="s">
        <v>25</v>
      </c>
    </row>
    <row r="54" ht="15.75" customHeight="1">
      <c r="A54" s="15" t="s">
        <v>322</v>
      </c>
      <c r="B54" s="15" t="s">
        <v>323</v>
      </c>
      <c r="C54" s="15">
        <v>2.0</v>
      </c>
      <c r="D54" s="15" t="s">
        <v>22</v>
      </c>
      <c r="E54" s="15">
        <v>0.74</v>
      </c>
      <c r="F54" s="15">
        <v>56.99</v>
      </c>
      <c r="G54" s="15">
        <v>32.13</v>
      </c>
      <c r="H54" s="15">
        <v>0.88</v>
      </c>
      <c r="I54" s="15">
        <v>0.69</v>
      </c>
      <c r="J54" s="15">
        <v>0.44</v>
      </c>
      <c r="K54" s="15">
        <v>0.06</v>
      </c>
      <c r="L54" s="15">
        <v>8.54</v>
      </c>
      <c r="M54" s="15" t="s">
        <v>25</v>
      </c>
    </row>
    <row r="55" ht="15.75" customHeight="1">
      <c r="A55" s="15" t="s">
        <v>329</v>
      </c>
      <c r="B55" s="15" t="s">
        <v>330</v>
      </c>
      <c r="C55" s="15">
        <v>2.0</v>
      </c>
      <c r="D55" s="15" t="s">
        <v>22</v>
      </c>
      <c r="E55" s="15">
        <v>0.74</v>
      </c>
      <c r="F55" s="15">
        <v>56.83</v>
      </c>
      <c r="G55" s="15">
        <v>32.22</v>
      </c>
      <c r="H55" s="15">
        <v>0.88</v>
      </c>
      <c r="I55" s="15">
        <v>0.69</v>
      </c>
      <c r="J55" s="15">
        <v>0.46</v>
      </c>
      <c r="K55" s="15">
        <v>0.06</v>
      </c>
      <c r="L55" s="15">
        <v>8.44</v>
      </c>
      <c r="M55" s="15" t="s">
        <v>25</v>
      </c>
    </row>
    <row r="56" ht="15.75" customHeight="1">
      <c r="A56" s="15" t="s">
        <v>335</v>
      </c>
      <c r="B56" s="15" t="s">
        <v>336</v>
      </c>
      <c r="C56" s="15">
        <v>2.0</v>
      </c>
      <c r="D56" s="15" t="s">
        <v>22</v>
      </c>
      <c r="E56" s="15">
        <v>0.78</v>
      </c>
      <c r="F56" s="15">
        <v>56.75</v>
      </c>
      <c r="G56" s="15">
        <v>31.4</v>
      </c>
      <c r="H56" s="15">
        <v>0.86</v>
      </c>
      <c r="I56" s="15">
        <v>0.72</v>
      </c>
      <c r="J56" s="15">
        <v>0.48</v>
      </c>
      <c r="K56" s="15">
        <v>0.06</v>
      </c>
      <c r="L56" s="15">
        <v>8.56</v>
      </c>
      <c r="M56" s="15" t="s">
        <v>25</v>
      </c>
    </row>
    <row r="57" ht="15.75" customHeight="1">
      <c r="A57" s="15" t="s">
        <v>342</v>
      </c>
      <c r="B57" s="15" t="s">
        <v>343</v>
      </c>
      <c r="C57" s="15">
        <v>2.0</v>
      </c>
      <c r="D57" s="15" t="s">
        <v>22</v>
      </c>
      <c r="E57" s="15">
        <v>0.75</v>
      </c>
      <c r="F57" s="15">
        <v>56.69</v>
      </c>
      <c r="G57" s="15">
        <v>32.01</v>
      </c>
      <c r="H57" s="15">
        <v>0.88</v>
      </c>
      <c r="I57" s="15">
        <v>0.7</v>
      </c>
      <c r="J57" s="15">
        <v>0.45</v>
      </c>
      <c r="K57" s="15">
        <v>0.06</v>
      </c>
      <c r="L57" s="15">
        <v>8.49</v>
      </c>
      <c r="M57" s="15" t="s">
        <v>25</v>
      </c>
    </row>
    <row r="58" ht="15.75" customHeight="1">
      <c r="A58" s="15" t="s">
        <v>350</v>
      </c>
      <c r="B58" s="15" t="s">
        <v>352</v>
      </c>
      <c r="C58" s="15">
        <v>2.0</v>
      </c>
      <c r="D58" s="15" t="s">
        <v>22</v>
      </c>
      <c r="E58" s="15">
        <v>0.54</v>
      </c>
      <c r="F58" s="15">
        <v>56.66</v>
      </c>
      <c r="G58" s="15">
        <v>34.15</v>
      </c>
      <c r="H58" s="15">
        <v>0.91</v>
      </c>
      <c r="I58" s="15">
        <v>0.61</v>
      </c>
      <c r="J58" s="15">
        <v>0.43</v>
      </c>
      <c r="K58" s="15">
        <v>0.06</v>
      </c>
      <c r="L58" s="15">
        <v>8.64</v>
      </c>
      <c r="M58" s="15" t="s">
        <v>25</v>
      </c>
    </row>
    <row r="59" ht="15.75" customHeight="1">
      <c r="A59" s="15" t="s">
        <v>357</v>
      </c>
      <c r="B59" s="15" t="s">
        <v>359</v>
      </c>
      <c r="C59" s="15">
        <v>2.0</v>
      </c>
      <c r="D59" s="15" t="s">
        <v>22</v>
      </c>
      <c r="E59" s="15">
        <v>0.74</v>
      </c>
      <c r="F59" s="15">
        <v>56.65</v>
      </c>
      <c r="G59" s="15">
        <v>32.35</v>
      </c>
      <c r="H59" s="15">
        <v>0.88</v>
      </c>
      <c r="I59" s="15">
        <v>0.68</v>
      </c>
      <c r="J59" s="15">
        <v>0.44</v>
      </c>
      <c r="K59" s="15">
        <v>0.06</v>
      </c>
      <c r="L59" s="15">
        <v>8.47</v>
      </c>
      <c r="M59" s="15" t="s">
        <v>25</v>
      </c>
    </row>
    <row r="60" ht="15.75" customHeight="1">
      <c r="A60" s="15" t="s">
        <v>363</v>
      </c>
      <c r="B60" s="15" t="s">
        <v>365</v>
      </c>
      <c r="C60" s="15">
        <v>2.0</v>
      </c>
      <c r="D60" s="15" t="s">
        <v>22</v>
      </c>
      <c r="E60" s="15">
        <v>0.74</v>
      </c>
      <c r="F60" s="15">
        <v>56.64</v>
      </c>
      <c r="G60" s="15">
        <v>31.98</v>
      </c>
      <c r="H60" s="15">
        <v>0.88</v>
      </c>
      <c r="I60" s="15">
        <v>0.7</v>
      </c>
      <c r="J60" s="15">
        <v>0.44</v>
      </c>
      <c r="K60" s="15">
        <v>0.06</v>
      </c>
      <c r="L60" s="15">
        <v>8.46</v>
      </c>
      <c r="M60" s="15" t="s">
        <v>25</v>
      </c>
    </row>
    <row r="61" ht="15.75" customHeight="1">
      <c r="A61" s="15" t="s">
        <v>370</v>
      </c>
      <c r="B61" s="15" t="s">
        <v>371</v>
      </c>
      <c r="C61" s="15">
        <v>2.0</v>
      </c>
      <c r="D61" s="15" t="s">
        <v>22</v>
      </c>
      <c r="E61" s="15">
        <v>0.74</v>
      </c>
      <c r="F61" s="15">
        <v>56.63</v>
      </c>
      <c r="G61" s="15">
        <v>32.35</v>
      </c>
      <c r="H61" s="15">
        <v>0.88</v>
      </c>
      <c r="I61" s="15">
        <v>0.68</v>
      </c>
      <c r="J61" s="15">
        <v>0.42</v>
      </c>
      <c r="K61" s="15">
        <v>0.06</v>
      </c>
      <c r="L61" s="15">
        <v>8.69</v>
      </c>
      <c r="M61" s="15" t="s">
        <v>25</v>
      </c>
    </row>
    <row r="62" ht="15.75" customHeight="1">
      <c r="A62" s="15" t="s">
        <v>376</v>
      </c>
      <c r="B62" s="15" t="s">
        <v>378</v>
      </c>
      <c r="C62" s="15">
        <v>2.0</v>
      </c>
      <c r="D62" s="15" t="s">
        <v>22</v>
      </c>
      <c r="E62" s="15">
        <v>0.75</v>
      </c>
      <c r="F62" s="15">
        <v>56.63</v>
      </c>
      <c r="G62" s="15">
        <v>32.35</v>
      </c>
      <c r="H62" s="15">
        <v>0.88</v>
      </c>
      <c r="I62" s="15">
        <v>0.68</v>
      </c>
      <c r="J62" s="15">
        <v>0.42</v>
      </c>
      <c r="K62" s="15">
        <v>0.06</v>
      </c>
      <c r="L62" s="15">
        <v>8.7</v>
      </c>
      <c r="M62" s="15" t="s">
        <v>25</v>
      </c>
    </row>
    <row r="63" ht="15.75" customHeight="1">
      <c r="A63" s="15" t="s">
        <v>384</v>
      </c>
      <c r="B63" s="15" t="s">
        <v>385</v>
      </c>
      <c r="C63" s="15">
        <v>2.0</v>
      </c>
      <c r="D63" s="15" t="s">
        <v>22</v>
      </c>
      <c r="E63" s="15">
        <v>0.74</v>
      </c>
      <c r="F63" s="15">
        <v>56.62</v>
      </c>
      <c r="G63" s="15">
        <v>32.38</v>
      </c>
      <c r="H63" s="15">
        <v>0.88</v>
      </c>
      <c r="I63" s="15">
        <v>0.68</v>
      </c>
      <c r="J63" s="15">
        <v>0.42</v>
      </c>
      <c r="K63" s="15">
        <v>0.06</v>
      </c>
      <c r="L63" s="15">
        <v>8.66</v>
      </c>
      <c r="M63" s="15" t="s">
        <v>25</v>
      </c>
    </row>
    <row r="64" ht="15.75" customHeight="1">
      <c r="A64" s="15" t="s">
        <v>390</v>
      </c>
      <c r="B64" s="15" t="s">
        <v>392</v>
      </c>
      <c r="C64" s="15">
        <v>2.0</v>
      </c>
      <c r="D64" s="15" t="s">
        <v>22</v>
      </c>
      <c r="E64" s="15">
        <v>0.75</v>
      </c>
      <c r="F64" s="15">
        <v>56.62</v>
      </c>
      <c r="G64" s="15">
        <v>32.35</v>
      </c>
      <c r="H64" s="15">
        <v>0.88</v>
      </c>
      <c r="I64" s="15">
        <v>0.68</v>
      </c>
      <c r="J64" s="15">
        <v>0.42</v>
      </c>
      <c r="K64" s="15">
        <v>0.06</v>
      </c>
      <c r="L64" s="15">
        <v>8.69</v>
      </c>
      <c r="M64" s="15" t="s">
        <v>25</v>
      </c>
    </row>
    <row r="65" ht="15.75" customHeight="1">
      <c r="A65" s="15" t="s">
        <v>396</v>
      </c>
      <c r="B65" s="15" t="s">
        <v>398</v>
      </c>
      <c r="C65" s="15">
        <v>2.0</v>
      </c>
      <c r="D65" s="15" t="s">
        <v>22</v>
      </c>
      <c r="E65" s="15">
        <v>0.74</v>
      </c>
      <c r="F65" s="15">
        <v>56.62</v>
      </c>
      <c r="G65" s="15">
        <v>32.35</v>
      </c>
      <c r="H65" s="15">
        <v>0.88</v>
      </c>
      <c r="I65" s="15">
        <v>0.68</v>
      </c>
      <c r="J65" s="15">
        <v>0.42</v>
      </c>
      <c r="K65" s="15">
        <v>0.06</v>
      </c>
      <c r="L65" s="15">
        <v>8.69</v>
      </c>
      <c r="M65" s="15" t="s">
        <v>25</v>
      </c>
    </row>
    <row r="66" ht="15.75" customHeight="1">
      <c r="A66" s="15" t="s">
        <v>403</v>
      </c>
      <c r="B66" s="15" t="s">
        <v>404</v>
      </c>
      <c r="C66" s="15">
        <v>2.0</v>
      </c>
      <c r="D66" s="15" t="s">
        <v>22</v>
      </c>
      <c r="E66" s="15">
        <v>0.74</v>
      </c>
      <c r="F66" s="15">
        <v>56.6</v>
      </c>
      <c r="G66" s="15">
        <v>32.35</v>
      </c>
      <c r="H66" s="15">
        <v>0.88</v>
      </c>
      <c r="I66" s="15">
        <v>0.68</v>
      </c>
      <c r="J66" s="15">
        <v>0.42</v>
      </c>
      <c r="K66" s="15">
        <v>0.06</v>
      </c>
      <c r="L66" s="15">
        <v>8.7</v>
      </c>
      <c r="M66" s="15" t="s">
        <v>25</v>
      </c>
    </row>
    <row r="67" ht="15.75" customHeight="1">
      <c r="A67" s="15" t="s">
        <v>412</v>
      </c>
      <c r="B67" s="15" t="s">
        <v>413</v>
      </c>
      <c r="C67" s="15">
        <v>2.0</v>
      </c>
      <c r="D67" s="15" t="s">
        <v>22</v>
      </c>
      <c r="E67" s="15">
        <v>0.76</v>
      </c>
      <c r="F67" s="15">
        <v>56.6</v>
      </c>
      <c r="G67" s="15">
        <v>32.35</v>
      </c>
      <c r="H67" s="15">
        <v>0.88</v>
      </c>
      <c r="I67" s="15">
        <v>0.68</v>
      </c>
      <c r="J67" s="15">
        <v>0.42</v>
      </c>
      <c r="K67" s="15">
        <v>0.06</v>
      </c>
      <c r="L67" s="15">
        <v>8.69</v>
      </c>
      <c r="M67" s="15" t="s">
        <v>25</v>
      </c>
    </row>
    <row r="68" ht="15.75" customHeight="1">
      <c r="A68" s="15" t="s">
        <v>418</v>
      </c>
      <c r="B68" s="15" t="s">
        <v>420</v>
      </c>
      <c r="C68" s="15">
        <v>2.0</v>
      </c>
      <c r="D68" s="15" t="s">
        <v>22</v>
      </c>
      <c r="E68" s="15">
        <v>0.8</v>
      </c>
      <c r="F68" s="15">
        <v>56.6</v>
      </c>
      <c r="G68" s="15">
        <v>32.32</v>
      </c>
      <c r="H68" s="15">
        <v>0.86</v>
      </c>
      <c r="I68" s="15">
        <v>0.68</v>
      </c>
      <c r="J68" s="15">
        <v>0.45</v>
      </c>
      <c r="K68" s="15">
        <v>0.06</v>
      </c>
      <c r="L68" s="15">
        <v>8.79</v>
      </c>
      <c r="M68" s="15" t="s">
        <v>25</v>
      </c>
    </row>
    <row r="69" ht="15.75" customHeight="1">
      <c r="A69" s="15" t="s">
        <v>425</v>
      </c>
      <c r="B69" s="15" t="s">
        <v>427</v>
      </c>
      <c r="C69" s="15">
        <v>2.0</v>
      </c>
      <c r="D69" s="15" t="s">
        <v>22</v>
      </c>
      <c r="E69" s="15">
        <v>0.75</v>
      </c>
      <c r="F69" s="15">
        <v>56.6</v>
      </c>
      <c r="G69" s="15">
        <v>32.35</v>
      </c>
      <c r="H69" s="15">
        <v>0.88</v>
      </c>
      <c r="I69" s="15">
        <v>0.68</v>
      </c>
      <c r="J69" s="15">
        <v>0.42</v>
      </c>
      <c r="K69" s="15">
        <v>0.06</v>
      </c>
      <c r="L69" s="15">
        <v>8.7</v>
      </c>
      <c r="M69" s="15" t="s">
        <v>25</v>
      </c>
    </row>
    <row r="70" ht="15.75" customHeight="1">
      <c r="A70" s="15" t="s">
        <v>431</v>
      </c>
      <c r="B70" s="15" t="s">
        <v>433</v>
      </c>
      <c r="C70" s="15">
        <v>2.0</v>
      </c>
      <c r="D70" s="15" t="s">
        <v>22</v>
      </c>
      <c r="E70" s="15">
        <v>0.75</v>
      </c>
      <c r="F70" s="15">
        <v>56.59</v>
      </c>
      <c r="G70" s="15">
        <v>32.35</v>
      </c>
      <c r="H70" s="15">
        <v>0.88</v>
      </c>
      <c r="I70" s="15">
        <v>0.68</v>
      </c>
      <c r="J70" s="15">
        <v>0.42</v>
      </c>
      <c r="K70" s="15">
        <v>0.06</v>
      </c>
      <c r="L70" s="15">
        <v>8.7</v>
      </c>
      <c r="M70" s="15" t="s">
        <v>25</v>
      </c>
    </row>
    <row r="71" ht="15.75" customHeight="1">
      <c r="A71" s="15" t="s">
        <v>442</v>
      </c>
      <c r="B71" s="15" t="s">
        <v>443</v>
      </c>
      <c r="C71" s="15">
        <v>2.0</v>
      </c>
      <c r="D71" s="15" t="s">
        <v>22</v>
      </c>
      <c r="E71" s="15">
        <v>0.75</v>
      </c>
      <c r="F71" s="15">
        <v>56.59</v>
      </c>
      <c r="G71" s="15">
        <v>32.15</v>
      </c>
      <c r="H71" s="15">
        <v>0.88</v>
      </c>
      <c r="I71" s="15">
        <v>0.69</v>
      </c>
      <c r="J71" s="15">
        <v>0.44</v>
      </c>
      <c r="K71" s="15">
        <v>0.06</v>
      </c>
      <c r="L71" s="15">
        <v>8.48</v>
      </c>
      <c r="M71" s="15" t="s">
        <v>25</v>
      </c>
    </row>
    <row r="72" ht="15.75" customHeight="1">
      <c r="A72" s="15" t="s">
        <v>449</v>
      </c>
      <c r="B72" s="15" t="s">
        <v>450</v>
      </c>
      <c r="C72" s="15">
        <v>2.0</v>
      </c>
      <c r="D72" s="15" t="s">
        <v>22</v>
      </c>
      <c r="E72" s="15">
        <v>0.74</v>
      </c>
      <c r="F72" s="15">
        <v>56.59</v>
      </c>
      <c r="G72" s="15">
        <v>32.35</v>
      </c>
      <c r="H72" s="15">
        <v>0.88</v>
      </c>
      <c r="I72" s="15">
        <v>0.68</v>
      </c>
      <c r="J72" s="15">
        <v>0.42</v>
      </c>
      <c r="K72" s="15">
        <v>0.06</v>
      </c>
      <c r="L72" s="15">
        <v>8.69</v>
      </c>
      <c r="M72" s="15" t="s">
        <v>25</v>
      </c>
    </row>
    <row r="73" ht="15.75" customHeight="1">
      <c r="A73" s="15" t="s">
        <v>455</v>
      </c>
      <c r="B73" s="15" t="s">
        <v>457</v>
      </c>
      <c r="C73" s="15">
        <v>2.0</v>
      </c>
      <c r="D73" s="15" t="s">
        <v>22</v>
      </c>
      <c r="E73" s="15">
        <v>0.75</v>
      </c>
      <c r="F73" s="15">
        <v>56.58</v>
      </c>
      <c r="G73" s="15">
        <v>32.11</v>
      </c>
      <c r="H73" s="15">
        <v>0.88</v>
      </c>
      <c r="I73" s="15">
        <v>0.69</v>
      </c>
      <c r="J73" s="15">
        <v>0.44</v>
      </c>
      <c r="K73" s="15">
        <v>0.06</v>
      </c>
      <c r="L73" s="15">
        <v>8.49</v>
      </c>
      <c r="M73" s="15" t="s">
        <v>25</v>
      </c>
    </row>
    <row r="74" ht="15.75" customHeight="1">
      <c r="A74" s="15" t="s">
        <v>461</v>
      </c>
      <c r="B74" s="15" t="s">
        <v>463</v>
      </c>
      <c r="C74" s="15">
        <v>2.0</v>
      </c>
      <c r="D74" s="15" t="s">
        <v>22</v>
      </c>
      <c r="E74" s="15">
        <v>0.75</v>
      </c>
      <c r="F74" s="15">
        <v>56.58</v>
      </c>
      <c r="G74" s="15">
        <v>32.35</v>
      </c>
      <c r="H74" s="15">
        <v>0.88</v>
      </c>
      <c r="I74" s="15">
        <v>0.68</v>
      </c>
      <c r="J74" s="15">
        <v>0.42</v>
      </c>
      <c r="K74" s="15">
        <v>0.06</v>
      </c>
      <c r="L74" s="15">
        <v>8.69</v>
      </c>
      <c r="M74" s="15" t="s">
        <v>25</v>
      </c>
    </row>
    <row r="75" ht="15.75" customHeight="1">
      <c r="A75" s="15" t="s">
        <v>467</v>
      </c>
      <c r="B75" s="15" t="s">
        <v>470</v>
      </c>
      <c r="C75" s="15">
        <v>2.0</v>
      </c>
      <c r="D75" s="15" t="s">
        <v>22</v>
      </c>
      <c r="E75" s="15">
        <v>0.74</v>
      </c>
      <c r="F75" s="15">
        <v>56.56</v>
      </c>
      <c r="G75" s="15">
        <v>32.29</v>
      </c>
      <c r="H75" s="15">
        <v>0.88</v>
      </c>
      <c r="I75" s="15">
        <v>0.68</v>
      </c>
      <c r="J75" s="15">
        <v>0.44</v>
      </c>
      <c r="K75" s="15">
        <v>0.06</v>
      </c>
      <c r="L75" s="15">
        <v>8.49</v>
      </c>
      <c r="M75" s="15" t="s">
        <v>25</v>
      </c>
    </row>
    <row r="76" ht="15.75" customHeight="1">
      <c r="A76" s="15" t="s">
        <v>473</v>
      </c>
      <c r="B76" s="15" t="s">
        <v>474</v>
      </c>
      <c r="C76" s="15">
        <v>2.0</v>
      </c>
      <c r="D76" s="15" t="s">
        <v>22</v>
      </c>
      <c r="E76" s="15">
        <v>0.75</v>
      </c>
      <c r="F76" s="15">
        <v>56.53</v>
      </c>
      <c r="G76" s="15">
        <v>32.49</v>
      </c>
      <c r="H76" s="15">
        <v>0.88</v>
      </c>
      <c r="I76" s="15">
        <v>0.67</v>
      </c>
      <c r="J76" s="15">
        <v>0.42</v>
      </c>
      <c r="K76" s="15">
        <v>0.06</v>
      </c>
      <c r="L76" s="15">
        <v>8.69</v>
      </c>
      <c r="M76" s="15" t="s">
        <v>25</v>
      </c>
    </row>
    <row r="77" ht="15.75" customHeight="1">
      <c r="A77" s="15" t="s">
        <v>479</v>
      </c>
      <c r="B77" s="15" t="s">
        <v>480</v>
      </c>
      <c r="C77" s="15">
        <v>2.0</v>
      </c>
      <c r="D77" s="15" t="s">
        <v>22</v>
      </c>
      <c r="E77" s="15">
        <v>0.74</v>
      </c>
      <c r="F77" s="15">
        <v>56.53</v>
      </c>
      <c r="G77" s="15">
        <v>32.35</v>
      </c>
      <c r="H77" s="15">
        <v>0.88</v>
      </c>
      <c r="I77" s="15">
        <v>0.68</v>
      </c>
      <c r="J77" s="15">
        <v>0.42</v>
      </c>
      <c r="K77" s="15">
        <v>0.06</v>
      </c>
      <c r="L77" s="15">
        <v>8.69</v>
      </c>
      <c r="M77" s="15" t="s">
        <v>25</v>
      </c>
    </row>
    <row r="78" ht="15.75" customHeight="1">
      <c r="A78" s="15" t="s">
        <v>486</v>
      </c>
      <c r="B78" s="15" t="s">
        <v>487</v>
      </c>
      <c r="C78" s="15">
        <v>2.0</v>
      </c>
      <c r="D78" s="15" t="s">
        <v>22</v>
      </c>
      <c r="E78" s="15">
        <v>0.75</v>
      </c>
      <c r="F78" s="15">
        <v>56.51</v>
      </c>
      <c r="G78" s="15">
        <v>32.11</v>
      </c>
      <c r="H78" s="15">
        <v>0.88</v>
      </c>
      <c r="I78" s="15">
        <v>0.69</v>
      </c>
      <c r="J78" s="15">
        <v>0.44</v>
      </c>
      <c r="K78" s="15">
        <v>0.06</v>
      </c>
      <c r="L78" s="15">
        <v>8.49</v>
      </c>
      <c r="M78" s="15" t="s">
        <v>25</v>
      </c>
    </row>
    <row r="79" ht="15.75" customHeight="1">
      <c r="A79" s="15" t="s">
        <v>493</v>
      </c>
      <c r="B79" s="15" t="s">
        <v>494</v>
      </c>
      <c r="C79" s="15">
        <v>2.0</v>
      </c>
      <c r="D79" s="15" t="s">
        <v>22</v>
      </c>
      <c r="E79" s="15">
        <v>0.74</v>
      </c>
      <c r="F79" s="15">
        <v>56.51</v>
      </c>
      <c r="G79" s="15">
        <v>32.21</v>
      </c>
      <c r="H79" s="15">
        <v>0.88</v>
      </c>
      <c r="I79" s="15">
        <v>0.68</v>
      </c>
      <c r="J79" s="15">
        <v>0.43</v>
      </c>
      <c r="K79" s="15">
        <v>0.06</v>
      </c>
      <c r="L79" s="15">
        <v>8.53</v>
      </c>
      <c r="M79" s="15" t="s">
        <v>25</v>
      </c>
    </row>
    <row r="80" ht="15.75" customHeight="1">
      <c r="A80" s="15" t="s">
        <v>500</v>
      </c>
      <c r="B80" s="15" t="s">
        <v>501</v>
      </c>
      <c r="C80" s="15">
        <v>2.0</v>
      </c>
      <c r="D80" s="15" t="s">
        <v>22</v>
      </c>
      <c r="E80" s="15">
        <v>0.75</v>
      </c>
      <c r="F80" s="15">
        <v>56.51</v>
      </c>
      <c r="G80" s="15">
        <v>32.31</v>
      </c>
      <c r="H80" s="15">
        <v>0.88</v>
      </c>
      <c r="I80" s="15">
        <v>0.68</v>
      </c>
      <c r="J80" s="15">
        <v>0.44</v>
      </c>
      <c r="K80" s="15">
        <v>0.06</v>
      </c>
      <c r="L80" s="15">
        <v>8.49</v>
      </c>
      <c r="M80" s="15" t="s">
        <v>25</v>
      </c>
    </row>
    <row r="81" ht="15.75" customHeight="1">
      <c r="A81" s="15" t="s">
        <v>507</v>
      </c>
      <c r="B81" s="15" t="s">
        <v>508</v>
      </c>
      <c r="C81" s="15">
        <v>2.0</v>
      </c>
      <c r="D81" s="15" t="s">
        <v>22</v>
      </c>
      <c r="E81" s="15">
        <v>0.79</v>
      </c>
      <c r="F81" s="15">
        <v>56.5</v>
      </c>
      <c r="G81" s="15">
        <v>32.48</v>
      </c>
      <c r="H81" s="15">
        <v>0.86</v>
      </c>
      <c r="I81" s="15">
        <v>0.67</v>
      </c>
      <c r="J81" s="15">
        <v>0.45</v>
      </c>
      <c r="K81" s="15">
        <v>0.06</v>
      </c>
      <c r="L81" s="15">
        <v>8.79</v>
      </c>
      <c r="M81" s="15" t="s">
        <v>25</v>
      </c>
    </row>
    <row r="82" ht="15.75" customHeight="1">
      <c r="A82" s="15" t="s">
        <v>514</v>
      </c>
      <c r="B82" s="15" t="s">
        <v>516</v>
      </c>
      <c r="C82" s="15">
        <v>2.0</v>
      </c>
      <c r="D82" s="15" t="s">
        <v>22</v>
      </c>
      <c r="E82" s="15">
        <v>0.75</v>
      </c>
      <c r="F82" s="15">
        <v>56.44</v>
      </c>
      <c r="G82" s="15">
        <v>32.13</v>
      </c>
      <c r="H82" s="15">
        <v>0.88</v>
      </c>
      <c r="I82" s="15">
        <v>0.69</v>
      </c>
      <c r="J82" s="15">
        <v>0.43</v>
      </c>
      <c r="K82" s="15">
        <v>0.06</v>
      </c>
      <c r="L82" s="15">
        <v>8.52</v>
      </c>
      <c r="M82" s="15" t="s">
        <v>25</v>
      </c>
    </row>
    <row r="83" ht="15.75" customHeight="1">
      <c r="A83" s="15" t="s">
        <v>523</v>
      </c>
      <c r="B83" s="15" t="s">
        <v>524</v>
      </c>
      <c r="C83" s="15">
        <v>2.0</v>
      </c>
      <c r="D83" s="15" t="s">
        <v>22</v>
      </c>
      <c r="E83" s="15">
        <v>0.74</v>
      </c>
      <c r="F83" s="15">
        <v>56.42</v>
      </c>
      <c r="G83" s="15">
        <v>32.23</v>
      </c>
      <c r="H83" s="15">
        <v>0.88</v>
      </c>
      <c r="I83" s="15">
        <v>0.68</v>
      </c>
      <c r="J83" s="15">
        <v>0.48</v>
      </c>
      <c r="K83" s="15">
        <v>0.07</v>
      </c>
      <c r="L83" s="15">
        <v>8.24</v>
      </c>
      <c r="M83" s="15" t="s">
        <v>25</v>
      </c>
    </row>
    <row r="84" ht="15.75" customHeight="1">
      <c r="A84" s="15" t="s">
        <v>529</v>
      </c>
      <c r="B84" s="15" t="s">
        <v>532</v>
      </c>
      <c r="C84" s="15">
        <v>2.0</v>
      </c>
      <c r="D84" s="15" t="s">
        <v>22</v>
      </c>
      <c r="E84" s="15">
        <v>0.75</v>
      </c>
      <c r="F84" s="15">
        <v>56.38</v>
      </c>
      <c r="G84" s="15">
        <v>31.9</v>
      </c>
      <c r="H84" s="15">
        <v>0.88</v>
      </c>
      <c r="I84" s="15">
        <v>0.7</v>
      </c>
      <c r="J84" s="15">
        <v>0.42</v>
      </c>
      <c r="K84" s="15">
        <v>0.06</v>
      </c>
      <c r="L84" s="15">
        <v>8.63</v>
      </c>
      <c r="M84" s="15" t="s">
        <v>25</v>
      </c>
    </row>
    <row r="85" ht="15.75" customHeight="1">
      <c r="A85" s="15" t="s">
        <v>534</v>
      </c>
      <c r="B85" s="15" t="s">
        <v>535</v>
      </c>
      <c r="C85" s="15">
        <v>2.0</v>
      </c>
      <c r="D85" s="15" t="s">
        <v>22</v>
      </c>
      <c r="E85" s="15">
        <v>0.76</v>
      </c>
      <c r="F85" s="15">
        <v>56.38</v>
      </c>
      <c r="G85" s="15">
        <v>31.9</v>
      </c>
      <c r="H85" s="15">
        <v>0.88</v>
      </c>
      <c r="I85" s="15">
        <v>0.7</v>
      </c>
      <c r="J85" s="15">
        <v>0.42</v>
      </c>
      <c r="K85" s="15">
        <v>0.06</v>
      </c>
      <c r="L85" s="15">
        <v>8.63</v>
      </c>
      <c r="M85" s="15" t="s">
        <v>25</v>
      </c>
    </row>
    <row r="86" ht="15.75" customHeight="1">
      <c r="A86" s="15" t="s">
        <v>541</v>
      </c>
      <c r="B86" s="15" t="s">
        <v>542</v>
      </c>
      <c r="C86" s="15">
        <v>2.0</v>
      </c>
      <c r="D86" s="15" t="s">
        <v>22</v>
      </c>
      <c r="E86" s="15">
        <v>0.86</v>
      </c>
      <c r="F86" s="15">
        <v>56.38</v>
      </c>
      <c r="G86" s="15">
        <v>32.08</v>
      </c>
      <c r="H86" s="15">
        <v>0.85</v>
      </c>
      <c r="I86" s="15">
        <v>0.69</v>
      </c>
      <c r="J86" s="15">
        <v>0.41</v>
      </c>
      <c r="K86" s="15">
        <v>0.06</v>
      </c>
      <c r="L86" s="15">
        <v>8.76</v>
      </c>
      <c r="M86" s="15" t="s">
        <v>25</v>
      </c>
    </row>
    <row r="87" ht="15.75" customHeight="1">
      <c r="A87" s="15" t="s">
        <v>400</v>
      </c>
      <c r="B87" s="15" t="s">
        <v>546</v>
      </c>
      <c r="C87" s="15">
        <v>2.0</v>
      </c>
      <c r="D87" s="15" t="s">
        <v>22</v>
      </c>
      <c r="E87" s="15">
        <v>0.86</v>
      </c>
      <c r="F87" s="15">
        <v>56.35</v>
      </c>
      <c r="G87" s="15">
        <v>31.85</v>
      </c>
      <c r="H87" s="15">
        <v>0.85</v>
      </c>
      <c r="I87" s="15">
        <v>0.7</v>
      </c>
      <c r="J87" s="15">
        <v>0.42</v>
      </c>
      <c r="K87" s="15">
        <v>0.06</v>
      </c>
      <c r="L87" s="15">
        <v>8.71</v>
      </c>
      <c r="M87" s="15" t="s">
        <v>25</v>
      </c>
    </row>
    <row r="88" ht="15.75" customHeight="1">
      <c r="A88" s="15" t="s">
        <v>17</v>
      </c>
      <c r="B88" s="15" t="s">
        <v>552</v>
      </c>
      <c r="C88" s="15">
        <v>2.0</v>
      </c>
      <c r="D88" s="15" t="s">
        <v>22</v>
      </c>
      <c r="E88" s="15">
        <v>0.85</v>
      </c>
      <c r="F88" s="15">
        <v>56.34</v>
      </c>
      <c r="G88" s="15">
        <v>32.18</v>
      </c>
      <c r="H88" s="15">
        <v>0.85</v>
      </c>
      <c r="I88" s="15">
        <v>0.68</v>
      </c>
      <c r="J88" s="15">
        <v>0.42</v>
      </c>
      <c r="K88" s="15">
        <v>0.06</v>
      </c>
      <c r="L88" s="15">
        <v>8.77</v>
      </c>
      <c r="M88" s="15" t="s">
        <v>25</v>
      </c>
    </row>
    <row r="89" ht="15.75" customHeight="1">
      <c r="A89" s="15" t="s">
        <v>558</v>
      </c>
      <c r="B89" s="15" t="s">
        <v>559</v>
      </c>
      <c r="C89" s="15">
        <v>2.0</v>
      </c>
      <c r="D89" s="15" t="s">
        <v>22</v>
      </c>
      <c r="E89" s="15">
        <v>0.86</v>
      </c>
      <c r="F89" s="15">
        <v>56.34</v>
      </c>
      <c r="G89" s="15">
        <v>32.05</v>
      </c>
      <c r="H89" s="15">
        <v>0.85</v>
      </c>
      <c r="I89" s="15">
        <v>0.69</v>
      </c>
      <c r="J89" s="15">
        <v>0.42</v>
      </c>
      <c r="K89" s="15">
        <v>0.06</v>
      </c>
      <c r="L89" s="15">
        <v>8.74</v>
      </c>
      <c r="M89" s="15" t="s">
        <v>25</v>
      </c>
    </row>
    <row r="90" ht="15.75" customHeight="1">
      <c r="A90" s="15" t="s">
        <v>565</v>
      </c>
      <c r="B90" s="15" t="s">
        <v>566</v>
      </c>
      <c r="C90" s="15">
        <v>2.0</v>
      </c>
      <c r="D90" s="15" t="s">
        <v>22</v>
      </c>
      <c r="E90" s="15">
        <v>0.69</v>
      </c>
      <c r="F90" s="15">
        <v>56.34</v>
      </c>
      <c r="G90" s="15">
        <v>32.07</v>
      </c>
      <c r="H90" s="15">
        <v>0.86</v>
      </c>
      <c r="I90" s="15">
        <v>0.69</v>
      </c>
      <c r="J90" s="15">
        <v>0.6</v>
      </c>
      <c r="K90" s="15">
        <v>0.08</v>
      </c>
      <c r="L90" s="15">
        <v>7.99</v>
      </c>
      <c r="M90" s="15" t="s">
        <v>25</v>
      </c>
    </row>
    <row r="91" ht="15.75" customHeight="1">
      <c r="A91" s="15" t="s">
        <v>570</v>
      </c>
      <c r="B91" s="15" t="s">
        <v>571</v>
      </c>
      <c r="C91" s="15">
        <v>2.0</v>
      </c>
      <c r="D91" s="15" t="s">
        <v>22</v>
      </c>
      <c r="E91" s="15">
        <v>0.86</v>
      </c>
      <c r="F91" s="15">
        <v>56.33</v>
      </c>
      <c r="G91" s="15">
        <v>31.85</v>
      </c>
      <c r="H91" s="15">
        <v>0.85</v>
      </c>
      <c r="I91" s="15">
        <v>0.7</v>
      </c>
      <c r="J91" s="15">
        <v>0.41</v>
      </c>
      <c r="K91" s="15">
        <v>0.06</v>
      </c>
      <c r="L91" s="15">
        <v>8.75</v>
      </c>
      <c r="M91" s="15" t="s">
        <v>25</v>
      </c>
    </row>
    <row r="92" ht="15.75" customHeight="1">
      <c r="A92" s="15" t="s">
        <v>407</v>
      </c>
      <c r="B92" s="15" t="s">
        <v>577</v>
      </c>
      <c r="C92" s="15">
        <v>2.0</v>
      </c>
      <c r="D92" s="15" t="s">
        <v>22</v>
      </c>
      <c r="E92" s="15">
        <v>0.86</v>
      </c>
      <c r="F92" s="15">
        <v>56.33</v>
      </c>
      <c r="G92" s="15">
        <v>32.07</v>
      </c>
      <c r="H92" s="15">
        <v>0.85</v>
      </c>
      <c r="I92" s="15">
        <v>0.69</v>
      </c>
      <c r="J92" s="15">
        <v>0.42</v>
      </c>
      <c r="K92" s="15">
        <v>0.06</v>
      </c>
      <c r="L92" s="15">
        <v>8.73</v>
      </c>
      <c r="M92" s="15" t="s">
        <v>25</v>
      </c>
    </row>
    <row r="93" ht="15.75" customHeight="1">
      <c r="A93" s="15" t="s">
        <v>583</v>
      </c>
      <c r="B93" s="15" t="s">
        <v>584</v>
      </c>
      <c r="C93" s="15">
        <v>2.0</v>
      </c>
      <c r="D93" s="15" t="s">
        <v>22</v>
      </c>
      <c r="E93" s="15">
        <v>0.79</v>
      </c>
      <c r="F93" s="15">
        <v>56.33</v>
      </c>
      <c r="G93" s="15">
        <v>32.09</v>
      </c>
      <c r="H93" s="15">
        <v>0.86</v>
      </c>
      <c r="I93" s="15">
        <v>0.69</v>
      </c>
      <c r="J93" s="15">
        <v>0.46</v>
      </c>
      <c r="K93" s="15">
        <v>0.06</v>
      </c>
      <c r="L93" s="15">
        <v>8.76</v>
      </c>
      <c r="M93" s="15" t="s">
        <v>25</v>
      </c>
    </row>
    <row r="94" ht="15.75" customHeight="1">
      <c r="A94" s="15" t="s">
        <v>590</v>
      </c>
      <c r="B94" s="15" t="s">
        <v>591</v>
      </c>
      <c r="C94" s="15">
        <v>2.0</v>
      </c>
      <c r="D94" s="15" t="s">
        <v>22</v>
      </c>
      <c r="E94" s="15">
        <v>0.85</v>
      </c>
      <c r="F94" s="15">
        <v>56.32</v>
      </c>
      <c r="G94" s="15">
        <v>32.05</v>
      </c>
      <c r="H94" s="15">
        <v>0.85</v>
      </c>
      <c r="I94" s="15">
        <v>0.69</v>
      </c>
      <c r="J94" s="15">
        <v>0.42</v>
      </c>
      <c r="K94" s="15">
        <v>0.06</v>
      </c>
      <c r="L94" s="15">
        <v>8.75</v>
      </c>
      <c r="M94" s="15" t="s">
        <v>25</v>
      </c>
    </row>
    <row r="95" ht="15.75" customHeight="1">
      <c r="A95" s="15" t="s">
        <v>597</v>
      </c>
      <c r="B95" s="15" t="s">
        <v>598</v>
      </c>
      <c r="C95" s="15">
        <v>2.0</v>
      </c>
      <c r="D95" s="15" t="s">
        <v>22</v>
      </c>
      <c r="E95" s="15">
        <v>0.85</v>
      </c>
      <c r="F95" s="15">
        <v>56.31</v>
      </c>
      <c r="G95" s="15">
        <v>31.93</v>
      </c>
      <c r="H95" s="15">
        <v>0.85</v>
      </c>
      <c r="I95" s="15">
        <v>0.69</v>
      </c>
      <c r="J95" s="15">
        <v>0.42</v>
      </c>
      <c r="K95" s="15">
        <v>0.06</v>
      </c>
      <c r="L95" s="15">
        <v>8.72</v>
      </c>
      <c r="M95" s="15" t="s">
        <v>25</v>
      </c>
    </row>
    <row r="96" ht="15.75" customHeight="1">
      <c r="A96" s="15" t="s">
        <v>445</v>
      </c>
      <c r="B96" s="15" t="s">
        <v>605</v>
      </c>
      <c r="C96" s="15">
        <v>2.0</v>
      </c>
      <c r="D96" s="15" t="s">
        <v>22</v>
      </c>
      <c r="E96" s="15">
        <v>0.86</v>
      </c>
      <c r="F96" s="15">
        <v>56.29</v>
      </c>
      <c r="G96" s="15">
        <v>32.27</v>
      </c>
      <c r="H96" s="15">
        <v>0.85</v>
      </c>
      <c r="I96" s="15">
        <v>0.68</v>
      </c>
      <c r="J96" s="15">
        <v>0.42</v>
      </c>
      <c r="K96" s="15">
        <v>0.06</v>
      </c>
      <c r="L96" s="15">
        <v>8.74</v>
      </c>
      <c r="M96" s="15" t="s">
        <v>25</v>
      </c>
    </row>
    <row r="97" ht="15.75" customHeight="1">
      <c r="A97" s="15" t="s">
        <v>611</v>
      </c>
      <c r="B97" s="15" t="s">
        <v>612</v>
      </c>
      <c r="C97" s="15">
        <v>2.0</v>
      </c>
      <c r="D97" s="15" t="s">
        <v>22</v>
      </c>
      <c r="E97" s="15">
        <v>0.86</v>
      </c>
      <c r="F97" s="15">
        <v>56.27</v>
      </c>
      <c r="G97" s="15">
        <v>32.03</v>
      </c>
      <c r="H97" s="15">
        <v>0.85</v>
      </c>
      <c r="I97" s="15">
        <v>0.69</v>
      </c>
      <c r="J97" s="15">
        <v>0.41</v>
      </c>
      <c r="K97" s="15">
        <v>0.06</v>
      </c>
      <c r="L97" s="15">
        <v>8.77</v>
      </c>
      <c r="M97" s="15" t="s">
        <v>25</v>
      </c>
    </row>
    <row r="98" ht="15.75" customHeight="1">
      <c r="A98" s="15" t="s">
        <v>618</v>
      </c>
      <c r="B98" s="15" t="s">
        <v>620</v>
      </c>
      <c r="C98" s="15">
        <v>2.0</v>
      </c>
      <c r="D98" s="15" t="s">
        <v>22</v>
      </c>
      <c r="E98" s="15">
        <v>0.8</v>
      </c>
      <c r="F98" s="15">
        <v>56.26</v>
      </c>
      <c r="G98" s="15">
        <v>32.08</v>
      </c>
      <c r="H98" s="15">
        <v>0.86</v>
      </c>
      <c r="I98" s="15">
        <v>0.69</v>
      </c>
      <c r="J98" s="15">
        <v>0.46</v>
      </c>
      <c r="K98" s="15">
        <v>0.06</v>
      </c>
      <c r="L98" s="15">
        <v>8.77</v>
      </c>
      <c r="M98" s="15" t="s">
        <v>25</v>
      </c>
    </row>
    <row r="99" ht="15.75" customHeight="1">
      <c r="A99" s="15" t="s">
        <v>625</v>
      </c>
      <c r="B99" s="15" t="s">
        <v>626</v>
      </c>
      <c r="C99" s="15">
        <v>2.0</v>
      </c>
      <c r="D99" s="15" t="s">
        <v>22</v>
      </c>
      <c r="E99" s="15">
        <v>0.85</v>
      </c>
      <c r="F99" s="15">
        <v>56.24</v>
      </c>
      <c r="G99" s="15">
        <v>32.55</v>
      </c>
      <c r="H99" s="15">
        <v>0.85</v>
      </c>
      <c r="I99" s="15">
        <v>0.67</v>
      </c>
      <c r="J99" s="15">
        <v>0.41</v>
      </c>
      <c r="K99" s="15">
        <v>0.06</v>
      </c>
      <c r="L99" s="15">
        <v>8.78</v>
      </c>
      <c r="M99" s="15" t="s">
        <v>25</v>
      </c>
    </row>
    <row r="100" ht="15.75" customHeight="1">
      <c r="A100" s="15" t="s">
        <v>471</v>
      </c>
      <c r="B100" s="15" t="s">
        <v>632</v>
      </c>
      <c r="C100" s="15">
        <v>2.0</v>
      </c>
      <c r="D100" s="15" t="s">
        <v>22</v>
      </c>
      <c r="E100" s="15">
        <v>0.86</v>
      </c>
      <c r="F100" s="15">
        <v>56.21</v>
      </c>
      <c r="G100" s="15">
        <v>32.23</v>
      </c>
      <c r="H100" s="15">
        <v>0.85</v>
      </c>
      <c r="I100" s="15">
        <v>0.68</v>
      </c>
      <c r="J100" s="15">
        <v>0.42</v>
      </c>
      <c r="K100" s="15">
        <v>0.06</v>
      </c>
      <c r="L100" s="15">
        <v>8.75</v>
      </c>
      <c r="M100" s="15" t="s">
        <v>25</v>
      </c>
    </row>
    <row r="101" ht="15.75" customHeight="1">
      <c r="A101" s="15" t="s">
        <v>637</v>
      </c>
      <c r="B101" s="15" t="s">
        <v>639</v>
      </c>
      <c r="C101" s="15">
        <v>2.0</v>
      </c>
      <c r="D101" s="15" t="s">
        <v>22</v>
      </c>
      <c r="E101" s="15">
        <v>0.79</v>
      </c>
      <c r="F101" s="15">
        <v>56.18</v>
      </c>
      <c r="G101" s="15">
        <v>32.21</v>
      </c>
      <c r="H101" s="15">
        <v>0.86</v>
      </c>
      <c r="I101" s="15">
        <v>0.68</v>
      </c>
      <c r="J101" s="15">
        <v>0.46</v>
      </c>
      <c r="K101" s="15">
        <v>0.06</v>
      </c>
      <c r="L101" s="15">
        <v>8.75</v>
      </c>
      <c r="M101" s="15" t="s">
        <v>25</v>
      </c>
    </row>
    <row r="102" ht="15.75" customHeight="1">
      <c r="A102" s="15" t="s">
        <v>642</v>
      </c>
      <c r="B102" s="15" t="s">
        <v>643</v>
      </c>
      <c r="C102" s="15">
        <v>2.0</v>
      </c>
      <c r="D102" s="15" t="s">
        <v>22</v>
      </c>
      <c r="E102" s="15">
        <v>0.86</v>
      </c>
      <c r="F102" s="15">
        <v>56.18</v>
      </c>
      <c r="G102" s="15">
        <v>32.16</v>
      </c>
      <c r="H102" s="15">
        <v>0.85</v>
      </c>
      <c r="I102" s="15">
        <v>0.68</v>
      </c>
      <c r="J102" s="15">
        <v>0.42</v>
      </c>
      <c r="K102" s="15">
        <v>0.06</v>
      </c>
      <c r="L102" s="15">
        <v>8.75</v>
      </c>
      <c r="M102" s="15" t="s">
        <v>25</v>
      </c>
    </row>
    <row r="103" ht="15.75" customHeight="1">
      <c r="A103" s="15" t="s">
        <v>645</v>
      </c>
      <c r="B103" s="15" t="s">
        <v>647</v>
      </c>
      <c r="C103" s="15">
        <v>2.0</v>
      </c>
      <c r="D103" s="15" t="s">
        <v>22</v>
      </c>
      <c r="E103" s="15">
        <v>0.86</v>
      </c>
      <c r="F103" s="15">
        <v>56.14</v>
      </c>
      <c r="G103" s="15">
        <v>32.07</v>
      </c>
      <c r="H103" s="15">
        <v>0.85</v>
      </c>
      <c r="I103" s="15">
        <v>0.69</v>
      </c>
      <c r="J103" s="15">
        <v>0.41</v>
      </c>
      <c r="K103" s="15">
        <v>0.06</v>
      </c>
      <c r="L103" s="15">
        <v>8.78</v>
      </c>
      <c r="M103" s="15" t="s">
        <v>25</v>
      </c>
    </row>
    <row r="104" ht="15.75" customHeight="1">
      <c r="A104" s="15" t="s">
        <v>651</v>
      </c>
      <c r="B104" s="15" t="s">
        <v>652</v>
      </c>
      <c r="C104" s="15">
        <v>2.0</v>
      </c>
      <c r="D104" s="15" t="s">
        <v>22</v>
      </c>
      <c r="E104" s="15">
        <v>0.78</v>
      </c>
      <c r="F104" s="15">
        <v>56.14</v>
      </c>
      <c r="G104" s="15">
        <v>31.43</v>
      </c>
      <c r="H104" s="15">
        <v>0.86</v>
      </c>
      <c r="I104" s="15">
        <v>0.71</v>
      </c>
      <c r="J104" s="15">
        <v>0.55</v>
      </c>
      <c r="K104" s="15">
        <v>0.07</v>
      </c>
      <c r="L104" s="15">
        <v>8.23</v>
      </c>
      <c r="M104" s="15" t="s">
        <v>25</v>
      </c>
    </row>
    <row r="105" ht="15.75" customHeight="1">
      <c r="A105" s="15" t="s">
        <v>657</v>
      </c>
      <c r="B105" s="15" t="s">
        <v>658</v>
      </c>
      <c r="C105" s="15">
        <v>2.0</v>
      </c>
      <c r="D105" s="15" t="s">
        <v>22</v>
      </c>
      <c r="E105" s="15">
        <v>0.81</v>
      </c>
      <c r="F105" s="15">
        <v>56.11</v>
      </c>
      <c r="G105" s="15">
        <v>31.91</v>
      </c>
      <c r="H105" s="15">
        <v>0.86</v>
      </c>
      <c r="I105" s="15">
        <v>0.69</v>
      </c>
      <c r="J105" s="15">
        <v>0.46</v>
      </c>
      <c r="K105" s="15">
        <v>0.06</v>
      </c>
      <c r="L105" s="15">
        <v>8.73</v>
      </c>
      <c r="M105" s="15" t="s">
        <v>25</v>
      </c>
    </row>
    <row r="106" ht="15.75" customHeight="1">
      <c r="A106" s="15" t="s">
        <v>665</v>
      </c>
      <c r="B106" s="15" t="s">
        <v>666</v>
      </c>
      <c r="C106" s="15">
        <v>2.0</v>
      </c>
      <c r="D106" s="15" t="s">
        <v>22</v>
      </c>
      <c r="E106" s="15">
        <v>0.79</v>
      </c>
      <c r="F106" s="15">
        <v>56.11</v>
      </c>
      <c r="G106" s="15">
        <v>31.97</v>
      </c>
      <c r="H106" s="15">
        <v>0.86</v>
      </c>
      <c r="I106" s="15">
        <v>0.69</v>
      </c>
      <c r="J106" s="15">
        <v>0.45</v>
      </c>
      <c r="K106" s="15">
        <v>0.06</v>
      </c>
      <c r="L106" s="15">
        <v>8.73</v>
      </c>
      <c r="M106" s="15" t="s">
        <v>25</v>
      </c>
    </row>
    <row r="107" ht="15.75" customHeight="1">
      <c r="A107" s="15" t="s">
        <v>671</v>
      </c>
      <c r="B107" s="15" t="s">
        <v>672</v>
      </c>
      <c r="C107" s="15">
        <v>2.0</v>
      </c>
      <c r="D107" s="15" t="s">
        <v>22</v>
      </c>
      <c r="E107" s="15">
        <v>0.79</v>
      </c>
      <c r="F107" s="15">
        <v>56.11</v>
      </c>
      <c r="G107" s="15">
        <v>32.05</v>
      </c>
      <c r="H107" s="15">
        <v>0.86</v>
      </c>
      <c r="I107" s="15">
        <v>0.69</v>
      </c>
      <c r="J107" s="15">
        <v>0.46</v>
      </c>
      <c r="K107" s="15">
        <v>0.06</v>
      </c>
      <c r="L107" s="15">
        <v>8.72</v>
      </c>
      <c r="M107" s="15" t="s">
        <v>25</v>
      </c>
    </row>
    <row r="108" ht="15.75" customHeight="1">
      <c r="A108" s="15" t="s">
        <v>676</v>
      </c>
      <c r="B108" s="15" t="s">
        <v>677</v>
      </c>
      <c r="C108" s="15">
        <v>2.0</v>
      </c>
      <c r="D108" s="15" t="s">
        <v>22</v>
      </c>
      <c r="E108" s="15">
        <v>0.8</v>
      </c>
      <c r="F108" s="15">
        <v>56.11</v>
      </c>
      <c r="G108" s="15">
        <v>32.02</v>
      </c>
      <c r="H108" s="15">
        <v>0.86</v>
      </c>
      <c r="I108" s="15">
        <v>0.69</v>
      </c>
      <c r="J108" s="15">
        <v>0.46</v>
      </c>
      <c r="K108" s="15">
        <v>0.06</v>
      </c>
      <c r="L108" s="15">
        <v>8.73</v>
      </c>
      <c r="M108" s="15" t="s">
        <v>25</v>
      </c>
    </row>
    <row r="109" ht="15.75" customHeight="1">
      <c r="A109" s="15" t="s">
        <v>681</v>
      </c>
      <c r="B109" s="15" t="s">
        <v>682</v>
      </c>
      <c r="C109" s="15">
        <v>2.0</v>
      </c>
      <c r="D109" s="15" t="s">
        <v>22</v>
      </c>
      <c r="E109" s="15">
        <v>0.79</v>
      </c>
      <c r="F109" s="15">
        <v>56.1</v>
      </c>
      <c r="G109" s="15">
        <v>31.97</v>
      </c>
      <c r="H109" s="15">
        <v>0.86</v>
      </c>
      <c r="I109" s="15">
        <v>0.69</v>
      </c>
      <c r="J109" s="15">
        <v>0.46</v>
      </c>
      <c r="K109" s="15">
        <v>0.06</v>
      </c>
      <c r="L109" s="15">
        <v>8.72</v>
      </c>
      <c r="M109" s="15" t="s">
        <v>25</v>
      </c>
    </row>
    <row r="110" ht="15.75" customHeight="1">
      <c r="A110" s="15" t="s">
        <v>687</v>
      </c>
      <c r="B110" s="15" t="s">
        <v>688</v>
      </c>
      <c r="C110" s="15">
        <v>2.0</v>
      </c>
      <c r="D110" s="15" t="s">
        <v>22</v>
      </c>
      <c r="E110" s="15">
        <v>0.79</v>
      </c>
      <c r="F110" s="15">
        <v>56.1</v>
      </c>
      <c r="G110" s="15">
        <v>32.11</v>
      </c>
      <c r="H110" s="15">
        <v>0.86</v>
      </c>
      <c r="I110" s="15">
        <v>0.68</v>
      </c>
      <c r="J110" s="15">
        <v>0.46</v>
      </c>
      <c r="K110" s="15">
        <v>0.06</v>
      </c>
      <c r="L110" s="15">
        <v>8.74</v>
      </c>
      <c r="M110" s="15" t="s">
        <v>25</v>
      </c>
    </row>
    <row r="111" ht="15.75" customHeight="1">
      <c r="A111" s="15" t="s">
        <v>692</v>
      </c>
      <c r="B111" s="15" t="s">
        <v>693</v>
      </c>
      <c r="C111" s="15">
        <v>2.0</v>
      </c>
      <c r="D111" s="15" t="s">
        <v>22</v>
      </c>
      <c r="E111" s="15">
        <v>0.8</v>
      </c>
      <c r="F111" s="15">
        <v>56.09</v>
      </c>
      <c r="G111" s="15">
        <v>31.9</v>
      </c>
      <c r="H111" s="15">
        <v>0.86</v>
      </c>
      <c r="I111" s="15">
        <v>0.69</v>
      </c>
      <c r="J111" s="15">
        <v>0.46</v>
      </c>
      <c r="K111" s="15">
        <v>0.06</v>
      </c>
      <c r="L111" s="15">
        <v>8.72</v>
      </c>
      <c r="M111" s="15" t="s">
        <v>25</v>
      </c>
    </row>
    <row r="112" ht="15.75" customHeight="1">
      <c r="A112" s="15" t="s">
        <v>697</v>
      </c>
      <c r="B112" s="15" t="s">
        <v>699</v>
      </c>
      <c r="C112" s="15">
        <v>2.0</v>
      </c>
      <c r="D112" s="15" t="s">
        <v>22</v>
      </c>
      <c r="E112" s="15">
        <v>0.79</v>
      </c>
      <c r="F112" s="15">
        <v>56.08</v>
      </c>
      <c r="G112" s="15">
        <v>32.13</v>
      </c>
      <c r="H112" s="15">
        <v>0.86</v>
      </c>
      <c r="I112" s="15">
        <v>0.68</v>
      </c>
      <c r="J112" s="15">
        <v>0.46</v>
      </c>
      <c r="K112" s="15">
        <v>0.06</v>
      </c>
      <c r="L112" s="15">
        <v>8.74</v>
      </c>
      <c r="M112" s="15" t="s">
        <v>25</v>
      </c>
    </row>
    <row r="113" ht="15.75" customHeight="1">
      <c r="A113" s="15" t="s">
        <v>523</v>
      </c>
      <c r="B113" s="15" t="s">
        <v>704</v>
      </c>
      <c r="C113" s="15">
        <v>2.0</v>
      </c>
      <c r="D113" s="15" t="s">
        <v>22</v>
      </c>
      <c r="E113" s="15">
        <v>0.78</v>
      </c>
      <c r="F113" s="15">
        <v>56.06</v>
      </c>
      <c r="G113" s="15">
        <v>31.16</v>
      </c>
      <c r="H113" s="15">
        <v>0.86</v>
      </c>
      <c r="I113" s="15">
        <v>0.73</v>
      </c>
      <c r="J113" s="15">
        <v>0.5</v>
      </c>
      <c r="K113" s="15">
        <v>0.06</v>
      </c>
      <c r="L113" s="15">
        <v>8.43</v>
      </c>
      <c r="M113" s="15" t="s">
        <v>25</v>
      </c>
    </row>
    <row r="114" ht="15.75" customHeight="1">
      <c r="A114" s="15" t="s">
        <v>709</v>
      </c>
      <c r="B114" s="15" t="s">
        <v>710</v>
      </c>
      <c r="C114" s="15">
        <v>2.0</v>
      </c>
      <c r="D114" s="15" t="s">
        <v>22</v>
      </c>
      <c r="E114" s="15">
        <v>0.79</v>
      </c>
      <c r="F114" s="15">
        <v>56.05</v>
      </c>
      <c r="G114" s="15">
        <v>32.07</v>
      </c>
      <c r="H114" s="15">
        <v>0.86</v>
      </c>
      <c r="I114" s="15">
        <v>0.69</v>
      </c>
      <c r="J114" s="15">
        <v>0.46</v>
      </c>
      <c r="K114" s="15">
        <v>0.06</v>
      </c>
      <c r="L114" s="15">
        <v>8.72</v>
      </c>
      <c r="M114" s="15" t="s">
        <v>25</v>
      </c>
    </row>
    <row r="115" ht="15.75" customHeight="1">
      <c r="A115" s="15" t="s">
        <v>715</v>
      </c>
      <c r="B115" s="15" t="s">
        <v>716</v>
      </c>
      <c r="C115" s="15">
        <v>2.0</v>
      </c>
      <c r="D115" s="15" t="s">
        <v>22</v>
      </c>
      <c r="E115" s="15">
        <v>0.81</v>
      </c>
      <c r="F115" s="15">
        <v>56.04</v>
      </c>
      <c r="G115" s="15">
        <v>32.0</v>
      </c>
      <c r="H115" s="15">
        <v>0.86</v>
      </c>
      <c r="I115" s="15">
        <v>0.69</v>
      </c>
      <c r="J115" s="15">
        <v>0.46</v>
      </c>
      <c r="K115" s="15">
        <v>0.06</v>
      </c>
      <c r="L115" s="15">
        <v>8.74</v>
      </c>
      <c r="M115" s="15" t="s">
        <v>25</v>
      </c>
    </row>
    <row r="116" ht="15.75" customHeight="1">
      <c r="A116" s="15" t="s">
        <v>719</v>
      </c>
      <c r="B116" s="15" t="s">
        <v>720</v>
      </c>
      <c r="C116" s="15">
        <v>2.0</v>
      </c>
      <c r="D116" s="15" t="s">
        <v>22</v>
      </c>
      <c r="E116" s="15">
        <v>0.82</v>
      </c>
      <c r="F116" s="15">
        <v>56.04</v>
      </c>
      <c r="G116" s="15">
        <v>31.91</v>
      </c>
      <c r="H116" s="15">
        <v>0.86</v>
      </c>
      <c r="I116" s="15">
        <v>0.69</v>
      </c>
      <c r="J116" s="15">
        <v>0.46</v>
      </c>
      <c r="K116" s="15">
        <v>0.06</v>
      </c>
      <c r="L116" s="15">
        <v>8.72</v>
      </c>
      <c r="M116" s="15" t="s">
        <v>25</v>
      </c>
    </row>
    <row r="117" ht="15.75" customHeight="1">
      <c r="A117" s="15" t="s">
        <v>723</v>
      </c>
      <c r="B117" s="15" t="s">
        <v>725</v>
      </c>
      <c r="C117" s="15">
        <v>2.0</v>
      </c>
      <c r="D117" s="15" t="s">
        <v>22</v>
      </c>
      <c r="E117" s="15">
        <v>0.81</v>
      </c>
      <c r="F117" s="15">
        <v>56.01</v>
      </c>
      <c r="G117" s="15">
        <v>31.81</v>
      </c>
      <c r="H117" s="15">
        <v>0.86</v>
      </c>
      <c r="I117" s="15">
        <v>0.7</v>
      </c>
      <c r="J117" s="15">
        <v>0.46</v>
      </c>
      <c r="K117" s="15">
        <v>0.06</v>
      </c>
      <c r="L117" s="15">
        <v>8.73</v>
      </c>
      <c r="M117" s="15" t="s">
        <v>25</v>
      </c>
    </row>
    <row r="118" ht="15.75" customHeight="1">
      <c r="A118" s="15" t="s">
        <v>730</v>
      </c>
      <c r="B118" s="15" t="s">
        <v>732</v>
      </c>
      <c r="C118" s="15">
        <v>2.0</v>
      </c>
      <c r="D118" s="15" t="s">
        <v>22</v>
      </c>
      <c r="E118" s="15">
        <v>0.86</v>
      </c>
      <c r="F118" s="15">
        <v>55.99</v>
      </c>
      <c r="G118" s="15">
        <v>31.61</v>
      </c>
      <c r="H118" s="15">
        <v>0.85</v>
      </c>
      <c r="I118" s="15">
        <v>0.7</v>
      </c>
      <c r="J118" s="15">
        <v>0.41</v>
      </c>
      <c r="K118" s="15">
        <v>0.06</v>
      </c>
      <c r="L118" s="15">
        <v>8.79</v>
      </c>
      <c r="M118" s="15" t="s">
        <v>25</v>
      </c>
    </row>
    <row r="119" ht="15.75" customHeight="1">
      <c r="A119" s="15" t="s">
        <v>593</v>
      </c>
      <c r="B119" s="15" t="s">
        <v>737</v>
      </c>
      <c r="C119" s="15">
        <v>2.0</v>
      </c>
      <c r="D119" s="15" t="s">
        <v>22</v>
      </c>
      <c r="E119" s="15">
        <v>0.85</v>
      </c>
      <c r="F119" s="15">
        <v>55.96</v>
      </c>
      <c r="G119" s="15">
        <v>31.98</v>
      </c>
      <c r="H119" s="15">
        <v>0.85</v>
      </c>
      <c r="I119" s="15">
        <v>0.69</v>
      </c>
      <c r="J119" s="15">
        <v>0.41</v>
      </c>
      <c r="K119" s="15">
        <v>0.06</v>
      </c>
      <c r="L119" s="15">
        <v>8.76</v>
      </c>
      <c r="M119" s="15" t="s">
        <v>25</v>
      </c>
    </row>
    <row r="120" ht="15.75" customHeight="1">
      <c r="A120" s="15" t="s">
        <v>743</v>
      </c>
      <c r="B120" s="15" t="s">
        <v>744</v>
      </c>
      <c r="C120" s="15">
        <v>2.0</v>
      </c>
      <c r="D120" s="15" t="s">
        <v>22</v>
      </c>
      <c r="E120" s="15">
        <v>0.79</v>
      </c>
      <c r="F120" s="15">
        <v>55.96</v>
      </c>
      <c r="G120" s="15">
        <v>32.05</v>
      </c>
      <c r="H120" s="15">
        <v>0.86</v>
      </c>
      <c r="I120" s="15">
        <v>0.68</v>
      </c>
      <c r="J120" s="15">
        <v>0.46</v>
      </c>
      <c r="K120" s="15">
        <v>0.06</v>
      </c>
      <c r="L120" s="15">
        <v>8.74</v>
      </c>
      <c r="M120" s="15" t="s">
        <v>25</v>
      </c>
    </row>
    <row r="121" ht="15.75" customHeight="1">
      <c r="A121" s="15" t="s">
        <v>515</v>
      </c>
      <c r="B121" s="15" t="s">
        <v>748</v>
      </c>
      <c r="C121" s="15">
        <v>2.0</v>
      </c>
      <c r="D121" s="15" t="s">
        <v>22</v>
      </c>
      <c r="E121" s="15">
        <v>0.76</v>
      </c>
      <c r="F121" s="15">
        <v>55.91</v>
      </c>
      <c r="G121" s="15">
        <v>33.22</v>
      </c>
      <c r="H121" s="15">
        <v>0.89</v>
      </c>
      <c r="I121" s="15">
        <v>0.64</v>
      </c>
      <c r="J121" s="15">
        <v>0.38</v>
      </c>
      <c r="K121" s="15">
        <v>0.06</v>
      </c>
      <c r="L121" s="15">
        <v>8.85</v>
      </c>
      <c r="M121" s="15" t="s">
        <v>25</v>
      </c>
    </row>
    <row r="122" ht="15.75" customHeight="1">
      <c r="A122" s="15" t="s">
        <v>753</v>
      </c>
      <c r="B122" s="15" t="s">
        <v>754</v>
      </c>
      <c r="C122" s="15">
        <v>2.0</v>
      </c>
      <c r="D122" s="15" t="s">
        <v>22</v>
      </c>
      <c r="E122" s="15">
        <v>0.8</v>
      </c>
      <c r="F122" s="15">
        <v>55.91</v>
      </c>
      <c r="G122" s="15">
        <v>32.52</v>
      </c>
      <c r="H122" s="15">
        <v>0.86</v>
      </c>
      <c r="I122" s="15">
        <v>0.66</v>
      </c>
      <c r="J122" s="15">
        <v>0.46</v>
      </c>
      <c r="K122" s="15">
        <v>0.06</v>
      </c>
      <c r="L122" s="15">
        <v>8.75</v>
      </c>
      <c r="M122" s="15" t="s">
        <v>25</v>
      </c>
    </row>
    <row r="123" ht="15.75" customHeight="1">
      <c r="A123" s="15" t="s">
        <v>759</v>
      </c>
      <c r="B123" s="15" t="s">
        <v>760</v>
      </c>
      <c r="C123" s="15">
        <v>2.0</v>
      </c>
      <c r="D123" s="15" t="s">
        <v>22</v>
      </c>
      <c r="E123" s="15">
        <v>0.86</v>
      </c>
      <c r="F123" s="15">
        <v>55.88</v>
      </c>
      <c r="G123" s="15">
        <v>32.07</v>
      </c>
      <c r="H123" s="15">
        <v>0.85</v>
      </c>
      <c r="I123" s="15">
        <v>0.68</v>
      </c>
      <c r="J123" s="15">
        <v>0.41</v>
      </c>
      <c r="K123" s="15">
        <v>0.06</v>
      </c>
      <c r="L123" s="15">
        <v>8.78</v>
      </c>
      <c r="M123" s="15" t="s">
        <v>25</v>
      </c>
    </row>
    <row r="124" ht="15.75" customHeight="1">
      <c r="A124" s="15" t="s">
        <v>349</v>
      </c>
      <c r="B124" s="15" t="s">
        <v>765</v>
      </c>
      <c r="C124" s="15">
        <v>2.0</v>
      </c>
      <c r="D124" s="15" t="s">
        <v>22</v>
      </c>
      <c r="E124" s="15">
        <v>0.86</v>
      </c>
      <c r="F124" s="15">
        <v>55.84</v>
      </c>
      <c r="G124" s="15">
        <v>32.56</v>
      </c>
      <c r="H124" s="15">
        <v>0.85</v>
      </c>
      <c r="I124" s="15">
        <v>0.66</v>
      </c>
      <c r="J124" s="15">
        <v>0.42</v>
      </c>
      <c r="K124" s="15">
        <v>0.06</v>
      </c>
      <c r="L124" s="15">
        <v>8.76</v>
      </c>
      <c r="M124" s="15" t="s">
        <v>25</v>
      </c>
    </row>
    <row r="125" ht="15.75" customHeight="1">
      <c r="A125" s="15" t="s">
        <v>271</v>
      </c>
      <c r="B125" s="15" t="s">
        <v>769</v>
      </c>
      <c r="C125" s="15">
        <v>2.0</v>
      </c>
      <c r="D125" s="15" t="s">
        <v>22</v>
      </c>
      <c r="E125" s="15">
        <v>0.86</v>
      </c>
      <c r="F125" s="15">
        <v>55.84</v>
      </c>
      <c r="G125" s="15">
        <v>31.82</v>
      </c>
      <c r="H125" s="15">
        <v>0.85</v>
      </c>
      <c r="I125" s="15">
        <v>0.69</v>
      </c>
      <c r="J125" s="15">
        <v>0.41</v>
      </c>
      <c r="K125" s="15">
        <v>0.06</v>
      </c>
      <c r="L125" s="15">
        <v>8.75</v>
      </c>
      <c r="M125" s="15" t="s">
        <v>25</v>
      </c>
    </row>
    <row r="126" ht="15.75" customHeight="1">
      <c r="A126" s="15" t="s">
        <v>775</v>
      </c>
      <c r="B126" s="15" t="s">
        <v>776</v>
      </c>
      <c r="C126" s="15">
        <v>2.0</v>
      </c>
      <c r="D126" s="15" t="s">
        <v>22</v>
      </c>
      <c r="E126" s="15">
        <v>0.85</v>
      </c>
      <c r="F126" s="15">
        <v>55.83</v>
      </c>
      <c r="G126" s="15">
        <v>32.02</v>
      </c>
      <c r="H126" s="15">
        <v>0.86</v>
      </c>
      <c r="I126" s="15">
        <v>0.68</v>
      </c>
      <c r="J126" s="15">
        <v>0.44</v>
      </c>
      <c r="K126" s="15">
        <v>0.06</v>
      </c>
      <c r="L126" s="15">
        <v>8.64</v>
      </c>
      <c r="M126" s="15" t="s">
        <v>25</v>
      </c>
    </row>
    <row r="127" ht="15.75" customHeight="1">
      <c r="A127" s="15" t="s">
        <v>700</v>
      </c>
      <c r="B127" s="15" t="s">
        <v>783</v>
      </c>
      <c r="C127" s="15">
        <v>2.0</v>
      </c>
      <c r="D127" s="15" t="s">
        <v>22</v>
      </c>
      <c r="E127" s="15">
        <v>0.75</v>
      </c>
      <c r="F127" s="15">
        <v>55.79</v>
      </c>
      <c r="G127" s="15">
        <v>32.64</v>
      </c>
      <c r="H127" s="15">
        <v>0.89</v>
      </c>
      <c r="I127" s="15">
        <v>0.66</v>
      </c>
      <c r="J127" s="15">
        <v>0.39</v>
      </c>
      <c r="K127" s="15">
        <v>0.06</v>
      </c>
      <c r="L127" s="15">
        <v>8.82</v>
      </c>
      <c r="M127" s="15" t="s">
        <v>25</v>
      </c>
    </row>
    <row r="128" ht="15.75" customHeight="1">
      <c r="A128" s="15" t="s">
        <v>221</v>
      </c>
      <c r="B128" s="15" t="s">
        <v>789</v>
      </c>
      <c r="C128" s="15">
        <v>2.0</v>
      </c>
      <c r="D128" s="15" t="s">
        <v>22</v>
      </c>
      <c r="E128" s="15">
        <v>0.65</v>
      </c>
      <c r="F128" s="15">
        <v>55.79</v>
      </c>
      <c r="G128" s="15">
        <v>31.81</v>
      </c>
      <c r="H128" s="15">
        <v>0.89</v>
      </c>
      <c r="I128" s="15">
        <v>0.69</v>
      </c>
      <c r="J128" s="15">
        <v>0.6</v>
      </c>
      <c r="K128" s="15">
        <v>0.08</v>
      </c>
      <c r="L128" s="15">
        <v>7.72</v>
      </c>
      <c r="M128" s="15" t="s">
        <v>25</v>
      </c>
    </row>
    <row r="129" ht="15.75" customHeight="1">
      <c r="A129" s="15" t="s">
        <v>510</v>
      </c>
      <c r="B129" s="15" t="s">
        <v>795</v>
      </c>
      <c r="C129" s="15">
        <v>2.0</v>
      </c>
      <c r="D129" s="15" t="s">
        <v>22</v>
      </c>
      <c r="E129" s="15">
        <v>0.76</v>
      </c>
      <c r="F129" s="15">
        <v>55.78</v>
      </c>
      <c r="G129" s="15">
        <v>33.1</v>
      </c>
      <c r="H129" s="15">
        <v>0.89</v>
      </c>
      <c r="I129" s="15">
        <v>0.64</v>
      </c>
      <c r="J129" s="15">
        <v>0.38</v>
      </c>
      <c r="K129" s="15">
        <v>0.06</v>
      </c>
      <c r="L129" s="15">
        <v>8.85</v>
      </c>
      <c r="M129" s="15" t="s">
        <v>25</v>
      </c>
    </row>
    <row r="130" ht="15.75" customHeight="1">
      <c r="A130" s="15" t="s">
        <v>739</v>
      </c>
      <c r="B130" s="15" t="s">
        <v>802</v>
      </c>
      <c r="C130" s="15">
        <v>2.0</v>
      </c>
      <c r="D130" s="15" t="s">
        <v>22</v>
      </c>
      <c r="E130" s="15">
        <v>0.77</v>
      </c>
      <c r="F130" s="15">
        <v>55.72</v>
      </c>
      <c r="G130" s="15">
        <v>33.07</v>
      </c>
      <c r="H130" s="15">
        <v>0.89</v>
      </c>
      <c r="I130" s="15">
        <v>0.64</v>
      </c>
      <c r="J130" s="15">
        <v>0.39</v>
      </c>
      <c r="K130" s="15">
        <v>0.06</v>
      </c>
      <c r="L130" s="15">
        <v>8.84</v>
      </c>
      <c r="M130" s="15" t="s">
        <v>25</v>
      </c>
    </row>
    <row r="131" ht="15.75" customHeight="1">
      <c r="A131" s="15" t="s">
        <v>804</v>
      </c>
      <c r="B131" s="15" t="s">
        <v>806</v>
      </c>
      <c r="C131" s="15">
        <v>2.0</v>
      </c>
      <c r="D131" s="15" t="s">
        <v>22</v>
      </c>
      <c r="E131" s="15">
        <v>0.83</v>
      </c>
      <c r="F131" s="15">
        <v>55.71</v>
      </c>
      <c r="G131" s="15">
        <v>32.3</v>
      </c>
      <c r="H131" s="15">
        <v>0.87</v>
      </c>
      <c r="I131" s="15">
        <v>0.67</v>
      </c>
      <c r="J131" s="15">
        <v>0.41</v>
      </c>
      <c r="K131" s="15">
        <v>0.07</v>
      </c>
      <c r="L131" s="15">
        <v>8.71</v>
      </c>
      <c r="M131" s="15" t="s">
        <v>25</v>
      </c>
    </row>
    <row r="132" ht="15.75" customHeight="1">
      <c r="A132" s="15" t="s">
        <v>811</v>
      </c>
      <c r="B132" s="15" t="s">
        <v>813</v>
      </c>
      <c r="C132" s="15">
        <v>2.0</v>
      </c>
      <c r="D132" s="15" t="s">
        <v>22</v>
      </c>
      <c r="E132" s="15">
        <v>0.84</v>
      </c>
      <c r="F132" s="15">
        <v>55.71</v>
      </c>
      <c r="G132" s="15">
        <v>32.56</v>
      </c>
      <c r="H132" s="15">
        <v>0.87</v>
      </c>
      <c r="I132" s="15">
        <v>0.66</v>
      </c>
      <c r="J132" s="15">
        <v>0.41</v>
      </c>
      <c r="K132" s="15">
        <v>0.07</v>
      </c>
      <c r="L132" s="15">
        <v>8.74</v>
      </c>
      <c r="M132" s="15" t="s">
        <v>25</v>
      </c>
    </row>
    <row r="133" ht="15.75" customHeight="1">
      <c r="A133" s="15" t="s">
        <v>372</v>
      </c>
      <c r="B133" s="15" t="s">
        <v>818</v>
      </c>
      <c r="C133" s="15">
        <v>2.0</v>
      </c>
      <c r="D133" s="15" t="s">
        <v>22</v>
      </c>
      <c r="E133" s="15">
        <v>0.66</v>
      </c>
      <c r="F133" s="15">
        <v>55.68</v>
      </c>
      <c r="G133" s="15">
        <v>32.15</v>
      </c>
      <c r="H133" s="15">
        <v>0.86</v>
      </c>
      <c r="I133" s="15">
        <v>0.68</v>
      </c>
      <c r="J133" s="15">
        <v>0.59</v>
      </c>
      <c r="K133" s="15">
        <v>0.08</v>
      </c>
      <c r="L133" s="15">
        <v>7.86</v>
      </c>
      <c r="M133" s="15" t="s">
        <v>25</v>
      </c>
    </row>
    <row r="134" ht="15.75" customHeight="1">
      <c r="A134" s="15" t="s">
        <v>822</v>
      </c>
      <c r="B134" s="15" t="s">
        <v>823</v>
      </c>
      <c r="C134" s="15">
        <v>2.0</v>
      </c>
      <c r="D134" s="15" t="s">
        <v>22</v>
      </c>
      <c r="E134" s="15">
        <v>0.78</v>
      </c>
      <c r="F134" s="15">
        <v>55.68</v>
      </c>
      <c r="G134" s="15">
        <v>31.68</v>
      </c>
      <c r="H134" s="15">
        <v>0.86</v>
      </c>
      <c r="I134" s="15">
        <v>0.7</v>
      </c>
      <c r="J134" s="15">
        <v>0.5</v>
      </c>
      <c r="K134" s="15">
        <v>0.07</v>
      </c>
      <c r="L134" s="15">
        <v>8.4</v>
      </c>
      <c r="M134" s="15" t="s">
        <v>25</v>
      </c>
    </row>
    <row r="135" ht="15.75" customHeight="1">
      <c r="A135" s="15" t="s">
        <v>770</v>
      </c>
      <c r="B135" s="15" t="s">
        <v>827</v>
      </c>
      <c r="C135" s="15">
        <v>2.0</v>
      </c>
      <c r="D135" s="15" t="s">
        <v>22</v>
      </c>
      <c r="E135" s="15">
        <v>0.76</v>
      </c>
      <c r="F135" s="15">
        <v>55.66</v>
      </c>
      <c r="G135" s="15">
        <v>33.2</v>
      </c>
      <c r="H135" s="15">
        <v>0.89</v>
      </c>
      <c r="I135" s="15">
        <v>0.63</v>
      </c>
      <c r="J135" s="15">
        <v>0.38</v>
      </c>
      <c r="K135" s="15">
        <v>0.06</v>
      </c>
      <c r="L135" s="15">
        <v>8.84</v>
      </c>
      <c r="M135" s="15" t="s">
        <v>25</v>
      </c>
    </row>
    <row r="136" ht="15.75" customHeight="1">
      <c r="A136" s="15" t="s">
        <v>726</v>
      </c>
      <c r="B136" s="15" t="s">
        <v>832</v>
      </c>
      <c r="C136" s="15">
        <v>2.0</v>
      </c>
      <c r="D136" s="15" t="s">
        <v>22</v>
      </c>
      <c r="E136" s="15">
        <v>0.75</v>
      </c>
      <c r="F136" s="15">
        <v>55.64</v>
      </c>
      <c r="G136" s="15">
        <v>32.94</v>
      </c>
      <c r="H136" s="15">
        <v>0.89</v>
      </c>
      <c r="I136" s="15">
        <v>0.64</v>
      </c>
      <c r="J136" s="15">
        <v>0.39</v>
      </c>
      <c r="K136" s="15">
        <v>0.06</v>
      </c>
      <c r="L136" s="15">
        <v>8.82</v>
      </c>
      <c r="M136" s="15" t="s">
        <v>25</v>
      </c>
    </row>
    <row r="137" ht="15.75" customHeight="1">
      <c r="A137" s="15" t="s">
        <v>458</v>
      </c>
      <c r="B137" s="15" t="s">
        <v>837</v>
      </c>
      <c r="C137" s="15">
        <v>2.0</v>
      </c>
      <c r="D137" s="15" t="s">
        <v>22</v>
      </c>
      <c r="E137" s="15">
        <v>0.77</v>
      </c>
      <c r="F137" s="15">
        <v>55.62</v>
      </c>
      <c r="G137" s="15">
        <v>33.1</v>
      </c>
      <c r="H137" s="15">
        <v>0.89</v>
      </c>
      <c r="I137" s="15">
        <v>0.64</v>
      </c>
      <c r="J137" s="15">
        <v>0.38</v>
      </c>
      <c r="K137" s="15">
        <v>0.06</v>
      </c>
      <c r="L137" s="15">
        <v>8.85</v>
      </c>
      <c r="M137" s="15" t="s">
        <v>25</v>
      </c>
    </row>
    <row r="138" ht="15.75" customHeight="1">
      <c r="A138" s="15" t="s">
        <v>685</v>
      </c>
      <c r="B138" s="15" t="s">
        <v>842</v>
      </c>
      <c r="C138" s="15">
        <v>2.0</v>
      </c>
      <c r="D138" s="15" t="s">
        <v>22</v>
      </c>
      <c r="E138" s="15">
        <v>0.76</v>
      </c>
      <c r="F138" s="15">
        <v>55.62</v>
      </c>
      <c r="G138" s="15">
        <v>32.82</v>
      </c>
      <c r="H138" s="15">
        <v>0.89</v>
      </c>
      <c r="I138" s="15">
        <v>0.65</v>
      </c>
      <c r="J138" s="15">
        <v>0.38</v>
      </c>
      <c r="K138" s="15">
        <v>0.06</v>
      </c>
      <c r="L138" s="15">
        <v>8.86</v>
      </c>
      <c r="M138" s="15" t="s">
        <v>25</v>
      </c>
    </row>
    <row r="139" ht="15.75" customHeight="1">
      <c r="A139" s="15" t="s">
        <v>344</v>
      </c>
      <c r="B139" s="15" t="s">
        <v>846</v>
      </c>
      <c r="C139" s="15">
        <v>2.0</v>
      </c>
      <c r="D139" s="15" t="s">
        <v>22</v>
      </c>
      <c r="E139" s="15">
        <v>0.76</v>
      </c>
      <c r="F139" s="15">
        <v>55.58</v>
      </c>
      <c r="G139" s="15">
        <v>33.12</v>
      </c>
      <c r="H139" s="15">
        <v>0.89</v>
      </c>
      <c r="I139" s="15">
        <v>0.64</v>
      </c>
      <c r="J139" s="15">
        <v>0.38</v>
      </c>
      <c r="K139" s="15">
        <v>0.06</v>
      </c>
      <c r="L139" s="15">
        <v>8.87</v>
      </c>
      <c r="M139" s="15" t="s">
        <v>25</v>
      </c>
    </row>
    <row r="140" ht="15.75" customHeight="1">
      <c r="A140" s="15" t="s">
        <v>850</v>
      </c>
      <c r="B140" s="15" t="s">
        <v>851</v>
      </c>
      <c r="C140" s="15">
        <v>2.0</v>
      </c>
      <c r="D140" s="15" t="s">
        <v>22</v>
      </c>
      <c r="E140" s="15">
        <v>0.82</v>
      </c>
      <c r="F140" s="15">
        <v>55.58</v>
      </c>
      <c r="G140" s="15">
        <v>31.97</v>
      </c>
      <c r="H140" s="15">
        <v>0.85</v>
      </c>
      <c r="I140" s="15">
        <v>0.68</v>
      </c>
      <c r="J140" s="15">
        <v>0.42</v>
      </c>
      <c r="K140" s="15">
        <v>0.06</v>
      </c>
      <c r="L140" s="15">
        <v>8.81</v>
      </c>
      <c r="M140" s="15" t="s">
        <v>25</v>
      </c>
    </row>
    <row r="141" ht="15.75" customHeight="1">
      <c r="A141" s="15" t="s">
        <v>87</v>
      </c>
      <c r="B141" s="15" t="s">
        <v>857</v>
      </c>
      <c r="C141" s="15">
        <v>2.0</v>
      </c>
      <c r="D141" s="15" t="s">
        <v>22</v>
      </c>
      <c r="E141" s="15">
        <v>0.8</v>
      </c>
      <c r="F141" s="15">
        <v>55.55</v>
      </c>
      <c r="G141" s="15">
        <v>31.72</v>
      </c>
      <c r="H141" s="15">
        <v>0.86</v>
      </c>
      <c r="I141" s="15">
        <v>0.69</v>
      </c>
      <c r="J141" s="15">
        <v>0.46</v>
      </c>
      <c r="K141" s="15">
        <v>0.06</v>
      </c>
      <c r="L141" s="15">
        <v>8.68</v>
      </c>
      <c r="M141" s="15" t="s">
        <v>25</v>
      </c>
    </row>
    <row r="142" ht="15.75" customHeight="1">
      <c r="A142" s="15" t="s">
        <v>521</v>
      </c>
      <c r="B142" s="15" t="s">
        <v>861</v>
      </c>
      <c r="C142" s="15">
        <v>2.0</v>
      </c>
      <c r="D142" s="15" t="s">
        <v>22</v>
      </c>
      <c r="E142" s="15">
        <v>0.82</v>
      </c>
      <c r="F142" s="15">
        <v>55.54</v>
      </c>
      <c r="G142" s="15">
        <v>31.83</v>
      </c>
      <c r="H142" s="15">
        <v>0.85</v>
      </c>
      <c r="I142" s="15">
        <v>0.69</v>
      </c>
      <c r="J142" s="15">
        <v>0.42</v>
      </c>
      <c r="K142" s="15">
        <v>0.06</v>
      </c>
      <c r="L142" s="15">
        <v>8.79</v>
      </c>
      <c r="M142" s="15" t="s">
        <v>25</v>
      </c>
    </row>
    <row r="143" ht="15.75" customHeight="1">
      <c r="A143" s="15" t="s">
        <v>864</v>
      </c>
      <c r="B143" s="15" t="s">
        <v>865</v>
      </c>
      <c r="C143" s="15">
        <v>2.0</v>
      </c>
      <c r="D143" s="15" t="s">
        <v>22</v>
      </c>
      <c r="E143" s="15">
        <v>0.83</v>
      </c>
      <c r="F143" s="15">
        <v>55.54</v>
      </c>
      <c r="G143" s="15">
        <v>31.85</v>
      </c>
      <c r="H143" s="15">
        <v>0.85</v>
      </c>
      <c r="I143" s="15">
        <v>0.69</v>
      </c>
      <c r="J143" s="15">
        <v>0.43</v>
      </c>
      <c r="K143" s="15">
        <v>0.06</v>
      </c>
      <c r="L143" s="15">
        <v>8.78</v>
      </c>
      <c r="M143" s="15" t="s">
        <v>25</v>
      </c>
    </row>
    <row r="144" ht="15.75" customHeight="1">
      <c r="A144" s="15" t="s">
        <v>41</v>
      </c>
      <c r="B144" s="15" t="s">
        <v>871</v>
      </c>
      <c r="C144" s="15">
        <v>2.0</v>
      </c>
      <c r="D144" s="15" t="s">
        <v>22</v>
      </c>
      <c r="E144" s="15">
        <v>0.4</v>
      </c>
      <c r="F144" s="15">
        <v>55.53</v>
      </c>
      <c r="G144" s="15">
        <v>31.95</v>
      </c>
      <c r="H144" s="15">
        <v>0.81</v>
      </c>
      <c r="I144" s="15">
        <v>0.68</v>
      </c>
      <c r="J144" s="15">
        <v>0.6</v>
      </c>
      <c r="K144" s="15">
        <v>0.08</v>
      </c>
      <c r="L144" s="15">
        <v>7.82</v>
      </c>
      <c r="M144" s="15" t="s">
        <v>25</v>
      </c>
    </row>
    <row r="145" ht="15.75" customHeight="1">
      <c r="A145" s="15" t="s">
        <v>877</v>
      </c>
      <c r="B145" s="15" t="s">
        <v>878</v>
      </c>
      <c r="C145" s="15">
        <v>2.0</v>
      </c>
      <c r="D145" s="15" t="s">
        <v>22</v>
      </c>
      <c r="E145" s="15">
        <v>0.78</v>
      </c>
      <c r="F145" s="15">
        <v>55.52</v>
      </c>
      <c r="G145" s="15">
        <v>31.57</v>
      </c>
      <c r="H145" s="15">
        <v>0.86</v>
      </c>
      <c r="I145" s="15">
        <v>0.7</v>
      </c>
      <c r="J145" s="15">
        <v>0.58</v>
      </c>
      <c r="K145" s="15">
        <v>0.08</v>
      </c>
      <c r="L145" s="15">
        <v>7.83</v>
      </c>
      <c r="M145" s="15" t="s">
        <v>25</v>
      </c>
    </row>
    <row r="146" ht="15.75" customHeight="1">
      <c r="A146" s="15" t="s">
        <v>881</v>
      </c>
      <c r="B146" s="15" t="s">
        <v>882</v>
      </c>
      <c r="C146" s="15">
        <v>2.0</v>
      </c>
      <c r="D146" s="15" t="s">
        <v>22</v>
      </c>
      <c r="E146" s="15">
        <v>0.82</v>
      </c>
      <c r="F146" s="15">
        <v>55.52</v>
      </c>
      <c r="G146" s="15">
        <v>31.73</v>
      </c>
      <c r="H146" s="15">
        <v>0.85</v>
      </c>
      <c r="I146" s="15">
        <v>0.69</v>
      </c>
      <c r="J146" s="15">
        <v>0.45</v>
      </c>
      <c r="K146" s="15">
        <v>0.06</v>
      </c>
      <c r="L146" s="15">
        <v>8.69</v>
      </c>
      <c r="M146" s="15" t="s">
        <v>25</v>
      </c>
    </row>
    <row r="147" ht="15.75" customHeight="1">
      <c r="A147" s="15" t="s">
        <v>887</v>
      </c>
      <c r="B147" s="15" t="s">
        <v>888</v>
      </c>
      <c r="C147" s="15">
        <v>2.0</v>
      </c>
      <c r="D147" s="15" t="s">
        <v>22</v>
      </c>
      <c r="E147" s="15">
        <v>0.82</v>
      </c>
      <c r="F147" s="15">
        <v>55.52</v>
      </c>
      <c r="G147" s="15">
        <v>31.83</v>
      </c>
      <c r="H147" s="15">
        <v>0.85</v>
      </c>
      <c r="I147" s="15">
        <v>0.69</v>
      </c>
      <c r="J147" s="15">
        <v>0.42</v>
      </c>
      <c r="K147" s="15">
        <v>0.06</v>
      </c>
      <c r="L147" s="15">
        <v>8.79</v>
      </c>
      <c r="M147" s="15" t="s">
        <v>25</v>
      </c>
    </row>
    <row r="148" ht="15.75" customHeight="1">
      <c r="A148" s="15" t="s">
        <v>452</v>
      </c>
      <c r="B148" s="15" t="s">
        <v>893</v>
      </c>
      <c r="C148" s="15">
        <v>2.0</v>
      </c>
      <c r="D148" s="15" t="s">
        <v>22</v>
      </c>
      <c r="E148" s="15">
        <v>0.76</v>
      </c>
      <c r="F148" s="15">
        <v>55.5</v>
      </c>
      <c r="G148" s="15">
        <v>33.08</v>
      </c>
      <c r="H148" s="15">
        <v>0.89</v>
      </c>
      <c r="I148" s="15">
        <v>0.64</v>
      </c>
      <c r="J148" s="15">
        <v>0.38</v>
      </c>
      <c r="K148" s="15">
        <v>0.06</v>
      </c>
      <c r="L148" s="15">
        <v>8.87</v>
      </c>
      <c r="M148" s="15" t="s">
        <v>25</v>
      </c>
    </row>
    <row r="149" ht="15.75" customHeight="1">
      <c r="A149" s="15" t="s">
        <v>583</v>
      </c>
      <c r="B149" s="15" t="s">
        <v>897</v>
      </c>
      <c r="C149" s="15">
        <v>2.0</v>
      </c>
      <c r="D149" s="15" t="s">
        <v>22</v>
      </c>
      <c r="E149" s="15">
        <v>0.61</v>
      </c>
      <c r="F149" s="15">
        <v>55.5</v>
      </c>
      <c r="G149" s="15">
        <v>32.49</v>
      </c>
      <c r="H149" s="15">
        <v>0.89</v>
      </c>
      <c r="I149" s="15">
        <v>0.66</v>
      </c>
      <c r="J149" s="15">
        <v>0.54</v>
      </c>
      <c r="K149" s="15">
        <v>0.08</v>
      </c>
      <c r="L149" s="15">
        <v>8.04</v>
      </c>
      <c r="M149" s="15" t="s">
        <v>25</v>
      </c>
    </row>
    <row r="150" ht="15.75" customHeight="1">
      <c r="A150" s="15" t="s">
        <v>900</v>
      </c>
      <c r="B150" s="15" t="s">
        <v>902</v>
      </c>
      <c r="C150" s="15">
        <v>2.0</v>
      </c>
      <c r="D150" s="15" t="s">
        <v>22</v>
      </c>
      <c r="E150" s="15">
        <v>0.83</v>
      </c>
      <c r="F150" s="15">
        <v>55.5</v>
      </c>
      <c r="G150" s="15">
        <v>31.67</v>
      </c>
      <c r="H150" s="15">
        <v>0.85</v>
      </c>
      <c r="I150" s="15">
        <v>0.7</v>
      </c>
      <c r="J150" s="15">
        <v>0.42</v>
      </c>
      <c r="K150" s="15">
        <v>0.06</v>
      </c>
      <c r="L150" s="15">
        <v>8.79</v>
      </c>
      <c r="M150" s="15" t="s">
        <v>25</v>
      </c>
    </row>
    <row r="151" ht="15.75" customHeight="1">
      <c r="A151" s="15" t="s">
        <v>905</v>
      </c>
      <c r="B151" s="15" t="s">
        <v>907</v>
      </c>
      <c r="C151" s="15">
        <v>2.0</v>
      </c>
      <c r="D151" s="15" t="s">
        <v>22</v>
      </c>
      <c r="E151" s="15">
        <v>0.72</v>
      </c>
      <c r="F151" s="15">
        <v>55.5</v>
      </c>
      <c r="G151" s="15">
        <v>32.38</v>
      </c>
      <c r="H151" s="15">
        <v>0.88</v>
      </c>
      <c r="I151" s="15">
        <v>0.67</v>
      </c>
      <c r="J151" s="15">
        <v>0.57</v>
      </c>
      <c r="K151" s="15">
        <v>0.08</v>
      </c>
      <c r="L151" s="15">
        <v>8.16</v>
      </c>
      <c r="M151" s="15" t="s">
        <v>25</v>
      </c>
    </row>
    <row r="152" ht="15.75" customHeight="1">
      <c r="A152" s="15" t="s">
        <v>909</v>
      </c>
      <c r="B152" s="15" t="s">
        <v>910</v>
      </c>
      <c r="C152" s="15">
        <v>2.0</v>
      </c>
      <c r="D152" s="15" t="s">
        <v>22</v>
      </c>
      <c r="E152" s="15">
        <v>0.82</v>
      </c>
      <c r="F152" s="15">
        <v>55.47</v>
      </c>
      <c r="G152" s="15">
        <v>31.78</v>
      </c>
      <c r="H152" s="15">
        <v>0.85</v>
      </c>
      <c r="I152" s="15">
        <v>0.69</v>
      </c>
      <c r="J152" s="15">
        <v>0.43</v>
      </c>
      <c r="K152" s="15">
        <v>0.06</v>
      </c>
      <c r="L152" s="15">
        <v>8.78</v>
      </c>
      <c r="M152" s="15" t="s">
        <v>25</v>
      </c>
    </row>
    <row r="153" ht="15.75" customHeight="1">
      <c r="A153" s="15" t="s">
        <v>659</v>
      </c>
      <c r="B153" s="15" t="s">
        <v>914</v>
      </c>
      <c r="C153" s="15">
        <v>2.0</v>
      </c>
      <c r="D153" s="15" t="s">
        <v>22</v>
      </c>
      <c r="E153" s="15">
        <v>0.76</v>
      </c>
      <c r="F153" s="15">
        <v>55.46</v>
      </c>
      <c r="G153" s="15">
        <v>33.32</v>
      </c>
      <c r="H153" s="15">
        <v>0.89</v>
      </c>
      <c r="I153" s="15">
        <v>0.63</v>
      </c>
      <c r="J153" s="15">
        <v>0.38</v>
      </c>
      <c r="K153" s="15">
        <v>0.06</v>
      </c>
      <c r="L153" s="15">
        <v>8.87</v>
      </c>
      <c r="M153" s="15" t="s">
        <v>25</v>
      </c>
    </row>
    <row r="154" ht="15.75" customHeight="1">
      <c r="A154" s="15" t="s">
        <v>711</v>
      </c>
      <c r="B154" s="15" t="s">
        <v>918</v>
      </c>
      <c r="C154" s="15">
        <v>2.0</v>
      </c>
      <c r="D154" s="15" t="s">
        <v>22</v>
      </c>
      <c r="E154" s="15">
        <v>0.76</v>
      </c>
      <c r="F154" s="15">
        <v>55.46</v>
      </c>
      <c r="G154" s="15">
        <v>33.0</v>
      </c>
      <c r="H154" s="15">
        <v>0.89</v>
      </c>
      <c r="I154" s="15">
        <v>0.64</v>
      </c>
      <c r="J154" s="15">
        <v>0.38</v>
      </c>
      <c r="K154" s="15">
        <v>0.06</v>
      </c>
      <c r="L154" s="15">
        <v>8.84</v>
      </c>
      <c r="M154" s="15" t="s">
        <v>25</v>
      </c>
    </row>
    <row r="155" ht="15.75" customHeight="1">
      <c r="A155" s="15" t="s">
        <v>924</v>
      </c>
      <c r="B155" s="15" t="s">
        <v>926</v>
      </c>
      <c r="C155" s="15">
        <v>2.0</v>
      </c>
      <c r="D155" s="15" t="s">
        <v>22</v>
      </c>
      <c r="E155" s="15">
        <v>0.83</v>
      </c>
      <c r="F155" s="15">
        <v>55.45</v>
      </c>
      <c r="G155" s="15">
        <v>32.44</v>
      </c>
      <c r="H155" s="15">
        <v>0.87</v>
      </c>
      <c r="I155" s="15">
        <v>0.66</v>
      </c>
      <c r="J155" s="15">
        <v>0.41</v>
      </c>
      <c r="K155" s="15">
        <v>0.07</v>
      </c>
      <c r="L155" s="15">
        <v>8.72</v>
      </c>
      <c r="M155" s="15" t="s">
        <v>25</v>
      </c>
    </row>
    <row r="156" ht="15.75" customHeight="1">
      <c r="A156" s="15" t="s">
        <v>237</v>
      </c>
      <c r="B156" s="15" t="s">
        <v>930</v>
      </c>
      <c r="C156" s="15">
        <v>2.0</v>
      </c>
      <c r="D156" s="15" t="s">
        <v>22</v>
      </c>
      <c r="E156" s="15">
        <v>0.82</v>
      </c>
      <c r="F156" s="15">
        <v>55.45</v>
      </c>
      <c r="G156" s="15">
        <v>31.78</v>
      </c>
      <c r="H156" s="15">
        <v>0.85</v>
      </c>
      <c r="I156" s="15">
        <v>0.69</v>
      </c>
      <c r="J156" s="15">
        <v>0.43</v>
      </c>
      <c r="K156" s="15">
        <v>0.06</v>
      </c>
      <c r="L156" s="15">
        <v>8.79</v>
      </c>
      <c r="M156" s="15" t="s">
        <v>25</v>
      </c>
    </row>
    <row r="157" ht="15.75" customHeight="1">
      <c r="A157" s="15" t="s">
        <v>211</v>
      </c>
      <c r="B157" s="15" t="s">
        <v>935</v>
      </c>
      <c r="C157" s="15">
        <v>2.0</v>
      </c>
      <c r="D157" s="15" t="s">
        <v>22</v>
      </c>
      <c r="E157" s="15">
        <v>0.82</v>
      </c>
      <c r="F157" s="15">
        <v>55.44</v>
      </c>
      <c r="G157" s="15">
        <v>31.78</v>
      </c>
      <c r="H157" s="15">
        <v>0.85</v>
      </c>
      <c r="I157" s="15">
        <v>0.69</v>
      </c>
      <c r="J157" s="15">
        <v>0.43</v>
      </c>
      <c r="K157" s="15">
        <v>0.06</v>
      </c>
      <c r="L157" s="15">
        <v>8.79</v>
      </c>
      <c r="M157" s="15" t="s">
        <v>25</v>
      </c>
    </row>
    <row r="158" ht="15.75" customHeight="1">
      <c r="A158" s="15" t="s">
        <v>178</v>
      </c>
      <c r="B158" s="15" t="s">
        <v>940</v>
      </c>
      <c r="C158" s="15">
        <v>2.0</v>
      </c>
      <c r="D158" s="15" t="s">
        <v>22</v>
      </c>
      <c r="E158" s="15">
        <v>0.81</v>
      </c>
      <c r="F158" s="15">
        <v>55.44</v>
      </c>
      <c r="G158" s="15">
        <v>31.83</v>
      </c>
      <c r="H158" s="15">
        <v>0.85</v>
      </c>
      <c r="I158" s="15">
        <v>0.69</v>
      </c>
      <c r="J158" s="15">
        <v>0.43</v>
      </c>
      <c r="K158" s="15">
        <v>0.06</v>
      </c>
      <c r="L158" s="15">
        <v>8.8</v>
      </c>
      <c r="M158" s="15" t="s">
        <v>25</v>
      </c>
    </row>
    <row r="159" ht="15.75" customHeight="1">
      <c r="A159" s="15" t="s">
        <v>153</v>
      </c>
      <c r="B159" s="15" t="s">
        <v>945</v>
      </c>
      <c r="C159" s="15">
        <v>2.0</v>
      </c>
      <c r="D159" s="15" t="s">
        <v>22</v>
      </c>
      <c r="E159" s="15">
        <v>0.83</v>
      </c>
      <c r="F159" s="15">
        <v>55.43</v>
      </c>
      <c r="G159" s="15">
        <v>31.83</v>
      </c>
      <c r="H159" s="15">
        <v>0.85</v>
      </c>
      <c r="I159" s="15">
        <v>0.69</v>
      </c>
      <c r="J159" s="15">
        <v>0.43</v>
      </c>
      <c r="K159" s="15">
        <v>0.06</v>
      </c>
      <c r="L159" s="15">
        <v>8.78</v>
      </c>
      <c r="M159" s="15" t="s">
        <v>25</v>
      </c>
    </row>
    <row r="160" ht="15.75" customHeight="1">
      <c r="A160" s="15" t="s">
        <v>952</v>
      </c>
      <c r="B160" s="15" t="s">
        <v>953</v>
      </c>
      <c r="C160" s="15">
        <v>2.0</v>
      </c>
      <c r="D160" s="15" t="s">
        <v>22</v>
      </c>
      <c r="E160" s="15">
        <v>0.81</v>
      </c>
      <c r="F160" s="15">
        <v>55.41</v>
      </c>
      <c r="G160" s="15">
        <v>31.63</v>
      </c>
      <c r="H160" s="15">
        <v>0.86</v>
      </c>
      <c r="I160" s="15">
        <v>0.7</v>
      </c>
      <c r="J160" s="15">
        <v>0.5</v>
      </c>
      <c r="K160" s="15">
        <v>0.07</v>
      </c>
      <c r="L160" s="15">
        <v>8.26</v>
      </c>
      <c r="M160" s="15" t="s">
        <v>25</v>
      </c>
    </row>
    <row r="161" ht="15.75" customHeight="1">
      <c r="A161" s="15" t="s">
        <v>230</v>
      </c>
      <c r="B161" s="15" t="s">
        <v>958</v>
      </c>
      <c r="C161" s="15">
        <v>2.0</v>
      </c>
      <c r="D161" s="15" t="s">
        <v>22</v>
      </c>
      <c r="E161" s="15">
        <v>0.83</v>
      </c>
      <c r="F161" s="15">
        <v>55.41</v>
      </c>
      <c r="G161" s="15">
        <v>31.68</v>
      </c>
      <c r="H161" s="15">
        <v>0.85</v>
      </c>
      <c r="I161" s="15">
        <v>0.69</v>
      </c>
      <c r="J161" s="15">
        <v>0.43</v>
      </c>
      <c r="K161" s="15">
        <v>0.06</v>
      </c>
      <c r="L161" s="15">
        <v>8.76</v>
      </c>
      <c r="M161" s="15" t="s">
        <v>25</v>
      </c>
    </row>
    <row r="162" ht="15.75" customHeight="1">
      <c r="A162" s="15" t="s">
        <v>963</v>
      </c>
      <c r="B162" s="15" t="s">
        <v>964</v>
      </c>
      <c r="C162" s="15">
        <v>2.0</v>
      </c>
      <c r="D162" s="15" t="s">
        <v>22</v>
      </c>
      <c r="E162" s="15">
        <v>0.83</v>
      </c>
      <c r="F162" s="15">
        <v>55.41</v>
      </c>
      <c r="G162" s="15">
        <v>31.83</v>
      </c>
      <c r="H162" s="15">
        <v>0.85</v>
      </c>
      <c r="I162" s="15">
        <v>0.69</v>
      </c>
      <c r="J162" s="15">
        <v>0.43</v>
      </c>
      <c r="K162" s="15">
        <v>0.06</v>
      </c>
      <c r="L162" s="15">
        <v>8.79</v>
      </c>
      <c r="M162" s="15" t="s">
        <v>25</v>
      </c>
    </row>
    <row r="163" ht="15.75" customHeight="1">
      <c r="A163" s="15" t="s">
        <v>969</v>
      </c>
      <c r="B163" s="15" t="s">
        <v>970</v>
      </c>
      <c r="C163" s="15">
        <v>2.0</v>
      </c>
      <c r="D163" s="15" t="s">
        <v>22</v>
      </c>
      <c r="E163" s="15">
        <v>0.74</v>
      </c>
      <c r="F163" s="15">
        <v>55.4</v>
      </c>
      <c r="G163" s="15">
        <v>31.78</v>
      </c>
      <c r="H163" s="15">
        <v>0.89</v>
      </c>
      <c r="I163" s="15">
        <v>0.69</v>
      </c>
      <c r="J163" s="15">
        <v>0.45</v>
      </c>
      <c r="K163" s="15">
        <v>0.06</v>
      </c>
      <c r="L163" s="15">
        <v>8.4</v>
      </c>
      <c r="M163" s="15" t="s">
        <v>25</v>
      </c>
    </row>
    <row r="164" ht="15.75" customHeight="1">
      <c r="A164" s="15" t="s">
        <v>974</v>
      </c>
      <c r="B164" s="15" t="s">
        <v>975</v>
      </c>
      <c r="C164" s="15">
        <v>2.0</v>
      </c>
      <c r="D164" s="15" t="s">
        <v>22</v>
      </c>
      <c r="E164" s="15">
        <v>0.74</v>
      </c>
      <c r="F164" s="15">
        <v>55.4</v>
      </c>
      <c r="G164" s="15">
        <v>31.78</v>
      </c>
      <c r="H164" s="15">
        <v>0.89</v>
      </c>
      <c r="I164" s="15">
        <v>0.69</v>
      </c>
      <c r="J164" s="15">
        <v>0.44</v>
      </c>
      <c r="K164" s="15">
        <v>0.06</v>
      </c>
      <c r="L164" s="15">
        <v>8.43</v>
      </c>
      <c r="M164" s="15" t="s">
        <v>25</v>
      </c>
    </row>
    <row r="165" ht="15.75" customHeight="1">
      <c r="A165" s="15" t="s">
        <v>979</v>
      </c>
      <c r="B165" s="15" t="s">
        <v>980</v>
      </c>
      <c r="C165" s="15">
        <v>2.0</v>
      </c>
      <c r="D165" s="15" t="s">
        <v>22</v>
      </c>
      <c r="E165" s="15">
        <v>0.84</v>
      </c>
      <c r="F165" s="15">
        <v>55.39</v>
      </c>
      <c r="G165" s="15">
        <v>32.37</v>
      </c>
      <c r="H165" s="15">
        <v>0.87</v>
      </c>
      <c r="I165" s="15">
        <v>0.66</v>
      </c>
      <c r="J165" s="15">
        <v>0.41</v>
      </c>
      <c r="K165" s="15">
        <v>0.07</v>
      </c>
      <c r="L165" s="15">
        <v>8.72</v>
      </c>
      <c r="M165" s="15" t="s">
        <v>25</v>
      </c>
    </row>
    <row r="166" ht="15.75" customHeight="1">
      <c r="A166" s="15" t="s">
        <v>985</v>
      </c>
      <c r="B166" s="15" t="s">
        <v>986</v>
      </c>
      <c r="C166" s="15">
        <v>2.0</v>
      </c>
      <c r="D166" s="15" t="s">
        <v>22</v>
      </c>
      <c r="E166" s="15">
        <v>0.82</v>
      </c>
      <c r="F166" s="15">
        <v>55.38</v>
      </c>
      <c r="G166" s="15">
        <v>31.83</v>
      </c>
      <c r="H166" s="15">
        <v>0.85</v>
      </c>
      <c r="I166" s="15">
        <v>0.69</v>
      </c>
      <c r="J166" s="15">
        <v>0.43</v>
      </c>
      <c r="K166" s="15">
        <v>0.06</v>
      </c>
      <c r="L166" s="15">
        <v>8.8</v>
      </c>
      <c r="M166" s="15" t="s">
        <v>25</v>
      </c>
    </row>
    <row r="167" ht="15.75" customHeight="1">
      <c r="A167" s="15" t="s">
        <v>991</v>
      </c>
      <c r="B167" s="15" t="s">
        <v>992</v>
      </c>
      <c r="C167" s="15">
        <v>2.0</v>
      </c>
      <c r="D167" s="15" t="s">
        <v>22</v>
      </c>
      <c r="E167" s="15">
        <v>0.83</v>
      </c>
      <c r="F167" s="15">
        <v>55.37</v>
      </c>
      <c r="G167" s="15">
        <v>31.85</v>
      </c>
      <c r="H167" s="15">
        <v>0.85</v>
      </c>
      <c r="I167" s="15">
        <v>0.69</v>
      </c>
      <c r="J167" s="15">
        <v>0.43</v>
      </c>
      <c r="K167" s="15">
        <v>0.06</v>
      </c>
      <c r="L167" s="15">
        <v>8.78</v>
      </c>
      <c r="M167" s="15" t="s">
        <v>25</v>
      </c>
    </row>
    <row r="168" ht="15.75" customHeight="1">
      <c r="A168" s="15" t="s">
        <v>997</v>
      </c>
      <c r="B168" s="15" t="s">
        <v>998</v>
      </c>
      <c r="C168" s="15">
        <v>2.0</v>
      </c>
      <c r="D168" s="15" t="s">
        <v>22</v>
      </c>
      <c r="E168" s="15">
        <v>0.74</v>
      </c>
      <c r="F168" s="15">
        <v>55.37</v>
      </c>
      <c r="G168" s="15">
        <v>31.74</v>
      </c>
      <c r="H168" s="15">
        <v>0.89</v>
      </c>
      <c r="I168" s="15">
        <v>0.69</v>
      </c>
      <c r="J168" s="15">
        <v>0.44</v>
      </c>
      <c r="K168" s="15">
        <v>0.06</v>
      </c>
      <c r="L168" s="15">
        <v>8.46</v>
      </c>
      <c r="M168" s="15" t="s">
        <v>25</v>
      </c>
    </row>
    <row r="169" ht="15.75" customHeight="1">
      <c r="A169" s="15" t="s">
        <v>163</v>
      </c>
      <c r="B169" s="15" t="s">
        <v>1003</v>
      </c>
      <c r="C169" s="15">
        <v>2.0</v>
      </c>
      <c r="D169" s="15" t="s">
        <v>22</v>
      </c>
      <c r="E169" s="15">
        <v>0.82</v>
      </c>
      <c r="F169" s="15">
        <v>55.37</v>
      </c>
      <c r="G169" s="15">
        <v>31.78</v>
      </c>
      <c r="H169" s="15">
        <v>0.85</v>
      </c>
      <c r="I169" s="15">
        <v>0.69</v>
      </c>
      <c r="J169" s="15">
        <v>0.43</v>
      </c>
      <c r="K169" s="15">
        <v>0.06</v>
      </c>
      <c r="L169" s="15">
        <v>8.79</v>
      </c>
      <c r="M169" s="15" t="s">
        <v>25</v>
      </c>
    </row>
    <row r="170" ht="15.75" customHeight="1">
      <c r="A170" s="15" t="s">
        <v>1008</v>
      </c>
      <c r="B170" s="15" t="s">
        <v>1009</v>
      </c>
      <c r="C170" s="15">
        <v>2.0</v>
      </c>
      <c r="D170" s="15" t="s">
        <v>22</v>
      </c>
      <c r="E170" s="15">
        <v>0.78</v>
      </c>
      <c r="F170" s="15">
        <v>55.37</v>
      </c>
      <c r="G170" s="15">
        <v>31.65</v>
      </c>
      <c r="H170" s="15">
        <v>0.86</v>
      </c>
      <c r="I170" s="15">
        <v>0.69</v>
      </c>
      <c r="J170" s="15">
        <v>0.5</v>
      </c>
      <c r="K170" s="15">
        <v>0.07</v>
      </c>
      <c r="L170" s="15">
        <v>8.28</v>
      </c>
      <c r="M170" s="15" t="s">
        <v>25</v>
      </c>
    </row>
    <row r="171" ht="15.75" customHeight="1">
      <c r="A171" s="15" t="s">
        <v>188</v>
      </c>
      <c r="B171" s="15" t="s">
        <v>1015</v>
      </c>
      <c r="C171" s="15">
        <v>2.0</v>
      </c>
      <c r="D171" s="15" t="s">
        <v>22</v>
      </c>
      <c r="E171" s="15">
        <v>0.83</v>
      </c>
      <c r="F171" s="15">
        <v>55.36</v>
      </c>
      <c r="G171" s="15">
        <v>31.83</v>
      </c>
      <c r="H171" s="15">
        <v>0.85</v>
      </c>
      <c r="I171" s="15">
        <v>0.69</v>
      </c>
      <c r="J171" s="15">
        <v>0.43</v>
      </c>
      <c r="K171" s="15">
        <v>0.06</v>
      </c>
      <c r="L171" s="15">
        <v>8.78</v>
      </c>
      <c r="M171" s="15" t="s">
        <v>25</v>
      </c>
    </row>
    <row r="172" ht="15.75" customHeight="1">
      <c r="A172" s="15" t="s">
        <v>206</v>
      </c>
      <c r="B172" s="15" t="s">
        <v>1021</v>
      </c>
      <c r="C172" s="15">
        <v>2.0</v>
      </c>
      <c r="D172" s="15" t="s">
        <v>22</v>
      </c>
      <c r="E172" s="15">
        <v>0.83</v>
      </c>
      <c r="F172" s="15">
        <v>55.36</v>
      </c>
      <c r="G172" s="15">
        <v>31.73</v>
      </c>
      <c r="H172" s="15">
        <v>0.85</v>
      </c>
      <c r="I172" s="15">
        <v>0.69</v>
      </c>
      <c r="J172" s="15">
        <v>0.43</v>
      </c>
      <c r="K172" s="15">
        <v>0.06</v>
      </c>
      <c r="L172" s="15">
        <v>8.79</v>
      </c>
      <c r="M172" s="15" t="s">
        <v>25</v>
      </c>
    </row>
    <row r="173" ht="15.75" customHeight="1">
      <c r="A173" s="15" t="s">
        <v>1026</v>
      </c>
      <c r="B173" s="15" t="s">
        <v>1028</v>
      </c>
      <c r="C173" s="15">
        <v>2.0</v>
      </c>
      <c r="D173" s="15" t="s">
        <v>22</v>
      </c>
      <c r="E173" s="15">
        <v>0.74</v>
      </c>
      <c r="F173" s="15">
        <v>55.33</v>
      </c>
      <c r="G173" s="15">
        <v>31.88</v>
      </c>
      <c r="H173" s="15">
        <v>0.89</v>
      </c>
      <c r="I173" s="15">
        <v>0.68</v>
      </c>
      <c r="J173" s="15">
        <v>0.44</v>
      </c>
      <c r="K173" s="15">
        <v>0.06</v>
      </c>
      <c r="L173" s="15">
        <v>8.45</v>
      </c>
      <c r="M173" s="15" t="s">
        <v>25</v>
      </c>
    </row>
    <row r="174" ht="15.75" customHeight="1">
      <c r="A174" s="15" t="s">
        <v>1031</v>
      </c>
      <c r="B174" s="15" t="s">
        <v>1033</v>
      </c>
      <c r="C174" s="15">
        <v>2.0</v>
      </c>
      <c r="D174" s="15" t="s">
        <v>22</v>
      </c>
      <c r="E174" s="15">
        <v>0.74</v>
      </c>
      <c r="F174" s="15">
        <v>55.32</v>
      </c>
      <c r="G174" s="15">
        <v>31.74</v>
      </c>
      <c r="H174" s="15">
        <v>0.89</v>
      </c>
      <c r="I174" s="15">
        <v>0.69</v>
      </c>
      <c r="J174" s="15">
        <v>0.44</v>
      </c>
      <c r="K174" s="15">
        <v>0.06</v>
      </c>
      <c r="L174" s="15">
        <v>8.45</v>
      </c>
      <c r="M174" s="15" t="s">
        <v>25</v>
      </c>
    </row>
    <row r="175" ht="15.75" customHeight="1">
      <c r="A175" s="15" t="s">
        <v>1037</v>
      </c>
      <c r="B175" s="15" t="s">
        <v>1039</v>
      </c>
      <c r="C175" s="15">
        <v>2.0</v>
      </c>
      <c r="D175" s="15" t="s">
        <v>22</v>
      </c>
      <c r="E175" s="15">
        <v>0.79</v>
      </c>
      <c r="F175" s="15">
        <v>55.32</v>
      </c>
      <c r="G175" s="15">
        <v>31.56</v>
      </c>
      <c r="H175" s="15">
        <v>0.86</v>
      </c>
      <c r="I175" s="15">
        <v>0.7</v>
      </c>
      <c r="J175" s="15">
        <v>0.61</v>
      </c>
      <c r="K175" s="15">
        <v>0.08</v>
      </c>
      <c r="L175" s="15">
        <v>7.72</v>
      </c>
      <c r="M175" s="15" t="s">
        <v>25</v>
      </c>
    </row>
    <row r="176" ht="15.75" customHeight="1">
      <c r="A176" s="15" t="s">
        <v>128</v>
      </c>
      <c r="B176" s="15" t="s">
        <v>1043</v>
      </c>
      <c r="C176" s="15">
        <v>2.0</v>
      </c>
      <c r="D176" s="15" t="s">
        <v>22</v>
      </c>
      <c r="E176" s="15">
        <v>0.83</v>
      </c>
      <c r="F176" s="15">
        <v>55.31</v>
      </c>
      <c r="G176" s="15">
        <v>31.83</v>
      </c>
      <c r="H176" s="15">
        <v>0.85</v>
      </c>
      <c r="I176" s="15">
        <v>0.69</v>
      </c>
      <c r="J176" s="15">
        <v>0.43</v>
      </c>
      <c r="K176" s="15">
        <v>0.06</v>
      </c>
      <c r="L176" s="15">
        <v>8.78</v>
      </c>
      <c r="M176" s="15" t="s">
        <v>25</v>
      </c>
    </row>
    <row r="177" ht="15.75" customHeight="1">
      <c r="A177" s="15" t="s">
        <v>1048</v>
      </c>
      <c r="B177" s="15" t="s">
        <v>1049</v>
      </c>
      <c r="C177" s="15">
        <v>2.0</v>
      </c>
      <c r="D177" s="15" t="s">
        <v>22</v>
      </c>
      <c r="E177" s="15">
        <v>0.84</v>
      </c>
      <c r="F177" s="15">
        <v>55.3</v>
      </c>
      <c r="G177" s="15">
        <v>32.32</v>
      </c>
      <c r="H177" s="15">
        <v>0.87</v>
      </c>
      <c r="I177" s="15">
        <v>0.67</v>
      </c>
      <c r="J177" s="15">
        <v>0.41</v>
      </c>
      <c r="K177" s="15">
        <v>0.07</v>
      </c>
      <c r="L177" s="15">
        <v>8.7</v>
      </c>
      <c r="M177" s="15" t="s">
        <v>25</v>
      </c>
    </row>
    <row r="178" ht="15.75" customHeight="1">
      <c r="A178" s="15" t="s">
        <v>1054</v>
      </c>
      <c r="B178" s="15" t="s">
        <v>1056</v>
      </c>
      <c r="C178" s="15">
        <v>2.0</v>
      </c>
      <c r="D178" s="15" t="s">
        <v>22</v>
      </c>
      <c r="E178" s="15">
        <v>0.73</v>
      </c>
      <c r="F178" s="15">
        <v>55.3</v>
      </c>
      <c r="G178" s="15">
        <v>32.09</v>
      </c>
      <c r="H178" s="15">
        <v>0.89</v>
      </c>
      <c r="I178" s="15">
        <v>0.68</v>
      </c>
      <c r="J178" s="15">
        <v>0.44</v>
      </c>
      <c r="K178" s="15">
        <v>0.06</v>
      </c>
      <c r="L178" s="15">
        <v>8.48</v>
      </c>
      <c r="M178" s="15" t="s">
        <v>25</v>
      </c>
    </row>
    <row r="179" ht="15.75" customHeight="1">
      <c r="A179" s="15" t="s">
        <v>1060</v>
      </c>
      <c r="B179" s="15" t="s">
        <v>1062</v>
      </c>
      <c r="C179" s="15">
        <v>2.0</v>
      </c>
      <c r="D179" s="15" t="s">
        <v>22</v>
      </c>
      <c r="E179" s="15">
        <v>0.74</v>
      </c>
      <c r="F179" s="15">
        <v>55.27</v>
      </c>
      <c r="G179" s="15">
        <v>31.91</v>
      </c>
      <c r="H179" s="15">
        <v>0.89</v>
      </c>
      <c r="I179" s="15">
        <v>0.68</v>
      </c>
      <c r="J179" s="15">
        <v>0.44</v>
      </c>
      <c r="K179" s="15">
        <v>0.06</v>
      </c>
      <c r="L179" s="15">
        <v>8.47</v>
      </c>
      <c r="M179" s="15" t="s">
        <v>25</v>
      </c>
    </row>
    <row r="180" ht="15.75" customHeight="1">
      <c r="A180" s="15" t="s">
        <v>1065</v>
      </c>
      <c r="B180" s="15" t="s">
        <v>1067</v>
      </c>
      <c r="C180" s="15">
        <v>2.0</v>
      </c>
      <c r="D180" s="15" t="s">
        <v>22</v>
      </c>
      <c r="E180" s="15">
        <v>0.47</v>
      </c>
      <c r="F180" s="15">
        <v>55.27</v>
      </c>
      <c r="G180" s="15">
        <v>33.59</v>
      </c>
      <c r="H180" s="15">
        <v>0.93</v>
      </c>
      <c r="I180" s="15">
        <v>0.62</v>
      </c>
      <c r="J180" s="15">
        <v>0.48</v>
      </c>
      <c r="K180" s="15">
        <v>0.06</v>
      </c>
      <c r="L180" s="15">
        <v>8.38</v>
      </c>
      <c r="M180" s="15" t="s">
        <v>25</v>
      </c>
    </row>
    <row r="181" ht="15.75" customHeight="1">
      <c r="A181" s="15" t="s">
        <v>1072</v>
      </c>
      <c r="B181" s="15" t="s">
        <v>1073</v>
      </c>
      <c r="C181" s="15">
        <v>2.0</v>
      </c>
      <c r="D181" s="15" t="s">
        <v>22</v>
      </c>
      <c r="E181" s="15">
        <v>0.84</v>
      </c>
      <c r="F181" s="15">
        <v>55.26</v>
      </c>
      <c r="G181" s="15">
        <v>32.46</v>
      </c>
      <c r="H181" s="15">
        <v>0.87</v>
      </c>
      <c r="I181" s="15">
        <v>0.66</v>
      </c>
      <c r="J181" s="15">
        <v>0.41</v>
      </c>
      <c r="K181" s="15">
        <v>0.07</v>
      </c>
      <c r="L181" s="15">
        <v>8.75</v>
      </c>
      <c r="M181" s="15" t="s">
        <v>25</v>
      </c>
    </row>
    <row r="182" ht="15.75" customHeight="1">
      <c r="A182" s="15" t="s">
        <v>364</v>
      </c>
      <c r="B182" s="15" t="s">
        <v>1077</v>
      </c>
      <c r="C182" s="15">
        <v>2.0</v>
      </c>
      <c r="D182" s="15" t="s">
        <v>22</v>
      </c>
      <c r="E182" s="15">
        <v>0.76</v>
      </c>
      <c r="F182" s="15">
        <v>55.26</v>
      </c>
      <c r="G182" s="15">
        <v>32.87</v>
      </c>
      <c r="H182" s="15">
        <v>0.89</v>
      </c>
      <c r="I182" s="15">
        <v>0.64</v>
      </c>
      <c r="J182" s="15">
        <v>0.38</v>
      </c>
      <c r="K182" s="15">
        <v>0.06</v>
      </c>
      <c r="L182" s="15">
        <v>8.87</v>
      </c>
      <c r="M182" s="15" t="s">
        <v>25</v>
      </c>
    </row>
    <row r="183" ht="15.75" customHeight="1">
      <c r="A183" s="15" t="s">
        <v>305</v>
      </c>
      <c r="B183" s="15" t="s">
        <v>1083</v>
      </c>
      <c r="C183" s="15">
        <v>2.0</v>
      </c>
      <c r="D183" s="15" t="s">
        <v>22</v>
      </c>
      <c r="E183" s="15">
        <v>0.77</v>
      </c>
      <c r="F183" s="15">
        <v>55.23</v>
      </c>
      <c r="G183" s="15">
        <v>32.79</v>
      </c>
      <c r="H183" s="15">
        <v>0.89</v>
      </c>
      <c r="I183" s="15">
        <v>0.65</v>
      </c>
      <c r="J183" s="15">
        <v>0.39</v>
      </c>
      <c r="K183" s="15">
        <v>0.06</v>
      </c>
      <c r="L183" s="15">
        <v>8.79</v>
      </c>
      <c r="M183" s="15" t="s">
        <v>25</v>
      </c>
    </row>
    <row r="184" ht="15.75" customHeight="1">
      <c r="A184" s="15" t="s">
        <v>414</v>
      </c>
      <c r="B184" s="15" t="s">
        <v>1087</v>
      </c>
      <c r="C184" s="15">
        <v>2.0</v>
      </c>
      <c r="D184" s="15" t="s">
        <v>22</v>
      </c>
      <c r="E184" s="15">
        <v>0.75</v>
      </c>
      <c r="F184" s="15">
        <v>55.22</v>
      </c>
      <c r="G184" s="15">
        <v>33.46</v>
      </c>
      <c r="H184" s="15">
        <v>0.89</v>
      </c>
      <c r="I184" s="15">
        <v>0.62</v>
      </c>
      <c r="J184" s="15">
        <v>0.38</v>
      </c>
      <c r="K184" s="15">
        <v>0.06</v>
      </c>
      <c r="L184" s="15">
        <v>8.88</v>
      </c>
      <c r="M184" s="15" t="s">
        <v>25</v>
      </c>
    </row>
    <row r="185" ht="15.75" customHeight="1">
      <c r="A185" s="15" t="s">
        <v>1091</v>
      </c>
      <c r="B185" s="15" t="s">
        <v>1092</v>
      </c>
      <c r="C185" s="15">
        <v>2.0</v>
      </c>
      <c r="D185" s="15" t="s">
        <v>22</v>
      </c>
      <c r="E185" s="15">
        <v>0.84</v>
      </c>
      <c r="F185" s="15">
        <v>55.2</v>
      </c>
      <c r="G185" s="15">
        <v>32.59</v>
      </c>
      <c r="H185" s="15">
        <v>0.87</v>
      </c>
      <c r="I185" s="15">
        <v>0.65</v>
      </c>
      <c r="J185" s="15">
        <v>0.41</v>
      </c>
      <c r="K185" s="15">
        <v>0.07</v>
      </c>
      <c r="L185" s="15">
        <v>8.74</v>
      </c>
      <c r="M185" s="15" t="s">
        <v>25</v>
      </c>
    </row>
    <row r="186" ht="15.75" customHeight="1">
      <c r="A186" s="15" t="s">
        <v>1097</v>
      </c>
      <c r="B186" s="15" t="s">
        <v>1098</v>
      </c>
      <c r="C186" s="15">
        <v>2.0</v>
      </c>
      <c r="D186" s="15" t="s">
        <v>22</v>
      </c>
      <c r="E186" s="15">
        <v>0.84</v>
      </c>
      <c r="F186" s="15">
        <v>55.2</v>
      </c>
      <c r="G186" s="15">
        <v>32.28</v>
      </c>
      <c r="H186" s="15">
        <v>0.87</v>
      </c>
      <c r="I186" s="15">
        <v>0.67</v>
      </c>
      <c r="J186" s="15">
        <v>0.41</v>
      </c>
      <c r="K186" s="15">
        <v>0.07</v>
      </c>
      <c r="L186" s="15">
        <v>8.72</v>
      </c>
      <c r="M186" s="15" t="s">
        <v>25</v>
      </c>
    </row>
    <row r="187" ht="15.75" customHeight="1">
      <c r="A187" s="15" t="s">
        <v>1104</v>
      </c>
      <c r="B187" s="15" t="s">
        <v>1105</v>
      </c>
      <c r="C187" s="15">
        <v>2.0</v>
      </c>
      <c r="D187" s="15" t="s">
        <v>22</v>
      </c>
      <c r="E187" s="15">
        <v>0.75</v>
      </c>
      <c r="F187" s="15">
        <v>55.19</v>
      </c>
      <c r="G187" s="15">
        <v>32.1</v>
      </c>
      <c r="H187" s="15">
        <v>0.89</v>
      </c>
      <c r="I187" s="15">
        <v>0.67</v>
      </c>
      <c r="J187" s="15">
        <v>0.44</v>
      </c>
      <c r="K187" s="15">
        <v>0.06</v>
      </c>
      <c r="L187" s="15">
        <v>8.48</v>
      </c>
      <c r="M187" s="15" t="s">
        <v>25</v>
      </c>
    </row>
    <row r="188" ht="15.75" customHeight="1">
      <c r="A188" s="15" t="s">
        <v>1109</v>
      </c>
      <c r="B188" s="15" t="s">
        <v>1110</v>
      </c>
      <c r="C188" s="15">
        <v>2.0</v>
      </c>
      <c r="D188" s="15" t="s">
        <v>22</v>
      </c>
      <c r="E188" s="15">
        <v>0.76</v>
      </c>
      <c r="F188" s="15">
        <v>55.17</v>
      </c>
      <c r="G188" s="15">
        <v>31.84</v>
      </c>
      <c r="H188" s="15">
        <v>0.89</v>
      </c>
      <c r="I188" s="15">
        <v>0.68</v>
      </c>
      <c r="J188" s="15">
        <v>0.44</v>
      </c>
      <c r="K188" s="15">
        <v>0.06</v>
      </c>
      <c r="L188" s="15">
        <v>8.47</v>
      </c>
      <c r="M188" s="15" t="s">
        <v>25</v>
      </c>
    </row>
    <row r="189" ht="15.75" customHeight="1">
      <c r="A189" s="15" t="s">
        <v>1115</v>
      </c>
      <c r="B189" s="15" t="s">
        <v>1116</v>
      </c>
      <c r="C189" s="15">
        <v>2.0</v>
      </c>
      <c r="D189" s="15" t="s">
        <v>22</v>
      </c>
      <c r="E189" s="15">
        <v>0.71</v>
      </c>
      <c r="F189" s="15">
        <v>55.13</v>
      </c>
      <c r="G189" s="15">
        <v>31.84</v>
      </c>
      <c r="H189" s="15">
        <v>0.88</v>
      </c>
      <c r="I189" s="15">
        <v>0.68</v>
      </c>
      <c r="J189" s="15">
        <v>0.57</v>
      </c>
      <c r="K189" s="15">
        <v>0.1</v>
      </c>
      <c r="L189" s="15">
        <v>7.45</v>
      </c>
      <c r="M189" s="15" t="s">
        <v>25</v>
      </c>
    </row>
    <row r="190" ht="15.75" customHeight="1">
      <c r="A190" s="15" t="s">
        <v>1121</v>
      </c>
      <c r="B190" s="15" t="s">
        <v>1122</v>
      </c>
      <c r="C190" s="15">
        <v>2.0</v>
      </c>
      <c r="D190" s="15" t="s">
        <v>22</v>
      </c>
      <c r="E190" s="15">
        <v>0.74</v>
      </c>
      <c r="F190" s="15">
        <v>55.11</v>
      </c>
      <c r="G190" s="15">
        <v>32.08</v>
      </c>
      <c r="H190" s="15">
        <v>0.89</v>
      </c>
      <c r="I190" s="15">
        <v>0.67</v>
      </c>
      <c r="J190" s="15">
        <v>0.49</v>
      </c>
      <c r="K190" s="15">
        <v>0.07</v>
      </c>
      <c r="L190" s="15">
        <v>8.23</v>
      </c>
      <c r="M190" s="15" t="s">
        <v>25</v>
      </c>
    </row>
    <row r="191" ht="15.75" customHeight="1">
      <c r="A191" s="15" t="s">
        <v>1127</v>
      </c>
      <c r="B191" s="15" t="s">
        <v>1128</v>
      </c>
      <c r="C191" s="15">
        <v>2.0</v>
      </c>
      <c r="D191" s="15" t="s">
        <v>22</v>
      </c>
      <c r="E191" s="15">
        <v>0.84</v>
      </c>
      <c r="F191" s="15">
        <v>55.09</v>
      </c>
      <c r="G191" s="15">
        <v>32.41</v>
      </c>
      <c r="H191" s="15">
        <v>0.87</v>
      </c>
      <c r="I191" s="15">
        <v>0.66</v>
      </c>
      <c r="J191" s="15">
        <v>0.41</v>
      </c>
      <c r="K191" s="15">
        <v>0.07</v>
      </c>
      <c r="L191" s="15">
        <v>8.71</v>
      </c>
      <c r="M191" s="15" t="s">
        <v>25</v>
      </c>
    </row>
    <row r="192" ht="15.75" customHeight="1">
      <c r="A192" s="15" t="s">
        <v>1134</v>
      </c>
      <c r="B192" s="15" t="s">
        <v>1135</v>
      </c>
      <c r="C192" s="15">
        <v>2.0</v>
      </c>
      <c r="D192" s="15" t="s">
        <v>22</v>
      </c>
      <c r="E192" s="15">
        <v>0.74</v>
      </c>
      <c r="F192" s="15">
        <v>55.07</v>
      </c>
      <c r="G192" s="15">
        <v>32.01</v>
      </c>
      <c r="H192" s="15">
        <v>0.89</v>
      </c>
      <c r="I192" s="15">
        <v>0.68</v>
      </c>
      <c r="J192" s="15">
        <v>0.44</v>
      </c>
      <c r="K192" s="15">
        <v>0.06</v>
      </c>
      <c r="L192" s="15">
        <v>8.48</v>
      </c>
      <c r="M192" s="15" t="s">
        <v>25</v>
      </c>
    </row>
    <row r="193" ht="15.75" customHeight="1">
      <c r="A193" s="15" t="s">
        <v>705</v>
      </c>
      <c r="B193" s="15" t="s">
        <v>1140</v>
      </c>
      <c r="C193" s="15">
        <v>2.0</v>
      </c>
      <c r="D193" s="15" t="s">
        <v>22</v>
      </c>
      <c r="E193" s="15">
        <v>0.76</v>
      </c>
      <c r="F193" s="15">
        <v>55.06</v>
      </c>
      <c r="G193" s="15">
        <v>32.59</v>
      </c>
      <c r="H193" s="15">
        <v>0.89</v>
      </c>
      <c r="I193" s="15">
        <v>0.65</v>
      </c>
      <c r="J193" s="15">
        <v>0.38</v>
      </c>
      <c r="K193" s="15">
        <v>0.06</v>
      </c>
      <c r="L193" s="15">
        <v>8.82</v>
      </c>
      <c r="M193" s="15" t="s">
        <v>25</v>
      </c>
    </row>
    <row r="194" ht="15.75" customHeight="1">
      <c r="A194" s="15" t="s">
        <v>1145</v>
      </c>
      <c r="B194" s="15" t="s">
        <v>1146</v>
      </c>
      <c r="C194" s="15">
        <v>2.0</v>
      </c>
      <c r="D194" s="15" t="s">
        <v>22</v>
      </c>
      <c r="E194" s="15">
        <v>0.84</v>
      </c>
      <c r="F194" s="15">
        <v>55.02</v>
      </c>
      <c r="G194" s="15">
        <v>32.39</v>
      </c>
      <c r="H194" s="15">
        <v>0.87</v>
      </c>
      <c r="I194" s="15">
        <v>0.66</v>
      </c>
      <c r="J194" s="15">
        <v>0.41</v>
      </c>
      <c r="K194" s="15">
        <v>0.07</v>
      </c>
      <c r="L194" s="15">
        <v>8.72</v>
      </c>
      <c r="M194" s="15" t="s">
        <v>25</v>
      </c>
    </row>
    <row r="195" ht="15.75" customHeight="1">
      <c r="A195" s="15" t="s">
        <v>1150</v>
      </c>
      <c r="B195" s="15" t="s">
        <v>1151</v>
      </c>
      <c r="C195" s="15">
        <v>2.0</v>
      </c>
      <c r="D195" s="15" t="s">
        <v>22</v>
      </c>
      <c r="E195" s="15">
        <v>0.74</v>
      </c>
      <c r="F195" s="15">
        <v>54.95</v>
      </c>
      <c r="G195" s="15">
        <v>31.96</v>
      </c>
      <c r="H195" s="15">
        <v>0.88</v>
      </c>
      <c r="I195" s="15">
        <v>0.68</v>
      </c>
      <c r="J195" s="15">
        <v>0.46</v>
      </c>
      <c r="K195" s="15">
        <v>0.07</v>
      </c>
      <c r="L195" s="15">
        <v>8.35</v>
      </c>
      <c r="M195" s="15" t="s">
        <v>25</v>
      </c>
    </row>
    <row r="196" ht="15.75" customHeight="1">
      <c r="A196" s="15" t="s">
        <v>492</v>
      </c>
      <c r="B196" s="15" t="s">
        <v>1156</v>
      </c>
      <c r="C196" s="15">
        <v>2.0</v>
      </c>
      <c r="D196" s="15" t="s">
        <v>22</v>
      </c>
      <c r="E196" s="15">
        <v>0.78</v>
      </c>
      <c r="F196" s="15">
        <v>54.94</v>
      </c>
      <c r="G196" s="15">
        <v>31.78</v>
      </c>
      <c r="H196" s="15">
        <v>0.87</v>
      </c>
      <c r="I196" s="15">
        <v>0.68</v>
      </c>
      <c r="J196" s="15">
        <v>0.49</v>
      </c>
      <c r="K196" s="15">
        <v>0.06</v>
      </c>
      <c r="L196" s="15">
        <v>8.56</v>
      </c>
      <c r="M196" s="15" t="s">
        <v>25</v>
      </c>
    </row>
    <row r="197" ht="15.75" customHeight="1">
      <c r="A197" s="15" t="s">
        <v>1115</v>
      </c>
      <c r="B197" s="15" t="s">
        <v>1161</v>
      </c>
      <c r="C197" s="15">
        <v>2.0</v>
      </c>
      <c r="D197" s="15" t="s">
        <v>22</v>
      </c>
      <c r="E197" s="15">
        <v>0.84</v>
      </c>
      <c r="F197" s="15">
        <v>54.92</v>
      </c>
      <c r="G197" s="15">
        <v>32.06</v>
      </c>
      <c r="H197" s="15">
        <v>0.86</v>
      </c>
      <c r="I197" s="15">
        <v>0.67</v>
      </c>
      <c r="J197" s="15">
        <v>0.41</v>
      </c>
      <c r="K197" s="15">
        <v>0.07</v>
      </c>
      <c r="L197" s="15">
        <v>8.67</v>
      </c>
      <c r="M197" s="15" t="s">
        <v>25</v>
      </c>
    </row>
    <row r="198" ht="15.75" customHeight="1">
      <c r="A198" s="15" t="s">
        <v>312</v>
      </c>
      <c r="B198" s="15" t="s">
        <v>1166</v>
      </c>
      <c r="C198" s="15">
        <v>2.0</v>
      </c>
      <c r="D198" s="15" t="s">
        <v>22</v>
      </c>
      <c r="E198" s="15">
        <v>0.75</v>
      </c>
      <c r="F198" s="15">
        <v>54.92</v>
      </c>
      <c r="G198" s="15">
        <v>32.57</v>
      </c>
      <c r="H198" s="15">
        <v>0.89</v>
      </c>
      <c r="I198" s="15">
        <v>0.65</v>
      </c>
      <c r="J198" s="15">
        <v>0.38</v>
      </c>
      <c r="K198" s="15">
        <v>0.06</v>
      </c>
      <c r="L198" s="15">
        <v>8.83</v>
      </c>
      <c r="M198" s="15" t="s">
        <v>25</v>
      </c>
    </row>
    <row r="199" ht="15.75" customHeight="1">
      <c r="A199" s="15" t="s">
        <v>678</v>
      </c>
      <c r="B199" s="15" t="s">
        <v>1171</v>
      </c>
      <c r="C199" s="15">
        <v>2.0</v>
      </c>
      <c r="D199" s="15" t="s">
        <v>22</v>
      </c>
      <c r="E199" s="15">
        <v>0.74</v>
      </c>
      <c r="F199" s="15">
        <v>54.88</v>
      </c>
      <c r="G199" s="15">
        <v>32.39</v>
      </c>
      <c r="H199" s="15">
        <v>0.89</v>
      </c>
      <c r="I199" s="15">
        <v>0.66</v>
      </c>
      <c r="J199" s="15">
        <v>0.39</v>
      </c>
      <c r="K199" s="15">
        <v>0.06</v>
      </c>
      <c r="L199" s="15">
        <v>8.77</v>
      </c>
      <c r="M199" s="15" t="s">
        <v>25</v>
      </c>
    </row>
    <row r="200" ht="15.75" customHeight="1">
      <c r="A200" s="15" t="s">
        <v>216</v>
      </c>
      <c r="B200" s="15" t="s">
        <v>1177</v>
      </c>
      <c r="C200" s="15">
        <v>2.0</v>
      </c>
      <c r="D200" s="15" t="s">
        <v>22</v>
      </c>
      <c r="E200" s="15">
        <v>0.81</v>
      </c>
      <c r="F200" s="15">
        <v>54.85</v>
      </c>
      <c r="G200" s="15">
        <v>32.11</v>
      </c>
      <c r="H200" s="15">
        <v>0.86</v>
      </c>
      <c r="I200" s="15">
        <v>0.67</v>
      </c>
      <c r="J200" s="15">
        <v>0.48</v>
      </c>
      <c r="K200" s="15">
        <v>0.07</v>
      </c>
      <c r="L200" s="15">
        <v>8.56</v>
      </c>
      <c r="M200" s="15" t="s">
        <v>25</v>
      </c>
    </row>
    <row r="201" ht="15.75" customHeight="1">
      <c r="A201" s="15" t="s">
        <v>1180</v>
      </c>
      <c r="B201" s="15" t="s">
        <v>1181</v>
      </c>
      <c r="C201" s="15">
        <v>2.0</v>
      </c>
      <c r="D201" s="15" t="s">
        <v>22</v>
      </c>
      <c r="E201" s="15">
        <v>0.86</v>
      </c>
      <c r="F201" s="15">
        <v>54.82</v>
      </c>
      <c r="G201" s="15">
        <v>31.73</v>
      </c>
      <c r="H201" s="15">
        <v>0.86</v>
      </c>
      <c r="I201" s="15">
        <v>0.68</v>
      </c>
      <c r="J201" s="15">
        <v>0.36</v>
      </c>
      <c r="K201" s="15">
        <v>0.07</v>
      </c>
      <c r="L201" s="15">
        <v>8.84</v>
      </c>
      <c r="M201" s="15" t="s">
        <v>25</v>
      </c>
    </row>
    <row r="202" ht="15.75" customHeight="1">
      <c r="A202" s="15" t="s">
        <v>780</v>
      </c>
      <c r="B202" s="15" t="s">
        <v>1186</v>
      </c>
      <c r="C202" s="15">
        <v>2.0</v>
      </c>
      <c r="D202" s="15" t="s">
        <v>22</v>
      </c>
      <c r="E202" s="15">
        <v>0.77</v>
      </c>
      <c r="F202" s="15">
        <v>54.82</v>
      </c>
      <c r="G202" s="15">
        <v>32.35</v>
      </c>
      <c r="H202" s="15">
        <v>0.88</v>
      </c>
      <c r="I202" s="15">
        <v>0.66</v>
      </c>
      <c r="J202" s="15">
        <v>0.49</v>
      </c>
      <c r="K202" s="15">
        <v>0.07</v>
      </c>
      <c r="L202" s="15">
        <v>8.11</v>
      </c>
      <c r="M202" s="15" t="s">
        <v>25</v>
      </c>
    </row>
    <row r="203" ht="15.75" customHeight="1">
      <c r="A203" s="15" t="s">
        <v>1191</v>
      </c>
      <c r="B203" s="15" t="s">
        <v>1192</v>
      </c>
      <c r="C203" s="15">
        <v>2.0</v>
      </c>
      <c r="D203" s="15" t="s">
        <v>22</v>
      </c>
      <c r="E203" s="15">
        <v>0.86</v>
      </c>
      <c r="F203" s="15">
        <v>54.76</v>
      </c>
      <c r="G203" s="15">
        <v>31.76</v>
      </c>
      <c r="H203" s="15">
        <v>0.86</v>
      </c>
      <c r="I203" s="15">
        <v>0.68</v>
      </c>
      <c r="J203" s="15">
        <v>0.36</v>
      </c>
      <c r="K203" s="15">
        <v>0.06</v>
      </c>
      <c r="L203" s="15">
        <v>8.87</v>
      </c>
      <c r="M203" s="15" t="s">
        <v>25</v>
      </c>
    </row>
    <row r="204" ht="15.75" customHeight="1">
      <c r="A204" s="15" t="s">
        <v>1196</v>
      </c>
      <c r="B204" s="15" t="s">
        <v>1197</v>
      </c>
      <c r="C204" s="15">
        <v>2.0</v>
      </c>
      <c r="D204" s="15" t="s">
        <v>22</v>
      </c>
      <c r="E204" s="15">
        <v>0.78</v>
      </c>
      <c r="F204" s="15">
        <v>54.76</v>
      </c>
      <c r="G204" s="15">
        <v>32.58</v>
      </c>
      <c r="H204" s="15">
        <v>0.86</v>
      </c>
      <c r="I204" s="15">
        <v>0.65</v>
      </c>
      <c r="J204" s="15">
        <v>0.58</v>
      </c>
      <c r="K204" s="15">
        <v>0.1</v>
      </c>
      <c r="L204" s="15">
        <v>7.59</v>
      </c>
      <c r="M204" s="15" t="s">
        <v>25</v>
      </c>
    </row>
    <row r="205" ht="15.75" customHeight="1">
      <c r="A205" s="15" t="s">
        <v>1202</v>
      </c>
      <c r="B205" s="15" t="s">
        <v>1203</v>
      </c>
      <c r="C205" s="15">
        <v>2.0</v>
      </c>
      <c r="D205" s="15" t="s">
        <v>22</v>
      </c>
      <c r="E205" s="15">
        <v>0.84</v>
      </c>
      <c r="F205" s="15">
        <v>54.75</v>
      </c>
      <c r="G205" s="15">
        <v>31.9</v>
      </c>
      <c r="H205" s="15">
        <v>0.86</v>
      </c>
      <c r="I205" s="15">
        <v>0.68</v>
      </c>
      <c r="J205" s="15">
        <v>0.42</v>
      </c>
      <c r="K205" s="15">
        <v>0.08</v>
      </c>
      <c r="L205" s="15">
        <v>8.62</v>
      </c>
      <c r="M205" s="15" t="s">
        <v>25</v>
      </c>
    </row>
    <row r="206" ht="15.75" customHeight="1">
      <c r="A206" s="15" t="s">
        <v>1208</v>
      </c>
      <c r="B206" s="15" t="s">
        <v>1210</v>
      </c>
      <c r="C206" s="15">
        <v>2.0</v>
      </c>
      <c r="D206" s="15" t="s">
        <v>22</v>
      </c>
      <c r="E206" s="15">
        <v>0.86</v>
      </c>
      <c r="F206" s="15">
        <v>54.7</v>
      </c>
      <c r="G206" s="15">
        <v>31.88</v>
      </c>
      <c r="H206" s="15">
        <v>0.86</v>
      </c>
      <c r="I206" s="15">
        <v>0.68</v>
      </c>
      <c r="J206" s="15">
        <v>0.35</v>
      </c>
      <c r="K206" s="15">
        <v>0.06</v>
      </c>
      <c r="L206" s="15">
        <v>8.87</v>
      </c>
      <c r="M206" s="15" t="s">
        <v>25</v>
      </c>
    </row>
    <row r="207" ht="15.75" customHeight="1">
      <c r="A207" s="15" t="s">
        <v>464</v>
      </c>
      <c r="B207" s="15" t="s">
        <v>1215</v>
      </c>
      <c r="C207" s="15">
        <v>2.0</v>
      </c>
      <c r="D207" s="15" t="s">
        <v>22</v>
      </c>
      <c r="E207" s="15">
        <v>0.87</v>
      </c>
      <c r="F207" s="15">
        <v>54.7</v>
      </c>
      <c r="G207" s="15">
        <v>31.83</v>
      </c>
      <c r="H207" s="15">
        <v>0.86</v>
      </c>
      <c r="I207" s="15">
        <v>0.68</v>
      </c>
      <c r="J207" s="15">
        <v>0.36</v>
      </c>
      <c r="K207" s="15">
        <v>0.06</v>
      </c>
      <c r="L207" s="15">
        <v>8.86</v>
      </c>
      <c r="M207" s="15" t="s">
        <v>25</v>
      </c>
    </row>
    <row r="208" ht="15.75" customHeight="1">
      <c r="A208" s="15" t="s">
        <v>502</v>
      </c>
      <c r="B208" s="15" t="s">
        <v>1218</v>
      </c>
      <c r="C208" s="15">
        <v>2.0</v>
      </c>
      <c r="D208" s="15" t="s">
        <v>22</v>
      </c>
      <c r="E208" s="15">
        <v>0.75</v>
      </c>
      <c r="F208" s="15">
        <v>54.66</v>
      </c>
      <c r="G208" s="15">
        <v>32.47</v>
      </c>
      <c r="H208" s="15">
        <v>0.89</v>
      </c>
      <c r="I208" s="15">
        <v>0.65</v>
      </c>
      <c r="J208" s="15">
        <v>0.39</v>
      </c>
      <c r="K208" s="15">
        <v>0.06</v>
      </c>
      <c r="L208" s="15">
        <v>8.79</v>
      </c>
      <c r="M208" s="15" t="s">
        <v>25</v>
      </c>
    </row>
    <row r="209" ht="15.75" customHeight="1">
      <c r="A209" s="15" t="s">
        <v>1224</v>
      </c>
      <c r="B209" s="15" t="s">
        <v>1225</v>
      </c>
      <c r="C209" s="15">
        <v>2.0</v>
      </c>
      <c r="D209" s="15" t="s">
        <v>22</v>
      </c>
      <c r="E209" s="15">
        <v>0.86</v>
      </c>
      <c r="F209" s="15">
        <v>54.66</v>
      </c>
      <c r="G209" s="15">
        <v>32.09</v>
      </c>
      <c r="H209" s="15">
        <v>0.86</v>
      </c>
      <c r="I209" s="15">
        <v>0.67</v>
      </c>
      <c r="J209" s="15">
        <v>0.36</v>
      </c>
      <c r="K209" s="15">
        <v>0.07</v>
      </c>
      <c r="L209" s="15">
        <v>8.86</v>
      </c>
      <c r="M209" s="15" t="s">
        <v>25</v>
      </c>
    </row>
    <row r="210" ht="15.75" customHeight="1">
      <c r="A210" s="15" t="s">
        <v>264</v>
      </c>
      <c r="B210" s="15" t="s">
        <v>1229</v>
      </c>
      <c r="C210" s="15">
        <v>2.0</v>
      </c>
      <c r="D210" s="15" t="s">
        <v>22</v>
      </c>
      <c r="E210" s="15">
        <v>0.76</v>
      </c>
      <c r="F210" s="15">
        <v>54.65</v>
      </c>
      <c r="G210" s="15">
        <v>32.78</v>
      </c>
      <c r="H210" s="15">
        <v>0.89</v>
      </c>
      <c r="I210" s="15">
        <v>0.64</v>
      </c>
      <c r="J210" s="15">
        <v>0.39</v>
      </c>
      <c r="K210" s="15">
        <v>0.06</v>
      </c>
      <c r="L210" s="15">
        <v>8.81</v>
      </c>
      <c r="M210" s="15" t="s">
        <v>25</v>
      </c>
    </row>
    <row r="211" ht="15.75" customHeight="1">
      <c r="A211" s="15" t="s">
        <v>1233</v>
      </c>
      <c r="B211" s="15" t="s">
        <v>1234</v>
      </c>
      <c r="C211" s="15">
        <v>2.0</v>
      </c>
      <c r="D211" s="15" t="s">
        <v>22</v>
      </c>
      <c r="E211" s="15">
        <v>0.84</v>
      </c>
      <c r="F211" s="15">
        <v>54.6</v>
      </c>
      <c r="G211" s="15">
        <v>32.08</v>
      </c>
      <c r="H211" s="15">
        <v>0.86</v>
      </c>
      <c r="I211" s="15">
        <v>0.67</v>
      </c>
      <c r="J211" s="15">
        <v>0.42</v>
      </c>
      <c r="K211" s="15">
        <v>0.08</v>
      </c>
      <c r="L211" s="15">
        <v>8.61</v>
      </c>
      <c r="M211" s="15" t="s">
        <v>25</v>
      </c>
    </row>
    <row r="212" ht="15.75" customHeight="1">
      <c r="A212" s="15" t="s">
        <v>291</v>
      </c>
      <c r="B212" s="15" t="s">
        <v>1238</v>
      </c>
      <c r="C212" s="15">
        <v>2.0</v>
      </c>
      <c r="D212" s="15" t="s">
        <v>22</v>
      </c>
      <c r="E212" s="15">
        <v>0.86</v>
      </c>
      <c r="F212" s="15">
        <v>54.58</v>
      </c>
      <c r="G212" s="15">
        <v>31.72</v>
      </c>
      <c r="H212" s="15">
        <v>0.86</v>
      </c>
      <c r="I212" s="15">
        <v>0.68</v>
      </c>
      <c r="J212" s="15">
        <v>0.36</v>
      </c>
      <c r="K212" s="15">
        <v>0.07</v>
      </c>
      <c r="L212" s="15">
        <v>8.86</v>
      </c>
      <c r="M212" s="15" t="s">
        <v>25</v>
      </c>
    </row>
    <row r="213" ht="15.75" customHeight="1">
      <c r="A213" s="15" t="s">
        <v>1242</v>
      </c>
      <c r="B213" s="15" t="s">
        <v>1243</v>
      </c>
      <c r="C213" s="15">
        <v>2.0</v>
      </c>
      <c r="D213" s="15" t="s">
        <v>22</v>
      </c>
      <c r="E213" s="15">
        <v>0.86</v>
      </c>
      <c r="F213" s="15">
        <v>54.56</v>
      </c>
      <c r="G213" s="15">
        <v>31.81</v>
      </c>
      <c r="H213" s="15">
        <v>0.86</v>
      </c>
      <c r="I213" s="15">
        <v>0.68</v>
      </c>
      <c r="J213" s="15">
        <v>0.36</v>
      </c>
      <c r="K213" s="15">
        <v>0.07</v>
      </c>
      <c r="L213" s="15">
        <v>8.85</v>
      </c>
      <c r="M213" s="15" t="s">
        <v>25</v>
      </c>
    </row>
    <row r="214" ht="15.75" customHeight="1">
      <c r="A214" s="15" t="s">
        <v>1247</v>
      </c>
      <c r="B214" s="15" t="s">
        <v>1248</v>
      </c>
      <c r="C214" s="15">
        <v>2.0</v>
      </c>
      <c r="D214" s="15" t="s">
        <v>22</v>
      </c>
      <c r="E214" s="15">
        <v>0.86</v>
      </c>
      <c r="F214" s="15">
        <v>54.55</v>
      </c>
      <c r="G214" s="15">
        <v>31.79</v>
      </c>
      <c r="H214" s="15">
        <v>0.86</v>
      </c>
      <c r="I214" s="15">
        <v>0.68</v>
      </c>
      <c r="J214" s="15">
        <v>0.36</v>
      </c>
      <c r="K214" s="15">
        <v>0.07</v>
      </c>
      <c r="L214" s="15">
        <v>8.88</v>
      </c>
      <c r="M214" s="15" t="s">
        <v>25</v>
      </c>
    </row>
    <row r="215" ht="15.75" customHeight="1">
      <c r="A215" s="15" t="s">
        <v>1252</v>
      </c>
      <c r="B215" s="15" t="s">
        <v>1253</v>
      </c>
      <c r="C215" s="15">
        <v>2.0</v>
      </c>
      <c r="D215" s="15" t="s">
        <v>22</v>
      </c>
      <c r="E215" s="15">
        <v>0.84</v>
      </c>
      <c r="F215" s="15">
        <v>54.55</v>
      </c>
      <c r="G215" s="15">
        <v>31.98</v>
      </c>
      <c r="H215" s="15">
        <v>0.86</v>
      </c>
      <c r="I215" s="15">
        <v>0.67</v>
      </c>
      <c r="J215" s="15">
        <v>0.42</v>
      </c>
      <c r="K215" s="15">
        <v>0.08</v>
      </c>
      <c r="L215" s="15">
        <v>8.61</v>
      </c>
      <c r="M215" s="15" t="s">
        <v>25</v>
      </c>
    </row>
    <row r="216" ht="15.75" customHeight="1">
      <c r="A216" s="15" t="s">
        <v>1256</v>
      </c>
      <c r="B216" s="15" t="s">
        <v>1257</v>
      </c>
      <c r="C216" s="15">
        <v>2.0</v>
      </c>
      <c r="D216" s="15" t="s">
        <v>22</v>
      </c>
      <c r="E216" s="15">
        <v>0.86</v>
      </c>
      <c r="F216" s="15">
        <v>54.55</v>
      </c>
      <c r="G216" s="15">
        <v>31.91</v>
      </c>
      <c r="H216" s="15">
        <v>0.86</v>
      </c>
      <c r="I216" s="15">
        <v>0.67</v>
      </c>
      <c r="J216" s="15">
        <v>0.36</v>
      </c>
      <c r="K216" s="15">
        <v>0.07</v>
      </c>
      <c r="L216" s="15">
        <v>8.84</v>
      </c>
      <c r="M216" s="15" t="s">
        <v>25</v>
      </c>
    </row>
    <row r="217" ht="15.75" customHeight="1">
      <c r="A217" s="15" t="s">
        <v>1261</v>
      </c>
      <c r="B217" s="15" t="s">
        <v>1262</v>
      </c>
      <c r="C217" s="15">
        <v>2.0</v>
      </c>
      <c r="D217" s="15" t="s">
        <v>22</v>
      </c>
      <c r="E217" s="15">
        <v>0.84</v>
      </c>
      <c r="F217" s="15">
        <v>54.55</v>
      </c>
      <c r="G217" s="15">
        <v>32.06</v>
      </c>
      <c r="H217" s="15">
        <v>0.86</v>
      </c>
      <c r="I217" s="15">
        <v>0.67</v>
      </c>
      <c r="J217" s="15">
        <v>0.42</v>
      </c>
      <c r="K217" s="15">
        <v>0.08</v>
      </c>
      <c r="L217" s="15">
        <v>8.59</v>
      </c>
      <c r="M217" s="15" t="s">
        <v>25</v>
      </c>
    </row>
    <row r="218" ht="15.75" customHeight="1">
      <c r="A218" s="15" t="s">
        <v>372</v>
      </c>
      <c r="B218" s="15" t="s">
        <v>1266</v>
      </c>
      <c r="C218" s="15">
        <v>2.0</v>
      </c>
      <c r="D218" s="15" t="s">
        <v>22</v>
      </c>
      <c r="E218" s="15">
        <v>0.72</v>
      </c>
      <c r="F218" s="15">
        <v>54.52</v>
      </c>
      <c r="G218" s="15">
        <v>32.73</v>
      </c>
      <c r="H218" s="15">
        <v>0.89</v>
      </c>
      <c r="I218" s="15">
        <v>0.64</v>
      </c>
      <c r="J218" s="15">
        <v>0.55</v>
      </c>
      <c r="K218" s="15">
        <v>0.07</v>
      </c>
      <c r="L218" s="15">
        <v>8.15</v>
      </c>
      <c r="M218" s="15" t="s">
        <v>25</v>
      </c>
    </row>
    <row r="219" ht="15.75" customHeight="1">
      <c r="A219" s="15" t="s">
        <v>1270</v>
      </c>
      <c r="B219" s="15" t="s">
        <v>1271</v>
      </c>
      <c r="C219" s="15">
        <v>2.0</v>
      </c>
      <c r="D219" s="15" t="s">
        <v>22</v>
      </c>
      <c r="E219" s="15">
        <v>0.86</v>
      </c>
      <c r="F219" s="15">
        <v>54.51</v>
      </c>
      <c r="G219" s="15">
        <v>31.69</v>
      </c>
      <c r="H219" s="15">
        <v>0.86</v>
      </c>
      <c r="I219" s="15">
        <v>0.68</v>
      </c>
      <c r="J219" s="15">
        <v>0.36</v>
      </c>
      <c r="K219" s="15">
        <v>0.07</v>
      </c>
      <c r="L219" s="15">
        <v>8.86</v>
      </c>
      <c r="M219" s="15" t="s">
        <v>25</v>
      </c>
    </row>
    <row r="220" ht="15.75" customHeight="1">
      <c r="A220" s="15" t="s">
        <v>869</v>
      </c>
      <c r="B220" s="15" t="s">
        <v>1276</v>
      </c>
      <c r="C220" s="15">
        <v>2.0</v>
      </c>
      <c r="D220" s="15" t="s">
        <v>22</v>
      </c>
      <c r="E220" s="15">
        <v>0.75</v>
      </c>
      <c r="F220" s="15">
        <v>54.48</v>
      </c>
      <c r="G220" s="15">
        <v>31.75</v>
      </c>
      <c r="H220" s="15">
        <v>0.88</v>
      </c>
      <c r="I220" s="15">
        <v>0.68</v>
      </c>
      <c r="J220" s="15">
        <v>0.42</v>
      </c>
      <c r="K220" s="15">
        <v>0.07</v>
      </c>
      <c r="L220" s="15">
        <v>8.2</v>
      </c>
      <c r="M220" s="15" t="s">
        <v>25</v>
      </c>
    </row>
    <row r="221" ht="15.75" customHeight="1">
      <c r="A221" s="15" t="s">
        <v>1280</v>
      </c>
      <c r="B221" s="15" t="s">
        <v>1281</v>
      </c>
      <c r="C221" s="15">
        <v>2.0</v>
      </c>
      <c r="D221" s="15" t="s">
        <v>22</v>
      </c>
      <c r="E221" s="15">
        <v>0.84</v>
      </c>
      <c r="F221" s="15">
        <v>54.47</v>
      </c>
      <c r="G221" s="15">
        <v>31.88</v>
      </c>
      <c r="H221" s="15">
        <v>0.86</v>
      </c>
      <c r="I221" s="15">
        <v>0.67</v>
      </c>
      <c r="J221" s="15">
        <v>0.43</v>
      </c>
      <c r="K221" s="15">
        <v>0.08</v>
      </c>
      <c r="L221" s="15">
        <v>8.59</v>
      </c>
      <c r="M221" s="15" t="s">
        <v>25</v>
      </c>
    </row>
    <row r="222" ht="15.75" customHeight="1">
      <c r="A222" s="15" t="s">
        <v>490</v>
      </c>
      <c r="B222" s="15" t="s">
        <v>1284</v>
      </c>
      <c r="C222" s="15">
        <v>2.0</v>
      </c>
      <c r="D222" s="15" t="s">
        <v>22</v>
      </c>
      <c r="E222" s="15">
        <v>0.87</v>
      </c>
      <c r="F222" s="15">
        <v>54.47</v>
      </c>
      <c r="G222" s="15">
        <v>31.53</v>
      </c>
      <c r="H222" s="15">
        <v>0.86</v>
      </c>
      <c r="I222" s="15">
        <v>0.69</v>
      </c>
      <c r="J222" s="15">
        <v>0.36</v>
      </c>
      <c r="K222" s="15">
        <v>0.07</v>
      </c>
      <c r="L222" s="15">
        <v>8.86</v>
      </c>
      <c r="M222" s="15" t="s">
        <v>25</v>
      </c>
    </row>
    <row r="223" ht="15.75" customHeight="1">
      <c r="A223" s="15" t="s">
        <v>1288</v>
      </c>
      <c r="B223" s="15" t="s">
        <v>1289</v>
      </c>
      <c r="C223" s="15">
        <v>2.0</v>
      </c>
      <c r="D223" s="15" t="s">
        <v>22</v>
      </c>
      <c r="E223" s="15">
        <v>0.84</v>
      </c>
      <c r="F223" s="15">
        <v>54.46</v>
      </c>
      <c r="G223" s="15">
        <v>31.86</v>
      </c>
      <c r="H223" s="15">
        <v>0.86</v>
      </c>
      <c r="I223" s="15">
        <v>0.67</v>
      </c>
      <c r="J223" s="15">
        <v>0.44</v>
      </c>
      <c r="K223" s="15">
        <v>0.08</v>
      </c>
      <c r="L223" s="15">
        <v>8.51</v>
      </c>
      <c r="M223" s="15" t="s">
        <v>25</v>
      </c>
    </row>
    <row r="224" ht="15.75" customHeight="1">
      <c r="A224" s="15" t="s">
        <v>1293</v>
      </c>
      <c r="B224" s="15" t="s">
        <v>1294</v>
      </c>
      <c r="C224" s="15">
        <v>2.0</v>
      </c>
      <c r="D224" s="15" t="s">
        <v>22</v>
      </c>
      <c r="E224" s="15">
        <v>0.84</v>
      </c>
      <c r="F224" s="15">
        <v>54.45</v>
      </c>
      <c r="G224" s="15">
        <v>31.93</v>
      </c>
      <c r="H224" s="15">
        <v>0.86</v>
      </c>
      <c r="I224" s="15">
        <v>0.67</v>
      </c>
      <c r="J224" s="15">
        <v>0.42</v>
      </c>
      <c r="K224" s="15">
        <v>0.08</v>
      </c>
      <c r="L224" s="15">
        <v>8.59</v>
      </c>
      <c r="M224" s="15" t="s">
        <v>25</v>
      </c>
    </row>
    <row r="225" ht="15.75" customHeight="1">
      <c r="A225" s="15" t="s">
        <v>1298</v>
      </c>
      <c r="B225" s="15" t="s">
        <v>1299</v>
      </c>
      <c r="C225" s="15">
        <v>2.0</v>
      </c>
      <c r="D225" s="15" t="s">
        <v>22</v>
      </c>
      <c r="E225" s="15">
        <v>0.87</v>
      </c>
      <c r="F225" s="15">
        <v>54.43</v>
      </c>
      <c r="G225" s="15">
        <v>31.83</v>
      </c>
      <c r="H225" s="15">
        <v>0.86</v>
      </c>
      <c r="I225" s="15">
        <v>0.68</v>
      </c>
      <c r="J225" s="15">
        <v>0.36</v>
      </c>
      <c r="K225" s="15">
        <v>0.07</v>
      </c>
      <c r="L225" s="15">
        <v>8.86</v>
      </c>
      <c r="M225" s="15" t="s">
        <v>25</v>
      </c>
    </row>
    <row r="226" ht="15.75" customHeight="1">
      <c r="A226" s="15" t="s">
        <v>899</v>
      </c>
      <c r="B226" s="15" t="s">
        <v>1303</v>
      </c>
      <c r="C226" s="15">
        <v>2.0</v>
      </c>
      <c r="D226" s="15" t="s">
        <v>22</v>
      </c>
      <c r="E226" s="15">
        <v>0.76</v>
      </c>
      <c r="F226" s="15">
        <v>54.43</v>
      </c>
      <c r="G226" s="15">
        <v>31.8</v>
      </c>
      <c r="H226" s="15">
        <v>0.88</v>
      </c>
      <c r="I226" s="15">
        <v>0.68</v>
      </c>
      <c r="J226" s="15">
        <v>0.42</v>
      </c>
      <c r="K226" s="15">
        <v>0.07</v>
      </c>
      <c r="L226" s="15">
        <v>8.21</v>
      </c>
      <c r="M226" s="15" t="s">
        <v>25</v>
      </c>
    </row>
    <row r="227" ht="15.75" customHeight="1">
      <c r="A227" s="15" t="s">
        <v>1308</v>
      </c>
      <c r="B227" s="15" t="s">
        <v>1309</v>
      </c>
      <c r="C227" s="15">
        <v>2.0</v>
      </c>
      <c r="D227" s="15" t="s">
        <v>22</v>
      </c>
      <c r="E227" s="15">
        <v>0.77</v>
      </c>
      <c r="F227" s="15">
        <v>54.39</v>
      </c>
      <c r="G227" s="15">
        <v>32.34</v>
      </c>
      <c r="H227" s="15">
        <v>0.85</v>
      </c>
      <c r="I227" s="15">
        <v>0.65</v>
      </c>
      <c r="J227" s="15">
        <v>0.55</v>
      </c>
      <c r="K227" s="15">
        <v>0.08</v>
      </c>
      <c r="L227" s="15">
        <v>8.01</v>
      </c>
      <c r="M227" s="15" t="s">
        <v>25</v>
      </c>
    </row>
    <row r="228" ht="15.75" customHeight="1">
      <c r="A228" s="15" t="s">
        <v>527</v>
      </c>
      <c r="B228" s="15" t="s">
        <v>1313</v>
      </c>
      <c r="C228" s="15">
        <v>2.0</v>
      </c>
      <c r="D228" s="15" t="s">
        <v>22</v>
      </c>
      <c r="E228" s="15">
        <v>0.87</v>
      </c>
      <c r="F228" s="15">
        <v>54.38</v>
      </c>
      <c r="G228" s="15">
        <v>31.79</v>
      </c>
      <c r="H228" s="15">
        <v>0.86</v>
      </c>
      <c r="I228" s="15">
        <v>0.68</v>
      </c>
      <c r="J228" s="15">
        <v>0.37</v>
      </c>
      <c r="K228" s="15">
        <v>0.07</v>
      </c>
      <c r="L228" s="15">
        <v>8.78</v>
      </c>
      <c r="M228" s="15" t="s">
        <v>25</v>
      </c>
    </row>
    <row r="229" ht="15.75" customHeight="1">
      <c r="A229" s="15" t="s">
        <v>544</v>
      </c>
      <c r="B229" s="15" t="s">
        <v>1317</v>
      </c>
      <c r="C229" s="15">
        <v>2.0</v>
      </c>
      <c r="D229" s="15" t="s">
        <v>22</v>
      </c>
      <c r="E229" s="15">
        <v>0.87</v>
      </c>
      <c r="F229" s="15">
        <v>54.36</v>
      </c>
      <c r="G229" s="15">
        <v>31.68</v>
      </c>
      <c r="H229" s="15">
        <v>0.86</v>
      </c>
      <c r="I229" s="15">
        <v>0.68</v>
      </c>
      <c r="J229" s="15">
        <v>0.36</v>
      </c>
      <c r="K229" s="15">
        <v>0.07</v>
      </c>
      <c r="L229" s="15">
        <v>8.84</v>
      </c>
      <c r="M229" s="15" t="s">
        <v>25</v>
      </c>
    </row>
    <row r="230" ht="15.75" customHeight="1">
      <c r="A230" s="15" t="s">
        <v>298</v>
      </c>
      <c r="B230" s="15" t="s">
        <v>1320</v>
      </c>
      <c r="C230" s="15">
        <v>2.0</v>
      </c>
      <c r="D230" s="15" t="s">
        <v>22</v>
      </c>
      <c r="E230" s="15">
        <v>0.77</v>
      </c>
      <c r="F230" s="15">
        <v>54.36</v>
      </c>
      <c r="G230" s="15">
        <v>32.27</v>
      </c>
      <c r="H230" s="15">
        <v>0.89</v>
      </c>
      <c r="I230" s="15">
        <v>0.66</v>
      </c>
      <c r="J230" s="15">
        <v>0.41</v>
      </c>
      <c r="K230" s="15">
        <v>0.06</v>
      </c>
      <c r="L230" s="15">
        <v>8.56</v>
      </c>
      <c r="M230" s="15" t="s">
        <v>25</v>
      </c>
    </row>
    <row r="231" ht="15.75" customHeight="1">
      <c r="A231" s="15" t="s">
        <v>405</v>
      </c>
      <c r="B231" s="15" t="s">
        <v>1323</v>
      </c>
      <c r="C231" s="15">
        <v>2.0</v>
      </c>
      <c r="D231" s="15" t="s">
        <v>22</v>
      </c>
      <c r="E231" s="15">
        <v>0.56</v>
      </c>
      <c r="F231" s="15">
        <v>54.34</v>
      </c>
      <c r="G231" s="15">
        <v>31.71</v>
      </c>
      <c r="H231" s="15">
        <v>0.87</v>
      </c>
      <c r="I231" s="15">
        <v>0.68</v>
      </c>
      <c r="J231" s="15">
        <v>0.56</v>
      </c>
      <c r="K231" s="15">
        <v>0.08</v>
      </c>
      <c r="L231" s="15">
        <v>8.0</v>
      </c>
      <c r="M231" s="15" t="s">
        <v>25</v>
      </c>
    </row>
    <row r="232" ht="15.75" customHeight="1">
      <c r="A232" s="15" t="s">
        <v>1328</v>
      </c>
      <c r="B232" s="15" t="s">
        <v>1329</v>
      </c>
      <c r="C232" s="15">
        <v>2.0</v>
      </c>
      <c r="D232" s="15" t="s">
        <v>22</v>
      </c>
      <c r="E232" s="15">
        <v>0.84</v>
      </c>
      <c r="F232" s="15">
        <v>54.32</v>
      </c>
      <c r="G232" s="15">
        <v>31.99</v>
      </c>
      <c r="H232" s="15">
        <v>0.86</v>
      </c>
      <c r="I232" s="15">
        <v>0.67</v>
      </c>
      <c r="J232" s="15">
        <v>0.42</v>
      </c>
      <c r="K232" s="15">
        <v>0.08</v>
      </c>
      <c r="L232" s="15">
        <v>8.6</v>
      </c>
      <c r="M232" s="15" t="s">
        <v>25</v>
      </c>
    </row>
    <row r="233" ht="15.75" customHeight="1">
      <c r="A233" s="15" t="s">
        <v>607</v>
      </c>
      <c r="B233" s="15" t="s">
        <v>1333</v>
      </c>
      <c r="C233" s="15">
        <v>2.0</v>
      </c>
      <c r="D233" s="15" t="s">
        <v>22</v>
      </c>
      <c r="E233" s="15">
        <v>0.86</v>
      </c>
      <c r="F233" s="15">
        <v>54.32</v>
      </c>
      <c r="G233" s="15">
        <v>31.82</v>
      </c>
      <c r="H233" s="15">
        <v>0.86</v>
      </c>
      <c r="I233" s="15">
        <v>0.67</v>
      </c>
      <c r="J233" s="15">
        <v>0.36</v>
      </c>
      <c r="K233" s="15">
        <v>0.07</v>
      </c>
      <c r="L233" s="15">
        <v>8.84</v>
      </c>
      <c r="M233" s="15" t="s">
        <v>25</v>
      </c>
    </row>
    <row r="234" ht="15.75" customHeight="1">
      <c r="A234" s="15" t="s">
        <v>1336</v>
      </c>
      <c r="B234" s="15" t="s">
        <v>1337</v>
      </c>
      <c r="C234" s="15">
        <v>2.0</v>
      </c>
      <c r="D234" s="15" t="s">
        <v>22</v>
      </c>
      <c r="E234" s="15">
        <v>0.86</v>
      </c>
      <c r="F234" s="15">
        <v>54.31</v>
      </c>
      <c r="G234" s="15">
        <v>31.54</v>
      </c>
      <c r="H234" s="15">
        <v>0.86</v>
      </c>
      <c r="I234" s="15">
        <v>0.69</v>
      </c>
      <c r="J234" s="15">
        <v>0.36</v>
      </c>
      <c r="K234" s="15">
        <v>0.07</v>
      </c>
      <c r="L234" s="15">
        <v>8.85</v>
      </c>
      <c r="M234" s="15" t="s">
        <v>25</v>
      </c>
    </row>
    <row r="235" ht="15.75" customHeight="1">
      <c r="A235" s="15" t="s">
        <v>1340</v>
      </c>
      <c r="B235" s="15" t="s">
        <v>1341</v>
      </c>
      <c r="C235" s="15">
        <v>2.0</v>
      </c>
      <c r="D235" s="15" t="s">
        <v>22</v>
      </c>
      <c r="E235" s="15">
        <v>0.87</v>
      </c>
      <c r="F235" s="15">
        <v>54.27</v>
      </c>
      <c r="G235" s="15">
        <v>31.61</v>
      </c>
      <c r="H235" s="15">
        <v>0.86</v>
      </c>
      <c r="I235" s="15">
        <v>0.68</v>
      </c>
      <c r="J235" s="15">
        <v>0.36</v>
      </c>
      <c r="K235" s="15">
        <v>0.07</v>
      </c>
      <c r="L235" s="15">
        <v>8.83</v>
      </c>
      <c r="M235" s="15" t="s">
        <v>25</v>
      </c>
    </row>
    <row r="236" ht="15.75" customHeight="1">
      <c r="A236" s="15" t="s">
        <v>1345</v>
      </c>
      <c r="B236" s="15" t="s">
        <v>1346</v>
      </c>
      <c r="C236" s="15">
        <v>2.0</v>
      </c>
      <c r="D236" s="15" t="s">
        <v>22</v>
      </c>
      <c r="E236" s="15">
        <v>0.86</v>
      </c>
      <c r="F236" s="15">
        <v>54.24</v>
      </c>
      <c r="G236" s="15">
        <v>31.58</v>
      </c>
      <c r="H236" s="15">
        <v>0.86</v>
      </c>
      <c r="I236" s="15">
        <v>0.68</v>
      </c>
      <c r="J236" s="15">
        <v>0.36</v>
      </c>
      <c r="K236" s="15">
        <v>0.07</v>
      </c>
      <c r="L236" s="15">
        <v>8.85</v>
      </c>
      <c r="M236" s="15" t="s">
        <v>25</v>
      </c>
    </row>
    <row r="237" ht="15.75" customHeight="1">
      <c r="A237" s="15" t="s">
        <v>338</v>
      </c>
      <c r="B237" s="15" t="s">
        <v>1349</v>
      </c>
      <c r="C237" s="15">
        <v>2.0</v>
      </c>
      <c r="D237" s="15" t="s">
        <v>22</v>
      </c>
      <c r="E237" s="15">
        <v>0.77</v>
      </c>
      <c r="F237" s="15">
        <v>54.24</v>
      </c>
      <c r="G237" s="15">
        <v>31.69</v>
      </c>
      <c r="H237" s="15">
        <v>0.89</v>
      </c>
      <c r="I237" s="15">
        <v>0.68</v>
      </c>
      <c r="J237" s="15">
        <v>0.42</v>
      </c>
      <c r="K237" s="15">
        <v>0.06</v>
      </c>
      <c r="L237" s="15">
        <v>8.73</v>
      </c>
      <c r="M237" s="15" t="s">
        <v>25</v>
      </c>
    </row>
    <row r="238" ht="15.75" customHeight="1">
      <c r="A238" s="15" t="s">
        <v>1352</v>
      </c>
      <c r="B238" s="15" t="s">
        <v>1354</v>
      </c>
      <c r="C238" s="15">
        <v>2.0</v>
      </c>
      <c r="D238" s="15" t="s">
        <v>22</v>
      </c>
      <c r="E238" s="15">
        <v>0.79</v>
      </c>
      <c r="F238" s="15">
        <v>54.22</v>
      </c>
      <c r="G238" s="15">
        <v>31.28</v>
      </c>
      <c r="H238" s="15">
        <v>0.84</v>
      </c>
      <c r="I238" s="15">
        <v>0.7</v>
      </c>
      <c r="J238" s="15">
        <v>0.52</v>
      </c>
      <c r="K238" s="15">
        <v>0.07</v>
      </c>
      <c r="L238" s="15">
        <v>8.3</v>
      </c>
      <c r="M238" s="15" t="s">
        <v>25</v>
      </c>
    </row>
    <row r="239" ht="15.75" customHeight="1">
      <c r="A239" s="15" t="s">
        <v>1217</v>
      </c>
      <c r="B239" s="15" t="s">
        <v>1358</v>
      </c>
      <c r="C239" s="15">
        <v>2.0</v>
      </c>
      <c r="D239" s="15" t="s">
        <v>22</v>
      </c>
      <c r="E239" s="15">
        <v>0.78</v>
      </c>
      <c r="F239" s="15">
        <v>54.19</v>
      </c>
      <c r="G239" s="15">
        <v>31.89</v>
      </c>
      <c r="H239" s="15">
        <v>0.89</v>
      </c>
      <c r="I239" s="15">
        <v>0.67</v>
      </c>
      <c r="J239" s="15">
        <v>0.4</v>
      </c>
      <c r="K239" s="15">
        <v>0.05</v>
      </c>
      <c r="L239" s="15">
        <v>8.83</v>
      </c>
      <c r="M239" s="15" t="s">
        <v>25</v>
      </c>
    </row>
    <row r="240" ht="15.75" customHeight="1">
      <c r="A240" s="15" t="s">
        <v>1361</v>
      </c>
      <c r="B240" s="15" t="s">
        <v>1363</v>
      </c>
      <c r="C240" s="15">
        <v>2.0</v>
      </c>
      <c r="D240" s="15" t="s">
        <v>22</v>
      </c>
      <c r="E240" s="15">
        <v>0.81</v>
      </c>
      <c r="F240" s="15">
        <v>54.19</v>
      </c>
      <c r="G240" s="15">
        <v>30.69</v>
      </c>
      <c r="H240" s="15">
        <v>0.82</v>
      </c>
      <c r="I240" s="15">
        <v>0.72</v>
      </c>
      <c r="J240" s="15">
        <v>0.38</v>
      </c>
      <c r="K240" s="15">
        <v>0.05</v>
      </c>
      <c r="L240" s="15">
        <v>9.01</v>
      </c>
      <c r="M240" s="15" t="s">
        <v>25</v>
      </c>
    </row>
    <row r="241" ht="15.75" customHeight="1">
      <c r="A241" s="15" t="s">
        <v>439</v>
      </c>
      <c r="B241" s="15" t="s">
        <v>1366</v>
      </c>
      <c r="C241" s="15">
        <v>2.0</v>
      </c>
      <c r="D241" s="15" t="s">
        <v>22</v>
      </c>
      <c r="E241" s="15">
        <v>0.78</v>
      </c>
      <c r="F241" s="15">
        <v>54.19</v>
      </c>
      <c r="G241" s="15">
        <v>32.13</v>
      </c>
      <c r="H241" s="15">
        <v>0.89</v>
      </c>
      <c r="I241" s="15">
        <v>0.66</v>
      </c>
      <c r="J241" s="15">
        <v>0.4</v>
      </c>
      <c r="K241" s="15">
        <v>0.05</v>
      </c>
      <c r="L241" s="15">
        <v>8.83</v>
      </c>
      <c r="M241" s="15" t="s">
        <v>25</v>
      </c>
    </row>
    <row r="242" ht="15.75" customHeight="1">
      <c r="A242" s="15" t="s">
        <v>1370</v>
      </c>
      <c r="B242" s="15" t="s">
        <v>1371</v>
      </c>
      <c r="C242" s="15">
        <v>2.0</v>
      </c>
      <c r="D242" s="15" t="s">
        <v>22</v>
      </c>
      <c r="E242" s="15">
        <v>0.87</v>
      </c>
      <c r="F242" s="15">
        <v>54.18</v>
      </c>
      <c r="G242" s="15">
        <v>31.79</v>
      </c>
      <c r="H242" s="15">
        <v>0.86</v>
      </c>
      <c r="I242" s="15">
        <v>0.67</v>
      </c>
      <c r="J242" s="15">
        <v>0.36</v>
      </c>
      <c r="K242" s="15">
        <v>0.07</v>
      </c>
      <c r="L242" s="15">
        <v>8.82</v>
      </c>
      <c r="M242" s="15" t="s">
        <v>25</v>
      </c>
    </row>
    <row r="243" ht="15.75" customHeight="1">
      <c r="A243" s="15" t="s">
        <v>1118</v>
      </c>
      <c r="B243" s="15" t="s">
        <v>1374</v>
      </c>
      <c r="C243" s="15">
        <v>2.0</v>
      </c>
      <c r="D243" s="15" t="s">
        <v>22</v>
      </c>
      <c r="E243" s="15">
        <v>0.78</v>
      </c>
      <c r="F243" s="15">
        <v>54.17</v>
      </c>
      <c r="G243" s="15">
        <v>31.69</v>
      </c>
      <c r="H243" s="15">
        <v>0.89</v>
      </c>
      <c r="I243" s="15">
        <v>0.68</v>
      </c>
      <c r="J243" s="15">
        <v>0.41</v>
      </c>
      <c r="K243" s="15">
        <v>0.05</v>
      </c>
      <c r="L243" s="15">
        <v>8.78</v>
      </c>
      <c r="M243" s="15" t="s">
        <v>25</v>
      </c>
    </row>
    <row r="244" ht="15.75" customHeight="1">
      <c r="A244" s="15" t="s">
        <v>1377</v>
      </c>
      <c r="B244" s="15" t="s">
        <v>1378</v>
      </c>
      <c r="C244" s="15">
        <v>2.0</v>
      </c>
      <c r="D244" s="15" t="s">
        <v>22</v>
      </c>
      <c r="E244" s="15">
        <v>0.81</v>
      </c>
      <c r="F244" s="15">
        <v>54.17</v>
      </c>
      <c r="G244" s="15">
        <v>31.01</v>
      </c>
      <c r="H244" s="15">
        <v>0.82</v>
      </c>
      <c r="I244" s="15">
        <v>0.71</v>
      </c>
      <c r="J244" s="15">
        <v>0.37</v>
      </c>
      <c r="K244" s="15">
        <v>0.05</v>
      </c>
      <c r="L244" s="15">
        <v>9.01</v>
      </c>
      <c r="M244" s="15" t="s">
        <v>25</v>
      </c>
    </row>
    <row r="245" ht="15.75" customHeight="1">
      <c r="A245" s="15" t="s">
        <v>1272</v>
      </c>
      <c r="B245" s="15" t="s">
        <v>1381</v>
      </c>
      <c r="C245" s="15">
        <v>2.0</v>
      </c>
      <c r="D245" s="15" t="s">
        <v>22</v>
      </c>
      <c r="E245" s="15">
        <v>0.81</v>
      </c>
      <c r="F245" s="15">
        <v>54.16</v>
      </c>
      <c r="G245" s="15">
        <v>31.01</v>
      </c>
      <c r="H245" s="15">
        <v>0.82</v>
      </c>
      <c r="I245" s="15">
        <v>0.71</v>
      </c>
      <c r="J245" s="15">
        <v>0.37</v>
      </c>
      <c r="K245" s="15">
        <v>0.05</v>
      </c>
      <c r="L245" s="15">
        <v>9.03</v>
      </c>
      <c r="M245" s="15" t="s">
        <v>25</v>
      </c>
    </row>
    <row r="246" ht="15.75" customHeight="1">
      <c r="A246" s="15" t="s">
        <v>356</v>
      </c>
      <c r="B246" s="15" t="s">
        <v>1384</v>
      </c>
      <c r="C246" s="15">
        <v>2.0</v>
      </c>
      <c r="D246" s="15" t="s">
        <v>22</v>
      </c>
      <c r="E246" s="15">
        <v>0.78</v>
      </c>
      <c r="F246" s="15">
        <v>54.16</v>
      </c>
      <c r="G246" s="15">
        <v>32.31</v>
      </c>
      <c r="H246" s="15">
        <v>0.89</v>
      </c>
      <c r="I246" s="15">
        <v>0.65</v>
      </c>
      <c r="J246" s="15">
        <v>0.4</v>
      </c>
      <c r="K246" s="15">
        <v>0.05</v>
      </c>
      <c r="L246" s="15">
        <v>8.84</v>
      </c>
      <c r="M246" s="15" t="s">
        <v>25</v>
      </c>
    </row>
    <row r="247" ht="15.75" customHeight="1">
      <c r="A247" s="15" t="s">
        <v>1385</v>
      </c>
      <c r="B247" s="15" t="s">
        <v>1388</v>
      </c>
      <c r="C247" s="15">
        <v>2.0</v>
      </c>
      <c r="D247" s="15" t="s">
        <v>22</v>
      </c>
      <c r="E247" s="15">
        <v>0.81</v>
      </c>
      <c r="F247" s="15">
        <v>54.15</v>
      </c>
      <c r="G247" s="15">
        <v>31.06</v>
      </c>
      <c r="H247" s="15">
        <v>0.82</v>
      </c>
      <c r="I247" s="15">
        <v>0.71</v>
      </c>
      <c r="J247" s="15">
        <v>0.38</v>
      </c>
      <c r="K247" s="15">
        <v>0.05</v>
      </c>
      <c r="L247" s="15">
        <v>9.01</v>
      </c>
      <c r="M247" s="15" t="s">
        <v>25</v>
      </c>
    </row>
    <row r="248" ht="15.75" customHeight="1">
      <c r="A248" s="15" t="s">
        <v>1389</v>
      </c>
      <c r="B248" s="15" t="s">
        <v>1391</v>
      </c>
      <c r="C248" s="15">
        <v>2.0</v>
      </c>
      <c r="D248" s="15" t="s">
        <v>22</v>
      </c>
      <c r="E248" s="15">
        <v>0.81</v>
      </c>
      <c r="F248" s="15">
        <v>54.13</v>
      </c>
      <c r="G248" s="15">
        <v>30.96</v>
      </c>
      <c r="H248" s="15">
        <v>0.82</v>
      </c>
      <c r="I248" s="15">
        <v>0.71</v>
      </c>
      <c r="J248" s="15">
        <v>0.38</v>
      </c>
      <c r="K248" s="15">
        <v>0.05</v>
      </c>
      <c r="L248" s="15">
        <v>9.02</v>
      </c>
      <c r="M248" s="15" t="s">
        <v>25</v>
      </c>
    </row>
    <row r="249" ht="15.75" customHeight="1">
      <c r="A249" s="15" t="s">
        <v>1393</v>
      </c>
      <c r="B249" s="15" t="s">
        <v>1394</v>
      </c>
      <c r="C249" s="15">
        <v>2.0</v>
      </c>
      <c r="D249" s="15" t="s">
        <v>22</v>
      </c>
      <c r="E249" s="15">
        <v>0.84</v>
      </c>
      <c r="F249" s="15">
        <v>54.13</v>
      </c>
      <c r="G249" s="15">
        <v>31.74</v>
      </c>
      <c r="H249" s="15">
        <v>0.86</v>
      </c>
      <c r="I249" s="15">
        <v>0.68</v>
      </c>
      <c r="J249" s="15">
        <v>0.41</v>
      </c>
      <c r="K249" s="15">
        <v>0.07</v>
      </c>
      <c r="L249" s="15">
        <v>8.64</v>
      </c>
      <c r="M249" s="15" t="s">
        <v>25</v>
      </c>
    </row>
    <row r="250" ht="15.75" customHeight="1">
      <c r="A250" s="15" t="s">
        <v>791</v>
      </c>
      <c r="B250" s="15" t="s">
        <v>1398</v>
      </c>
      <c r="C250" s="15">
        <v>2.0</v>
      </c>
      <c r="D250" s="15" t="s">
        <v>22</v>
      </c>
      <c r="E250" s="15">
        <v>0.76</v>
      </c>
      <c r="F250" s="15">
        <v>54.12</v>
      </c>
      <c r="G250" s="15">
        <v>32.06</v>
      </c>
      <c r="H250" s="15">
        <v>0.88</v>
      </c>
      <c r="I250" s="15">
        <v>0.66</v>
      </c>
      <c r="J250" s="15">
        <v>0.42</v>
      </c>
      <c r="K250" s="15">
        <v>0.07</v>
      </c>
      <c r="L250" s="15">
        <v>8.2</v>
      </c>
      <c r="M250" s="15" t="s">
        <v>25</v>
      </c>
    </row>
    <row r="251" ht="15.75" customHeight="1">
      <c r="A251" s="15" t="s">
        <v>1187</v>
      </c>
      <c r="B251" s="15" t="s">
        <v>1402</v>
      </c>
      <c r="C251" s="15">
        <v>2.0</v>
      </c>
      <c r="D251" s="15" t="s">
        <v>22</v>
      </c>
      <c r="E251" s="15">
        <v>0.78</v>
      </c>
      <c r="F251" s="15">
        <v>54.12</v>
      </c>
      <c r="G251" s="15">
        <v>32.21</v>
      </c>
      <c r="H251" s="15">
        <v>0.89</v>
      </c>
      <c r="I251" s="15">
        <v>0.66</v>
      </c>
      <c r="J251" s="15">
        <v>0.4</v>
      </c>
      <c r="K251" s="15">
        <v>0.05</v>
      </c>
      <c r="L251" s="15">
        <v>8.84</v>
      </c>
      <c r="M251" s="15" t="s">
        <v>25</v>
      </c>
    </row>
    <row r="252" ht="15.75" customHeight="1">
      <c r="A252" s="15" t="s">
        <v>1068</v>
      </c>
      <c r="B252" s="15" t="s">
        <v>1405</v>
      </c>
      <c r="C252" s="15">
        <v>2.0</v>
      </c>
      <c r="D252" s="15" t="s">
        <v>22</v>
      </c>
      <c r="E252" s="15">
        <v>0.76</v>
      </c>
      <c r="F252" s="15">
        <v>54.11</v>
      </c>
      <c r="G252" s="15">
        <v>31.88</v>
      </c>
      <c r="H252" s="15">
        <v>0.88</v>
      </c>
      <c r="I252" s="15">
        <v>0.67</v>
      </c>
      <c r="J252" s="15">
        <v>0.42</v>
      </c>
      <c r="K252" s="15">
        <v>0.07</v>
      </c>
      <c r="L252" s="15">
        <v>8.22</v>
      </c>
      <c r="M252" s="15" t="s">
        <v>25</v>
      </c>
    </row>
    <row r="253" ht="15.75" customHeight="1">
      <c r="A253" s="15" t="s">
        <v>553</v>
      </c>
      <c r="B253" s="15" t="s">
        <v>1408</v>
      </c>
      <c r="C253" s="15">
        <v>2.0</v>
      </c>
      <c r="D253" s="15" t="s">
        <v>22</v>
      </c>
      <c r="E253" s="15">
        <v>0.78</v>
      </c>
      <c r="F253" s="15">
        <v>54.1</v>
      </c>
      <c r="G253" s="15">
        <v>32.34</v>
      </c>
      <c r="H253" s="15">
        <v>0.89</v>
      </c>
      <c r="I253" s="15">
        <v>0.65</v>
      </c>
      <c r="J253" s="15">
        <v>0.4</v>
      </c>
      <c r="K253" s="15">
        <v>0.05</v>
      </c>
      <c r="L253" s="15">
        <v>8.84</v>
      </c>
      <c r="M253" s="15" t="s">
        <v>25</v>
      </c>
    </row>
    <row r="254" ht="15.75" customHeight="1">
      <c r="A254" s="15" t="s">
        <v>1168</v>
      </c>
      <c r="B254" s="15" t="s">
        <v>1411</v>
      </c>
      <c r="C254" s="15">
        <v>2.0</v>
      </c>
      <c r="D254" s="15" t="s">
        <v>22</v>
      </c>
      <c r="E254" s="15">
        <v>0.78</v>
      </c>
      <c r="F254" s="15">
        <v>54.1</v>
      </c>
      <c r="G254" s="15">
        <v>32.39</v>
      </c>
      <c r="H254" s="15">
        <v>0.89</v>
      </c>
      <c r="I254" s="15">
        <v>0.65</v>
      </c>
      <c r="J254" s="15">
        <v>0.4</v>
      </c>
      <c r="K254" s="15">
        <v>0.05</v>
      </c>
      <c r="L254" s="15">
        <v>8.87</v>
      </c>
      <c r="M254" s="15" t="s">
        <v>25</v>
      </c>
    </row>
    <row r="255" ht="15.75" customHeight="1">
      <c r="A255" s="15" t="s">
        <v>1130</v>
      </c>
      <c r="B255" s="15" t="s">
        <v>1414</v>
      </c>
      <c r="C255" s="15">
        <v>2.0</v>
      </c>
      <c r="D255" s="15" t="s">
        <v>22</v>
      </c>
      <c r="E255" s="15">
        <v>0.78</v>
      </c>
      <c r="F255" s="15">
        <v>54.1</v>
      </c>
      <c r="G255" s="15">
        <v>31.99</v>
      </c>
      <c r="H255" s="15">
        <v>0.89</v>
      </c>
      <c r="I255" s="15">
        <v>0.66</v>
      </c>
      <c r="J255" s="15">
        <v>0.4</v>
      </c>
      <c r="K255" s="15">
        <v>0.05</v>
      </c>
      <c r="L255" s="15">
        <v>8.84</v>
      </c>
      <c r="M255" s="15" t="s">
        <v>25</v>
      </c>
    </row>
    <row r="256" ht="15.75" customHeight="1">
      <c r="A256" s="15" t="s">
        <v>1153</v>
      </c>
      <c r="B256" s="15" t="s">
        <v>1417</v>
      </c>
      <c r="C256" s="15">
        <v>2.0</v>
      </c>
      <c r="D256" s="15" t="s">
        <v>22</v>
      </c>
      <c r="E256" s="15">
        <v>0.78</v>
      </c>
      <c r="F256" s="15">
        <v>54.09</v>
      </c>
      <c r="G256" s="15">
        <v>31.89</v>
      </c>
      <c r="H256" s="15">
        <v>0.89</v>
      </c>
      <c r="I256" s="15">
        <v>0.67</v>
      </c>
      <c r="J256" s="15">
        <v>0.4</v>
      </c>
      <c r="K256" s="15">
        <v>0.05</v>
      </c>
      <c r="L256" s="15">
        <v>8.85</v>
      </c>
      <c r="M256" s="15" t="s">
        <v>25</v>
      </c>
    </row>
    <row r="257" ht="15.75" customHeight="1">
      <c r="A257" s="15" t="s">
        <v>868</v>
      </c>
      <c r="B257" s="15" t="s">
        <v>1420</v>
      </c>
      <c r="C257" s="15">
        <v>2.0</v>
      </c>
      <c r="D257" s="15" t="s">
        <v>22</v>
      </c>
      <c r="E257" s="15">
        <v>0.7</v>
      </c>
      <c r="F257" s="15">
        <v>54.08</v>
      </c>
      <c r="G257" s="15">
        <v>31.74</v>
      </c>
      <c r="H257" s="15">
        <v>0.88</v>
      </c>
      <c r="I257" s="15">
        <v>0.67</v>
      </c>
      <c r="J257" s="15">
        <v>0.54</v>
      </c>
      <c r="K257" s="15">
        <v>0.07</v>
      </c>
      <c r="L257" s="15">
        <v>8.32</v>
      </c>
      <c r="M257" s="15" t="s">
        <v>25</v>
      </c>
    </row>
    <row r="258" ht="15.75" customHeight="1">
      <c r="A258" s="15" t="s">
        <v>1423</v>
      </c>
      <c r="B258" s="15" t="s">
        <v>1425</v>
      </c>
      <c r="C258" s="15">
        <v>2.0</v>
      </c>
      <c r="D258" s="15" t="s">
        <v>22</v>
      </c>
      <c r="E258" s="15">
        <v>0.73</v>
      </c>
      <c r="F258" s="15">
        <v>54.08</v>
      </c>
      <c r="G258" s="15">
        <v>31.71</v>
      </c>
      <c r="H258" s="15">
        <v>0.89</v>
      </c>
      <c r="I258" s="15">
        <v>0.68</v>
      </c>
      <c r="J258" s="15">
        <v>0.44</v>
      </c>
      <c r="K258" s="15">
        <v>0.06</v>
      </c>
      <c r="L258" s="15">
        <v>8.42</v>
      </c>
      <c r="M258" s="15" t="s">
        <v>25</v>
      </c>
    </row>
    <row r="259" ht="15.75" customHeight="1">
      <c r="A259" s="15" t="s">
        <v>1428</v>
      </c>
      <c r="B259" s="15" t="s">
        <v>1429</v>
      </c>
      <c r="C259" s="15">
        <v>2.0</v>
      </c>
      <c r="D259" s="15" t="s">
        <v>22</v>
      </c>
      <c r="E259" s="15">
        <v>0.73</v>
      </c>
      <c r="F259" s="15">
        <v>54.06</v>
      </c>
      <c r="G259" s="15">
        <v>31.51</v>
      </c>
      <c r="H259" s="15">
        <v>0.89</v>
      </c>
      <c r="I259" s="15">
        <v>0.68</v>
      </c>
      <c r="J259" s="15">
        <v>0.44</v>
      </c>
      <c r="K259" s="15">
        <v>0.06</v>
      </c>
      <c r="L259" s="15">
        <v>8.44</v>
      </c>
      <c r="M259" s="15" t="s">
        <v>25</v>
      </c>
    </row>
    <row r="260" ht="15.75" customHeight="1">
      <c r="A260" s="15" t="s">
        <v>386</v>
      </c>
      <c r="B260" s="15" t="s">
        <v>1432</v>
      </c>
      <c r="C260" s="15">
        <v>2.0</v>
      </c>
      <c r="D260" s="15" t="s">
        <v>22</v>
      </c>
      <c r="E260" s="15">
        <v>0.78</v>
      </c>
      <c r="F260" s="15">
        <v>54.06</v>
      </c>
      <c r="G260" s="15">
        <v>31.91</v>
      </c>
      <c r="H260" s="15">
        <v>0.89</v>
      </c>
      <c r="I260" s="15">
        <v>0.67</v>
      </c>
      <c r="J260" s="15">
        <v>0.4</v>
      </c>
      <c r="K260" s="15">
        <v>0.05</v>
      </c>
      <c r="L260" s="15">
        <v>8.85</v>
      </c>
      <c r="M260" s="15" t="s">
        <v>25</v>
      </c>
    </row>
    <row r="261" ht="15.75" customHeight="1">
      <c r="A261" s="15" t="s">
        <v>1078</v>
      </c>
      <c r="B261" s="15" t="s">
        <v>1435</v>
      </c>
      <c r="C261" s="15">
        <v>2.0</v>
      </c>
      <c r="D261" s="15" t="s">
        <v>22</v>
      </c>
      <c r="E261" s="15">
        <v>0.77</v>
      </c>
      <c r="F261" s="15">
        <v>54.06</v>
      </c>
      <c r="G261" s="15">
        <v>32.27</v>
      </c>
      <c r="H261" s="15">
        <v>0.89</v>
      </c>
      <c r="I261" s="15">
        <v>0.65</v>
      </c>
      <c r="J261" s="15">
        <v>0.4</v>
      </c>
      <c r="K261" s="15">
        <v>0.05</v>
      </c>
      <c r="L261" s="15">
        <v>8.84</v>
      </c>
      <c r="M261" s="15" t="s">
        <v>25</v>
      </c>
    </row>
    <row r="262" ht="15.75" customHeight="1">
      <c r="A262" s="15" t="s">
        <v>1438</v>
      </c>
      <c r="B262" s="15" t="s">
        <v>1439</v>
      </c>
      <c r="C262" s="15">
        <v>2.0</v>
      </c>
      <c r="D262" s="15" t="s">
        <v>22</v>
      </c>
      <c r="E262" s="15">
        <v>0.87</v>
      </c>
      <c r="F262" s="15">
        <v>54.06</v>
      </c>
      <c r="G262" s="15">
        <v>31.61</v>
      </c>
      <c r="H262" s="15">
        <v>0.86</v>
      </c>
      <c r="I262" s="15">
        <v>0.68</v>
      </c>
      <c r="J262" s="15">
        <v>0.38</v>
      </c>
      <c r="K262" s="15">
        <v>0.07</v>
      </c>
      <c r="L262" s="15">
        <v>8.73</v>
      </c>
      <c r="M262" s="15" t="s">
        <v>25</v>
      </c>
    </row>
    <row r="263" ht="15.75" customHeight="1">
      <c r="A263" s="15" t="s">
        <v>1442</v>
      </c>
      <c r="B263" s="15" t="s">
        <v>1444</v>
      </c>
      <c r="C263" s="15">
        <v>2.0</v>
      </c>
      <c r="D263" s="15" t="s">
        <v>22</v>
      </c>
      <c r="E263" s="15">
        <v>0.81</v>
      </c>
      <c r="F263" s="15">
        <v>54.05</v>
      </c>
      <c r="G263" s="15">
        <v>31.29</v>
      </c>
      <c r="H263" s="15">
        <v>0.82</v>
      </c>
      <c r="I263" s="15">
        <v>0.69</v>
      </c>
      <c r="J263" s="15">
        <v>0.4</v>
      </c>
      <c r="K263" s="15">
        <v>0.06</v>
      </c>
      <c r="L263" s="15">
        <v>8.91</v>
      </c>
      <c r="M263" s="15" t="s">
        <v>25</v>
      </c>
    </row>
    <row r="264" ht="15.75" customHeight="1">
      <c r="A264" s="15" t="s">
        <v>1268</v>
      </c>
      <c r="B264" s="15" t="s">
        <v>1447</v>
      </c>
      <c r="C264" s="15">
        <v>2.0</v>
      </c>
      <c r="D264" s="15" t="s">
        <v>22</v>
      </c>
      <c r="E264" s="15">
        <v>0.77</v>
      </c>
      <c r="F264" s="15">
        <v>54.04</v>
      </c>
      <c r="G264" s="15">
        <v>32.18</v>
      </c>
      <c r="H264" s="15">
        <v>0.89</v>
      </c>
      <c r="I264" s="15">
        <v>0.66</v>
      </c>
      <c r="J264" s="15">
        <v>0.4</v>
      </c>
      <c r="K264" s="15">
        <v>0.05</v>
      </c>
      <c r="L264" s="15">
        <v>8.85</v>
      </c>
      <c r="M264" s="15" t="s">
        <v>25</v>
      </c>
    </row>
    <row r="265" ht="15.75" customHeight="1">
      <c r="A265" s="15" t="s">
        <v>1221</v>
      </c>
      <c r="B265" s="15" t="s">
        <v>1450</v>
      </c>
      <c r="C265" s="15">
        <v>2.0</v>
      </c>
      <c r="D265" s="15" t="s">
        <v>22</v>
      </c>
      <c r="E265" s="15">
        <v>0.78</v>
      </c>
      <c r="F265" s="15">
        <v>54.01</v>
      </c>
      <c r="G265" s="15">
        <v>32.54</v>
      </c>
      <c r="H265" s="15">
        <v>0.89</v>
      </c>
      <c r="I265" s="15">
        <v>0.64</v>
      </c>
      <c r="J265" s="15">
        <v>0.4</v>
      </c>
      <c r="K265" s="15">
        <v>0.05</v>
      </c>
      <c r="L265" s="15">
        <v>8.87</v>
      </c>
      <c r="M265" s="15" t="s">
        <v>25</v>
      </c>
    </row>
    <row r="266" ht="15.75" customHeight="1">
      <c r="A266" s="15" t="s">
        <v>1454</v>
      </c>
      <c r="B266" s="15" t="s">
        <v>1455</v>
      </c>
      <c r="C266" s="15">
        <v>2.0</v>
      </c>
      <c r="D266" s="15" t="s">
        <v>22</v>
      </c>
      <c r="E266" s="15">
        <v>0.8</v>
      </c>
      <c r="F266" s="15">
        <v>54.01</v>
      </c>
      <c r="G266" s="15">
        <v>30.91</v>
      </c>
      <c r="H266" s="15">
        <v>0.82</v>
      </c>
      <c r="I266" s="15">
        <v>0.71</v>
      </c>
      <c r="J266" s="15">
        <v>0.38</v>
      </c>
      <c r="K266" s="15">
        <v>0.05</v>
      </c>
      <c r="L266" s="15">
        <v>9.01</v>
      </c>
      <c r="M266" s="15" t="s">
        <v>25</v>
      </c>
    </row>
    <row r="267" ht="15.75" customHeight="1">
      <c r="A267" s="15" t="s">
        <v>1458</v>
      </c>
      <c r="B267" s="15" t="s">
        <v>1459</v>
      </c>
      <c r="C267" s="15">
        <v>2.0</v>
      </c>
      <c r="D267" s="15" t="s">
        <v>22</v>
      </c>
      <c r="E267" s="15">
        <v>0.82</v>
      </c>
      <c r="F267" s="15">
        <v>54.0</v>
      </c>
      <c r="G267" s="15">
        <v>31.12</v>
      </c>
      <c r="H267" s="15">
        <v>0.82</v>
      </c>
      <c r="I267" s="15">
        <v>0.7</v>
      </c>
      <c r="J267" s="15">
        <v>0.38</v>
      </c>
      <c r="K267" s="15">
        <v>0.05</v>
      </c>
      <c r="L267" s="15">
        <v>9.01</v>
      </c>
      <c r="M267" s="15" t="s">
        <v>25</v>
      </c>
    </row>
    <row r="268" ht="15.75" customHeight="1">
      <c r="A268" s="15" t="s">
        <v>284</v>
      </c>
      <c r="B268" s="15" t="s">
        <v>1464</v>
      </c>
      <c r="C268" s="15">
        <v>2.0</v>
      </c>
      <c r="D268" s="15" t="s">
        <v>22</v>
      </c>
      <c r="E268" s="15">
        <v>0.77</v>
      </c>
      <c r="F268" s="15">
        <v>53.99</v>
      </c>
      <c r="G268" s="15">
        <v>32.79</v>
      </c>
      <c r="H268" s="15">
        <v>0.89</v>
      </c>
      <c r="I268" s="15">
        <v>0.63</v>
      </c>
      <c r="J268" s="15">
        <v>0.4</v>
      </c>
      <c r="K268" s="15">
        <v>0.05</v>
      </c>
      <c r="L268" s="15">
        <v>8.86</v>
      </c>
      <c r="M268" s="15" t="s">
        <v>25</v>
      </c>
    </row>
    <row r="269" ht="15.75" customHeight="1">
      <c r="A269" s="15" t="s">
        <v>961</v>
      </c>
      <c r="B269" s="15" t="s">
        <v>1468</v>
      </c>
      <c r="C269" s="15">
        <v>2.0</v>
      </c>
      <c r="D269" s="15" t="s">
        <v>22</v>
      </c>
      <c r="E269" s="15">
        <v>0.74</v>
      </c>
      <c r="F269" s="15">
        <v>53.99</v>
      </c>
      <c r="G269" s="15">
        <v>31.83</v>
      </c>
      <c r="H269" s="15">
        <v>0.88</v>
      </c>
      <c r="I269" s="15">
        <v>0.67</v>
      </c>
      <c r="J269" s="15">
        <v>0.42</v>
      </c>
      <c r="K269" s="15">
        <v>0.07</v>
      </c>
      <c r="L269" s="15">
        <v>8.24</v>
      </c>
      <c r="M269" s="15" t="s">
        <v>25</v>
      </c>
    </row>
    <row r="270" ht="15.75" customHeight="1">
      <c r="A270" s="15" t="s">
        <v>1471</v>
      </c>
      <c r="B270" s="15" t="s">
        <v>1472</v>
      </c>
      <c r="C270" s="15">
        <v>2.0</v>
      </c>
      <c r="D270" s="15" t="s">
        <v>22</v>
      </c>
      <c r="E270" s="15">
        <v>0.77</v>
      </c>
      <c r="F270" s="15">
        <v>53.95</v>
      </c>
      <c r="G270" s="15">
        <v>31.84</v>
      </c>
      <c r="H270" s="15">
        <v>0.84</v>
      </c>
      <c r="I270" s="15">
        <v>0.67</v>
      </c>
      <c r="J270" s="15">
        <v>0.62</v>
      </c>
      <c r="K270" s="15">
        <v>0.08</v>
      </c>
      <c r="L270" s="15">
        <v>7.84</v>
      </c>
      <c r="M270" s="15" t="s">
        <v>25</v>
      </c>
    </row>
    <row r="271" ht="15.75" customHeight="1">
      <c r="A271" s="15" t="s">
        <v>1478</v>
      </c>
      <c r="B271" s="15" t="s">
        <v>1479</v>
      </c>
      <c r="C271" s="15">
        <v>2.0</v>
      </c>
      <c r="D271" s="15" t="s">
        <v>22</v>
      </c>
      <c r="E271" s="15">
        <v>0.81</v>
      </c>
      <c r="F271" s="15">
        <v>53.95</v>
      </c>
      <c r="G271" s="15">
        <v>30.94</v>
      </c>
      <c r="H271" s="15">
        <v>0.82</v>
      </c>
      <c r="I271" s="15">
        <v>0.71</v>
      </c>
      <c r="J271" s="15">
        <v>0.38</v>
      </c>
      <c r="K271" s="15">
        <v>0.05</v>
      </c>
      <c r="L271" s="15">
        <v>9.01</v>
      </c>
      <c r="M271" s="15" t="s">
        <v>25</v>
      </c>
    </row>
    <row r="272" ht="15.75" customHeight="1">
      <c r="A272" s="15" t="s">
        <v>175</v>
      </c>
      <c r="B272" s="15" t="s">
        <v>1482</v>
      </c>
      <c r="C272" s="15">
        <v>2.0</v>
      </c>
      <c r="D272" s="15" t="s">
        <v>22</v>
      </c>
      <c r="E272" s="15">
        <v>0.73</v>
      </c>
      <c r="F272" s="15">
        <v>53.95</v>
      </c>
      <c r="G272" s="15">
        <v>34.0</v>
      </c>
      <c r="H272" s="15">
        <v>0.89</v>
      </c>
      <c r="I272" s="15">
        <v>0.59</v>
      </c>
      <c r="J272" s="15">
        <v>0.54</v>
      </c>
      <c r="K272" s="15">
        <v>0.07</v>
      </c>
      <c r="L272" s="15">
        <v>7.98</v>
      </c>
      <c r="M272" s="15" t="s">
        <v>25</v>
      </c>
    </row>
    <row r="273" ht="15.75" customHeight="1">
      <c r="A273" s="15" t="s">
        <v>1485</v>
      </c>
      <c r="B273" s="15" t="s">
        <v>1486</v>
      </c>
      <c r="C273" s="15">
        <v>2.0</v>
      </c>
      <c r="D273" s="15" t="s">
        <v>22</v>
      </c>
      <c r="E273" s="15">
        <v>0.82</v>
      </c>
      <c r="F273" s="15">
        <v>53.93</v>
      </c>
      <c r="G273" s="15">
        <v>30.91</v>
      </c>
      <c r="H273" s="15">
        <v>0.82</v>
      </c>
      <c r="I273" s="15">
        <v>0.71</v>
      </c>
      <c r="J273" s="15">
        <v>0.38</v>
      </c>
      <c r="K273" s="15">
        <v>0.05</v>
      </c>
      <c r="L273" s="15">
        <v>9.02</v>
      </c>
      <c r="M273" s="15" t="s">
        <v>25</v>
      </c>
    </row>
    <row r="274" ht="15.75" customHeight="1">
      <c r="A274" s="15" t="s">
        <v>421</v>
      </c>
      <c r="B274" s="15" t="s">
        <v>1490</v>
      </c>
      <c r="C274" s="15">
        <v>2.0</v>
      </c>
      <c r="D274" s="15" t="s">
        <v>22</v>
      </c>
      <c r="E274" s="15">
        <v>0.77</v>
      </c>
      <c r="F274" s="15">
        <v>53.93</v>
      </c>
      <c r="G274" s="15">
        <v>31.86</v>
      </c>
      <c r="H274" s="15">
        <v>0.89</v>
      </c>
      <c r="I274" s="15">
        <v>0.67</v>
      </c>
      <c r="J274" s="15">
        <v>0.4</v>
      </c>
      <c r="K274" s="15">
        <v>0.05</v>
      </c>
      <c r="L274" s="15">
        <v>8.84</v>
      </c>
      <c r="M274" s="15" t="s">
        <v>25</v>
      </c>
    </row>
    <row r="275" ht="15.75" customHeight="1">
      <c r="A275" s="15" t="s">
        <v>393</v>
      </c>
      <c r="B275" s="15" t="s">
        <v>1495</v>
      </c>
      <c r="C275" s="15">
        <v>2.0</v>
      </c>
      <c r="D275" s="15" t="s">
        <v>22</v>
      </c>
      <c r="E275" s="15">
        <v>0.77</v>
      </c>
      <c r="F275" s="15">
        <v>53.91</v>
      </c>
      <c r="G275" s="15">
        <v>32.14</v>
      </c>
      <c r="H275" s="15">
        <v>0.89</v>
      </c>
      <c r="I275" s="15">
        <v>0.66</v>
      </c>
      <c r="J275" s="15">
        <v>0.4</v>
      </c>
      <c r="K275" s="15">
        <v>0.05</v>
      </c>
      <c r="L275" s="15">
        <v>8.86</v>
      </c>
      <c r="M275" s="15" t="s">
        <v>25</v>
      </c>
    </row>
    <row r="276" ht="15.75" customHeight="1">
      <c r="A276" s="15" t="s">
        <v>1498</v>
      </c>
      <c r="B276" s="15" t="s">
        <v>1499</v>
      </c>
      <c r="C276" s="15">
        <v>2.0</v>
      </c>
      <c r="D276" s="15" t="s">
        <v>22</v>
      </c>
      <c r="E276" s="15">
        <v>0.81</v>
      </c>
      <c r="F276" s="15">
        <v>53.9</v>
      </c>
      <c r="G276" s="15">
        <v>31.12</v>
      </c>
      <c r="H276" s="15">
        <v>0.82</v>
      </c>
      <c r="I276" s="15">
        <v>0.7</v>
      </c>
      <c r="J276" s="15">
        <v>0.38</v>
      </c>
      <c r="K276" s="15">
        <v>0.05</v>
      </c>
      <c r="L276" s="15">
        <v>9.05</v>
      </c>
      <c r="M276" s="15" t="s">
        <v>25</v>
      </c>
    </row>
    <row r="277" ht="15.75" customHeight="1">
      <c r="A277" s="15" t="s">
        <v>1503</v>
      </c>
      <c r="B277" s="15" t="s">
        <v>1505</v>
      </c>
      <c r="C277" s="15">
        <v>2.0</v>
      </c>
      <c r="D277" s="15" t="s">
        <v>22</v>
      </c>
      <c r="E277" s="15">
        <v>0.81</v>
      </c>
      <c r="F277" s="15">
        <v>53.9</v>
      </c>
      <c r="G277" s="15">
        <v>31.1</v>
      </c>
      <c r="H277" s="15">
        <v>0.82</v>
      </c>
      <c r="I277" s="15">
        <v>0.7</v>
      </c>
      <c r="J277" s="15">
        <v>0.38</v>
      </c>
      <c r="K277" s="15">
        <v>0.05</v>
      </c>
      <c r="L277" s="15">
        <v>9.02</v>
      </c>
      <c r="M277" s="15" t="s">
        <v>25</v>
      </c>
    </row>
    <row r="278" ht="15.75" customHeight="1">
      <c r="A278" s="15" t="s">
        <v>428</v>
      </c>
      <c r="B278" s="15" t="s">
        <v>1509</v>
      </c>
      <c r="C278" s="15">
        <v>2.0</v>
      </c>
      <c r="D278" s="15" t="s">
        <v>22</v>
      </c>
      <c r="E278" s="15">
        <v>0.78</v>
      </c>
      <c r="F278" s="15">
        <v>53.87</v>
      </c>
      <c r="G278" s="15">
        <v>32.65</v>
      </c>
      <c r="H278" s="15">
        <v>0.89</v>
      </c>
      <c r="I278" s="15">
        <v>0.63</v>
      </c>
      <c r="J278" s="15">
        <v>0.4</v>
      </c>
      <c r="K278" s="15">
        <v>0.05</v>
      </c>
      <c r="L278" s="15">
        <v>8.87</v>
      </c>
      <c r="M278" s="15" t="s">
        <v>25</v>
      </c>
    </row>
    <row r="279" ht="15.75" customHeight="1">
      <c r="A279" s="15" t="s">
        <v>435</v>
      </c>
      <c r="B279" s="15" t="s">
        <v>1512</v>
      </c>
      <c r="C279" s="15">
        <v>2.0</v>
      </c>
      <c r="D279" s="15" t="s">
        <v>22</v>
      </c>
      <c r="E279" s="15">
        <v>0.72</v>
      </c>
      <c r="F279" s="15">
        <v>53.87</v>
      </c>
      <c r="G279" s="15">
        <v>31.98</v>
      </c>
      <c r="H279" s="15">
        <v>0.89</v>
      </c>
      <c r="I279" s="15">
        <v>0.66</v>
      </c>
      <c r="J279" s="15">
        <v>0.55</v>
      </c>
      <c r="K279" s="15">
        <v>0.08</v>
      </c>
      <c r="L279" s="15">
        <v>7.78</v>
      </c>
      <c r="M279" s="15" t="s">
        <v>25</v>
      </c>
    </row>
    <row r="280" ht="15.75" customHeight="1">
      <c r="A280" s="15" t="s">
        <v>925</v>
      </c>
      <c r="B280" s="15" t="s">
        <v>1516</v>
      </c>
      <c r="C280" s="15">
        <v>2.0</v>
      </c>
      <c r="D280" s="15" t="s">
        <v>22</v>
      </c>
      <c r="E280" s="15">
        <v>0.75</v>
      </c>
      <c r="F280" s="15">
        <v>53.87</v>
      </c>
      <c r="G280" s="15">
        <v>31.95</v>
      </c>
      <c r="H280" s="15">
        <v>0.88</v>
      </c>
      <c r="I280" s="15">
        <v>0.66</v>
      </c>
      <c r="J280" s="15">
        <v>0.42</v>
      </c>
      <c r="K280" s="15">
        <v>0.07</v>
      </c>
      <c r="L280" s="15">
        <v>8.23</v>
      </c>
      <c r="M280" s="15" t="s">
        <v>25</v>
      </c>
    </row>
    <row r="281" ht="15.75" customHeight="1">
      <c r="A281" s="15" t="s">
        <v>46</v>
      </c>
      <c r="B281" s="15" t="s">
        <v>1518</v>
      </c>
      <c r="C281" s="15">
        <v>2.0</v>
      </c>
      <c r="D281" s="15" t="s">
        <v>22</v>
      </c>
      <c r="E281" s="15">
        <v>0.87</v>
      </c>
      <c r="F281" s="15">
        <v>53.86</v>
      </c>
      <c r="G281" s="15">
        <v>32.05</v>
      </c>
      <c r="H281" s="15">
        <v>0.85</v>
      </c>
      <c r="I281" s="15">
        <v>0.66</v>
      </c>
      <c r="J281" s="15">
        <v>0.37</v>
      </c>
      <c r="K281" s="15">
        <v>0.06</v>
      </c>
      <c r="L281" s="15">
        <v>9.07</v>
      </c>
      <c r="M281" s="15" t="s">
        <v>25</v>
      </c>
    </row>
    <row r="282" ht="15.75" customHeight="1">
      <c r="A282" s="15" t="s">
        <v>1521</v>
      </c>
      <c r="B282" s="15" t="s">
        <v>1522</v>
      </c>
      <c r="C282" s="15">
        <v>2.0</v>
      </c>
      <c r="D282" s="15" t="s">
        <v>22</v>
      </c>
      <c r="E282" s="15">
        <v>0.81</v>
      </c>
      <c r="F282" s="15">
        <v>53.86</v>
      </c>
      <c r="G282" s="15">
        <v>30.94</v>
      </c>
      <c r="H282" s="15">
        <v>0.82</v>
      </c>
      <c r="I282" s="15">
        <v>0.71</v>
      </c>
      <c r="J282" s="15">
        <v>0.38</v>
      </c>
      <c r="K282" s="15">
        <v>0.05</v>
      </c>
      <c r="L282" s="15">
        <v>9.02</v>
      </c>
      <c r="M282" s="15" t="s">
        <v>25</v>
      </c>
    </row>
    <row r="283" ht="15.75" customHeight="1">
      <c r="A283" s="15" t="s">
        <v>1525</v>
      </c>
      <c r="B283" s="15" t="s">
        <v>1526</v>
      </c>
      <c r="C283" s="15">
        <v>2.0</v>
      </c>
      <c r="D283" s="15" t="s">
        <v>22</v>
      </c>
      <c r="E283" s="15">
        <v>0.87</v>
      </c>
      <c r="F283" s="15">
        <v>53.83</v>
      </c>
      <c r="G283" s="15">
        <v>32.16</v>
      </c>
      <c r="H283" s="15">
        <v>0.85</v>
      </c>
      <c r="I283" s="15">
        <v>0.65</v>
      </c>
      <c r="J283" s="15">
        <v>0.37</v>
      </c>
      <c r="K283" s="15">
        <v>0.06</v>
      </c>
      <c r="L283" s="15">
        <v>9.09</v>
      </c>
      <c r="M283" s="15" t="s">
        <v>25</v>
      </c>
    </row>
    <row r="284" ht="15.75" customHeight="1">
      <c r="A284" s="15" t="s">
        <v>859</v>
      </c>
      <c r="B284" s="15" t="s">
        <v>1529</v>
      </c>
      <c r="C284" s="15">
        <v>2.0</v>
      </c>
      <c r="D284" s="15" t="s">
        <v>22</v>
      </c>
      <c r="E284" s="15">
        <v>0.75</v>
      </c>
      <c r="F284" s="15">
        <v>53.82</v>
      </c>
      <c r="G284" s="15">
        <v>32.19</v>
      </c>
      <c r="H284" s="15">
        <v>0.88</v>
      </c>
      <c r="I284" s="15">
        <v>0.65</v>
      </c>
      <c r="J284" s="15">
        <v>0.43</v>
      </c>
      <c r="K284" s="15">
        <v>0.07</v>
      </c>
      <c r="L284" s="15">
        <v>8.16</v>
      </c>
      <c r="M284" s="15" t="s">
        <v>25</v>
      </c>
    </row>
    <row r="285" ht="15.75" customHeight="1">
      <c r="A285" s="15" t="s">
        <v>1532</v>
      </c>
      <c r="B285" s="15" t="s">
        <v>1533</v>
      </c>
      <c r="C285" s="15">
        <v>2.0</v>
      </c>
      <c r="D285" s="15" t="s">
        <v>22</v>
      </c>
      <c r="E285" s="15">
        <v>0.81</v>
      </c>
      <c r="F285" s="15">
        <v>53.82</v>
      </c>
      <c r="G285" s="15">
        <v>31.27</v>
      </c>
      <c r="H285" s="15">
        <v>0.82</v>
      </c>
      <c r="I285" s="15">
        <v>0.69</v>
      </c>
      <c r="J285" s="15">
        <v>0.38</v>
      </c>
      <c r="K285" s="15">
        <v>0.05</v>
      </c>
      <c r="L285" s="15">
        <v>9.05</v>
      </c>
      <c r="M285" s="15" t="s">
        <v>25</v>
      </c>
    </row>
    <row r="286" ht="15.75" customHeight="1">
      <c r="A286" s="15" t="s">
        <v>1183</v>
      </c>
      <c r="B286" s="15" t="s">
        <v>1536</v>
      </c>
      <c r="C286" s="15">
        <v>2.0</v>
      </c>
      <c r="D286" s="15" t="s">
        <v>22</v>
      </c>
      <c r="E286" s="15">
        <v>0.78</v>
      </c>
      <c r="F286" s="15">
        <v>53.82</v>
      </c>
      <c r="G286" s="15">
        <v>32.27</v>
      </c>
      <c r="H286" s="15">
        <v>0.89</v>
      </c>
      <c r="I286" s="15">
        <v>0.65</v>
      </c>
      <c r="J286" s="15">
        <v>0.4</v>
      </c>
      <c r="K286" s="15">
        <v>0.05</v>
      </c>
      <c r="L286" s="15">
        <v>8.87</v>
      </c>
      <c r="M286" s="15" t="s">
        <v>25</v>
      </c>
    </row>
    <row r="287" ht="15.75" customHeight="1">
      <c r="A287" s="15" t="s">
        <v>1326</v>
      </c>
      <c r="B287" s="15" t="s">
        <v>1540</v>
      </c>
      <c r="C287" s="15">
        <v>2.0</v>
      </c>
      <c r="D287" s="15" t="s">
        <v>22</v>
      </c>
      <c r="E287" s="15">
        <v>0.75</v>
      </c>
      <c r="F287" s="15">
        <v>53.8</v>
      </c>
      <c r="G287" s="15">
        <v>31.5</v>
      </c>
      <c r="H287" s="15">
        <v>0.88</v>
      </c>
      <c r="I287" s="15">
        <v>0.68</v>
      </c>
      <c r="J287" s="15">
        <v>0.42</v>
      </c>
      <c r="K287" s="15">
        <v>0.07</v>
      </c>
      <c r="L287" s="15">
        <v>8.13</v>
      </c>
      <c r="M287" s="15" t="s">
        <v>25</v>
      </c>
    </row>
    <row r="288" ht="15.75" customHeight="1">
      <c r="A288" s="15" t="s">
        <v>1544</v>
      </c>
      <c r="B288" s="15" t="s">
        <v>1545</v>
      </c>
      <c r="C288" s="15">
        <v>2.0</v>
      </c>
      <c r="D288" s="15" t="s">
        <v>22</v>
      </c>
      <c r="E288" s="15">
        <v>0.82</v>
      </c>
      <c r="F288" s="15">
        <v>53.79</v>
      </c>
      <c r="G288" s="15">
        <v>30.91</v>
      </c>
      <c r="H288" s="15">
        <v>0.82</v>
      </c>
      <c r="I288" s="15">
        <v>0.71</v>
      </c>
      <c r="J288" s="15">
        <v>0.38</v>
      </c>
      <c r="K288" s="15">
        <v>0.05</v>
      </c>
      <c r="L288" s="15">
        <v>9.01</v>
      </c>
      <c r="M288" s="15" t="s">
        <v>25</v>
      </c>
    </row>
    <row r="289" ht="15.75" customHeight="1">
      <c r="A289" s="15" t="s">
        <v>1205</v>
      </c>
      <c r="B289" s="15" t="s">
        <v>1548</v>
      </c>
      <c r="C289" s="15">
        <v>2.0</v>
      </c>
      <c r="D289" s="15" t="s">
        <v>22</v>
      </c>
      <c r="E289" s="15">
        <v>0.86</v>
      </c>
      <c r="F289" s="15">
        <v>53.78</v>
      </c>
      <c r="G289" s="15">
        <v>32.48</v>
      </c>
      <c r="H289" s="15">
        <v>0.85</v>
      </c>
      <c r="I289" s="15">
        <v>0.64</v>
      </c>
      <c r="J289" s="15">
        <v>0.36</v>
      </c>
      <c r="K289" s="15">
        <v>0.06</v>
      </c>
      <c r="L289" s="15">
        <v>9.1</v>
      </c>
      <c r="M289" s="15" t="s">
        <v>25</v>
      </c>
    </row>
    <row r="290" ht="15.75" customHeight="1">
      <c r="A290" s="15" t="s">
        <v>108</v>
      </c>
      <c r="B290" s="15" t="s">
        <v>1551</v>
      </c>
      <c r="C290" s="15">
        <v>2.0</v>
      </c>
      <c r="D290" s="15" t="s">
        <v>22</v>
      </c>
      <c r="E290" s="15">
        <v>0.87</v>
      </c>
      <c r="F290" s="15">
        <v>53.77</v>
      </c>
      <c r="G290" s="15">
        <v>32.49</v>
      </c>
      <c r="H290" s="15">
        <v>0.85</v>
      </c>
      <c r="I290" s="15">
        <v>0.64</v>
      </c>
      <c r="J290" s="15">
        <v>0.37</v>
      </c>
      <c r="K290" s="15">
        <v>0.06</v>
      </c>
      <c r="L290" s="15">
        <v>9.08</v>
      </c>
      <c r="M290" s="15" t="s">
        <v>25</v>
      </c>
    </row>
    <row r="291" ht="15.75" customHeight="1">
      <c r="A291" s="15" t="s">
        <v>1295</v>
      </c>
      <c r="B291" s="15" t="s">
        <v>1555</v>
      </c>
      <c r="C291" s="15">
        <v>2.0</v>
      </c>
      <c r="D291" s="15" t="s">
        <v>22</v>
      </c>
      <c r="E291" s="15">
        <v>0.87</v>
      </c>
      <c r="F291" s="15">
        <v>53.75</v>
      </c>
      <c r="G291" s="15">
        <v>32.99</v>
      </c>
      <c r="H291" s="15">
        <v>0.86</v>
      </c>
      <c r="I291" s="15">
        <v>0.62</v>
      </c>
      <c r="J291" s="15">
        <v>0.38</v>
      </c>
      <c r="K291" s="15">
        <v>0.07</v>
      </c>
      <c r="L291" s="15">
        <v>9.03</v>
      </c>
      <c r="M291" s="15" t="s">
        <v>25</v>
      </c>
    </row>
    <row r="292" ht="15.75" customHeight="1">
      <c r="A292" s="15" t="s">
        <v>597</v>
      </c>
      <c r="B292" s="15" t="s">
        <v>1559</v>
      </c>
      <c r="C292" s="15">
        <v>2.0</v>
      </c>
      <c r="D292" s="15" t="s">
        <v>22</v>
      </c>
      <c r="E292" s="15">
        <v>0.68</v>
      </c>
      <c r="F292" s="15">
        <v>53.75</v>
      </c>
      <c r="G292" s="15">
        <v>31.4</v>
      </c>
      <c r="H292" s="15">
        <v>0.9</v>
      </c>
      <c r="I292" s="15">
        <v>0.69</v>
      </c>
      <c r="J292" s="15">
        <v>0.34</v>
      </c>
      <c r="K292" s="15">
        <v>0.05</v>
      </c>
      <c r="L292" s="15">
        <v>9.31</v>
      </c>
      <c r="M292" s="15" t="s">
        <v>25</v>
      </c>
    </row>
    <row r="293" ht="15.75" customHeight="1">
      <c r="A293" s="15" t="s">
        <v>400</v>
      </c>
      <c r="B293" s="15" t="s">
        <v>1562</v>
      </c>
      <c r="C293" s="15">
        <v>2.0</v>
      </c>
      <c r="D293" s="15" t="s">
        <v>22</v>
      </c>
      <c r="E293" s="15">
        <v>0.68</v>
      </c>
      <c r="F293" s="15">
        <v>53.75</v>
      </c>
      <c r="G293" s="15">
        <v>31.4</v>
      </c>
      <c r="H293" s="15">
        <v>0.9</v>
      </c>
      <c r="I293" s="15">
        <v>0.69</v>
      </c>
      <c r="J293" s="15">
        <v>0.34</v>
      </c>
      <c r="K293" s="15">
        <v>0.05</v>
      </c>
      <c r="L293" s="15">
        <v>9.32</v>
      </c>
      <c r="M293" s="15" t="s">
        <v>25</v>
      </c>
    </row>
    <row r="294" ht="15.75" customHeight="1">
      <c r="A294" s="15" t="s">
        <v>653</v>
      </c>
      <c r="B294" s="15" t="s">
        <v>1565</v>
      </c>
      <c r="C294" s="15">
        <v>2.0</v>
      </c>
      <c r="D294" s="15" t="s">
        <v>22</v>
      </c>
      <c r="E294" s="15">
        <v>0.87</v>
      </c>
      <c r="F294" s="15">
        <v>53.75</v>
      </c>
      <c r="G294" s="15">
        <v>32.12</v>
      </c>
      <c r="H294" s="15">
        <v>0.85</v>
      </c>
      <c r="I294" s="15">
        <v>0.65</v>
      </c>
      <c r="J294" s="15">
        <v>0.37</v>
      </c>
      <c r="K294" s="15">
        <v>0.06</v>
      </c>
      <c r="L294" s="15">
        <v>9.06</v>
      </c>
      <c r="M294" s="15" t="s">
        <v>25</v>
      </c>
    </row>
    <row r="295" ht="15.75" customHeight="1">
      <c r="A295" s="15" t="s">
        <v>130</v>
      </c>
      <c r="B295" s="15" t="s">
        <v>1570</v>
      </c>
      <c r="C295" s="15">
        <v>2.0</v>
      </c>
      <c r="D295" s="15" t="s">
        <v>22</v>
      </c>
      <c r="E295" s="15">
        <v>0.74</v>
      </c>
      <c r="F295" s="15">
        <v>53.74</v>
      </c>
      <c r="G295" s="15">
        <v>31.47</v>
      </c>
      <c r="H295" s="15">
        <v>0.89</v>
      </c>
      <c r="I295" s="15">
        <v>0.68</v>
      </c>
      <c r="J295" s="15">
        <v>0.29</v>
      </c>
      <c r="K295" s="15">
        <v>0.04</v>
      </c>
      <c r="L295" s="15">
        <v>9.6</v>
      </c>
      <c r="M295" s="15" t="s">
        <v>25</v>
      </c>
    </row>
    <row r="296" ht="15.75" customHeight="1">
      <c r="A296" s="15" t="s">
        <v>95</v>
      </c>
      <c r="B296" s="15" t="s">
        <v>1573</v>
      </c>
      <c r="C296" s="15">
        <v>2.0</v>
      </c>
      <c r="D296" s="15" t="s">
        <v>22</v>
      </c>
      <c r="E296" s="15">
        <v>0.86</v>
      </c>
      <c r="F296" s="15">
        <v>53.71</v>
      </c>
      <c r="G296" s="15">
        <v>32.19</v>
      </c>
      <c r="H296" s="15">
        <v>0.85</v>
      </c>
      <c r="I296" s="15">
        <v>0.65</v>
      </c>
      <c r="J296" s="15">
        <v>0.37</v>
      </c>
      <c r="K296" s="15">
        <v>0.06</v>
      </c>
      <c r="L296" s="15">
        <v>9.05</v>
      </c>
      <c r="M296" s="15" t="s">
        <v>25</v>
      </c>
    </row>
    <row r="297" ht="15.75" customHeight="1">
      <c r="A297" s="15" t="s">
        <v>875</v>
      </c>
      <c r="B297" s="15" t="s">
        <v>1576</v>
      </c>
      <c r="C297" s="15">
        <v>2.0</v>
      </c>
      <c r="D297" s="15" t="s">
        <v>22</v>
      </c>
      <c r="E297" s="15">
        <v>0.75</v>
      </c>
      <c r="F297" s="15">
        <v>53.71</v>
      </c>
      <c r="G297" s="15">
        <v>31.59</v>
      </c>
      <c r="H297" s="15">
        <v>0.89</v>
      </c>
      <c r="I297" s="15">
        <v>0.68</v>
      </c>
      <c r="J297" s="15">
        <v>0.42</v>
      </c>
      <c r="K297" s="15">
        <v>0.07</v>
      </c>
      <c r="L297" s="15">
        <v>8.17</v>
      </c>
      <c r="M297" s="15" t="s">
        <v>25</v>
      </c>
    </row>
    <row r="298" ht="15.75" customHeight="1">
      <c r="A298" s="15" t="s">
        <v>1579</v>
      </c>
      <c r="B298" s="15" t="s">
        <v>1581</v>
      </c>
      <c r="C298" s="15">
        <v>2.0</v>
      </c>
      <c r="D298" s="15" t="s">
        <v>22</v>
      </c>
      <c r="E298" s="15">
        <v>0.87</v>
      </c>
      <c r="F298" s="15">
        <v>53.69</v>
      </c>
      <c r="G298" s="15">
        <v>32.01</v>
      </c>
      <c r="H298" s="15">
        <v>0.85</v>
      </c>
      <c r="I298" s="15">
        <v>0.66</v>
      </c>
      <c r="J298" s="15">
        <v>0.37</v>
      </c>
      <c r="K298" s="15">
        <v>0.06</v>
      </c>
      <c r="L298" s="15">
        <v>9.06</v>
      </c>
      <c r="M298" s="15" t="s">
        <v>25</v>
      </c>
    </row>
    <row r="299" ht="15.75" customHeight="1">
      <c r="A299" s="15" t="s">
        <v>1584</v>
      </c>
      <c r="B299" s="15" t="s">
        <v>1586</v>
      </c>
      <c r="C299" s="15">
        <v>2.0</v>
      </c>
      <c r="D299" s="15" t="s">
        <v>22</v>
      </c>
      <c r="E299" s="15">
        <v>0.81</v>
      </c>
      <c r="F299" s="15">
        <v>53.69</v>
      </c>
      <c r="G299" s="15">
        <v>31.19</v>
      </c>
      <c r="H299" s="15">
        <v>0.82</v>
      </c>
      <c r="I299" s="15">
        <v>0.69</v>
      </c>
      <c r="J299" s="15">
        <v>0.38</v>
      </c>
      <c r="K299" s="15">
        <v>0.05</v>
      </c>
      <c r="L299" s="15">
        <v>9.0</v>
      </c>
      <c r="M299" s="15" t="s">
        <v>25</v>
      </c>
    </row>
    <row r="300" ht="15.75" customHeight="1">
      <c r="A300" s="15" t="s">
        <v>891</v>
      </c>
      <c r="B300" s="15" t="s">
        <v>1590</v>
      </c>
      <c r="C300" s="15">
        <v>2.0</v>
      </c>
      <c r="D300" s="15" t="s">
        <v>22</v>
      </c>
      <c r="E300" s="15">
        <v>0.75</v>
      </c>
      <c r="F300" s="15">
        <v>53.67</v>
      </c>
      <c r="G300" s="15">
        <v>31.92</v>
      </c>
      <c r="H300" s="15">
        <v>0.88</v>
      </c>
      <c r="I300" s="15">
        <v>0.66</v>
      </c>
      <c r="J300" s="15">
        <v>0.42</v>
      </c>
      <c r="K300" s="15">
        <v>0.07</v>
      </c>
      <c r="L300" s="15">
        <v>8.25</v>
      </c>
      <c r="M300" s="15" t="s">
        <v>25</v>
      </c>
    </row>
    <row r="301" ht="15.75" customHeight="1">
      <c r="A301" s="15" t="s">
        <v>1443</v>
      </c>
      <c r="B301" s="15" t="s">
        <v>1592</v>
      </c>
      <c r="C301" s="15">
        <v>2.0</v>
      </c>
      <c r="D301" s="15" t="s">
        <v>22</v>
      </c>
      <c r="E301" s="15">
        <v>0.81</v>
      </c>
      <c r="F301" s="15">
        <v>53.67</v>
      </c>
      <c r="G301" s="15">
        <v>30.99</v>
      </c>
      <c r="H301" s="15">
        <v>0.82</v>
      </c>
      <c r="I301" s="15">
        <v>0.7</v>
      </c>
      <c r="J301" s="15">
        <v>0.38</v>
      </c>
      <c r="K301" s="15">
        <v>0.05</v>
      </c>
      <c r="L301" s="15">
        <v>9.03</v>
      </c>
      <c r="M301" s="15" t="s">
        <v>25</v>
      </c>
    </row>
    <row r="302" ht="15.75" customHeight="1">
      <c r="A302" s="15" t="s">
        <v>1124</v>
      </c>
      <c r="B302" s="15" t="s">
        <v>1595</v>
      </c>
      <c r="C302" s="15">
        <v>2.0</v>
      </c>
      <c r="D302" s="15" t="s">
        <v>22</v>
      </c>
      <c r="E302" s="15">
        <v>0.75</v>
      </c>
      <c r="F302" s="15">
        <v>53.65</v>
      </c>
      <c r="G302" s="15">
        <v>31.58</v>
      </c>
      <c r="H302" s="15">
        <v>0.88</v>
      </c>
      <c r="I302" s="15">
        <v>0.68</v>
      </c>
      <c r="J302" s="15">
        <v>0.43</v>
      </c>
      <c r="K302" s="15">
        <v>0.07</v>
      </c>
      <c r="L302" s="15">
        <v>8.18</v>
      </c>
      <c r="M302" s="15" t="s">
        <v>25</v>
      </c>
    </row>
    <row r="303" ht="15.75" customHeight="1">
      <c r="A303" s="15" t="s">
        <v>257</v>
      </c>
      <c r="B303" s="15" t="s">
        <v>1599</v>
      </c>
      <c r="C303" s="15">
        <v>2.0</v>
      </c>
      <c r="D303" s="15" t="s">
        <v>22</v>
      </c>
      <c r="E303" s="15">
        <v>0.77</v>
      </c>
      <c r="F303" s="15">
        <v>53.65</v>
      </c>
      <c r="G303" s="15">
        <v>32.74</v>
      </c>
      <c r="H303" s="15">
        <v>0.89</v>
      </c>
      <c r="I303" s="15">
        <v>0.63</v>
      </c>
      <c r="J303" s="15">
        <v>0.4</v>
      </c>
      <c r="K303" s="15">
        <v>0.05</v>
      </c>
      <c r="L303" s="15">
        <v>8.89</v>
      </c>
      <c r="M303" s="15" t="s">
        <v>25</v>
      </c>
    </row>
    <row r="304" ht="15.75" customHeight="1">
      <c r="A304" s="15" t="s">
        <v>812</v>
      </c>
      <c r="B304" s="15" t="s">
        <v>1603</v>
      </c>
      <c r="C304" s="15">
        <v>2.0</v>
      </c>
      <c r="D304" s="15" t="s">
        <v>22</v>
      </c>
      <c r="E304" s="15">
        <v>0.74</v>
      </c>
      <c r="F304" s="15">
        <v>53.65</v>
      </c>
      <c r="G304" s="15">
        <v>31.46</v>
      </c>
      <c r="H304" s="15">
        <v>0.88</v>
      </c>
      <c r="I304" s="15">
        <v>0.68</v>
      </c>
      <c r="J304" s="15">
        <v>0.42</v>
      </c>
      <c r="K304" s="15">
        <v>0.07</v>
      </c>
      <c r="L304" s="15">
        <v>8.18</v>
      </c>
      <c r="M304" s="15" t="s">
        <v>25</v>
      </c>
    </row>
    <row r="305" ht="15.75" customHeight="1">
      <c r="A305" s="15" t="s">
        <v>100</v>
      </c>
      <c r="B305" s="15" t="s">
        <v>1607</v>
      </c>
      <c r="C305" s="15">
        <v>2.0</v>
      </c>
      <c r="D305" s="15" t="s">
        <v>22</v>
      </c>
      <c r="E305" s="15">
        <v>0.87</v>
      </c>
      <c r="F305" s="15">
        <v>53.64</v>
      </c>
      <c r="G305" s="15">
        <v>32.41</v>
      </c>
      <c r="H305" s="15">
        <v>0.85</v>
      </c>
      <c r="I305" s="15">
        <v>0.64</v>
      </c>
      <c r="J305" s="15">
        <v>0.37</v>
      </c>
      <c r="K305" s="15">
        <v>0.06</v>
      </c>
      <c r="L305" s="15">
        <v>9.07</v>
      </c>
      <c r="M305" s="15" t="s">
        <v>25</v>
      </c>
    </row>
    <row r="306" ht="15.75" customHeight="1">
      <c r="A306" s="15" t="s">
        <v>477</v>
      </c>
      <c r="B306" s="15" t="s">
        <v>1611</v>
      </c>
      <c r="C306" s="15">
        <v>2.0</v>
      </c>
      <c r="D306" s="15" t="s">
        <v>22</v>
      </c>
      <c r="E306" s="15">
        <v>0.77</v>
      </c>
      <c r="F306" s="15">
        <v>53.63</v>
      </c>
      <c r="G306" s="15">
        <v>32.25</v>
      </c>
      <c r="H306" s="15">
        <v>0.89</v>
      </c>
      <c r="I306" s="15">
        <v>0.65</v>
      </c>
      <c r="J306" s="15">
        <v>0.43</v>
      </c>
      <c r="K306" s="15">
        <v>0.06</v>
      </c>
      <c r="L306" s="15">
        <v>8.44</v>
      </c>
      <c r="M306" s="15" t="s">
        <v>25</v>
      </c>
    </row>
    <row r="307" ht="15.75" customHeight="1">
      <c r="A307" s="15" t="s">
        <v>805</v>
      </c>
      <c r="B307" s="15" t="s">
        <v>1614</v>
      </c>
      <c r="C307" s="15">
        <v>2.0</v>
      </c>
      <c r="D307" s="15" t="s">
        <v>22</v>
      </c>
      <c r="E307" s="15">
        <v>0.76</v>
      </c>
      <c r="F307" s="15">
        <v>53.63</v>
      </c>
      <c r="G307" s="15">
        <v>31.53</v>
      </c>
      <c r="H307" s="15">
        <v>0.88</v>
      </c>
      <c r="I307" s="15">
        <v>0.68</v>
      </c>
      <c r="J307" s="15">
        <v>0.43</v>
      </c>
      <c r="K307" s="15">
        <v>0.07</v>
      </c>
      <c r="L307" s="15">
        <v>8.19</v>
      </c>
      <c r="M307" s="15" t="s">
        <v>25</v>
      </c>
    </row>
    <row r="308" ht="15.75" customHeight="1">
      <c r="A308" s="15" t="s">
        <v>1618</v>
      </c>
      <c r="B308" s="15" t="s">
        <v>1620</v>
      </c>
      <c r="C308" s="15">
        <v>2.0</v>
      </c>
      <c r="D308" s="15" t="s">
        <v>22</v>
      </c>
      <c r="E308" s="15">
        <v>0.82</v>
      </c>
      <c r="F308" s="15">
        <v>53.62</v>
      </c>
      <c r="G308" s="15">
        <v>31.83</v>
      </c>
      <c r="H308" s="15">
        <v>0.86</v>
      </c>
      <c r="I308" s="15">
        <v>0.66</v>
      </c>
      <c r="J308" s="15">
        <v>0.49</v>
      </c>
      <c r="K308" s="15">
        <v>0.09</v>
      </c>
      <c r="L308" s="15">
        <v>8.24</v>
      </c>
      <c r="M308" s="15" t="s">
        <v>25</v>
      </c>
    </row>
    <row r="309" ht="15.75" customHeight="1">
      <c r="A309" s="15" t="s">
        <v>41</v>
      </c>
      <c r="B309" s="15" t="s">
        <v>1623</v>
      </c>
      <c r="C309" s="15">
        <v>2.0</v>
      </c>
      <c r="D309" s="15" t="s">
        <v>22</v>
      </c>
      <c r="E309" s="15">
        <v>0.87</v>
      </c>
      <c r="F309" s="15">
        <v>53.62</v>
      </c>
      <c r="G309" s="15">
        <v>32.11</v>
      </c>
      <c r="H309" s="15">
        <v>0.85</v>
      </c>
      <c r="I309" s="15">
        <v>0.65</v>
      </c>
      <c r="J309" s="15">
        <v>0.37</v>
      </c>
      <c r="K309" s="15">
        <v>0.06</v>
      </c>
      <c r="L309" s="15">
        <v>9.04</v>
      </c>
      <c r="M309" s="15" t="s">
        <v>25</v>
      </c>
    </row>
    <row r="310" ht="15.75" customHeight="1">
      <c r="A310" s="15" t="s">
        <v>1626</v>
      </c>
      <c r="B310" s="15" t="s">
        <v>1627</v>
      </c>
      <c r="C310" s="15">
        <v>2.0</v>
      </c>
      <c r="D310" s="15" t="s">
        <v>22</v>
      </c>
      <c r="E310" s="15">
        <v>0.81</v>
      </c>
      <c r="F310" s="15">
        <v>53.59</v>
      </c>
      <c r="G310" s="15">
        <v>31.29</v>
      </c>
      <c r="H310" s="15">
        <v>0.82</v>
      </c>
      <c r="I310" s="15">
        <v>0.69</v>
      </c>
      <c r="J310" s="15">
        <v>0.38</v>
      </c>
      <c r="K310" s="15">
        <v>0.05</v>
      </c>
      <c r="L310" s="15">
        <v>9.05</v>
      </c>
      <c r="M310" s="15" t="s">
        <v>25</v>
      </c>
    </row>
    <row r="311" ht="15.75" customHeight="1">
      <c r="A311" s="15" t="s">
        <v>250</v>
      </c>
      <c r="B311" s="15" t="s">
        <v>1632</v>
      </c>
      <c r="C311" s="15">
        <v>2.0</v>
      </c>
      <c r="D311" s="15" t="s">
        <v>22</v>
      </c>
      <c r="E311" s="15">
        <v>0.87</v>
      </c>
      <c r="F311" s="15">
        <v>53.58</v>
      </c>
      <c r="G311" s="15">
        <v>32.16</v>
      </c>
      <c r="H311" s="15">
        <v>0.85</v>
      </c>
      <c r="I311" s="15">
        <v>0.65</v>
      </c>
      <c r="J311" s="15">
        <v>0.37</v>
      </c>
      <c r="K311" s="15">
        <v>0.06</v>
      </c>
      <c r="L311" s="15">
        <v>9.06</v>
      </c>
      <c r="M311" s="15" t="s">
        <v>25</v>
      </c>
    </row>
    <row r="312" ht="15.75" customHeight="1">
      <c r="A312" s="15" t="s">
        <v>18</v>
      </c>
      <c r="B312" s="15" t="s">
        <v>1635</v>
      </c>
      <c r="C312" s="15">
        <v>2.0</v>
      </c>
      <c r="D312" s="15" t="s">
        <v>22</v>
      </c>
      <c r="E312" s="15">
        <v>0.87</v>
      </c>
      <c r="F312" s="15">
        <v>53.57</v>
      </c>
      <c r="G312" s="15">
        <v>31.74</v>
      </c>
      <c r="H312" s="15">
        <v>0.85</v>
      </c>
      <c r="I312" s="15">
        <v>0.67</v>
      </c>
      <c r="J312" s="15">
        <v>0.37</v>
      </c>
      <c r="K312" s="15">
        <v>0.06</v>
      </c>
      <c r="L312" s="15">
        <v>9.06</v>
      </c>
      <c r="M312" s="15" t="s">
        <v>25</v>
      </c>
    </row>
    <row r="313" ht="15.75" customHeight="1">
      <c r="A313" s="15" t="s">
        <v>1639</v>
      </c>
      <c r="B313" s="15" t="s">
        <v>1640</v>
      </c>
      <c r="C313" s="15">
        <v>2.0</v>
      </c>
      <c r="D313" s="15" t="s">
        <v>22</v>
      </c>
      <c r="E313" s="15">
        <v>0.87</v>
      </c>
      <c r="F313" s="15">
        <v>53.56</v>
      </c>
      <c r="G313" s="15">
        <v>31.91</v>
      </c>
      <c r="H313" s="15">
        <v>0.85</v>
      </c>
      <c r="I313" s="15">
        <v>0.66</v>
      </c>
      <c r="J313" s="15">
        <v>0.37</v>
      </c>
      <c r="K313" s="15">
        <v>0.06</v>
      </c>
      <c r="L313" s="15">
        <v>9.06</v>
      </c>
      <c r="M313" s="15" t="s">
        <v>25</v>
      </c>
    </row>
    <row r="314" ht="15.75" customHeight="1">
      <c r="A314" s="15" t="s">
        <v>113</v>
      </c>
      <c r="B314" s="15" t="s">
        <v>1644</v>
      </c>
      <c r="C314" s="15">
        <v>2.0</v>
      </c>
      <c r="D314" s="15" t="s">
        <v>22</v>
      </c>
      <c r="E314" s="15">
        <v>0.87</v>
      </c>
      <c r="F314" s="15">
        <v>53.56</v>
      </c>
      <c r="G314" s="15">
        <v>32.33</v>
      </c>
      <c r="H314" s="15">
        <v>0.85</v>
      </c>
      <c r="I314" s="15">
        <v>0.64</v>
      </c>
      <c r="J314" s="15">
        <v>0.37</v>
      </c>
      <c r="K314" s="15">
        <v>0.06</v>
      </c>
      <c r="L314" s="15">
        <v>9.06</v>
      </c>
      <c r="M314" s="15" t="s">
        <v>25</v>
      </c>
    </row>
    <row r="315" ht="15.75" customHeight="1">
      <c r="A315" s="15" t="s">
        <v>80</v>
      </c>
      <c r="B315" s="15" t="s">
        <v>1649</v>
      </c>
      <c r="C315" s="15">
        <v>2.0</v>
      </c>
      <c r="D315" s="15" t="s">
        <v>22</v>
      </c>
      <c r="E315" s="15">
        <v>0.86</v>
      </c>
      <c r="F315" s="15">
        <v>53.56</v>
      </c>
      <c r="G315" s="15">
        <v>33.0</v>
      </c>
      <c r="H315" s="15">
        <v>0.86</v>
      </c>
      <c r="I315" s="15">
        <v>0.62</v>
      </c>
      <c r="J315" s="15">
        <v>0.41</v>
      </c>
      <c r="K315" s="15">
        <v>0.07</v>
      </c>
      <c r="L315" s="15">
        <v>8.81</v>
      </c>
      <c r="M315" s="15" t="s">
        <v>25</v>
      </c>
    </row>
    <row r="316" ht="15.75" customHeight="1">
      <c r="A316" s="15" t="s">
        <v>1199</v>
      </c>
      <c r="B316" s="15" t="s">
        <v>1653</v>
      </c>
      <c r="C316" s="15">
        <v>2.0</v>
      </c>
      <c r="D316" s="15" t="s">
        <v>22</v>
      </c>
      <c r="E316" s="15">
        <v>0.86</v>
      </c>
      <c r="F316" s="15">
        <v>53.56</v>
      </c>
      <c r="G316" s="15">
        <v>32.15</v>
      </c>
      <c r="H316" s="15">
        <v>0.85</v>
      </c>
      <c r="I316" s="15">
        <v>0.65</v>
      </c>
      <c r="J316" s="15">
        <v>0.37</v>
      </c>
      <c r="K316" s="15">
        <v>0.06</v>
      </c>
      <c r="L316" s="15">
        <v>9.09</v>
      </c>
      <c r="M316" s="15" t="s">
        <v>25</v>
      </c>
    </row>
    <row r="317" ht="15.75" customHeight="1">
      <c r="A317" s="15" t="s">
        <v>1657</v>
      </c>
      <c r="B317" s="15" t="s">
        <v>1658</v>
      </c>
      <c r="C317" s="15">
        <v>2.0</v>
      </c>
      <c r="D317" s="15" t="s">
        <v>22</v>
      </c>
      <c r="E317" s="15">
        <v>0.81</v>
      </c>
      <c r="F317" s="15">
        <v>53.55</v>
      </c>
      <c r="G317" s="15">
        <v>31.22</v>
      </c>
      <c r="H317" s="15">
        <v>0.82</v>
      </c>
      <c r="I317" s="15">
        <v>0.69</v>
      </c>
      <c r="J317" s="15">
        <v>0.4</v>
      </c>
      <c r="K317" s="15">
        <v>0.06</v>
      </c>
      <c r="L317" s="15">
        <v>8.96</v>
      </c>
      <c r="M317" s="15" t="s">
        <v>25</v>
      </c>
    </row>
    <row r="318" ht="15.75" customHeight="1">
      <c r="A318" s="15" t="s">
        <v>333</v>
      </c>
      <c r="B318" s="15" t="s">
        <v>1662</v>
      </c>
      <c r="C318" s="15">
        <v>2.0</v>
      </c>
      <c r="D318" s="15" t="s">
        <v>22</v>
      </c>
      <c r="E318" s="15">
        <v>0.76</v>
      </c>
      <c r="F318" s="15">
        <v>53.53</v>
      </c>
      <c r="G318" s="15">
        <v>31.96</v>
      </c>
      <c r="H318" s="15">
        <v>0.88</v>
      </c>
      <c r="I318" s="15">
        <v>0.66</v>
      </c>
      <c r="J318" s="15">
        <v>0.49</v>
      </c>
      <c r="K318" s="15">
        <v>0.07</v>
      </c>
      <c r="L318" s="15">
        <v>8.09</v>
      </c>
      <c r="M318" s="15" t="s">
        <v>25</v>
      </c>
    </row>
    <row r="319" ht="15.75" customHeight="1">
      <c r="A319" s="15" t="s">
        <v>1666</v>
      </c>
      <c r="B319" s="15" t="s">
        <v>1667</v>
      </c>
      <c r="C319" s="15">
        <v>2.0</v>
      </c>
      <c r="D319" s="15" t="s">
        <v>22</v>
      </c>
      <c r="E319" s="15">
        <v>0.86</v>
      </c>
      <c r="F319" s="15">
        <v>53.53</v>
      </c>
      <c r="G319" s="15">
        <v>31.73</v>
      </c>
      <c r="H319" s="15">
        <v>0.85</v>
      </c>
      <c r="I319" s="15">
        <v>0.67</v>
      </c>
      <c r="J319" s="15">
        <v>0.37</v>
      </c>
      <c r="K319" s="15">
        <v>0.06</v>
      </c>
      <c r="L319" s="15">
        <v>9.06</v>
      </c>
      <c r="M319" s="15" t="s">
        <v>25</v>
      </c>
    </row>
    <row r="320" ht="15.75" customHeight="1">
      <c r="A320" s="15" t="s">
        <v>1671</v>
      </c>
      <c r="B320" s="15" t="s">
        <v>1672</v>
      </c>
      <c r="C320" s="15">
        <v>2.0</v>
      </c>
      <c r="D320" s="15" t="s">
        <v>22</v>
      </c>
      <c r="E320" s="15">
        <v>0.81</v>
      </c>
      <c r="F320" s="15">
        <v>53.53</v>
      </c>
      <c r="G320" s="15">
        <v>31.21</v>
      </c>
      <c r="H320" s="15">
        <v>0.82</v>
      </c>
      <c r="I320" s="15">
        <v>0.69</v>
      </c>
      <c r="J320" s="15">
        <v>0.38</v>
      </c>
      <c r="K320" s="15">
        <v>0.05</v>
      </c>
      <c r="L320" s="15">
        <v>9.01</v>
      </c>
      <c r="M320" s="15" t="s">
        <v>25</v>
      </c>
    </row>
    <row r="321" ht="15.75" customHeight="1">
      <c r="A321" s="15" t="s">
        <v>977</v>
      </c>
      <c r="B321" s="15" t="s">
        <v>1676</v>
      </c>
      <c r="C321" s="15">
        <v>2.0</v>
      </c>
      <c r="D321" s="15" t="s">
        <v>22</v>
      </c>
      <c r="E321" s="15">
        <v>0.76</v>
      </c>
      <c r="F321" s="15">
        <v>53.51</v>
      </c>
      <c r="G321" s="15">
        <v>32.52</v>
      </c>
      <c r="H321" s="15">
        <v>0.89</v>
      </c>
      <c r="I321" s="15">
        <v>0.64</v>
      </c>
      <c r="J321" s="15">
        <v>0.41</v>
      </c>
      <c r="K321" s="15">
        <v>0.07</v>
      </c>
      <c r="L321" s="15">
        <v>8.24</v>
      </c>
      <c r="M321" s="15" t="s">
        <v>25</v>
      </c>
    </row>
    <row r="322" ht="15.75" customHeight="1">
      <c r="A322" s="15" t="s">
        <v>61</v>
      </c>
      <c r="B322" s="15" t="s">
        <v>1681</v>
      </c>
      <c r="C322" s="15">
        <v>2.0</v>
      </c>
      <c r="D322" s="15" t="s">
        <v>22</v>
      </c>
      <c r="E322" s="15">
        <v>0.87</v>
      </c>
      <c r="F322" s="15">
        <v>53.51</v>
      </c>
      <c r="G322" s="15">
        <v>32.06</v>
      </c>
      <c r="H322" s="15">
        <v>0.85</v>
      </c>
      <c r="I322" s="15">
        <v>0.65</v>
      </c>
      <c r="J322" s="15">
        <v>0.37</v>
      </c>
      <c r="K322" s="15">
        <v>0.06</v>
      </c>
      <c r="L322" s="15">
        <v>9.05</v>
      </c>
      <c r="M322" s="15" t="s">
        <v>25</v>
      </c>
    </row>
    <row r="323" ht="15.75" customHeight="1">
      <c r="A323" s="15" t="s">
        <v>593</v>
      </c>
      <c r="B323" s="15" t="s">
        <v>1686</v>
      </c>
      <c r="C323" s="15">
        <v>2.0</v>
      </c>
      <c r="D323" s="15" t="s">
        <v>22</v>
      </c>
      <c r="E323" s="15">
        <v>0.7</v>
      </c>
      <c r="F323" s="15">
        <v>53.5</v>
      </c>
      <c r="G323" s="15">
        <v>31.84</v>
      </c>
      <c r="H323" s="15">
        <v>0.9</v>
      </c>
      <c r="I323" s="15">
        <v>0.66</v>
      </c>
      <c r="J323" s="15">
        <v>0.34</v>
      </c>
      <c r="K323" s="15">
        <v>0.05</v>
      </c>
      <c r="L323" s="15">
        <v>9.33</v>
      </c>
      <c r="M323" s="15" t="s">
        <v>25</v>
      </c>
    </row>
    <row r="324" ht="15.75" customHeight="1">
      <c r="A324" s="15" t="s">
        <v>54</v>
      </c>
      <c r="B324" s="15" t="s">
        <v>1689</v>
      </c>
      <c r="C324" s="15">
        <v>2.0</v>
      </c>
      <c r="D324" s="15" t="s">
        <v>22</v>
      </c>
      <c r="E324" s="15">
        <v>0.87</v>
      </c>
      <c r="F324" s="15">
        <v>53.47</v>
      </c>
      <c r="G324" s="15">
        <v>31.76</v>
      </c>
      <c r="H324" s="15">
        <v>0.85</v>
      </c>
      <c r="I324" s="15">
        <v>0.67</v>
      </c>
      <c r="J324" s="15">
        <v>0.37</v>
      </c>
      <c r="K324" s="15">
        <v>0.06</v>
      </c>
      <c r="L324" s="15">
        <v>9.05</v>
      </c>
      <c r="M324" s="15" t="s">
        <v>25</v>
      </c>
    </row>
    <row r="325" ht="15.75" customHeight="1">
      <c r="A325" s="15" t="s">
        <v>800</v>
      </c>
      <c r="B325" s="15" t="s">
        <v>1692</v>
      </c>
      <c r="C325" s="15">
        <v>2.0</v>
      </c>
      <c r="D325" s="15" t="s">
        <v>22</v>
      </c>
      <c r="E325" s="15">
        <v>0.77</v>
      </c>
      <c r="F325" s="15">
        <v>53.46</v>
      </c>
      <c r="G325" s="15">
        <v>31.31</v>
      </c>
      <c r="H325" s="15">
        <v>0.88</v>
      </c>
      <c r="I325" s="15">
        <v>0.69</v>
      </c>
      <c r="J325" s="15">
        <v>0.43</v>
      </c>
      <c r="K325" s="15">
        <v>0.07</v>
      </c>
      <c r="L325" s="15">
        <v>8.19</v>
      </c>
      <c r="M325" s="15" t="s">
        <v>25</v>
      </c>
    </row>
    <row r="326" ht="15.75" customHeight="1">
      <c r="A326" s="15" t="s">
        <v>967</v>
      </c>
      <c r="B326" s="15" t="s">
        <v>1696</v>
      </c>
      <c r="C326" s="15">
        <v>2.0</v>
      </c>
      <c r="D326" s="15" t="s">
        <v>22</v>
      </c>
      <c r="E326" s="15">
        <v>0.74</v>
      </c>
      <c r="F326" s="15">
        <v>53.45</v>
      </c>
      <c r="G326" s="15">
        <v>31.84</v>
      </c>
      <c r="H326" s="15">
        <v>0.89</v>
      </c>
      <c r="I326" s="15">
        <v>0.66</v>
      </c>
      <c r="J326" s="15">
        <v>0.41</v>
      </c>
      <c r="K326" s="15">
        <v>0.07</v>
      </c>
      <c r="L326" s="15">
        <v>8.23</v>
      </c>
      <c r="M326" s="15" t="s">
        <v>25</v>
      </c>
    </row>
    <row r="327" ht="15.75" customHeight="1">
      <c r="A327" s="15" t="s">
        <v>71</v>
      </c>
      <c r="B327" s="15" t="s">
        <v>1699</v>
      </c>
      <c r="C327" s="15">
        <v>2.0</v>
      </c>
      <c r="D327" s="15" t="s">
        <v>22</v>
      </c>
      <c r="E327" s="15">
        <v>0.87</v>
      </c>
      <c r="F327" s="15">
        <v>53.44</v>
      </c>
      <c r="G327" s="15">
        <v>32.4</v>
      </c>
      <c r="H327" s="15">
        <v>0.86</v>
      </c>
      <c r="I327" s="15">
        <v>0.64</v>
      </c>
      <c r="J327" s="15">
        <v>0.38</v>
      </c>
      <c r="K327" s="15">
        <v>0.06</v>
      </c>
      <c r="L327" s="15">
        <v>9.05</v>
      </c>
      <c r="M327" s="15" t="s">
        <v>25</v>
      </c>
    </row>
    <row r="328" ht="15.75" customHeight="1">
      <c r="A328" s="15" t="s">
        <v>919</v>
      </c>
      <c r="B328" s="15" t="s">
        <v>1703</v>
      </c>
      <c r="C328" s="15">
        <v>2.0</v>
      </c>
      <c r="D328" s="15" t="s">
        <v>22</v>
      </c>
      <c r="E328" s="15">
        <v>0.75</v>
      </c>
      <c r="F328" s="15">
        <v>53.41</v>
      </c>
      <c r="G328" s="15">
        <v>31.96</v>
      </c>
      <c r="H328" s="15">
        <v>0.89</v>
      </c>
      <c r="I328" s="15">
        <v>0.66</v>
      </c>
      <c r="J328" s="15">
        <v>0.41</v>
      </c>
      <c r="K328" s="15">
        <v>0.07</v>
      </c>
      <c r="L328" s="15">
        <v>8.23</v>
      </c>
      <c r="M328" s="15" t="s">
        <v>25</v>
      </c>
    </row>
    <row r="329" ht="15.75" customHeight="1">
      <c r="A329" s="15" t="s">
        <v>1706</v>
      </c>
      <c r="B329" s="15" t="s">
        <v>1707</v>
      </c>
      <c r="C329" s="15">
        <v>2.0</v>
      </c>
      <c r="D329" s="15" t="s">
        <v>22</v>
      </c>
      <c r="E329" s="15">
        <v>0.84</v>
      </c>
      <c r="F329" s="15">
        <v>53.4</v>
      </c>
      <c r="G329" s="15">
        <v>31.47</v>
      </c>
      <c r="H329" s="15">
        <v>0.87</v>
      </c>
      <c r="I329" s="15">
        <v>0.68</v>
      </c>
      <c r="J329" s="15">
        <v>0.47</v>
      </c>
      <c r="K329" s="15">
        <v>0.08</v>
      </c>
      <c r="L329" s="15">
        <v>8.39</v>
      </c>
      <c r="M329" s="15" t="s">
        <v>25</v>
      </c>
    </row>
    <row r="330" ht="15.75" customHeight="1">
      <c r="A330" s="15" t="s">
        <v>1710</v>
      </c>
      <c r="B330" s="15" t="s">
        <v>1711</v>
      </c>
      <c r="C330" s="15">
        <v>2.0</v>
      </c>
      <c r="D330" s="15" t="s">
        <v>22</v>
      </c>
      <c r="E330" s="15">
        <v>0.87</v>
      </c>
      <c r="F330" s="15">
        <v>53.38</v>
      </c>
      <c r="G330" s="15">
        <v>32.38</v>
      </c>
      <c r="H330" s="15">
        <v>0.86</v>
      </c>
      <c r="I330" s="15">
        <v>0.64</v>
      </c>
      <c r="J330" s="15">
        <v>0.37</v>
      </c>
      <c r="K330" s="15">
        <v>0.07</v>
      </c>
      <c r="L330" s="15">
        <v>9.05</v>
      </c>
      <c r="M330" s="15" t="s">
        <v>25</v>
      </c>
    </row>
    <row r="331" ht="15.75" customHeight="1">
      <c r="A331" s="15" t="s">
        <v>541</v>
      </c>
      <c r="B331" s="15" t="s">
        <v>1714</v>
      </c>
      <c r="C331" s="15">
        <v>2.0</v>
      </c>
      <c r="D331" s="15" t="s">
        <v>22</v>
      </c>
      <c r="E331" s="15">
        <v>0.69</v>
      </c>
      <c r="F331" s="15">
        <v>53.38</v>
      </c>
      <c r="G331" s="15">
        <v>31.57</v>
      </c>
      <c r="H331" s="15">
        <v>0.89</v>
      </c>
      <c r="I331" s="15">
        <v>0.67</v>
      </c>
      <c r="J331" s="15">
        <v>0.33</v>
      </c>
      <c r="K331" s="15">
        <v>0.05</v>
      </c>
      <c r="L331" s="15">
        <v>9.33</v>
      </c>
      <c r="M331" s="15" t="s">
        <v>25</v>
      </c>
    </row>
    <row r="332" ht="15.75" customHeight="1">
      <c r="A332" s="15" t="s">
        <v>301</v>
      </c>
      <c r="B332" s="15" t="s">
        <v>1717</v>
      </c>
      <c r="C332" s="15">
        <v>2.0</v>
      </c>
      <c r="D332" s="15" t="s">
        <v>22</v>
      </c>
      <c r="E332" s="15">
        <v>0.74</v>
      </c>
      <c r="F332" s="15">
        <v>53.37</v>
      </c>
      <c r="G332" s="15">
        <v>31.32</v>
      </c>
      <c r="H332" s="15">
        <v>0.89</v>
      </c>
      <c r="I332" s="15">
        <v>0.68</v>
      </c>
      <c r="J332" s="15">
        <v>0.29</v>
      </c>
      <c r="K332" s="15">
        <v>0.04</v>
      </c>
      <c r="L332" s="15">
        <v>9.6</v>
      </c>
      <c r="M332" s="15" t="s">
        <v>25</v>
      </c>
    </row>
    <row r="333" ht="15.75" customHeight="1">
      <c r="A333" s="15" t="s">
        <v>1719</v>
      </c>
      <c r="B333" s="15" t="s">
        <v>1721</v>
      </c>
      <c r="C333" s="15">
        <v>2.0</v>
      </c>
      <c r="D333" s="15" t="s">
        <v>22</v>
      </c>
      <c r="E333" s="15">
        <v>0.87</v>
      </c>
      <c r="F333" s="15">
        <v>53.35</v>
      </c>
      <c r="G333" s="15">
        <v>31.69</v>
      </c>
      <c r="H333" s="15">
        <v>0.87</v>
      </c>
      <c r="I333" s="15">
        <v>0.67</v>
      </c>
      <c r="J333" s="15">
        <v>0.43</v>
      </c>
      <c r="K333" s="15">
        <v>0.07</v>
      </c>
      <c r="L333" s="15">
        <v>8.41</v>
      </c>
      <c r="M333" s="15" t="s">
        <v>25</v>
      </c>
    </row>
    <row r="334" ht="15.75" customHeight="1">
      <c r="A334" s="15" t="s">
        <v>847</v>
      </c>
      <c r="B334" s="15" t="s">
        <v>1724</v>
      </c>
      <c r="C334" s="15">
        <v>2.0</v>
      </c>
      <c r="D334" s="15" t="s">
        <v>22</v>
      </c>
      <c r="E334" s="15">
        <v>0.75</v>
      </c>
      <c r="F334" s="15">
        <v>53.32</v>
      </c>
      <c r="G334" s="15">
        <v>31.95</v>
      </c>
      <c r="H334" s="15">
        <v>0.89</v>
      </c>
      <c r="I334" s="15">
        <v>0.66</v>
      </c>
      <c r="J334" s="15">
        <v>0.41</v>
      </c>
      <c r="K334" s="15">
        <v>0.07</v>
      </c>
      <c r="L334" s="15">
        <v>8.24</v>
      </c>
      <c r="M334" s="15" t="s">
        <v>25</v>
      </c>
    </row>
    <row r="335" ht="15.75" customHeight="1">
      <c r="A335" s="15" t="s">
        <v>1324</v>
      </c>
      <c r="B335" s="15" t="s">
        <v>1728</v>
      </c>
      <c r="C335" s="15">
        <v>2.0</v>
      </c>
      <c r="D335" s="15" t="s">
        <v>22</v>
      </c>
      <c r="E335" s="15">
        <v>0.69</v>
      </c>
      <c r="F335" s="15">
        <v>53.29</v>
      </c>
      <c r="G335" s="15">
        <v>31.5</v>
      </c>
      <c r="H335" s="15">
        <v>0.89</v>
      </c>
      <c r="I335" s="15">
        <v>0.68</v>
      </c>
      <c r="J335" s="15">
        <v>0.33</v>
      </c>
      <c r="K335" s="15">
        <v>0.05</v>
      </c>
      <c r="L335" s="15">
        <v>9.36</v>
      </c>
      <c r="M335" s="15" t="s">
        <v>25</v>
      </c>
    </row>
    <row r="336" ht="15.75" customHeight="1">
      <c r="A336" s="15" t="s">
        <v>911</v>
      </c>
      <c r="B336" s="15" t="s">
        <v>1730</v>
      </c>
      <c r="C336" s="15">
        <v>2.0</v>
      </c>
      <c r="D336" s="15" t="s">
        <v>22</v>
      </c>
      <c r="E336" s="15">
        <v>0.76</v>
      </c>
      <c r="F336" s="15">
        <v>53.29</v>
      </c>
      <c r="G336" s="15">
        <v>31.78</v>
      </c>
      <c r="H336" s="15">
        <v>0.88</v>
      </c>
      <c r="I336" s="15">
        <v>0.66</v>
      </c>
      <c r="J336" s="15">
        <v>0.42</v>
      </c>
      <c r="K336" s="15">
        <v>0.07</v>
      </c>
      <c r="L336" s="15">
        <v>8.19</v>
      </c>
      <c r="M336" s="15" t="s">
        <v>25</v>
      </c>
    </row>
    <row r="337" ht="15.75" customHeight="1">
      <c r="A337" s="15" t="s">
        <v>1005</v>
      </c>
      <c r="B337" s="15" t="s">
        <v>1733</v>
      </c>
      <c r="C337" s="15">
        <v>2.0</v>
      </c>
      <c r="D337" s="15" t="s">
        <v>22</v>
      </c>
      <c r="E337" s="15">
        <v>0.74</v>
      </c>
      <c r="F337" s="15">
        <v>53.27</v>
      </c>
      <c r="G337" s="15">
        <v>31.61</v>
      </c>
      <c r="H337" s="15">
        <v>0.89</v>
      </c>
      <c r="I337" s="15">
        <v>0.67</v>
      </c>
      <c r="J337" s="15">
        <v>0.42</v>
      </c>
      <c r="K337" s="15">
        <v>0.07</v>
      </c>
      <c r="L337" s="15">
        <v>8.22</v>
      </c>
      <c r="M337" s="15" t="s">
        <v>25</v>
      </c>
    </row>
    <row r="338" ht="15.75" customHeight="1">
      <c r="A338" s="15" t="s">
        <v>1113</v>
      </c>
      <c r="B338" s="15" t="s">
        <v>1736</v>
      </c>
      <c r="C338" s="15">
        <v>2.0</v>
      </c>
      <c r="D338" s="15" t="s">
        <v>22</v>
      </c>
      <c r="E338" s="15">
        <v>0.68</v>
      </c>
      <c r="F338" s="15">
        <v>53.24</v>
      </c>
      <c r="G338" s="15">
        <v>31.38</v>
      </c>
      <c r="H338" s="15">
        <v>0.89</v>
      </c>
      <c r="I338" s="15">
        <v>0.68</v>
      </c>
      <c r="J338" s="15">
        <v>0.36</v>
      </c>
      <c r="K338" s="15">
        <v>0.05</v>
      </c>
      <c r="L338" s="15">
        <v>9.16</v>
      </c>
      <c r="M338" s="15" t="s">
        <v>25</v>
      </c>
    </row>
    <row r="339" ht="15.75" customHeight="1">
      <c r="A339" s="15" t="s">
        <v>611</v>
      </c>
      <c r="B339" s="15" t="s">
        <v>1740</v>
      </c>
      <c r="C339" s="15">
        <v>2.0</v>
      </c>
      <c r="D339" s="15" t="s">
        <v>22</v>
      </c>
      <c r="E339" s="15">
        <v>0.68</v>
      </c>
      <c r="F339" s="15">
        <v>53.24</v>
      </c>
      <c r="G339" s="15">
        <v>31.51</v>
      </c>
      <c r="H339" s="15">
        <v>0.89</v>
      </c>
      <c r="I339" s="15">
        <v>0.67</v>
      </c>
      <c r="J339" s="15">
        <v>0.33</v>
      </c>
      <c r="K339" s="15">
        <v>0.05</v>
      </c>
      <c r="L339" s="15">
        <v>9.33</v>
      </c>
      <c r="M339" s="15" t="s">
        <v>25</v>
      </c>
    </row>
    <row r="340" ht="15.75" customHeight="1">
      <c r="A340" s="15" t="s">
        <v>645</v>
      </c>
      <c r="B340" s="15" t="s">
        <v>1743</v>
      </c>
      <c r="C340" s="15">
        <v>2.0</v>
      </c>
      <c r="D340" s="15" t="s">
        <v>22</v>
      </c>
      <c r="E340" s="15">
        <v>0.68</v>
      </c>
      <c r="F340" s="15">
        <v>53.23</v>
      </c>
      <c r="G340" s="15">
        <v>31.41</v>
      </c>
      <c r="H340" s="15">
        <v>0.89</v>
      </c>
      <c r="I340" s="15">
        <v>0.68</v>
      </c>
      <c r="J340" s="15">
        <v>0.34</v>
      </c>
      <c r="K340" s="15">
        <v>0.05</v>
      </c>
      <c r="L340" s="15">
        <v>9.33</v>
      </c>
      <c r="M340" s="15" t="s">
        <v>25</v>
      </c>
    </row>
    <row r="341" ht="15.75" customHeight="1">
      <c r="A341" s="15" t="s">
        <v>1008</v>
      </c>
      <c r="B341" s="15" t="s">
        <v>1747</v>
      </c>
      <c r="C341" s="15">
        <v>2.0</v>
      </c>
      <c r="D341" s="15" t="s">
        <v>22</v>
      </c>
      <c r="E341" s="15">
        <v>0.69</v>
      </c>
      <c r="F341" s="15">
        <v>53.21</v>
      </c>
      <c r="G341" s="15">
        <v>31.3</v>
      </c>
      <c r="H341" s="15">
        <v>0.89</v>
      </c>
      <c r="I341" s="15">
        <v>0.68</v>
      </c>
      <c r="J341" s="15">
        <v>0.33</v>
      </c>
      <c r="K341" s="15">
        <v>0.05</v>
      </c>
      <c r="L341" s="15">
        <v>9.33</v>
      </c>
      <c r="M341" s="15" t="s">
        <v>25</v>
      </c>
    </row>
    <row r="342" ht="15.75" customHeight="1">
      <c r="A342" s="15" t="s">
        <v>730</v>
      </c>
      <c r="B342" s="15" t="s">
        <v>1750</v>
      </c>
      <c r="C342" s="15">
        <v>2.0</v>
      </c>
      <c r="D342" s="15" t="s">
        <v>22</v>
      </c>
      <c r="E342" s="15">
        <v>0.69</v>
      </c>
      <c r="F342" s="15">
        <v>53.21</v>
      </c>
      <c r="G342" s="15">
        <v>31.38</v>
      </c>
      <c r="H342" s="15">
        <v>0.89</v>
      </c>
      <c r="I342" s="15">
        <v>0.68</v>
      </c>
      <c r="J342" s="15">
        <v>0.33</v>
      </c>
      <c r="K342" s="15">
        <v>0.05</v>
      </c>
      <c r="L342" s="15">
        <v>9.33</v>
      </c>
      <c r="M342" s="15" t="s">
        <v>25</v>
      </c>
    </row>
    <row r="343" ht="15.75" customHeight="1">
      <c r="A343" s="15" t="s">
        <v>1259</v>
      </c>
      <c r="B343" s="15" t="s">
        <v>1754</v>
      </c>
      <c r="C343" s="15">
        <v>2.0</v>
      </c>
      <c r="D343" s="15" t="s">
        <v>22</v>
      </c>
      <c r="E343" s="15">
        <v>0.76</v>
      </c>
      <c r="F343" s="15">
        <v>53.2</v>
      </c>
      <c r="G343" s="15">
        <v>32.04</v>
      </c>
      <c r="H343" s="15">
        <v>0.9</v>
      </c>
      <c r="I343" s="15">
        <v>0.65</v>
      </c>
      <c r="J343" s="15">
        <v>0.52</v>
      </c>
      <c r="K343" s="15">
        <v>0.07</v>
      </c>
      <c r="L343" s="15">
        <v>8.23</v>
      </c>
      <c r="M343" s="15" t="s">
        <v>25</v>
      </c>
    </row>
    <row r="344" ht="15.75" customHeight="1">
      <c r="A344" s="15" t="s">
        <v>1174</v>
      </c>
      <c r="B344" s="15" t="s">
        <v>1758</v>
      </c>
      <c r="C344" s="15">
        <v>2.0</v>
      </c>
      <c r="D344" s="15" t="s">
        <v>22</v>
      </c>
      <c r="E344" s="15">
        <v>0.69</v>
      </c>
      <c r="F344" s="15">
        <v>53.2</v>
      </c>
      <c r="G344" s="15">
        <v>31.53</v>
      </c>
      <c r="H344" s="15">
        <v>0.89</v>
      </c>
      <c r="I344" s="15">
        <v>0.67</v>
      </c>
      <c r="J344" s="15">
        <v>0.33</v>
      </c>
      <c r="K344" s="15">
        <v>0.05</v>
      </c>
      <c r="L344" s="15">
        <v>9.35</v>
      </c>
      <c r="M344" s="15" t="s">
        <v>25</v>
      </c>
    </row>
    <row r="345" ht="15.75" customHeight="1">
      <c r="A345" s="15" t="s">
        <v>759</v>
      </c>
      <c r="B345" s="15" t="s">
        <v>1761</v>
      </c>
      <c r="C345" s="15">
        <v>2.0</v>
      </c>
      <c r="D345" s="15" t="s">
        <v>22</v>
      </c>
      <c r="E345" s="15">
        <v>0.69</v>
      </c>
      <c r="F345" s="15">
        <v>53.19</v>
      </c>
      <c r="G345" s="15">
        <v>31.55</v>
      </c>
      <c r="H345" s="15">
        <v>0.89</v>
      </c>
      <c r="I345" s="15">
        <v>0.67</v>
      </c>
      <c r="J345" s="15">
        <v>0.33</v>
      </c>
      <c r="K345" s="15">
        <v>0.05</v>
      </c>
      <c r="L345" s="15">
        <v>9.33</v>
      </c>
      <c r="M345" s="15" t="s">
        <v>25</v>
      </c>
    </row>
    <row r="346" ht="15.75" customHeight="1">
      <c r="A346" s="15" t="s">
        <v>310</v>
      </c>
      <c r="B346" s="15" t="s">
        <v>1764</v>
      </c>
      <c r="C346" s="15">
        <v>2.0</v>
      </c>
      <c r="D346" s="15" t="s">
        <v>22</v>
      </c>
      <c r="E346" s="15">
        <v>0.53</v>
      </c>
      <c r="F346" s="15">
        <v>53.19</v>
      </c>
      <c r="G346" s="15">
        <v>31.74</v>
      </c>
      <c r="H346" s="15">
        <v>0.87</v>
      </c>
      <c r="I346" s="15">
        <v>0.66</v>
      </c>
      <c r="J346" s="15">
        <v>0.44</v>
      </c>
      <c r="K346" s="15">
        <v>0.06</v>
      </c>
      <c r="L346" s="15">
        <v>8.41</v>
      </c>
      <c r="M346" s="15" t="s">
        <v>25</v>
      </c>
    </row>
    <row r="347" ht="15.75" customHeight="1">
      <c r="A347" s="15" t="s">
        <v>70</v>
      </c>
      <c r="B347" s="15" t="s">
        <v>1767</v>
      </c>
      <c r="C347" s="15">
        <v>2.0</v>
      </c>
      <c r="D347" s="15" t="s">
        <v>22</v>
      </c>
      <c r="E347" s="15">
        <v>0.74</v>
      </c>
      <c r="F347" s="15">
        <v>53.16</v>
      </c>
      <c r="G347" s="15">
        <v>32.14</v>
      </c>
      <c r="H347" s="15">
        <v>0.89</v>
      </c>
      <c r="I347" s="15">
        <v>0.65</v>
      </c>
      <c r="J347" s="15">
        <v>0.29</v>
      </c>
      <c r="K347" s="15">
        <v>0.04</v>
      </c>
      <c r="L347" s="15">
        <v>9.63</v>
      </c>
      <c r="M347" s="15" t="s">
        <v>25</v>
      </c>
    </row>
    <row r="348" ht="15.75" customHeight="1">
      <c r="A348" s="15" t="s">
        <v>337</v>
      </c>
      <c r="B348" s="15" t="s">
        <v>1770</v>
      </c>
      <c r="C348" s="15">
        <v>2.0</v>
      </c>
      <c r="D348" s="15" t="s">
        <v>22</v>
      </c>
      <c r="E348" s="15">
        <v>0.54</v>
      </c>
      <c r="F348" s="15">
        <v>53.09</v>
      </c>
      <c r="G348" s="15">
        <v>32.92</v>
      </c>
      <c r="H348" s="15">
        <v>0.89</v>
      </c>
      <c r="I348" s="15">
        <v>0.62</v>
      </c>
      <c r="J348" s="15">
        <v>0.42</v>
      </c>
      <c r="K348" s="15">
        <v>0.06</v>
      </c>
      <c r="L348" s="15">
        <v>8.6</v>
      </c>
      <c r="M348" s="15" t="s">
        <v>25</v>
      </c>
    </row>
    <row r="349" ht="15.75" customHeight="1">
      <c r="A349" s="15" t="s">
        <v>796</v>
      </c>
      <c r="B349" s="15" t="s">
        <v>1773</v>
      </c>
      <c r="C349" s="15">
        <v>2.0</v>
      </c>
      <c r="D349" s="15" t="s">
        <v>22</v>
      </c>
      <c r="E349" s="15">
        <v>0.75</v>
      </c>
      <c r="F349" s="15">
        <v>53.07</v>
      </c>
      <c r="G349" s="15">
        <v>31.88</v>
      </c>
      <c r="H349" s="15">
        <v>0.89</v>
      </c>
      <c r="I349" s="15">
        <v>0.66</v>
      </c>
      <c r="J349" s="15">
        <v>0.42</v>
      </c>
      <c r="K349" s="15">
        <v>0.07</v>
      </c>
      <c r="L349" s="15">
        <v>8.14</v>
      </c>
      <c r="M349" s="15" t="s">
        <v>25</v>
      </c>
    </row>
    <row r="350" ht="15.75" customHeight="1">
      <c r="A350" s="15" t="s">
        <v>1776</v>
      </c>
      <c r="B350" s="15" t="s">
        <v>1777</v>
      </c>
      <c r="C350" s="15">
        <v>2.0</v>
      </c>
      <c r="D350" s="15" t="s">
        <v>22</v>
      </c>
      <c r="E350" s="15">
        <v>0.81</v>
      </c>
      <c r="F350" s="15">
        <v>53.05</v>
      </c>
      <c r="G350" s="15">
        <v>31.26</v>
      </c>
      <c r="H350" s="15">
        <v>0.83</v>
      </c>
      <c r="I350" s="15">
        <v>0.68</v>
      </c>
      <c r="J350" s="15">
        <v>0.45</v>
      </c>
      <c r="K350" s="15">
        <v>0.06</v>
      </c>
      <c r="L350" s="15">
        <v>8.65</v>
      </c>
      <c r="M350" s="15" t="s">
        <v>25</v>
      </c>
    </row>
    <row r="351" ht="15.75" customHeight="1">
      <c r="A351" s="15" t="s">
        <v>1493</v>
      </c>
      <c r="B351" s="15" t="s">
        <v>1780</v>
      </c>
      <c r="C351" s="15">
        <v>2.0</v>
      </c>
      <c r="D351" s="15" t="s">
        <v>22</v>
      </c>
      <c r="E351" s="15">
        <v>0.68</v>
      </c>
      <c r="F351" s="15">
        <v>53.05</v>
      </c>
      <c r="G351" s="15">
        <v>31.56</v>
      </c>
      <c r="H351" s="15">
        <v>0.89</v>
      </c>
      <c r="I351" s="15">
        <v>0.67</v>
      </c>
      <c r="J351" s="15">
        <v>0.33</v>
      </c>
      <c r="K351" s="15">
        <v>0.05</v>
      </c>
      <c r="L351" s="15">
        <v>9.36</v>
      </c>
      <c r="M351" s="15" t="s">
        <v>25</v>
      </c>
    </row>
    <row r="352" ht="15.75" customHeight="1">
      <c r="A352" s="15" t="s">
        <v>1609</v>
      </c>
      <c r="B352" s="15" t="s">
        <v>1784</v>
      </c>
      <c r="C352" s="15">
        <v>2.0</v>
      </c>
      <c r="D352" s="15" t="s">
        <v>22</v>
      </c>
      <c r="E352" s="15">
        <v>0.85</v>
      </c>
      <c r="F352" s="15">
        <v>53.04</v>
      </c>
      <c r="G352" s="15">
        <v>32.61</v>
      </c>
      <c r="H352" s="15">
        <v>0.87</v>
      </c>
      <c r="I352" s="15">
        <v>0.63</v>
      </c>
      <c r="J352" s="15">
        <v>0.42</v>
      </c>
      <c r="K352" s="15">
        <v>0.07</v>
      </c>
      <c r="L352" s="15">
        <v>8.75</v>
      </c>
      <c r="M352" s="15" t="s">
        <v>25</v>
      </c>
    </row>
    <row r="353" ht="15.75" customHeight="1">
      <c r="A353" s="15" t="s">
        <v>674</v>
      </c>
      <c r="B353" s="15" t="s">
        <v>1788</v>
      </c>
      <c r="C353" s="15">
        <v>2.0</v>
      </c>
      <c r="D353" s="15" t="s">
        <v>22</v>
      </c>
      <c r="E353" s="15">
        <v>0.56</v>
      </c>
      <c r="F353" s="15">
        <v>53.03</v>
      </c>
      <c r="G353" s="15">
        <v>30.6</v>
      </c>
      <c r="H353" s="15">
        <v>0.86</v>
      </c>
      <c r="I353" s="15">
        <v>0.71</v>
      </c>
      <c r="J353" s="15">
        <v>0.41</v>
      </c>
      <c r="K353" s="15">
        <v>0.06</v>
      </c>
      <c r="L353" s="15">
        <v>8.51</v>
      </c>
      <c r="M353" s="15" t="s">
        <v>25</v>
      </c>
    </row>
    <row r="354" ht="15.75" customHeight="1">
      <c r="A354" s="15" t="s">
        <v>635</v>
      </c>
      <c r="B354" s="15" t="s">
        <v>1791</v>
      </c>
      <c r="C354" s="15">
        <v>2.0</v>
      </c>
      <c r="D354" s="15" t="s">
        <v>22</v>
      </c>
      <c r="E354" s="15">
        <v>0.75</v>
      </c>
      <c r="F354" s="15">
        <v>53.0</v>
      </c>
      <c r="G354" s="15">
        <v>31.69</v>
      </c>
      <c r="H354" s="15">
        <v>0.89</v>
      </c>
      <c r="I354" s="15">
        <v>0.66</v>
      </c>
      <c r="J354" s="15">
        <v>0.44</v>
      </c>
      <c r="K354" s="15">
        <v>0.07</v>
      </c>
      <c r="L354" s="15">
        <v>8.11</v>
      </c>
      <c r="M354" s="15" t="s">
        <v>25</v>
      </c>
    </row>
    <row r="355" ht="15.75" customHeight="1">
      <c r="A355" s="15" t="s">
        <v>625</v>
      </c>
      <c r="B355" s="15" t="s">
        <v>1794</v>
      </c>
      <c r="C355" s="15">
        <v>2.0</v>
      </c>
      <c r="D355" s="15" t="s">
        <v>22</v>
      </c>
      <c r="E355" s="15">
        <v>0.7</v>
      </c>
      <c r="F355" s="15">
        <v>52.98</v>
      </c>
      <c r="G355" s="15">
        <v>31.76</v>
      </c>
      <c r="H355" s="15">
        <v>0.9</v>
      </c>
      <c r="I355" s="15">
        <v>0.66</v>
      </c>
      <c r="J355" s="15">
        <v>0.34</v>
      </c>
      <c r="K355" s="15">
        <v>0.05</v>
      </c>
      <c r="L355" s="15">
        <v>9.33</v>
      </c>
      <c r="M355" s="15" t="s">
        <v>25</v>
      </c>
    </row>
    <row r="356" ht="15.75" customHeight="1">
      <c r="A356" s="15" t="s">
        <v>705</v>
      </c>
      <c r="B356" s="15" t="s">
        <v>1797</v>
      </c>
      <c r="C356" s="15">
        <v>2.0</v>
      </c>
      <c r="D356" s="15" t="s">
        <v>22</v>
      </c>
      <c r="E356" s="15">
        <v>0.72</v>
      </c>
      <c r="F356" s="15">
        <v>52.91</v>
      </c>
      <c r="G356" s="15">
        <v>31.53</v>
      </c>
      <c r="H356" s="15">
        <v>0.89</v>
      </c>
      <c r="I356" s="15">
        <v>0.67</v>
      </c>
      <c r="J356" s="15">
        <v>0.53</v>
      </c>
      <c r="K356" s="15">
        <v>0.07</v>
      </c>
      <c r="L356" s="15">
        <v>8.15</v>
      </c>
      <c r="M356" s="15" t="s">
        <v>25</v>
      </c>
    </row>
    <row r="357" ht="15.75" customHeight="1">
      <c r="A357" s="15" t="s">
        <v>956</v>
      </c>
      <c r="B357" s="15" t="s">
        <v>1800</v>
      </c>
      <c r="C357" s="15">
        <v>2.0</v>
      </c>
      <c r="D357" s="15" t="s">
        <v>22</v>
      </c>
      <c r="E357" s="15">
        <v>0.76</v>
      </c>
      <c r="F357" s="15">
        <v>52.89</v>
      </c>
      <c r="G357" s="15">
        <v>31.57</v>
      </c>
      <c r="H357" s="15">
        <v>0.89</v>
      </c>
      <c r="I357" s="15">
        <v>0.67</v>
      </c>
      <c r="J357" s="15">
        <v>0.43</v>
      </c>
      <c r="K357" s="15">
        <v>0.06</v>
      </c>
      <c r="L357" s="15">
        <v>8.59</v>
      </c>
      <c r="M357" s="15" t="s">
        <v>25</v>
      </c>
    </row>
    <row r="358" ht="15.75" customHeight="1">
      <c r="A358" s="15" t="s">
        <v>464</v>
      </c>
      <c r="B358" s="15" t="s">
        <v>1803</v>
      </c>
      <c r="C358" s="15">
        <v>2.0</v>
      </c>
      <c r="D358" s="15" t="s">
        <v>22</v>
      </c>
      <c r="E358" s="15">
        <v>0.66</v>
      </c>
      <c r="F358" s="15">
        <v>52.87</v>
      </c>
      <c r="G358" s="15">
        <v>30.66</v>
      </c>
      <c r="H358" s="15">
        <v>0.87</v>
      </c>
      <c r="I358" s="15">
        <v>0.71</v>
      </c>
      <c r="J358" s="15">
        <v>0.45</v>
      </c>
      <c r="K358" s="15">
        <v>0.06</v>
      </c>
      <c r="L358" s="15">
        <v>8.45</v>
      </c>
      <c r="M358" s="15" t="s">
        <v>25</v>
      </c>
    </row>
    <row r="359" ht="15.75" customHeight="1">
      <c r="A359" s="15" t="s">
        <v>379</v>
      </c>
      <c r="B359" s="15" t="s">
        <v>1806</v>
      </c>
      <c r="C359" s="15">
        <v>2.0</v>
      </c>
      <c r="D359" s="15" t="s">
        <v>22</v>
      </c>
      <c r="E359" s="15">
        <v>0.77</v>
      </c>
      <c r="F359" s="15">
        <v>52.85</v>
      </c>
      <c r="G359" s="15">
        <v>31.73</v>
      </c>
      <c r="H359" s="15">
        <v>0.89</v>
      </c>
      <c r="I359" s="15">
        <v>0.66</v>
      </c>
      <c r="J359" s="15">
        <v>0.4</v>
      </c>
      <c r="K359" s="15">
        <v>0.05</v>
      </c>
      <c r="L359" s="15">
        <v>8.87</v>
      </c>
      <c r="M359" s="15" t="s">
        <v>25</v>
      </c>
    </row>
    <row r="360" ht="15.75" customHeight="1">
      <c r="A360" s="15" t="s">
        <v>994</v>
      </c>
      <c r="B360" s="15" t="s">
        <v>1809</v>
      </c>
      <c r="C360" s="15">
        <v>2.0</v>
      </c>
      <c r="D360" s="15" t="s">
        <v>22</v>
      </c>
      <c r="E360" s="15">
        <v>0.77</v>
      </c>
      <c r="F360" s="15">
        <v>52.73</v>
      </c>
      <c r="G360" s="15">
        <v>31.26</v>
      </c>
      <c r="H360" s="15">
        <v>0.89</v>
      </c>
      <c r="I360" s="15">
        <v>0.68</v>
      </c>
      <c r="J360" s="15">
        <v>0.43</v>
      </c>
      <c r="K360" s="15">
        <v>0.06</v>
      </c>
      <c r="L360" s="15">
        <v>8.59</v>
      </c>
      <c r="M360" s="15" t="s">
        <v>25</v>
      </c>
    </row>
    <row r="361" ht="15.75" customHeight="1">
      <c r="A361" s="15" t="s">
        <v>915</v>
      </c>
      <c r="B361" s="15" t="s">
        <v>1812</v>
      </c>
      <c r="C361" s="15">
        <v>2.0</v>
      </c>
      <c r="D361" s="15" t="s">
        <v>22</v>
      </c>
      <c r="E361" s="15">
        <v>0.76</v>
      </c>
      <c r="F361" s="15">
        <v>52.71</v>
      </c>
      <c r="G361" s="15">
        <v>31.39</v>
      </c>
      <c r="H361" s="15">
        <v>0.89</v>
      </c>
      <c r="I361" s="15">
        <v>0.67</v>
      </c>
      <c r="J361" s="15">
        <v>0.43</v>
      </c>
      <c r="K361" s="15">
        <v>0.06</v>
      </c>
      <c r="L361" s="15">
        <v>8.58</v>
      </c>
      <c r="M361" s="15" t="s">
        <v>25</v>
      </c>
    </row>
    <row r="362" ht="15.75" customHeight="1">
      <c r="A362" s="15" t="s">
        <v>982</v>
      </c>
      <c r="B362" s="15" t="s">
        <v>1816</v>
      </c>
      <c r="C362" s="15">
        <v>2.0</v>
      </c>
      <c r="D362" s="15" t="s">
        <v>22</v>
      </c>
      <c r="E362" s="15">
        <v>0.76</v>
      </c>
      <c r="F362" s="15">
        <v>52.71</v>
      </c>
      <c r="G362" s="15">
        <v>31.28</v>
      </c>
      <c r="H362" s="15">
        <v>0.89</v>
      </c>
      <c r="I362" s="15">
        <v>0.68</v>
      </c>
      <c r="J362" s="15">
        <v>0.43</v>
      </c>
      <c r="K362" s="15">
        <v>0.06</v>
      </c>
      <c r="L362" s="15">
        <v>8.6</v>
      </c>
      <c r="M362" s="15" t="s">
        <v>25</v>
      </c>
    </row>
    <row r="363" ht="15.75" customHeight="1">
      <c r="A363" s="15" t="s">
        <v>1818</v>
      </c>
      <c r="B363" s="15" t="s">
        <v>1819</v>
      </c>
      <c r="C363" s="15">
        <v>2.0</v>
      </c>
      <c r="D363" s="15" t="s">
        <v>22</v>
      </c>
      <c r="E363" s="15">
        <v>0.68</v>
      </c>
      <c r="F363" s="15">
        <v>52.65</v>
      </c>
      <c r="G363" s="15">
        <v>31.63</v>
      </c>
      <c r="H363" s="15">
        <v>0.87</v>
      </c>
      <c r="I363" s="15">
        <v>0.66</v>
      </c>
      <c r="J363" s="15">
        <v>0.6</v>
      </c>
      <c r="K363" s="15">
        <v>0.1</v>
      </c>
      <c r="L363" s="15">
        <v>7.64</v>
      </c>
      <c r="M363" s="15" t="s">
        <v>25</v>
      </c>
    </row>
    <row r="364" ht="15.75" customHeight="1">
      <c r="A364" s="15" t="s">
        <v>1822</v>
      </c>
      <c r="B364" s="15" t="s">
        <v>1823</v>
      </c>
      <c r="C364" s="15">
        <v>2.0</v>
      </c>
      <c r="D364" s="15" t="s">
        <v>22</v>
      </c>
      <c r="E364" s="15">
        <v>0.82</v>
      </c>
      <c r="F364" s="15">
        <v>52.63</v>
      </c>
      <c r="G364" s="15">
        <v>31.19</v>
      </c>
      <c r="H364" s="15">
        <v>0.87</v>
      </c>
      <c r="I364" s="15">
        <v>0.68</v>
      </c>
      <c r="J364" s="15">
        <v>0.54</v>
      </c>
      <c r="K364" s="15">
        <v>0.09</v>
      </c>
      <c r="L364" s="15">
        <v>7.99</v>
      </c>
      <c r="M364" s="15" t="s">
        <v>25</v>
      </c>
    </row>
    <row r="365" ht="15.75" customHeight="1">
      <c r="A365" s="15" t="s">
        <v>471</v>
      </c>
      <c r="B365" s="15" t="s">
        <v>1827</v>
      </c>
      <c r="C365" s="15">
        <v>2.0</v>
      </c>
      <c r="D365" s="15" t="s">
        <v>22</v>
      </c>
      <c r="E365" s="15">
        <v>0.69</v>
      </c>
      <c r="F365" s="15">
        <v>52.62</v>
      </c>
      <c r="G365" s="15">
        <v>31.18</v>
      </c>
      <c r="H365" s="15">
        <v>0.89</v>
      </c>
      <c r="I365" s="15">
        <v>0.68</v>
      </c>
      <c r="J365" s="15">
        <v>0.34</v>
      </c>
      <c r="K365" s="15">
        <v>0.05</v>
      </c>
      <c r="L365" s="15">
        <v>9.28</v>
      </c>
      <c r="M365" s="15" t="s">
        <v>25</v>
      </c>
    </row>
    <row r="366" ht="15.75" customHeight="1">
      <c r="A366" s="15" t="s">
        <v>936</v>
      </c>
      <c r="B366" s="15" t="s">
        <v>1830</v>
      </c>
      <c r="C366" s="15">
        <v>2.0</v>
      </c>
      <c r="D366" s="15" t="s">
        <v>22</v>
      </c>
      <c r="E366" s="15">
        <v>0.76</v>
      </c>
      <c r="F366" s="15">
        <v>52.61</v>
      </c>
      <c r="G366" s="15">
        <v>31.06</v>
      </c>
      <c r="H366" s="15">
        <v>0.89</v>
      </c>
      <c r="I366" s="15">
        <v>0.69</v>
      </c>
      <c r="J366" s="15">
        <v>0.43</v>
      </c>
      <c r="K366" s="15">
        <v>0.06</v>
      </c>
      <c r="L366" s="15">
        <v>8.59</v>
      </c>
      <c r="M366" s="15" t="s">
        <v>25</v>
      </c>
    </row>
    <row r="367" ht="15.75" customHeight="1">
      <c r="A367" s="15" t="s">
        <v>1100</v>
      </c>
      <c r="B367" s="15" t="s">
        <v>1833</v>
      </c>
      <c r="C367" s="15">
        <v>2.0</v>
      </c>
      <c r="D367" s="15" t="s">
        <v>22</v>
      </c>
      <c r="E367" s="15">
        <v>0.77</v>
      </c>
      <c r="F367" s="15">
        <v>52.6</v>
      </c>
      <c r="G367" s="15">
        <v>31.41</v>
      </c>
      <c r="H367" s="15">
        <v>0.89</v>
      </c>
      <c r="I367" s="15">
        <v>0.67</v>
      </c>
      <c r="J367" s="15">
        <v>0.43</v>
      </c>
      <c r="K367" s="15">
        <v>0.06</v>
      </c>
      <c r="L367" s="15">
        <v>8.59</v>
      </c>
      <c r="M367" s="15" t="s">
        <v>25</v>
      </c>
    </row>
    <row r="368" ht="15.75" customHeight="1">
      <c r="A368" s="15" t="s">
        <v>246</v>
      </c>
      <c r="B368" s="15" t="s">
        <v>1836</v>
      </c>
      <c r="C368" s="15">
        <v>2.0</v>
      </c>
      <c r="D368" s="15" t="s">
        <v>22</v>
      </c>
      <c r="E368" s="15">
        <v>0.73</v>
      </c>
      <c r="F368" s="15">
        <v>52.6</v>
      </c>
      <c r="G368" s="15">
        <v>31.14</v>
      </c>
      <c r="H368" s="15">
        <v>0.9</v>
      </c>
      <c r="I368" s="15">
        <v>0.68</v>
      </c>
      <c r="J368" s="15">
        <v>0.29</v>
      </c>
      <c r="K368" s="15">
        <v>0.04</v>
      </c>
      <c r="L368" s="15">
        <v>9.6</v>
      </c>
      <c r="M368" s="15" t="s">
        <v>25</v>
      </c>
    </row>
    <row r="369" ht="15.75" customHeight="1">
      <c r="A369" s="15" t="s">
        <v>389</v>
      </c>
      <c r="B369" s="15" t="s">
        <v>1839</v>
      </c>
      <c r="C369" s="15">
        <v>2.0</v>
      </c>
      <c r="D369" s="15" t="s">
        <v>22</v>
      </c>
      <c r="E369" s="15">
        <v>0.53</v>
      </c>
      <c r="F369" s="15">
        <v>52.59</v>
      </c>
      <c r="G369" s="15">
        <v>32.42</v>
      </c>
      <c r="H369" s="15">
        <v>0.89</v>
      </c>
      <c r="I369" s="15">
        <v>0.63</v>
      </c>
      <c r="J369" s="15">
        <v>0.42</v>
      </c>
      <c r="K369" s="15">
        <v>0.06</v>
      </c>
      <c r="L369" s="15">
        <v>8.58</v>
      </c>
      <c r="M369" s="15" t="s">
        <v>25</v>
      </c>
    </row>
    <row r="370" ht="15.75" customHeight="1">
      <c r="A370" s="15" t="s">
        <v>326</v>
      </c>
      <c r="B370" s="15" t="s">
        <v>1842</v>
      </c>
      <c r="C370" s="15">
        <v>2.0</v>
      </c>
      <c r="D370" s="15" t="s">
        <v>22</v>
      </c>
      <c r="E370" s="15">
        <v>0.77</v>
      </c>
      <c r="F370" s="15">
        <v>52.58</v>
      </c>
      <c r="G370" s="15">
        <v>31.1</v>
      </c>
      <c r="H370" s="15">
        <v>0.9</v>
      </c>
      <c r="I370" s="15">
        <v>0.68</v>
      </c>
      <c r="J370" s="15">
        <v>0.45</v>
      </c>
      <c r="K370" s="15">
        <v>0.06</v>
      </c>
      <c r="L370" s="15">
        <v>8.52</v>
      </c>
      <c r="M370" s="15" t="s">
        <v>25</v>
      </c>
    </row>
    <row r="371" ht="15.75" customHeight="1">
      <c r="A371" s="15" t="s">
        <v>1137</v>
      </c>
      <c r="B371" s="15" t="s">
        <v>1845</v>
      </c>
      <c r="C371" s="15">
        <v>2.0</v>
      </c>
      <c r="D371" s="15" t="s">
        <v>22</v>
      </c>
      <c r="E371" s="15">
        <v>0.76</v>
      </c>
      <c r="F371" s="15">
        <v>52.57</v>
      </c>
      <c r="G371" s="15">
        <v>31.7</v>
      </c>
      <c r="H371" s="15">
        <v>0.89</v>
      </c>
      <c r="I371" s="15">
        <v>0.66</v>
      </c>
      <c r="J371" s="15">
        <v>0.43</v>
      </c>
      <c r="K371" s="15">
        <v>0.06</v>
      </c>
      <c r="L371" s="15">
        <v>8.59</v>
      </c>
      <c r="M371" s="15" t="s">
        <v>25</v>
      </c>
    </row>
    <row r="372" ht="15.75" customHeight="1">
      <c r="A372" s="15" t="s">
        <v>319</v>
      </c>
      <c r="B372" s="15" t="s">
        <v>1849</v>
      </c>
      <c r="C372" s="15">
        <v>2.0</v>
      </c>
      <c r="D372" s="15" t="s">
        <v>22</v>
      </c>
      <c r="E372" s="15">
        <v>0.75</v>
      </c>
      <c r="F372" s="15">
        <v>52.54</v>
      </c>
      <c r="G372" s="15">
        <v>32.02</v>
      </c>
      <c r="H372" s="15">
        <v>0.89</v>
      </c>
      <c r="I372" s="15">
        <v>0.64</v>
      </c>
      <c r="J372" s="15">
        <v>0.48</v>
      </c>
      <c r="K372" s="15">
        <v>0.06</v>
      </c>
      <c r="L372" s="15">
        <v>8.42</v>
      </c>
      <c r="M372" s="15" t="s">
        <v>25</v>
      </c>
    </row>
    <row r="373" ht="15.75" customHeight="1">
      <c r="A373" s="15" t="s">
        <v>1514</v>
      </c>
      <c r="B373" s="15" t="s">
        <v>1852</v>
      </c>
      <c r="C373" s="15">
        <v>2.0</v>
      </c>
      <c r="D373" s="15" t="s">
        <v>22</v>
      </c>
      <c r="E373" s="15">
        <v>0.82</v>
      </c>
      <c r="F373" s="15">
        <v>52.51</v>
      </c>
      <c r="G373" s="15">
        <v>31.84</v>
      </c>
      <c r="H373" s="15">
        <v>0.86</v>
      </c>
      <c r="I373" s="15">
        <v>0.65</v>
      </c>
      <c r="J373" s="15">
        <v>0.48</v>
      </c>
      <c r="K373" s="15">
        <v>0.08</v>
      </c>
      <c r="L373" s="15">
        <v>8.39</v>
      </c>
      <c r="M373" s="15" t="s">
        <v>25</v>
      </c>
    </row>
    <row r="374" ht="15.75" customHeight="1">
      <c r="A374" s="15" t="s">
        <v>1291</v>
      </c>
      <c r="B374" s="15" t="s">
        <v>1855</v>
      </c>
      <c r="C374" s="15">
        <v>2.0</v>
      </c>
      <c r="D374" s="15" t="s">
        <v>22</v>
      </c>
      <c r="E374" s="15">
        <v>0.76</v>
      </c>
      <c r="F374" s="15">
        <v>52.5</v>
      </c>
      <c r="G374" s="15">
        <v>31.69</v>
      </c>
      <c r="H374" s="15">
        <v>0.89</v>
      </c>
      <c r="I374" s="15">
        <v>0.66</v>
      </c>
      <c r="J374" s="15">
        <v>0.43</v>
      </c>
      <c r="K374" s="15">
        <v>0.06</v>
      </c>
      <c r="L374" s="15">
        <v>8.61</v>
      </c>
      <c r="M374" s="15" t="s">
        <v>25</v>
      </c>
    </row>
    <row r="375" ht="15.75" customHeight="1">
      <c r="A375" s="15" t="s">
        <v>1111</v>
      </c>
      <c r="B375" s="15" t="s">
        <v>1860</v>
      </c>
      <c r="C375" s="15">
        <v>2.0</v>
      </c>
      <c r="D375" s="15" t="s">
        <v>22</v>
      </c>
      <c r="E375" s="15">
        <v>0.77</v>
      </c>
      <c r="F375" s="15">
        <v>52.49</v>
      </c>
      <c r="G375" s="15">
        <v>30.99</v>
      </c>
      <c r="H375" s="15">
        <v>0.89</v>
      </c>
      <c r="I375" s="15">
        <v>0.69</v>
      </c>
      <c r="J375" s="15">
        <v>0.43</v>
      </c>
      <c r="K375" s="15">
        <v>0.06</v>
      </c>
      <c r="L375" s="15">
        <v>8.59</v>
      </c>
      <c r="M375" s="15" t="s">
        <v>25</v>
      </c>
    </row>
    <row r="376" ht="15.75" customHeight="1">
      <c r="A376" s="15" t="s">
        <v>590</v>
      </c>
      <c r="B376" s="15" t="s">
        <v>1863</v>
      </c>
      <c r="C376" s="15">
        <v>2.0</v>
      </c>
      <c r="D376" s="15" t="s">
        <v>22</v>
      </c>
      <c r="E376" s="15">
        <v>0.68</v>
      </c>
      <c r="F376" s="15">
        <v>52.47</v>
      </c>
      <c r="G376" s="15">
        <v>31.5</v>
      </c>
      <c r="H376" s="15">
        <v>0.9</v>
      </c>
      <c r="I376" s="15">
        <v>0.66</v>
      </c>
      <c r="J376" s="15">
        <v>0.33</v>
      </c>
      <c r="K376" s="15">
        <v>0.05</v>
      </c>
      <c r="L376" s="15">
        <v>9.34</v>
      </c>
      <c r="M376" s="15" t="s">
        <v>25</v>
      </c>
    </row>
    <row r="377" ht="15.75" customHeight="1">
      <c r="A377" s="15" t="s">
        <v>1017</v>
      </c>
      <c r="B377" s="15" t="s">
        <v>1866</v>
      </c>
      <c r="C377" s="15">
        <v>2.0</v>
      </c>
      <c r="D377" s="15" t="s">
        <v>22</v>
      </c>
      <c r="E377" s="15">
        <v>0.76</v>
      </c>
      <c r="F377" s="15">
        <v>52.43</v>
      </c>
      <c r="G377" s="15">
        <v>31.6</v>
      </c>
      <c r="H377" s="15">
        <v>0.89</v>
      </c>
      <c r="I377" s="15">
        <v>0.66</v>
      </c>
      <c r="J377" s="15">
        <v>0.49</v>
      </c>
      <c r="K377" s="15">
        <v>0.07</v>
      </c>
      <c r="L377" s="15">
        <v>8.26</v>
      </c>
      <c r="M377" s="15" t="s">
        <v>25</v>
      </c>
    </row>
    <row r="378" ht="15.75" customHeight="1">
      <c r="A378" s="15" t="s">
        <v>950</v>
      </c>
      <c r="B378" s="15" t="s">
        <v>1869</v>
      </c>
      <c r="C378" s="15">
        <v>2.0</v>
      </c>
      <c r="D378" s="15" t="s">
        <v>22</v>
      </c>
      <c r="E378" s="15">
        <v>0.77</v>
      </c>
      <c r="F378" s="15">
        <v>52.41</v>
      </c>
      <c r="G378" s="15">
        <v>31.32</v>
      </c>
      <c r="H378" s="15">
        <v>0.89</v>
      </c>
      <c r="I378" s="15">
        <v>0.67</v>
      </c>
      <c r="J378" s="15">
        <v>0.43</v>
      </c>
      <c r="K378" s="15">
        <v>0.06</v>
      </c>
      <c r="L378" s="15">
        <v>8.61</v>
      </c>
      <c r="M378" s="15" t="s">
        <v>25</v>
      </c>
    </row>
    <row r="379" ht="15.75" customHeight="1">
      <c r="A379" s="15" t="s">
        <v>218</v>
      </c>
      <c r="B379" s="15" t="s">
        <v>1872</v>
      </c>
      <c r="C379" s="15">
        <v>2.0</v>
      </c>
      <c r="D379" s="15" t="s">
        <v>22</v>
      </c>
      <c r="E379" s="15">
        <v>0.64</v>
      </c>
      <c r="F379" s="15">
        <v>52.36</v>
      </c>
      <c r="G379" s="15">
        <v>30.84</v>
      </c>
      <c r="H379" s="15">
        <v>0.88</v>
      </c>
      <c r="I379" s="15">
        <v>0.69</v>
      </c>
      <c r="J379" s="15">
        <v>0.39</v>
      </c>
      <c r="K379" s="15">
        <v>0.06</v>
      </c>
      <c r="L379" s="15">
        <v>8.62</v>
      </c>
      <c r="M379" s="15" t="s">
        <v>25</v>
      </c>
    </row>
    <row r="380" ht="15.75" customHeight="1">
      <c r="A380" s="15" t="s">
        <v>775</v>
      </c>
      <c r="B380" s="15" t="s">
        <v>1876</v>
      </c>
      <c r="C380" s="15">
        <v>2.0</v>
      </c>
      <c r="D380" s="15" t="s">
        <v>22</v>
      </c>
      <c r="E380" s="15">
        <v>0.69</v>
      </c>
      <c r="F380" s="15">
        <v>52.35</v>
      </c>
      <c r="G380" s="15">
        <v>31.31</v>
      </c>
      <c r="H380" s="15">
        <v>0.9</v>
      </c>
      <c r="I380" s="15">
        <v>0.67</v>
      </c>
      <c r="J380" s="15">
        <v>0.33</v>
      </c>
      <c r="K380" s="15">
        <v>0.05</v>
      </c>
      <c r="L380" s="15">
        <v>9.34</v>
      </c>
      <c r="M380" s="15" t="s">
        <v>25</v>
      </c>
    </row>
    <row r="381" ht="15.75" customHeight="1">
      <c r="A381" s="15" t="s">
        <v>1878</v>
      </c>
      <c r="B381" s="15" t="s">
        <v>1880</v>
      </c>
      <c r="C381" s="15">
        <v>2.0</v>
      </c>
      <c r="D381" s="15" t="s">
        <v>22</v>
      </c>
      <c r="E381" s="15">
        <v>0.76</v>
      </c>
      <c r="F381" s="15">
        <v>52.33</v>
      </c>
      <c r="G381" s="15">
        <v>31.68</v>
      </c>
      <c r="H381" s="15">
        <v>0.89</v>
      </c>
      <c r="I381" s="15">
        <v>0.66</v>
      </c>
      <c r="J381" s="15">
        <v>0.43</v>
      </c>
      <c r="K381" s="15">
        <v>0.06</v>
      </c>
      <c r="L381" s="15">
        <v>8.61</v>
      </c>
      <c r="M381" s="15" t="s">
        <v>25</v>
      </c>
    </row>
    <row r="382" ht="15.75" customHeight="1">
      <c r="A382" s="15" t="s">
        <v>346</v>
      </c>
      <c r="B382" s="15" t="s">
        <v>1883</v>
      </c>
      <c r="C382" s="15">
        <v>2.0</v>
      </c>
      <c r="D382" s="15" t="s">
        <v>22</v>
      </c>
      <c r="E382" s="15">
        <v>0.61</v>
      </c>
      <c r="F382" s="15">
        <v>52.3</v>
      </c>
      <c r="G382" s="15">
        <v>30.85</v>
      </c>
      <c r="H382" s="15">
        <v>0.88</v>
      </c>
      <c r="I382" s="15">
        <v>0.69</v>
      </c>
      <c r="J382" s="15">
        <v>0.39</v>
      </c>
      <c r="K382" s="15">
        <v>0.06</v>
      </c>
      <c r="L382" s="15">
        <v>8.64</v>
      </c>
      <c r="M382" s="15" t="s">
        <v>25</v>
      </c>
    </row>
    <row r="383" ht="15.75" customHeight="1">
      <c r="A383" s="15" t="s">
        <v>1886</v>
      </c>
      <c r="B383" s="15" t="s">
        <v>1887</v>
      </c>
      <c r="C383" s="15">
        <v>2.0</v>
      </c>
      <c r="D383" s="15" t="s">
        <v>22</v>
      </c>
      <c r="E383" s="15">
        <v>0.77</v>
      </c>
      <c r="F383" s="15">
        <v>52.27</v>
      </c>
      <c r="G383" s="15">
        <v>31.65</v>
      </c>
      <c r="H383" s="15">
        <v>0.89</v>
      </c>
      <c r="I383" s="15">
        <v>0.66</v>
      </c>
      <c r="J383" s="15">
        <v>0.43</v>
      </c>
      <c r="K383" s="15">
        <v>0.06</v>
      </c>
      <c r="L383" s="15">
        <v>8.63</v>
      </c>
      <c r="M383" s="15" t="s">
        <v>25</v>
      </c>
    </row>
    <row r="384" ht="15.75" customHeight="1">
      <c r="A384" s="15" t="s">
        <v>145</v>
      </c>
      <c r="B384" s="15" t="s">
        <v>1890</v>
      </c>
      <c r="C384" s="15">
        <v>2.0</v>
      </c>
      <c r="D384" s="15" t="s">
        <v>22</v>
      </c>
      <c r="E384" s="15">
        <v>0.72</v>
      </c>
      <c r="F384" s="15">
        <v>52.22</v>
      </c>
      <c r="G384" s="15">
        <v>31.29</v>
      </c>
      <c r="H384" s="15">
        <v>0.9</v>
      </c>
      <c r="I384" s="15">
        <v>0.67</v>
      </c>
      <c r="J384" s="15">
        <v>0.28</v>
      </c>
      <c r="K384" s="15">
        <v>0.04</v>
      </c>
      <c r="L384" s="15">
        <v>9.6</v>
      </c>
      <c r="M384" s="15" t="s">
        <v>25</v>
      </c>
    </row>
    <row r="385" ht="15.75" customHeight="1">
      <c r="A385" s="15" t="s">
        <v>1367</v>
      </c>
      <c r="B385" s="15" t="s">
        <v>1893</v>
      </c>
      <c r="C385" s="15">
        <v>2.0</v>
      </c>
      <c r="D385" s="15" t="s">
        <v>22</v>
      </c>
      <c r="E385" s="15">
        <v>0.74</v>
      </c>
      <c r="F385" s="15">
        <v>52.22</v>
      </c>
      <c r="G385" s="15">
        <v>31.31</v>
      </c>
      <c r="H385" s="15">
        <v>0.89</v>
      </c>
      <c r="I385" s="15">
        <v>0.67</v>
      </c>
      <c r="J385" s="15">
        <v>0.47</v>
      </c>
      <c r="K385" s="15">
        <v>0.08</v>
      </c>
      <c r="L385" s="15">
        <v>7.95</v>
      </c>
      <c r="M385" s="15" t="s">
        <v>25</v>
      </c>
    </row>
    <row r="386" ht="15.75" customHeight="1">
      <c r="A386" s="15" t="s">
        <v>454</v>
      </c>
      <c r="B386" s="15" t="s">
        <v>1895</v>
      </c>
      <c r="C386" s="15">
        <v>2.0</v>
      </c>
      <c r="D386" s="15" t="s">
        <v>22</v>
      </c>
      <c r="E386" s="15">
        <v>0.54</v>
      </c>
      <c r="F386" s="15">
        <v>52.2</v>
      </c>
      <c r="G386" s="15">
        <v>32.61</v>
      </c>
      <c r="H386" s="15">
        <v>0.88</v>
      </c>
      <c r="I386" s="15">
        <v>0.62</v>
      </c>
      <c r="J386" s="15">
        <v>0.42</v>
      </c>
      <c r="K386" s="15">
        <v>0.06</v>
      </c>
      <c r="L386" s="15">
        <v>8.58</v>
      </c>
      <c r="M386" s="15" t="s">
        <v>25</v>
      </c>
    </row>
    <row r="387" ht="15.75" customHeight="1">
      <c r="A387" s="15" t="s">
        <v>360</v>
      </c>
      <c r="B387" s="15" t="s">
        <v>1901</v>
      </c>
      <c r="C387" s="15">
        <v>2.0</v>
      </c>
      <c r="D387" s="15" t="s">
        <v>22</v>
      </c>
      <c r="E387" s="15">
        <v>0.69</v>
      </c>
      <c r="F387" s="15">
        <v>52.17</v>
      </c>
      <c r="G387" s="15">
        <v>30.82</v>
      </c>
      <c r="H387" s="15">
        <v>0.86</v>
      </c>
      <c r="I387" s="15">
        <v>0.69</v>
      </c>
      <c r="J387" s="15">
        <v>0.46</v>
      </c>
      <c r="K387" s="15">
        <v>0.08</v>
      </c>
      <c r="L387" s="15">
        <v>8.02</v>
      </c>
      <c r="M387" s="15" t="s">
        <v>25</v>
      </c>
    </row>
    <row r="388" ht="15.75" customHeight="1">
      <c r="A388" s="15" t="s">
        <v>558</v>
      </c>
      <c r="B388" s="15" t="s">
        <v>1907</v>
      </c>
      <c r="C388" s="15">
        <v>2.0</v>
      </c>
      <c r="D388" s="15" t="s">
        <v>22</v>
      </c>
      <c r="E388" s="15">
        <v>0.69</v>
      </c>
      <c r="F388" s="15">
        <v>52.11</v>
      </c>
      <c r="G388" s="15">
        <v>31.37</v>
      </c>
      <c r="H388" s="15">
        <v>0.9</v>
      </c>
      <c r="I388" s="15">
        <v>0.67</v>
      </c>
      <c r="J388" s="15">
        <v>0.33</v>
      </c>
      <c r="K388" s="15">
        <v>0.05</v>
      </c>
      <c r="L388" s="15">
        <v>9.34</v>
      </c>
      <c r="M388" s="15" t="s">
        <v>25</v>
      </c>
    </row>
    <row r="389" ht="15.75" customHeight="1">
      <c r="A389" s="15" t="s">
        <v>1738</v>
      </c>
      <c r="B389" s="15" t="s">
        <v>1914</v>
      </c>
      <c r="C389" s="15">
        <v>2.0</v>
      </c>
      <c r="D389" s="15" t="s">
        <v>22</v>
      </c>
      <c r="E389" s="15">
        <v>0.87</v>
      </c>
      <c r="F389" s="15">
        <v>52.09</v>
      </c>
      <c r="G389" s="15">
        <v>31.71</v>
      </c>
      <c r="H389" s="15">
        <v>0.87</v>
      </c>
      <c r="I389" s="15">
        <v>0.65</v>
      </c>
      <c r="J389" s="15">
        <v>0.51</v>
      </c>
      <c r="K389" s="15">
        <v>0.09</v>
      </c>
      <c r="L389" s="15">
        <v>7.95</v>
      </c>
      <c r="M389" s="15" t="s">
        <v>25</v>
      </c>
    </row>
    <row r="390" ht="15.75" customHeight="1">
      <c r="A390" s="15" t="s">
        <v>1918</v>
      </c>
      <c r="B390" s="15" t="s">
        <v>1919</v>
      </c>
      <c r="C390" s="15">
        <v>2.0</v>
      </c>
      <c r="D390" s="15" t="s">
        <v>22</v>
      </c>
      <c r="E390" s="15">
        <v>0.72</v>
      </c>
      <c r="F390" s="15">
        <v>52.09</v>
      </c>
      <c r="G390" s="15">
        <v>32.05</v>
      </c>
      <c r="H390" s="15">
        <v>0.89</v>
      </c>
      <c r="I390" s="15">
        <v>0.64</v>
      </c>
      <c r="J390" s="15">
        <v>0.52</v>
      </c>
      <c r="K390" s="15">
        <v>0.07</v>
      </c>
      <c r="L390" s="15">
        <v>8.19</v>
      </c>
      <c r="M390" s="15" t="s">
        <v>25</v>
      </c>
    </row>
    <row r="391" ht="15.75" customHeight="1">
      <c r="A391" s="15" t="s">
        <v>59</v>
      </c>
      <c r="B391" s="15" t="s">
        <v>1922</v>
      </c>
      <c r="C391" s="15">
        <v>2.0</v>
      </c>
      <c r="D391" s="15" t="s">
        <v>22</v>
      </c>
      <c r="E391" s="15">
        <v>0.73</v>
      </c>
      <c r="F391" s="15">
        <v>52.06</v>
      </c>
      <c r="G391" s="15">
        <v>31.26</v>
      </c>
      <c r="H391" s="15">
        <v>0.9</v>
      </c>
      <c r="I391" s="15">
        <v>0.67</v>
      </c>
      <c r="J391" s="15">
        <v>0.29</v>
      </c>
      <c r="K391" s="15">
        <v>0.04</v>
      </c>
      <c r="L391" s="15">
        <v>9.59</v>
      </c>
      <c r="M391" s="15" t="s">
        <v>25</v>
      </c>
    </row>
    <row r="392" ht="15.75" customHeight="1">
      <c r="A392" s="15" t="s">
        <v>475</v>
      </c>
      <c r="B392" s="15" t="s">
        <v>1925</v>
      </c>
      <c r="C392" s="15">
        <v>2.0</v>
      </c>
      <c r="D392" s="15" t="s">
        <v>22</v>
      </c>
      <c r="E392" s="15">
        <v>0.66</v>
      </c>
      <c r="F392" s="15">
        <v>51.99</v>
      </c>
      <c r="G392" s="15">
        <v>29.97</v>
      </c>
      <c r="H392" s="15">
        <v>0.84</v>
      </c>
      <c r="I392" s="15">
        <v>0.73</v>
      </c>
      <c r="J392" s="15">
        <v>0.36</v>
      </c>
      <c r="K392" s="15">
        <v>0.07</v>
      </c>
      <c r="L392" s="15">
        <v>8.28</v>
      </c>
      <c r="M392" s="15" t="s">
        <v>25</v>
      </c>
    </row>
    <row r="393" ht="15.75" customHeight="1">
      <c r="A393" s="15" t="s">
        <v>618</v>
      </c>
      <c r="B393" s="15" t="s">
        <v>1928</v>
      </c>
      <c r="C393" s="15">
        <v>2.0</v>
      </c>
      <c r="D393" s="15" t="s">
        <v>22</v>
      </c>
      <c r="E393" s="15">
        <v>0.75</v>
      </c>
      <c r="F393" s="15">
        <v>51.98</v>
      </c>
      <c r="G393" s="15">
        <v>30.73</v>
      </c>
      <c r="H393" s="15">
        <v>0.9</v>
      </c>
      <c r="I393" s="15">
        <v>0.69</v>
      </c>
      <c r="J393" s="15">
        <v>0.46</v>
      </c>
      <c r="K393" s="15">
        <v>0.07</v>
      </c>
      <c r="L393" s="15">
        <v>8.33</v>
      </c>
      <c r="M393" s="15" t="s">
        <v>25</v>
      </c>
    </row>
    <row r="394" ht="15.75" customHeight="1">
      <c r="A394" s="15" t="s">
        <v>303</v>
      </c>
      <c r="B394" s="15" t="s">
        <v>1931</v>
      </c>
      <c r="C394" s="15">
        <v>2.0</v>
      </c>
      <c r="D394" s="15" t="s">
        <v>22</v>
      </c>
      <c r="E394" s="15">
        <v>0.54</v>
      </c>
      <c r="F394" s="15">
        <v>51.97</v>
      </c>
      <c r="G394" s="15">
        <v>32.17</v>
      </c>
      <c r="H394" s="15">
        <v>0.87</v>
      </c>
      <c r="I394" s="15">
        <v>0.63</v>
      </c>
      <c r="J394" s="15">
        <v>0.41</v>
      </c>
      <c r="K394" s="15">
        <v>0.06</v>
      </c>
      <c r="L394" s="15">
        <v>8.56</v>
      </c>
      <c r="M394" s="15" t="s">
        <v>25</v>
      </c>
    </row>
    <row r="395" ht="15.75" customHeight="1">
      <c r="A395" s="15" t="s">
        <v>1725</v>
      </c>
      <c r="B395" s="15" t="s">
        <v>1934</v>
      </c>
      <c r="C395" s="15">
        <v>2.0</v>
      </c>
      <c r="D395" s="15" t="s">
        <v>22</v>
      </c>
      <c r="E395" s="15">
        <v>0.76</v>
      </c>
      <c r="F395" s="15">
        <v>51.97</v>
      </c>
      <c r="G395" s="15">
        <v>31.3</v>
      </c>
      <c r="H395" s="15">
        <v>0.9</v>
      </c>
      <c r="I395" s="15">
        <v>0.67</v>
      </c>
      <c r="J395" s="15">
        <v>0.43</v>
      </c>
      <c r="K395" s="15">
        <v>0.06</v>
      </c>
      <c r="L395" s="15">
        <v>8.57</v>
      </c>
      <c r="M395" s="15" t="s">
        <v>25</v>
      </c>
    </row>
    <row r="396" ht="15.75" customHeight="1">
      <c r="A396" s="15" t="s">
        <v>191</v>
      </c>
      <c r="B396" s="15" t="s">
        <v>1937</v>
      </c>
      <c r="C396" s="15">
        <v>2.0</v>
      </c>
      <c r="D396" s="15" t="s">
        <v>22</v>
      </c>
      <c r="E396" s="15">
        <v>0.73</v>
      </c>
      <c r="F396" s="15">
        <v>51.94</v>
      </c>
      <c r="G396" s="15">
        <v>31.07</v>
      </c>
      <c r="H396" s="15">
        <v>0.9</v>
      </c>
      <c r="I396" s="15">
        <v>0.68</v>
      </c>
      <c r="J396" s="15">
        <v>0.29</v>
      </c>
      <c r="K396" s="15">
        <v>0.04</v>
      </c>
      <c r="L396" s="15">
        <v>9.58</v>
      </c>
      <c r="M396" s="15" t="s">
        <v>25</v>
      </c>
    </row>
    <row r="397" ht="15.75" customHeight="1">
      <c r="A397" s="15" t="s">
        <v>570</v>
      </c>
      <c r="B397" s="15" t="s">
        <v>1939</v>
      </c>
      <c r="C397" s="15">
        <v>2.0</v>
      </c>
      <c r="D397" s="15" t="s">
        <v>22</v>
      </c>
      <c r="E397" s="15">
        <v>0.68</v>
      </c>
      <c r="F397" s="15">
        <v>51.94</v>
      </c>
      <c r="G397" s="15">
        <v>30.98</v>
      </c>
      <c r="H397" s="15">
        <v>0.9</v>
      </c>
      <c r="I397" s="15">
        <v>0.68</v>
      </c>
      <c r="J397" s="15">
        <v>0.33</v>
      </c>
      <c r="K397" s="15">
        <v>0.05</v>
      </c>
      <c r="L397" s="15">
        <v>9.33</v>
      </c>
      <c r="M397" s="15" t="s">
        <v>25</v>
      </c>
    </row>
    <row r="398" ht="15.75" customHeight="1">
      <c r="A398" s="15" t="s">
        <v>642</v>
      </c>
      <c r="B398" s="15" t="s">
        <v>1943</v>
      </c>
      <c r="C398" s="15">
        <v>2.0</v>
      </c>
      <c r="D398" s="15" t="s">
        <v>22</v>
      </c>
      <c r="E398" s="15">
        <v>0.68</v>
      </c>
      <c r="F398" s="15">
        <v>51.94</v>
      </c>
      <c r="G398" s="15">
        <v>31.13</v>
      </c>
      <c r="H398" s="15">
        <v>0.9</v>
      </c>
      <c r="I398" s="15">
        <v>0.67</v>
      </c>
      <c r="J398" s="15">
        <v>0.33</v>
      </c>
      <c r="K398" s="15">
        <v>0.05</v>
      </c>
      <c r="L398" s="15">
        <v>9.34</v>
      </c>
      <c r="M398" s="15" t="s">
        <v>25</v>
      </c>
    </row>
    <row r="399" ht="15.75" customHeight="1">
      <c r="A399" s="15" t="s">
        <v>405</v>
      </c>
      <c r="B399" s="15" t="s">
        <v>1946</v>
      </c>
      <c r="C399" s="15">
        <v>2.0</v>
      </c>
      <c r="D399" s="15" t="s">
        <v>22</v>
      </c>
      <c r="E399" s="15">
        <v>0.69</v>
      </c>
      <c r="F399" s="15">
        <v>51.93</v>
      </c>
      <c r="G399" s="15">
        <v>31.18</v>
      </c>
      <c r="H399" s="15">
        <v>0.9</v>
      </c>
      <c r="I399" s="15">
        <v>0.67</v>
      </c>
      <c r="J399" s="15">
        <v>0.33</v>
      </c>
      <c r="K399" s="15">
        <v>0.05</v>
      </c>
      <c r="L399" s="15">
        <v>9.36</v>
      </c>
      <c r="M399" s="15" t="s">
        <v>25</v>
      </c>
    </row>
    <row r="400" ht="15.75" customHeight="1">
      <c r="A400" s="15" t="s">
        <v>505</v>
      </c>
      <c r="B400" s="15" t="s">
        <v>1949</v>
      </c>
      <c r="C400" s="15">
        <v>2.0</v>
      </c>
      <c r="D400" s="15" t="s">
        <v>22</v>
      </c>
      <c r="E400" s="15">
        <v>0.54</v>
      </c>
      <c r="F400" s="15">
        <v>51.91</v>
      </c>
      <c r="G400" s="15">
        <v>33.6</v>
      </c>
      <c r="H400" s="15">
        <v>0.9</v>
      </c>
      <c r="I400" s="15">
        <v>0.58</v>
      </c>
      <c r="J400" s="15">
        <v>0.42</v>
      </c>
      <c r="K400" s="15">
        <v>0.06</v>
      </c>
      <c r="L400" s="15">
        <v>8.61</v>
      </c>
      <c r="M400" s="15" t="s">
        <v>25</v>
      </c>
    </row>
    <row r="401" ht="15.75" customHeight="1">
      <c r="A401" s="15" t="s">
        <v>1952</v>
      </c>
      <c r="B401" s="15" t="s">
        <v>1954</v>
      </c>
      <c r="C401" s="15">
        <v>2.0</v>
      </c>
      <c r="D401" s="15" t="s">
        <v>22</v>
      </c>
      <c r="E401" s="15">
        <v>0.65</v>
      </c>
      <c r="F401" s="15">
        <v>51.91</v>
      </c>
      <c r="G401" s="15">
        <v>30.12</v>
      </c>
      <c r="H401" s="15">
        <v>0.84</v>
      </c>
      <c r="I401" s="15">
        <v>0.72</v>
      </c>
      <c r="J401" s="15">
        <v>0.36</v>
      </c>
      <c r="K401" s="15">
        <v>0.07</v>
      </c>
      <c r="L401" s="15">
        <v>8.29</v>
      </c>
      <c r="M401" s="15" t="s">
        <v>25</v>
      </c>
    </row>
    <row r="402" ht="15.75" customHeight="1">
      <c r="A402" s="15" t="s">
        <v>777</v>
      </c>
      <c r="B402" s="15" t="s">
        <v>1958</v>
      </c>
      <c r="C402" s="15">
        <v>2.0</v>
      </c>
      <c r="D402" s="15" t="s">
        <v>22</v>
      </c>
      <c r="E402" s="15">
        <v>0.55</v>
      </c>
      <c r="F402" s="15">
        <v>51.9</v>
      </c>
      <c r="G402" s="15">
        <v>33.37</v>
      </c>
      <c r="H402" s="15">
        <v>0.9</v>
      </c>
      <c r="I402" s="15">
        <v>0.59</v>
      </c>
      <c r="J402" s="15">
        <v>0.42</v>
      </c>
      <c r="K402" s="15">
        <v>0.06</v>
      </c>
      <c r="L402" s="15">
        <v>8.6</v>
      </c>
      <c r="M402" s="15" t="s">
        <v>25</v>
      </c>
    </row>
    <row r="403" ht="15.75" customHeight="1">
      <c r="A403" s="15" t="s">
        <v>495</v>
      </c>
      <c r="B403" s="15" t="s">
        <v>1962</v>
      </c>
      <c r="C403" s="15">
        <v>2.0</v>
      </c>
      <c r="D403" s="15" t="s">
        <v>22</v>
      </c>
      <c r="E403" s="15">
        <v>0.86</v>
      </c>
      <c r="F403" s="15">
        <v>51.82</v>
      </c>
      <c r="G403" s="15">
        <v>31.22</v>
      </c>
      <c r="H403" s="15">
        <v>0.87</v>
      </c>
      <c r="I403" s="15">
        <v>0.67</v>
      </c>
      <c r="J403" s="15">
        <v>0.54</v>
      </c>
      <c r="K403" s="15">
        <v>0.09</v>
      </c>
      <c r="L403" s="15">
        <v>7.77</v>
      </c>
      <c r="M403" s="15" t="s">
        <v>25</v>
      </c>
    </row>
    <row r="404" ht="15.75" customHeight="1">
      <c r="A404" s="15" t="s">
        <v>905</v>
      </c>
      <c r="B404" s="15" t="s">
        <v>1965</v>
      </c>
      <c r="C404" s="15">
        <v>2.0</v>
      </c>
      <c r="D404" s="15" t="s">
        <v>22</v>
      </c>
      <c r="E404" s="15">
        <v>0.77</v>
      </c>
      <c r="F404" s="15">
        <v>51.8</v>
      </c>
      <c r="G404" s="15">
        <v>31.35</v>
      </c>
      <c r="H404" s="15">
        <v>0.89</v>
      </c>
      <c r="I404" s="15">
        <v>0.66</v>
      </c>
      <c r="J404" s="15">
        <v>0.44</v>
      </c>
      <c r="K404" s="15">
        <v>0.06</v>
      </c>
      <c r="L404" s="15">
        <v>8.56</v>
      </c>
      <c r="M404" s="15" t="s">
        <v>25</v>
      </c>
    </row>
    <row r="405" ht="15.75" customHeight="1">
      <c r="A405" s="15" t="s">
        <v>1618</v>
      </c>
      <c r="B405" s="15" t="s">
        <v>1968</v>
      </c>
      <c r="C405" s="15">
        <v>2.0</v>
      </c>
      <c r="D405" s="15" t="s">
        <v>22</v>
      </c>
      <c r="E405" s="15">
        <v>0.73</v>
      </c>
      <c r="F405" s="15">
        <v>51.78</v>
      </c>
      <c r="G405" s="15">
        <v>31.32</v>
      </c>
      <c r="H405" s="15">
        <v>0.89</v>
      </c>
      <c r="I405" s="15">
        <v>0.66</v>
      </c>
      <c r="J405" s="15">
        <v>0.51</v>
      </c>
      <c r="K405" s="15">
        <v>0.09</v>
      </c>
      <c r="L405" s="15">
        <v>7.71</v>
      </c>
      <c r="M405" s="15" t="s">
        <v>25</v>
      </c>
    </row>
    <row r="406" ht="15.75" customHeight="1">
      <c r="A406" s="15" t="s">
        <v>471</v>
      </c>
      <c r="B406" s="15" t="s">
        <v>1971</v>
      </c>
      <c r="C406" s="15">
        <v>2.0</v>
      </c>
      <c r="D406" s="15" t="s">
        <v>22</v>
      </c>
      <c r="E406" s="15">
        <v>0.74</v>
      </c>
      <c r="F406" s="15">
        <v>51.68</v>
      </c>
      <c r="G406" s="15">
        <v>31.2</v>
      </c>
      <c r="H406" s="15">
        <v>0.89</v>
      </c>
      <c r="I406" s="15">
        <v>0.67</v>
      </c>
      <c r="J406" s="15">
        <v>0.43</v>
      </c>
      <c r="K406" s="15">
        <v>0.06</v>
      </c>
      <c r="L406" s="15">
        <v>8.71</v>
      </c>
      <c r="M406" s="15" t="s">
        <v>25</v>
      </c>
    </row>
    <row r="407" ht="15.75" customHeight="1">
      <c r="A407" s="15" t="s">
        <v>931</v>
      </c>
      <c r="B407" s="15" t="s">
        <v>1974</v>
      </c>
      <c r="C407" s="15">
        <v>2.0</v>
      </c>
      <c r="D407" s="15" t="s">
        <v>22</v>
      </c>
      <c r="E407" s="15">
        <v>0.77</v>
      </c>
      <c r="F407" s="15">
        <v>51.68</v>
      </c>
      <c r="G407" s="15">
        <v>31.11</v>
      </c>
      <c r="H407" s="15">
        <v>0.9</v>
      </c>
      <c r="I407" s="15">
        <v>0.67</v>
      </c>
      <c r="J407" s="15">
        <v>0.43</v>
      </c>
      <c r="K407" s="15">
        <v>0.06</v>
      </c>
      <c r="L407" s="15">
        <v>8.55</v>
      </c>
      <c r="M407" s="15" t="s">
        <v>25</v>
      </c>
    </row>
    <row r="408" ht="15.75" customHeight="1">
      <c r="A408" s="15" t="s">
        <v>312</v>
      </c>
      <c r="B408" s="15" t="s">
        <v>1977</v>
      </c>
      <c r="C408" s="15">
        <v>2.0</v>
      </c>
      <c r="D408" s="15" t="s">
        <v>22</v>
      </c>
      <c r="E408" s="15">
        <v>0.77</v>
      </c>
      <c r="F408" s="15">
        <v>51.68</v>
      </c>
      <c r="G408" s="15">
        <v>30.99</v>
      </c>
      <c r="H408" s="15">
        <v>0.89</v>
      </c>
      <c r="I408" s="15">
        <v>0.68</v>
      </c>
      <c r="J408" s="15">
        <v>0.36</v>
      </c>
      <c r="K408" s="15">
        <v>0.05</v>
      </c>
      <c r="L408" s="15">
        <v>9.0</v>
      </c>
      <c r="M408" s="15" t="s">
        <v>25</v>
      </c>
    </row>
    <row r="409" ht="15.75" customHeight="1">
      <c r="A409" s="15" t="s">
        <v>709</v>
      </c>
      <c r="B409" s="15" t="s">
        <v>1980</v>
      </c>
      <c r="C409" s="15">
        <v>2.0</v>
      </c>
      <c r="D409" s="15" t="s">
        <v>22</v>
      </c>
      <c r="E409" s="15">
        <v>0.71</v>
      </c>
      <c r="F409" s="15">
        <v>51.66</v>
      </c>
      <c r="G409" s="15">
        <v>31.5</v>
      </c>
      <c r="H409" s="15">
        <v>0.89</v>
      </c>
      <c r="I409" s="15">
        <v>0.65</v>
      </c>
      <c r="J409" s="15">
        <v>0.49</v>
      </c>
      <c r="K409" s="15">
        <v>0.07</v>
      </c>
      <c r="L409" s="15">
        <v>8.25</v>
      </c>
      <c r="M409" s="15" t="s">
        <v>25</v>
      </c>
    </row>
    <row r="410" ht="15.75" customHeight="1">
      <c r="A410" s="15" t="s">
        <v>1051</v>
      </c>
      <c r="B410" s="15" t="s">
        <v>1984</v>
      </c>
      <c r="C410" s="15">
        <v>2.0</v>
      </c>
      <c r="D410" s="15" t="s">
        <v>22</v>
      </c>
      <c r="E410" s="15">
        <v>0.75</v>
      </c>
      <c r="F410" s="15">
        <v>51.62</v>
      </c>
      <c r="G410" s="15">
        <v>30.86</v>
      </c>
      <c r="H410" s="15">
        <v>0.9</v>
      </c>
      <c r="I410" s="15">
        <v>0.68</v>
      </c>
      <c r="J410" s="15">
        <v>0.43</v>
      </c>
      <c r="K410" s="15">
        <v>0.06</v>
      </c>
      <c r="L410" s="15">
        <v>8.54</v>
      </c>
      <c r="M410" s="15" t="s">
        <v>25</v>
      </c>
    </row>
    <row r="411" ht="15.75" customHeight="1">
      <c r="A411" s="15" t="s">
        <v>1538</v>
      </c>
      <c r="B411" s="15" t="s">
        <v>1987</v>
      </c>
      <c r="C411" s="15">
        <v>2.0</v>
      </c>
      <c r="D411" s="15" t="s">
        <v>22</v>
      </c>
      <c r="E411" s="15">
        <v>0.77</v>
      </c>
      <c r="F411" s="15">
        <v>51.61</v>
      </c>
      <c r="G411" s="15">
        <v>30.89</v>
      </c>
      <c r="H411" s="15">
        <v>0.9</v>
      </c>
      <c r="I411" s="15">
        <v>0.68</v>
      </c>
      <c r="J411" s="15">
        <v>0.43</v>
      </c>
      <c r="K411" s="15">
        <v>0.06</v>
      </c>
      <c r="L411" s="15">
        <v>8.53</v>
      </c>
      <c r="M411" s="15" t="s">
        <v>25</v>
      </c>
    </row>
    <row r="412" ht="15.75" customHeight="1">
      <c r="A412" s="15" t="s">
        <v>344</v>
      </c>
      <c r="B412" s="15" t="s">
        <v>1989</v>
      </c>
      <c r="C412" s="15">
        <v>2.0</v>
      </c>
      <c r="D412" s="15" t="s">
        <v>22</v>
      </c>
      <c r="E412" s="15">
        <v>0.77</v>
      </c>
      <c r="F412" s="15">
        <v>51.61</v>
      </c>
      <c r="G412" s="15">
        <v>30.92</v>
      </c>
      <c r="H412" s="15">
        <v>0.89</v>
      </c>
      <c r="I412" s="15">
        <v>0.68</v>
      </c>
      <c r="J412" s="15">
        <v>0.36</v>
      </c>
      <c r="K412" s="15">
        <v>0.05</v>
      </c>
      <c r="L412" s="15">
        <v>9.02</v>
      </c>
      <c r="M412" s="15" t="s">
        <v>25</v>
      </c>
    </row>
    <row r="413" ht="15.75" customHeight="1">
      <c r="A413" s="15" t="s">
        <v>298</v>
      </c>
      <c r="B413" s="15" t="s">
        <v>1992</v>
      </c>
      <c r="C413" s="15">
        <v>2.0</v>
      </c>
      <c r="D413" s="15" t="s">
        <v>22</v>
      </c>
      <c r="E413" s="15">
        <v>0.77</v>
      </c>
      <c r="F413" s="15">
        <v>51.59</v>
      </c>
      <c r="G413" s="15">
        <v>31.14</v>
      </c>
      <c r="H413" s="15">
        <v>0.89</v>
      </c>
      <c r="I413" s="15">
        <v>0.67</v>
      </c>
      <c r="J413" s="15">
        <v>0.36</v>
      </c>
      <c r="K413" s="15">
        <v>0.05</v>
      </c>
      <c r="L413" s="15">
        <v>9.02</v>
      </c>
      <c r="M413" s="15" t="s">
        <v>25</v>
      </c>
    </row>
    <row r="414" ht="15.75" customHeight="1">
      <c r="A414" s="15" t="s">
        <v>972</v>
      </c>
      <c r="B414" s="15" t="s">
        <v>1995</v>
      </c>
      <c r="C414" s="15">
        <v>2.0</v>
      </c>
      <c r="D414" s="15" t="s">
        <v>22</v>
      </c>
      <c r="E414" s="15">
        <v>0.77</v>
      </c>
      <c r="F414" s="15">
        <v>51.58</v>
      </c>
      <c r="G414" s="15">
        <v>30.91</v>
      </c>
      <c r="H414" s="15">
        <v>0.9</v>
      </c>
      <c r="I414" s="15">
        <v>0.68</v>
      </c>
      <c r="J414" s="15">
        <v>0.43</v>
      </c>
      <c r="K414" s="15">
        <v>0.06</v>
      </c>
      <c r="L414" s="15">
        <v>8.55</v>
      </c>
      <c r="M414" s="15" t="s">
        <v>25</v>
      </c>
    </row>
    <row r="415" ht="15.75" customHeight="1">
      <c r="A415" s="15" t="s">
        <v>414</v>
      </c>
      <c r="B415" s="15" t="s">
        <v>1999</v>
      </c>
      <c r="C415" s="15">
        <v>2.0</v>
      </c>
      <c r="D415" s="15" t="s">
        <v>22</v>
      </c>
      <c r="E415" s="15">
        <v>0.77</v>
      </c>
      <c r="F415" s="15">
        <v>51.58</v>
      </c>
      <c r="G415" s="15">
        <v>30.89</v>
      </c>
      <c r="H415" s="15">
        <v>0.89</v>
      </c>
      <c r="I415" s="15">
        <v>0.68</v>
      </c>
      <c r="J415" s="15">
        <v>0.36</v>
      </c>
      <c r="K415" s="15">
        <v>0.05</v>
      </c>
      <c r="L415" s="15">
        <v>9.01</v>
      </c>
      <c r="M415" s="15" t="s">
        <v>25</v>
      </c>
    </row>
    <row r="416" ht="15.75" customHeight="1">
      <c r="A416" s="15" t="s">
        <v>53</v>
      </c>
      <c r="B416" s="15" t="s">
        <v>2002</v>
      </c>
      <c r="C416" s="15">
        <v>2.0</v>
      </c>
      <c r="D416" s="15" t="s">
        <v>22</v>
      </c>
      <c r="E416" s="15">
        <v>0.62</v>
      </c>
      <c r="F416" s="15">
        <v>51.55</v>
      </c>
      <c r="G416" s="15">
        <v>30.83</v>
      </c>
      <c r="H416" s="15">
        <v>0.89</v>
      </c>
      <c r="I416" s="15">
        <v>0.68</v>
      </c>
      <c r="J416" s="15">
        <v>0.39</v>
      </c>
      <c r="K416" s="15">
        <v>0.06</v>
      </c>
      <c r="L416" s="15">
        <v>8.62</v>
      </c>
      <c r="M416" s="15" t="s">
        <v>25</v>
      </c>
    </row>
    <row r="417" ht="15.75" customHeight="1">
      <c r="A417" s="15" t="s">
        <v>477</v>
      </c>
      <c r="B417" s="15" t="s">
        <v>2006</v>
      </c>
      <c r="C417" s="15">
        <v>2.0</v>
      </c>
      <c r="D417" s="15" t="s">
        <v>22</v>
      </c>
      <c r="E417" s="15">
        <v>0.77</v>
      </c>
      <c r="F417" s="15">
        <v>51.55</v>
      </c>
      <c r="G417" s="15">
        <v>30.89</v>
      </c>
      <c r="H417" s="15">
        <v>0.89</v>
      </c>
      <c r="I417" s="15">
        <v>0.68</v>
      </c>
      <c r="J417" s="15">
        <v>0.36</v>
      </c>
      <c r="K417" s="15">
        <v>0.05</v>
      </c>
      <c r="L417" s="15">
        <v>9.02</v>
      </c>
      <c r="M417" s="15" t="s">
        <v>25</v>
      </c>
    </row>
    <row r="418" ht="15.75" customHeight="1">
      <c r="A418" s="15" t="s">
        <v>333</v>
      </c>
      <c r="B418" s="15" t="s">
        <v>2010</v>
      </c>
      <c r="C418" s="15">
        <v>2.0</v>
      </c>
      <c r="D418" s="15" t="s">
        <v>22</v>
      </c>
      <c r="E418" s="15">
        <v>0.77</v>
      </c>
      <c r="F418" s="15">
        <v>51.55</v>
      </c>
      <c r="G418" s="15">
        <v>30.72</v>
      </c>
      <c r="H418" s="15">
        <v>0.89</v>
      </c>
      <c r="I418" s="15">
        <v>0.69</v>
      </c>
      <c r="J418" s="15">
        <v>0.36</v>
      </c>
      <c r="K418" s="15">
        <v>0.05</v>
      </c>
      <c r="L418" s="15">
        <v>9.01</v>
      </c>
      <c r="M418" s="15" t="s">
        <v>25</v>
      </c>
    </row>
    <row r="419" ht="15.75" customHeight="1">
      <c r="A419" s="15" t="s">
        <v>490</v>
      </c>
      <c r="B419" s="15" t="s">
        <v>2014</v>
      </c>
      <c r="C419" s="15">
        <v>2.0</v>
      </c>
      <c r="D419" s="15" t="s">
        <v>22</v>
      </c>
      <c r="E419" s="15">
        <v>0.76</v>
      </c>
      <c r="F419" s="15">
        <v>51.54</v>
      </c>
      <c r="G419" s="15">
        <v>31.39</v>
      </c>
      <c r="H419" s="15">
        <v>0.9</v>
      </c>
      <c r="I419" s="15">
        <v>0.66</v>
      </c>
      <c r="J419" s="15">
        <v>0.38</v>
      </c>
      <c r="K419" s="15">
        <v>0.05</v>
      </c>
      <c r="L419" s="15">
        <v>8.92</v>
      </c>
      <c r="M419" s="15" t="s">
        <v>25</v>
      </c>
    </row>
    <row r="420" ht="15.75" customHeight="1">
      <c r="A420" s="15" t="s">
        <v>1130</v>
      </c>
      <c r="B420" s="15" t="s">
        <v>2017</v>
      </c>
      <c r="C420" s="15">
        <v>2.0</v>
      </c>
      <c r="D420" s="15" t="s">
        <v>22</v>
      </c>
      <c r="E420" s="15">
        <v>0.69</v>
      </c>
      <c r="F420" s="15">
        <v>51.53</v>
      </c>
      <c r="G420" s="15">
        <v>32.25</v>
      </c>
      <c r="H420" s="15">
        <v>0.89</v>
      </c>
      <c r="I420" s="15">
        <v>0.62</v>
      </c>
      <c r="J420" s="15">
        <v>0.55</v>
      </c>
      <c r="K420" s="15">
        <v>0.07</v>
      </c>
      <c r="L420" s="15">
        <v>8.0</v>
      </c>
      <c r="M420" s="15" t="s">
        <v>25</v>
      </c>
    </row>
    <row r="421" ht="15.75" customHeight="1">
      <c r="A421" s="15" t="s">
        <v>547</v>
      </c>
      <c r="B421" s="15" t="s">
        <v>2020</v>
      </c>
      <c r="C421" s="15">
        <v>2.0</v>
      </c>
      <c r="D421" s="15" t="s">
        <v>22</v>
      </c>
      <c r="E421" s="15">
        <v>0.77</v>
      </c>
      <c r="F421" s="15">
        <v>51.53</v>
      </c>
      <c r="G421" s="15">
        <v>30.85</v>
      </c>
      <c r="H421" s="15">
        <v>0.89</v>
      </c>
      <c r="I421" s="15">
        <v>0.68</v>
      </c>
      <c r="J421" s="15">
        <v>0.36</v>
      </c>
      <c r="K421" s="15">
        <v>0.05</v>
      </c>
      <c r="L421" s="15">
        <v>9.03</v>
      </c>
      <c r="M421" s="15" t="s">
        <v>25</v>
      </c>
    </row>
    <row r="422" ht="15.75" customHeight="1">
      <c r="A422" s="15" t="s">
        <v>364</v>
      </c>
      <c r="B422" s="15" t="s">
        <v>2023</v>
      </c>
      <c r="C422" s="15">
        <v>2.0</v>
      </c>
      <c r="D422" s="15" t="s">
        <v>22</v>
      </c>
      <c r="E422" s="15">
        <v>0.77</v>
      </c>
      <c r="F422" s="15">
        <v>51.53</v>
      </c>
      <c r="G422" s="15">
        <v>30.83</v>
      </c>
      <c r="H422" s="15">
        <v>0.89</v>
      </c>
      <c r="I422" s="15">
        <v>0.68</v>
      </c>
      <c r="J422" s="15">
        <v>0.36</v>
      </c>
      <c r="K422" s="15">
        <v>0.05</v>
      </c>
      <c r="L422" s="15">
        <v>9.0</v>
      </c>
      <c r="M422" s="15" t="s">
        <v>25</v>
      </c>
    </row>
    <row r="423" ht="15.75" customHeight="1">
      <c r="A423" s="15" t="s">
        <v>866</v>
      </c>
      <c r="B423" s="15" t="s">
        <v>2028</v>
      </c>
      <c r="C423" s="15">
        <v>2.0</v>
      </c>
      <c r="D423" s="15" t="s">
        <v>22</v>
      </c>
      <c r="E423" s="15">
        <v>0.53</v>
      </c>
      <c r="F423" s="15">
        <v>51.51</v>
      </c>
      <c r="G423" s="15">
        <v>31.5</v>
      </c>
      <c r="H423" s="15">
        <v>0.88</v>
      </c>
      <c r="I423" s="15">
        <v>0.65</v>
      </c>
      <c r="J423" s="15">
        <v>0.41</v>
      </c>
      <c r="K423" s="15">
        <v>0.06</v>
      </c>
      <c r="L423" s="15">
        <v>8.56</v>
      </c>
      <c r="M423" s="15" t="s">
        <v>25</v>
      </c>
    </row>
    <row r="424" ht="15.75" customHeight="1">
      <c r="A424" s="15" t="s">
        <v>510</v>
      </c>
      <c r="B424" s="15" t="s">
        <v>2031</v>
      </c>
      <c r="C424" s="15">
        <v>2.0</v>
      </c>
      <c r="D424" s="15" t="s">
        <v>22</v>
      </c>
      <c r="E424" s="15">
        <v>0.77</v>
      </c>
      <c r="F424" s="15">
        <v>51.51</v>
      </c>
      <c r="G424" s="15">
        <v>30.85</v>
      </c>
      <c r="H424" s="15">
        <v>0.89</v>
      </c>
      <c r="I424" s="15">
        <v>0.68</v>
      </c>
      <c r="J424" s="15">
        <v>0.36</v>
      </c>
      <c r="K424" s="15">
        <v>0.05</v>
      </c>
      <c r="L424" s="15">
        <v>9.02</v>
      </c>
      <c r="M424" s="15" t="s">
        <v>25</v>
      </c>
    </row>
    <row r="425" ht="15.75" customHeight="1">
      <c r="A425" s="15" t="s">
        <v>170</v>
      </c>
      <c r="B425" s="15" t="s">
        <v>2035</v>
      </c>
      <c r="C425" s="15">
        <v>2.0</v>
      </c>
      <c r="D425" s="15" t="s">
        <v>22</v>
      </c>
      <c r="E425" s="15">
        <v>0.74</v>
      </c>
      <c r="F425" s="15">
        <v>51.49</v>
      </c>
      <c r="G425" s="15">
        <v>30.9</v>
      </c>
      <c r="H425" s="15">
        <v>0.9</v>
      </c>
      <c r="I425" s="15">
        <v>0.68</v>
      </c>
      <c r="J425" s="15">
        <v>0.29</v>
      </c>
      <c r="K425" s="15">
        <v>0.04</v>
      </c>
      <c r="L425" s="15">
        <v>9.58</v>
      </c>
      <c r="M425" s="15" t="s">
        <v>25</v>
      </c>
    </row>
    <row r="426" ht="15.75" customHeight="1">
      <c r="A426" s="15" t="s">
        <v>464</v>
      </c>
      <c r="B426" s="15" t="s">
        <v>2039</v>
      </c>
      <c r="C426" s="15">
        <v>2.0</v>
      </c>
      <c r="D426" s="15" t="s">
        <v>22</v>
      </c>
      <c r="E426" s="15">
        <v>0.75</v>
      </c>
      <c r="F426" s="15">
        <v>51.46</v>
      </c>
      <c r="G426" s="15">
        <v>30.81</v>
      </c>
      <c r="H426" s="15">
        <v>0.89</v>
      </c>
      <c r="I426" s="15">
        <v>0.68</v>
      </c>
      <c r="J426" s="15">
        <v>0.43</v>
      </c>
      <c r="K426" s="15">
        <v>0.06</v>
      </c>
      <c r="L426" s="15">
        <v>8.64</v>
      </c>
      <c r="M426" s="15" t="s">
        <v>25</v>
      </c>
    </row>
    <row r="427" ht="15.75" customHeight="1">
      <c r="A427" s="15" t="s">
        <v>1421</v>
      </c>
      <c r="B427" s="15" t="s">
        <v>2044</v>
      </c>
      <c r="C427" s="15">
        <v>2.0</v>
      </c>
      <c r="D427" s="15" t="s">
        <v>22</v>
      </c>
      <c r="E427" s="15">
        <v>0.77</v>
      </c>
      <c r="F427" s="15">
        <v>51.46</v>
      </c>
      <c r="G427" s="15">
        <v>30.69</v>
      </c>
      <c r="H427" s="15">
        <v>0.9</v>
      </c>
      <c r="I427" s="15">
        <v>0.69</v>
      </c>
      <c r="J427" s="15">
        <v>0.43</v>
      </c>
      <c r="K427" s="15">
        <v>0.06</v>
      </c>
      <c r="L427" s="15">
        <v>8.55</v>
      </c>
      <c r="M427" s="15" t="s">
        <v>25</v>
      </c>
    </row>
    <row r="428" ht="15.75" customHeight="1">
      <c r="A428" s="15" t="s">
        <v>621</v>
      </c>
      <c r="B428" s="15" t="s">
        <v>2047</v>
      </c>
      <c r="C428" s="15">
        <v>2.0</v>
      </c>
      <c r="D428" s="15" t="s">
        <v>22</v>
      </c>
      <c r="E428" s="15">
        <v>0.53</v>
      </c>
      <c r="F428" s="15">
        <v>51.45</v>
      </c>
      <c r="G428" s="15">
        <v>31.68</v>
      </c>
      <c r="H428" s="15">
        <v>0.87</v>
      </c>
      <c r="I428" s="15">
        <v>0.64</v>
      </c>
      <c r="J428" s="15">
        <v>0.41</v>
      </c>
      <c r="K428" s="15">
        <v>0.06</v>
      </c>
      <c r="L428" s="15">
        <v>8.54</v>
      </c>
      <c r="M428" s="15" t="s">
        <v>25</v>
      </c>
    </row>
    <row r="429" ht="15.75" customHeight="1">
      <c r="A429" s="15" t="s">
        <v>659</v>
      </c>
      <c r="B429" s="15" t="s">
        <v>2050</v>
      </c>
      <c r="C429" s="15">
        <v>2.0</v>
      </c>
      <c r="D429" s="15" t="s">
        <v>22</v>
      </c>
      <c r="E429" s="15">
        <v>0.77</v>
      </c>
      <c r="F429" s="15">
        <v>51.44</v>
      </c>
      <c r="G429" s="15">
        <v>31.24</v>
      </c>
      <c r="H429" s="15">
        <v>0.89</v>
      </c>
      <c r="I429" s="15">
        <v>0.66</v>
      </c>
      <c r="J429" s="15">
        <v>0.37</v>
      </c>
      <c r="K429" s="15">
        <v>0.05</v>
      </c>
      <c r="L429" s="15">
        <v>8.99</v>
      </c>
      <c r="M429" s="15" t="s">
        <v>25</v>
      </c>
    </row>
    <row r="430" ht="15.75" customHeight="1">
      <c r="A430" s="15" t="s">
        <v>515</v>
      </c>
      <c r="B430" s="15" t="s">
        <v>2054</v>
      </c>
      <c r="C430" s="15">
        <v>2.0</v>
      </c>
      <c r="D430" s="15" t="s">
        <v>22</v>
      </c>
      <c r="E430" s="15">
        <v>0.77</v>
      </c>
      <c r="F430" s="15">
        <v>51.43</v>
      </c>
      <c r="G430" s="15">
        <v>30.77</v>
      </c>
      <c r="H430" s="15">
        <v>0.89</v>
      </c>
      <c r="I430" s="15">
        <v>0.68</v>
      </c>
      <c r="J430" s="15">
        <v>0.36</v>
      </c>
      <c r="K430" s="15">
        <v>0.05</v>
      </c>
      <c r="L430" s="15">
        <v>9.02</v>
      </c>
      <c r="M430" s="15" t="s">
        <v>25</v>
      </c>
    </row>
    <row r="431" ht="15.75" customHeight="1">
      <c r="A431" s="15" t="s">
        <v>502</v>
      </c>
      <c r="B431" s="15" t="s">
        <v>2057</v>
      </c>
      <c r="C431" s="15">
        <v>2.0</v>
      </c>
      <c r="D431" s="15" t="s">
        <v>22</v>
      </c>
      <c r="E431" s="15">
        <v>0.77</v>
      </c>
      <c r="F431" s="15">
        <v>51.41</v>
      </c>
      <c r="G431" s="15">
        <v>30.76</v>
      </c>
      <c r="H431" s="15">
        <v>0.89</v>
      </c>
      <c r="I431" s="15">
        <v>0.68</v>
      </c>
      <c r="J431" s="15">
        <v>0.36</v>
      </c>
      <c r="K431" s="15">
        <v>0.05</v>
      </c>
      <c r="L431" s="15">
        <v>9.01</v>
      </c>
      <c r="M431" s="15" t="s">
        <v>25</v>
      </c>
    </row>
    <row r="432" ht="15.75" customHeight="1">
      <c r="A432" s="15" t="s">
        <v>115</v>
      </c>
      <c r="B432" s="15" t="s">
        <v>2060</v>
      </c>
      <c r="C432" s="15">
        <v>2.0</v>
      </c>
      <c r="D432" s="15" t="s">
        <v>22</v>
      </c>
      <c r="E432" s="15">
        <v>0.73</v>
      </c>
      <c r="F432" s="15">
        <v>51.4</v>
      </c>
      <c r="G432" s="15">
        <v>30.92</v>
      </c>
      <c r="H432" s="15">
        <v>0.9</v>
      </c>
      <c r="I432" s="15">
        <v>0.68</v>
      </c>
      <c r="J432" s="15">
        <v>0.29</v>
      </c>
      <c r="K432" s="15">
        <v>0.04</v>
      </c>
      <c r="L432" s="15">
        <v>9.6</v>
      </c>
      <c r="M432" s="15" t="s">
        <v>25</v>
      </c>
    </row>
    <row r="433" ht="15.75" customHeight="1">
      <c r="A433" s="15" t="s">
        <v>941</v>
      </c>
      <c r="B433" s="15" t="s">
        <v>2063</v>
      </c>
      <c r="C433" s="15">
        <v>2.0</v>
      </c>
      <c r="D433" s="15" t="s">
        <v>22</v>
      </c>
      <c r="E433" s="15">
        <v>0.76</v>
      </c>
      <c r="F433" s="15">
        <v>51.37</v>
      </c>
      <c r="G433" s="15">
        <v>30.76</v>
      </c>
      <c r="H433" s="15">
        <v>0.9</v>
      </c>
      <c r="I433" s="15">
        <v>0.68</v>
      </c>
      <c r="J433" s="15">
        <v>0.43</v>
      </c>
      <c r="K433" s="15">
        <v>0.06</v>
      </c>
      <c r="L433" s="15">
        <v>8.57</v>
      </c>
      <c r="M433" s="15" t="s">
        <v>25</v>
      </c>
    </row>
    <row r="434" ht="15.75" customHeight="1">
      <c r="A434" s="15" t="s">
        <v>458</v>
      </c>
      <c r="B434" s="15" t="s">
        <v>2067</v>
      </c>
      <c r="C434" s="15">
        <v>2.0</v>
      </c>
      <c r="D434" s="15" t="s">
        <v>22</v>
      </c>
      <c r="E434" s="15">
        <v>0.77</v>
      </c>
      <c r="F434" s="15">
        <v>51.37</v>
      </c>
      <c r="G434" s="15">
        <v>31.47</v>
      </c>
      <c r="H434" s="15">
        <v>0.89</v>
      </c>
      <c r="I434" s="15">
        <v>0.65</v>
      </c>
      <c r="J434" s="15">
        <v>0.36</v>
      </c>
      <c r="K434" s="15">
        <v>0.05</v>
      </c>
      <c r="L434" s="15">
        <v>9.02</v>
      </c>
      <c r="M434" s="15" t="s">
        <v>25</v>
      </c>
    </row>
    <row r="435" ht="15.75" customHeight="1">
      <c r="A435" s="15" t="s">
        <v>397</v>
      </c>
      <c r="B435" s="15" t="s">
        <v>2070</v>
      </c>
      <c r="C435" s="15">
        <v>2.0</v>
      </c>
      <c r="D435" s="15" t="s">
        <v>22</v>
      </c>
      <c r="E435" s="15">
        <v>0.52</v>
      </c>
      <c r="F435" s="15">
        <v>51.34</v>
      </c>
      <c r="G435" s="15">
        <v>32.01</v>
      </c>
      <c r="H435" s="15">
        <v>0.85</v>
      </c>
      <c r="I435" s="15">
        <v>0.63</v>
      </c>
      <c r="J435" s="15">
        <v>0.42</v>
      </c>
      <c r="K435" s="15">
        <v>0.06</v>
      </c>
      <c r="L435" s="15">
        <v>8.53</v>
      </c>
      <c r="M435" s="15" t="s">
        <v>25</v>
      </c>
    </row>
    <row r="436" ht="15.75" customHeight="1">
      <c r="A436" s="15" t="s">
        <v>527</v>
      </c>
      <c r="B436" s="15" t="s">
        <v>2073</v>
      </c>
      <c r="C436" s="15">
        <v>2.0</v>
      </c>
      <c r="D436" s="15" t="s">
        <v>22</v>
      </c>
      <c r="E436" s="15">
        <v>0.77</v>
      </c>
      <c r="F436" s="15">
        <v>51.34</v>
      </c>
      <c r="G436" s="15">
        <v>30.82</v>
      </c>
      <c r="H436" s="15">
        <v>0.89</v>
      </c>
      <c r="I436" s="15">
        <v>0.68</v>
      </c>
      <c r="J436" s="15">
        <v>0.36</v>
      </c>
      <c r="K436" s="15">
        <v>0.05</v>
      </c>
      <c r="L436" s="15">
        <v>9.03</v>
      </c>
      <c r="M436" s="15" t="s">
        <v>25</v>
      </c>
    </row>
    <row r="437" ht="15.75" customHeight="1">
      <c r="A437" s="15" t="s">
        <v>452</v>
      </c>
      <c r="B437" s="15" t="s">
        <v>2076</v>
      </c>
      <c r="C437" s="15">
        <v>2.0</v>
      </c>
      <c r="D437" s="15" t="s">
        <v>22</v>
      </c>
      <c r="E437" s="15">
        <v>0.77</v>
      </c>
      <c r="F437" s="15">
        <v>51.32</v>
      </c>
      <c r="G437" s="15">
        <v>31.2</v>
      </c>
      <c r="H437" s="15">
        <v>0.89</v>
      </c>
      <c r="I437" s="15">
        <v>0.66</v>
      </c>
      <c r="J437" s="15">
        <v>0.36</v>
      </c>
      <c r="K437" s="15">
        <v>0.05</v>
      </c>
      <c r="L437" s="15">
        <v>9.02</v>
      </c>
      <c r="M437" s="15" t="s">
        <v>25</v>
      </c>
    </row>
    <row r="438" ht="15.75" customHeight="1">
      <c r="A438" s="15" t="s">
        <v>418</v>
      </c>
      <c r="B438" s="15" t="s">
        <v>2078</v>
      </c>
      <c r="C438" s="15">
        <v>2.0</v>
      </c>
      <c r="D438" s="15" t="s">
        <v>22</v>
      </c>
      <c r="E438" s="15">
        <v>0.55</v>
      </c>
      <c r="F438" s="15">
        <v>51.32</v>
      </c>
      <c r="G438" s="15">
        <v>31.9</v>
      </c>
      <c r="H438" s="15">
        <v>0.89</v>
      </c>
      <c r="I438" s="15">
        <v>0.63</v>
      </c>
      <c r="J438" s="15">
        <v>0.58</v>
      </c>
      <c r="K438" s="15">
        <v>0.09</v>
      </c>
      <c r="L438" s="15">
        <v>7.78</v>
      </c>
      <c r="M438" s="15" t="s">
        <v>25</v>
      </c>
    </row>
    <row r="439" ht="15.75" customHeight="1">
      <c r="A439" s="15" t="s">
        <v>305</v>
      </c>
      <c r="B439" s="15" t="s">
        <v>2081</v>
      </c>
      <c r="C439" s="15">
        <v>2.0</v>
      </c>
      <c r="D439" s="15" t="s">
        <v>22</v>
      </c>
      <c r="E439" s="15">
        <v>0.77</v>
      </c>
      <c r="F439" s="15">
        <v>51.3</v>
      </c>
      <c r="G439" s="15">
        <v>31.01</v>
      </c>
      <c r="H439" s="15">
        <v>0.89</v>
      </c>
      <c r="I439" s="15">
        <v>0.67</v>
      </c>
      <c r="J439" s="15">
        <v>0.36</v>
      </c>
      <c r="K439" s="15">
        <v>0.05</v>
      </c>
      <c r="L439" s="15">
        <v>9.01</v>
      </c>
      <c r="M439" s="15" t="s">
        <v>25</v>
      </c>
    </row>
    <row r="440" ht="15.75" customHeight="1">
      <c r="A440" s="15" t="s">
        <v>264</v>
      </c>
      <c r="B440" s="15" t="s">
        <v>2083</v>
      </c>
      <c r="C440" s="15">
        <v>2.0</v>
      </c>
      <c r="D440" s="15" t="s">
        <v>22</v>
      </c>
      <c r="E440" s="15">
        <v>0.76</v>
      </c>
      <c r="F440" s="15">
        <v>51.3</v>
      </c>
      <c r="G440" s="15">
        <v>30.67</v>
      </c>
      <c r="H440" s="15">
        <v>0.89</v>
      </c>
      <c r="I440" s="15">
        <v>0.69</v>
      </c>
      <c r="J440" s="15">
        <v>0.36</v>
      </c>
      <c r="K440" s="15">
        <v>0.05</v>
      </c>
      <c r="L440" s="15">
        <v>9.01</v>
      </c>
      <c r="M440" s="15" t="s">
        <v>25</v>
      </c>
    </row>
    <row r="441" ht="15.75" customHeight="1">
      <c r="A441" s="15" t="s">
        <v>435</v>
      </c>
      <c r="B441" s="15" t="s">
        <v>2086</v>
      </c>
      <c r="C441" s="15">
        <v>2.0</v>
      </c>
      <c r="D441" s="15" t="s">
        <v>22</v>
      </c>
      <c r="E441" s="15">
        <v>0.77</v>
      </c>
      <c r="F441" s="15">
        <v>51.29</v>
      </c>
      <c r="G441" s="15">
        <v>31.21</v>
      </c>
      <c r="H441" s="15">
        <v>0.89</v>
      </c>
      <c r="I441" s="15">
        <v>0.66</v>
      </c>
      <c r="J441" s="15">
        <v>0.36</v>
      </c>
      <c r="K441" s="15">
        <v>0.05</v>
      </c>
      <c r="L441" s="15">
        <v>9.03</v>
      </c>
      <c r="M441" s="15" t="s">
        <v>25</v>
      </c>
    </row>
    <row r="442" ht="15.75" customHeight="1">
      <c r="A442" s="15" t="s">
        <v>484</v>
      </c>
      <c r="B442" s="15" t="s">
        <v>2089</v>
      </c>
      <c r="C442" s="15">
        <v>2.0</v>
      </c>
      <c r="D442" s="15" t="s">
        <v>22</v>
      </c>
      <c r="E442" s="15">
        <v>0.76</v>
      </c>
      <c r="F442" s="15">
        <v>51.25</v>
      </c>
      <c r="G442" s="15">
        <v>30.39</v>
      </c>
      <c r="H442" s="15">
        <v>0.89</v>
      </c>
      <c r="I442" s="15">
        <v>0.7</v>
      </c>
      <c r="J442" s="15">
        <v>0.36</v>
      </c>
      <c r="K442" s="15">
        <v>0.05</v>
      </c>
      <c r="L442" s="15">
        <v>8.99</v>
      </c>
      <c r="M442" s="15" t="s">
        <v>25</v>
      </c>
    </row>
    <row r="443" ht="15.75" customHeight="1">
      <c r="A443" s="15" t="s">
        <v>1848</v>
      </c>
      <c r="B443" s="15" t="s">
        <v>2091</v>
      </c>
      <c r="C443" s="15">
        <v>2.0</v>
      </c>
      <c r="D443" s="15" t="s">
        <v>22</v>
      </c>
      <c r="E443" s="15">
        <v>0.79</v>
      </c>
      <c r="F443" s="15">
        <v>51.22</v>
      </c>
      <c r="G443" s="15">
        <v>30.06</v>
      </c>
      <c r="H443" s="15">
        <v>0.83</v>
      </c>
      <c r="I443" s="15">
        <v>0.71</v>
      </c>
      <c r="J443" s="15">
        <v>0.58</v>
      </c>
      <c r="K443" s="15">
        <v>0.08</v>
      </c>
      <c r="L443" s="15">
        <v>7.93</v>
      </c>
      <c r="M443" s="15" t="s">
        <v>25</v>
      </c>
    </row>
    <row r="444" ht="15.75" customHeight="1">
      <c r="A444" s="15" t="s">
        <v>232</v>
      </c>
      <c r="B444" s="15" t="s">
        <v>2095</v>
      </c>
      <c r="C444" s="15">
        <v>2.0</v>
      </c>
      <c r="D444" s="15" t="s">
        <v>22</v>
      </c>
      <c r="E444" s="15">
        <v>0.63</v>
      </c>
      <c r="F444" s="15">
        <v>51.2</v>
      </c>
      <c r="G444" s="15">
        <v>30.37</v>
      </c>
      <c r="H444" s="15">
        <v>0.88</v>
      </c>
      <c r="I444" s="15">
        <v>0.7</v>
      </c>
      <c r="J444" s="15">
        <v>0.39</v>
      </c>
      <c r="K444" s="15">
        <v>0.06</v>
      </c>
      <c r="L444" s="15">
        <v>8.61</v>
      </c>
      <c r="M444" s="15" t="s">
        <v>25</v>
      </c>
    </row>
    <row r="445" ht="15.75" customHeight="1">
      <c r="A445" s="15" t="s">
        <v>383</v>
      </c>
      <c r="B445" s="15" t="s">
        <v>2097</v>
      </c>
      <c r="C445" s="15">
        <v>2.0</v>
      </c>
      <c r="D445" s="15" t="s">
        <v>22</v>
      </c>
      <c r="E445" s="15">
        <v>0.66</v>
      </c>
      <c r="F445" s="15">
        <v>51.2</v>
      </c>
      <c r="G445" s="15">
        <v>29.65</v>
      </c>
      <c r="H445" s="15">
        <v>0.84</v>
      </c>
      <c r="I445" s="15">
        <v>0.73</v>
      </c>
      <c r="J445" s="15">
        <v>0.36</v>
      </c>
      <c r="K445" s="15">
        <v>0.07</v>
      </c>
      <c r="L445" s="15">
        <v>8.24</v>
      </c>
      <c r="M445" s="15" t="s">
        <v>25</v>
      </c>
    </row>
    <row r="446" ht="15.75" customHeight="1">
      <c r="A446" s="15" t="s">
        <v>307</v>
      </c>
      <c r="B446" s="15" t="s">
        <v>2100</v>
      </c>
      <c r="C446" s="15">
        <v>2.0</v>
      </c>
      <c r="D446" s="15" t="s">
        <v>22</v>
      </c>
      <c r="E446" s="15">
        <v>0.62</v>
      </c>
      <c r="F446" s="15">
        <v>51.2</v>
      </c>
      <c r="G446" s="15">
        <v>30.37</v>
      </c>
      <c r="H446" s="15">
        <v>0.88</v>
      </c>
      <c r="I446" s="15">
        <v>0.7</v>
      </c>
      <c r="J446" s="15">
        <v>0.39</v>
      </c>
      <c r="K446" s="15">
        <v>0.06</v>
      </c>
      <c r="L446" s="15">
        <v>8.61</v>
      </c>
      <c r="M446" s="15" t="s">
        <v>25</v>
      </c>
    </row>
    <row r="447" ht="15.75" customHeight="1">
      <c r="A447" s="15" t="s">
        <v>728</v>
      </c>
      <c r="B447" s="15" t="s">
        <v>2103</v>
      </c>
      <c r="C447" s="15">
        <v>2.0</v>
      </c>
      <c r="D447" s="15" t="s">
        <v>22</v>
      </c>
      <c r="E447" s="15">
        <v>0.55</v>
      </c>
      <c r="F447" s="15">
        <v>51.15</v>
      </c>
      <c r="G447" s="15">
        <v>31.12</v>
      </c>
      <c r="H447" s="15">
        <v>0.85</v>
      </c>
      <c r="I447" s="15">
        <v>0.66</v>
      </c>
      <c r="J447" s="15">
        <v>0.41</v>
      </c>
      <c r="K447" s="15">
        <v>0.06</v>
      </c>
      <c r="L447" s="15">
        <v>8.53</v>
      </c>
      <c r="M447" s="15" t="s">
        <v>25</v>
      </c>
    </row>
    <row r="448" ht="15.75" customHeight="1">
      <c r="A448" s="15" t="s">
        <v>2106</v>
      </c>
      <c r="B448" s="15" t="s">
        <v>2107</v>
      </c>
      <c r="C448" s="15">
        <v>2.0</v>
      </c>
      <c r="D448" s="15" t="s">
        <v>22</v>
      </c>
      <c r="E448" s="15">
        <v>0.7</v>
      </c>
      <c r="F448" s="15">
        <v>51.12</v>
      </c>
      <c r="G448" s="15">
        <v>31.39</v>
      </c>
      <c r="H448" s="15">
        <v>0.89</v>
      </c>
      <c r="I448" s="15">
        <v>0.65</v>
      </c>
      <c r="J448" s="15">
        <v>0.42</v>
      </c>
      <c r="K448" s="15">
        <v>0.07</v>
      </c>
      <c r="L448" s="15">
        <v>8.73</v>
      </c>
      <c r="M448" s="15" t="s">
        <v>25</v>
      </c>
    </row>
    <row r="449" ht="15.75" customHeight="1">
      <c r="A449" s="15" t="s">
        <v>291</v>
      </c>
      <c r="B449" s="15" t="s">
        <v>2110</v>
      </c>
      <c r="C449" s="15">
        <v>2.0</v>
      </c>
      <c r="D449" s="15" t="s">
        <v>22</v>
      </c>
      <c r="E449" s="15">
        <v>0.71</v>
      </c>
      <c r="F449" s="15">
        <v>51.03</v>
      </c>
      <c r="G449" s="15">
        <v>30.81</v>
      </c>
      <c r="H449" s="15">
        <v>0.9</v>
      </c>
      <c r="I449" s="15">
        <v>0.68</v>
      </c>
      <c r="J449" s="15">
        <v>0.5</v>
      </c>
      <c r="K449" s="15">
        <v>0.07</v>
      </c>
      <c r="L449" s="15">
        <v>8.27</v>
      </c>
      <c r="M449" s="15" t="s">
        <v>25</v>
      </c>
    </row>
    <row r="450" ht="15.75" customHeight="1">
      <c r="A450" s="15" t="s">
        <v>495</v>
      </c>
      <c r="B450" s="15" t="s">
        <v>2113</v>
      </c>
      <c r="C450" s="15">
        <v>2.0</v>
      </c>
      <c r="D450" s="15" t="s">
        <v>22</v>
      </c>
      <c r="E450" s="15">
        <v>0.77</v>
      </c>
      <c r="F450" s="15">
        <v>51.02</v>
      </c>
      <c r="G450" s="15">
        <v>31.17</v>
      </c>
      <c r="H450" s="15">
        <v>0.89</v>
      </c>
      <c r="I450" s="15">
        <v>0.66</v>
      </c>
      <c r="J450" s="15">
        <v>0.35</v>
      </c>
      <c r="K450" s="15">
        <v>0.05</v>
      </c>
      <c r="L450" s="15">
        <v>9.04</v>
      </c>
      <c r="M450" s="15" t="s">
        <v>25</v>
      </c>
    </row>
    <row r="451" ht="15.75" customHeight="1">
      <c r="A451" s="15" t="s">
        <v>291</v>
      </c>
      <c r="B451" s="15" t="s">
        <v>2116</v>
      </c>
      <c r="C451" s="15">
        <v>2.0</v>
      </c>
      <c r="D451" s="15" t="s">
        <v>22</v>
      </c>
      <c r="E451" s="15">
        <v>0.73</v>
      </c>
      <c r="F451" s="15">
        <v>50.94</v>
      </c>
      <c r="G451" s="15">
        <v>31.26</v>
      </c>
      <c r="H451" s="15">
        <v>0.9</v>
      </c>
      <c r="I451" s="15">
        <v>0.66</v>
      </c>
      <c r="J451" s="15">
        <v>0.29</v>
      </c>
      <c r="K451" s="15">
        <v>0.05</v>
      </c>
      <c r="L451" s="15">
        <v>9.56</v>
      </c>
      <c r="M451" s="15" t="s">
        <v>25</v>
      </c>
    </row>
    <row r="452" ht="15.75" customHeight="1">
      <c r="A452" s="15" t="s">
        <v>2119</v>
      </c>
      <c r="B452" s="15" t="s">
        <v>2120</v>
      </c>
      <c r="C452" s="15">
        <v>2.0</v>
      </c>
      <c r="D452" s="15" t="s">
        <v>22</v>
      </c>
      <c r="E452" s="15">
        <v>0.66</v>
      </c>
      <c r="F452" s="15">
        <v>50.92</v>
      </c>
      <c r="G452" s="15">
        <v>29.72</v>
      </c>
      <c r="H452" s="15">
        <v>0.85</v>
      </c>
      <c r="I452" s="15">
        <v>0.72</v>
      </c>
      <c r="J452" s="15">
        <v>0.36</v>
      </c>
      <c r="K452" s="15">
        <v>0.07</v>
      </c>
      <c r="L452" s="15">
        <v>8.27</v>
      </c>
      <c r="M452" s="15" t="s">
        <v>25</v>
      </c>
    </row>
    <row r="453" ht="15.75" customHeight="1">
      <c r="A453" s="15" t="s">
        <v>2123</v>
      </c>
      <c r="B453" s="15" t="s">
        <v>2124</v>
      </c>
      <c r="C453" s="15">
        <v>2.0</v>
      </c>
      <c r="D453" s="15" t="s">
        <v>22</v>
      </c>
      <c r="E453" s="15">
        <v>0.69</v>
      </c>
      <c r="F453" s="15">
        <v>50.89</v>
      </c>
      <c r="G453" s="15">
        <v>30.45</v>
      </c>
      <c r="H453" s="15">
        <v>0.89</v>
      </c>
      <c r="I453" s="15">
        <v>0.69</v>
      </c>
      <c r="J453" s="15">
        <v>0.34</v>
      </c>
      <c r="K453" s="15">
        <v>0.05</v>
      </c>
      <c r="L453" s="15">
        <v>9.2</v>
      </c>
      <c r="M453" s="15" t="s">
        <v>25</v>
      </c>
    </row>
    <row r="454" ht="15.75" customHeight="1">
      <c r="A454" s="15" t="s">
        <v>812</v>
      </c>
      <c r="B454" s="15" t="s">
        <v>2127</v>
      </c>
      <c r="C454" s="15">
        <v>2.0</v>
      </c>
      <c r="D454" s="15" t="s">
        <v>22</v>
      </c>
      <c r="E454" s="15">
        <v>0.59</v>
      </c>
      <c r="F454" s="15">
        <v>50.82</v>
      </c>
      <c r="G454" s="15">
        <v>31.41</v>
      </c>
      <c r="H454" s="15">
        <v>0.89</v>
      </c>
      <c r="I454" s="15">
        <v>0.65</v>
      </c>
      <c r="J454" s="15">
        <v>0.61</v>
      </c>
      <c r="K454" s="15">
        <v>0.09</v>
      </c>
      <c r="L454" s="15">
        <v>7.46</v>
      </c>
      <c r="M454" s="15" t="s">
        <v>25</v>
      </c>
    </row>
    <row r="455" ht="15.75" customHeight="1">
      <c r="A455" s="15" t="s">
        <v>1191</v>
      </c>
      <c r="B455" s="15" t="s">
        <v>2131</v>
      </c>
      <c r="C455" s="15">
        <v>2.0</v>
      </c>
      <c r="D455" s="15" t="s">
        <v>22</v>
      </c>
      <c r="E455" s="15">
        <v>0.73</v>
      </c>
      <c r="F455" s="15">
        <v>50.81</v>
      </c>
      <c r="G455" s="15">
        <v>31.42</v>
      </c>
      <c r="H455" s="15">
        <v>0.9</v>
      </c>
      <c r="I455" s="15">
        <v>0.65</v>
      </c>
      <c r="J455" s="15">
        <v>0.29</v>
      </c>
      <c r="K455" s="15">
        <v>0.05</v>
      </c>
      <c r="L455" s="15">
        <v>9.62</v>
      </c>
      <c r="M455" s="15" t="s">
        <v>25</v>
      </c>
    </row>
    <row r="456" ht="15.75" customHeight="1">
      <c r="A456" s="15" t="s">
        <v>497</v>
      </c>
      <c r="B456" s="15" t="s">
        <v>2136</v>
      </c>
      <c r="C456" s="15">
        <v>2.0</v>
      </c>
      <c r="D456" s="15" t="s">
        <v>22</v>
      </c>
      <c r="E456" s="15">
        <v>0.65</v>
      </c>
      <c r="F456" s="15">
        <v>50.8</v>
      </c>
      <c r="G456" s="15">
        <v>29.62</v>
      </c>
      <c r="H456" s="15">
        <v>0.85</v>
      </c>
      <c r="I456" s="15">
        <v>0.73</v>
      </c>
      <c r="J456" s="15">
        <v>0.36</v>
      </c>
      <c r="K456" s="15">
        <v>0.07</v>
      </c>
      <c r="L456" s="15">
        <v>8.28</v>
      </c>
      <c r="M456" s="15" t="s">
        <v>25</v>
      </c>
    </row>
    <row r="457" ht="15.75" customHeight="1">
      <c r="A457" s="15" t="s">
        <v>300</v>
      </c>
      <c r="B457" s="15" t="s">
        <v>2138</v>
      </c>
      <c r="C457" s="15">
        <v>2.0</v>
      </c>
      <c r="D457" s="15" t="s">
        <v>22</v>
      </c>
      <c r="E457" s="15">
        <v>0.66</v>
      </c>
      <c r="F457" s="15">
        <v>50.77</v>
      </c>
      <c r="G457" s="15">
        <v>29.62</v>
      </c>
      <c r="H457" s="15">
        <v>0.85</v>
      </c>
      <c r="I457" s="15">
        <v>0.73</v>
      </c>
      <c r="J457" s="15">
        <v>0.36</v>
      </c>
      <c r="K457" s="15">
        <v>0.07</v>
      </c>
      <c r="L457" s="15">
        <v>8.3</v>
      </c>
      <c r="M457" s="15" t="s">
        <v>25</v>
      </c>
    </row>
    <row r="458" ht="15.75" customHeight="1">
      <c r="A458" s="15" t="s">
        <v>483</v>
      </c>
      <c r="B458" s="15" t="s">
        <v>2141</v>
      </c>
      <c r="C458" s="15">
        <v>2.0</v>
      </c>
      <c r="D458" s="15" t="s">
        <v>22</v>
      </c>
      <c r="E458" s="15">
        <v>0.67</v>
      </c>
      <c r="F458" s="15">
        <v>50.76</v>
      </c>
      <c r="G458" s="15">
        <v>29.59</v>
      </c>
      <c r="H458" s="15">
        <v>0.85</v>
      </c>
      <c r="I458" s="15">
        <v>0.73</v>
      </c>
      <c r="J458" s="15">
        <v>0.36</v>
      </c>
      <c r="K458" s="15">
        <v>0.07</v>
      </c>
      <c r="L458" s="15">
        <v>8.29</v>
      </c>
      <c r="M458" s="15" t="s">
        <v>25</v>
      </c>
    </row>
    <row r="459" ht="15.75" customHeight="1">
      <c r="A459" s="15" t="s">
        <v>388</v>
      </c>
      <c r="B459" s="15" t="s">
        <v>2144</v>
      </c>
      <c r="C459" s="15">
        <v>2.0</v>
      </c>
      <c r="D459" s="15" t="s">
        <v>22</v>
      </c>
      <c r="E459" s="15">
        <v>0.61</v>
      </c>
      <c r="F459" s="15">
        <v>50.75</v>
      </c>
      <c r="G459" s="15">
        <v>29.94</v>
      </c>
      <c r="H459" s="15">
        <v>0.83</v>
      </c>
      <c r="I459" s="15">
        <v>0.71</v>
      </c>
      <c r="J459" s="15">
        <v>0.49</v>
      </c>
      <c r="K459" s="15">
        <v>0.09</v>
      </c>
      <c r="L459" s="15">
        <v>7.48</v>
      </c>
      <c r="M459" s="15" t="s">
        <v>25</v>
      </c>
    </row>
    <row r="460" ht="15.75" customHeight="1">
      <c r="A460" s="15" t="s">
        <v>410</v>
      </c>
      <c r="B460" s="15" t="s">
        <v>2147</v>
      </c>
      <c r="C460" s="15">
        <v>2.0</v>
      </c>
      <c r="D460" s="15" t="s">
        <v>22</v>
      </c>
      <c r="E460" s="15">
        <v>0.45</v>
      </c>
      <c r="F460" s="15">
        <v>50.72</v>
      </c>
      <c r="G460" s="15">
        <v>30.36</v>
      </c>
      <c r="H460" s="15">
        <v>0.89</v>
      </c>
      <c r="I460" s="15">
        <v>0.69</v>
      </c>
      <c r="J460" s="15">
        <v>0.49</v>
      </c>
      <c r="K460" s="15">
        <v>0.07</v>
      </c>
      <c r="L460" s="15">
        <v>8.31</v>
      </c>
      <c r="M460" s="15" t="s">
        <v>25</v>
      </c>
    </row>
    <row r="461" ht="15.75" customHeight="1">
      <c r="A461" s="15" t="s">
        <v>2037</v>
      </c>
      <c r="B461" s="15" t="s">
        <v>2149</v>
      </c>
      <c r="C461" s="15">
        <v>2.0</v>
      </c>
      <c r="D461" s="15" t="s">
        <v>22</v>
      </c>
      <c r="E461" s="15">
        <v>0.45</v>
      </c>
      <c r="F461" s="15">
        <v>50.7</v>
      </c>
      <c r="G461" s="15">
        <v>31.24</v>
      </c>
      <c r="H461" s="15">
        <v>0.88</v>
      </c>
      <c r="I461" s="15">
        <v>0.65</v>
      </c>
      <c r="J461" s="15">
        <v>0.39</v>
      </c>
      <c r="K461" s="15">
        <v>0.05</v>
      </c>
      <c r="L461" s="15">
        <v>8.94</v>
      </c>
      <c r="M461" s="15" t="s">
        <v>25</v>
      </c>
    </row>
    <row r="462" ht="15.75" customHeight="1">
      <c r="A462" s="15" t="s">
        <v>1196</v>
      </c>
      <c r="B462" s="15" t="s">
        <v>2155</v>
      </c>
      <c r="C462" s="15">
        <v>2.0</v>
      </c>
      <c r="D462" s="15" t="s">
        <v>22</v>
      </c>
      <c r="E462" s="15">
        <v>0.73</v>
      </c>
      <c r="F462" s="15">
        <v>50.66</v>
      </c>
      <c r="G462" s="15">
        <v>30.84</v>
      </c>
      <c r="H462" s="15">
        <v>0.9</v>
      </c>
      <c r="I462" s="15">
        <v>0.67</v>
      </c>
      <c r="J462" s="15">
        <v>0.28</v>
      </c>
      <c r="K462" s="15">
        <v>0.05</v>
      </c>
      <c r="L462" s="15">
        <v>9.66</v>
      </c>
      <c r="M462" s="15" t="s">
        <v>25</v>
      </c>
    </row>
    <row r="463" ht="15.75" customHeight="1">
      <c r="A463" s="15" t="s">
        <v>607</v>
      </c>
      <c r="B463" s="15" t="s">
        <v>2158</v>
      </c>
      <c r="C463" s="15">
        <v>2.0</v>
      </c>
      <c r="D463" s="15" t="s">
        <v>22</v>
      </c>
      <c r="E463" s="15">
        <v>0.72</v>
      </c>
      <c r="F463" s="15">
        <v>50.65</v>
      </c>
      <c r="G463" s="15">
        <v>31.04</v>
      </c>
      <c r="H463" s="15">
        <v>0.9</v>
      </c>
      <c r="I463" s="15">
        <v>0.66</v>
      </c>
      <c r="J463" s="15">
        <v>0.28</v>
      </c>
      <c r="K463" s="15">
        <v>0.05</v>
      </c>
      <c r="L463" s="15">
        <v>9.64</v>
      </c>
      <c r="M463" s="15" t="s">
        <v>25</v>
      </c>
    </row>
    <row r="464" ht="15.75" customHeight="1">
      <c r="A464" s="15" t="s">
        <v>1124</v>
      </c>
      <c r="B464" s="15" t="s">
        <v>2161</v>
      </c>
      <c r="C464" s="15">
        <v>2.0</v>
      </c>
      <c r="D464" s="15" t="s">
        <v>22</v>
      </c>
      <c r="E464" s="15">
        <v>0.76</v>
      </c>
      <c r="F464" s="15">
        <v>50.61</v>
      </c>
      <c r="G464" s="15">
        <v>30.29</v>
      </c>
      <c r="H464" s="15">
        <v>0.89</v>
      </c>
      <c r="I464" s="15">
        <v>0.69</v>
      </c>
      <c r="J464" s="15">
        <v>0.4</v>
      </c>
      <c r="K464" s="15">
        <v>0.06</v>
      </c>
      <c r="L464" s="15">
        <v>8.73</v>
      </c>
      <c r="M464" s="15" t="s">
        <v>25</v>
      </c>
    </row>
    <row r="465" ht="15.75" customHeight="1">
      <c r="A465" s="15" t="s">
        <v>869</v>
      </c>
      <c r="B465" s="15" t="s">
        <v>2164</v>
      </c>
      <c r="C465" s="15">
        <v>2.0</v>
      </c>
      <c r="D465" s="15" t="s">
        <v>22</v>
      </c>
      <c r="E465" s="15">
        <v>0.76</v>
      </c>
      <c r="F465" s="15">
        <v>50.6</v>
      </c>
      <c r="G465" s="15">
        <v>30.37</v>
      </c>
      <c r="H465" s="15">
        <v>0.9</v>
      </c>
      <c r="I465" s="15">
        <v>0.69</v>
      </c>
      <c r="J465" s="15">
        <v>0.4</v>
      </c>
      <c r="K465" s="15">
        <v>0.06</v>
      </c>
      <c r="L465" s="15">
        <v>8.72</v>
      </c>
      <c r="M465" s="15" t="s">
        <v>25</v>
      </c>
    </row>
    <row r="466" ht="15.75" customHeight="1">
      <c r="A466" s="15" t="s">
        <v>800</v>
      </c>
      <c r="B466" s="15" t="s">
        <v>2166</v>
      </c>
      <c r="C466" s="15">
        <v>2.0</v>
      </c>
      <c r="D466" s="15" t="s">
        <v>22</v>
      </c>
      <c r="E466" s="15">
        <v>0.77</v>
      </c>
      <c r="F466" s="15">
        <v>50.6</v>
      </c>
      <c r="G466" s="15">
        <v>30.53</v>
      </c>
      <c r="H466" s="15">
        <v>0.89</v>
      </c>
      <c r="I466" s="15">
        <v>0.68</v>
      </c>
      <c r="J466" s="15">
        <v>0.4</v>
      </c>
      <c r="K466" s="15">
        <v>0.06</v>
      </c>
      <c r="L466" s="15">
        <v>8.75</v>
      </c>
      <c r="M466" s="15" t="s">
        <v>25</v>
      </c>
    </row>
    <row r="467" ht="15.75" customHeight="1">
      <c r="A467" s="15" t="s">
        <v>791</v>
      </c>
      <c r="B467" s="15" t="s">
        <v>2169</v>
      </c>
      <c r="C467" s="15">
        <v>2.0</v>
      </c>
      <c r="D467" s="15" t="s">
        <v>22</v>
      </c>
      <c r="E467" s="15">
        <v>0.77</v>
      </c>
      <c r="F467" s="15">
        <v>50.59</v>
      </c>
      <c r="G467" s="15">
        <v>30.52</v>
      </c>
      <c r="H467" s="15">
        <v>0.89</v>
      </c>
      <c r="I467" s="15">
        <v>0.68</v>
      </c>
      <c r="J467" s="15">
        <v>0.4</v>
      </c>
      <c r="K467" s="15">
        <v>0.06</v>
      </c>
      <c r="L467" s="15">
        <v>8.74</v>
      </c>
      <c r="M467" s="15" t="s">
        <v>25</v>
      </c>
    </row>
    <row r="468" ht="15.75" customHeight="1">
      <c r="A468" s="15" t="s">
        <v>919</v>
      </c>
      <c r="B468" s="15" t="s">
        <v>2172</v>
      </c>
      <c r="C468" s="15">
        <v>2.0</v>
      </c>
      <c r="D468" s="15" t="s">
        <v>22</v>
      </c>
      <c r="E468" s="15">
        <v>0.76</v>
      </c>
      <c r="F468" s="15">
        <v>50.59</v>
      </c>
      <c r="G468" s="15">
        <v>30.4</v>
      </c>
      <c r="H468" s="15">
        <v>0.9</v>
      </c>
      <c r="I468" s="15">
        <v>0.69</v>
      </c>
      <c r="J468" s="15">
        <v>0.4</v>
      </c>
      <c r="K468" s="15">
        <v>0.06</v>
      </c>
      <c r="L468" s="15">
        <v>8.74</v>
      </c>
      <c r="M468" s="15" t="s">
        <v>25</v>
      </c>
    </row>
    <row r="469" ht="15.75" customHeight="1">
      <c r="A469" s="15" t="s">
        <v>1247</v>
      </c>
      <c r="B469" s="15" t="s">
        <v>2175</v>
      </c>
      <c r="C469" s="15">
        <v>2.0</v>
      </c>
      <c r="D469" s="15" t="s">
        <v>22</v>
      </c>
      <c r="E469" s="15">
        <v>0.72</v>
      </c>
      <c r="F469" s="15">
        <v>50.56</v>
      </c>
      <c r="G469" s="15">
        <v>31.1</v>
      </c>
      <c r="H469" s="15">
        <v>0.9</v>
      </c>
      <c r="I469" s="15">
        <v>0.66</v>
      </c>
      <c r="J469" s="15">
        <v>0.28</v>
      </c>
      <c r="K469" s="15">
        <v>0.05</v>
      </c>
      <c r="L469" s="15">
        <v>9.66</v>
      </c>
      <c r="M469" s="15" t="s">
        <v>25</v>
      </c>
    </row>
    <row r="470" ht="15.75" customHeight="1">
      <c r="A470" s="15" t="s">
        <v>1336</v>
      </c>
      <c r="B470" s="15" t="s">
        <v>2178</v>
      </c>
      <c r="C470" s="15">
        <v>2.0</v>
      </c>
      <c r="D470" s="15" t="s">
        <v>22</v>
      </c>
      <c r="E470" s="15">
        <v>0.73</v>
      </c>
      <c r="F470" s="15">
        <v>50.56</v>
      </c>
      <c r="G470" s="15">
        <v>30.81</v>
      </c>
      <c r="H470" s="15">
        <v>0.9</v>
      </c>
      <c r="I470" s="15">
        <v>0.67</v>
      </c>
      <c r="J470" s="15">
        <v>0.28</v>
      </c>
      <c r="K470" s="15">
        <v>0.05</v>
      </c>
      <c r="L470" s="15">
        <v>9.64</v>
      </c>
      <c r="M470" s="15" t="s">
        <v>25</v>
      </c>
    </row>
    <row r="471" ht="15.75" customHeight="1">
      <c r="A471" s="15" t="s">
        <v>859</v>
      </c>
      <c r="B471" s="15" t="s">
        <v>2181</v>
      </c>
      <c r="C471" s="15">
        <v>2.0</v>
      </c>
      <c r="D471" s="15" t="s">
        <v>22</v>
      </c>
      <c r="E471" s="15">
        <v>0.77</v>
      </c>
      <c r="F471" s="15">
        <v>50.56</v>
      </c>
      <c r="G471" s="15">
        <v>30.49</v>
      </c>
      <c r="H471" s="15">
        <v>0.89</v>
      </c>
      <c r="I471" s="15">
        <v>0.68</v>
      </c>
      <c r="J471" s="15">
        <v>0.41</v>
      </c>
      <c r="K471" s="15">
        <v>0.06</v>
      </c>
      <c r="L471" s="15">
        <v>8.71</v>
      </c>
      <c r="M471" s="15" t="s">
        <v>25</v>
      </c>
    </row>
    <row r="472" ht="15.75" customHeight="1">
      <c r="A472" s="15" t="s">
        <v>120</v>
      </c>
      <c r="B472" s="15" t="s">
        <v>2184</v>
      </c>
      <c r="C472" s="15">
        <v>2.0</v>
      </c>
      <c r="D472" s="15" t="s">
        <v>22</v>
      </c>
      <c r="E472" s="15">
        <v>0.74</v>
      </c>
      <c r="F472" s="15">
        <v>50.55</v>
      </c>
      <c r="G472" s="15">
        <v>30.71</v>
      </c>
      <c r="H472" s="15">
        <v>0.9</v>
      </c>
      <c r="I472" s="15">
        <v>0.67</v>
      </c>
      <c r="J472" s="15">
        <v>0.29</v>
      </c>
      <c r="K472" s="15">
        <v>0.04</v>
      </c>
      <c r="L472" s="15">
        <v>9.58</v>
      </c>
      <c r="M472" s="15" t="s">
        <v>25</v>
      </c>
    </row>
    <row r="473" ht="15.75" customHeight="1">
      <c r="A473" s="15" t="s">
        <v>212</v>
      </c>
      <c r="B473" s="15" t="s">
        <v>2187</v>
      </c>
      <c r="C473" s="15">
        <v>2.0</v>
      </c>
      <c r="D473" s="15" t="s">
        <v>22</v>
      </c>
      <c r="E473" s="15">
        <v>0.57</v>
      </c>
      <c r="F473" s="15">
        <v>50.55</v>
      </c>
      <c r="G473" s="15">
        <v>30.37</v>
      </c>
      <c r="H473" s="15">
        <v>0.89</v>
      </c>
      <c r="I473" s="15">
        <v>0.69</v>
      </c>
      <c r="J473" s="15">
        <v>0.39</v>
      </c>
      <c r="K473" s="15">
        <v>0.06</v>
      </c>
      <c r="L473" s="15">
        <v>8.59</v>
      </c>
      <c r="M473" s="15" t="s">
        <v>25</v>
      </c>
    </row>
    <row r="474" ht="15.75" customHeight="1">
      <c r="A474" s="15" t="s">
        <v>321</v>
      </c>
      <c r="B474" s="15" t="s">
        <v>2190</v>
      </c>
      <c r="C474" s="15">
        <v>2.0</v>
      </c>
      <c r="D474" s="15" t="s">
        <v>22</v>
      </c>
      <c r="E474" s="15">
        <v>0.62</v>
      </c>
      <c r="F474" s="15">
        <v>50.55</v>
      </c>
      <c r="G474" s="15">
        <v>30.37</v>
      </c>
      <c r="H474" s="15">
        <v>0.89</v>
      </c>
      <c r="I474" s="15">
        <v>0.69</v>
      </c>
      <c r="J474" s="15">
        <v>0.39</v>
      </c>
      <c r="K474" s="15">
        <v>0.06</v>
      </c>
      <c r="L474" s="15">
        <v>8.59</v>
      </c>
      <c r="M474" s="15" t="s">
        <v>25</v>
      </c>
    </row>
    <row r="475" ht="15.75" customHeight="1">
      <c r="A475" s="15" t="s">
        <v>341</v>
      </c>
      <c r="B475" s="15" t="s">
        <v>2193</v>
      </c>
      <c r="C475" s="15">
        <v>2.0</v>
      </c>
      <c r="D475" s="15" t="s">
        <v>22</v>
      </c>
      <c r="E475" s="15">
        <v>0.6</v>
      </c>
      <c r="F475" s="15">
        <v>50.55</v>
      </c>
      <c r="G475" s="15">
        <v>30.37</v>
      </c>
      <c r="H475" s="15">
        <v>0.89</v>
      </c>
      <c r="I475" s="15">
        <v>0.69</v>
      </c>
      <c r="J475" s="15">
        <v>0.39</v>
      </c>
      <c r="K475" s="15">
        <v>0.06</v>
      </c>
      <c r="L475" s="15">
        <v>8.59</v>
      </c>
      <c r="M475" s="15" t="s">
        <v>25</v>
      </c>
    </row>
    <row r="476" ht="15.75" customHeight="1">
      <c r="A476" s="15" t="s">
        <v>262</v>
      </c>
      <c r="B476" s="15" t="s">
        <v>2196</v>
      </c>
      <c r="C476" s="15">
        <v>2.0</v>
      </c>
      <c r="D476" s="15" t="s">
        <v>22</v>
      </c>
      <c r="E476" s="15">
        <v>0.63</v>
      </c>
      <c r="F476" s="15">
        <v>50.55</v>
      </c>
      <c r="G476" s="15">
        <v>30.37</v>
      </c>
      <c r="H476" s="15">
        <v>0.89</v>
      </c>
      <c r="I476" s="15">
        <v>0.69</v>
      </c>
      <c r="J476" s="15">
        <v>0.39</v>
      </c>
      <c r="K476" s="15">
        <v>0.06</v>
      </c>
      <c r="L476" s="15">
        <v>8.6</v>
      </c>
      <c r="M476" s="15" t="s">
        <v>25</v>
      </c>
    </row>
    <row r="477" ht="15.75" customHeight="1">
      <c r="A477" s="15" t="s">
        <v>627</v>
      </c>
      <c r="B477" s="15" t="s">
        <v>2199</v>
      </c>
      <c r="C477" s="15">
        <v>2.0</v>
      </c>
      <c r="D477" s="15" t="s">
        <v>22</v>
      </c>
      <c r="E477" s="15">
        <v>0.6</v>
      </c>
      <c r="F477" s="15">
        <v>50.55</v>
      </c>
      <c r="G477" s="15">
        <v>30.37</v>
      </c>
      <c r="H477" s="15">
        <v>0.89</v>
      </c>
      <c r="I477" s="15">
        <v>0.69</v>
      </c>
      <c r="J477" s="15">
        <v>0.41</v>
      </c>
      <c r="K477" s="15">
        <v>0.06</v>
      </c>
      <c r="L477" s="15">
        <v>8.49</v>
      </c>
      <c r="M477" s="15" t="s">
        <v>25</v>
      </c>
    </row>
    <row r="478" ht="15.75" customHeight="1">
      <c r="A478" s="15" t="s">
        <v>2202</v>
      </c>
      <c r="B478" s="15" t="s">
        <v>2203</v>
      </c>
      <c r="C478" s="15">
        <v>2.0</v>
      </c>
      <c r="D478" s="15" t="s">
        <v>22</v>
      </c>
      <c r="E478" s="15">
        <v>0.62</v>
      </c>
      <c r="F478" s="15">
        <v>50.55</v>
      </c>
      <c r="G478" s="15">
        <v>30.37</v>
      </c>
      <c r="H478" s="15">
        <v>0.89</v>
      </c>
      <c r="I478" s="15">
        <v>0.69</v>
      </c>
      <c r="J478" s="15">
        <v>0.39</v>
      </c>
      <c r="K478" s="15">
        <v>0.06</v>
      </c>
      <c r="L478" s="15">
        <v>8.59</v>
      </c>
      <c r="M478" s="15" t="s">
        <v>25</v>
      </c>
    </row>
    <row r="479" ht="15.75" customHeight="1">
      <c r="A479" s="15" t="s">
        <v>578</v>
      </c>
      <c r="B479" s="15" t="s">
        <v>2207</v>
      </c>
      <c r="C479" s="15">
        <v>2.0</v>
      </c>
      <c r="D479" s="15" t="s">
        <v>22</v>
      </c>
      <c r="E479" s="15">
        <v>0.63</v>
      </c>
      <c r="F479" s="15">
        <v>50.55</v>
      </c>
      <c r="G479" s="15">
        <v>30.37</v>
      </c>
      <c r="H479" s="15">
        <v>0.89</v>
      </c>
      <c r="I479" s="15">
        <v>0.69</v>
      </c>
      <c r="J479" s="15">
        <v>0.39</v>
      </c>
      <c r="K479" s="15">
        <v>0.06</v>
      </c>
      <c r="L479" s="15">
        <v>8.6</v>
      </c>
      <c r="M479" s="15" t="s">
        <v>25</v>
      </c>
    </row>
    <row r="480" ht="15.75" customHeight="1">
      <c r="A480" s="15" t="s">
        <v>353</v>
      </c>
      <c r="B480" s="15" t="s">
        <v>2210</v>
      </c>
      <c r="C480" s="15">
        <v>2.0</v>
      </c>
      <c r="D480" s="15" t="s">
        <v>22</v>
      </c>
      <c r="E480" s="15">
        <v>0.63</v>
      </c>
      <c r="F480" s="15">
        <v>50.55</v>
      </c>
      <c r="G480" s="15">
        <v>30.37</v>
      </c>
      <c r="H480" s="15">
        <v>0.89</v>
      </c>
      <c r="I480" s="15">
        <v>0.69</v>
      </c>
      <c r="J480" s="15">
        <v>0.39</v>
      </c>
      <c r="K480" s="15">
        <v>0.06</v>
      </c>
      <c r="L480" s="15">
        <v>8.59</v>
      </c>
      <c r="M480" s="15" t="s">
        <v>25</v>
      </c>
    </row>
    <row r="481" ht="15.75" customHeight="1">
      <c r="A481" s="15" t="s">
        <v>847</v>
      </c>
      <c r="B481" s="15" t="s">
        <v>2214</v>
      </c>
      <c r="C481" s="15">
        <v>2.0</v>
      </c>
      <c r="D481" s="15" t="s">
        <v>22</v>
      </c>
      <c r="E481" s="15">
        <v>0.77</v>
      </c>
      <c r="F481" s="15">
        <v>50.55</v>
      </c>
      <c r="G481" s="15">
        <v>30.49</v>
      </c>
      <c r="H481" s="15">
        <v>0.9</v>
      </c>
      <c r="I481" s="15">
        <v>0.68</v>
      </c>
      <c r="J481" s="15">
        <v>0.41</v>
      </c>
      <c r="K481" s="15">
        <v>0.06</v>
      </c>
      <c r="L481" s="15">
        <v>8.72</v>
      </c>
      <c r="M481" s="15" t="s">
        <v>25</v>
      </c>
    </row>
    <row r="482" ht="15.75" customHeight="1">
      <c r="A482" s="15" t="s">
        <v>805</v>
      </c>
      <c r="B482" s="15" t="s">
        <v>2217</v>
      </c>
      <c r="C482" s="15">
        <v>2.0</v>
      </c>
      <c r="D482" s="15" t="s">
        <v>22</v>
      </c>
      <c r="E482" s="15">
        <v>0.77</v>
      </c>
      <c r="F482" s="15">
        <v>50.55</v>
      </c>
      <c r="G482" s="15">
        <v>30.39</v>
      </c>
      <c r="H482" s="15">
        <v>0.89</v>
      </c>
      <c r="I482" s="15">
        <v>0.69</v>
      </c>
      <c r="J482" s="15">
        <v>0.41</v>
      </c>
      <c r="K482" s="15">
        <v>0.06</v>
      </c>
      <c r="L482" s="15">
        <v>8.72</v>
      </c>
      <c r="M482" s="15" t="s">
        <v>25</v>
      </c>
    </row>
    <row r="483" ht="15.75" customHeight="1">
      <c r="A483" s="15" t="s">
        <v>812</v>
      </c>
      <c r="B483" s="15" t="s">
        <v>2220</v>
      </c>
      <c r="C483" s="15">
        <v>2.0</v>
      </c>
      <c r="D483" s="15" t="s">
        <v>22</v>
      </c>
      <c r="E483" s="15">
        <v>0.76</v>
      </c>
      <c r="F483" s="15">
        <v>50.55</v>
      </c>
      <c r="G483" s="15">
        <v>30.4</v>
      </c>
      <c r="H483" s="15">
        <v>0.9</v>
      </c>
      <c r="I483" s="15">
        <v>0.69</v>
      </c>
      <c r="J483" s="15">
        <v>0.4</v>
      </c>
      <c r="K483" s="15">
        <v>0.06</v>
      </c>
      <c r="L483" s="15">
        <v>8.73</v>
      </c>
      <c r="M483" s="15" t="s">
        <v>25</v>
      </c>
    </row>
    <row r="484" ht="15.75" customHeight="1">
      <c r="A484" s="15" t="s">
        <v>240</v>
      </c>
      <c r="B484" s="15" t="s">
        <v>2223</v>
      </c>
      <c r="C484" s="15">
        <v>2.0</v>
      </c>
      <c r="D484" s="15" t="s">
        <v>22</v>
      </c>
      <c r="E484" s="15">
        <v>0.63</v>
      </c>
      <c r="F484" s="15">
        <v>50.53</v>
      </c>
      <c r="G484" s="15">
        <v>30.65</v>
      </c>
      <c r="H484" s="15">
        <v>0.89</v>
      </c>
      <c r="I484" s="15">
        <v>0.68</v>
      </c>
      <c r="J484" s="15">
        <v>0.39</v>
      </c>
      <c r="K484" s="15">
        <v>0.06</v>
      </c>
      <c r="L484" s="15">
        <v>8.6</v>
      </c>
      <c r="M484" s="15" t="s">
        <v>25</v>
      </c>
    </row>
    <row r="485" ht="15.75" customHeight="1">
      <c r="A485" s="15" t="s">
        <v>417</v>
      </c>
      <c r="B485" s="15" t="s">
        <v>2227</v>
      </c>
      <c r="C485" s="15">
        <v>2.0</v>
      </c>
      <c r="D485" s="15" t="s">
        <v>22</v>
      </c>
      <c r="E485" s="15">
        <v>0.64</v>
      </c>
      <c r="F485" s="15">
        <v>50.51</v>
      </c>
      <c r="G485" s="15">
        <v>30.73</v>
      </c>
      <c r="H485" s="15">
        <v>0.89</v>
      </c>
      <c r="I485" s="15">
        <v>0.67</v>
      </c>
      <c r="J485" s="15">
        <v>0.38</v>
      </c>
      <c r="K485" s="15">
        <v>0.06</v>
      </c>
      <c r="L485" s="15">
        <v>8.63</v>
      </c>
      <c r="M485" s="15" t="s">
        <v>25</v>
      </c>
    </row>
    <row r="486" ht="15.75" customHeight="1">
      <c r="A486" s="15" t="s">
        <v>635</v>
      </c>
      <c r="B486" s="15" t="s">
        <v>2230</v>
      </c>
      <c r="C486" s="15">
        <v>2.0</v>
      </c>
      <c r="D486" s="15" t="s">
        <v>22</v>
      </c>
      <c r="E486" s="15">
        <v>0.77</v>
      </c>
      <c r="F486" s="15">
        <v>50.51</v>
      </c>
      <c r="G486" s="15">
        <v>30.33</v>
      </c>
      <c r="H486" s="15">
        <v>0.9</v>
      </c>
      <c r="I486" s="15">
        <v>0.69</v>
      </c>
      <c r="J486" s="15">
        <v>0.41</v>
      </c>
      <c r="K486" s="15">
        <v>0.06</v>
      </c>
      <c r="L486" s="15">
        <v>8.72</v>
      </c>
      <c r="M486" s="15" t="s">
        <v>25</v>
      </c>
    </row>
    <row r="487" ht="15.75" customHeight="1">
      <c r="A487" s="15" t="s">
        <v>1618</v>
      </c>
      <c r="B487" s="15" t="s">
        <v>2234</v>
      </c>
      <c r="C487" s="15">
        <v>2.0</v>
      </c>
      <c r="D487" s="15" t="s">
        <v>22</v>
      </c>
      <c r="E487" s="15">
        <v>0.76</v>
      </c>
      <c r="F487" s="15">
        <v>50.49</v>
      </c>
      <c r="G487" s="15">
        <v>30.43</v>
      </c>
      <c r="H487" s="15">
        <v>0.89</v>
      </c>
      <c r="I487" s="15">
        <v>0.69</v>
      </c>
      <c r="J487" s="15">
        <v>0.41</v>
      </c>
      <c r="K487" s="15">
        <v>0.06</v>
      </c>
      <c r="L487" s="15">
        <v>8.74</v>
      </c>
      <c r="M487" s="15" t="s">
        <v>25</v>
      </c>
    </row>
    <row r="488" ht="15.75" customHeight="1">
      <c r="A488" s="15" t="s">
        <v>269</v>
      </c>
      <c r="B488" s="15" t="s">
        <v>2237</v>
      </c>
      <c r="C488" s="15">
        <v>2.0</v>
      </c>
      <c r="D488" s="15" t="s">
        <v>22</v>
      </c>
      <c r="E488" s="15">
        <v>0.63</v>
      </c>
      <c r="F488" s="15">
        <v>50.49</v>
      </c>
      <c r="G488" s="15">
        <v>30.26</v>
      </c>
      <c r="H488" s="15">
        <v>0.89</v>
      </c>
      <c r="I488" s="15">
        <v>0.69</v>
      </c>
      <c r="J488" s="15">
        <v>0.35</v>
      </c>
      <c r="K488" s="15">
        <v>0.05</v>
      </c>
      <c r="L488" s="15">
        <v>8.93</v>
      </c>
      <c r="M488" s="15" t="s">
        <v>25</v>
      </c>
    </row>
    <row r="489" ht="15.75" customHeight="1">
      <c r="A489" s="15" t="s">
        <v>796</v>
      </c>
      <c r="B489" s="15" t="s">
        <v>2240</v>
      </c>
      <c r="C489" s="15">
        <v>2.0</v>
      </c>
      <c r="D489" s="15" t="s">
        <v>22</v>
      </c>
      <c r="E489" s="15">
        <v>0.77</v>
      </c>
      <c r="F489" s="15">
        <v>50.49</v>
      </c>
      <c r="G489" s="15">
        <v>30.27</v>
      </c>
      <c r="H489" s="15">
        <v>0.89</v>
      </c>
      <c r="I489" s="15">
        <v>0.69</v>
      </c>
      <c r="J489" s="15">
        <v>0.41</v>
      </c>
      <c r="K489" s="15">
        <v>0.06</v>
      </c>
      <c r="L489" s="15">
        <v>8.73</v>
      </c>
      <c r="M489" s="15" t="s">
        <v>25</v>
      </c>
    </row>
    <row r="490" ht="15.75" customHeight="1">
      <c r="A490" s="15" t="s">
        <v>110</v>
      </c>
      <c r="B490" s="15" t="s">
        <v>2243</v>
      </c>
      <c r="C490" s="15">
        <v>2.0</v>
      </c>
      <c r="D490" s="15" t="s">
        <v>22</v>
      </c>
      <c r="E490" s="15">
        <v>0.73</v>
      </c>
      <c r="F490" s="15">
        <v>50.49</v>
      </c>
      <c r="G490" s="15">
        <v>30.52</v>
      </c>
      <c r="H490" s="15">
        <v>0.9</v>
      </c>
      <c r="I490" s="15">
        <v>0.68</v>
      </c>
      <c r="J490" s="15">
        <v>0.28</v>
      </c>
      <c r="K490" s="15">
        <v>0.04</v>
      </c>
      <c r="L490" s="15">
        <v>9.58</v>
      </c>
      <c r="M490" s="15" t="s">
        <v>25</v>
      </c>
    </row>
    <row r="491" ht="15.75" customHeight="1">
      <c r="A491" s="15" t="s">
        <v>1367</v>
      </c>
      <c r="B491" s="15" t="s">
        <v>2246</v>
      </c>
      <c r="C491" s="15">
        <v>2.0</v>
      </c>
      <c r="D491" s="15" t="s">
        <v>22</v>
      </c>
      <c r="E491" s="15">
        <v>0.77</v>
      </c>
      <c r="F491" s="15">
        <v>50.48</v>
      </c>
      <c r="G491" s="15">
        <v>30.38</v>
      </c>
      <c r="H491" s="15">
        <v>0.89</v>
      </c>
      <c r="I491" s="15">
        <v>0.69</v>
      </c>
      <c r="J491" s="15">
        <v>0.41</v>
      </c>
      <c r="K491" s="15">
        <v>0.06</v>
      </c>
      <c r="L491" s="15">
        <v>8.74</v>
      </c>
      <c r="M491" s="15" t="s">
        <v>25</v>
      </c>
    </row>
    <row r="492" ht="15.75" customHeight="1">
      <c r="A492" s="15" t="s">
        <v>899</v>
      </c>
      <c r="B492" s="15" t="s">
        <v>2249</v>
      </c>
      <c r="C492" s="15">
        <v>2.0</v>
      </c>
      <c r="D492" s="15" t="s">
        <v>22</v>
      </c>
      <c r="E492" s="15">
        <v>0.77</v>
      </c>
      <c r="F492" s="15">
        <v>50.48</v>
      </c>
      <c r="G492" s="15">
        <v>30.38</v>
      </c>
      <c r="H492" s="15">
        <v>0.89</v>
      </c>
      <c r="I492" s="15">
        <v>0.69</v>
      </c>
      <c r="J492" s="15">
        <v>0.4</v>
      </c>
      <c r="K492" s="15">
        <v>0.06</v>
      </c>
      <c r="L492" s="15">
        <v>8.75</v>
      </c>
      <c r="M492" s="15" t="s">
        <v>25</v>
      </c>
    </row>
    <row r="493" ht="15.75" customHeight="1">
      <c r="A493" s="15" t="s">
        <v>1091</v>
      </c>
      <c r="B493" s="15" t="s">
        <v>2254</v>
      </c>
      <c r="C493" s="15">
        <v>2.0</v>
      </c>
      <c r="D493" s="15" t="s">
        <v>22</v>
      </c>
      <c r="E493" s="15">
        <v>0.77</v>
      </c>
      <c r="F493" s="15">
        <v>50.48</v>
      </c>
      <c r="G493" s="15">
        <v>30.3</v>
      </c>
      <c r="H493" s="15">
        <v>0.89</v>
      </c>
      <c r="I493" s="15">
        <v>0.69</v>
      </c>
      <c r="J493" s="15">
        <v>0.4</v>
      </c>
      <c r="K493" s="15">
        <v>0.06</v>
      </c>
      <c r="L493" s="15">
        <v>8.74</v>
      </c>
      <c r="M493" s="15" t="s">
        <v>25</v>
      </c>
    </row>
    <row r="494" ht="15.75" customHeight="1">
      <c r="A494" s="15" t="s">
        <v>891</v>
      </c>
      <c r="B494" s="15" t="s">
        <v>2257</v>
      </c>
      <c r="C494" s="15">
        <v>2.0</v>
      </c>
      <c r="D494" s="15" t="s">
        <v>22</v>
      </c>
      <c r="E494" s="15">
        <v>0.77</v>
      </c>
      <c r="F494" s="15">
        <v>50.48</v>
      </c>
      <c r="G494" s="15">
        <v>30.32</v>
      </c>
      <c r="H494" s="15">
        <v>0.9</v>
      </c>
      <c r="I494" s="15">
        <v>0.69</v>
      </c>
      <c r="J494" s="15">
        <v>0.41</v>
      </c>
      <c r="K494" s="15">
        <v>0.06</v>
      </c>
      <c r="L494" s="15">
        <v>8.72</v>
      </c>
      <c r="M494" s="15" t="s">
        <v>25</v>
      </c>
    </row>
    <row r="495" ht="15.75" customHeight="1">
      <c r="A495" s="15" t="s">
        <v>2259</v>
      </c>
      <c r="B495" s="15" t="s">
        <v>2260</v>
      </c>
      <c r="C495" s="15">
        <v>2.0</v>
      </c>
      <c r="D495" s="15" t="s">
        <v>22</v>
      </c>
      <c r="E495" s="15">
        <v>0.72</v>
      </c>
      <c r="F495" s="15">
        <v>50.44</v>
      </c>
      <c r="G495" s="15">
        <v>31.78</v>
      </c>
      <c r="H495" s="15">
        <v>0.9</v>
      </c>
      <c r="I495" s="15">
        <v>0.63</v>
      </c>
      <c r="J495" s="15">
        <v>0.52</v>
      </c>
      <c r="K495" s="15">
        <v>0.07</v>
      </c>
      <c r="L495" s="15">
        <v>8.09</v>
      </c>
      <c r="M495" s="15" t="s">
        <v>25</v>
      </c>
    </row>
    <row r="496" ht="15.75" customHeight="1">
      <c r="A496" s="15" t="s">
        <v>106</v>
      </c>
      <c r="B496" s="15" t="s">
        <v>2265</v>
      </c>
      <c r="C496" s="15">
        <v>2.0</v>
      </c>
      <c r="D496" s="15" t="s">
        <v>22</v>
      </c>
      <c r="E496" s="15">
        <v>0.6</v>
      </c>
      <c r="F496" s="15">
        <v>50.43</v>
      </c>
      <c r="G496" s="15">
        <v>30.6</v>
      </c>
      <c r="H496" s="15">
        <v>0.9</v>
      </c>
      <c r="I496" s="15">
        <v>0.68</v>
      </c>
      <c r="J496" s="15">
        <v>0.39</v>
      </c>
      <c r="K496" s="15">
        <v>0.06</v>
      </c>
      <c r="L496" s="15">
        <v>8.59</v>
      </c>
      <c r="M496" s="15" t="s">
        <v>25</v>
      </c>
    </row>
    <row r="497" ht="15.75" customHeight="1">
      <c r="A497" s="15" t="s">
        <v>92</v>
      </c>
      <c r="B497" s="15" t="s">
        <v>2268</v>
      </c>
      <c r="C497" s="15">
        <v>2.0</v>
      </c>
      <c r="D497" s="15" t="s">
        <v>22</v>
      </c>
      <c r="E497" s="15">
        <v>0.74</v>
      </c>
      <c r="F497" s="15">
        <v>50.42</v>
      </c>
      <c r="G497" s="15">
        <v>30.72</v>
      </c>
      <c r="H497" s="15">
        <v>0.9</v>
      </c>
      <c r="I497" s="15">
        <v>0.67</v>
      </c>
      <c r="J497" s="15">
        <v>0.29</v>
      </c>
      <c r="K497" s="15">
        <v>0.04</v>
      </c>
      <c r="L497" s="15">
        <v>9.58</v>
      </c>
      <c r="M497" s="15" t="s">
        <v>25</v>
      </c>
    </row>
    <row r="498" ht="15.75" customHeight="1">
      <c r="A498" s="15" t="s">
        <v>444</v>
      </c>
      <c r="B498" s="15" t="s">
        <v>2270</v>
      </c>
      <c r="C498" s="15">
        <v>2.0</v>
      </c>
      <c r="D498" s="15" t="s">
        <v>22</v>
      </c>
      <c r="E498" s="15">
        <v>0.64</v>
      </c>
      <c r="F498" s="15">
        <v>50.42</v>
      </c>
      <c r="G498" s="15">
        <v>29.49</v>
      </c>
      <c r="H498" s="15">
        <v>0.85</v>
      </c>
      <c r="I498" s="15">
        <v>0.73</v>
      </c>
      <c r="J498" s="15">
        <v>0.36</v>
      </c>
      <c r="K498" s="15">
        <v>0.07</v>
      </c>
      <c r="L498" s="15">
        <v>8.22</v>
      </c>
      <c r="M498" s="15" t="s">
        <v>25</v>
      </c>
    </row>
    <row r="499" ht="15.75" customHeight="1">
      <c r="A499" s="15" t="s">
        <v>1270</v>
      </c>
      <c r="B499" s="15" t="s">
        <v>2273</v>
      </c>
      <c r="C499" s="15">
        <v>2.0</v>
      </c>
      <c r="D499" s="15" t="s">
        <v>22</v>
      </c>
      <c r="E499" s="15">
        <v>0.72</v>
      </c>
      <c r="F499" s="15">
        <v>50.41</v>
      </c>
      <c r="G499" s="15">
        <v>30.97</v>
      </c>
      <c r="H499" s="15">
        <v>0.9</v>
      </c>
      <c r="I499" s="15">
        <v>0.66</v>
      </c>
      <c r="J499" s="15">
        <v>0.29</v>
      </c>
      <c r="K499" s="15">
        <v>0.05</v>
      </c>
      <c r="L499" s="15">
        <v>9.65</v>
      </c>
      <c r="M499" s="15" t="s">
        <v>25</v>
      </c>
    </row>
    <row r="500" ht="15.75" customHeight="1">
      <c r="A500" s="15" t="s">
        <v>65</v>
      </c>
      <c r="B500" s="15" t="s">
        <v>2276</v>
      </c>
      <c r="C500" s="15">
        <v>2.0</v>
      </c>
      <c r="D500" s="15" t="s">
        <v>22</v>
      </c>
      <c r="E500" s="15">
        <v>0.74</v>
      </c>
      <c r="F500" s="15">
        <v>50.41</v>
      </c>
      <c r="G500" s="15">
        <v>30.7</v>
      </c>
      <c r="H500" s="15">
        <v>0.9</v>
      </c>
      <c r="I500" s="15">
        <v>0.67</v>
      </c>
      <c r="J500" s="15">
        <v>0.29</v>
      </c>
      <c r="K500" s="15">
        <v>0.04</v>
      </c>
      <c r="L500" s="15">
        <v>9.58</v>
      </c>
      <c r="M500" s="15" t="s">
        <v>25</v>
      </c>
    </row>
    <row r="501" ht="15.75" customHeight="1">
      <c r="A501" s="15" t="s">
        <v>1100</v>
      </c>
      <c r="B501" s="15" t="s">
        <v>2279</v>
      </c>
      <c r="C501" s="15">
        <v>2.0</v>
      </c>
      <c r="D501" s="15" t="s">
        <v>22</v>
      </c>
      <c r="E501" s="15">
        <v>0.76</v>
      </c>
      <c r="F501" s="15">
        <v>50.4</v>
      </c>
      <c r="G501" s="15">
        <v>30.74</v>
      </c>
      <c r="H501" s="15">
        <v>0.9</v>
      </c>
      <c r="I501" s="15">
        <v>0.67</v>
      </c>
      <c r="J501" s="15">
        <v>0.5</v>
      </c>
      <c r="K501" s="15">
        <v>0.09</v>
      </c>
      <c r="L501" s="15">
        <v>8.31</v>
      </c>
      <c r="M501" s="15" t="s">
        <v>25</v>
      </c>
    </row>
    <row r="502" ht="15.75" customHeight="1">
      <c r="A502" s="15" t="s">
        <v>1115</v>
      </c>
      <c r="B502" s="15" t="s">
        <v>2282</v>
      </c>
      <c r="C502" s="15">
        <v>2.0</v>
      </c>
      <c r="D502" s="15" t="s">
        <v>22</v>
      </c>
      <c r="E502" s="15">
        <v>0.77</v>
      </c>
      <c r="F502" s="15">
        <v>50.4</v>
      </c>
      <c r="G502" s="15">
        <v>30.23</v>
      </c>
      <c r="H502" s="15">
        <v>0.89</v>
      </c>
      <c r="I502" s="15">
        <v>0.69</v>
      </c>
      <c r="J502" s="15">
        <v>0.4</v>
      </c>
      <c r="K502" s="15">
        <v>0.06</v>
      </c>
      <c r="L502" s="15">
        <v>8.75</v>
      </c>
      <c r="M502" s="15" t="s">
        <v>25</v>
      </c>
    </row>
    <row r="503" ht="15.75" customHeight="1">
      <c r="A503" s="15" t="s">
        <v>416</v>
      </c>
      <c r="B503" s="15" t="s">
        <v>2284</v>
      </c>
      <c r="C503" s="15">
        <v>2.0</v>
      </c>
      <c r="D503" s="15" t="s">
        <v>22</v>
      </c>
      <c r="E503" s="15">
        <v>0.64</v>
      </c>
      <c r="F503" s="15">
        <v>50.39</v>
      </c>
      <c r="G503" s="15">
        <v>29.45</v>
      </c>
      <c r="H503" s="15">
        <v>0.85</v>
      </c>
      <c r="I503" s="15">
        <v>0.73</v>
      </c>
      <c r="J503" s="15">
        <v>0.35</v>
      </c>
      <c r="K503" s="15">
        <v>0.07</v>
      </c>
      <c r="L503" s="15">
        <v>8.25</v>
      </c>
      <c r="M503" s="15" t="s">
        <v>25</v>
      </c>
    </row>
    <row r="504" ht="15.75" customHeight="1">
      <c r="A504" s="15" t="s">
        <v>208</v>
      </c>
      <c r="B504" s="15" t="s">
        <v>2287</v>
      </c>
      <c r="C504" s="15">
        <v>2.0</v>
      </c>
      <c r="D504" s="15" t="s">
        <v>22</v>
      </c>
      <c r="E504" s="15">
        <v>0.63</v>
      </c>
      <c r="F504" s="15">
        <v>50.37</v>
      </c>
      <c r="G504" s="15">
        <v>30.28</v>
      </c>
      <c r="H504" s="15">
        <v>0.89</v>
      </c>
      <c r="I504" s="15">
        <v>0.69</v>
      </c>
      <c r="J504" s="15">
        <v>0.4</v>
      </c>
      <c r="K504" s="15">
        <v>0.06</v>
      </c>
      <c r="L504" s="15">
        <v>8.59</v>
      </c>
      <c r="M504" s="15" t="s">
        <v>25</v>
      </c>
    </row>
    <row r="505" ht="15.75" customHeight="1">
      <c r="A505" s="15" t="s">
        <v>76</v>
      </c>
      <c r="B505" s="15" t="s">
        <v>2290</v>
      </c>
      <c r="C505" s="15">
        <v>2.0</v>
      </c>
      <c r="D505" s="15" t="s">
        <v>22</v>
      </c>
      <c r="E505" s="15">
        <v>0.74</v>
      </c>
      <c r="F505" s="15">
        <v>50.37</v>
      </c>
      <c r="G505" s="15">
        <v>30.64</v>
      </c>
      <c r="H505" s="15">
        <v>0.9</v>
      </c>
      <c r="I505" s="15">
        <v>0.67</v>
      </c>
      <c r="J505" s="15">
        <v>0.31</v>
      </c>
      <c r="K505" s="15">
        <v>0.04</v>
      </c>
      <c r="L505" s="15">
        <v>9.45</v>
      </c>
      <c r="M505" s="15" t="s">
        <v>25</v>
      </c>
    </row>
    <row r="506" ht="15.75" customHeight="1">
      <c r="A506" s="15" t="s">
        <v>308</v>
      </c>
      <c r="B506" s="15" t="s">
        <v>2293</v>
      </c>
      <c r="C506" s="15">
        <v>2.0</v>
      </c>
      <c r="D506" s="15" t="s">
        <v>22</v>
      </c>
      <c r="E506" s="15">
        <v>0.73</v>
      </c>
      <c r="F506" s="15">
        <v>50.36</v>
      </c>
      <c r="G506" s="15">
        <v>30.54</v>
      </c>
      <c r="H506" s="15">
        <v>0.9</v>
      </c>
      <c r="I506" s="15">
        <v>0.68</v>
      </c>
      <c r="J506" s="15">
        <v>0.28</v>
      </c>
      <c r="K506" s="15">
        <v>0.04</v>
      </c>
      <c r="L506" s="15">
        <v>9.59</v>
      </c>
      <c r="M506" s="15" t="s">
        <v>25</v>
      </c>
    </row>
    <row r="507" ht="15.75" customHeight="1">
      <c r="A507" s="15" t="s">
        <v>877</v>
      </c>
      <c r="B507" s="15" t="s">
        <v>2296</v>
      </c>
      <c r="C507" s="15">
        <v>2.0</v>
      </c>
      <c r="D507" s="15" t="s">
        <v>22</v>
      </c>
      <c r="E507" s="15">
        <v>0.72</v>
      </c>
      <c r="F507" s="15">
        <v>50.35</v>
      </c>
      <c r="G507" s="15">
        <v>30.66</v>
      </c>
      <c r="H507" s="15">
        <v>0.9</v>
      </c>
      <c r="I507" s="15">
        <v>0.67</v>
      </c>
      <c r="J507" s="15">
        <v>0.33</v>
      </c>
      <c r="K507" s="15">
        <v>0.05</v>
      </c>
      <c r="L507" s="15">
        <v>9.28</v>
      </c>
      <c r="M507" s="15" t="s">
        <v>25</v>
      </c>
    </row>
    <row r="508" ht="15.75" customHeight="1">
      <c r="A508" s="15" t="s">
        <v>1719</v>
      </c>
      <c r="B508" s="15" t="s">
        <v>2299</v>
      </c>
      <c r="C508" s="15">
        <v>2.0</v>
      </c>
      <c r="D508" s="15" t="s">
        <v>22</v>
      </c>
      <c r="E508" s="15">
        <v>0.73</v>
      </c>
      <c r="F508" s="15">
        <v>50.35</v>
      </c>
      <c r="G508" s="15">
        <v>31.09</v>
      </c>
      <c r="H508" s="15">
        <v>0.9</v>
      </c>
      <c r="I508" s="15">
        <v>0.65</v>
      </c>
      <c r="J508" s="15">
        <v>0.28</v>
      </c>
      <c r="K508" s="15">
        <v>0.05</v>
      </c>
      <c r="L508" s="15">
        <v>9.67</v>
      </c>
      <c r="M508" s="15" t="s">
        <v>25</v>
      </c>
    </row>
    <row r="509" ht="15.75" customHeight="1">
      <c r="A509" s="15" t="s">
        <v>924</v>
      </c>
      <c r="B509" s="15" t="s">
        <v>2303</v>
      </c>
      <c r="C509" s="15">
        <v>2.0</v>
      </c>
      <c r="D509" s="15" t="s">
        <v>22</v>
      </c>
      <c r="E509" s="15">
        <v>0.77</v>
      </c>
      <c r="F509" s="15">
        <v>50.35</v>
      </c>
      <c r="G509" s="15">
        <v>30.21</v>
      </c>
      <c r="H509" s="15">
        <v>0.89</v>
      </c>
      <c r="I509" s="15">
        <v>0.69</v>
      </c>
      <c r="J509" s="15">
        <v>0.4</v>
      </c>
      <c r="K509" s="15">
        <v>0.06</v>
      </c>
      <c r="L509" s="15">
        <v>8.76</v>
      </c>
      <c r="M509" s="15" t="s">
        <v>25</v>
      </c>
    </row>
    <row r="510" ht="15.75" customHeight="1">
      <c r="A510" s="15" t="s">
        <v>82</v>
      </c>
      <c r="B510" s="15" t="s">
        <v>2306</v>
      </c>
      <c r="C510" s="15">
        <v>2.0</v>
      </c>
      <c r="D510" s="15" t="s">
        <v>22</v>
      </c>
      <c r="E510" s="15">
        <v>0.73</v>
      </c>
      <c r="F510" s="15">
        <v>50.35</v>
      </c>
      <c r="G510" s="15">
        <v>30.54</v>
      </c>
      <c r="H510" s="15">
        <v>0.9</v>
      </c>
      <c r="I510" s="15">
        <v>0.68</v>
      </c>
      <c r="J510" s="15">
        <v>0.28</v>
      </c>
      <c r="K510" s="15">
        <v>0.04</v>
      </c>
      <c r="L510" s="15">
        <v>9.59</v>
      </c>
      <c r="M510" s="15" t="s">
        <v>25</v>
      </c>
    </row>
    <row r="511" ht="15.75" customHeight="1">
      <c r="A511" s="15" t="s">
        <v>51</v>
      </c>
      <c r="B511" s="15" t="s">
        <v>2309</v>
      </c>
      <c r="C511" s="15">
        <v>2.0</v>
      </c>
      <c r="D511" s="15" t="s">
        <v>22</v>
      </c>
      <c r="E511" s="15">
        <v>0.71</v>
      </c>
      <c r="F511" s="15">
        <v>50.34</v>
      </c>
      <c r="G511" s="15">
        <v>30.02</v>
      </c>
      <c r="H511" s="15">
        <v>0.83</v>
      </c>
      <c r="I511" s="15">
        <v>0.7</v>
      </c>
      <c r="J511" s="15">
        <v>0.63</v>
      </c>
      <c r="K511" s="15">
        <v>0.09</v>
      </c>
      <c r="L511" s="15">
        <v>7.4</v>
      </c>
      <c r="M511" s="15" t="s">
        <v>25</v>
      </c>
    </row>
    <row r="512" ht="15.75" customHeight="1">
      <c r="A512" s="15" t="s">
        <v>1326</v>
      </c>
      <c r="B512" s="15" t="s">
        <v>2312</v>
      </c>
      <c r="C512" s="15">
        <v>2.0</v>
      </c>
      <c r="D512" s="15" t="s">
        <v>22</v>
      </c>
      <c r="E512" s="15">
        <v>0.77</v>
      </c>
      <c r="F512" s="15">
        <v>50.33</v>
      </c>
      <c r="G512" s="15">
        <v>30.28</v>
      </c>
      <c r="H512" s="15">
        <v>0.89</v>
      </c>
      <c r="I512" s="15">
        <v>0.69</v>
      </c>
      <c r="J512" s="15">
        <v>0.41</v>
      </c>
      <c r="K512" s="15">
        <v>0.06</v>
      </c>
      <c r="L512" s="15">
        <v>8.73</v>
      </c>
      <c r="M512" s="15" t="s">
        <v>25</v>
      </c>
    </row>
    <row r="513" ht="15.75" customHeight="1">
      <c r="A513" s="15" t="s">
        <v>2315</v>
      </c>
      <c r="B513" s="15" t="s">
        <v>2317</v>
      </c>
      <c r="C513" s="15">
        <v>2.0</v>
      </c>
      <c r="D513" s="15" t="s">
        <v>22</v>
      </c>
      <c r="E513" s="15">
        <v>0.66</v>
      </c>
      <c r="F513" s="15">
        <v>50.32</v>
      </c>
      <c r="G513" s="15">
        <v>29.56</v>
      </c>
      <c r="H513" s="15">
        <v>0.85</v>
      </c>
      <c r="I513" s="15">
        <v>0.72</v>
      </c>
      <c r="J513" s="15">
        <v>0.36</v>
      </c>
      <c r="K513" s="15">
        <v>0.07</v>
      </c>
      <c r="L513" s="15">
        <v>8.27</v>
      </c>
      <c r="M513" s="15" t="s">
        <v>25</v>
      </c>
    </row>
    <row r="514" ht="15.75" customHeight="1">
      <c r="A514" s="15" t="s">
        <v>1298</v>
      </c>
      <c r="B514" s="15" t="s">
        <v>2320</v>
      </c>
      <c r="C514" s="15">
        <v>2.0</v>
      </c>
      <c r="D514" s="15" t="s">
        <v>22</v>
      </c>
      <c r="E514" s="15">
        <v>0.72</v>
      </c>
      <c r="F514" s="15">
        <v>50.31</v>
      </c>
      <c r="G514" s="15">
        <v>30.89</v>
      </c>
      <c r="H514" s="15">
        <v>0.9</v>
      </c>
      <c r="I514" s="15">
        <v>0.66</v>
      </c>
      <c r="J514" s="15">
        <v>0.29</v>
      </c>
      <c r="K514" s="15">
        <v>0.05</v>
      </c>
      <c r="L514" s="15">
        <v>9.64</v>
      </c>
      <c r="M514" s="15" t="s">
        <v>25</v>
      </c>
    </row>
    <row r="515" ht="15.75" customHeight="1">
      <c r="A515" s="15" t="s">
        <v>105</v>
      </c>
      <c r="B515" s="15" t="s">
        <v>2323</v>
      </c>
      <c r="C515" s="15">
        <v>2.0</v>
      </c>
      <c r="D515" s="15" t="s">
        <v>22</v>
      </c>
      <c r="E515" s="15">
        <v>0.74</v>
      </c>
      <c r="F515" s="15">
        <v>50.29</v>
      </c>
      <c r="G515" s="15">
        <v>30.54</v>
      </c>
      <c r="H515" s="15">
        <v>0.9</v>
      </c>
      <c r="I515" s="15">
        <v>0.68</v>
      </c>
      <c r="J515" s="15">
        <v>0.29</v>
      </c>
      <c r="K515" s="15">
        <v>0.04</v>
      </c>
      <c r="L515" s="15">
        <v>9.58</v>
      </c>
      <c r="M515" s="15" t="s">
        <v>25</v>
      </c>
    </row>
    <row r="516" ht="15.75" customHeight="1">
      <c r="A516" s="15" t="s">
        <v>402</v>
      </c>
      <c r="B516" s="15" t="s">
        <v>2327</v>
      </c>
      <c r="C516" s="15">
        <v>2.0</v>
      </c>
      <c r="D516" s="15" t="s">
        <v>22</v>
      </c>
      <c r="E516" s="15">
        <v>0.66</v>
      </c>
      <c r="F516" s="15">
        <v>50.25</v>
      </c>
      <c r="G516" s="15">
        <v>29.57</v>
      </c>
      <c r="H516" s="15">
        <v>0.85</v>
      </c>
      <c r="I516" s="15">
        <v>0.72</v>
      </c>
      <c r="J516" s="15">
        <v>0.36</v>
      </c>
      <c r="K516" s="15">
        <v>0.07</v>
      </c>
      <c r="L516" s="15">
        <v>8.26</v>
      </c>
      <c r="M516" s="15" t="s">
        <v>25</v>
      </c>
    </row>
    <row r="517" ht="15.75" customHeight="1">
      <c r="A517" s="15" t="s">
        <v>409</v>
      </c>
      <c r="B517" s="15" t="s">
        <v>2330</v>
      </c>
      <c r="C517" s="15">
        <v>2.0</v>
      </c>
      <c r="D517" s="15" t="s">
        <v>22</v>
      </c>
      <c r="E517" s="15">
        <v>0.64</v>
      </c>
      <c r="F517" s="15">
        <v>50.16</v>
      </c>
      <c r="G517" s="15">
        <v>29.63</v>
      </c>
      <c r="H517" s="15">
        <v>0.85</v>
      </c>
      <c r="I517" s="15">
        <v>0.72</v>
      </c>
      <c r="J517" s="15">
        <v>0.36</v>
      </c>
      <c r="K517" s="15">
        <v>0.07</v>
      </c>
      <c r="L517" s="15">
        <v>8.26</v>
      </c>
      <c r="M517" s="15" t="s">
        <v>25</v>
      </c>
    </row>
    <row r="518" ht="15.75" customHeight="1">
      <c r="A518" s="15" t="s">
        <v>286</v>
      </c>
      <c r="B518" s="15" t="s">
        <v>2333</v>
      </c>
      <c r="C518" s="15">
        <v>2.0</v>
      </c>
      <c r="D518" s="15" t="s">
        <v>22</v>
      </c>
      <c r="E518" s="15">
        <v>0.66</v>
      </c>
      <c r="F518" s="15">
        <v>50.16</v>
      </c>
      <c r="G518" s="15">
        <v>29.32</v>
      </c>
      <c r="H518" s="15">
        <v>0.85</v>
      </c>
      <c r="I518" s="15">
        <v>0.73</v>
      </c>
      <c r="J518" s="15">
        <v>0.36</v>
      </c>
      <c r="K518" s="15">
        <v>0.07</v>
      </c>
      <c r="L518" s="15">
        <v>8.25</v>
      </c>
      <c r="M518" s="15" t="s">
        <v>25</v>
      </c>
    </row>
    <row r="519" ht="15.75" customHeight="1">
      <c r="A519" s="15" t="s">
        <v>40</v>
      </c>
      <c r="B519" s="15" t="s">
        <v>2336</v>
      </c>
      <c r="C519" s="15">
        <v>2.0</v>
      </c>
      <c r="D519" s="15" t="s">
        <v>22</v>
      </c>
      <c r="E519" s="15">
        <v>0.53</v>
      </c>
      <c r="F519" s="15">
        <v>50.15</v>
      </c>
      <c r="G519" s="15">
        <v>30.55</v>
      </c>
      <c r="H519" s="15">
        <v>0.84</v>
      </c>
      <c r="I519" s="15">
        <v>0.68</v>
      </c>
      <c r="J519" s="15">
        <v>0.41</v>
      </c>
      <c r="K519" s="15">
        <v>0.06</v>
      </c>
      <c r="L519" s="15">
        <v>8.56</v>
      </c>
      <c r="M519" s="15" t="s">
        <v>25</v>
      </c>
    </row>
    <row r="520" ht="15.75" customHeight="1">
      <c r="A520" s="15" t="s">
        <v>423</v>
      </c>
      <c r="B520" s="15" t="s">
        <v>2339</v>
      </c>
      <c r="C520" s="15">
        <v>2.0</v>
      </c>
      <c r="D520" s="15" t="s">
        <v>22</v>
      </c>
      <c r="E520" s="15">
        <v>0.65</v>
      </c>
      <c r="F520" s="15">
        <v>50.13</v>
      </c>
      <c r="G520" s="15">
        <v>29.45</v>
      </c>
      <c r="H520" s="15">
        <v>0.86</v>
      </c>
      <c r="I520" s="15">
        <v>0.73</v>
      </c>
      <c r="J520" s="15">
        <v>0.36</v>
      </c>
      <c r="K520" s="15">
        <v>0.07</v>
      </c>
      <c r="L520" s="15">
        <v>8.28</v>
      </c>
      <c r="M520" s="15" t="s">
        <v>25</v>
      </c>
    </row>
    <row r="521" ht="15.75" customHeight="1">
      <c r="A521" s="15" t="s">
        <v>2004</v>
      </c>
      <c r="B521" s="15" t="s">
        <v>2342</v>
      </c>
      <c r="C521" s="15">
        <v>2.0</v>
      </c>
      <c r="D521" s="15" t="s">
        <v>22</v>
      </c>
      <c r="E521" s="15">
        <v>0.66</v>
      </c>
      <c r="F521" s="15">
        <v>50.13</v>
      </c>
      <c r="G521" s="15">
        <v>29.32</v>
      </c>
      <c r="H521" s="15">
        <v>0.85</v>
      </c>
      <c r="I521" s="15">
        <v>0.73</v>
      </c>
      <c r="J521" s="15">
        <v>0.36</v>
      </c>
      <c r="K521" s="15">
        <v>0.07</v>
      </c>
      <c r="L521" s="15">
        <v>8.26</v>
      </c>
      <c r="M521" s="15" t="s">
        <v>25</v>
      </c>
    </row>
    <row r="522" ht="15.75" customHeight="1">
      <c r="A522" s="15" t="s">
        <v>1068</v>
      </c>
      <c r="B522" s="15" t="s">
        <v>2344</v>
      </c>
      <c r="C522" s="15">
        <v>2.0</v>
      </c>
      <c r="D522" s="15" t="s">
        <v>22</v>
      </c>
      <c r="E522" s="15">
        <v>0.76</v>
      </c>
      <c r="F522" s="15">
        <v>50.11</v>
      </c>
      <c r="G522" s="15">
        <v>30.1</v>
      </c>
      <c r="H522" s="15">
        <v>0.89</v>
      </c>
      <c r="I522" s="15">
        <v>0.7</v>
      </c>
      <c r="J522" s="15">
        <v>0.4</v>
      </c>
      <c r="K522" s="15">
        <v>0.06</v>
      </c>
      <c r="L522" s="15">
        <v>8.7</v>
      </c>
      <c r="M522" s="15" t="s">
        <v>25</v>
      </c>
    </row>
    <row r="523" ht="15.75" customHeight="1">
      <c r="A523" s="15" t="s">
        <v>2205</v>
      </c>
      <c r="B523" s="15" t="s">
        <v>2347</v>
      </c>
      <c r="C523" s="15">
        <v>2.0</v>
      </c>
      <c r="D523" s="15" t="s">
        <v>22</v>
      </c>
      <c r="E523" s="15">
        <v>0.75</v>
      </c>
      <c r="F523" s="15">
        <v>50.07</v>
      </c>
      <c r="G523" s="15">
        <v>30.77</v>
      </c>
      <c r="H523" s="15">
        <v>0.9</v>
      </c>
      <c r="I523" s="15">
        <v>0.66</v>
      </c>
      <c r="J523" s="15">
        <v>0.3</v>
      </c>
      <c r="K523" s="15">
        <v>0.05</v>
      </c>
      <c r="L523" s="15">
        <v>9.53</v>
      </c>
      <c r="M523" s="15" t="s">
        <v>25</v>
      </c>
    </row>
    <row r="524" ht="15.75" customHeight="1">
      <c r="A524" s="15" t="s">
        <v>1393</v>
      </c>
      <c r="B524" s="15" t="s">
        <v>2350</v>
      </c>
      <c r="C524" s="15">
        <v>2.0</v>
      </c>
      <c r="D524" s="15" t="s">
        <v>22</v>
      </c>
      <c r="E524" s="15">
        <v>0.76</v>
      </c>
      <c r="F524" s="15">
        <v>50.06</v>
      </c>
      <c r="G524" s="15">
        <v>30.17</v>
      </c>
      <c r="H524" s="15">
        <v>0.89</v>
      </c>
      <c r="I524" s="15">
        <v>0.69</v>
      </c>
      <c r="J524" s="15">
        <v>0.42</v>
      </c>
      <c r="K524" s="15">
        <v>0.06</v>
      </c>
      <c r="L524" s="15">
        <v>8.61</v>
      </c>
      <c r="M524" s="15" t="s">
        <v>25</v>
      </c>
    </row>
    <row r="525" ht="15.75" customHeight="1">
      <c r="A525" s="15" t="s">
        <v>386</v>
      </c>
      <c r="B525" s="15" t="s">
        <v>2355</v>
      </c>
      <c r="C525" s="15">
        <v>2.0</v>
      </c>
      <c r="D525" s="15" t="s">
        <v>22</v>
      </c>
      <c r="E525" s="15">
        <v>0.81</v>
      </c>
      <c r="F525" s="15">
        <v>50.02</v>
      </c>
      <c r="G525" s="15">
        <v>30.94</v>
      </c>
      <c r="H525" s="15">
        <v>0.9</v>
      </c>
      <c r="I525" s="15">
        <v>0.66</v>
      </c>
      <c r="J525" s="15">
        <v>0.38</v>
      </c>
      <c r="K525" s="15">
        <v>0.06</v>
      </c>
      <c r="L525" s="15">
        <v>8.98</v>
      </c>
      <c r="M525" s="15" t="s">
        <v>25</v>
      </c>
    </row>
    <row r="526" ht="15.75" customHeight="1">
      <c r="A526" s="15" t="s">
        <v>256</v>
      </c>
      <c r="B526" s="15" t="s">
        <v>2358</v>
      </c>
      <c r="C526" s="15">
        <v>2.0</v>
      </c>
      <c r="D526" s="15" t="s">
        <v>22</v>
      </c>
      <c r="E526" s="15">
        <v>0.61</v>
      </c>
      <c r="F526" s="15">
        <v>49.98</v>
      </c>
      <c r="G526" s="15">
        <v>30.13</v>
      </c>
      <c r="H526" s="15">
        <v>0.88</v>
      </c>
      <c r="I526" s="15">
        <v>0.69</v>
      </c>
      <c r="J526" s="15">
        <v>0.39</v>
      </c>
      <c r="K526" s="15">
        <v>0.06</v>
      </c>
      <c r="L526" s="15">
        <v>8.58</v>
      </c>
      <c r="M526" s="15" t="s">
        <v>25</v>
      </c>
    </row>
    <row r="527" ht="15.75" customHeight="1">
      <c r="A527" s="15" t="s">
        <v>254</v>
      </c>
      <c r="B527" s="15" t="s">
        <v>2361</v>
      </c>
      <c r="C527" s="15">
        <v>2.0</v>
      </c>
      <c r="D527" s="15" t="s">
        <v>22</v>
      </c>
      <c r="E527" s="15">
        <v>0.6</v>
      </c>
      <c r="F527" s="15">
        <v>49.98</v>
      </c>
      <c r="G527" s="15">
        <v>30.13</v>
      </c>
      <c r="H527" s="15">
        <v>0.88</v>
      </c>
      <c r="I527" s="15">
        <v>0.69</v>
      </c>
      <c r="J527" s="15">
        <v>0.39</v>
      </c>
      <c r="K527" s="15">
        <v>0.06</v>
      </c>
      <c r="L527" s="15">
        <v>8.6</v>
      </c>
      <c r="M527" s="15" t="s">
        <v>25</v>
      </c>
    </row>
    <row r="528" ht="15.75" customHeight="1">
      <c r="A528" s="15" t="s">
        <v>2211</v>
      </c>
      <c r="B528" s="15" t="s">
        <v>2365</v>
      </c>
      <c r="C528" s="15">
        <v>2.0</v>
      </c>
      <c r="D528" s="15" t="s">
        <v>22</v>
      </c>
      <c r="E528" s="15">
        <v>0.64</v>
      </c>
      <c r="F528" s="15">
        <v>49.94</v>
      </c>
      <c r="G528" s="15">
        <v>29.83</v>
      </c>
      <c r="H528" s="15">
        <v>0.87</v>
      </c>
      <c r="I528" s="15">
        <v>0.71</v>
      </c>
      <c r="J528" s="15">
        <v>0.35</v>
      </c>
      <c r="K528" s="15">
        <v>0.06</v>
      </c>
      <c r="L528" s="15">
        <v>8.3</v>
      </c>
      <c r="M528" s="15" t="s">
        <v>25</v>
      </c>
    </row>
    <row r="529" ht="15.75" customHeight="1">
      <c r="A529" s="15" t="s">
        <v>1256</v>
      </c>
      <c r="B529" s="15" t="s">
        <v>2369</v>
      </c>
      <c r="C529" s="15">
        <v>2.0</v>
      </c>
      <c r="D529" s="15" t="s">
        <v>22</v>
      </c>
      <c r="E529" s="15">
        <v>0.73</v>
      </c>
      <c r="F529" s="15">
        <v>49.93</v>
      </c>
      <c r="G529" s="15">
        <v>30.86</v>
      </c>
      <c r="H529" s="15">
        <v>0.9</v>
      </c>
      <c r="I529" s="15">
        <v>0.66</v>
      </c>
      <c r="J529" s="15">
        <v>0.28</v>
      </c>
      <c r="K529" s="15">
        <v>0.05</v>
      </c>
      <c r="L529" s="15">
        <v>9.65</v>
      </c>
      <c r="M529" s="15" t="s">
        <v>25</v>
      </c>
    </row>
    <row r="530" ht="15.75" customHeight="1">
      <c r="A530" s="15" t="s">
        <v>1340</v>
      </c>
      <c r="B530" s="15" t="s">
        <v>2373</v>
      </c>
      <c r="C530" s="15">
        <v>2.0</v>
      </c>
      <c r="D530" s="15" t="s">
        <v>22</v>
      </c>
      <c r="E530" s="15">
        <v>0.73</v>
      </c>
      <c r="F530" s="15">
        <v>49.91</v>
      </c>
      <c r="G530" s="15">
        <v>31.17</v>
      </c>
      <c r="H530" s="15">
        <v>0.9</v>
      </c>
      <c r="I530" s="15">
        <v>0.65</v>
      </c>
      <c r="J530" s="15">
        <v>0.28</v>
      </c>
      <c r="K530" s="15">
        <v>0.05</v>
      </c>
      <c r="L530" s="15">
        <v>9.67</v>
      </c>
      <c r="M530" s="15" t="s">
        <v>25</v>
      </c>
    </row>
    <row r="531" ht="15.75" customHeight="1">
      <c r="A531" s="15" t="s">
        <v>1180</v>
      </c>
      <c r="B531" s="15" t="s">
        <v>2378</v>
      </c>
      <c r="C531" s="15">
        <v>2.0</v>
      </c>
      <c r="D531" s="15" t="s">
        <v>22</v>
      </c>
      <c r="E531" s="15">
        <v>0.73</v>
      </c>
      <c r="F531" s="15">
        <v>49.9</v>
      </c>
      <c r="G531" s="15">
        <v>30.79</v>
      </c>
      <c r="H531" s="15">
        <v>0.9</v>
      </c>
      <c r="I531" s="15">
        <v>0.66</v>
      </c>
      <c r="J531" s="15">
        <v>0.28</v>
      </c>
      <c r="K531" s="15">
        <v>0.05</v>
      </c>
      <c r="L531" s="15">
        <v>9.64</v>
      </c>
      <c r="M531" s="15" t="s">
        <v>25</v>
      </c>
    </row>
    <row r="532" ht="15.75" customHeight="1">
      <c r="A532" s="15" t="s">
        <v>938</v>
      </c>
      <c r="B532" s="15" t="s">
        <v>2382</v>
      </c>
      <c r="C532" s="15">
        <v>2.0</v>
      </c>
      <c r="D532" s="15" t="s">
        <v>22</v>
      </c>
      <c r="E532" s="15">
        <v>0.62</v>
      </c>
      <c r="F532" s="15">
        <v>49.9</v>
      </c>
      <c r="G532" s="15">
        <v>30.03</v>
      </c>
      <c r="H532" s="15">
        <v>0.88</v>
      </c>
      <c r="I532" s="15">
        <v>0.7</v>
      </c>
      <c r="J532" s="15">
        <v>0.39</v>
      </c>
      <c r="K532" s="15">
        <v>0.06</v>
      </c>
      <c r="L532" s="15">
        <v>8.63</v>
      </c>
      <c r="M532" s="15" t="s">
        <v>25</v>
      </c>
    </row>
    <row r="533" ht="15.75" customHeight="1">
      <c r="A533" s="15" t="s">
        <v>17</v>
      </c>
      <c r="B533" s="15" t="s">
        <v>2386</v>
      </c>
      <c r="C533" s="15">
        <v>2.0</v>
      </c>
      <c r="D533" s="15" t="s">
        <v>22</v>
      </c>
      <c r="E533" s="15">
        <v>0.8</v>
      </c>
      <c r="F533" s="15">
        <v>49.86</v>
      </c>
      <c r="G533" s="15">
        <v>31.65</v>
      </c>
      <c r="H533" s="15">
        <v>0.9</v>
      </c>
      <c r="I533" s="15">
        <v>0.63</v>
      </c>
      <c r="J533" s="15">
        <v>0.38</v>
      </c>
      <c r="K533" s="15">
        <v>0.06</v>
      </c>
      <c r="L533" s="15">
        <v>9.01</v>
      </c>
      <c r="M533" s="15" t="s">
        <v>25</v>
      </c>
    </row>
    <row r="534" ht="15.75" customHeight="1">
      <c r="A534" s="15" t="s">
        <v>952</v>
      </c>
      <c r="B534" s="15" t="s">
        <v>2389</v>
      </c>
      <c r="C534" s="15">
        <v>2.0</v>
      </c>
      <c r="D534" s="15" t="s">
        <v>22</v>
      </c>
      <c r="E534" s="15">
        <v>0.75</v>
      </c>
      <c r="F534" s="15">
        <v>49.86</v>
      </c>
      <c r="G534" s="15">
        <v>30.22</v>
      </c>
      <c r="H534" s="15">
        <v>0.9</v>
      </c>
      <c r="I534" s="15">
        <v>0.69</v>
      </c>
      <c r="J534" s="15">
        <v>0.29</v>
      </c>
      <c r="K534" s="15">
        <v>0.04</v>
      </c>
      <c r="L534" s="15">
        <v>9.5</v>
      </c>
      <c r="M534" s="15" t="s">
        <v>25</v>
      </c>
    </row>
    <row r="535" ht="15.75" customHeight="1">
      <c r="A535" s="15" t="s">
        <v>1078</v>
      </c>
      <c r="B535" s="15" t="s">
        <v>2392</v>
      </c>
      <c r="C535" s="15">
        <v>2.0</v>
      </c>
      <c r="D535" s="15" t="s">
        <v>22</v>
      </c>
      <c r="E535" s="15">
        <v>0.81</v>
      </c>
      <c r="F535" s="15">
        <v>49.86</v>
      </c>
      <c r="G535" s="15">
        <v>31.18</v>
      </c>
      <c r="H535" s="15">
        <v>0.9</v>
      </c>
      <c r="I535" s="15">
        <v>0.64</v>
      </c>
      <c r="J535" s="15">
        <v>0.39</v>
      </c>
      <c r="K535" s="15">
        <v>0.06</v>
      </c>
      <c r="L535" s="15">
        <v>8.98</v>
      </c>
      <c r="M535" s="15" t="s">
        <v>25</v>
      </c>
    </row>
    <row r="536" ht="15.75" customHeight="1">
      <c r="A536" s="15" t="s">
        <v>56</v>
      </c>
      <c r="B536" s="15" t="s">
        <v>2396</v>
      </c>
      <c r="C536" s="15">
        <v>2.0</v>
      </c>
      <c r="D536" s="15" t="s">
        <v>22</v>
      </c>
      <c r="E536" s="15">
        <v>0.74</v>
      </c>
      <c r="F536" s="15">
        <v>49.83</v>
      </c>
      <c r="G536" s="15">
        <v>30.33</v>
      </c>
      <c r="H536" s="15">
        <v>0.9</v>
      </c>
      <c r="I536" s="15">
        <v>0.68</v>
      </c>
      <c r="J536" s="15">
        <v>0.28</v>
      </c>
      <c r="K536" s="15">
        <v>0.04</v>
      </c>
      <c r="L536" s="15">
        <v>9.57</v>
      </c>
      <c r="M536" s="15" t="s">
        <v>25</v>
      </c>
    </row>
    <row r="537" ht="15.75" customHeight="1">
      <c r="A537" s="15" t="s">
        <v>180</v>
      </c>
      <c r="B537" s="15" t="s">
        <v>2399</v>
      </c>
      <c r="C537" s="15">
        <v>2.0</v>
      </c>
      <c r="D537" s="15" t="s">
        <v>22</v>
      </c>
      <c r="E537" s="15">
        <v>0.74</v>
      </c>
      <c r="F537" s="15">
        <v>49.83</v>
      </c>
      <c r="G537" s="15">
        <v>30.3</v>
      </c>
      <c r="H537" s="15">
        <v>0.9</v>
      </c>
      <c r="I537" s="15">
        <v>0.68</v>
      </c>
      <c r="J537" s="15">
        <v>0.28</v>
      </c>
      <c r="K537" s="15">
        <v>0.04</v>
      </c>
      <c r="L537" s="15">
        <v>9.58</v>
      </c>
      <c r="M537" s="15" t="s">
        <v>25</v>
      </c>
    </row>
    <row r="538" ht="15.75" customHeight="1">
      <c r="A538" s="15" t="s">
        <v>1285</v>
      </c>
      <c r="B538" s="15" t="s">
        <v>2402</v>
      </c>
      <c r="C538" s="15">
        <v>2.0</v>
      </c>
      <c r="D538" s="15" t="s">
        <v>22</v>
      </c>
      <c r="E538" s="15">
        <v>0.59</v>
      </c>
      <c r="F538" s="15">
        <v>49.82</v>
      </c>
      <c r="G538" s="15">
        <v>31.48</v>
      </c>
      <c r="H538" s="15">
        <v>0.89</v>
      </c>
      <c r="I538" s="15">
        <v>0.63</v>
      </c>
      <c r="J538" s="15">
        <v>0.42</v>
      </c>
      <c r="K538" s="15">
        <v>0.06</v>
      </c>
      <c r="L538" s="15">
        <v>8.53</v>
      </c>
      <c r="M538" s="15" t="s">
        <v>25</v>
      </c>
    </row>
    <row r="539" ht="15.75" customHeight="1">
      <c r="A539" s="15" t="s">
        <v>445</v>
      </c>
      <c r="B539" s="15" t="s">
        <v>2405</v>
      </c>
      <c r="C539" s="15">
        <v>2.0</v>
      </c>
      <c r="D539" s="15" t="s">
        <v>22</v>
      </c>
      <c r="E539" s="15">
        <v>0.8</v>
      </c>
      <c r="F539" s="15">
        <v>49.81</v>
      </c>
      <c r="G539" s="15">
        <v>31.43</v>
      </c>
      <c r="H539" s="15">
        <v>0.9</v>
      </c>
      <c r="I539" s="15">
        <v>0.63</v>
      </c>
      <c r="J539" s="15">
        <v>0.38</v>
      </c>
      <c r="K539" s="15">
        <v>0.06</v>
      </c>
      <c r="L539" s="15">
        <v>9.0</v>
      </c>
      <c r="M539" s="15" t="s">
        <v>25</v>
      </c>
    </row>
    <row r="540" ht="15.75" customHeight="1">
      <c r="A540" s="15" t="s">
        <v>1263</v>
      </c>
      <c r="B540" s="15" t="s">
        <v>2408</v>
      </c>
      <c r="C540" s="15">
        <v>2.0</v>
      </c>
      <c r="D540" s="15" t="s">
        <v>22</v>
      </c>
      <c r="E540" s="15">
        <v>0.66</v>
      </c>
      <c r="F540" s="15">
        <v>49.81</v>
      </c>
      <c r="G540" s="15">
        <v>29.52</v>
      </c>
      <c r="H540" s="15">
        <v>0.86</v>
      </c>
      <c r="I540" s="15">
        <v>0.72</v>
      </c>
      <c r="J540" s="15">
        <v>0.36</v>
      </c>
      <c r="K540" s="15">
        <v>0.07</v>
      </c>
      <c r="L540" s="15">
        <v>8.27</v>
      </c>
      <c r="M540" s="15" t="s">
        <v>25</v>
      </c>
    </row>
    <row r="541" ht="15.75" customHeight="1">
      <c r="A541" s="15" t="s">
        <v>418</v>
      </c>
      <c r="B541" s="15" t="s">
        <v>2411</v>
      </c>
      <c r="C541" s="15">
        <v>2.0</v>
      </c>
      <c r="D541" s="15" t="s">
        <v>22</v>
      </c>
      <c r="E541" s="15">
        <v>0.67</v>
      </c>
      <c r="F541" s="15">
        <v>49.77</v>
      </c>
      <c r="G541" s="15">
        <v>30.35</v>
      </c>
      <c r="H541" s="15">
        <v>0.88</v>
      </c>
      <c r="I541" s="15">
        <v>0.68</v>
      </c>
      <c r="J541" s="15">
        <v>0.36</v>
      </c>
      <c r="K541" s="15">
        <v>0.05</v>
      </c>
      <c r="L541" s="15">
        <v>8.98</v>
      </c>
      <c r="M541" s="15" t="s">
        <v>25</v>
      </c>
    </row>
    <row r="542" ht="15.75" customHeight="1">
      <c r="A542" s="15" t="s">
        <v>372</v>
      </c>
      <c r="B542" s="15" t="s">
        <v>2415</v>
      </c>
      <c r="C542" s="15">
        <v>2.0</v>
      </c>
      <c r="D542" s="15" t="s">
        <v>22</v>
      </c>
      <c r="E542" s="15">
        <v>0.81</v>
      </c>
      <c r="F542" s="15">
        <v>49.76</v>
      </c>
      <c r="G542" s="15">
        <v>31.45</v>
      </c>
      <c r="H542" s="15">
        <v>0.9</v>
      </c>
      <c r="I542" s="15">
        <v>0.63</v>
      </c>
      <c r="J542" s="15">
        <v>0.38</v>
      </c>
      <c r="K542" s="15">
        <v>0.06</v>
      </c>
      <c r="L542" s="15">
        <v>9.01</v>
      </c>
      <c r="M542" s="15" t="s">
        <v>25</v>
      </c>
    </row>
    <row r="543" ht="15.75" customHeight="1">
      <c r="A543" s="15" t="s">
        <v>544</v>
      </c>
      <c r="B543" s="15" t="s">
        <v>2419</v>
      </c>
      <c r="C543" s="15">
        <v>2.0</v>
      </c>
      <c r="D543" s="15" t="s">
        <v>22</v>
      </c>
      <c r="E543" s="15">
        <v>0.73</v>
      </c>
      <c r="F543" s="15">
        <v>49.75</v>
      </c>
      <c r="G543" s="15">
        <v>30.92</v>
      </c>
      <c r="H543" s="15">
        <v>0.9</v>
      </c>
      <c r="I543" s="15">
        <v>0.65</v>
      </c>
      <c r="J543" s="15">
        <v>0.28</v>
      </c>
      <c r="K543" s="15">
        <v>0.05</v>
      </c>
      <c r="L543" s="15">
        <v>9.64</v>
      </c>
      <c r="M543" s="15" t="s">
        <v>25</v>
      </c>
    </row>
    <row r="544" ht="15.75" customHeight="1">
      <c r="A544" s="15" t="s">
        <v>2134</v>
      </c>
      <c r="B544" s="15" t="s">
        <v>2423</v>
      </c>
      <c r="C544" s="15">
        <v>2.0</v>
      </c>
      <c r="D544" s="15" t="s">
        <v>22</v>
      </c>
      <c r="E544" s="15">
        <v>0.62</v>
      </c>
      <c r="F544" s="15">
        <v>49.74</v>
      </c>
      <c r="G544" s="15">
        <v>29.42</v>
      </c>
      <c r="H544" s="15">
        <v>0.86</v>
      </c>
      <c r="I544" s="15">
        <v>0.72</v>
      </c>
      <c r="J544" s="15">
        <v>0.38</v>
      </c>
      <c r="K544" s="15">
        <v>0.07</v>
      </c>
      <c r="L544" s="15">
        <v>8.13</v>
      </c>
      <c r="M544" s="15" t="s">
        <v>25</v>
      </c>
    </row>
    <row r="545" ht="15.75" customHeight="1">
      <c r="A545" s="15" t="s">
        <v>407</v>
      </c>
      <c r="B545" s="15" t="s">
        <v>2427</v>
      </c>
      <c r="C545" s="15">
        <v>2.0</v>
      </c>
      <c r="D545" s="15" t="s">
        <v>22</v>
      </c>
      <c r="E545" s="15">
        <v>0.8</v>
      </c>
      <c r="F545" s="15">
        <v>49.73</v>
      </c>
      <c r="G545" s="15">
        <v>31.76</v>
      </c>
      <c r="H545" s="15">
        <v>0.9</v>
      </c>
      <c r="I545" s="15">
        <v>0.62</v>
      </c>
      <c r="J545" s="15">
        <v>0.37</v>
      </c>
      <c r="K545" s="15">
        <v>0.05</v>
      </c>
      <c r="L545" s="15">
        <v>9.05</v>
      </c>
      <c r="M545" s="15" t="s">
        <v>25</v>
      </c>
    </row>
    <row r="546" ht="15.75" customHeight="1">
      <c r="A546" s="15" t="s">
        <v>428</v>
      </c>
      <c r="B546" s="15" t="s">
        <v>2430</v>
      </c>
      <c r="C546" s="15">
        <v>2.0</v>
      </c>
      <c r="D546" s="15" t="s">
        <v>22</v>
      </c>
      <c r="E546" s="15">
        <v>0.81</v>
      </c>
      <c r="F546" s="15">
        <v>49.73</v>
      </c>
      <c r="G546" s="15">
        <v>31.89</v>
      </c>
      <c r="H546" s="15">
        <v>0.9</v>
      </c>
      <c r="I546" s="15">
        <v>0.61</v>
      </c>
      <c r="J546" s="15">
        <v>0.38</v>
      </c>
      <c r="K546" s="15">
        <v>0.06</v>
      </c>
      <c r="L546" s="15">
        <v>9.01</v>
      </c>
      <c r="M546" s="15" t="s">
        <v>25</v>
      </c>
    </row>
    <row r="547" ht="15.75" customHeight="1">
      <c r="A547" s="15" t="s">
        <v>379</v>
      </c>
      <c r="B547" s="15" t="s">
        <v>2435</v>
      </c>
      <c r="C547" s="15">
        <v>2.0</v>
      </c>
      <c r="D547" s="15" t="s">
        <v>22</v>
      </c>
      <c r="E547" s="15">
        <v>0.81</v>
      </c>
      <c r="F547" s="15">
        <v>49.73</v>
      </c>
      <c r="G547" s="15">
        <v>31.29</v>
      </c>
      <c r="H547" s="15">
        <v>0.9</v>
      </c>
      <c r="I547" s="15">
        <v>0.64</v>
      </c>
      <c r="J547" s="15">
        <v>0.38</v>
      </c>
      <c r="K547" s="15">
        <v>0.06</v>
      </c>
      <c r="L547" s="15">
        <v>9.01</v>
      </c>
      <c r="M547" s="15" t="s">
        <v>25</v>
      </c>
    </row>
    <row r="548" ht="15.75" customHeight="1">
      <c r="A548" s="15" t="s">
        <v>468</v>
      </c>
      <c r="B548" s="15" t="s">
        <v>2438</v>
      </c>
      <c r="C548" s="15">
        <v>2.0</v>
      </c>
      <c r="D548" s="15" t="s">
        <v>22</v>
      </c>
      <c r="E548" s="15">
        <v>0.66</v>
      </c>
      <c r="F548" s="15">
        <v>49.69</v>
      </c>
      <c r="G548" s="15">
        <v>29.45</v>
      </c>
      <c r="H548" s="15">
        <v>0.86</v>
      </c>
      <c r="I548" s="15">
        <v>0.72</v>
      </c>
      <c r="J548" s="15">
        <v>0.36</v>
      </c>
      <c r="K548" s="15">
        <v>0.07</v>
      </c>
      <c r="L548" s="15">
        <v>8.27</v>
      </c>
      <c r="M548" s="15" t="s">
        <v>25</v>
      </c>
    </row>
    <row r="549" ht="15.75" customHeight="1">
      <c r="A549" s="15" t="s">
        <v>428</v>
      </c>
      <c r="B549" s="15" t="s">
        <v>2441</v>
      </c>
      <c r="C549" s="15">
        <v>2.0</v>
      </c>
      <c r="D549" s="15" t="s">
        <v>22</v>
      </c>
      <c r="E549" s="15">
        <v>0.67</v>
      </c>
      <c r="F549" s="15">
        <v>49.69</v>
      </c>
      <c r="G549" s="15">
        <v>33.64</v>
      </c>
      <c r="H549" s="15">
        <v>0.91</v>
      </c>
      <c r="I549" s="15">
        <v>0.55</v>
      </c>
      <c r="J549" s="15">
        <v>0.55</v>
      </c>
      <c r="K549" s="15">
        <v>0.09</v>
      </c>
      <c r="L549" s="15">
        <v>8.11</v>
      </c>
      <c r="M549" s="15" t="s">
        <v>25</v>
      </c>
    </row>
    <row r="550" ht="15.75" customHeight="1">
      <c r="A550" s="15" t="s">
        <v>354</v>
      </c>
      <c r="B550" s="15" t="s">
        <v>2445</v>
      </c>
      <c r="C550" s="15">
        <v>2.0</v>
      </c>
      <c r="D550" s="15" t="s">
        <v>22</v>
      </c>
      <c r="E550" s="15">
        <v>0.56</v>
      </c>
      <c r="F550" s="15">
        <v>49.69</v>
      </c>
      <c r="G550" s="15">
        <v>32.13</v>
      </c>
      <c r="H550" s="15">
        <v>0.88</v>
      </c>
      <c r="I550" s="15">
        <v>0.6</v>
      </c>
      <c r="J550" s="15">
        <v>0.43</v>
      </c>
      <c r="K550" s="15">
        <v>0.06</v>
      </c>
      <c r="L550" s="15">
        <v>8.76</v>
      </c>
      <c r="M550" s="15" t="s">
        <v>25</v>
      </c>
    </row>
    <row r="551" ht="15.75" customHeight="1">
      <c r="A551" s="15" t="s">
        <v>2449</v>
      </c>
      <c r="B551" s="15" t="s">
        <v>2450</v>
      </c>
      <c r="C551" s="15">
        <v>2.0</v>
      </c>
      <c r="D551" s="15" t="s">
        <v>22</v>
      </c>
      <c r="E551" s="15">
        <v>0.64</v>
      </c>
      <c r="F551" s="15">
        <v>49.68</v>
      </c>
      <c r="G551" s="15">
        <v>29.38</v>
      </c>
      <c r="H551" s="15">
        <v>0.86</v>
      </c>
      <c r="I551" s="15">
        <v>0.72</v>
      </c>
      <c r="J551" s="15">
        <v>0.36</v>
      </c>
      <c r="K551" s="15">
        <v>0.07</v>
      </c>
      <c r="L551" s="15">
        <v>8.29</v>
      </c>
      <c r="M551" s="15" t="s">
        <v>25</v>
      </c>
    </row>
    <row r="552" ht="15.75" customHeight="1">
      <c r="A552" s="15" t="s">
        <v>439</v>
      </c>
      <c r="B552" s="15" t="s">
        <v>2453</v>
      </c>
      <c r="C552" s="15">
        <v>2.0</v>
      </c>
      <c r="D552" s="15" t="s">
        <v>22</v>
      </c>
      <c r="E552" s="15">
        <v>0.78</v>
      </c>
      <c r="F552" s="15">
        <v>49.63</v>
      </c>
      <c r="G552" s="15">
        <v>30.58</v>
      </c>
      <c r="H552" s="15">
        <v>0.9</v>
      </c>
      <c r="I552" s="15">
        <v>0.67</v>
      </c>
      <c r="J552" s="15">
        <v>0.41</v>
      </c>
      <c r="K552" s="15">
        <v>0.06</v>
      </c>
      <c r="L552" s="15">
        <v>8.8</v>
      </c>
      <c r="M552" s="15" t="s">
        <v>25</v>
      </c>
    </row>
    <row r="553" ht="15.75" customHeight="1">
      <c r="A553" s="15" t="s">
        <v>338</v>
      </c>
      <c r="B553" s="15" t="s">
        <v>2458</v>
      </c>
      <c r="C553" s="15">
        <v>2.0</v>
      </c>
      <c r="D553" s="15" t="s">
        <v>22</v>
      </c>
      <c r="E553" s="15">
        <v>0.81</v>
      </c>
      <c r="F553" s="15">
        <v>49.62</v>
      </c>
      <c r="G553" s="15">
        <v>31.37</v>
      </c>
      <c r="H553" s="15">
        <v>0.9</v>
      </c>
      <c r="I553" s="15">
        <v>0.63</v>
      </c>
      <c r="J553" s="15">
        <v>0.38</v>
      </c>
      <c r="K553" s="15">
        <v>0.06</v>
      </c>
      <c r="L553" s="15">
        <v>9.01</v>
      </c>
      <c r="M553" s="15" t="s">
        <v>25</v>
      </c>
    </row>
    <row r="554" ht="15.75" customHeight="1">
      <c r="A554" s="15" t="s">
        <v>326</v>
      </c>
      <c r="B554" s="15" t="s">
        <v>2461</v>
      </c>
      <c r="C554" s="15">
        <v>2.0</v>
      </c>
      <c r="D554" s="15" t="s">
        <v>22</v>
      </c>
      <c r="E554" s="15">
        <v>0.8</v>
      </c>
      <c r="F554" s="15">
        <v>49.57</v>
      </c>
      <c r="G554" s="15">
        <v>31.86</v>
      </c>
      <c r="H554" s="15">
        <v>0.9</v>
      </c>
      <c r="I554" s="15">
        <v>0.61</v>
      </c>
      <c r="J554" s="15">
        <v>0.38</v>
      </c>
      <c r="K554" s="15">
        <v>0.06</v>
      </c>
      <c r="L554" s="15">
        <v>9.02</v>
      </c>
      <c r="M554" s="15" t="s">
        <v>25</v>
      </c>
    </row>
    <row r="555" ht="15.75" customHeight="1">
      <c r="A555" s="15" t="s">
        <v>271</v>
      </c>
      <c r="B555" s="15" t="s">
        <v>2466</v>
      </c>
      <c r="C555" s="15">
        <v>2.0</v>
      </c>
      <c r="D555" s="15" t="s">
        <v>22</v>
      </c>
      <c r="E555" s="15">
        <v>0.81</v>
      </c>
      <c r="F555" s="15">
        <v>49.56</v>
      </c>
      <c r="G555" s="15">
        <v>31.51</v>
      </c>
      <c r="H555" s="15">
        <v>0.9</v>
      </c>
      <c r="I555" s="15">
        <v>0.63</v>
      </c>
      <c r="J555" s="15">
        <v>0.38</v>
      </c>
      <c r="K555" s="15">
        <v>0.06</v>
      </c>
      <c r="L555" s="15">
        <v>9.02</v>
      </c>
      <c r="M555" s="15" t="s">
        <v>25</v>
      </c>
    </row>
    <row r="556" ht="15.75" customHeight="1">
      <c r="A556" s="15" t="s">
        <v>855</v>
      </c>
      <c r="B556" s="15" t="s">
        <v>2469</v>
      </c>
      <c r="C556" s="15">
        <v>2.0</v>
      </c>
      <c r="D556" s="15" t="s">
        <v>22</v>
      </c>
      <c r="E556" s="15">
        <v>0.8</v>
      </c>
      <c r="F556" s="15">
        <v>49.54</v>
      </c>
      <c r="G556" s="15">
        <v>29.88</v>
      </c>
      <c r="H556" s="15">
        <v>0.85</v>
      </c>
      <c r="I556" s="15">
        <v>0.7</v>
      </c>
      <c r="J556" s="15">
        <v>0.62</v>
      </c>
      <c r="K556" s="15">
        <v>0.08</v>
      </c>
      <c r="L556" s="15">
        <v>7.54</v>
      </c>
      <c r="M556" s="15" t="s">
        <v>25</v>
      </c>
    </row>
    <row r="557" ht="15.75" customHeight="1">
      <c r="A557" s="15" t="s">
        <v>356</v>
      </c>
      <c r="B557" s="15" t="s">
        <v>2473</v>
      </c>
      <c r="C557" s="15">
        <v>2.0</v>
      </c>
      <c r="D557" s="15" t="s">
        <v>22</v>
      </c>
      <c r="E557" s="15">
        <v>0.81</v>
      </c>
      <c r="F557" s="15">
        <v>49.52</v>
      </c>
      <c r="G557" s="15">
        <v>31.47</v>
      </c>
      <c r="H557" s="15">
        <v>0.9</v>
      </c>
      <c r="I557" s="15">
        <v>0.63</v>
      </c>
      <c r="J557" s="15">
        <v>0.38</v>
      </c>
      <c r="K557" s="15">
        <v>0.06</v>
      </c>
      <c r="L557" s="15">
        <v>9.03</v>
      </c>
      <c r="M557" s="15" t="s">
        <v>25</v>
      </c>
    </row>
    <row r="558" ht="15.75" customHeight="1">
      <c r="A558" s="15" t="s">
        <v>349</v>
      </c>
      <c r="B558" s="15" t="s">
        <v>2477</v>
      </c>
      <c r="C558" s="15">
        <v>2.0</v>
      </c>
      <c r="D558" s="15" t="s">
        <v>22</v>
      </c>
      <c r="E558" s="15">
        <v>0.81</v>
      </c>
      <c r="F558" s="15">
        <v>49.52</v>
      </c>
      <c r="G558" s="15">
        <v>31.41</v>
      </c>
      <c r="H558" s="15">
        <v>0.9</v>
      </c>
      <c r="I558" s="15">
        <v>0.63</v>
      </c>
      <c r="J558" s="15">
        <v>0.38</v>
      </c>
      <c r="K558" s="15">
        <v>0.06</v>
      </c>
      <c r="L558" s="15">
        <v>9.03</v>
      </c>
      <c r="M558" s="15" t="s">
        <v>25</v>
      </c>
    </row>
    <row r="559" ht="15.75" customHeight="1">
      <c r="A559" s="15" t="s">
        <v>488</v>
      </c>
      <c r="B559" s="15" t="s">
        <v>2480</v>
      </c>
      <c r="C559" s="15">
        <v>2.0</v>
      </c>
      <c r="D559" s="15" t="s">
        <v>22</v>
      </c>
      <c r="E559" s="15">
        <v>0.56</v>
      </c>
      <c r="F559" s="15">
        <v>49.51</v>
      </c>
      <c r="G559" s="15">
        <v>31.11</v>
      </c>
      <c r="H559" s="15">
        <v>0.85</v>
      </c>
      <c r="I559" s="15">
        <v>0.64</v>
      </c>
      <c r="J559" s="15">
        <v>0.42</v>
      </c>
      <c r="K559" s="15">
        <v>0.06</v>
      </c>
      <c r="L559" s="15">
        <v>8.6</v>
      </c>
      <c r="M559" s="15" t="s">
        <v>25</v>
      </c>
    </row>
    <row r="560" ht="15.75" customHeight="1">
      <c r="A560" s="15" t="s">
        <v>683</v>
      </c>
      <c r="B560" s="15" t="s">
        <v>2484</v>
      </c>
      <c r="C560" s="15">
        <v>2.0</v>
      </c>
      <c r="D560" s="15" t="s">
        <v>22</v>
      </c>
      <c r="E560" s="15">
        <v>0.64</v>
      </c>
      <c r="F560" s="15">
        <v>49.51</v>
      </c>
      <c r="G560" s="15">
        <v>31.09</v>
      </c>
      <c r="H560" s="15">
        <v>0.9</v>
      </c>
      <c r="I560" s="15">
        <v>0.64</v>
      </c>
      <c r="J560" s="15">
        <v>0.41</v>
      </c>
      <c r="K560" s="15">
        <v>0.06</v>
      </c>
      <c r="L560" s="15">
        <v>8.87</v>
      </c>
      <c r="M560" s="15" t="s">
        <v>25</v>
      </c>
    </row>
    <row r="561" ht="15.75" customHeight="1">
      <c r="A561" s="15" t="s">
        <v>2487</v>
      </c>
      <c r="B561" s="15" t="s">
        <v>2489</v>
      </c>
      <c r="C561" s="15">
        <v>2.0</v>
      </c>
      <c r="D561" s="15" t="s">
        <v>22</v>
      </c>
      <c r="E561" s="15">
        <v>0.8</v>
      </c>
      <c r="F561" s="15">
        <v>49.5</v>
      </c>
      <c r="G561" s="15">
        <v>30.0</v>
      </c>
      <c r="H561" s="15">
        <v>0.9</v>
      </c>
      <c r="I561" s="15">
        <v>0.69</v>
      </c>
      <c r="J561" s="15">
        <v>0.36</v>
      </c>
      <c r="K561" s="15">
        <v>0.05</v>
      </c>
      <c r="L561" s="15">
        <v>8.98</v>
      </c>
      <c r="M561" s="15" t="s">
        <v>25</v>
      </c>
    </row>
    <row r="562" ht="15.75" customHeight="1">
      <c r="A562" s="15" t="s">
        <v>2492</v>
      </c>
      <c r="B562" s="15" t="s">
        <v>2494</v>
      </c>
      <c r="C562" s="15">
        <v>2.0</v>
      </c>
      <c r="D562" s="15" t="s">
        <v>22</v>
      </c>
      <c r="E562" s="15">
        <v>0.79</v>
      </c>
      <c r="F562" s="15">
        <v>49.49</v>
      </c>
      <c r="G562" s="15">
        <v>30.44</v>
      </c>
      <c r="H562" s="15">
        <v>0.9</v>
      </c>
      <c r="I562" s="15">
        <v>0.67</v>
      </c>
      <c r="J562" s="15">
        <v>0.41</v>
      </c>
      <c r="K562" s="15">
        <v>0.07</v>
      </c>
      <c r="L562" s="15">
        <v>8.64</v>
      </c>
      <c r="M562" s="15" t="s">
        <v>25</v>
      </c>
    </row>
    <row r="563" ht="15.75" customHeight="1">
      <c r="A563" s="15" t="s">
        <v>393</v>
      </c>
      <c r="B563" s="15" t="s">
        <v>2498</v>
      </c>
      <c r="C563" s="15">
        <v>2.0</v>
      </c>
      <c r="D563" s="15" t="s">
        <v>22</v>
      </c>
      <c r="E563" s="15">
        <v>0.81</v>
      </c>
      <c r="F563" s="15">
        <v>49.48</v>
      </c>
      <c r="G563" s="15">
        <v>31.44</v>
      </c>
      <c r="H563" s="15">
        <v>0.9</v>
      </c>
      <c r="I563" s="15">
        <v>0.63</v>
      </c>
      <c r="J563" s="15">
        <v>0.38</v>
      </c>
      <c r="K563" s="15">
        <v>0.06</v>
      </c>
      <c r="L563" s="15">
        <v>9.0</v>
      </c>
      <c r="M563" s="15" t="s">
        <v>25</v>
      </c>
    </row>
    <row r="564" ht="15.75" customHeight="1">
      <c r="A564" s="15" t="s">
        <v>439</v>
      </c>
      <c r="B564" s="15" t="s">
        <v>2501</v>
      </c>
      <c r="C564" s="15">
        <v>2.0</v>
      </c>
      <c r="D564" s="15" t="s">
        <v>22</v>
      </c>
      <c r="E564" s="15">
        <v>0.82</v>
      </c>
      <c r="F564" s="15">
        <v>49.48</v>
      </c>
      <c r="G564" s="15">
        <v>31.31</v>
      </c>
      <c r="H564" s="15">
        <v>0.9</v>
      </c>
      <c r="I564" s="15">
        <v>0.63</v>
      </c>
      <c r="J564" s="15">
        <v>0.38</v>
      </c>
      <c r="K564" s="15">
        <v>0.06</v>
      </c>
      <c r="L564" s="15">
        <v>9.01</v>
      </c>
      <c r="M564" s="15" t="s">
        <v>25</v>
      </c>
    </row>
    <row r="565" ht="15.75" customHeight="1">
      <c r="A565" s="15" t="s">
        <v>324</v>
      </c>
      <c r="B565" s="15" t="s">
        <v>2506</v>
      </c>
      <c r="C565" s="15">
        <v>2.0</v>
      </c>
      <c r="D565" s="15" t="s">
        <v>22</v>
      </c>
      <c r="E565" s="15">
        <v>0.53</v>
      </c>
      <c r="F565" s="15">
        <v>49.46</v>
      </c>
      <c r="G565" s="15">
        <v>31.34</v>
      </c>
      <c r="H565" s="15">
        <v>0.85</v>
      </c>
      <c r="I565" s="15">
        <v>0.63</v>
      </c>
      <c r="J565" s="15">
        <v>0.41</v>
      </c>
      <c r="K565" s="15">
        <v>0.06</v>
      </c>
      <c r="L565" s="15">
        <v>8.57</v>
      </c>
      <c r="M565" s="15" t="s">
        <v>25</v>
      </c>
    </row>
    <row r="566" ht="15.75" customHeight="1">
      <c r="A566" s="15" t="s">
        <v>553</v>
      </c>
      <c r="B566" s="15" t="s">
        <v>2509</v>
      </c>
      <c r="C566" s="15">
        <v>2.0</v>
      </c>
      <c r="D566" s="15" t="s">
        <v>22</v>
      </c>
      <c r="E566" s="15">
        <v>0.8</v>
      </c>
      <c r="F566" s="15">
        <v>49.45</v>
      </c>
      <c r="G566" s="15">
        <v>31.37</v>
      </c>
      <c r="H566" s="15">
        <v>0.9</v>
      </c>
      <c r="I566" s="15">
        <v>0.63</v>
      </c>
      <c r="J566" s="15">
        <v>0.38</v>
      </c>
      <c r="K566" s="15">
        <v>0.06</v>
      </c>
      <c r="L566" s="15">
        <v>9.02</v>
      </c>
      <c r="M566" s="15" t="s">
        <v>25</v>
      </c>
    </row>
    <row r="567" ht="15.75" customHeight="1">
      <c r="A567" s="15" t="s">
        <v>705</v>
      </c>
      <c r="B567" s="15" t="s">
        <v>2512</v>
      </c>
      <c r="C567" s="15">
        <v>2.0</v>
      </c>
      <c r="D567" s="15" t="s">
        <v>22</v>
      </c>
      <c r="E567" s="15">
        <v>0.8</v>
      </c>
      <c r="F567" s="15">
        <v>49.45</v>
      </c>
      <c r="G567" s="15">
        <v>30.24</v>
      </c>
      <c r="H567" s="15">
        <v>0.9</v>
      </c>
      <c r="I567" s="15">
        <v>0.68</v>
      </c>
      <c r="J567" s="15">
        <v>0.36</v>
      </c>
      <c r="K567" s="15">
        <v>0.05</v>
      </c>
      <c r="L567" s="15">
        <v>8.98</v>
      </c>
      <c r="M567" s="15" t="s">
        <v>25</v>
      </c>
    </row>
    <row r="568" ht="15.75" customHeight="1">
      <c r="A568" s="15" t="s">
        <v>2224</v>
      </c>
      <c r="B568" s="15" t="s">
        <v>2516</v>
      </c>
      <c r="C568" s="15">
        <v>2.0</v>
      </c>
      <c r="D568" s="15" t="s">
        <v>22</v>
      </c>
      <c r="E568" s="15">
        <v>0.61</v>
      </c>
      <c r="F568" s="15">
        <v>49.45</v>
      </c>
      <c r="G568" s="15">
        <v>29.99</v>
      </c>
      <c r="H568" s="15">
        <v>0.86</v>
      </c>
      <c r="I568" s="15">
        <v>0.69</v>
      </c>
      <c r="J568" s="15">
        <v>0.43</v>
      </c>
      <c r="K568" s="15">
        <v>0.08</v>
      </c>
      <c r="L568" s="15">
        <v>7.85</v>
      </c>
      <c r="M568" s="15" t="s">
        <v>25</v>
      </c>
    </row>
    <row r="569" ht="15.75" customHeight="1">
      <c r="A569" s="15" t="s">
        <v>1370</v>
      </c>
      <c r="B569" s="15" t="s">
        <v>2520</v>
      </c>
      <c r="C569" s="15">
        <v>2.0</v>
      </c>
      <c r="D569" s="15" t="s">
        <v>22</v>
      </c>
      <c r="E569" s="15">
        <v>0.73</v>
      </c>
      <c r="F569" s="15">
        <v>49.42</v>
      </c>
      <c r="G569" s="15">
        <v>30.06</v>
      </c>
      <c r="H569" s="15">
        <v>0.9</v>
      </c>
      <c r="I569" s="15">
        <v>0.69</v>
      </c>
      <c r="J569" s="15">
        <v>0.28</v>
      </c>
      <c r="K569" s="15">
        <v>0.04</v>
      </c>
      <c r="L569" s="15">
        <v>9.64</v>
      </c>
      <c r="M569" s="15" t="s">
        <v>25</v>
      </c>
    </row>
    <row r="570" ht="15.75" customHeight="1">
      <c r="A570" s="15" t="s">
        <v>1117</v>
      </c>
      <c r="B570" s="15" t="s">
        <v>2523</v>
      </c>
      <c r="C570" s="15">
        <v>2.0</v>
      </c>
      <c r="D570" s="15" t="s">
        <v>22</v>
      </c>
      <c r="E570" s="15">
        <v>0.64</v>
      </c>
      <c r="F570" s="15">
        <v>49.41</v>
      </c>
      <c r="G570" s="15">
        <v>29.9</v>
      </c>
      <c r="H570" s="15">
        <v>0.88</v>
      </c>
      <c r="I570" s="15">
        <v>0.69</v>
      </c>
      <c r="J570" s="15">
        <v>0.34</v>
      </c>
      <c r="K570" s="15">
        <v>0.05</v>
      </c>
      <c r="L570" s="15">
        <v>9.03</v>
      </c>
      <c r="M570" s="15" t="s">
        <v>25</v>
      </c>
    </row>
    <row r="571" ht="15.75" customHeight="1">
      <c r="A571" s="15" t="s">
        <v>1050</v>
      </c>
      <c r="B571" s="15" t="s">
        <v>2526</v>
      </c>
      <c r="C571" s="15">
        <v>2.0</v>
      </c>
      <c r="D571" s="15" t="s">
        <v>22</v>
      </c>
      <c r="E571" s="15">
        <v>0.63</v>
      </c>
      <c r="F571" s="15">
        <v>49.41</v>
      </c>
      <c r="G571" s="15">
        <v>29.9</v>
      </c>
      <c r="H571" s="15">
        <v>0.88</v>
      </c>
      <c r="I571" s="15">
        <v>0.69</v>
      </c>
      <c r="J571" s="15">
        <v>0.34</v>
      </c>
      <c r="K571" s="15">
        <v>0.05</v>
      </c>
      <c r="L571" s="15">
        <v>9.02</v>
      </c>
      <c r="M571" s="15" t="s">
        <v>25</v>
      </c>
    </row>
    <row r="572" ht="15.75" customHeight="1">
      <c r="A572" s="15" t="s">
        <v>1184</v>
      </c>
      <c r="B572" s="15" t="s">
        <v>2529</v>
      </c>
      <c r="C572" s="15">
        <v>2.0</v>
      </c>
      <c r="D572" s="15" t="s">
        <v>22</v>
      </c>
      <c r="E572" s="15">
        <v>0.64</v>
      </c>
      <c r="F572" s="15">
        <v>49.41</v>
      </c>
      <c r="G572" s="15">
        <v>29.9</v>
      </c>
      <c r="H572" s="15">
        <v>0.88</v>
      </c>
      <c r="I572" s="15">
        <v>0.69</v>
      </c>
      <c r="J572" s="15">
        <v>0.34</v>
      </c>
      <c r="K572" s="15">
        <v>0.05</v>
      </c>
      <c r="L572" s="15">
        <v>9.05</v>
      </c>
      <c r="M572" s="15" t="s">
        <v>25</v>
      </c>
    </row>
    <row r="573" ht="15.75" customHeight="1">
      <c r="A573" s="15" t="s">
        <v>1172</v>
      </c>
      <c r="B573" s="15" t="s">
        <v>2532</v>
      </c>
      <c r="C573" s="15">
        <v>2.0</v>
      </c>
      <c r="D573" s="15" t="s">
        <v>22</v>
      </c>
      <c r="E573" s="15">
        <v>0.63</v>
      </c>
      <c r="F573" s="15">
        <v>49.41</v>
      </c>
      <c r="G573" s="15">
        <v>29.9</v>
      </c>
      <c r="H573" s="15">
        <v>0.88</v>
      </c>
      <c r="I573" s="15">
        <v>0.69</v>
      </c>
      <c r="J573" s="15">
        <v>0.35</v>
      </c>
      <c r="K573" s="15">
        <v>0.05</v>
      </c>
      <c r="L573" s="15">
        <v>8.95</v>
      </c>
      <c r="M573" s="15" t="s">
        <v>25</v>
      </c>
    </row>
    <row r="574" ht="15.75" customHeight="1">
      <c r="A574" s="15" t="s">
        <v>1106</v>
      </c>
      <c r="B574" s="15" t="s">
        <v>2535</v>
      </c>
      <c r="C574" s="15">
        <v>2.0</v>
      </c>
      <c r="D574" s="15" t="s">
        <v>22</v>
      </c>
      <c r="E574" s="15">
        <v>0.63</v>
      </c>
      <c r="F574" s="15">
        <v>49.41</v>
      </c>
      <c r="G574" s="15">
        <v>29.9</v>
      </c>
      <c r="H574" s="15">
        <v>0.88</v>
      </c>
      <c r="I574" s="15">
        <v>0.69</v>
      </c>
      <c r="J574" s="15">
        <v>0.34</v>
      </c>
      <c r="K574" s="15">
        <v>0.05</v>
      </c>
      <c r="L574" s="15">
        <v>9.03</v>
      </c>
      <c r="M574" s="15" t="s">
        <v>25</v>
      </c>
    </row>
    <row r="575" ht="15.75" customHeight="1">
      <c r="A575" s="15" t="s">
        <v>1188</v>
      </c>
      <c r="B575" s="15" t="s">
        <v>2538</v>
      </c>
      <c r="C575" s="15">
        <v>2.0</v>
      </c>
      <c r="D575" s="15" t="s">
        <v>22</v>
      </c>
      <c r="E575" s="15">
        <v>0.63</v>
      </c>
      <c r="F575" s="15">
        <v>49.41</v>
      </c>
      <c r="G575" s="15">
        <v>29.9</v>
      </c>
      <c r="H575" s="15">
        <v>0.88</v>
      </c>
      <c r="I575" s="15">
        <v>0.69</v>
      </c>
      <c r="J575" s="15">
        <v>0.34</v>
      </c>
      <c r="K575" s="15">
        <v>0.05</v>
      </c>
      <c r="L575" s="15">
        <v>9.05</v>
      </c>
      <c r="M575" s="15" t="s">
        <v>25</v>
      </c>
    </row>
    <row r="576" ht="15.75" customHeight="1">
      <c r="A576" s="15" t="s">
        <v>1099</v>
      </c>
      <c r="B576" s="15" t="s">
        <v>2541</v>
      </c>
      <c r="C576" s="15">
        <v>2.0</v>
      </c>
      <c r="D576" s="15" t="s">
        <v>22</v>
      </c>
      <c r="E576" s="15">
        <v>0.64</v>
      </c>
      <c r="F576" s="15">
        <v>49.41</v>
      </c>
      <c r="G576" s="15">
        <v>29.9</v>
      </c>
      <c r="H576" s="15">
        <v>0.88</v>
      </c>
      <c r="I576" s="15">
        <v>0.69</v>
      </c>
      <c r="J576" s="15">
        <v>0.33</v>
      </c>
      <c r="K576" s="15">
        <v>0.05</v>
      </c>
      <c r="L576" s="15">
        <v>9.04</v>
      </c>
      <c r="M576" s="15" t="s">
        <v>25</v>
      </c>
    </row>
    <row r="577" ht="15.75" customHeight="1">
      <c r="A577" s="15" t="s">
        <v>1086</v>
      </c>
      <c r="B577" s="15" t="s">
        <v>2544</v>
      </c>
      <c r="C577" s="15">
        <v>2.0</v>
      </c>
      <c r="D577" s="15" t="s">
        <v>22</v>
      </c>
      <c r="E577" s="15">
        <v>0.64</v>
      </c>
      <c r="F577" s="15">
        <v>49.41</v>
      </c>
      <c r="G577" s="15">
        <v>29.9</v>
      </c>
      <c r="H577" s="15">
        <v>0.88</v>
      </c>
      <c r="I577" s="15">
        <v>0.69</v>
      </c>
      <c r="J577" s="15">
        <v>0.34</v>
      </c>
      <c r="K577" s="15">
        <v>0.05</v>
      </c>
      <c r="L577" s="15">
        <v>9.04</v>
      </c>
      <c r="M577" s="15" t="s">
        <v>25</v>
      </c>
    </row>
    <row r="578" ht="15.75" customHeight="1">
      <c r="A578" s="15" t="s">
        <v>1345</v>
      </c>
      <c r="B578" s="15" t="s">
        <v>2547</v>
      </c>
      <c r="C578" s="15">
        <v>2.0</v>
      </c>
      <c r="D578" s="15" t="s">
        <v>22</v>
      </c>
      <c r="E578" s="15">
        <v>0.74</v>
      </c>
      <c r="F578" s="15">
        <v>49.41</v>
      </c>
      <c r="G578" s="15">
        <v>30.29</v>
      </c>
      <c r="H578" s="15">
        <v>0.9</v>
      </c>
      <c r="I578" s="15">
        <v>0.68</v>
      </c>
      <c r="J578" s="15">
        <v>0.28</v>
      </c>
      <c r="K578" s="15">
        <v>0.04</v>
      </c>
      <c r="L578" s="15">
        <v>9.65</v>
      </c>
      <c r="M578" s="15" t="s">
        <v>25</v>
      </c>
    </row>
    <row r="579" ht="15.75" customHeight="1">
      <c r="A579" s="15" t="s">
        <v>711</v>
      </c>
      <c r="B579" s="15" t="s">
        <v>2550</v>
      </c>
      <c r="C579" s="15">
        <v>2.0</v>
      </c>
      <c r="D579" s="15" t="s">
        <v>22</v>
      </c>
      <c r="E579" s="15">
        <v>0.81</v>
      </c>
      <c r="F579" s="15">
        <v>49.41</v>
      </c>
      <c r="G579" s="15">
        <v>30.38</v>
      </c>
      <c r="H579" s="15">
        <v>0.9</v>
      </c>
      <c r="I579" s="15">
        <v>0.67</v>
      </c>
      <c r="J579" s="15">
        <v>0.36</v>
      </c>
      <c r="K579" s="15">
        <v>0.06</v>
      </c>
      <c r="L579" s="15">
        <v>9.05</v>
      </c>
      <c r="M579" s="15" t="s">
        <v>25</v>
      </c>
    </row>
    <row r="580" ht="15.75" customHeight="1">
      <c r="A580" s="15" t="s">
        <v>1738</v>
      </c>
      <c r="B580" s="15" t="s">
        <v>2554</v>
      </c>
      <c r="C580" s="15">
        <v>2.0</v>
      </c>
      <c r="D580" s="15" t="s">
        <v>22</v>
      </c>
      <c r="E580" s="15">
        <v>0.72</v>
      </c>
      <c r="F580" s="15">
        <v>49.4</v>
      </c>
      <c r="G580" s="15">
        <v>30.04</v>
      </c>
      <c r="H580" s="15">
        <v>0.9</v>
      </c>
      <c r="I580" s="15">
        <v>0.69</v>
      </c>
      <c r="J580" s="15">
        <v>0.27</v>
      </c>
      <c r="K580" s="15">
        <v>0.04</v>
      </c>
      <c r="L580" s="15">
        <v>9.66</v>
      </c>
      <c r="M580" s="15" t="s">
        <v>25</v>
      </c>
    </row>
    <row r="581" ht="15.75" customHeight="1">
      <c r="A581" s="15" t="s">
        <v>515</v>
      </c>
      <c r="B581" s="15" t="s">
        <v>2557</v>
      </c>
      <c r="C581" s="15">
        <v>2.0</v>
      </c>
      <c r="D581" s="15" t="s">
        <v>22</v>
      </c>
      <c r="E581" s="15">
        <v>0.79</v>
      </c>
      <c r="F581" s="15">
        <v>49.4</v>
      </c>
      <c r="G581" s="15">
        <v>30.43</v>
      </c>
      <c r="H581" s="15">
        <v>0.9</v>
      </c>
      <c r="I581" s="15">
        <v>0.67</v>
      </c>
      <c r="J581" s="15">
        <v>0.36</v>
      </c>
      <c r="K581" s="15">
        <v>0.05</v>
      </c>
      <c r="L581" s="15">
        <v>9.0</v>
      </c>
      <c r="M581" s="15" t="s">
        <v>25</v>
      </c>
    </row>
    <row r="582" ht="15.75" customHeight="1">
      <c r="A582" s="15" t="s">
        <v>1076</v>
      </c>
      <c r="B582" s="15" t="s">
        <v>2561</v>
      </c>
      <c r="C582" s="15">
        <v>2.0</v>
      </c>
      <c r="D582" s="15" t="s">
        <v>22</v>
      </c>
      <c r="E582" s="15">
        <v>0.64</v>
      </c>
      <c r="F582" s="15">
        <v>49.38</v>
      </c>
      <c r="G582" s="15">
        <v>30.42</v>
      </c>
      <c r="H582" s="15">
        <v>0.88</v>
      </c>
      <c r="I582" s="15">
        <v>0.67</v>
      </c>
      <c r="J582" s="15">
        <v>0.33</v>
      </c>
      <c r="K582" s="15">
        <v>0.05</v>
      </c>
      <c r="L582" s="15">
        <v>9.05</v>
      </c>
      <c r="M582" s="15" t="s">
        <v>25</v>
      </c>
    </row>
    <row r="583" ht="15.75" customHeight="1">
      <c r="A583" s="15" t="s">
        <v>1242</v>
      </c>
      <c r="B583" s="15" t="s">
        <v>2565</v>
      </c>
      <c r="C583" s="15">
        <v>2.0</v>
      </c>
      <c r="D583" s="15" t="s">
        <v>22</v>
      </c>
      <c r="E583" s="15">
        <v>0.74</v>
      </c>
      <c r="F583" s="15">
        <v>49.38</v>
      </c>
      <c r="G583" s="15">
        <v>30.09</v>
      </c>
      <c r="H583" s="15">
        <v>0.9</v>
      </c>
      <c r="I583" s="15">
        <v>0.69</v>
      </c>
      <c r="J583" s="15">
        <v>0.28</v>
      </c>
      <c r="K583" s="15">
        <v>0.04</v>
      </c>
      <c r="L583" s="15">
        <v>9.65</v>
      </c>
      <c r="M583" s="15" t="s">
        <v>25</v>
      </c>
    </row>
    <row r="584" ht="15.75" customHeight="1">
      <c r="A584" s="15" t="s">
        <v>1101</v>
      </c>
      <c r="B584" s="15" t="s">
        <v>2568</v>
      </c>
      <c r="C584" s="15">
        <v>2.0</v>
      </c>
      <c r="D584" s="15" t="s">
        <v>22</v>
      </c>
      <c r="E584" s="15">
        <v>0.66</v>
      </c>
      <c r="F584" s="15">
        <v>49.38</v>
      </c>
      <c r="G584" s="15">
        <v>30.26</v>
      </c>
      <c r="H584" s="15">
        <v>0.88</v>
      </c>
      <c r="I584" s="15">
        <v>0.68</v>
      </c>
      <c r="J584" s="15">
        <v>0.34</v>
      </c>
      <c r="K584" s="15">
        <v>0.05</v>
      </c>
      <c r="L584" s="15">
        <v>9.05</v>
      </c>
      <c r="M584" s="15" t="s">
        <v>25</v>
      </c>
    </row>
    <row r="585" ht="15.75" customHeight="1">
      <c r="A585" s="15" t="s">
        <v>1208</v>
      </c>
      <c r="B585" s="15" t="s">
        <v>2571</v>
      </c>
      <c r="C585" s="15">
        <v>2.0</v>
      </c>
      <c r="D585" s="15" t="s">
        <v>22</v>
      </c>
      <c r="E585" s="15">
        <v>0.73</v>
      </c>
      <c r="F585" s="15">
        <v>49.36</v>
      </c>
      <c r="G585" s="15">
        <v>30.13</v>
      </c>
      <c r="H585" s="15">
        <v>0.9</v>
      </c>
      <c r="I585" s="15">
        <v>0.68</v>
      </c>
      <c r="J585" s="15">
        <v>0.28</v>
      </c>
      <c r="K585" s="15">
        <v>0.04</v>
      </c>
      <c r="L585" s="15">
        <v>9.65</v>
      </c>
      <c r="M585" s="15" t="s">
        <v>25</v>
      </c>
    </row>
    <row r="586" ht="15.75" customHeight="1">
      <c r="A586" s="15" t="s">
        <v>1157</v>
      </c>
      <c r="B586" s="15" t="s">
        <v>2574</v>
      </c>
      <c r="C586" s="15">
        <v>2.0</v>
      </c>
      <c r="D586" s="15" t="s">
        <v>22</v>
      </c>
      <c r="E586" s="15">
        <v>0.63</v>
      </c>
      <c r="F586" s="15">
        <v>49.36</v>
      </c>
      <c r="G586" s="15">
        <v>30.35</v>
      </c>
      <c r="H586" s="15">
        <v>0.88</v>
      </c>
      <c r="I586" s="15">
        <v>0.67</v>
      </c>
      <c r="J586" s="15">
        <v>0.34</v>
      </c>
      <c r="K586" s="15">
        <v>0.05</v>
      </c>
      <c r="L586" s="15">
        <v>9.05</v>
      </c>
      <c r="M586" s="15" t="s">
        <v>25</v>
      </c>
    </row>
    <row r="587" ht="15.75" customHeight="1">
      <c r="A587" s="15" t="s">
        <v>911</v>
      </c>
      <c r="B587" s="15" t="s">
        <v>2577</v>
      </c>
      <c r="C587" s="15">
        <v>2.0</v>
      </c>
      <c r="D587" s="15" t="s">
        <v>22</v>
      </c>
      <c r="E587" s="15">
        <v>0.75</v>
      </c>
      <c r="F587" s="15">
        <v>49.35</v>
      </c>
      <c r="G587" s="15">
        <v>30.31</v>
      </c>
      <c r="H587" s="15">
        <v>0.9</v>
      </c>
      <c r="I587" s="15">
        <v>0.67</v>
      </c>
      <c r="J587" s="15">
        <v>0.46</v>
      </c>
      <c r="K587" s="15">
        <v>0.06</v>
      </c>
      <c r="L587" s="15">
        <v>8.43</v>
      </c>
      <c r="M587" s="15" t="s">
        <v>25</v>
      </c>
    </row>
    <row r="588" ht="15.75" customHeight="1">
      <c r="A588" s="15" t="s">
        <v>414</v>
      </c>
      <c r="B588" s="15" t="s">
        <v>2580</v>
      </c>
      <c r="C588" s="15">
        <v>2.0</v>
      </c>
      <c r="D588" s="15" t="s">
        <v>22</v>
      </c>
      <c r="E588" s="15">
        <v>0.79</v>
      </c>
      <c r="F588" s="15">
        <v>49.34</v>
      </c>
      <c r="G588" s="15">
        <v>29.96</v>
      </c>
      <c r="H588" s="15">
        <v>0.9</v>
      </c>
      <c r="I588" s="15">
        <v>0.69</v>
      </c>
      <c r="J588" s="15">
        <v>0.37</v>
      </c>
      <c r="K588" s="15">
        <v>0.06</v>
      </c>
      <c r="L588" s="15">
        <v>8.96</v>
      </c>
      <c r="M588" s="15" t="s">
        <v>25</v>
      </c>
    </row>
    <row r="589" ht="15.75" customHeight="1">
      <c r="A589" s="15" t="s">
        <v>1145</v>
      </c>
      <c r="B589" s="15" t="s">
        <v>2581</v>
      </c>
      <c r="C589" s="15">
        <v>2.0</v>
      </c>
      <c r="D589" s="15" t="s">
        <v>22</v>
      </c>
      <c r="E589" s="15">
        <v>0.72</v>
      </c>
      <c r="F589" s="15">
        <v>49.33</v>
      </c>
      <c r="G589" s="15">
        <v>30.52</v>
      </c>
      <c r="H589" s="15">
        <v>0.9</v>
      </c>
      <c r="I589" s="15">
        <v>0.67</v>
      </c>
      <c r="J589" s="15">
        <v>0.46</v>
      </c>
      <c r="K589" s="15">
        <v>0.06</v>
      </c>
      <c r="L589" s="15">
        <v>8.41</v>
      </c>
      <c r="M589" s="15" t="s">
        <v>25</v>
      </c>
    </row>
    <row r="590" ht="15.75" customHeight="1">
      <c r="A590" s="15" t="s">
        <v>284</v>
      </c>
      <c r="B590" s="15" t="s">
        <v>2584</v>
      </c>
      <c r="C590" s="15">
        <v>2.0</v>
      </c>
      <c r="D590" s="15" t="s">
        <v>22</v>
      </c>
      <c r="E590" s="15">
        <v>0.8</v>
      </c>
      <c r="F590" s="15">
        <v>49.32</v>
      </c>
      <c r="G590" s="15">
        <v>31.32</v>
      </c>
      <c r="H590" s="15">
        <v>0.9</v>
      </c>
      <c r="I590" s="15">
        <v>0.63</v>
      </c>
      <c r="J590" s="15">
        <v>0.38</v>
      </c>
      <c r="K590" s="15">
        <v>0.06</v>
      </c>
      <c r="L590" s="15">
        <v>9.01</v>
      </c>
      <c r="M590" s="15" t="s">
        <v>25</v>
      </c>
    </row>
    <row r="591" ht="15.75" customHeight="1">
      <c r="A591" s="15" t="s">
        <v>50</v>
      </c>
      <c r="B591" s="15" t="s">
        <v>2589</v>
      </c>
      <c r="C591" s="15">
        <v>2.0</v>
      </c>
      <c r="D591" s="15" t="s">
        <v>22</v>
      </c>
      <c r="E591" s="15">
        <v>0.65</v>
      </c>
      <c r="F591" s="15">
        <v>49.31</v>
      </c>
      <c r="G591" s="15">
        <v>29.52</v>
      </c>
      <c r="H591" s="15">
        <v>0.87</v>
      </c>
      <c r="I591" s="15">
        <v>0.71</v>
      </c>
      <c r="J591" s="15">
        <v>0.35</v>
      </c>
      <c r="K591" s="15">
        <v>0.07</v>
      </c>
      <c r="L591" s="15">
        <v>8.29</v>
      </c>
      <c r="M591" s="15" t="s">
        <v>25</v>
      </c>
    </row>
    <row r="592" ht="15.75" customHeight="1">
      <c r="A592" s="15" t="s">
        <v>800</v>
      </c>
      <c r="B592" s="15" t="s">
        <v>2593</v>
      </c>
      <c r="C592" s="15">
        <v>2.0</v>
      </c>
      <c r="D592" s="15" t="s">
        <v>22</v>
      </c>
      <c r="E592" s="15">
        <v>0.73</v>
      </c>
      <c r="F592" s="15">
        <v>49.3</v>
      </c>
      <c r="G592" s="15">
        <v>30.91</v>
      </c>
      <c r="H592" s="15">
        <v>0.9</v>
      </c>
      <c r="I592" s="15">
        <v>0.65</v>
      </c>
      <c r="J592" s="15">
        <v>0.51</v>
      </c>
      <c r="K592" s="15">
        <v>0.08</v>
      </c>
      <c r="L592" s="15">
        <v>8.12</v>
      </c>
      <c r="M592" s="15" t="s">
        <v>25</v>
      </c>
    </row>
    <row r="593" ht="15.75" customHeight="1">
      <c r="A593" s="15" t="s">
        <v>1224</v>
      </c>
      <c r="B593" s="15" t="s">
        <v>2596</v>
      </c>
      <c r="C593" s="15">
        <v>2.0</v>
      </c>
      <c r="D593" s="15" t="s">
        <v>22</v>
      </c>
      <c r="E593" s="15">
        <v>0.73</v>
      </c>
      <c r="F593" s="15">
        <v>49.29</v>
      </c>
      <c r="G593" s="15">
        <v>30.07</v>
      </c>
      <c r="H593" s="15">
        <v>0.9</v>
      </c>
      <c r="I593" s="15">
        <v>0.68</v>
      </c>
      <c r="J593" s="15">
        <v>0.28</v>
      </c>
      <c r="K593" s="15">
        <v>0.04</v>
      </c>
      <c r="L593" s="15">
        <v>9.65</v>
      </c>
      <c r="M593" s="15" t="s">
        <v>25</v>
      </c>
    </row>
    <row r="594" ht="15.75" customHeight="1">
      <c r="A594" s="15" t="s">
        <v>1438</v>
      </c>
      <c r="B594" s="15" t="s">
        <v>2600</v>
      </c>
      <c r="C594" s="15">
        <v>2.0</v>
      </c>
      <c r="D594" s="15" t="s">
        <v>22</v>
      </c>
      <c r="E594" s="15">
        <v>0.73</v>
      </c>
      <c r="F594" s="15">
        <v>49.25</v>
      </c>
      <c r="G594" s="15">
        <v>30.23</v>
      </c>
      <c r="H594" s="15">
        <v>0.9</v>
      </c>
      <c r="I594" s="15">
        <v>0.68</v>
      </c>
      <c r="J594" s="15">
        <v>0.28</v>
      </c>
      <c r="K594" s="15">
        <v>0.04</v>
      </c>
      <c r="L594" s="15">
        <v>9.66</v>
      </c>
      <c r="M594" s="15" t="s">
        <v>25</v>
      </c>
    </row>
    <row r="595" ht="15.75" customHeight="1">
      <c r="A595" s="15" t="s">
        <v>518</v>
      </c>
      <c r="B595" s="15" t="s">
        <v>2603</v>
      </c>
      <c r="C595" s="15">
        <v>2.0</v>
      </c>
      <c r="D595" s="15" t="s">
        <v>22</v>
      </c>
      <c r="E595" s="15">
        <v>0.51</v>
      </c>
      <c r="F595" s="15">
        <v>49.25</v>
      </c>
      <c r="G595" s="15">
        <v>29.94</v>
      </c>
      <c r="H595" s="15">
        <v>0.83</v>
      </c>
      <c r="I595" s="15">
        <v>0.69</v>
      </c>
      <c r="J595" s="15">
        <v>0.41</v>
      </c>
      <c r="K595" s="15">
        <v>0.06</v>
      </c>
      <c r="L595" s="15">
        <v>8.54</v>
      </c>
      <c r="M595" s="15" t="s">
        <v>25</v>
      </c>
    </row>
    <row r="596" ht="15.75" customHeight="1">
      <c r="A596" s="15" t="s">
        <v>852</v>
      </c>
      <c r="B596" s="15" t="s">
        <v>2607</v>
      </c>
      <c r="C596" s="15">
        <v>2.0</v>
      </c>
      <c r="D596" s="15" t="s">
        <v>22</v>
      </c>
      <c r="E596" s="15">
        <v>0.8</v>
      </c>
      <c r="F596" s="15">
        <v>49.22</v>
      </c>
      <c r="G596" s="15">
        <v>29.26</v>
      </c>
      <c r="H596" s="15">
        <v>0.83</v>
      </c>
      <c r="I596" s="15">
        <v>0.72</v>
      </c>
      <c r="J596" s="15">
        <v>0.39</v>
      </c>
      <c r="K596" s="15">
        <v>0.05</v>
      </c>
      <c r="L596" s="15">
        <v>8.84</v>
      </c>
      <c r="M596" s="15" t="s">
        <v>25</v>
      </c>
    </row>
    <row r="597" ht="15.75" customHeight="1">
      <c r="A597" s="15" t="s">
        <v>393</v>
      </c>
      <c r="B597" s="15" t="s">
        <v>2611</v>
      </c>
      <c r="C597" s="15">
        <v>2.0</v>
      </c>
      <c r="D597" s="15" t="s">
        <v>22</v>
      </c>
      <c r="E597" s="15">
        <v>0.77</v>
      </c>
      <c r="F597" s="15">
        <v>49.22</v>
      </c>
      <c r="G597" s="15">
        <v>30.6</v>
      </c>
      <c r="H597" s="15">
        <v>0.9</v>
      </c>
      <c r="I597" s="15">
        <v>0.66</v>
      </c>
      <c r="J597" s="15">
        <v>0.46</v>
      </c>
      <c r="K597" s="15">
        <v>0.06</v>
      </c>
      <c r="L597" s="15">
        <v>8.45</v>
      </c>
      <c r="M597" s="15" t="s">
        <v>25</v>
      </c>
    </row>
    <row r="598" ht="15.75" customHeight="1">
      <c r="A598" s="15" t="s">
        <v>700</v>
      </c>
      <c r="B598" s="15" t="s">
        <v>2614</v>
      </c>
      <c r="C598" s="15">
        <v>2.0</v>
      </c>
      <c r="D598" s="15" t="s">
        <v>22</v>
      </c>
      <c r="E598" s="15">
        <v>0.8</v>
      </c>
      <c r="F598" s="15">
        <v>49.21</v>
      </c>
      <c r="G598" s="15">
        <v>30.17</v>
      </c>
      <c r="H598" s="15">
        <v>0.9</v>
      </c>
      <c r="I598" s="15">
        <v>0.68</v>
      </c>
      <c r="J598" s="15">
        <v>0.36</v>
      </c>
      <c r="K598" s="15">
        <v>0.05</v>
      </c>
      <c r="L598" s="15">
        <v>9.02</v>
      </c>
      <c r="M598" s="15" t="s">
        <v>25</v>
      </c>
    </row>
    <row r="599" ht="15.75" customHeight="1">
      <c r="A599" s="15" t="s">
        <v>659</v>
      </c>
      <c r="B599" s="15" t="s">
        <v>2617</v>
      </c>
      <c r="C599" s="15">
        <v>2.0</v>
      </c>
      <c r="D599" s="15" t="s">
        <v>22</v>
      </c>
      <c r="E599" s="15">
        <v>0.8</v>
      </c>
      <c r="F599" s="15">
        <v>49.21</v>
      </c>
      <c r="G599" s="15">
        <v>30.6</v>
      </c>
      <c r="H599" s="15">
        <v>0.9</v>
      </c>
      <c r="I599" s="15">
        <v>0.66</v>
      </c>
      <c r="J599" s="15">
        <v>0.36</v>
      </c>
      <c r="K599" s="15">
        <v>0.05</v>
      </c>
      <c r="L599" s="15">
        <v>9.0</v>
      </c>
      <c r="M599" s="15" t="s">
        <v>25</v>
      </c>
    </row>
    <row r="600" ht="15.75" customHeight="1">
      <c r="A600" s="15" t="s">
        <v>824</v>
      </c>
      <c r="B600" s="15" t="s">
        <v>2621</v>
      </c>
      <c r="C600" s="15">
        <v>2.0</v>
      </c>
      <c r="D600" s="15" t="s">
        <v>22</v>
      </c>
      <c r="E600" s="15">
        <v>0.81</v>
      </c>
      <c r="F600" s="15">
        <v>49.19</v>
      </c>
      <c r="G600" s="15">
        <v>29.46</v>
      </c>
      <c r="H600" s="15">
        <v>0.83</v>
      </c>
      <c r="I600" s="15">
        <v>0.71</v>
      </c>
      <c r="J600" s="15">
        <v>0.39</v>
      </c>
      <c r="K600" s="15">
        <v>0.05</v>
      </c>
      <c r="L600" s="15">
        <v>8.85</v>
      </c>
      <c r="M600" s="15" t="s">
        <v>25</v>
      </c>
    </row>
    <row r="601" ht="15.75" customHeight="1">
      <c r="A601" s="15" t="s">
        <v>374</v>
      </c>
      <c r="B601" s="15" t="s">
        <v>2624</v>
      </c>
      <c r="C601" s="15">
        <v>2.0</v>
      </c>
      <c r="D601" s="15" t="s">
        <v>22</v>
      </c>
      <c r="E601" s="15">
        <v>0.56</v>
      </c>
      <c r="F601" s="15">
        <v>49.19</v>
      </c>
      <c r="G601" s="15">
        <v>30.64</v>
      </c>
      <c r="H601" s="15">
        <v>0.87</v>
      </c>
      <c r="I601" s="15">
        <v>0.66</v>
      </c>
      <c r="J601" s="15">
        <v>0.42</v>
      </c>
      <c r="K601" s="15">
        <v>0.06</v>
      </c>
      <c r="L601" s="15">
        <v>8.48</v>
      </c>
      <c r="M601" s="15" t="s">
        <v>25</v>
      </c>
    </row>
    <row r="602" ht="15.75" customHeight="1">
      <c r="A602" s="15" t="s">
        <v>931</v>
      </c>
      <c r="B602" s="15" t="s">
        <v>2627</v>
      </c>
      <c r="C602" s="15">
        <v>2.0</v>
      </c>
      <c r="D602" s="15" t="s">
        <v>22</v>
      </c>
      <c r="E602" s="15">
        <v>0.81</v>
      </c>
      <c r="F602" s="15">
        <v>49.18</v>
      </c>
      <c r="G602" s="15">
        <v>30.12</v>
      </c>
      <c r="H602" s="15">
        <v>0.89</v>
      </c>
      <c r="I602" s="15">
        <v>0.68</v>
      </c>
      <c r="J602" s="15">
        <v>0.42</v>
      </c>
      <c r="K602" s="15">
        <v>0.06</v>
      </c>
      <c r="L602" s="15">
        <v>8.54</v>
      </c>
      <c r="M602" s="15" t="s">
        <v>25</v>
      </c>
    </row>
    <row r="603" ht="15.75" customHeight="1">
      <c r="A603" s="15" t="s">
        <v>257</v>
      </c>
      <c r="B603" s="15" t="s">
        <v>2630</v>
      </c>
      <c r="C603" s="15">
        <v>2.0</v>
      </c>
      <c r="D603" s="15" t="s">
        <v>22</v>
      </c>
      <c r="E603" s="15">
        <v>0.82</v>
      </c>
      <c r="F603" s="15">
        <v>49.17</v>
      </c>
      <c r="G603" s="15">
        <v>31.15</v>
      </c>
      <c r="H603" s="15">
        <v>0.9</v>
      </c>
      <c r="I603" s="15">
        <v>0.64</v>
      </c>
      <c r="J603" s="15">
        <v>0.38</v>
      </c>
      <c r="K603" s="15">
        <v>0.06</v>
      </c>
      <c r="L603" s="15">
        <v>9.0</v>
      </c>
      <c r="M603" s="15" t="s">
        <v>25</v>
      </c>
    </row>
    <row r="604" ht="15.75" customHeight="1">
      <c r="A604" s="15" t="s">
        <v>1331</v>
      </c>
      <c r="B604" s="15" t="s">
        <v>2633</v>
      </c>
      <c r="C604" s="15">
        <v>2.0</v>
      </c>
      <c r="D604" s="15" t="s">
        <v>22</v>
      </c>
      <c r="E604" s="15">
        <v>0.8</v>
      </c>
      <c r="F604" s="15">
        <v>49.16</v>
      </c>
      <c r="G604" s="15">
        <v>30.38</v>
      </c>
      <c r="H604" s="15">
        <v>0.9</v>
      </c>
      <c r="I604" s="15">
        <v>0.67</v>
      </c>
      <c r="J604" s="15">
        <v>0.36</v>
      </c>
      <c r="K604" s="15">
        <v>0.05</v>
      </c>
      <c r="L604" s="15">
        <v>8.99</v>
      </c>
      <c r="M604" s="15" t="s">
        <v>25</v>
      </c>
    </row>
    <row r="605" ht="15.75" customHeight="1">
      <c r="A605" s="15" t="s">
        <v>890</v>
      </c>
      <c r="B605" s="15" t="s">
        <v>2637</v>
      </c>
      <c r="C605" s="15">
        <v>2.0</v>
      </c>
      <c r="D605" s="15" t="s">
        <v>22</v>
      </c>
      <c r="E605" s="15">
        <v>0.59</v>
      </c>
      <c r="F605" s="15">
        <v>49.15</v>
      </c>
      <c r="G605" s="15">
        <v>30.36</v>
      </c>
      <c r="H605" s="15">
        <v>0.86</v>
      </c>
      <c r="I605" s="15">
        <v>0.67</v>
      </c>
      <c r="J605" s="15">
        <v>0.45</v>
      </c>
      <c r="K605" s="15">
        <v>0.06</v>
      </c>
      <c r="L605" s="15">
        <v>8.45</v>
      </c>
      <c r="M605" s="15" t="s">
        <v>25</v>
      </c>
    </row>
    <row r="606" ht="15.75" customHeight="1">
      <c r="A606" s="15" t="s">
        <v>364</v>
      </c>
      <c r="B606" s="15" t="s">
        <v>2640</v>
      </c>
      <c r="C606" s="15">
        <v>2.0</v>
      </c>
      <c r="D606" s="15" t="s">
        <v>22</v>
      </c>
      <c r="E606" s="15">
        <v>0.8</v>
      </c>
      <c r="F606" s="15">
        <v>49.15</v>
      </c>
      <c r="G606" s="15">
        <v>30.47</v>
      </c>
      <c r="H606" s="15">
        <v>0.9</v>
      </c>
      <c r="I606" s="15">
        <v>0.67</v>
      </c>
      <c r="J606" s="15">
        <v>0.36</v>
      </c>
      <c r="K606" s="15">
        <v>0.06</v>
      </c>
      <c r="L606" s="15">
        <v>9.0</v>
      </c>
      <c r="M606" s="15" t="s">
        <v>25</v>
      </c>
    </row>
    <row r="607" ht="15.75" customHeight="1">
      <c r="A607" s="15" t="s">
        <v>613</v>
      </c>
      <c r="B607" s="15" t="s">
        <v>2643</v>
      </c>
      <c r="C607" s="15">
        <v>2.0</v>
      </c>
      <c r="D607" s="15" t="s">
        <v>22</v>
      </c>
      <c r="E607" s="15">
        <v>0.81</v>
      </c>
      <c r="F607" s="15">
        <v>49.15</v>
      </c>
      <c r="G607" s="15">
        <v>29.33</v>
      </c>
      <c r="H607" s="15">
        <v>0.83</v>
      </c>
      <c r="I607" s="15">
        <v>0.72</v>
      </c>
      <c r="J607" s="15">
        <v>0.39</v>
      </c>
      <c r="K607" s="15">
        <v>0.05</v>
      </c>
      <c r="L607" s="15">
        <v>8.85</v>
      </c>
      <c r="M607" s="15" t="s">
        <v>25</v>
      </c>
    </row>
    <row r="608" ht="15.75" customHeight="1">
      <c r="A608" s="15" t="s">
        <v>994</v>
      </c>
      <c r="B608" s="15" t="s">
        <v>2648</v>
      </c>
      <c r="C608" s="15">
        <v>2.0</v>
      </c>
      <c r="D608" s="15" t="s">
        <v>22</v>
      </c>
      <c r="E608" s="15">
        <v>0.75</v>
      </c>
      <c r="F608" s="15">
        <v>49.14</v>
      </c>
      <c r="G608" s="15">
        <v>30.23</v>
      </c>
      <c r="H608" s="15">
        <v>0.89</v>
      </c>
      <c r="I608" s="15">
        <v>0.68</v>
      </c>
      <c r="J608" s="15">
        <v>0.49</v>
      </c>
      <c r="K608" s="15">
        <v>0.07</v>
      </c>
      <c r="L608" s="15">
        <v>8.15</v>
      </c>
      <c r="M608" s="15" t="s">
        <v>25</v>
      </c>
    </row>
    <row r="609" ht="15.75" customHeight="1">
      <c r="A609" s="15" t="s">
        <v>1072</v>
      </c>
      <c r="B609" s="15" t="s">
        <v>2651</v>
      </c>
      <c r="C609" s="15">
        <v>2.0</v>
      </c>
      <c r="D609" s="15" t="s">
        <v>22</v>
      </c>
      <c r="E609" s="15">
        <v>0.63</v>
      </c>
      <c r="F609" s="15">
        <v>49.14</v>
      </c>
      <c r="G609" s="15">
        <v>30.31</v>
      </c>
      <c r="H609" s="15">
        <v>0.9</v>
      </c>
      <c r="I609" s="15">
        <v>0.67</v>
      </c>
      <c r="J609" s="15">
        <v>0.55</v>
      </c>
      <c r="K609" s="15">
        <v>0.07</v>
      </c>
      <c r="L609" s="15">
        <v>7.96</v>
      </c>
      <c r="M609" s="15" t="s">
        <v>25</v>
      </c>
    </row>
    <row r="610" ht="15.75" customHeight="1">
      <c r="A610" s="15" t="s">
        <v>770</v>
      </c>
      <c r="B610" s="15" t="s">
        <v>2655</v>
      </c>
      <c r="C610" s="15">
        <v>2.0</v>
      </c>
      <c r="D610" s="15" t="s">
        <v>22</v>
      </c>
      <c r="E610" s="15">
        <v>0.8</v>
      </c>
      <c r="F610" s="15">
        <v>49.12</v>
      </c>
      <c r="G610" s="15">
        <v>30.08</v>
      </c>
      <c r="H610" s="15">
        <v>0.9</v>
      </c>
      <c r="I610" s="15">
        <v>0.68</v>
      </c>
      <c r="J610" s="15">
        <v>0.36</v>
      </c>
      <c r="K610" s="15">
        <v>0.05</v>
      </c>
      <c r="L610" s="15">
        <v>9.01</v>
      </c>
      <c r="M610" s="15" t="s">
        <v>25</v>
      </c>
    </row>
    <row r="611" ht="15.75" customHeight="1">
      <c r="A611" s="15" t="s">
        <v>421</v>
      </c>
      <c r="B611" s="15" t="s">
        <v>2659</v>
      </c>
      <c r="C611" s="15">
        <v>2.0</v>
      </c>
      <c r="D611" s="15" t="s">
        <v>22</v>
      </c>
      <c r="E611" s="15">
        <v>0.81</v>
      </c>
      <c r="F611" s="15">
        <v>49.1</v>
      </c>
      <c r="G611" s="15">
        <v>31.45</v>
      </c>
      <c r="H611" s="15">
        <v>0.9</v>
      </c>
      <c r="I611" s="15">
        <v>0.62</v>
      </c>
      <c r="J611" s="15">
        <v>0.38</v>
      </c>
      <c r="K611" s="15">
        <v>0.06</v>
      </c>
      <c r="L611" s="15">
        <v>9.03</v>
      </c>
      <c r="M611" s="15" t="s">
        <v>25</v>
      </c>
    </row>
    <row r="612" ht="15.75" customHeight="1">
      <c r="A612" s="15" t="s">
        <v>319</v>
      </c>
      <c r="B612" s="15" t="s">
        <v>2663</v>
      </c>
      <c r="C612" s="15">
        <v>2.0</v>
      </c>
      <c r="D612" s="15" t="s">
        <v>22</v>
      </c>
      <c r="E612" s="15">
        <v>0.81</v>
      </c>
      <c r="F612" s="15">
        <v>49.09</v>
      </c>
      <c r="G612" s="15">
        <v>31.07</v>
      </c>
      <c r="H612" s="15">
        <v>0.9</v>
      </c>
      <c r="I612" s="15">
        <v>0.64</v>
      </c>
      <c r="J612" s="15">
        <v>0.38</v>
      </c>
      <c r="K612" s="15">
        <v>0.06</v>
      </c>
      <c r="L612" s="15">
        <v>9.02</v>
      </c>
      <c r="M612" s="15" t="s">
        <v>25</v>
      </c>
    </row>
    <row r="613" ht="15.75" customHeight="1">
      <c r="A613" s="15" t="s">
        <v>123</v>
      </c>
      <c r="B613" s="15" t="s">
        <v>2666</v>
      </c>
      <c r="C613" s="15">
        <v>2.0</v>
      </c>
      <c r="D613" s="15" t="s">
        <v>22</v>
      </c>
      <c r="E613" s="15">
        <v>0.8</v>
      </c>
      <c r="F613" s="15">
        <v>49.09</v>
      </c>
      <c r="G613" s="15">
        <v>29.61</v>
      </c>
      <c r="H613" s="15">
        <v>0.83</v>
      </c>
      <c r="I613" s="15">
        <v>0.7</v>
      </c>
      <c r="J613" s="15">
        <v>0.38</v>
      </c>
      <c r="K613" s="15">
        <v>0.05</v>
      </c>
      <c r="L613" s="15">
        <v>8.88</v>
      </c>
      <c r="M613" s="15" t="s">
        <v>25</v>
      </c>
    </row>
    <row r="614" ht="15.75" customHeight="1">
      <c r="A614" s="15" t="s">
        <v>2669</v>
      </c>
      <c r="B614" s="15" t="s">
        <v>2670</v>
      </c>
      <c r="C614" s="15">
        <v>2.0</v>
      </c>
      <c r="D614" s="15" t="s">
        <v>22</v>
      </c>
      <c r="E614" s="15">
        <v>0.79</v>
      </c>
      <c r="F614" s="15">
        <v>49.09</v>
      </c>
      <c r="G614" s="15">
        <v>30.18</v>
      </c>
      <c r="H614" s="15">
        <v>0.9</v>
      </c>
      <c r="I614" s="15">
        <v>0.68</v>
      </c>
      <c r="J614" s="15">
        <v>0.38</v>
      </c>
      <c r="K614" s="15">
        <v>0.06</v>
      </c>
      <c r="L614" s="15">
        <v>8.86</v>
      </c>
      <c r="M614" s="15" t="s">
        <v>25</v>
      </c>
    </row>
    <row r="615" ht="15.75" customHeight="1">
      <c r="A615" s="15" t="s">
        <v>905</v>
      </c>
      <c r="B615" s="15" t="s">
        <v>2674</v>
      </c>
      <c r="C615" s="15">
        <v>2.0</v>
      </c>
      <c r="D615" s="15" t="s">
        <v>22</v>
      </c>
      <c r="E615" s="15">
        <v>0.82</v>
      </c>
      <c r="F615" s="15">
        <v>49.08</v>
      </c>
      <c r="G615" s="15">
        <v>30.21</v>
      </c>
      <c r="H615" s="15">
        <v>0.89</v>
      </c>
      <c r="I615" s="15">
        <v>0.68</v>
      </c>
      <c r="J615" s="15">
        <v>0.41</v>
      </c>
      <c r="K615" s="15">
        <v>0.06</v>
      </c>
      <c r="L615" s="15">
        <v>8.58</v>
      </c>
      <c r="M615" s="15" t="s">
        <v>25</v>
      </c>
    </row>
    <row r="616" ht="15.75" customHeight="1">
      <c r="A616" s="15" t="s">
        <v>1100</v>
      </c>
      <c r="B616" s="15" t="s">
        <v>2677</v>
      </c>
      <c r="C616" s="15">
        <v>2.0</v>
      </c>
      <c r="D616" s="15" t="s">
        <v>22</v>
      </c>
      <c r="E616" s="15">
        <v>0.82</v>
      </c>
      <c r="F616" s="15">
        <v>49.08</v>
      </c>
      <c r="G616" s="15">
        <v>30.05</v>
      </c>
      <c r="H616" s="15">
        <v>0.89</v>
      </c>
      <c r="I616" s="15">
        <v>0.68</v>
      </c>
      <c r="J616" s="15">
        <v>0.42</v>
      </c>
      <c r="K616" s="15">
        <v>0.06</v>
      </c>
      <c r="L616" s="15">
        <v>8.56</v>
      </c>
      <c r="M616" s="15" t="s">
        <v>25</v>
      </c>
    </row>
    <row r="617" ht="15.75" customHeight="1">
      <c r="A617" s="15" t="s">
        <v>1111</v>
      </c>
      <c r="B617" s="15" t="s">
        <v>2680</v>
      </c>
      <c r="C617" s="15">
        <v>2.0</v>
      </c>
      <c r="D617" s="15" t="s">
        <v>22</v>
      </c>
      <c r="E617" s="15">
        <v>0.81</v>
      </c>
      <c r="F617" s="15">
        <v>49.07</v>
      </c>
      <c r="G617" s="15">
        <v>30.6</v>
      </c>
      <c r="H617" s="15">
        <v>0.89</v>
      </c>
      <c r="I617" s="15">
        <v>0.66</v>
      </c>
      <c r="J617" s="15">
        <v>0.41</v>
      </c>
      <c r="K617" s="15">
        <v>0.06</v>
      </c>
      <c r="L617" s="15">
        <v>8.57</v>
      </c>
      <c r="M617" s="15" t="s">
        <v>25</v>
      </c>
    </row>
    <row r="618" ht="15.75" customHeight="1">
      <c r="A618" s="15" t="s">
        <v>567</v>
      </c>
      <c r="B618" s="15" t="s">
        <v>2683</v>
      </c>
      <c r="C618" s="15">
        <v>2.0</v>
      </c>
      <c r="D618" s="15" t="s">
        <v>22</v>
      </c>
      <c r="E618" s="15">
        <v>0.8</v>
      </c>
      <c r="F618" s="15">
        <v>49.05</v>
      </c>
      <c r="G618" s="15">
        <v>29.15</v>
      </c>
      <c r="H618" s="15">
        <v>0.83</v>
      </c>
      <c r="I618" s="15">
        <v>0.73</v>
      </c>
      <c r="J618" s="15">
        <v>0.39</v>
      </c>
      <c r="K618" s="15">
        <v>0.05</v>
      </c>
      <c r="L618" s="15">
        <v>8.87</v>
      </c>
      <c r="M618" s="15" t="s">
        <v>25</v>
      </c>
    </row>
    <row r="619" ht="15.75" customHeight="1">
      <c r="A619" s="15" t="s">
        <v>780</v>
      </c>
      <c r="B619" s="15" t="s">
        <v>2687</v>
      </c>
      <c r="C619" s="15">
        <v>2.0</v>
      </c>
      <c r="D619" s="15" t="s">
        <v>22</v>
      </c>
      <c r="E619" s="15">
        <v>0.8</v>
      </c>
      <c r="F619" s="15">
        <v>49.03</v>
      </c>
      <c r="G619" s="15">
        <v>30.28</v>
      </c>
      <c r="H619" s="15">
        <v>0.9</v>
      </c>
      <c r="I619" s="15">
        <v>0.67</v>
      </c>
      <c r="J619" s="15">
        <v>0.36</v>
      </c>
      <c r="K619" s="15">
        <v>0.06</v>
      </c>
      <c r="L619" s="15">
        <v>8.99</v>
      </c>
      <c r="M619" s="15" t="s">
        <v>25</v>
      </c>
    </row>
    <row r="620" ht="15.75" customHeight="1">
      <c r="A620" s="15" t="s">
        <v>685</v>
      </c>
      <c r="B620" s="15" t="s">
        <v>2690</v>
      </c>
      <c r="C620" s="15">
        <v>2.0</v>
      </c>
      <c r="D620" s="15" t="s">
        <v>22</v>
      </c>
      <c r="E620" s="15">
        <v>0.8</v>
      </c>
      <c r="F620" s="15">
        <v>49.02</v>
      </c>
      <c r="G620" s="15">
        <v>30.2</v>
      </c>
      <c r="H620" s="15">
        <v>0.9</v>
      </c>
      <c r="I620" s="15">
        <v>0.68</v>
      </c>
      <c r="J620" s="15">
        <v>0.36</v>
      </c>
      <c r="K620" s="15">
        <v>0.06</v>
      </c>
      <c r="L620" s="15">
        <v>9.0</v>
      </c>
      <c r="M620" s="15" t="s">
        <v>25</v>
      </c>
    </row>
    <row r="621" ht="15.75" customHeight="1">
      <c r="A621" s="15" t="s">
        <v>721</v>
      </c>
      <c r="B621" s="15" t="s">
        <v>2693</v>
      </c>
      <c r="C621" s="15">
        <v>2.0</v>
      </c>
      <c r="D621" s="15" t="s">
        <v>22</v>
      </c>
      <c r="E621" s="15">
        <v>0.64</v>
      </c>
      <c r="F621" s="15">
        <v>49.02</v>
      </c>
      <c r="G621" s="15">
        <v>29.63</v>
      </c>
      <c r="H621" s="15">
        <v>0.87</v>
      </c>
      <c r="I621" s="15">
        <v>0.7</v>
      </c>
      <c r="J621" s="15">
        <v>0.39</v>
      </c>
      <c r="K621" s="15">
        <v>0.06</v>
      </c>
      <c r="L621" s="15">
        <v>8.78</v>
      </c>
      <c r="M621" s="15" t="s">
        <v>25</v>
      </c>
    </row>
    <row r="622" ht="15.75" customHeight="1">
      <c r="A622" s="15" t="s">
        <v>458</v>
      </c>
      <c r="B622" s="15" t="s">
        <v>2697</v>
      </c>
      <c r="C622" s="15">
        <v>2.0</v>
      </c>
      <c r="D622" s="15" t="s">
        <v>22</v>
      </c>
      <c r="E622" s="15">
        <v>0.76</v>
      </c>
      <c r="F622" s="15">
        <v>49.01</v>
      </c>
      <c r="G622" s="15">
        <v>30.33</v>
      </c>
      <c r="H622" s="15">
        <v>0.9</v>
      </c>
      <c r="I622" s="15">
        <v>0.67</v>
      </c>
      <c r="J622" s="15">
        <v>0.42</v>
      </c>
      <c r="K622" s="15">
        <v>0.06</v>
      </c>
      <c r="L622" s="15">
        <v>8.59</v>
      </c>
      <c r="M622" s="15" t="s">
        <v>25</v>
      </c>
    </row>
    <row r="623" ht="15.75" customHeight="1">
      <c r="A623" s="15" t="s">
        <v>2699</v>
      </c>
      <c r="B623" s="15" t="s">
        <v>2701</v>
      </c>
      <c r="C623" s="15">
        <v>2.0</v>
      </c>
      <c r="D623" s="15" t="s">
        <v>22</v>
      </c>
      <c r="E623" s="15">
        <v>0.8</v>
      </c>
      <c r="F623" s="15">
        <v>48.99</v>
      </c>
      <c r="G623" s="15">
        <v>30.38</v>
      </c>
      <c r="H623" s="15">
        <v>0.9</v>
      </c>
      <c r="I623" s="15">
        <v>0.67</v>
      </c>
      <c r="J623" s="15">
        <v>0.36</v>
      </c>
      <c r="K623" s="15">
        <v>0.06</v>
      </c>
      <c r="L623" s="15">
        <v>9.02</v>
      </c>
      <c r="M623" s="15" t="s">
        <v>25</v>
      </c>
    </row>
    <row r="624" ht="15.75" customHeight="1">
      <c r="A624" s="15" t="s">
        <v>915</v>
      </c>
      <c r="B624" s="15" t="s">
        <v>2704</v>
      </c>
      <c r="C624" s="15">
        <v>2.0</v>
      </c>
      <c r="D624" s="15" t="s">
        <v>22</v>
      </c>
      <c r="E624" s="15">
        <v>0.78</v>
      </c>
      <c r="F624" s="15">
        <v>48.98</v>
      </c>
      <c r="G624" s="15">
        <v>30.68</v>
      </c>
      <c r="H624" s="15">
        <v>0.9</v>
      </c>
      <c r="I624" s="15">
        <v>0.65</v>
      </c>
      <c r="J624" s="15">
        <v>0.46</v>
      </c>
      <c r="K624" s="15">
        <v>0.07</v>
      </c>
      <c r="L624" s="15">
        <v>8.57</v>
      </c>
      <c r="M624" s="15" t="s">
        <v>25</v>
      </c>
    </row>
    <row r="625" ht="15.75" customHeight="1">
      <c r="A625" s="15" t="s">
        <v>739</v>
      </c>
      <c r="B625" s="15" t="s">
        <v>2707</v>
      </c>
      <c r="C625" s="15">
        <v>2.0</v>
      </c>
      <c r="D625" s="15" t="s">
        <v>22</v>
      </c>
      <c r="E625" s="15">
        <v>0.8</v>
      </c>
      <c r="F625" s="15">
        <v>48.96</v>
      </c>
      <c r="G625" s="15">
        <v>30.44</v>
      </c>
      <c r="H625" s="15">
        <v>0.9</v>
      </c>
      <c r="I625" s="15">
        <v>0.66</v>
      </c>
      <c r="J625" s="15">
        <v>0.36</v>
      </c>
      <c r="K625" s="15">
        <v>0.05</v>
      </c>
      <c r="L625" s="15">
        <v>9.02</v>
      </c>
      <c r="M625" s="15" t="s">
        <v>25</v>
      </c>
    </row>
    <row r="626" ht="15.75" customHeight="1">
      <c r="A626" s="15" t="s">
        <v>1886</v>
      </c>
      <c r="B626" s="15" t="s">
        <v>2711</v>
      </c>
      <c r="C626" s="15">
        <v>2.0</v>
      </c>
      <c r="D626" s="15" t="s">
        <v>22</v>
      </c>
      <c r="E626" s="15">
        <v>0.81</v>
      </c>
      <c r="F626" s="15">
        <v>48.96</v>
      </c>
      <c r="G626" s="15">
        <v>29.97</v>
      </c>
      <c r="H626" s="15">
        <v>0.89</v>
      </c>
      <c r="I626" s="15">
        <v>0.69</v>
      </c>
      <c r="J626" s="15">
        <v>0.42</v>
      </c>
      <c r="K626" s="15">
        <v>0.07</v>
      </c>
      <c r="L626" s="15">
        <v>8.55</v>
      </c>
      <c r="M626" s="15" t="s">
        <v>25</v>
      </c>
    </row>
    <row r="627" ht="15.75" customHeight="1">
      <c r="A627" s="15" t="s">
        <v>452</v>
      </c>
      <c r="B627" s="15" t="s">
        <v>2716</v>
      </c>
      <c r="C627" s="15">
        <v>2.0</v>
      </c>
      <c r="D627" s="15" t="s">
        <v>22</v>
      </c>
      <c r="E627" s="15">
        <v>0.79</v>
      </c>
      <c r="F627" s="15">
        <v>48.95</v>
      </c>
      <c r="G627" s="15">
        <v>29.91</v>
      </c>
      <c r="H627" s="15">
        <v>0.9</v>
      </c>
      <c r="I627" s="15">
        <v>0.69</v>
      </c>
      <c r="J627" s="15">
        <v>0.36</v>
      </c>
      <c r="K627" s="15">
        <v>0.06</v>
      </c>
      <c r="L627" s="15">
        <v>9.0</v>
      </c>
      <c r="M627" s="15" t="s">
        <v>25</v>
      </c>
    </row>
    <row r="628" ht="15.75" customHeight="1">
      <c r="A628" s="15" t="s">
        <v>1725</v>
      </c>
      <c r="B628" s="15" t="s">
        <v>2720</v>
      </c>
      <c r="C628" s="15">
        <v>2.0</v>
      </c>
      <c r="D628" s="15" t="s">
        <v>22</v>
      </c>
      <c r="E628" s="15">
        <v>0.82</v>
      </c>
      <c r="F628" s="15">
        <v>48.95</v>
      </c>
      <c r="G628" s="15">
        <v>29.82</v>
      </c>
      <c r="H628" s="15">
        <v>0.89</v>
      </c>
      <c r="I628" s="15">
        <v>0.69</v>
      </c>
      <c r="J628" s="15">
        <v>0.42</v>
      </c>
      <c r="K628" s="15">
        <v>0.06</v>
      </c>
      <c r="L628" s="15">
        <v>8.56</v>
      </c>
      <c r="M628" s="15" t="s">
        <v>25</v>
      </c>
    </row>
    <row r="629" ht="15.75" customHeight="1">
      <c r="A629" s="15" t="s">
        <v>956</v>
      </c>
      <c r="B629" s="15" t="s">
        <v>2725</v>
      </c>
      <c r="C629" s="15">
        <v>2.0</v>
      </c>
      <c r="D629" s="15" t="s">
        <v>22</v>
      </c>
      <c r="E629" s="15">
        <v>0.8</v>
      </c>
      <c r="F629" s="15">
        <v>48.94</v>
      </c>
      <c r="G629" s="15">
        <v>30.06</v>
      </c>
      <c r="H629" s="15">
        <v>0.9</v>
      </c>
      <c r="I629" s="15">
        <v>0.68</v>
      </c>
      <c r="J629" s="15">
        <v>0.42</v>
      </c>
      <c r="K629" s="15">
        <v>0.06</v>
      </c>
      <c r="L629" s="15">
        <v>8.74</v>
      </c>
      <c r="M629" s="15" t="s">
        <v>25</v>
      </c>
    </row>
    <row r="630" ht="15.75" customHeight="1">
      <c r="A630" s="15" t="s">
        <v>259</v>
      </c>
      <c r="B630" s="15" t="s">
        <v>2729</v>
      </c>
      <c r="C630" s="15">
        <v>2.0</v>
      </c>
      <c r="D630" s="15" t="s">
        <v>22</v>
      </c>
      <c r="E630" s="15">
        <v>0.71</v>
      </c>
      <c r="F630" s="15">
        <v>48.91</v>
      </c>
      <c r="G630" s="15">
        <v>29.84</v>
      </c>
      <c r="H630" s="15">
        <v>0.89</v>
      </c>
      <c r="I630" s="15">
        <v>0.69</v>
      </c>
      <c r="J630" s="15">
        <v>0.31</v>
      </c>
      <c r="K630" s="15">
        <v>0.05</v>
      </c>
      <c r="L630" s="15">
        <v>9.25</v>
      </c>
      <c r="M630" s="15" t="s">
        <v>25</v>
      </c>
    </row>
    <row r="631" ht="15.75" customHeight="1">
      <c r="A631" s="15" t="s">
        <v>2732</v>
      </c>
      <c r="B631" s="15" t="s">
        <v>2735</v>
      </c>
      <c r="C631" s="15">
        <v>2.0</v>
      </c>
      <c r="D631" s="15" t="s">
        <v>22</v>
      </c>
      <c r="E631" s="15">
        <v>0.79</v>
      </c>
      <c r="F631" s="15">
        <v>48.91</v>
      </c>
      <c r="G631" s="15">
        <v>30.42</v>
      </c>
      <c r="H631" s="15">
        <v>0.9</v>
      </c>
      <c r="I631" s="15">
        <v>0.66</v>
      </c>
      <c r="J631" s="15">
        <v>0.42</v>
      </c>
      <c r="K631" s="15">
        <v>0.07</v>
      </c>
      <c r="L631" s="15">
        <v>8.67</v>
      </c>
      <c r="M631" s="15" t="s">
        <v>25</v>
      </c>
    </row>
    <row r="632" ht="15.75" customHeight="1">
      <c r="A632" s="15" t="s">
        <v>2738</v>
      </c>
      <c r="B632" s="15" t="s">
        <v>2739</v>
      </c>
      <c r="C632" s="15">
        <v>2.0</v>
      </c>
      <c r="D632" s="15" t="s">
        <v>22</v>
      </c>
      <c r="E632" s="15">
        <v>0.8</v>
      </c>
      <c r="F632" s="15">
        <v>48.9</v>
      </c>
      <c r="G632" s="15">
        <v>30.16</v>
      </c>
      <c r="H632" s="15">
        <v>0.9</v>
      </c>
      <c r="I632" s="15">
        <v>0.68</v>
      </c>
      <c r="J632" s="15">
        <v>0.36</v>
      </c>
      <c r="K632" s="15">
        <v>0.06</v>
      </c>
      <c r="L632" s="15">
        <v>8.99</v>
      </c>
      <c r="M632" s="15" t="s">
        <v>25</v>
      </c>
    </row>
    <row r="633" ht="15.75" customHeight="1">
      <c r="A633" s="15" t="s">
        <v>368</v>
      </c>
      <c r="B633" s="15" t="s">
        <v>2743</v>
      </c>
      <c r="C633" s="15">
        <v>2.0</v>
      </c>
      <c r="D633" s="15" t="s">
        <v>22</v>
      </c>
      <c r="E633" s="15">
        <v>0.56</v>
      </c>
      <c r="F633" s="15">
        <v>48.9</v>
      </c>
      <c r="G633" s="15">
        <v>31.55</v>
      </c>
      <c r="H633" s="15">
        <v>0.9</v>
      </c>
      <c r="I633" s="15">
        <v>0.62</v>
      </c>
      <c r="J633" s="15">
        <v>0.41</v>
      </c>
      <c r="K633" s="15">
        <v>0.05</v>
      </c>
      <c r="L633" s="15">
        <v>8.82</v>
      </c>
      <c r="M633" s="15" t="s">
        <v>25</v>
      </c>
    </row>
    <row r="634" ht="15.75" customHeight="1">
      <c r="A634" s="15" t="s">
        <v>2746</v>
      </c>
      <c r="B634" s="15" t="s">
        <v>2748</v>
      </c>
      <c r="C634" s="15">
        <v>2.0</v>
      </c>
      <c r="D634" s="15" t="s">
        <v>22</v>
      </c>
      <c r="E634" s="15">
        <v>0.81</v>
      </c>
      <c r="F634" s="15">
        <v>48.89</v>
      </c>
      <c r="G634" s="15">
        <v>30.29</v>
      </c>
      <c r="H634" s="15">
        <v>0.9</v>
      </c>
      <c r="I634" s="15">
        <v>0.67</v>
      </c>
      <c r="J634" s="15">
        <v>0.37</v>
      </c>
      <c r="K634" s="15">
        <v>0.05</v>
      </c>
      <c r="L634" s="15">
        <v>9.03</v>
      </c>
      <c r="M634" s="15" t="s">
        <v>25</v>
      </c>
    </row>
    <row r="635" ht="15.75" customHeight="1">
      <c r="A635" s="15" t="s">
        <v>239</v>
      </c>
      <c r="B635" s="15" t="s">
        <v>2751</v>
      </c>
      <c r="C635" s="15">
        <v>2.0</v>
      </c>
      <c r="D635" s="15" t="s">
        <v>22</v>
      </c>
      <c r="E635" s="15">
        <v>0.72</v>
      </c>
      <c r="F635" s="15">
        <v>48.89</v>
      </c>
      <c r="G635" s="15">
        <v>29.79</v>
      </c>
      <c r="H635" s="15">
        <v>0.89</v>
      </c>
      <c r="I635" s="15">
        <v>0.69</v>
      </c>
      <c r="J635" s="15">
        <v>0.31</v>
      </c>
      <c r="K635" s="15">
        <v>0.05</v>
      </c>
      <c r="L635" s="15">
        <v>9.25</v>
      </c>
      <c r="M635" s="15" t="s">
        <v>25</v>
      </c>
    </row>
    <row r="636" ht="15.75" customHeight="1">
      <c r="A636" s="15" t="s">
        <v>2756</v>
      </c>
      <c r="B636" s="15" t="s">
        <v>2758</v>
      </c>
      <c r="C636" s="15">
        <v>2.0</v>
      </c>
      <c r="D636" s="15" t="s">
        <v>22</v>
      </c>
      <c r="E636" s="15">
        <v>0.8</v>
      </c>
      <c r="F636" s="15">
        <v>48.89</v>
      </c>
      <c r="G636" s="15">
        <v>29.81</v>
      </c>
      <c r="H636" s="15">
        <v>0.9</v>
      </c>
      <c r="I636" s="15">
        <v>0.69</v>
      </c>
      <c r="J636" s="15">
        <v>0.42</v>
      </c>
      <c r="K636" s="15">
        <v>0.06</v>
      </c>
      <c r="L636" s="15">
        <v>8.72</v>
      </c>
      <c r="M636" s="15" t="s">
        <v>25</v>
      </c>
    </row>
    <row r="637" ht="15.75" customHeight="1">
      <c r="A637" s="15" t="s">
        <v>726</v>
      </c>
      <c r="B637" s="15" t="s">
        <v>2761</v>
      </c>
      <c r="C637" s="15">
        <v>2.0</v>
      </c>
      <c r="D637" s="15" t="s">
        <v>22</v>
      </c>
      <c r="E637" s="15">
        <v>0.79</v>
      </c>
      <c r="F637" s="15">
        <v>48.89</v>
      </c>
      <c r="G637" s="15">
        <v>30.19</v>
      </c>
      <c r="H637" s="15">
        <v>0.9</v>
      </c>
      <c r="I637" s="15">
        <v>0.67</v>
      </c>
      <c r="J637" s="15">
        <v>0.36</v>
      </c>
      <c r="K637" s="15">
        <v>0.06</v>
      </c>
      <c r="L637" s="15">
        <v>9.0</v>
      </c>
      <c r="M637" s="15" t="s">
        <v>25</v>
      </c>
    </row>
    <row r="638" ht="15.75" customHeight="1">
      <c r="A638" s="15" t="s">
        <v>2764</v>
      </c>
      <c r="B638" s="15" t="s">
        <v>2765</v>
      </c>
      <c r="C638" s="15">
        <v>2.0</v>
      </c>
      <c r="D638" s="15" t="s">
        <v>22</v>
      </c>
      <c r="E638" s="15">
        <v>0.8</v>
      </c>
      <c r="F638" s="15">
        <v>48.87</v>
      </c>
      <c r="G638" s="15">
        <v>31.75</v>
      </c>
      <c r="H638" s="15">
        <v>0.9</v>
      </c>
      <c r="I638" s="15">
        <v>0.61</v>
      </c>
      <c r="J638" s="15">
        <v>0.38</v>
      </c>
      <c r="K638" s="15">
        <v>0.05</v>
      </c>
      <c r="L638" s="15">
        <v>9.02</v>
      </c>
      <c r="M638" s="15" t="s">
        <v>25</v>
      </c>
    </row>
    <row r="639" ht="15.75" customHeight="1">
      <c r="A639" s="15" t="s">
        <v>2770</v>
      </c>
      <c r="B639" s="15" t="s">
        <v>2772</v>
      </c>
      <c r="C639" s="15">
        <v>2.0</v>
      </c>
      <c r="D639" s="15" t="s">
        <v>22</v>
      </c>
      <c r="E639" s="15">
        <v>0.8</v>
      </c>
      <c r="F639" s="15">
        <v>48.87</v>
      </c>
      <c r="G639" s="15">
        <v>30.11</v>
      </c>
      <c r="H639" s="15">
        <v>0.9</v>
      </c>
      <c r="I639" s="15">
        <v>0.68</v>
      </c>
      <c r="J639" s="15">
        <v>0.36</v>
      </c>
      <c r="K639" s="15">
        <v>0.06</v>
      </c>
      <c r="L639" s="15">
        <v>9.0</v>
      </c>
      <c r="M639" s="15" t="s">
        <v>25</v>
      </c>
    </row>
    <row r="640" ht="15.75" customHeight="1">
      <c r="A640" s="15" t="s">
        <v>671</v>
      </c>
      <c r="B640" s="15" t="s">
        <v>2775</v>
      </c>
      <c r="C640" s="15">
        <v>2.0</v>
      </c>
      <c r="D640" s="15" t="s">
        <v>22</v>
      </c>
      <c r="E640" s="15">
        <v>0.67</v>
      </c>
      <c r="F640" s="15">
        <v>48.87</v>
      </c>
      <c r="G640" s="15">
        <v>29.83</v>
      </c>
      <c r="H640" s="15">
        <v>0.88</v>
      </c>
      <c r="I640" s="15">
        <v>0.69</v>
      </c>
      <c r="J640" s="15">
        <v>0.36</v>
      </c>
      <c r="K640" s="15">
        <v>0.05</v>
      </c>
      <c r="L640" s="15">
        <v>8.97</v>
      </c>
      <c r="M640" s="15" t="s">
        <v>25</v>
      </c>
    </row>
    <row r="641" ht="15.75" customHeight="1">
      <c r="A641" s="15" t="s">
        <v>936</v>
      </c>
      <c r="B641" s="15" t="s">
        <v>2779</v>
      </c>
      <c r="C641" s="15">
        <v>2.0</v>
      </c>
      <c r="D641" s="15" t="s">
        <v>22</v>
      </c>
      <c r="E641" s="15">
        <v>0.82</v>
      </c>
      <c r="F641" s="15">
        <v>48.86</v>
      </c>
      <c r="G641" s="15">
        <v>29.93</v>
      </c>
      <c r="H641" s="15">
        <v>0.89</v>
      </c>
      <c r="I641" s="15">
        <v>0.69</v>
      </c>
      <c r="J641" s="15">
        <v>0.42</v>
      </c>
      <c r="K641" s="15">
        <v>0.07</v>
      </c>
      <c r="L641" s="15">
        <v>8.56</v>
      </c>
      <c r="M641" s="15" t="s">
        <v>25</v>
      </c>
    </row>
    <row r="642" ht="15.75" customHeight="1">
      <c r="A642" s="15" t="s">
        <v>150</v>
      </c>
      <c r="B642" s="15" t="s">
        <v>2782</v>
      </c>
      <c r="C642" s="15">
        <v>2.0</v>
      </c>
      <c r="D642" s="15" t="s">
        <v>22</v>
      </c>
      <c r="E642" s="15">
        <v>0.72</v>
      </c>
      <c r="F642" s="15">
        <v>48.86</v>
      </c>
      <c r="G642" s="15">
        <v>29.84</v>
      </c>
      <c r="H642" s="15">
        <v>0.89</v>
      </c>
      <c r="I642" s="15">
        <v>0.69</v>
      </c>
      <c r="J642" s="15">
        <v>0.31</v>
      </c>
      <c r="K642" s="15">
        <v>0.05</v>
      </c>
      <c r="L642" s="15">
        <v>9.25</v>
      </c>
      <c r="M642" s="15" t="s">
        <v>25</v>
      </c>
    </row>
    <row r="643" ht="15.75" customHeight="1">
      <c r="A643" s="15" t="s">
        <v>312</v>
      </c>
      <c r="B643" s="15" t="s">
        <v>2786</v>
      </c>
      <c r="C643" s="15">
        <v>2.0</v>
      </c>
      <c r="D643" s="15" t="s">
        <v>22</v>
      </c>
      <c r="E643" s="15">
        <v>0.79</v>
      </c>
      <c r="F643" s="15">
        <v>48.86</v>
      </c>
      <c r="G643" s="15">
        <v>30.25</v>
      </c>
      <c r="H643" s="15">
        <v>0.9</v>
      </c>
      <c r="I643" s="15">
        <v>0.67</v>
      </c>
      <c r="J643" s="15">
        <v>0.4</v>
      </c>
      <c r="K643" s="15">
        <v>0.06</v>
      </c>
      <c r="L643" s="15">
        <v>8.75</v>
      </c>
      <c r="M643" s="15" t="s">
        <v>25</v>
      </c>
    </row>
    <row r="644" ht="15.75" customHeight="1">
      <c r="A644" s="15" t="s">
        <v>2259</v>
      </c>
      <c r="B644" s="15" t="s">
        <v>2789</v>
      </c>
      <c r="C644" s="15">
        <v>2.0</v>
      </c>
      <c r="D644" s="15" t="s">
        <v>22</v>
      </c>
      <c r="E644" s="15">
        <v>0.56</v>
      </c>
      <c r="F644" s="15">
        <v>48.85</v>
      </c>
      <c r="G644" s="15">
        <v>29.66</v>
      </c>
      <c r="H644" s="15">
        <v>0.88</v>
      </c>
      <c r="I644" s="15">
        <v>0.7</v>
      </c>
      <c r="J644" s="15">
        <v>0.38</v>
      </c>
      <c r="K644" s="15">
        <v>0.05</v>
      </c>
      <c r="L644" s="15">
        <v>8.86</v>
      </c>
      <c r="M644" s="15" t="s">
        <v>25</v>
      </c>
    </row>
    <row r="645" ht="15.75" customHeight="1">
      <c r="A645" s="15" t="s">
        <v>249</v>
      </c>
      <c r="B645" s="15" t="s">
        <v>2792</v>
      </c>
      <c r="C645" s="15">
        <v>2.0</v>
      </c>
      <c r="D645" s="15" t="s">
        <v>22</v>
      </c>
      <c r="E645" s="15">
        <v>0.62</v>
      </c>
      <c r="F645" s="15">
        <v>48.85</v>
      </c>
      <c r="G645" s="15">
        <v>29.66</v>
      </c>
      <c r="H645" s="15">
        <v>0.88</v>
      </c>
      <c r="I645" s="15">
        <v>0.7</v>
      </c>
      <c r="J645" s="15">
        <v>0.39</v>
      </c>
      <c r="K645" s="15">
        <v>0.06</v>
      </c>
      <c r="L645" s="15">
        <v>8.56</v>
      </c>
      <c r="M645" s="15" t="s">
        <v>25</v>
      </c>
    </row>
    <row r="646" ht="15.75" customHeight="1">
      <c r="A646" s="15" t="s">
        <v>1123</v>
      </c>
      <c r="B646" s="15" t="s">
        <v>2795</v>
      </c>
      <c r="C646" s="15">
        <v>2.0</v>
      </c>
      <c r="D646" s="15" t="s">
        <v>22</v>
      </c>
      <c r="E646" s="15">
        <v>0.63</v>
      </c>
      <c r="F646" s="15">
        <v>48.85</v>
      </c>
      <c r="G646" s="15">
        <v>29.66</v>
      </c>
      <c r="H646" s="15">
        <v>0.88</v>
      </c>
      <c r="I646" s="15">
        <v>0.7</v>
      </c>
      <c r="J646" s="15">
        <v>0.34</v>
      </c>
      <c r="K646" s="15">
        <v>0.05</v>
      </c>
      <c r="L646" s="15">
        <v>9.03</v>
      </c>
      <c r="M646" s="15" t="s">
        <v>25</v>
      </c>
    </row>
    <row r="647" ht="15.75" customHeight="1">
      <c r="A647" s="15" t="s">
        <v>1089</v>
      </c>
      <c r="B647" s="15" t="s">
        <v>2798</v>
      </c>
      <c r="C647" s="15">
        <v>2.0</v>
      </c>
      <c r="D647" s="15" t="s">
        <v>22</v>
      </c>
      <c r="E647" s="15">
        <v>0.55</v>
      </c>
      <c r="F647" s="15">
        <v>48.83</v>
      </c>
      <c r="G647" s="15">
        <v>36.38</v>
      </c>
      <c r="H647" s="15">
        <v>0.87</v>
      </c>
      <c r="I647" s="15">
        <v>0.46</v>
      </c>
      <c r="J647" s="15">
        <v>0.42</v>
      </c>
      <c r="K647" s="15">
        <v>0.06</v>
      </c>
      <c r="L647" s="15">
        <v>8.85</v>
      </c>
      <c r="M647" s="15" t="s">
        <v>25</v>
      </c>
    </row>
    <row r="648" ht="15.75" customHeight="1">
      <c r="A648" s="15" t="s">
        <v>982</v>
      </c>
      <c r="B648" s="15" t="s">
        <v>2801</v>
      </c>
      <c r="C648" s="15">
        <v>2.0</v>
      </c>
      <c r="D648" s="15" t="s">
        <v>22</v>
      </c>
      <c r="E648" s="15">
        <v>0.82</v>
      </c>
      <c r="F648" s="15">
        <v>48.83</v>
      </c>
      <c r="G648" s="15">
        <v>30.68</v>
      </c>
      <c r="H648" s="15">
        <v>0.9</v>
      </c>
      <c r="I648" s="15">
        <v>0.65</v>
      </c>
      <c r="J648" s="15">
        <v>0.41</v>
      </c>
      <c r="K648" s="15">
        <v>0.06</v>
      </c>
      <c r="L648" s="15">
        <v>8.59</v>
      </c>
      <c r="M648" s="15" t="s">
        <v>25</v>
      </c>
    </row>
    <row r="649" ht="15.75" customHeight="1">
      <c r="A649" s="15" t="s">
        <v>1152</v>
      </c>
      <c r="B649" s="15" t="s">
        <v>2804</v>
      </c>
      <c r="C649" s="15">
        <v>2.0</v>
      </c>
      <c r="D649" s="15" t="s">
        <v>22</v>
      </c>
      <c r="E649" s="15">
        <v>0.64</v>
      </c>
      <c r="F649" s="15">
        <v>48.83</v>
      </c>
      <c r="G649" s="15">
        <v>30.23</v>
      </c>
      <c r="H649" s="15">
        <v>0.88</v>
      </c>
      <c r="I649" s="15">
        <v>0.67</v>
      </c>
      <c r="J649" s="15">
        <v>0.34</v>
      </c>
      <c r="K649" s="15">
        <v>0.05</v>
      </c>
      <c r="L649" s="15">
        <v>9.04</v>
      </c>
      <c r="M649" s="15" t="s">
        <v>25</v>
      </c>
    </row>
    <row r="650" ht="15.75" customHeight="1">
      <c r="A650" s="15" t="s">
        <v>651</v>
      </c>
      <c r="B650" s="15" t="s">
        <v>2807</v>
      </c>
      <c r="C650" s="15">
        <v>2.0</v>
      </c>
      <c r="D650" s="15" t="s">
        <v>22</v>
      </c>
      <c r="E650" s="15">
        <v>0.73</v>
      </c>
      <c r="F650" s="15">
        <v>48.83</v>
      </c>
      <c r="G650" s="15">
        <v>29.72</v>
      </c>
      <c r="H650" s="15">
        <v>0.89</v>
      </c>
      <c r="I650" s="15">
        <v>0.69</v>
      </c>
      <c r="J650" s="15">
        <v>0.31</v>
      </c>
      <c r="K650" s="15">
        <v>0.05</v>
      </c>
      <c r="L650" s="15">
        <v>9.27</v>
      </c>
      <c r="M650" s="15" t="s">
        <v>25</v>
      </c>
    </row>
    <row r="651" ht="15.75" customHeight="1">
      <c r="A651" s="15" t="s">
        <v>1291</v>
      </c>
      <c r="B651" s="15" t="s">
        <v>2810</v>
      </c>
      <c r="C651" s="15">
        <v>2.0</v>
      </c>
      <c r="D651" s="15" t="s">
        <v>22</v>
      </c>
      <c r="E651" s="15">
        <v>0.81</v>
      </c>
      <c r="F651" s="15">
        <v>48.82</v>
      </c>
      <c r="G651" s="15">
        <v>30.19</v>
      </c>
      <c r="H651" s="15">
        <v>0.89</v>
      </c>
      <c r="I651" s="15">
        <v>0.67</v>
      </c>
      <c r="J651" s="15">
        <v>0.41</v>
      </c>
      <c r="K651" s="15">
        <v>0.07</v>
      </c>
      <c r="L651" s="15">
        <v>8.58</v>
      </c>
      <c r="M651" s="15" t="s">
        <v>25</v>
      </c>
    </row>
    <row r="652" ht="15.75" customHeight="1">
      <c r="A652" s="15" t="s">
        <v>1057</v>
      </c>
      <c r="B652" s="15" t="s">
        <v>2812</v>
      </c>
      <c r="C652" s="15">
        <v>2.0</v>
      </c>
      <c r="D652" s="15" t="s">
        <v>22</v>
      </c>
      <c r="E652" s="15">
        <v>0.8</v>
      </c>
      <c r="F652" s="15">
        <v>48.82</v>
      </c>
      <c r="G652" s="15">
        <v>30.15</v>
      </c>
      <c r="H652" s="15">
        <v>0.9</v>
      </c>
      <c r="I652" s="15">
        <v>0.67</v>
      </c>
      <c r="J652" s="15">
        <v>0.42</v>
      </c>
      <c r="K652" s="15">
        <v>0.06</v>
      </c>
      <c r="L652" s="15">
        <v>8.73</v>
      </c>
      <c r="M652" s="15" t="s">
        <v>25</v>
      </c>
    </row>
    <row r="653" ht="15.75" customHeight="1">
      <c r="A653" s="15" t="s">
        <v>118</v>
      </c>
      <c r="B653" s="15" t="s">
        <v>2815</v>
      </c>
      <c r="C653" s="15">
        <v>2.0</v>
      </c>
      <c r="D653" s="15" t="s">
        <v>22</v>
      </c>
      <c r="E653" s="15">
        <v>0.81</v>
      </c>
      <c r="F653" s="15">
        <v>48.82</v>
      </c>
      <c r="G653" s="15">
        <v>29.5</v>
      </c>
      <c r="H653" s="15">
        <v>0.85</v>
      </c>
      <c r="I653" s="15">
        <v>0.7</v>
      </c>
      <c r="J653" s="15">
        <v>0.49</v>
      </c>
      <c r="K653" s="15">
        <v>0.07</v>
      </c>
      <c r="L653" s="15">
        <v>8.22</v>
      </c>
      <c r="M653" s="15" t="s">
        <v>25</v>
      </c>
    </row>
    <row r="654" ht="15.75" customHeight="1">
      <c r="A654" s="15" t="s">
        <v>1051</v>
      </c>
      <c r="B654" s="15" t="s">
        <v>2818</v>
      </c>
      <c r="C654" s="15">
        <v>2.0</v>
      </c>
      <c r="D654" s="15" t="s">
        <v>22</v>
      </c>
      <c r="E654" s="15">
        <v>0.81</v>
      </c>
      <c r="F654" s="15">
        <v>48.81</v>
      </c>
      <c r="G654" s="15">
        <v>30.19</v>
      </c>
      <c r="H654" s="15">
        <v>0.9</v>
      </c>
      <c r="I654" s="15">
        <v>0.67</v>
      </c>
      <c r="J654" s="15">
        <v>0.42</v>
      </c>
      <c r="K654" s="15">
        <v>0.06</v>
      </c>
      <c r="L654" s="15">
        <v>8.76</v>
      </c>
      <c r="M654" s="15" t="s">
        <v>25</v>
      </c>
    </row>
    <row r="655" ht="15.75" customHeight="1">
      <c r="A655" s="15" t="s">
        <v>273</v>
      </c>
      <c r="B655" s="15" t="s">
        <v>2821</v>
      </c>
      <c r="C655" s="15">
        <v>2.0</v>
      </c>
      <c r="D655" s="15" t="s">
        <v>22</v>
      </c>
      <c r="E655" s="15">
        <v>0.71</v>
      </c>
      <c r="F655" s="15">
        <v>48.81</v>
      </c>
      <c r="G655" s="15">
        <v>29.65</v>
      </c>
      <c r="H655" s="15">
        <v>0.89</v>
      </c>
      <c r="I655" s="15">
        <v>0.7</v>
      </c>
      <c r="J655" s="15">
        <v>0.31</v>
      </c>
      <c r="K655" s="15">
        <v>0.05</v>
      </c>
      <c r="L655" s="15">
        <v>9.26</v>
      </c>
      <c r="M655" s="15" t="s">
        <v>25</v>
      </c>
    </row>
    <row r="656" ht="15.75" customHeight="1">
      <c r="A656" s="15" t="s">
        <v>1137</v>
      </c>
      <c r="B656" s="15" t="s">
        <v>2824</v>
      </c>
      <c r="C656" s="15">
        <v>2.0</v>
      </c>
      <c r="D656" s="15" t="s">
        <v>22</v>
      </c>
      <c r="E656" s="15">
        <v>0.81</v>
      </c>
      <c r="F656" s="15">
        <v>48.81</v>
      </c>
      <c r="G656" s="15">
        <v>29.99</v>
      </c>
      <c r="H656" s="15">
        <v>0.89</v>
      </c>
      <c r="I656" s="15">
        <v>0.68</v>
      </c>
      <c r="J656" s="15">
        <v>0.42</v>
      </c>
      <c r="K656" s="15">
        <v>0.07</v>
      </c>
      <c r="L656" s="15">
        <v>8.56</v>
      </c>
      <c r="M656" s="15" t="s">
        <v>25</v>
      </c>
    </row>
    <row r="657" ht="15.75" customHeight="1">
      <c r="A657" s="15" t="s">
        <v>956</v>
      </c>
      <c r="B657" s="15" t="s">
        <v>2827</v>
      </c>
      <c r="C657" s="15">
        <v>2.0</v>
      </c>
      <c r="D657" s="15" t="s">
        <v>22</v>
      </c>
      <c r="E657" s="15">
        <v>0.82</v>
      </c>
      <c r="F657" s="15">
        <v>48.81</v>
      </c>
      <c r="G657" s="15">
        <v>30.15</v>
      </c>
      <c r="H657" s="15">
        <v>0.9</v>
      </c>
      <c r="I657" s="15">
        <v>0.67</v>
      </c>
      <c r="J657" s="15">
        <v>0.42</v>
      </c>
      <c r="K657" s="15">
        <v>0.07</v>
      </c>
      <c r="L657" s="15">
        <v>8.55</v>
      </c>
      <c r="M657" s="15" t="s">
        <v>25</v>
      </c>
    </row>
    <row r="658" ht="15.75" customHeight="1">
      <c r="A658" s="15" t="s">
        <v>1153</v>
      </c>
      <c r="B658" s="15" t="s">
        <v>2830</v>
      </c>
      <c r="C658" s="15">
        <v>2.0</v>
      </c>
      <c r="D658" s="15" t="s">
        <v>22</v>
      </c>
      <c r="E658" s="15">
        <v>0.8</v>
      </c>
      <c r="F658" s="15">
        <v>48.81</v>
      </c>
      <c r="G658" s="15">
        <v>30.01</v>
      </c>
      <c r="H658" s="15">
        <v>0.9</v>
      </c>
      <c r="I658" s="15">
        <v>0.68</v>
      </c>
      <c r="J658" s="15">
        <v>0.38</v>
      </c>
      <c r="K658" s="15">
        <v>0.05</v>
      </c>
      <c r="L658" s="15">
        <v>8.99</v>
      </c>
      <c r="M658" s="15" t="s">
        <v>25</v>
      </c>
    </row>
    <row r="659" ht="15.75" customHeight="1">
      <c r="A659" s="15" t="s">
        <v>1022</v>
      </c>
      <c r="B659" s="15" t="s">
        <v>2833</v>
      </c>
      <c r="C659" s="15">
        <v>2.0</v>
      </c>
      <c r="D659" s="15" t="s">
        <v>22</v>
      </c>
      <c r="E659" s="15">
        <v>0.64</v>
      </c>
      <c r="F659" s="15">
        <v>48.8</v>
      </c>
      <c r="G659" s="15">
        <v>29.63</v>
      </c>
      <c r="H659" s="15">
        <v>0.88</v>
      </c>
      <c r="I659" s="15">
        <v>0.7</v>
      </c>
      <c r="J659" s="15">
        <v>0.34</v>
      </c>
      <c r="K659" s="15">
        <v>0.05</v>
      </c>
      <c r="L659" s="15">
        <v>9.03</v>
      </c>
      <c r="M659" s="15" t="s">
        <v>25</v>
      </c>
    </row>
    <row r="660" ht="15.75" customHeight="1">
      <c r="A660" s="15" t="s">
        <v>1538</v>
      </c>
      <c r="B660" s="15" t="s">
        <v>2836</v>
      </c>
      <c r="C660" s="15">
        <v>2.0</v>
      </c>
      <c r="D660" s="15" t="s">
        <v>22</v>
      </c>
      <c r="E660" s="15">
        <v>0.82</v>
      </c>
      <c r="F660" s="15">
        <v>48.8</v>
      </c>
      <c r="G660" s="15">
        <v>30.11</v>
      </c>
      <c r="H660" s="15">
        <v>0.89</v>
      </c>
      <c r="I660" s="15">
        <v>0.68</v>
      </c>
      <c r="J660" s="15">
        <v>0.42</v>
      </c>
      <c r="K660" s="15">
        <v>0.07</v>
      </c>
      <c r="L660" s="15">
        <v>8.57</v>
      </c>
      <c r="M660" s="15" t="s">
        <v>25</v>
      </c>
    </row>
    <row r="661" ht="15.75" customHeight="1">
      <c r="A661" s="15" t="s">
        <v>2839</v>
      </c>
      <c r="B661" s="15" t="s">
        <v>2840</v>
      </c>
      <c r="C661" s="15">
        <v>2.0</v>
      </c>
      <c r="D661" s="15" t="s">
        <v>22</v>
      </c>
      <c r="E661" s="15">
        <v>0.79</v>
      </c>
      <c r="F661" s="15">
        <v>48.79</v>
      </c>
      <c r="G661" s="15">
        <v>29.99</v>
      </c>
      <c r="H661" s="15">
        <v>0.9</v>
      </c>
      <c r="I661" s="15">
        <v>0.68</v>
      </c>
      <c r="J661" s="15">
        <v>0.36</v>
      </c>
      <c r="K661" s="15">
        <v>0.06</v>
      </c>
      <c r="L661" s="15">
        <v>9.01</v>
      </c>
      <c r="M661" s="15" t="s">
        <v>25</v>
      </c>
    </row>
    <row r="662" ht="15.75" customHeight="1">
      <c r="A662" s="15" t="s">
        <v>445</v>
      </c>
      <c r="B662" s="15" t="s">
        <v>2843</v>
      </c>
      <c r="C662" s="15">
        <v>2.0</v>
      </c>
      <c r="D662" s="15" t="s">
        <v>22</v>
      </c>
      <c r="E662" s="15">
        <v>0.5</v>
      </c>
      <c r="F662" s="15">
        <v>48.78</v>
      </c>
      <c r="G662" s="15">
        <v>29.55</v>
      </c>
      <c r="H662" s="15">
        <v>0.88</v>
      </c>
      <c r="I662" s="15">
        <v>0.7</v>
      </c>
      <c r="J662" s="15">
        <v>0.53</v>
      </c>
      <c r="K662" s="15">
        <v>0.07</v>
      </c>
      <c r="L662" s="15">
        <v>8.07</v>
      </c>
      <c r="M662" s="15" t="s">
        <v>25</v>
      </c>
    </row>
    <row r="663" ht="15.75" customHeight="1">
      <c r="A663" s="15" t="s">
        <v>936</v>
      </c>
      <c r="B663" s="15" t="s">
        <v>2846</v>
      </c>
      <c r="C663" s="15">
        <v>2.0</v>
      </c>
      <c r="D663" s="15" t="s">
        <v>22</v>
      </c>
      <c r="E663" s="15">
        <v>0.81</v>
      </c>
      <c r="F663" s="15">
        <v>48.77</v>
      </c>
      <c r="G663" s="15">
        <v>30.99</v>
      </c>
      <c r="H663" s="15">
        <v>0.9</v>
      </c>
      <c r="I663" s="15">
        <v>0.64</v>
      </c>
      <c r="J663" s="15">
        <v>0.42</v>
      </c>
      <c r="K663" s="15">
        <v>0.07</v>
      </c>
      <c r="L663" s="15">
        <v>8.76</v>
      </c>
      <c r="M663" s="15" t="s">
        <v>25</v>
      </c>
    </row>
    <row r="664" ht="15.75" customHeight="1">
      <c r="A664" s="15" t="s">
        <v>988</v>
      </c>
      <c r="B664" s="15" t="s">
        <v>2849</v>
      </c>
      <c r="C664" s="15">
        <v>2.0</v>
      </c>
      <c r="D664" s="15" t="s">
        <v>22</v>
      </c>
      <c r="E664" s="15">
        <v>0.81</v>
      </c>
      <c r="F664" s="15">
        <v>48.77</v>
      </c>
      <c r="G664" s="15">
        <v>30.21</v>
      </c>
      <c r="H664" s="15">
        <v>0.9</v>
      </c>
      <c r="I664" s="15">
        <v>0.67</v>
      </c>
      <c r="J664" s="15">
        <v>0.42</v>
      </c>
      <c r="K664" s="15">
        <v>0.06</v>
      </c>
      <c r="L664" s="15">
        <v>8.74</v>
      </c>
      <c r="M664" s="15" t="s">
        <v>25</v>
      </c>
    </row>
    <row r="665" ht="15.75" customHeight="1">
      <c r="A665" s="15" t="s">
        <v>1687</v>
      </c>
      <c r="B665" s="15" t="s">
        <v>2852</v>
      </c>
      <c r="C665" s="15">
        <v>2.0</v>
      </c>
      <c r="D665" s="15" t="s">
        <v>22</v>
      </c>
      <c r="E665" s="15">
        <v>0.78</v>
      </c>
      <c r="F665" s="15">
        <v>48.77</v>
      </c>
      <c r="G665" s="15">
        <v>30.65</v>
      </c>
      <c r="H665" s="15">
        <v>0.9</v>
      </c>
      <c r="I665" s="15">
        <v>0.65</v>
      </c>
      <c r="J665" s="15">
        <v>0.47</v>
      </c>
      <c r="K665" s="15">
        <v>0.07</v>
      </c>
      <c r="L665" s="15">
        <v>8.36</v>
      </c>
      <c r="M665" s="15" t="s">
        <v>25</v>
      </c>
    </row>
    <row r="666" ht="15.75" customHeight="1">
      <c r="A666" s="15" t="s">
        <v>1078</v>
      </c>
      <c r="B666" s="15" t="s">
        <v>2855</v>
      </c>
      <c r="C666" s="15">
        <v>2.0</v>
      </c>
      <c r="D666" s="15" t="s">
        <v>22</v>
      </c>
      <c r="E666" s="15">
        <v>0.81</v>
      </c>
      <c r="F666" s="15">
        <v>48.77</v>
      </c>
      <c r="G666" s="15">
        <v>30.62</v>
      </c>
      <c r="H666" s="15">
        <v>0.9</v>
      </c>
      <c r="I666" s="15">
        <v>0.65</v>
      </c>
      <c r="J666" s="15">
        <v>0.37</v>
      </c>
      <c r="K666" s="15">
        <v>0.05</v>
      </c>
      <c r="L666" s="15">
        <v>9.07</v>
      </c>
      <c r="M666" s="15" t="s">
        <v>25</v>
      </c>
    </row>
    <row r="667" ht="15.75" customHeight="1">
      <c r="A667" s="15" t="s">
        <v>87</v>
      </c>
      <c r="B667" s="15" t="s">
        <v>2858</v>
      </c>
      <c r="C667" s="15">
        <v>2.0</v>
      </c>
      <c r="D667" s="15" t="s">
        <v>22</v>
      </c>
      <c r="E667" s="15">
        <v>0.8</v>
      </c>
      <c r="F667" s="15">
        <v>48.77</v>
      </c>
      <c r="G667" s="15">
        <v>30.43</v>
      </c>
      <c r="H667" s="15">
        <v>0.9</v>
      </c>
      <c r="I667" s="15">
        <v>0.66</v>
      </c>
      <c r="J667" s="15">
        <v>0.44</v>
      </c>
      <c r="K667" s="15">
        <v>0.07</v>
      </c>
      <c r="L667" s="15">
        <v>8.45</v>
      </c>
      <c r="M667" s="15" t="s">
        <v>25</v>
      </c>
    </row>
    <row r="668" ht="15.75" customHeight="1">
      <c r="A668" s="15" t="s">
        <v>950</v>
      </c>
      <c r="B668" s="15" t="s">
        <v>2861</v>
      </c>
      <c r="C668" s="15">
        <v>2.0</v>
      </c>
      <c r="D668" s="15" t="s">
        <v>22</v>
      </c>
      <c r="E668" s="15">
        <v>0.81</v>
      </c>
      <c r="F668" s="15">
        <v>48.76</v>
      </c>
      <c r="G668" s="15">
        <v>29.94</v>
      </c>
      <c r="H668" s="15">
        <v>0.9</v>
      </c>
      <c r="I668" s="15">
        <v>0.68</v>
      </c>
      <c r="J668" s="15">
        <v>0.42</v>
      </c>
      <c r="K668" s="15">
        <v>0.07</v>
      </c>
      <c r="L668" s="15">
        <v>8.74</v>
      </c>
      <c r="M668" s="15" t="s">
        <v>25</v>
      </c>
    </row>
    <row r="669" ht="15.75" customHeight="1">
      <c r="A669" s="15" t="s">
        <v>2376</v>
      </c>
      <c r="B669" s="15" t="s">
        <v>2864</v>
      </c>
      <c r="C669" s="15">
        <v>2.0</v>
      </c>
      <c r="D669" s="15" t="s">
        <v>22</v>
      </c>
      <c r="E669" s="15">
        <v>0.38</v>
      </c>
      <c r="F669" s="15">
        <v>48.76</v>
      </c>
      <c r="G669" s="15">
        <v>29.56</v>
      </c>
      <c r="H669" s="15">
        <v>0.88</v>
      </c>
      <c r="I669" s="15">
        <v>0.7</v>
      </c>
      <c r="J669" s="15">
        <v>0.45</v>
      </c>
      <c r="K669" s="15">
        <v>0.06</v>
      </c>
      <c r="L669" s="15">
        <v>8.43</v>
      </c>
      <c r="M669" s="15" t="s">
        <v>25</v>
      </c>
    </row>
    <row r="670" ht="15.75" customHeight="1">
      <c r="A670" s="15" t="s">
        <v>510</v>
      </c>
      <c r="B670" s="15" t="s">
        <v>2867</v>
      </c>
      <c r="C670" s="15">
        <v>2.0</v>
      </c>
      <c r="D670" s="15" t="s">
        <v>22</v>
      </c>
      <c r="E670" s="15">
        <v>0.73</v>
      </c>
      <c r="F670" s="15">
        <v>48.74</v>
      </c>
      <c r="G670" s="15">
        <v>31.2</v>
      </c>
      <c r="H670" s="15">
        <v>0.9</v>
      </c>
      <c r="I670" s="15">
        <v>0.63</v>
      </c>
      <c r="J670" s="15">
        <v>0.49</v>
      </c>
      <c r="K670" s="15">
        <v>0.07</v>
      </c>
      <c r="L670" s="15">
        <v>8.21</v>
      </c>
      <c r="M670" s="15" t="s">
        <v>25</v>
      </c>
    </row>
    <row r="671" ht="15.75" customHeight="1">
      <c r="A671" s="15" t="s">
        <v>972</v>
      </c>
      <c r="B671" s="15" t="s">
        <v>2870</v>
      </c>
      <c r="C671" s="15">
        <v>2.0</v>
      </c>
      <c r="D671" s="15" t="s">
        <v>22</v>
      </c>
      <c r="E671" s="15">
        <v>0.8</v>
      </c>
      <c r="F671" s="15">
        <v>48.74</v>
      </c>
      <c r="G671" s="15">
        <v>30.25</v>
      </c>
      <c r="H671" s="15">
        <v>0.9</v>
      </c>
      <c r="I671" s="15">
        <v>0.67</v>
      </c>
      <c r="J671" s="15">
        <v>0.42</v>
      </c>
      <c r="K671" s="15">
        <v>0.06</v>
      </c>
      <c r="L671" s="15">
        <v>8.73</v>
      </c>
      <c r="M671" s="15" t="s">
        <v>25</v>
      </c>
    </row>
    <row r="672" ht="15.75" customHeight="1">
      <c r="A672" s="15" t="s">
        <v>583</v>
      </c>
      <c r="B672" s="15" t="s">
        <v>2873</v>
      </c>
      <c r="C672" s="15">
        <v>2.0</v>
      </c>
      <c r="D672" s="15" t="s">
        <v>22</v>
      </c>
      <c r="E672" s="15">
        <v>0.81</v>
      </c>
      <c r="F672" s="15">
        <v>48.74</v>
      </c>
      <c r="G672" s="15">
        <v>30.64</v>
      </c>
      <c r="H672" s="15">
        <v>0.9</v>
      </c>
      <c r="I672" s="15">
        <v>0.65</v>
      </c>
      <c r="J672" s="15">
        <v>0.41</v>
      </c>
      <c r="K672" s="15">
        <v>0.07</v>
      </c>
      <c r="L672" s="15">
        <v>8.59</v>
      </c>
      <c r="M672" s="15" t="s">
        <v>25</v>
      </c>
    </row>
    <row r="673" ht="15.75" customHeight="1">
      <c r="A673" s="15" t="s">
        <v>874</v>
      </c>
      <c r="B673" s="15" t="s">
        <v>2875</v>
      </c>
      <c r="C673" s="15">
        <v>2.0</v>
      </c>
      <c r="D673" s="15" t="s">
        <v>22</v>
      </c>
      <c r="E673" s="15">
        <v>0.55</v>
      </c>
      <c r="F673" s="15">
        <v>48.73</v>
      </c>
      <c r="G673" s="15">
        <v>33.27</v>
      </c>
      <c r="H673" s="15">
        <v>0.89</v>
      </c>
      <c r="I673" s="15">
        <v>0.55</v>
      </c>
      <c r="J673" s="15">
        <v>0.41</v>
      </c>
      <c r="K673" s="15">
        <v>0.05</v>
      </c>
      <c r="L673" s="15">
        <v>8.86</v>
      </c>
      <c r="M673" s="15" t="s">
        <v>25</v>
      </c>
    </row>
    <row r="674" ht="15.75" customHeight="1">
      <c r="A674" s="15" t="s">
        <v>75</v>
      </c>
      <c r="B674" s="15" t="s">
        <v>2878</v>
      </c>
      <c r="C674" s="15">
        <v>2.0</v>
      </c>
      <c r="D674" s="15" t="s">
        <v>22</v>
      </c>
      <c r="E674" s="15">
        <v>0.8</v>
      </c>
      <c r="F674" s="15">
        <v>48.73</v>
      </c>
      <c r="G674" s="15">
        <v>29.41</v>
      </c>
      <c r="H674" s="15">
        <v>0.84</v>
      </c>
      <c r="I674" s="15">
        <v>0.71</v>
      </c>
      <c r="J674" s="15">
        <v>0.42</v>
      </c>
      <c r="K674" s="15">
        <v>0.06</v>
      </c>
      <c r="L674" s="15">
        <v>8.64</v>
      </c>
      <c r="M674" s="15" t="s">
        <v>25</v>
      </c>
    </row>
    <row r="675" ht="15.75" customHeight="1">
      <c r="A675" s="15" t="s">
        <v>1168</v>
      </c>
      <c r="B675" s="15" t="s">
        <v>2881</v>
      </c>
      <c r="C675" s="15">
        <v>2.0</v>
      </c>
      <c r="D675" s="15" t="s">
        <v>22</v>
      </c>
      <c r="E675" s="15">
        <v>0.8</v>
      </c>
      <c r="F675" s="15">
        <v>48.72</v>
      </c>
      <c r="G675" s="15">
        <v>30.47</v>
      </c>
      <c r="H675" s="15">
        <v>0.9</v>
      </c>
      <c r="I675" s="15">
        <v>0.66</v>
      </c>
      <c r="J675" s="15">
        <v>0.37</v>
      </c>
      <c r="K675" s="15">
        <v>0.05</v>
      </c>
      <c r="L675" s="15">
        <v>9.03</v>
      </c>
      <c r="M675" s="15" t="s">
        <v>25</v>
      </c>
    </row>
    <row r="676" ht="15.75" customHeight="1">
      <c r="A676" s="15" t="s">
        <v>1023</v>
      </c>
      <c r="B676" s="15" t="s">
        <v>2884</v>
      </c>
      <c r="C676" s="15">
        <v>2.0</v>
      </c>
      <c r="D676" s="15" t="s">
        <v>22</v>
      </c>
      <c r="E676" s="15">
        <v>0.81</v>
      </c>
      <c r="F676" s="15">
        <v>48.71</v>
      </c>
      <c r="G676" s="15">
        <v>30.68</v>
      </c>
      <c r="H676" s="15">
        <v>0.9</v>
      </c>
      <c r="I676" s="15">
        <v>0.65</v>
      </c>
      <c r="J676" s="15">
        <v>0.42</v>
      </c>
      <c r="K676" s="15">
        <v>0.06</v>
      </c>
      <c r="L676" s="15">
        <v>8.76</v>
      </c>
      <c r="M676" s="15" t="s">
        <v>25</v>
      </c>
    </row>
    <row r="677" ht="15.75" customHeight="1">
      <c r="A677" s="15" t="s">
        <v>743</v>
      </c>
      <c r="B677" s="15" t="s">
        <v>2887</v>
      </c>
      <c r="C677" s="15">
        <v>2.0</v>
      </c>
      <c r="D677" s="15" t="s">
        <v>22</v>
      </c>
      <c r="E677" s="15">
        <v>0.73</v>
      </c>
      <c r="F677" s="15">
        <v>48.7</v>
      </c>
      <c r="G677" s="15">
        <v>29.9</v>
      </c>
      <c r="H677" s="15">
        <v>0.9</v>
      </c>
      <c r="I677" s="15">
        <v>0.68</v>
      </c>
      <c r="J677" s="15">
        <v>0.5</v>
      </c>
      <c r="K677" s="15">
        <v>0.07</v>
      </c>
      <c r="L677" s="15">
        <v>8.06</v>
      </c>
      <c r="M677" s="15" t="s">
        <v>25</v>
      </c>
    </row>
    <row r="678" ht="15.75" customHeight="1">
      <c r="A678" s="15" t="s">
        <v>941</v>
      </c>
      <c r="B678" s="15" t="s">
        <v>2890</v>
      </c>
      <c r="C678" s="15">
        <v>2.0</v>
      </c>
      <c r="D678" s="15" t="s">
        <v>22</v>
      </c>
      <c r="E678" s="15">
        <v>0.82</v>
      </c>
      <c r="F678" s="15">
        <v>48.68</v>
      </c>
      <c r="G678" s="15">
        <v>30.01</v>
      </c>
      <c r="H678" s="15">
        <v>0.9</v>
      </c>
      <c r="I678" s="15">
        <v>0.68</v>
      </c>
      <c r="J678" s="15">
        <v>0.41</v>
      </c>
      <c r="K678" s="15">
        <v>0.07</v>
      </c>
      <c r="L678" s="15">
        <v>8.58</v>
      </c>
      <c r="M678" s="15" t="s">
        <v>25</v>
      </c>
    </row>
    <row r="679" ht="15.75" customHeight="1">
      <c r="A679" s="15" t="s">
        <v>925</v>
      </c>
      <c r="B679" s="15" t="s">
        <v>2893</v>
      </c>
      <c r="C679" s="15">
        <v>2.0</v>
      </c>
      <c r="D679" s="15" t="s">
        <v>22</v>
      </c>
      <c r="E679" s="15">
        <v>0.79</v>
      </c>
      <c r="F679" s="15">
        <v>48.66</v>
      </c>
      <c r="G679" s="15">
        <v>31.07</v>
      </c>
      <c r="H679" s="15">
        <v>0.9</v>
      </c>
      <c r="I679" s="15">
        <v>0.63</v>
      </c>
      <c r="J679" s="15">
        <v>0.41</v>
      </c>
      <c r="K679" s="15">
        <v>0.07</v>
      </c>
      <c r="L679" s="15">
        <v>8.71</v>
      </c>
      <c r="M679" s="15" t="s">
        <v>25</v>
      </c>
    </row>
    <row r="680" ht="15.75" customHeight="1">
      <c r="A680" s="15" t="s">
        <v>709</v>
      </c>
      <c r="B680" s="15" t="s">
        <v>2896</v>
      </c>
      <c r="C680" s="15">
        <v>2.0</v>
      </c>
      <c r="D680" s="15" t="s">
        <v>22</v>
      </c>
      <c r="E680" s="15">
        <v>0.81</v>
      </c>
      <c r="F680" s="15">
        <v>48.66</v>
      </c>
      <c r="G680" s="15">
        <v>29.71</v>
      </c>
      <c r="H680" s="15">
        <v>0.89</v>
      </c>
      <c r="I680" s="15">
        <v>0.69</v>
      </c>
      <c r="J680" s="15">
        <v>0.41</v>
      </c>
      <c r="K680" s="15">
        <v>0.07</v>
      </c>
      <c r="L680" s="15">
        <v>8.57</v>
      </c>
      <c r="M680" s="15" t="s">
        <v>25</v>
      </c>
    </row>
    <row r="681" ht="15.75" customHeight="1">
      <c r="A681" s="15" t="s">
        <v>2899</v>
      </c>
      <c r="B681" s="15" t="s">
        <v>2900</v>
      </c>
      <c r="C681" s="15">
        <v>2.0</v>
      </c>
      <c r="D681" s="15" t="s">
        <v>22</v>
      </c>
      <c r="E681" s="15">
        <v>0.79</v>
      </c>
      <c r="F681" s="15">
        <v>48.66</v>
      </c>
      <c r="G681" s="15">
        <v>30.69</v>
      </c>
      <c r="H681" s="15">
        <v>0.9</v>
      </c>
      <c r="I681" s="15">
        <v>0.65</v>
      </c>
      <c r="J681" s="15">
        <v>0.41</v>
      </c>
      <c r="K681" s="15">
        <v>0.07</v>
      </c>
      <c r="L681" s="15">
        <v>8.68</v>
      </c>
      <c r="M681" s="15" t="s">
        <v>25</v>
      </c>
    </row>
    <row r="682" ht="15.75" customHeight="1">
      <c r="A682" s="15" t="s">
        <v>1217</v>
      </c>
      <c r="B682" s="15" t="s">
        <v>2902</v>
      </c>
      <c r="C682" s="15">
        <v>2.0</v>
      </c>
      <c r="D682" s="15" t="s">
        <v>22</v>
      </c>
      <c r="E682" s="15">
        <v>0.8</v>
      </c>
      <c r="F682" s="15">
        <v>48.66</v>
      </c>
      <c r="G682" s="15">
        <v>30.75</v>
      </c>
      <c r="H682" s="15">
        <v>0.9</v>
      </c>
      <c r="I682" s="15">
        <v>0.65</v>
      </c>
      <c r="J682" s="15">
        <v>0.37</v>
      </c>
      <c r="K682" s="15">
        <v>0.05</v>
      </c>
      <c r="L682" s="15">
        <v>9.01</v>
      </c>
      <c r="M682" s="15" t="s">
        <v>25</v>
      </c>
    </row>
    <row r="683" ht="15.75" customHeight="1">
      <c r="A683" s="15" t="s">
        <v>550</v>
      </c>
      <c r="B683" s="15" t="s">
        <v>2905</v>
      </c>
      <c r="C683" s="15">
        <v>2.0</v>
      </c>
      <c r="D683" s="15" t="s">
        <v>22</v>
      </c>
      <c r="E683" s="15">
        <v>0.56</v>
      </c>
      <c r="F683" s="15">
        <v>48.64</v>
      </c>
      <c r="G683" s="15">
        <v>33.16</v>
      </c>
      <c r="H683" s="15">
        <v>0.88</v>
      </c>
      <c r="I683" s="15">
        <v>0.56</v>
      </c>
      <c r="J683" s="15">
        <v>0.41</v>
      </c>
      <c r="K683" s="15">
        <v>0.06</v>
      </c>
      <c r="L683" s="15">
        <v>8.84</v>
      </c>
      <c r="M683" s="15" t="s">
        <v>25</v>
      </c>
    </row>
    <row r="684" ht="15.75" customHeight="1">
      <c r="A684" s="15" t="s">
        <v>1017</v>
      </c>
      <c r="B684" s="15" t="s">
        <v>2908</v>
      </c>
      <c r="C684" s="15">
        <v>2.0</v>
      </c>
      <c r="D684" s="15" t="s">
        <v>22</v>
      </c>
      <c r="E684" s="15">
        <v>0.8</v>
      </c>
      <c r="F684" s="15">
        <v>48.63</v>
      </c>
      <c r="G684" s="15">
        <v>30.02</v>
      </c>
      <c r="H684" s="15">
        <v>0.9</v>
      </c>
      <c r="I684" s="15">
        <v>0.68</v>
      </c>
      <c r="J684" s="15">
        <v>0.42</v>
      </c>
      <c r="K684" s="15">
        <v>0.06</v>
      </c>
      <c r="L684" s="15">
        <v>8.72</v>
      </c>
      <c r="M684" s="15" t="s">
        <v>25</v>
      </c>
    </row>
    <row r="685" ht="15.75" customHeight="1">
      <c r="A685" s="15" t="s">
        <v>1068</v>
      </c>
      <c r="B685" s="15" t="s">
        <v>2910</v>
      </c>
      <c r="C685" s="15">
        <v>2.0</v>
      </c>
      <c r="D685" s="15" t="s">
        <v>22</v>
      </c>
      <c r="E685" s="15">
        <v>0.79</v>
      </c>
      <c r="F685" s="15">
        <v>48.6</v>
      </c>
      <c r="G685" s="15">
        <v>30.76</v>
      </c>
      <c r="H685" s="15">
        <v>0.9</v>
      </c>
      <c r="I685" s="15">
        <v>0.65</v>
      </c>
      <c r="J685" s="15">
        <v>0.41</v>
      </c>
      <c r="K685" s="15">
        <v>0.07</v>
      </c>
      <c r="L685" s="15">
        <v>8.66</v>
      </c>
      <c r="M685" s="15" t="s">
        <v>25</v>
      </c>
    </row>
    <row r="686" ht="15.75" customHeight="1">
      <c r="A686" s="15" t="s">
        <v>618</v>
      </c>
      <c r="B686" s="15" t="s">
        <v>2913</v>
      </c>
      <c r="C686" s="15">
        <v>2.0</v>
      </c>
      <c r="D686" s="15" t="s">
        <v>22</v>
      </c>
      <c r="E686" s="15">
        <v>0.82</v>
      </c>
      <c r="F686" s="15">
        <v>48.59</v>
      </c>
      <c r="G686" s="15">
        <v>29.85</v>
      </c>
      <c r="H686" s="15">
        <v>0.89</v>
      </c>
      <c r="I686" s="15">
        <v>0.69</v>
      </c>
      <c r="J686" s="15">
        <v>0.41</v>
      </c>
      <c r="K686" s="15">
        <v>0.07</v>
      </c>
      <c r="L686" s="15">
        <v>8.58</v>
      </c>
      <c r="M686" s="15" t="s">
        <v>25</v>
      </c>
    </row>
    <row r="687" ht="15.75" customHeight="1">
      <c r="A687" s="15" t="s">
        <v>1878</v>
      </c>
      <c r="B687" s="15" t="s">
        <v>2916</v>
      </c>
      <c r="C687" s="15">
        <v>2.0</v>
      </c>
      <c r="D687" s="15" t="s">
        <v>22</v>
      </c>
      <c r="E687" s="15">
        <v>0.81</v>
      </c>
      <c r="F687" s="15">
        <v>48.58</v>
      </c>
      <c r="G687" s="15">
        <v>30.32</v>
      </c>
      <c r="H687" s="15">
        <v>0.9</v>
      </c>
      <c r="I687" s="15">
        <v>0.66</v>
      </c>
      <c r="J687" s="15">
        <v>0.41</v>
      </c>
      <c r="K687" s="15">
        <v>0.07</v>
      </c>
      <c r="L687" s="15">
        <v>8.59</v>
      </c>
      <c r="M687" s="15" t="s">
        <v>25</v>
      </c>
    </row>
    <row r="688" ht="15.75" customHeight="1">
      <c r="A688" s="15" t="s">
        <v>1342</v>
      </c>
      <c r="B688" s="15" t="s">
        <v>2919</v>
      </c>
      <c r="C688" s="15">
        <v>2.0</v>
      </c>
      <c r="D688" s="15" t="s">
        <v>22</v>
      </c>
      <c r="E688" s="15">
        <v>0.79</v>
      </c>
      <c r="F688" s="15">
        <v>48.58</v>
      </c>
      <c r="G688" s="15">
        <v>31.3</v>
      </c>
      <c r="H688" s="15">
        <v>0.9</v>
      </c>
      <c r="I688" s="15">
        <v>0.62</v>
      </c>
      <c r="J688" s="15">
        <v>0.41</v>
      </c>
      <c r="K688" s="15">
        <v>0.07</v>
      </c>
      <c r="L688" s="15">
        <v>8.71</v>
      </c>
      <c r="M688" s="15" t="s">
        <v>25</v>
      </c>
    </row>
    <row r="689" ht="15.75" customHeight="1">
      <c r="A689" s="15" t="s">
        <v>994</v>
      </c>
      <c r="B689" s="15" t="s">
        <v>2921</v>
      </c>
      <c r="C689" s="15">
        <v>2.0</v>
      </c>
      <c r="D689" s="15" t="s">
        <v>22</v>
      </c>
      <c r="E689" s="15">
        <v>0.81</v>
      </c>
      <c r="F689" s="15">
        <v>48.58</v>
      </c>
      <c r="G689" s="15">
        <v>30.5</v>
      </c>
      <c r="H689" s="15">
        <v>0.9</v>
      </c>
      <c r="I689" s="15">
        <v>0.66</v>
      </c>
      <c r="J689" s="15">
        <v>0.41</v>
      </c>
      <c r="K689" s="15">
        <v>0.07</v>
      </c>
      <c r="L689" s="15">
        <v>8.78</v>
      </c>
      <c r="M689" s="15" t="s">
        <v>25</v>
      </c>
    </row>
    <row r="690" ht="15.75" customHeight="1">
      <c r="A690" s="15" t="s">
        <v>977</v>
      </c>
      <c r="B690" s="15" t="s">
        <v>2924</v>
      </c>
      <c r="C690" s="15">
        <v>2.0</v>
      </c>
      <c r="D690" s="15" t="s">
        <v>22</v>
      </c>
      <c r="E690" s="15">
        <v>0.79</v>
      </c>
      <c r="F690" s="15">
        <v>48.57</v>
      </c>
      <c r="G690" s="15">
        <v>30.25</v>
      </c>
      <c r="H690" s="15">
        <v>0.9</v>
      </c>
      <c r="I690" s="15">
        <v>0.67</v>
      </c>
      <c r="J690" s="15">
        <v>0.41</v>
      </c>
      <c r="K690" s="15">
        <v>0.06</v>
      </c>
      <c r="L690" s="15">
        <v>8.63</v>
      </c>
      <c r="M690" s="15" t="s">
        <v>25</v>
      </c>
    </row>
    <row r="691" ht="15.75" customHeight="1">
      <c r="A691" s="15" t="s">
        <v>1421</v>
      </c>
      <c r="B691" s="15" t="s">
        <v>2926</v>
      </c>
      <c r="C691" s="15">
        <v>2.0</v>
      </c>
      <c r="D691" s="15" t="s">
        <v>22</v>
      </c>
      <c r="E691" s="15">
        <v>0.82</v>
      </c>
      <c r="F691" s="15">
        <v>48.55</v>
      </c>
      <c r="G691" s="15">
        <v>30.24</v>
      </c>
      <c r="H691" s="15">
        <v>0.9</v>
      </c>
      <c r="I691" s="15">
        <v>0.67</v>
      </c>
      <c r="J691" s="15">
        <v>0.42</v>
      </c>
      <c r="K691" s="15">
        <v>0.07</v>
      </c>
      <c r="L691" s="15">
        <v>8.56</v>
      </c>
      <c r="M691" s="15" t="s">
        <v>25</v>
      </c>
    </row>
    <row r="692" ht="15.75" customHeight="1">
      <c r="A692" s="15" t="s">
        <v>678</v>
      </c>
      <c r="B692" s="15" t="s">
        <v>2929</v>
      </c>
      <c r="C692" s="15">
        <v>2.0</v>
      </c>
      <c r="D692" s="15" t="s">
        <v>22</v>
      </c>
      <c r="E692" s="15">
        <v>0.79</v>
      </c>
      <c r="F692" s="15">
        <v>48.53</v>
      </c>
      <c r="G692" s="15">
        <v>30.36</v>
      </c>
      <c r="H692" s="15">
        <v>0.9</v>
      </c>
      <c r="I692" s="15">
        <v>0.66</v>
      </c>
      <c r="J692" s="15">
        <v>0.36</v>
      </c>
      <c r="K692" s="15">
        <v>0.06</v>
      </c>
      <c r="L692" s="15">
        <v>9.02</v>
      </c>
      <c r="M692" s="15" t="s">
        <v>25</v>
      </c>
    </row>
    <row r="693" ht="15.75" customHeight="1">
      <c r="A693" s="15" t="s">
        <v>2932</v>
      </c>
      <c r="B693" s="15" t="s">
        <v>2933</v>
      </c>
      <c r="C693" s="15">
        <v>2.0</v>
      </c>
      <c r="D693" s="15" t="s">
        <v>22</v>
      </c>
      <c r="E693" s="15">
        <v>0.8</v>
      </c>
      <c r="F693" s="15">
        <v>48.53</v>
      </c>
      <c r="G693" s="15">
        <v>29.84</v>
      </c>
      <c r="H693" s="15">
        <v>0.9</v>
      </c>
      <c r="I693" s="15">
        <v>0.68</v>
      </c>
      <c r="J693" s="15">
        <v>0.43</v>
      </c>
      <c r="K693" s="15">
        <v>0.07</v>
      </c>
      <c r="L693" s="15">
        <v>8.71</v>
      </c>
      <c r="M693" s="15" t="s">
        <v>25</v>
      </c>
    </row>
    <row r="694" ht="15.75" customHeight="1">
      <c r="A694" s="15" t="s">
        <v>356</v>
      </c>
      <c r="B694" s="15" t="s">
        <v>2936</v>
      </c>
      <c r="C694" s="15">
        <v>2.0</v>
      </c>
      <c r="D694" s="15" t="s">
        <v>22</v>
      </c>
      <c r="E694" s="15">
        <v>0.79</v>
      </c>
      <c r="F694" s="15">
        <v>48.53</v>
      </c>
      <c r="G694" s="15">
        <v>31.14</v>
      </c>
      <c r="H694" s="15">
        <v>0.9</v>
      </c>
      <c r="I694" s="15">
        <v>0.63</v>
      </c>
      <c r="J694" s="15">
        <v>0.39</v>
      </c>
      <c r="K694" s="15">
        <v>0.05</v>
      </c>
      <c r="L694" s="15">
        <v>8.98</v>
      </c>
      <c r="M694" s="15" t="s">
        <v>25</v>
      </c>
    </row>
    <row r="695" ht="15.75" customHeight="1">
      <c r="A695" s="15" t="s">
        <v>1034</v>
      </c>
      <c r="B695" s="15" t="s">
        <v>2939</v>
      </c>
      <c r="C695" s="15">
        <v>2.0</v>
      </c>
      <c r="D695" s="15" t="s">
        <v>22</v>
      </c>
      <c r="E695" s="15">
        <v>0.81</v>
      </c>
      <c r="F695" s="15">
        <v>48.52</v>
      </c>
      <c r="G695" s="15">
        <v>30.08</v>
      </c>
      <c r="H695" s="15">
        <v>0.9</v>
      </c>
      <c r="I695" s="15">
        <v>0.67</v>
      </c>
      <c r="J695" s="15">
        <v>0.43</v>
      </c>
      <c r="K695" s="15">
        <v>0.07</v>
      </c>
      <c r="L695" s="15">
        <v>8.71</v>
      </c>
      <c r="M695" s="15" t="s">
        <v>25</v>
      </c>
    </row>
    <row r="696" ht="15.75" customHeight="1">
      <c r="A696" s="15" t="s">
        <v>1000</v>
      </c>
      <c r="B696" s="15" t="s">
        <v>2942</v>
      </c>
      <c r="C696" s="15">
        <v>2.0</v>
      </c>
      <c r="D696" s="15" t="s">
        <v>22</v>
      </c>
      <c r="E696" s="15">
        <v>0.81</v>
      </c>
      <c r="F696" s="15">
        <v>48.5</v>
      </c>
      <c r="G696" s="15">
        <v>30.35</v>
      </c>
      <c r="H696" s="15">
        <v>0.9</v>
      </c>
      <c r="I696" s="15">
        <v>0.66</v>
      </c>
      <c r="J696" s="15">
        <v>0.42</v>
      </c>
      <c r="K696" s="15">
        <v>0.06</v>
      </c>
      <c r="L696" s="15">
        <v>8.75</v>
      </c>
      <c r="M696" s="15" t="s">
        <v>25</v>
      </c>
    </row>
    <row r="697" ht="15.75" customHeight="1">
      <c r="A697" s="15" t="s">
        <v>946</v>
      </c>
      <c r="B697" s="15" t="s">
        <v>2945</v>
      </c>
      <c r="C697" s="15">
        <v>2.0</v>
      </c>
      <c r="D697" s="15" t="s">
        <v>22</v>
      </c>
      <c r="E697" s="15">
        <v>0.8</v>
      </c>
      <c r="F697" s="15">
        <v>48.49</v>
      </c>
      <c r="G697" s="15">
        <v>30.63</v>
      </c>
      <c r="H697" s="15">
        <v>0.9</v>
      </c>
      <c r="I697" s="15">
        <v>0.65</v>
      </c>
      <c r="J697" s="15">
        <v>0.37</v>
      </c>
      <c r="K697" s="15">
        <v>0.05</v>
      </c>
      <c r="L697" s="15">
        <v>9.02</v>
      </c>
      <c r="M697" s="15" t="s">
        <v>25</v>
      </c>
    </row>
    <row r="698" ht="15.75" customHeight="1">
      <c r="A698" s="15" t="s">
        <v>140</v>
      </c>
      <c r="B698" s="15" t="s">
        <v>2948</v>
      </c>
      <c r="C698" s="15">
        <v>2.0</v>
      </c>
      <c r="D698" s="15" t="s">
        <v>22</v>
      </c>
      <c r="E698" s="15">
        <v>0.73</v>
      </c>
      <c r="F698" s="15">
        <v>48.48</v>
      </c>
      <c r="G698" s="15">
        <v>29.59</v>
      </c>
      <c r="H698" s="15">
        <v>0.89</v>
      </c>
      <c r="I698" s="15">
        <v>0.7</v>
      </c>
      <c r="J698" s="15">
        <v>0.31</v>
      </c>
      <c r="K698" s="15">
        <v>0.05</v>
      </c>
      <c r="L698" s="15">
        <v>9.25</v>
      </c>
      <c r="M698" s="15" t="s">
        <v>25</v>
      </c>
    </row>
    <row r="699" ht="15.75" customHeight="1">
      <c r="A699" s="15" t="s">
        <v>843</v>
      </c>
      <c r="B699" s="15" t="s">
        <v>2950</v>
      </c>
      <c r="C699" s="15">
        <v>2.0</v>
      </c>
      <c r="D699" s="15" t="s">
        <v>22</v>
      </c>
      <c r="E699" s="15">
        <v>0.8</v>
      </c>
      <c r="F699" s="15">
        <v>48.47</v>
      </c>
      <c r="G699" s="15">
        <v>29.32</v>
      </c>
      <c r="H699" s="15">
        <v>0.83</v>
      </c>
      <c r="I699" s="15">
        <v>0.71</v>
      </c>
      <c r="J699" s="15">
        <v>0.45</v>
      </c>
      <c r="K699" s="15">
        <v>0.06</v>
      </c>
      <c r="L699" s="15">
        <v>8.5</v>
      </c>
      <c r="M699" s="15" t="s">
        <v>25</v>
      </c>
    </row>
    <row r="700" ht="15.75" customHeight="1">
      <c r="A700" s="15" t="s">
        <v>197</v>
      </c>
      <c r="B700" s="15" t="s">
        <v>2953</v>
      </c>
      <c r="C700" s="15">
        <v>2.0</v>
      </c>
      <c r="D700" s="15" t="s">
        <v>22</v>
      </c>
      <c r="E700" s="15">
        <v>0.72</v>
      </c>
      <c r="F700" s="15">
        <v>48.47</v>
      </c>
      <c r="G700" s="15">
        <v>29.59</v>
      </c>
      <c r="H700" s="15">
        <v>0.89</v>
      </c>
      <c r="I700" s="15">
        <v>0.7</v>
      </c>
      <c r="J700" s="15">
        <v>0.31</v>
      </c>
      <c r="K700" s="15">
        <v>0.05</v>
      </c>
      <c r="L700" s="15">
        <v>9.25</v>
      </c>
      <c r="M700" s="15" t="s">
        <v>25</v>
      </c>
    </row>
    <row r="701" ht="15.75" customHeight="1">
      <c r="A701" s="15" t="s">
        <v>2955</v>
      </c>
      <c r="B701" s="15" t="s">
        <v>2956</v>
      </c>
      <c r="C701" s="15">
        <v>2.0</v>
      </c>
      <c r="D701" s="15" t="s">
        <v>22</v>
      </c>
      <c r="E701" s="15">
        <v>0.8</v>
      </c>
      <c r="F701" s="15">
        <v>48.46</v>
      </c>
      <c r="G701" s="15">
        <v>30.69</v>
      </c>
      <c r="H701" s="15">
        <v>0.9</v>
      </c>
      <c r="I701" s="15">
        <v>0.65</v>
      </c>
      <c r="J701" s="15">
        <v>0.37</v>
      </c>
      <c r="K701" s="15">
        <v>0.05</v>
      </c>
      <c r="L701" s="15">
        <v>9.05</v>
      </c>
      <c r="M701" s="15" t="s">
        <v>25</v>
      </c>
    </row>
    <row r="702" ht="15.75" customHeight="1">
      <c r="A702" s="15" t="s">
        <v>668</v>
      </c>
      <c r="B702" s="15" t="s">
        <v>2959</v>
      </c>
      <c r="C702" s="15">
        <v>2.0</v>
      </c>
      <c r="D702" s="15" t="s">
        <v>22</v>
      </c>
      <c r="E702" s="15">
        <v>0.57</v>
      </c>
      <c r="F702" s="15">
        <v>48.46</v>
      </c>
      <c r="G702" s="15">
        <v>33.38</v>
      </c>
      <c r="H702" s="15">
        <v>0.84</v>
      </c>
      <c r="I702" s="15">
        <v>0.55</v>
      </c>
      <c r="J702" s="15">
        <v>0.41</v>
      </c>
      <c r="K702" s="15">
        <v>0.06</v>
      </c>
      <c r="L702" s="15">
        <v>8.58</v>
      </c>
      <c r="M702" s="15" t="s">
        <v>25</v>
      </c>
    </row>
    <row r="703" ht="15.75" customHeight="1">
      <c r="A703" s="15" t="s">
        <v>209</v>
      </c>
      <c r="B703" s="15" t="s">
        <v>2962</v>
      </c>
      <c r="C703" s="15">
        <v>2.0</v>
      </c>
      <c r="D703" s="15" t="s">
        <v>22</v>
      </c>
      <c r="E703" s="15">
        <v>0.72</v>
      </c>
      <c r="F703" s="15">
        <v>48.45</v>
      </c>
      <c r="G703" s="15">
        <v>29.59</v>
      </c>
      <c r="H703" s="15">
        <v>0.89</v>
      </c>
      <c r="I703" s="15">
        <v>0.7</v>
      </c>
      <c r="J703" s="15">
        <v>0.31</v>
      </c>
      <c r="K703" s="15">
        <v>0.05</v>
      </c>
      <c r="L703" s="15">
        <v>9.25</v>
      </c>
      <c r="M703" s="15" t="s">
        <v>25</v>
      </c>
    </row>
    <row r="704" ht="15.75" customHeight="1">
      <c r="A704" s="15" t="s">
        <v>287</v>
      </c>
      <c r="B704" s="15" t="s">
        <v>2965</v>
      </c>
      <c r="C704" s="15">
        <v>2.0</v>
      </c>
      <c r="D704" s="15" t="s">
        <v>22</v>
      </c>
      <c r="E704" s="15">
        <v>0.71</v>
      </c>
      <c r="F704" s="15">
        <v>48.45</v>
      </c>
      <c r="G704" s="15">
        <v>29.65</v>
      </c>
      <c r="H704" s="15">
        <v>0.89</v>
      </c>
      <c r="I704" s="15">
        <v>0.69</v>
      </c>
      <c r="J704" s="15">
        <v>0.39</v>
      </c>
      <c r="K704" s="15">
        <v>0.06</v>
      </c>
      <c r="L704" s="15">
        <v>8.82</v>
      </c>
      <c r="M704" s="15" t="s">
        <v>25</v>
      </c>
    </row>
    <row r="705" ht="15.75" customHeight="1">
      <c r="A705" s="15" t="s">
        <v>553</v>
      </c>
      <c r="B705" s="15" t="s">
        <v>2968</v>
      </c>
      <c r="C705" s="15">
        <v>2.0</v>
      </c>
      <c r="D705" s="15" t="s">
        <v>22</v>
      </c>
      <c r="E705" s="15">
        <v>0.81</v>
      </c>
      <c r="F705" s="15">
        <v>48.44</v>
      </c>
      <c r="G705" s="15">
        <v>30.92</v>
      </c>
      <c r="H705" s="15">
        <v>0.9</v>
      </c>
      <c r="I705" s="15">
        <v>0.64</v>
      </c>
      <c r="J705" s="15">
        <v>0.37</v>
      </c>
      <c r="K705" s="15">
        <v>0.05</v>
      </c>
      <c r="L705" s="15">
        <v>9.04</v>
      </c>
      <c r="M705" s="15" t="s">
        <v>25</v>
      </c>
    </row>
    <row r="706" ht="15.75" customHeight="1">
      <c r="A706" s="15" t="s">
        <v>869</v>
      </c>
      <c r="B706" s="15" t="s">
        <v>2971</v>
      </c>
      <c r="C706" s="15">
        <v>2.0</v>
      </c>
      <c r="D706" s="15" t="s">
        <v>22</v>
      </c>
      <c r="E706" s="15">
        <v>0.78</v>
      </c>
      <c r="F706" s="15">
        <v>48.44</v>
      </c>
      <c r="G706" s="15">
        <v>30.45</v>
      </c>
      <c r="H706" s="15">
        <v>0.9</v>
      </c>
      <c r="I706" s="15">
        <v>0.66</v>
      </c>
      <c r="J706" s="15">
        <v>0.41</v>
      </c>
      <c r="K706" s="15">
        <v>0.06</v>
      </c>
      <c r="L706" s="15">
        <v>8.63</v>
      </c>
      <c r="M706" s="15" t="s">
        <v>25</v>
      </c>
    </row>
    <row r="707" ht="15.75" customHeight="1">
      <c r="A707" s="15" t="s">
        <v>941</v>
      </c>
      <c r="B707" s="15" t="s">
        <v>2974</v>
      </c>
      <c r="C707" s="15">
        <v>2.0</v>
      </c>
      <c r="D707" s="15" t="s">
        <v>22</v>
      </c>
      <c r="E707" s="15">
        <v>0.8</v>
      </c>
      <c r="F707" s="15">
        <v>48.44</v>
      </c>
      <c r="G707" s="15">
        <v>30.05</v>
      </c>
      <c r="H707" s="15">
        <v>0.9</v>
      </c>
      <c r="I707" s="15">
        <v>0.67</v>
      </c>
      <c r="J707" s="15">
        <v>0.43</v>
      </c>
      <c r="K707" s="15">
        <v>0.07</v>
      </c>
      <c r="L707" s="15">
        <v>8.69</v>
      </c>
      <c r="M707" s="15" t="s">
        <v>25</v>
      </c>
    </row>
    <row r="708" ht="15.75" customHeight="1">
      <c r="A708" s="15" t="s">
        <v>386</v>
      </c>
      <c r="B708" s="15" t="s">
        <v>2977</v>
      </c>
      <c r="C708" s="15">
        <v>2.0</v>
      </c>
      <c r="D708" s="15" t="s">
        <v>22</v>
      </c>
      <c r="E708" s="15">
        <v>0.8</v>
      </c>
      <c r="F708" s="15">
        <v>48.43</v>
      </c>
      <c r="G708" s="15">
        <v>30.27</v>
      </c>
      <c r="H708" s="15">
        <v>0.9</v>
      </c>
      <c r="I708" s="15">
        <v>0.66</v>
      </c>
      <c r="J708" s="15">
        <v>0.37</v>
      </c>
      <c r="K708" s="15">
        <v>0.05</v>
      </c>
      <c r="L708" s="15">
        <v>9.02</v>
      </c>
      <c r="M708" s="15" t="s">
        <v>25</v>
      </c>
    </row>
    <row r="709" ht="15.75" customHeight="1">
      <c r="A709" s="15" t="s">
        <v>2980</v>
      </c>
      <c r="B709" s="15" t="s">
        <v>2981</v>
      </c>
      <c r="C709" s="15">
        <v>2.0</v>
      </c>
      <c r="D709" s="15" t="s">
        <v>22</v>
      </c>
      <c r="E709" s="15">
        <v>0.78</v>
      </c>
      <c r="F709" s="15">
        <v>48.42</v>
      </c>
      <c r="G709" s="15">
        <v>30.68</v>
      </c>
      <c r="H709" s="15">
        <v>0.9</v>
      </c>
      <c r="I709" s="15">
        <v>0.65</v>
      </c>
      <c r="J709" s="15">
        <v>0.4</v>
      </c>
      <c r="K709" s="15">
        <v>0.06</v>
      </c>
      <c r="L709" s="15">
        <v>8.66</v>
      </c>
      <c r="M709" s="15" t="s">
        <v>25</v>
      </c>
    </row>
    <row r="710" ht="15.75" customHeight="1">
      <c r="A710" s="15" t="s">
        <v>185</v>
      </c>
      <c r="B710" s="15" t="s">
        <v>2984</v>
      </c>
      <c r="C710" s="15">
        <v>2.0</v>
      </c>
      <c r="D710" s="15" t="s">
        <v>22</v>
      </c>
      <c r="E710" s="15">
        <v>0.72</v>
      </c>
      <c r="F710" s="15">
        <v>48.42</v>
      </c>
      <c r="G710" s="15">
        <v>29.59</v>
      </c>
      <c r="H710" s="15">
        <v>0.89</v>
      </c>
      <c r="I710" s="15">
        <v>0.7</v>
      </c>
      <c r="J710" s="15">
        <v>0.31</v>
      </c>
      <c r="K710" s="15">
        <v>0.05</v>
      </c>
      <c r="L710" s="15">
        <v>9.25</v>
      </c>
      <c r="M710" s="15" t="s">
        <v>25</v>
      </c>
    </row>
    <row r="711" ht="15.75" customHeight="1">
      <c r="A711" s="15" t="s">
        <v>911</v>
      </c>
      <c r="B711" s="15" t="s">
        <v>2987</v>
      </c>
      <c r="C711" s="15">
        <v>2.0</v>
      </c>
      <c r="D711" s="15" t="s">
        <v>22</v>
      </c>
      <c r="E711" s="15">
        <v>0.79</v>
      </c>
      <c r="F711" s="15">
        <v>48.41</v>
      </c>
      <c r="G711" s="15">
        <v>30.45</v>
      </c>
      <c r="H711" s="15">
        <v>0.9</v>
      </c>
      <c r="I711" s="15">
        <v>0.66</v>
      </c>
      <c r="J711" s="15">
        <v>0.41</v>
      </c>
      <c r="K711" s="15">
        <v>0.06</v>
      </c>
      <c r="L711" s="15">
        <v>8.63</v>
      </c>
      <c r="M711" s="15" t="s">
        <v>25</v>
      </c>
    </row>
    <row r="712" ht="15.75" customHeight="1">
      <c r="A712" s="15" t="s">
        <v>1040</v>
      </c>
      <c r="B712" s="15" t="s">
        <v>2990</v>
      </c>
      <c r="C712" s="15">
        <v>2.0</v>
      </c>
      <c r="D712" s="15" t="s">
        <v>22</v>
      </c>
      <c r="E712" s="15">
        <v>0.8</v>
      </c>
      <c r="F712" s="15">
        <v>48.4</v>
      </c>
      <c r="G712" s="15">
        <v>30.09</v>
      </c>
      <c r="H712" s="15">
        <v>0.9</v>
      </c>
      <c r="I712" s="15">
        <v>0.67</v>
      </c>
      <c r="J712" s="15">
        <v>0.42</v>
      </c>
      <c r="K712" s="15">
        <v>0.07</v>
      </c>
      <c r="L712" s="15">
        <v>8.73</v>
      </c>
      <c r="M712" s="15" t="s">
        <v>25</v>
      </c>
    </row>
    <row r="713" ht="15.75" customHeight="1">
      <c r="A713" s="15" t="s">
        <v>931</v>
      </c>
      <c r="B713" s="15" t="s">
        <v>2993</v>
      </c>
      <c r="C713" s="15">
        <v>2.0</v>
      </c>
      <c r="D713" s="15" t="s">
        <v>22</v>
      </c>
      <c r="E713" s="15">
        <v>0.81</v>
      </c>
      <c r="F713" s="15">
        <v>48.38</v>
      </c>
      <c r="G713" s="15">
        <v>30.75</v>
      </c>
      <c r="H713" s="15">
        <v>0.9</v>
      </c>
      <c r="I713" s="15">
        <v>0.64</v>
      </c>
      <c r="J713" s="15">
        <v>0.42</v>
      </c>
      <c r="K713" s="15">
        <v>0.07</v>
      </c>
      <c r="L713" s="15">
        <v>8.78</v>
      </c>
      <c r="M713" s="15" t="s">
        <v>25</v>
      </c>
    </row>
    <row r="714" ht="15.75" customHeight="1">
      <c r="A714" s="15" t="s">
        <v>1130</v>
      </c>
      <c r="B714" s="15" t="s">
        <v>2996</v>
      </c>
      <c r="C714" s="15">
        <v>2.0</v>
      </c>
      <c r="D714" s="15" t="s">
        <v>22</v>
      </c>
      <c r="E714" s="15">
        <v>0.81</v>
      </c>
      <c r="F714" s="15">
        <v>48.38</v>
      </c>
      <c r="G714" s="15">
        <v>30.49</v>
      </c>
      <c r="H714" s="15">
        <v>0.9</v>
      </c>
      <c r="I714" s="15">
        <v>0.65</v>
      </c>
      <c r="J714" s="15">
        <v>0.37</v>
      </c>
      <c r="K714" s="15">
        <v>0.05</v>
      </c>
      <c r="L714" s="15">
        <v>9.03</v>
      </c>
      <c r="M714" s="15" t="s">
        <v>25</v>
      </c>
    </row>
    <row r="715" ht="15.75" customHeight="1">
      <c r="A715" s="15" t="s">
        <v>1045</v>
      </c>
      <c r="B715" s="15" t="s">
        <v>2998</v>
      </c>
      <c r="C715" s="15">
        <v>2.0</v>
      </c>
      <c r="D715" s="15" t="s">
        <v>22</v>
      </c>
      <c r="E715" s="15">
        <v>0.81</v>
      </c>
      <c r="F715" s="15">
        <v>48.38</v>
      </c>
      <c r="G715" s="15">
        <v>30.33</v>
      </c>
      <c r="H715" s="15">
        <v>0.9</v>
      </c>
      <c r="I715" s="15">
        <v>0.66</v>
      </c>
      <c r="J715" s="15">
        <v>0.42</v>
      </c>
      <c r="K715" s="15">
        <v>0.06</v>
      </c>
      <c r="L715" s="15">
        <v>8.77</v>
      </c>
      <c r="M715" s="15" t="s">
        <v>25</v>
      </c>
    </row>
    <row r="716" ht="15.75" customHeight="1">
      <c r="A716" s="15" t="s">
        <v>1311</v>
      </c>
      <c r="B716" s="15" t="s">
        <v>3001</v>
      </c>
      <c r="C716" s="15">
        <v>2.0</v>
      </c>
      <c r="D716" s="15" t="s">
        <v>22</v>
      </c>
      <c r="E716" s="15">
        <v>0.81</v>
      </c>
      <c r="F716" s="15">
        <v>48.38</v>
      </c>
      <c r="G716" s="15">
        <v>30.36</v>
      </c>
      <c r="H716" s="15">
        <v>0.9</v>
      </c>
      <c r="I716" s="15">
        <v>0.66</v>
      </c>
      <c r="J716" s="15">
        <v>0.38</v>
      </c>
      <c r="K716" s="15">
        <v>0.05</v>
      </c>
      <c r="L716" s="15">
        <v>9.01</v>
      </c>
      <c r="M716" s="15" t="s">
        <v>25</v>
      </c>
    </row>
    <row r="717" ht="15.75" customHeight="1">
      <c r="A717" s="15" t="s">
        <v>1359</v>
      </c>
      <c r="B717" s="15" t="s">
        <v>3004</v>
      </c>
      <c r="C717" s="15">
        <v>2.0</v>
      </c>
      <c r="D717" s="15" t="s">
        <v>22</v>
      </c>
      <c r="E717" s="15">
        <v>0.81</v>
      </c>
      <c r="F717" s="15">
        <v>48.37</v>
      </c>
      <c r="G717" s="15">
        <v>30.22</v>
      </c>
      <c r="H717" s="15">
        <v>0.9</v>
      </c>
      <c r="I717" s="15">
        <v>0.67</v>
      </c>
      <c r="J717" s="15">
        <v>0.42</v>
      </c>
      <c r="K717" s="15">
        <v>0.06</v>
      </c>
      <c r="L717" s="15">
        <v>8.75</v>
      </c>
      <c r="M717" s="15" t="s">
        <v>25</v>
      </c>
    </row>
    <row r="718" ht="15.75" customHeight="1">
      <c r="A718" s="15" t="s">
        <v>252</v>
      </c>
      <c r="B718" s="15" t="s">
        <v>3006</v>
      </c>
      <c r="C718" s="15">
        <v>2.0</v>
      </c>
      <c r="D718" s="15" t="s">
        <v>22</v>
      </c>
      <c r="E718" s="15">
        <v>0.72</v>
      </c>
      <c r="F718" s="15">
        <v>48.37</v>
      </c>
      <c r="G718" s="15">
        <v>29.73</v>
      </c>
      <c r="H718" s="15">
        <v>0.89</v>
      </c>
      <c r="I718" s="15">
        <v>0.69</v>
      </c>
      <c r="J718" s="15">
        <v>0.31</v>
      </c>
      <c r="K718" s="15">
        <v>0.05</v>
      </c>
      <c r="L718" s="15">
        <v>9.26</v>
      </c>
      <c r="M718" s="15" t="s">
        <v>25</v>
      </c>
    </row>
    <row r="719" ht="15.75" customHeight="1">
      <c r="A719" s="15" t="s">
        <v>1221</v>
      </c>
      <c r="B719" s="15" t="s">
        <v>3009</v>
      </c>
      <c r="C719" s="15">
        <v>2.0</v>
      </c>
      <c r="D719" s="15" t="s">
        <v>22</v>
      </c>
      <c r="E719" s="15">
        <v>0.81</v>
      </c>
      <c r="F719" s="15">
        <v>48.36</v>
      </c>
      <c r="G719" s="15">
        <v>30.36</v>
      </c>
      <c r="H719" s="15">
        <v>0.9</v>
      </c>
      <c r="I719" s="15">
        <v>0.66</v>
      </c>
      <c r="J719" s="15">
        <v>0.37</v>
      </c>
      <c r="K719" s="15">
        <v>0.05</v>
      </c>
      <c r="L719" s="15">
        <v>9.01</v>
      </c>
      <c r="M719" s="15" t="s">
        <v>25</v>
      </c>
    </row>
    <row r="720" ht="15.75" customHeight="1">
      <c r="A720" s="15" t="s">
        <v>226</v>
      </c>
      <c r="B720" s="15" t="s">
        <v>3013</v>
      </c>
      <c r="C720" s="15">
        <v>2.0</v>
      </c>
      <c r="D720" s="15" t="s">
        <v>22</v>
      </c>
      <c r="E720" s="15">
        <v>0.73</v>
      </c>
      <c r="F720" s="15">
        <v>48.36</v>
      </c>
      <c r="G720" s="15">
        <v>29.55</v>
      </c>
      <c r="H720" s="15">
        <v>0.89</v>
      </c>
      <c r="I720" s="15">
        <v>0.7</v>
      </c>
      <c r="J720" s="15">
        <v>0.31</v>
      </c>
      <c r="K720" s="15">
        <v>0.05</v>
      </c>
      <c r="L720" s="15">
        <v>9.24</v>
      </c>
      <c r="M720" s="15" t="s">
        <v>25</v>
      </c>
    </row>
    <row r="721" ht="15.75" customHeight="1">
      <c r="A721" s="15" t="s">
        <v>715</v>
      </c>
      <c r="B721" s="15" t="s">
        <v>3016</v>
      </c>
      <c r="C721" s="15">
        <v>2.0</v>
      </c>
      <c r="D721" s="15" t="s">
        <v>22</v>
      </c>
      <c r="E721" s="15">
        <v>0.66</v>
      </c>
      <c r="F721" s="15">
        <v>48.36</v>
      </c>
      <c r="G721" s="15">
        <v>29.9</v>
      </c>
      <c r="H721" s="15">
        <v>0.87</v>
      </c>
      <c r="I721" s="15">
        <v>0.68</v>
      </c>
      <c r="J721" s="15">
        <v>0.36</v>
      </c>
      <c r="K721" s="15">
        <v>0.05</v>
      </c>
      <c r="L721" s="15">
        <v>8.95</v>
      </c>
      <c r="M721" s="15" t="s">
        <v>25</v>
      </c>
    </row>
    <row r="722" ht="15.75" customHeight="1">
      <c r="A722" s="15" t="s">
        <v>33</v>
      </c>
      <c r="B722" s="15" t="s">
        <v>3019</v>
      </c>
      <c r="C722" s="15">
        <v>2.0</v>
      </c>
      <c r="D722" s="15" t="s">
        <v>22</v>
      </c>
      <c r="E722" s="15">
        <v>0.72</v>
      </c>
      <c r="F722" s="15">
        <v>48.35</v>
      </c>
      <c r="G722" s="15">
        <v>29.57</v>
      </c>
      <c r="H722" s="15">
        <v>0.89</v>
      </c>
      <c r="I722" s="15">
        <v>0.7</v>
      </c>
      <c r="J722" s="15">
        <v>0.31</v>
      </c>
      <c r="K722" s="15">
        <v>0.05</v>
      </c>
      <c r="L722" s="15">
        <v>9.26</v>
      </c>
      <c r="M722" s="15" t="s">
        <v>25</v>
      </c>
    </row>
    <row r="723" ht="15.75" customHeight="1">
      <c r="A723" s="15" t="s">
        <v>1118</v>
      </c>
      <c r="B723" s="15" t="s">
        <v>3022</v>
      </c>
      <c r="C723" s="15">
        <v>2.0</v>
      </c>
      <c r="D723" s="15" t="s">
        <v>22</v>
      </c>
      <c r="E723" s="15">
        <v>0.81</v>
      </c>
      <c r="F723" s="15">
        <v>48.34</v>
      </c>
      <c r="G723" s="15">
        <v>30.7</v>
      </c>
      <c r="H723" s="15">
        <v>0.9</v>
      </c>
      <c r="I723" s="15">
        <v>0.64</v>
      </c>
      <c r="J723" s="15">
        <v>0.37</v>
      </c>
      <c r="K723" s="15">
        <v>0.05</v>
      </c>
      <c r="L723" s="15">
        <v>9.03</v>
      </c>
      <c r="M723" s="15" t="s">
        <v>25</v>
      </c>
    </row>
    <row r="724" ht="15.75" customHeight="1">
      <c r="A724" s="15" t="s">
        <v>165</v>
      </c>
      <c r="B724" s="15" t="s">
        <v>3025</v>
      </c>
      <c r="C724" s="15">
        <v>2.0</v>
      </c>
      <c r="D724" s="15" t="s">
        <v>22</v>
      </c>
      <c r="E724" s="15">
        <v>0.71</v>
      </c>
      <c r="F724" s="15">
        <v>48.34</v>
      </c>
      <c r="G724" s="15">
        <v>29.79</v>
      </c>
      <c r="H724" s="15">
        <v>0.89</v>
      </c>
      <c r="I724" s="15">
        <v>0.68</v>
      </c>
      <c r="J724" s="15">
        <v>0.31</v>
      </c>
      <c r="K724" s="15">
        <v>0.05</v>
      </c>
      <c r="L724" s="15">
        <v>9.26</v>
      </c>
      <c r="M724" s="15" t="s">
        <v>25</v>
      </c>
    </row>
    <row r="725" ht="15.75" customHeight="1">
      <c r="A725" s="15" t="s">
        <v>1268</v>
      </c>
      <c r="B725" s="15" t="s">
        <v>3027</v>
      </c>
      <c r="C725" s="15">
        <v>2.0</v>
      </c>
      <c r="D725" s="15" t="s">
        <v>22</v>
      </c>
      <c r="E725" s="15">
        <v>0.8</v>
      </c>
      <c r="F725" s="15">
        <v>48.33</v>
      </c>
      <c r="G725" s="15">
        <v>30.8</v>
      </c>
      <c r="H725" s="15">
        <v>0.9</v>
      </c>
      <c r="I725" s="15">
        <v>0.64</v>
      </c>
      <c r="J725" s="15">
        <v>0.37</v>
      </c>
      <c r="K725" s="15">
        <v>0.05</v>
      </c>
      <c r="L725" s="15">
        <v>9.07</v>
      </c>
      <c r="M725" s="15" t="s">
        <v>25</v>
      </c>
    </row>
    <row r="726" ht="15.75" customHeight="1">
      <c r="A726" s="15" t="s">
        <v>753</v>
      </c>
      <c r="B726" s="15" t="s">
        <v>3030</v>
      </c>
      <c r="C726" s="15">
        <v>2.0</v>
      </c>
      <c r="D726" s="15" t="s">
        <v>22</v>
      </c>
      <c r="E726" s="15">
        <v>0.67</v>
      </c>
      <c r="F726" s="15">
        <v>48.32</v>
      </c>
      <c r="G726" s="15">
        <v>29.7</v>
      </c>
      <c r="H726" s="15">
        <v>0.87</v>
      </c>
      <c r="I726" s="15">
        <v>0.69</v>
      </c>
      <c r="J726" s="15">
        <v>0.36</v>
      </c>
      <c r="K726" s="15">
        <v>0.05</v>
      </c>
      <c r="L726" s="15">
        <v>8.96</v>
      </c>
      <c r="M726" s="15" t="s">
        <v>25</v>
      </c>
    </row>
    <row r="727" ht="15.75" customHeight="1">
      <c r="A727" s="15" t="s">
        <v>155</v>
      </c>
      <c r="B727" s="15" t="s">
        <v>3033</v>
      </c>
      <c r="C727" s="15">
        <v>2.0</v>
      </c>
      <c r="D727" s="15" t="s">
        <v>22</v>
      </c>
      <c r="E727" s="15">
        <v>0.72</v>
      </c>
      <c r="F727" s="15">
        <v>48.32</v>
      </c>
      <c r="G727" s="15">
        <v>29.52</v>
      </c>
      <c r="H727" s="15">
        <v>0.89</v>
      </c>
      <c r="I727" s="15">
        <v>0.7</v>
      </c>
      <c r="J727" s="15">
        <v>0.32</v>
      </c>
      <c r="K727" s="15">
        <v>0.05</v>
      </c>
      <c r="L727" s="15">
        <v>9.24</v>
      </c>
      <c r="M727" s="15" t="s">
        <v>25</v>
      </c>
    </row>
    <row r="728" ht="15.75" customHeight="1">
      <c r="A728" s="15" t="s">
        <v>919</v>
      </c>
      <c r="B728" s="15" t="s">
        <v>3036</v>
      </c>
      <c r="C728" s="15">
        <v>2.0</v>
      </c>
      <c r="D728" s="15" t="s">
        <v>22</v>
      </c>
      <c r="E728" s="15">
        <v>0.79</v>
      </c>
      <c r="F728" s="15">
        <v>48.3</v>
      </c>
      <c r="G728" s="15">
        <v>30.3</v>
      </c>
      <c r="H728" s="15">
        <v>0.9</v>
      </c>
      <c r="I728" s="15">
        <v>0.66</v>
      </c>
      <c r="J728" s="15">
        <v>0.41</v>
      </c>
      <c r="K728" s="15">
        <v>0.06</v>
      </c>
      <c r="L728" s="15">
        <v>8.64</v>
      </c>
      <c r="M728" s="15" t="s">
        <v>25</v>
      </c>
    </row>
    <row r="729" ht="15.75" customHeight="1">
      <c r="A729" s="15" t="s">
        <v>899</v>
      </c>
      <c r="B729" s="15" t="s">
        <v>3038</v>
      </c>
      <c r="C729" s="15">
        <v>2.0</v>
      </c>
      <c r="D729" s="15" t="s">
        <v>22</v>
      </c>
      <c r="E729" s="15">
        <v>0.78</v>
      </c>
      <c r="F729" s="15">
        <v>48.3</v>
      </c>
      <c r="G729" s="15">
        <v>30.28</v>
      </c>
      <c r="H729" s="15">
        <v>0.9</v>
      </c>
      <c r="I729" s="15">
        <v>0.66</v>
      </c>
      <c r="J729" s="15">
        <v>0.41</v>
      </c>
      <c r="K729" s="15">
        <v>0.06</v>
      </c>
      <c r="L729" s="15">
        <v>8.61</v>
      </c>
      <c r="M729" s="15" t="s">
        <v>25</v>
      </c>
    </row>
    <row r="730" ht="15.75" customHeight="1">
      <c r="A730" s="15" t="s">
        <v>1259</v>
      </c>
      <c r="B730" s="15" t="s">
        <v>3042</v>
      </c>
      <c r="C730" s="15">
        <v>2.0</v>
      </c>
      <c r="D730" s="15" t="s">
        <v>22</v>
      </c>
      <c r="E730" s="15">
        <v>0.8</v>
      </c>
      <c r="F730" s="15">
        <v>48.3</v>
      </c>
      <c r="G730" s="15">
        <v>31.04</v>
      </c>
      <c r="H730" s="15">
        <v>0.9</v>
      </c>
      <c r="I730" s="15">
        <v>0.63</v>
      </c>
      <c r="J730" s="15">
        <v>0.37</v>
      </c>
      <c r="K730" s="15">
        <v>0.05</v>
      </c>
      <c r="L730" s="15">
        <v>9.09</v>
      </c>
      <c r="M730" s="15" t="s">
        <v>25</v>
      </c>
    </row>
    <row r="731" ht="15.75" customHeight="1">
      <c r="A731" s="15" t="s">
        <v>1183</v>
      </c>
      <c r="B731" s="15" t="s">
        <v>3046</v>
      </c>
      <c r="C731" s="15">
        <v>2.0</v>
      </c>
      <c r="D731" s="15" t="s">
        <v>22</v>
      </c>
      <c r="E731" s="15">
        <v>0.8</v>
      </c>
      <c r="F731" s="15">
        <v>48.3</v>
      </c>
      <c r="G731" s="15">
        <v>30.47</v>
      </c>
      <c r="H731" s="15">
        <v>0.9</v>
      </c>
      <c r="I731" s="15">
        <v>0.65</v>
      </c>
      <c r="J731" s="15">
        <v>0.37</v>
      </c>
      <c r="K731" s="15">
        <v>0.05</v>
      </c>
      <c r="L731" s="15">
        <v>9.08</v>
      </c>
      <c r="M731" s="15" t="s">
        <v>25</v>
      </c>
    </row>
    <row r="732" ht="15.75" customHeight="1">
      <c r="A732" s="15" t="s">
        <v>838</v>
      </c>
      <c r="B732" s="15" t="s">
        <v>3048</v>
      </c>
      <c r="C732" s="15">
        <v>2.0</v>
      </c>
      <c r="D732" s="15" t="s">
        <v>22</v>
      </c>
      <c r="E732" s="15">
        <v>0.79</v>
      </c>
      <c r="F732" s="15">
        <v>48.3</v>
      </c>
      <c r="G732" s="15">
        <v>30.48</v>
      </c>
      <c r="H732" s="15">
        <v>0.9</v>
      </c>
      <c r="I732" s="15">
        <v>0.65</v>
      </c>
      <c r="J732" s="15">
        <v>0.41</v>
      </c>
      <c r="K732" s="15">
        <v>0.07</v>
      </c>
      <c r="L732" s="15">
        <v>8.67</v>
      </c>
      <c r="M732" s="15" t="s">
        <v>25</v>
      </c>
    </row>
    <row r="733" ht="15.75" customHeight="1">
      <c r="A733" s="15" t="s">
        <v>1162</v>
      </c>
      <c r="B733" s="15" t="s">
        <v>3051</v>
      </c>
      <c r="C733" s="15">
        <v>2.0</v>
      </c>
      <c r="D733" s="15" t="s">
        <v>22</v>
      </c>
      <c r="E733" s="15">
        <v>0.63</v>
      </c>
      <c r="F733" s="15">
        <v>48.28</v>
      </c>
      <c r="G733" s="15">
        <v>29.42</v>
      </c>
      <c r="H733" s="15">
        <v>0.88</v>
      </c>
      <c r="I733" s="15">
        <v>0.7</v>
      </c>
      <c r="J733" s="15">
        <v>0.34</v>
      </c>
      <c r="K733" s="15">
        <v>0.05</v>
      </c>
      <c r="L733" s="15">
        <v>9.03</v>
      </c>
      <c r="M733" s="15" t="s">
        <v>25</v>
      </c>
    </row>
    <row r="734" ht="15.75" customHeight="1">
      <c r="A734" s="15" t="s">
        <v>1129</v>
      </c>
      <c r="B734" s="15" t="s">
        <v>3055</v>
      </c>
      <c r="C734" s="15">
        <v>2.0</v>
      </c>
      <c r="D734" s="15" t="s">
        <v>22</v>
      </c>
      <c r="E734" s="15">
        <v>0.63</v>
      </c>
      <c r="F734" s="15">
        <v>48.28</v>
      </c>
      <c r="G734" s="15">
        <v>29.42</v>
      </c>
      <c r="H734" s="15">
        <v>0.88</v>
      </c>
      <c r="I734" s="15">
        <v>0.7</v>
      </c>
      <c r="J734" s="15">
        <v>0.34</v>
      </c>
      <c r="K734" s="15">
        <v>0.05</v>
      </c>
      <c r="L734" s="15">
        <v>9.03</v>
      </c>
      <c r="M734" s="15" t="s">
        <v>25</v>
      </c>
    </row>
    <row r="735" ht="15.75" customHeight="1">
      <c r="A735" s="15" t="s">
        <v>967</v>
      </c>
      <c r="B735" s="15" t="s">
        <v>3058</v>
      </c>
      <c r="C735" s="15">
        <v>2.0</v>
      </c>
      <c r="D735" s="15" t="s">
        <v>22</v>
      </c>
      <c r="E735" s="15">
        <v>0.78</v>
      </c>
      <c r="F735" s="15">
        <v>48.27</v>
      </c>
      <c r="G735" s="15">
        <v>30.51</v>
      </c>
      <c r="H735" s="15">
        <v>0.9</v>
      </c>
      <c r="I735" s="15">
        <v>0.65</v>
      </c>
      <c r="J735" s="15">
        <v>0.41</v>
      </c>
      <c r="K735" s="15">
        <v>0.07</v>
      </c>
      <c r="L735" s="15">
        <v>8.67</v>
      </c>
      <c r="M735" s="15" t="s">
        <v>25</v>
      </c>
    </row>
    <row r="736" ht="15.75" customHeight="1">
      <c r="A736" s="15" t="s">
        <v>36</v>
      </c>
      <c r="B736" s="15" t="s">
        <v>3061</v>
      </c>
      <c r="C736" s="15">
        <v>2.0</v>
      </c>
      <c r="D736" s="15" t="s">
        <v>22</v>
      </c>
      <c r="E736" s="15">
        <v>0.81</v>
      </c>
      <c r="F736" s="15">
        <v>48.25</v>
      </c>
      <c r="G736" s="15">
        <v>28.9</v>
      </c>
      <c r="H736" s="15">
        <v>0.83</v>
      </c>
      <c r="I736" s="15">
        <v>0.73</v>
      </c>
      <c r="J736" s="15">
        <v>0.4</v>
      </c>
      <c r="K736" s="15">
        <v>0.05</v>
      </c>
      <c r="L736" s="15">
        <v>8.77</v>
      </c>
      <c r="M736" s="15" t="s">
        <v>25</v>
      </c>
    </row>
    <row r="737" ht="15.75" customHeight="1">
      <c r="A737" s="15" t="s">
        <v>3064</v>
      </c>
      <c r="B737" s="15" t="s">
        <v>3065</v>
      </c>
      <c r="C737" s="15">
        <v>2.0</v>
      </c>
      <c r="D737" s="15" t="s">
        <v>22</v>
      </c>
      <c r="E737" s="15">
        <v>0.81</v>
      </c>
      <c r="F737" s="15">
        <v>48.23</v>
      </c>
      <c r="G737" s="15">
        <v>29.96</v>
      </c>
      <c r="H737" s="15">
        <v>0.9</v>
      </c>
      <c r="I737" s="15">
        <v>0.68</v>
      </c>
      <c r="J737" s="15">
        <v>0.42</v>
      </c>
      <c r="K737" s="15">
        <v>0.07</v>
      </c>
      <c r="L737" s="15">
        <v>8.73</v>
      </c>
      <c r="M737" s="15" t="s">
        <v>25</v>
      </c>
    </row>
    <row r="738" ht="15.75" customHeight="1">
      <c r="A738" s="15" t="s">
        <v>1187</v>
      </c>
      <c r="B738" s="15" t="s">
        <v>3068</v>
      </c>
      <c r="C738" s="15">
        <v>2.0</v>
      </c>
      <c r="D738" s="15" t="s">
        <v>22</v>
      </c>
      <c r="E738" s="15">
        <v>0.8</v>
      </c>
      <c r="F738" s="15">
        <v>48.23</v>
      </c>
      <c r="G738" s="15">
        <v>31.21</v>
      </c>
      <c r="H738" s="15">
        <v>0.9</v>
      </c>
      <c r="I738" s="15">
        <v>0.62</v>
      </c>
      <c r="J738" s="15">
        <v>0.37</v>
      </c>
      <c r="K738" s="15">
        <v>0.05</v>
      </c>
      <c r="L738" s="15">
        <v>9.07</v>
      </c>
      <c r="M738" s="15" t="s">
        <v>25</v>
      </c>
    </row>
    <row r="739" ht="15.75" customHeight="1">
      <c r="A739" s="15" t="s">
        <v>1005</v>
      </c>
      <c r="B739" s="15" t="s">
        <v>3071</v>
      </c>
      <c r="C739" s="15">
        <v>2.0</v>
      </c>
      <c r="D739" s="15" t="s">
        <v>22</v>
      </c>
      <c r="E739" s="15">
        <v>0.79</v>
      </c>
      <c r="F739" s="15">
        <v>48.23</v>
      </c>
      <c r="G739" s="15">
        <v>30.62</v>
      </c>
      <c r="H739" s="15">
        <v>0.9</v>
      </c>
      <c r="I739" s="15">
        <v>0.65</v>
      </c>
      <c r="J739" s="15">
        <v>0.41</v>
      </c>
      <c r="K739" s="15">
        <v>0.07</v>
      </c>
      <c r="L739" s="15">
        <v>8.67</v>
      </c>
      <c r="M739" s="15" t="s">
        <v>25</v>
      </c>
    </row>
    <row r="740" ht="15.75" customHeight="1">
      <c r="A740" s="15" t="s">
        <v>1167</v>
      </c>
      <c r="B740" s="15" t="s">
        <v>3073</v>
      </c>
      <c r="C740" s="15">
        <v>2.0</v>
      </c>
      <c r="D740" s="15" t="s">
        <v>22</v>
      </c>
      <c r="E740" s="15">
        <v>0.62</v>
      </c>
      <c r="F740" s="15">
        <v>48.21</v>
      </c>
      <c r="G740" s="15">
        <v>29.66</v>
      </c>
      <c r="H740" s="15">
        <v>0.89</v>
      </c>
      <c r="I740" s="15">
        <v>0.69</v>
      </c>
      <c r="J740" s="15">
        <v>0.33</v>
      </c>
      <c r="K740" s="15">
        <v>0.05</v>
      </c>
      <c r="L740" s="15">
        <v>9.05</v>
      </c>
      <c r="M740" s="15" t="s">
        <v>25</v>
      </c>
    </row>
    <row r="741" ht="15.75" customHeight="1">
      <c r="A741" s="15" t="s">
        <v>787</v>
      </c>
      <c r="B741" s="15" t="s">
        <v>3078</v>
      </c>
      <c r="C741" s="15">
        <v>2.0</v>
      </c>
      <c r="D741" s="15" t="s">
        <v>22</v>
      </c>
      <c r="E741" s="15">
        <v>0.59</v>
      </c>
      <c r="F741" s="15">
        <v>48.21</v>
      </c>
      <c r="G741" s="15">
        <v>29.66</v>
      </c>
      <c r="H741" s="15">
        <v>0.89</v>
      </c>
      <c r="I741" s="15">
        <v>0.69</v>
      </c>
      <c r="J741" s="15">
        <v>0.38</v>
      </c>
      <c r="K741" s="15">
        <v>0.05</v>
      </c>
      <c r="L741" s="15">
        <v>8.88</v>
      </c>
      <c r="M741" s="15" t="s">
        <v>25</v>
      </c>
    </row>
    <row r="742" ht="15.75" customHeight="1">
      <c r="A742" s="15" t="s">
        <v>143</v>
      </c>
      <c r="B742" s="15" t="s">
        <v>3082</v>
      </c>
      <c r="C742" s="15">
        <v>2.0</v>
      </c>
      <c r="D742" s="15" t="s">
        <v>22</v>
      </c>
      <c r="E742" s="15">
        <v>0.81</v>
      </c>
      <c r="F742" s="15">
        <v>48.2</v>
      </c>
      <c r="G742" s="15">
        <v>29.07</v>
      </c>
      <c r="H742" s="15">
        <v>0.83</v>
      </c>
      <c r="I742" s="15">
        <v>0.72</v>
      </c>
      <c r="J742" s="15">
        <v>0.39</v>
      </c>
      <c r="K742" s="15">
        <v>0.05</v>
      </c>
      <c r="L742" s="15">
        <v>8.83</v>
      </c>
      <c r="M742" s="15" t="s">
        <v>25</v>
      </c>
    </row>
    <row r="743" ht="15.75" customHeight="1">
      <c r="A743" s="15" t="s">
        <v>782</v>
      </c>
      <c r="B743" s="15" t="s">
        <v>3085</v>
      </c>
      <c r="C743" s="15">
        <v>2.0</v>
      </c>
      <c r="D743" s="15" t="s">
        <v>22</v>
      </c>
      <c r="E743" s="15">
        <v>0.64</v>
      </c>
      <c r="F743" s="15">
        <v>48.19</v>
      </c>
      <c r="G743" s="15">
        <v>29.73</v>
      </c>
      <c r="H743" s="15">
        <v>0.89</v>
      </c>
      <c r="I743" s="15">
        <v>0.69</v>
      </c>
      <c r="J743" s="15">
        <v>0.36</v>
      </c>
      <c r="K743" s="15">
        <v>0.05</v>
      </c>
      <c r="L743" s="15">
        <v>9.0</v>
      </c>
      <c r="M743" s="15" t="s">
        <v>25</v>
      </c>
    </row>
    <row r="744" ht="15.75" customHeight="1">
      <c r="A744" s="15" t="s">
        <v>1278</v>
      </c>
      <c r="B744" s="15" t="s">
        <v>3088</v>
      </c>
      <c r="C744" s="15">
        <v>2.0</v>
      </c>
      <c r="D744" s="15" t="s">
        <v>22</v>
      </c>
      <c r="E744" s="15">
        <v>0.81</v>
      </c>
      <c r="F744" s="15">
        <v>48.18</v>
      </c>
      <c r="G744" s="15">
        <v>30.92</v>
      </c>
      <c r="H744" s="15">
        <v>0.9</v>
      </c>
      <c r="I744" s="15">
        <v>0.63</v>
      </c>
      <c r="J744" s="15">
        <v>0.37</v>
      </c>
      <c r="K744" s="15">
        <v>0.05</v>
      </c>
      <c r="L744" s="15">
        <v>9.03</v>
      </c>
      <c r="M744" s="15" t="s">
        <v>25</v>
      </c>
    </row>
    <row r="745" ht="15.75" customHeight="1">
      <c r="A745" s="15" t="s">
        <v>599</v>
      </c>
      <c r="B745" s="15" t="s">
        <v>3091</v>
      </c>
      <c r="C745" s="15">
        <v>2.0</v>
      </c>
      <c r="D745" s="15" t="s">
        <v>22</v>
      </c>
      <c r="E745" s="15">
        <v>0.81</v>
      </c>
      <c r="F745" s="15">
        <v>48.17</v>
      </c>
      <c r="G745" s="15">
        <v>29.21</v>
      </c>
      <c r="H745" s="15">
        <v>0.86</v>
      </c>
      <c r="I745" s="15">
        <v>0.71</v>
      </c>
      <c r="J745" s="15">
        <v>0.38</v>
      </c>
      <c r="K745" s="15">
        <v>0.05</v>
      </c>
      <c r="L745" s="15">
        <v>9.04</v>
      </c>
      <c r="M745" s="15" t="s">
        <v>25</v>
      </c>
    </row>
    <row r="746" ht="15.75" customHeight="1">
      <c r="A746" s="15" t="s">
        <v>836</v>
      </c>
      <c r="B746" s="15" t="s">
        <v>3093</v>
      </c>
      <c r="C746" s="15">
        <v>2.0</v>
      </c>
      <c r="D746" s="15" t="s">
        <v>22</v>
      </c>
      <c r="E746" s="15">
        <v>0.59</v>
      </c>
      <c r="F746" s="15">
        <v>48.16</v>
      </c>
      <c r="G746" s="15">
        <v>30.4</v>
      </c>
      <c r="H746" s="15">
        <v>0.89</v>
      </c>
      <c r="I746" s="15">
        <v>0.66</v>
      </c>
      <c r="J746" s="15">
        <v>0.38</v>
      </c>
      <c r="K746" s="15">
        <v>0.05</v>
      </c>
      <c r="L746" s="15">
        <v>8.89</v>
      </c>
      <c r="M746" s="15" t="s">
        <v>25</v>
      </c>
    </row>
    <row r="747" ht="15.75" customHeight="1">
      <c r="A747" s="15" t="s">
        <v>560</v>
      </c>
      <c r="B747" s="15" t="s">
        <v>3096</v>
      </c>
      <c r="C747" s="15">
        <v>2.0</v>
      </c>
      <c r="D747" s="15" t="s">
        <v>22</v>
      </c>
      <c r="E747" s="15">
        <v>0.79</v>
      </c>
      <c r="F747" s="15">
        <v>48.15</v>
      </c>
      <c r="G747" s="15">
        <v>29.1</v>
      </c>
      <c r="H747" s="15">
        <v>0.84</v>
      </c>
      <c r="I747" s="15">
        <v>0.71</v>
      </c>
      <c r="J747" s="15">
        <v>0.39</v>
      </c>
      <c r="K747" s="15">
        <v>0.05</v>
      </c>
      <c r="L747" s="15">
        <v>8.82</v>
      </c>
      <c r="M747" s="15" t="s">
        <v>25</v>
      </c>
    </row>
    <row r="748" ht="15.75" customHeight="1">
      <c r="A748" s="15" t="s">
        <v>891</v>
      </c>
      <c r="B748" s="15" t="s">
        <v>3099</v>
      </c>
      <c r="C748" s="15">
        <v>2.0</v>
      </c>
      <c r="D748" s="15" t="s">
        <v>22</v>
      </c>
      <c r="E748" s="15">
        <v>0.79</v>
      </c>
      <c r="F748" s="15">
        <v>48.15</v>
      </c>
      <c r="G748" s="15">
        <v>30.45</v>
      </c>
      <c r="H748" s="15">
        <v>0.9</v>
      </c>
      <c r="I748" s="15">
        <v>0.65</v>
      </c>
      <c r="J748" s="15">
        <v>0.41</v>
      </c>
      <c r="K748" s="15">
        <v>0.06</v>
      </c>
      <c r="L748" s="15">
        <v>8.65</v>
      </c>
      <c r="M748" s="15" t="s">
        <v>25</v>
      </c>
    </row>
    <row r="749" ht="15.75" customHeight="1">
      <c r="A749" s="15" t="s">
        <v>85</v>
      </c>
      <c r="B749" s="15" t="s">
        <v>3101</v>
      </c>
      <c r="C749" s="15">
        <v>2.0</v>
      </c>
      <c r="D749" s="15" t="s">
        <v>22</v>
      </c>
      <c r="E749" s="15">
        <v>0.82</v>
      </c>
      <c r="F749" s="15">
        <v>48.14</v>
      </c>
      <c r="G749" s="15">
        <v>29.46</v>
      </c>
      <c r="H749" s="15">
        <v>0.86</v>
      </c>
      <c r="I749" s="15">
        <v>0.7</v>
      </c>
      <c r="J749" s="15">
        <v>0.38</v>
      </c>
      <c r="K749" s="15">
        <v>0.05</v>
      </c>
      <c r="L749" s="15">
        <v>9.04</v>
      </c>
      <c r="M749" s="15" t="s">
        <v>25</v>
      </c>
    </row>
    <row r="750" ht="15.75" customHeight="1">
      <c r="A750" s="15" t="s">
        <v>733</v>
      </c>
      <c r="B750" s="15" t="s">
        <v>3104</v>
      </c>
      <c r="C750" s="15">
        <v>2.0</v>
      </c>
      <c r="D750" s="15" t="s">
        <v>22</v>
      </c>
      <c r="E750" s="15">
        <v>0.8</v>
      </c>
      <c r="F750" s="15">
        <v>48.13</v>
      </c>
      <c r="G750" s="15">
        <v>29.87</v>
      </c>
      <c r="H750" s="15">
        <v>0.9</v>
      </c>
      <c r="I750" s="15">
        <v>0.68</v>
      </c>
      <c r="J750" s="15">
        <v>0.43</v>
      </c>
      <c r="K750" s="15">
        <v>0.06</v>
      </c>
      <c r="L750" s="15">
        <v>8.68</v>
      </c>
      <c r="M750" s="15" t="s">
        <v>25</v>
      </c>
    </row>
    <row r="751" ht="15.75" customHeight="1">
      <c r="A751" s="15" t="s">
        <v>3107</v>
      </c>
      <c r="B751" s="15" t="s">
        <v>3108</v>
      </c>
      <c r="C751" s="15">
        <v>2.0</v>
      </c>
      <c r="D751" s="15" t="s">
        <v>22</v>
      </c>
      <c r="E751" s="15">
        <v>0.8</v>
      </c>
      <c r="F751" s="15">
        <v>48.13</v>
      </c>
      <c r="G751" s="15">
        <v>30.74</v>
      </c>
      <c r="H751" s="15">
        <v>0.91</v>
      </c>
      <c r="I751" s="15">
        <v>0.64</v>
      </c>
      <c r="J751" s="15">
        <v>0.37</v>
      </c>
      <c r="K751" s="15">
        <v>0.05</v>
      </c>
      <c r="L751" s="15">
        <v>9.07</v>
      </c>
      <c r="M751" s="15" t="s">
        <v>25</v>
      </c>
    </row>
    <row r="752" ht="15.75" customHeight="1">
      <c r="A752" s="15" t="s">
        <v>51</v>
      </c>
      <c r="B752" s="15" t="s">
        <v>3111</v>
      </c>
      <c r="C752" s="15">
        <v>2.0</v>
      </c>
      <c r="D752" s="15" t="s">
        <v>22</v>
      </c>
      <c r="E752" s="15">
        <v>0.81</v>
      </c>
      <c r="F752" s="15">
        <v>48.11</v>
      </c>
      <c r="G752" s="15">
        <v>29.19</v>
      </c>
      <c r="H752" s="15">
        <v>0.86</v>
      </c>
      <c r="I752" s="15">
        <v>0.71</v>
      </c>
      <c r="J752" s="15">
        <v>0.4</v>
      </c>
      <c r="K752" s="15">
        <v>0.05</v>
      </c>
      <c r="L752" s="15">
        <v>8.91</v>
      </c>
      <c r="M752" s="15" t="s">
        <v>25</v>
      </c>
    </row>
    <row r="753" ht="15.75" customHeight="1">
      <c r="A753" s="15" t="s">
        <v>1143</v>
      </c>
      <c r="B753" s="15" t="s">
        <v>3113</v>
      </c>
      <c r="C753" s="15">
        <v>2.0</v>
      </c>
      <c r="D753" s="15" t="s">
        <v>22</v>
      </c>
      <c r="E753" s="15">
        <v>0.55</v>
      </c>
      <c r="F753" s="15">
        <v>48.1</v>
      </c>
      <c r="G753" s="15">
        <v>30.45</v>
      </c>
      <c r="H753" s="15">
        <v>0.89</v>
      </c>
      <c r="I753" s="15">
        <v>0.65</v>
      </c>
      <c r="J753" s="15">
        <v>0.55</v>
      </c>
      <c r="K753" s="15">
        <v>0.08</v>
      </c>
      <c r="L753" s="15">
        <v>8.14</v>
      </c>
      <c r="M753" s="15" t="s">
        <v>25</v>
      </c>
    </row>
    <row r="754" ht="15.75" customHeight="1">
      <c r="A754" s="15" t="s">
        <v>3116</v>
      </c>
      <c r="B754" s="15" t="s">
        <v>3117</v>
      </c>
      <c r="C754" s="15">
        <v>2.0</v>
      </c>
      <c r="D754" s="15" t="s">
        <v>22</v>
      </c>
      <c r="E754" s="15">
        <v>0.79</v>
      </c>
      <c r="F754" s="15">
        <v>48.1</v>
      </c>
      <c r="G754" s="15">
        <v>30.27</v>
      </c>
      <c r="H754" s="15">
        <v>0.9</v>
      </c>
      <c r="I754" s="15">
        <v>0.66</v>
      </c>
      <c r="J754" s="15">
        <v>0.41</v>
      </c>
      <c r="K754" s="15">
        <v>0.07</v>
      </c>
      <c r="L754" s="15">
        <v>8.61</v>
      </c>
      <c r="M754" s="15" t="s">
        <v>25</v>
      </c>
    </row>
    <row r="755" ht="15.75" customHeight="1">
      <c r="A755" s="15" t="s">
        <v>3120</v>
      </c>
      <c r="B755" s="15" t="s">
        <v>3121</v>
      </c>
      <c r="C755" s="15">
        <v>2.0</v>
      </c>
      <c r="D755" s="15" t="s">
        <v>22</v>
      </c>
      <c r="E755" s="15">
        <v>0.79</v>
      </c>
      <c r="F755" s="15">
        <v>48.1</v>
      </c>
      <c r="G755" s="15">
        <v>30.63</v>
      </c>
      <c r="H755" s="15">
        <v>0.9</v>
      </c>
      <c r="I755" s="15">
        <v>0.64</v>
      </c>
      <c r="J755" s="15">
        <v>0.41</v>
      </c>
      <c r="K755" s="15">
        <v>0.07</v>
      </c>
      <c r="L755" s="15">
        <v>8.67</v>
      </c>
      <c r="M755" s="15" t="s">
        <v>25</v>
      </c>
    </row>
    <row r="756" ht="15.75" customHeight="1">
      <c r="A756" s="15" t="s">
        <v>588</v>
      </c>
      <c r="B756" s="15" t="s">
        <v>3125</v>
      </c>
      <c r="C756" s="15">
        <v>2.0</v>
      </c>
      <c r="D756" s="15" t="s">
        <v>22</v>
      </c>
      <c r="E756" s="15">
        <v>0.81</v>
      </c>
      <c r="F756" s="15">
        <v>48.09</v>
      </c>
      <c r="G756" s="15">
        <v>29.02</v>
      </c>
      <c r="H756" s="15">
        <v>0.84</v>
      </c>
      <c r="I756" s="15">
        <v>0.72</v>
      </c>
      <c r="J756" s="15">
        <v>0.39</v>
      </c>
      <c r="K756" s="15">
        <v>0.05</v>
      </c>
      <c r="L756" s="15">
        <v>8.83</v>
      </c>
      <c r="M756" s="15" t="s">
        <v>25</v>
      </c>
    </row>
    <row r="757" ht="15.75" customHeight="1">
      <c r="A757" s="15" t="s">
        <v>498</v>
      </c>
      <c r="B757" s="15" t="s">
        <v>3128</v>
      </c>
      <c r="C757" s="15">
        <v>2.0</v>
      </c>
      <c r="D757" s="15" t="s">
        <v>22</v>
      </c>
      <c r="E757" s="15">
        <v>0.56</v>
      </c>
      <c r="F757" s="15">
        <v>48.07</v>
      </c>
      <c r="G757" s="15">
        <v>29.61</v>
      </c>
      <c r="H757" s="15">
        <v>0.88</v>
      </c>
      <c r="I757" s="15">
        <v>0.69</v>
      </c>
      <c r="J757" s="15">
        <v>0.44</v>
      </c>
      <c r="K757" s="15">
        <v>0.07</v>
      </c>
      <c r="L757" s="15">
        <v>8.63</v>
      </c>
      <c r="M757" s="15" t="s">
        <v>25</v>
      </c>
    </row>
    <row r="758" ht="15.75" customHeight="1">
      <c r="A758" s="15" t="s">
        <v>75</v>
      </c>
      <c r="B758" s="15" t="s">
        <v>3131</v>
      </c>
      <c r="C758" s="15">
        <v>2.0</v>
      </c>
      <c r="D758" s="15" t="s">
        <v>22</v>
      </c>
      <c r="E758" s="15">
        <v>0.81</v>
      </c>
      <c r="F758" s="15">
        <v>48.06</v>
      </c>
      <c r="G758" s="15">
        <v>29.34</v>
      </c>
      <c r="H758" s="15">
        <v>0.86</v>
      </c>
      <c r="I758" s="15">
        <v>0.7</v>
      </c>
      <c r="J758" s="15">
        <v>0.37</v>
      </c>
      <c r="K758" s="15">
        <v>0.05</v>
      </c>
      <c r="L758" s="15">
        <v>9.06</v>
      </c>
      <c r="M758" s="15" t="s">
        <v>25</v>
      </c>
    </row>
    <row r="759" ht="15.75" customHeight="1">
      <c r="A759" s="15" t="s">
        <v>1093</v>
      </c>
      <c r="B759" s="15" t="s">
        <v>3133</v>
      </c>
      <c r="C759" s="15">
        <v>2.0</v>
      </c>
      <c r="D759" s="15" t="s">
        <v>22</v>
      </c>
      <c r="E759" s="15">
        <v>0.8</v>
      </c>
      <c r="F759" s="15">
        <v>48.04</v>
      </c>
      <c r="G759" s="15">
        <v>29.11</v>
      </c>
      <c r="H759" s="15">
        <v>0.84</v>
      </c>
      <c r="I759" s="15">
        <v>0.71</v>
      </c>
      <c r="J759" s="15">
        <v>0.39</v>
      </c>
      <c r="K759" s="15">
        <v>0.05</v>
      </c>
      <c r="L759" s="15">
        <v>8.84</v>
      </c>
      <c r="M759" s="15" t="s">
        <v>25</v>
      </c>
    </row>
    <row r="760" ht="15.75" customHeight="1">
      <c r="A760" s="15" t="s">
        <v>904</v>
      </c>
      <c r="B760" s="15" t="s">
        <v>3136</v>
      </c>
      <c r="C760" s="15">
        <v>2.0</v>
      </c>
      <c r="D760" s="15" t="s">
        <v>22</v>
      </c>
      <c r="E760" s="15">
        <v>0.8</v>
      </c>
      <c r="F760" s="15">
        <v>48.01</v>
      </c>
      <c r="G760" s="15">
        <v>29.23</v>
      </c>
      <c r="H760" s="15">
        <v>0.84</v>
      </c>
      <c r="I760" s="15">
        <v>0.71</v>
      </c>
      <c r="J760" s="15">
        <v>0.39</v>
      </c>
      <c r="K760" s="15">
        <v>0.05</v>
      </c>
      <c r="L760" s="15">
        <v>8.85</v>
      </c>
      <c r="M760" s="15" t="s">
        <v>25</v>
      </c>
    </row>
    <row r="761" ht="15.75" customHeight="1">
      <c r="A761" s="15" t="s">
        <v>66</v>
      </c>
      <c r="B761" s="15" t="s">
        <v>3138</v>
      </c>
      <c r="C761" s="15">
        <v>2.0</v>
      </c>
      <c r="D761" s="15" t="s">
        <v>22</v>
      </c>
      <c r="E761" s="15">
        <v>0.81</v>
      </c>
      <c r="F761" s="15">
        <v>48.01</v>
      </c>
      <c r="G761" s="15">
        <v>28.91</v>
      </c>
      <c r="H761" s="15">
        <v>0.84</v>
      </c>
      <c r="I761" s="15">
        <v>0.72</v>
      </c>
      <c r="J761" s="15">
        <v>0.38</v>
      </c>
      <c r="K761" s="15">
        <v>0.05</v>
      </c>
      <c r="L761" s="15">
        <v>8.9</v>
      </c>
      <c r="M761" s="15" t="s">
        <v>25</v>
      </c>
    </row>
    <row r="762" ht="15.75" customHeight="1">
      <c r="A762" s="15" t="s">
        <v>58</v>
      </c>
      <c r="B762" s="15" t="s">
        <v>3141</v>
      </c>
      <c r="C762" s="15">
        <v>2.0</v>
      </c>
      <c r="D762" s="15" t="s">
        <v>22</v>
      </c>
      <c r="E762" s="15">
        <v>0.77</v>
      </c>
      <c r="F762" s="15">
        <v>48.0</v>
      </c>
      <c r="G762" s="15">
        <v>28.53</v>
      </c>
      <c r="H762" s="15">
        <v>0.79</v>
      </c>
      <c r="I762" s="15">
        <v>0.74</v>
      </c>
      <c r="J762" s="15">
        <v>0.45</v>
      </c>
      <c r="K762" s="15">
        <v>0.06</v>
      </c>
      <c r="L762" s="15">
        <v>8.46</v>
      </c>
      <c r="M762" s="15" t="s">
        <v>25</v>
      </c>
    </row>
    <row r="763" ht="15.75" customHeight="1">
      <c r="A763" s="15" t="s">
        <v>2714</v>
      </c>
      <c r="B763" s="15" t="s">
        <v>3144</v>
      </c>
      <c r="C763" s="15">
        <v>2.0</v>
      </c>
      <c r="D763" s="15" t="s">
        <v>22</v>
      </c>
      <c r="E763" s="15">
        <v>0.75</v>
      </c>
      <c r="F763" s="15">
        <v>48.0</v>
      </c>
      <c r="G763" s="15">
        <v>28.48</v>
      </c>
      <c r="H763" s="15">
        <v>0.81</v>
      </c>
      <c r="I763" s="15">
        <v>0.74</v>
      </c>
      <c r="J763" s="15">
        <v>0.53</v>
      </c>
      <c r="K763" s="15">
        <v>0.07</v>
      </c>
      <c r="L763" s="15">
        <v>8.04</v>
      </c>
      <c r="M763" s="15" t="s">
        <v>25</v>
      </c>
    </row>
    <row r="764" ht="15.75" customHeight="1">
      <c r="A764" s="15" t="s">
        <v>676</v>
      </c>
      <c r="B764" s="15" t="s">
        <v>3146</v>
      </c>
      <c r="C764" s="15">
        <v>2.0</v>
      </c>
      <c r="D764" s="15" t="s">
        <v>22</v>
      </c>
      <c r="E764" s="15">
        <v>0.67</v>
      </c>
      <c r="F764" s="15">
        <v>48.0</v>
      </c>
      <c r="G764" s="15">
        <v>29.86</v>
      </c>
      <c r="H764" s="15">
        <v>0.88</v>
      </c>
      <c r="I764" s="15">
        <v>0.68</v>
      </c>
      <c r="J764" s="15">
        <v>0.35</v>
      </c>
      <c r="K764" s="15">
        <v>0.05</v>
      </c>
      <c r="L764" s="15">
        <v>8.98</v>
      </c>
      <c r="M764" s="15" t="s">
        <v>25</v>
      </c>
    </row>
    <row r="765" ht="15.75" customHeight="1">
      <c r="A765" s="15" t="s">
        <v>662</v>
      </c>
      <c r="B765" s="15" t="s">
        <v>3148</v>
      </c>
      <c r="C765" s="15">
        <v>2.0</v>
      </c>
      <c r="D765" s="15" t="s">
        <v>22</v>
      </c>
      <c r="E765" s="15">
        <v>0.57</v>
      </c>
      <c r="F765" s="15">
        <v>47.99</v>
      </c>
      <c r="G765" s="15">
        <v>32.89</v>
      </c>
      <c r="H765" s="15">
        <v>0.88</v>
      </c>
      <c r="I765" s="15">
        <v>0.56</v>
      </c>
      <c r="J765" s="15">
        <v>0.42</v>
      </c>
      <c r="K765" s="15">
        <v>0.06</v>
      </c>
      <c r="L765" s="15">
        <v>8.81</v>
      </c>
      <c r="M765" s="15" t="s">
        <v>25</v>
      </c>
    </row>
    <row r="766" ht="15.75" customHeight="1">
      <c r="A766" s="15" t="s">
        <v>819</v>
      </c>
      <c r="B766" s="15" t="s">
        <v>3151</v>
      </c>
      <c r="C766" s="15">
        <v>2.0</v>
      </c>
      <c r="D766" s="15" t="s">
        <v>22</v>
      </c>
      <c r="E766" s="15">
        <v>0.81</v>
      </c>
      <c r="F766" s="15">
        <v>47.98</v>
      </c>
      <c r="G766" s="15">
        <v>28.83</v>
      </c>
      <c r="H766" s="15">
        <v>0.84</v>
      </c>
      <c r="I766" s="15">
        <v>0.73</v>
      </c>
      <c r="J766" s="15">
        <v>0.39</v>
      </c>
      <c r="K766" s="15">
        <v>0.05</v>
      </c>
      <c r="L766" s="15">
        <v>8.84</v>
      </c>
      <c r="M766" s="15" t="s">
        <v>25</v>
      </c>
    </row>
    <row r="767" ht="15.75" customHeight="1">
      <c r="A767" s="15" t="s">
        <v>599</v>
      </c>
      <c r="B767" s="15" t="s">
        <v>3154</v>
      </c>
      <c r="C767" s="15">
        <v>2.0</v>
      </c>
      <c r="D767" s="15" t="s">
        <v>22</v>
      </c>
      <c r="E767" s="15">
        <v>0.8</v>
      </c>
      <c r="F767" s="15">
        <v>47.98</v>
      </c>
      <c r="G767" s="15">
        <v>29.06</v>
      </c>
      <c r="H767" s="15">
        <v>0.84</v>
      </c>
      <c r="I767" s="15">
        <v>0.71</v>
      </c>
      <c r="J767" s="15">
        <v>0.39</v>
      </c>
      <c r="K767" s="15">
        <v>0.05</v>
      </c>
      <c r="L767" s="15">
        <v>8.86</v>
      </c>
      <c r="M767" s="15" t="s">
        <v>25</v>
      </c>
    </row>
    <row r="768" ht="15.75" customHeight="1">
      <c r="A768" s="15" t="s">
        <v>118</v>
      </c>
      <c r="B768" s="15" t="s">
        <v>3158</v>
      </c>
      <c r="C768" s="15">
        <v>2.0</v>
      </c>
      <c r="D768" s="15" t="s">
        <v>22</v>
      </c>
      <c r="E768" s="15">
        <v>0.82</v>
      </c>
      <c r="F768" s="15">
        <v>47.96</v>
      </c>
      <c r="G768" s="15">
        <v>29.48</v>
      </c>
      <c r="H768" s="15">
        <v>0.86</v>
      </c>
      <c r="I768" s="15">
        <v>0.69</v>
      </c>
      <c r="J768" s="15">
        <v>0.37</v>
      </c>
      <c r="K768" s="15">
        <v>0.05</v>
      </c>
      <c r="L768" s="15">
        <v>9.07</v>
      </c>
      <c r="M768" s="15" t="s">
        <v>25</v>
      </c>
    </row>
    <row r="769" ht="15.75" customHeight="1">
      <c r="A769" s="15" t="s">
        <v>954</v>
      </c>
      <c r="B769" s="15" t="s">
        <v>3162</v>
      </c>
      <c r="C769" s="15">
        <v>2.0</v>
      </c>
      <c r="D769" s="15" t="s">
        <v>22</v>
      </c>
      <c r="E769" s="15">
        <v>0.53</v>
      </c>
      <c r="F769" s="15">
        <v>47.96</v>
      </c>
      <c r="G769" s="15">
        <v>30.31</v>
      </c>
      <c r="H769" s="15">
        <v>0.88</v>
      </c>
      <c r="I769" s="15">
        <v>0.66</v>
      </c>
      <c r="J769" s="15">
        <v>0.44</v>
      </c>
      <c r="K769" s="15">
        <v>0.06</v>
      </c>
      <c r="L769" s="15">
        <v>8.68</v>
      </c>
      <c r="M769" s="15" t="s">
        <v>25</v>
      </c>
    </row>
    <row r="770" ht="15.75" customHeight="1">
      <c r="A770" s="15" t="s">
        <v>538</v>
      </c>
      <c r="B770" s="15" t="s">
        <v>3165</v>
      </c>
      <c r="C770" s="15">
        <v>2.0</v>
      </c>
      <c r="D770" s="15" t="s">
        <v>22</v>
      </c>
      <c r="E770" s="15">
        <v>0.8</v>
      </c>
      <c r="F770" s="15">
        <v>47.95</v>
      </c>
      <c r="G770" s="15">
        <v>29.05</v>
      </c>
      <c r="H770" s="15">
        <v>0.84</v>
      </c>
      <c r="I770" s="15">
        <v>0.71</v>
      </c>
      <c r="J770" s="15">
        <v>0.39</v>
      </c>
      <c r="K770" s="15">
        <v>0.05</v>
      </c>
      <c r="L770" s="15">
        <v>8.85</v>
      </c>
      <c r="M770" s="15" t="s">
        <v>25</v>
      </c>
    </row>
    <row r="771" ht="15.75" customHeight="1">
      <c r="A771" s="15" t="s">
        <v>2608</v>
      </c>
      <c r="B771" s="15" t="s">
        <v>3168</v>
      </c>
      <c r="C771" s="15">
        <v>2.0</v>
      </c>
      <c r="D771" s="15" t="s">
        <v>22</v>
      </c>
      <c r="E771" s="15">
        <v>0.72</v>
      </c>
      <c r="F771" s="15">
        <v>47.95</v>
      </c>
      <c r="G771" s="15">
        <v>29.22</v>
      </c>
      <c r="H771" s="15">
        <v>0.83</v>
      </c>
      <c r="I771" s="15">
        <v>0.71</v>
      </c>
      <c r="J771" s="15">
        <v>0.59</v>
      </c>
      <c r="K771" s="15">
        <v>0.08</v>
      </c>
      <c r="L771" s="15">
        <v>7.79</v>
      </c>
      <c r="M771" s="15" t="s">
        <v>25</v>
      </c>
    </row>
    <row r="772" ht="15.75" customHeight="1">
      <c r="A772" s="15" t="s">
        <v>85</v>
      </c>
      <c r="B772" s="15" t="s">
        <v>3171</v>
      </c>
      <c r="C772" s="15">
        <v>2.0</v>
      </c>
      <c r="D772" s="15" t="s">
        <v>22</v>
      </c>
      <c r="E772" s="15">
        <v>0.81</v>
      </c>
      <c r="F772" s="15">
        <v>47.95</v>
      </c>
      <c r="G772" s="15">
        <v>28.91</v>
      </c>
      <c r="H772" s="15">
        <v>0.84</v>
      </c>
      <c r="I772" s="15">
        <v>0.72</v>
      </c>
      <c r="J772" s="15">
        <v>0.39</v>
      </c>
      <c r="K772" s="15">
        <v>0.05</v>
      </c>
      <c r="L772" s="15">
        <v>8.85</v>
      </c>
      <c r="M772" s="15" t="s">
        <v>25</v>
      </c>
    </row>
    <row r="773" ht="15.75" customHeight="1">
      <c r="A773" s="15" t="s">
        <v>214</v>
      </c>
      <c r="B773" s="15" t="s">
        <v>3174</v>
      </c>
      <c r="C773" s="15">
        <v>2.0</v>
      </c>
      <c r="D773" s="15" t="s">
        <v>22</v>
      </c>
      <c r="E773" s="15">
        <v>0.73</v>
      </c>
      <c r="F773" s="15">
        <v>47.95</v>
      </c>
      <c r="G773" s="15">
        <v>29.38</v>
      </c>
      <c r="H773" s="15">
        <v>0.89</v>
      </c>
      <c r="I773" s="15">
        <v>0.7</v>
      </c>
      <c r="J773" s="15">
        <v>0.31</v>
      </c>
      <c r="K773" s="15">
        <v>0.05</v>
      </c>
      <c r="L773" s="15">
        <v>9.22</v>
      </c>
      <c r="M773" s="15" t="s">
        <v>25</v>
      </c>
    </row>
    <row r="774" ht="15.75" customHeight="1">
      <c r="A774" s="15" t="s">
        <v>915</v>
      </c>
      <c r="B774" s="15" t="s">
        <v>3177</v>
      </c>
      <c r="C774" s="15">
        <v>2.0</v>
      </c>
      <c r="D774" s="15" t="s">
        <v>22</v>
      </c>
      <c r="E774" s="15">
        <v>0.82</v>
      </c>
      <c r="F774" s="15">
        <v>47.94</v>
      </c>
      <c r="G774" s="15">
        <v>29.61</v>
      </c>
      <c r="H774" s="15">
        <v>0.9</v>
      </c>
      <c r="I774" s="15">
        <v>0.69</v>
      </c>
      <c r="J774" s="15">
        <v>0.41</v>
      </c>
      <c r="K774" s="15">
        <v>0.06</v>
      </c>
      <c r="L774" s="15">
        <v>8.57</v>
      </c>
      <c r="M774" s="15" t="s">
        <v>25</v>
      </c>
    </row>
    <row r="775" ht="15.75" customHeight="1">
      <c r="A775" s="15" t="s">
        <v>430</v>
      </c>
      <c r="B775" s="15" t="s">
        <v>3180</v>
      </c>
      <c r="C775" s="15">
        <v>2.0</v>
      </c>
      <c r="D775" s="15" t="s">
        <v>22</v>
      </c>
      <c r="E775" s="15">
        <v>0.69</v>
      </c>
      <c r="F775" s="15">
        <v>47.93</v>
      </c>
      <c r="G775" s="15">
        <v>29.68</v>
      </c>
      <c r="H775" s="15">
        <v>0.88</v>
      </c>
      <c r="I775" s="15">
        <v>0.68</v>
      </c>
      <c r="J775" s="15">
        <v>0.36</v>
      </c>
      <c r="K775" s="15">
        <v>0.06</v>
      </c>
      <c r="L775" s="15">
        <v>8.43</v>
      </c>
      <c r="M775" s="15" t="s">
        <v>25</v>
      </c>
    </row>
    <row r="776" ht="15.75" customHeight="1">
      <c r="A776" s="15" t="s">
        <v>805</v>
      </c>
      <c r="B776" s="15" t="s">
        <v>3183</v>
      </c>
      <c r="C776" s="15">
        <v>2.0</v>
      </c>
      <c r="D776" s="15" t="s">
        <v>22</v>
      </c>
      <c r="E776" s="15">
        <v>0.77</v>
      </c>
      <c r="F776" s="15">
        <v>47.91</v>
      </c>
      <c r="G776" s="15">
        <v>30.51</v>
      </c>
      <c r="H776" s="15">
        <v>0.9</v>
      </c>
      <c r="I776" s="15">
        <v>0.65</v>
      </c>
      <c r="J776" s="15">
        <v>0.46</v>
      </c>
      <c r="K776" s="15">
        <v>0.07</v>
      </c>
      <c r="L776" s="15">
        <v>8.37</v>
      </c>
      <c r="M776" s="15" t="s">
        <v>25</v>
      </c>
    </row>
    <row r="777" ht="15.75" customHeight="1">
      <c r="A777" s="15" t="s">
        <v>875</v>
      </c>
      <c r="B777" s="15" t="s">
        <v>3187</v>
      </c>
      <c r="C777" s="15">
        <v>2.0</v>
      </c>
      <c r="D777" s="15" t="s">
        <v>22</v>
      </c>
      <c r="E777" s="15">
        <v>0.79</v>
      </c>
      <c r="F777" s="15">
        <v>47.9</v>
      </c>
      <c r="G777" s="15">
        <v>30.37</v>
      </c>
      <c r="H777" s="15">
        <v>0.9</v>
      </c>
      <c r="I777" s="15">
        <v>0.65</v>
      </c>
      <c r="J777" s="15">
        <v>0.41</v>
      </c>
      <c r="K777" s="15">
        <v>0.07</v>
      </c>
      <c r="L777" s="15">
        <v>8.67</v>
      </c>
      <c r="M777" s="15" t="s">
        <v>25</v>
      </c>
    </row>
    <row r="778" ht="15.75" customHeight="1">
      <c r="A778" s="15" t="s">
        <v>575</v>
      </c>
      <c r="B778" s="15" t="s">
        <v>3190</v>
      </c>
      <c r="C778" s="15">
        <v>2.0</v>
      </c>
      <c r="D778" s="15" t="s">
        <v>22</v>
      </c>
      <c r="E778" s="15">
        <v>0.82</v>
      </c>
      <c r="F778" s="15">
        <v>47.89</v>
      </c>
      <c r="G778" s="15">
        <v>28.88</v>
      </c>
      <c r="H778" s="15">
        <v>0.84</v>
      </c>
      <c r="I778" s="15">
        <v>0.72</v>
      </c>
      <c r="J778" s="15">
        <v>0.39</v>
      </c>
      <c r="K778" s="15">
        <v>0.05</v>
      </c>
      <c r="L778" s="15">
        <v>8.86</v>
      </c>
      <c r="M778" s="15" t="s">
        <v>25</v>
      </c>
    </row>
    <row r="779" ht="15.75" customHeight="1">
      <c r="A779" s="15" t="s">
        <v>565</v>
      </c>
      <c r="B779" s="15" t="s">
        <v>3193</v>
      </c>
      <c r="C779" s="15">
        <v>2.0</v>
      </c>
      <c r="D779" s="15" t="s">
        <v>22</v>
      </c>
      <c r="E779" s="15">
        <v>0.7</v>
      </c>
      <c r="F779" s="15">
        <v>47.89</v>
      </c>
      <c r="G779" s="15">
        <v>29.38</v>
      </c>
      <c r="H779" s="15">
        <v>0.89</v>
      </c>
      <c r="I779" s="15">
        <v>0.7</v>
      </c>
      <c r="J779" s="15">
        <v>0.34</v>
      </c>
      <c r="K779" s="15">
        <v>0.05</v>
      </c>
      <c r="L779" s="15">
        <v>9.06</v>
      </c>
      <c r="M779" s="15" t="s">
        <v>25</v>
      </c>
    </row>
    <row r="780" ht="15.75" customHeight="1">
      <c r="A780" s="15" t="s">
        <v>1918</v>
      </c>
      <c r="B780" s="15" t="s">
        <v>3197</v>
      </c>
      <c r="C780" s="15">
        <v>2.0</v>
      </c>
      <c r="D780" s="15" t="s">
        <v>22</v>
      </c>
      <c r="E780" s="15">
        <v>0.57</v>
      </c>
      <c r="F780" s="15">
        <v>47.88</v>
      </c>
      <c r="G780" s="15">
        <v>30.17</v>
      </c>
      <c r="H780" s="15">
        <v>0.9</v>
      </c>
      <c r="I780" s="15">
        <v>0.66</v>
      </c>
      <c r="J780" s="15">
        <v>0.52</v>
      </c>
      <c r="K780" s="15">
        <v>0.1</v>
      </c>
      <c r="L780" s="15">
        <v>7.82</v>
      </c>
      <c r="M780" s="15" t="s">
        <v>25</v>
      </c>
    </row>
    <row r="781" ht="15.75" customHeight="1">
      <c r="A781" s="15" t="s">
        <v>233</v>
      </c>
      <c r="B781" s="15" t="s">
        <v>3200</v>
      </c>
      <c r="C781" s="15">
        <v>2.0</v>
      </c>
      <c r="D781" s="15" t="s">
        <v>22</v>
      </c>
      <c r="E781" s="15">
        <v>0.72</v>
      </c>
      <c r="F781" s="15">
        <v>47.87</v>
      </c>
      <c r="G781" s="15">
        <v>29.25</v>
      </c>
      <c r="H781" s="15">
        <v>0.89</v>
      </c>
      <c r="I781" s="15">
        <v>0.7</v>
      </c>
      <c r="J781" s="15">
        <v>0.31</v>
      </c>
      <c r="K781" s="15">
        <v>0.05</v>
      </c>
      <c r="L781" s="15">
        <v>9.25</v>
      </c>
      <c r="M781" s="15" t="s">
        <v>25</v>
      </c>
    </row>
    <row r="782" ht="15.75" customHeight="1">
      <c r="A782" s="15" t="s">
        <v>160</v>
      </c>
      <c r="B782" s="15" t="s">
        <v>3203</v>
      </c>
      <c r="C782" s="15">
        <v>2.0</v>
      </c>
      <c r="D782" s="15" t="s">
        <v>22</v>
      </c>
      <c r="E782" s="15">
        <v>0.71</v>
      </c>
      <c r="F782" s="15">
        <v>47.87</v>
      </c>
      <c r="G782" s="15">
        <v>29.35</v>
      </c>
      <c r="H782" s="15">
        <v>0.89</v>
      </c>
      <c r="I782" s="15">
        <v>0.7</v>
      </c>
      <c r="J782" s="15">
        <v>0.31</v>
      </c>
      <c r="K782" s="15">
        <v>0.05</v>
      </c>
      <c r="L782" s="15">
        <v>9.24</v>
      </c>
      <c r="M782" s="15" t="s">
        <v>25</v>
      </c>
    </row>
    <row r="783" ht="15.75" customHeight="1">
      <c r="A783" s="15" t="s">
        <v>868</v>
      </c>
      <c r="B783" s="15" t="s">
        <v>3206</v>
      </c>
      <c r="C783" s="15">
        <v>2.0</v>
      </c>
      <c r="D783" s="15" t="s">
        <v>22</v>
      </c>
      <c r="E783" s="15">
        <v>0.65</v>
      </c>
      <c r="F783" s="15">
        <v>47.87</v>
      </c>
      <c r="G783" s="15">
        <v>29.74</v>
      </c>
      <c r="H783" s="15">
        <v>0.88</v>
      </c>
      <c r="I783" s="15">
        <v>0.68</v>
      </c>
      <c r="J783" s="15">
        <v>0.35</v>
      </c>
      <c r="K783" s="15">
        <v>0.05</v>
      </c>
      <c r="L783" s="15">
        <v>8.99</v>
      </c>
      <c r="M783" s="15" t="s">
        <v>25</v>
      </c>
    </row>
    <row r="784" ht="15.75" customHeight="1">
      <c r="A784" s="15" t="s">
        <v>204</v>
      </c>
      <c r="B784" s="15" t="s">
        <v>3209</v>
      </c>
      <c r="C784" s="15">
        <v>2.0</v>
      </c>
      <c r="D784" s="15" t="s">
        <v>22</v>
      </c>
      <c r="E784" s="15">
        <v>0.72</v>
      </c>
      <c r="F784" s="15">
        <v>47.86</v>
      </c>
      <c r="G784" s="15">
        <v>29.35</v>
      </c>
      <c r="H784" s="15">
        <v>0.89</v>
      </c>
      <c r="I784" s="15">
        <v>0.7</v>
      </c>
      <c r="J784" s="15">
        <v>0.31</v>
      </c>
      <c r="K784" s="15">
        <v>0.05</v>
      </c>
      <c r="L784" s="15">
        <v>9.23</v>
      </c>
      <c r="M784" s="15" t="s">
        <v>25</v>
      </c>
    </row>
    <row r="785" ht="15.75" customHeight="1">
      <c r="A785" s="15" t="s">
        <v>90</v>
      </c>
      <c r="B785" s="15" t="s">
        <v>3212</v>
      </c>
      <c r="C785" s="15">
        <v>2.0</v>
      </c>
      <c r="D785" s="15" t="s">
        <v>22</v>
      </c>
      <c r="E785" s="15">
        <v>0.82</v>
      </c>
      <c r="F785" s="15">
        <v>47.86</v>
      </c>
      <c r="G785" s="15">
        <v>29.13</v>
      </c>
      <c r="H785" s="15">
        <v>0.85</v>
      </c>
      <c r="I785" s="15">
        <v>0.71</v>
      </c>
      <c r="J785" s="15">
        <v>0.43</v>
      </c>
      <c r="K785" s="15">
        <v>0.06</v>
      </c>
      <c r="L785" s="15">
        <v>8.48</v>
      </c>
      <c r="M785" s="15" t="s">
        <v>25</v>
      </c>
    </row>
    <row r="786" ht="15.75" customHeight="1">
      <c r="A786" s="15" t="s">
        <v>335</v>
      </c>
      <c r="B786" s="15" t="s">
        <v>3215</v>
      </c>
      <c r="C786" s="15">
        <v>2.0</v>
      </c>
      <c r="D786" s="15" t="s">
        <v>22</v>
      </c>
      <c r="E786" s="15">
        <v>0.72</v>
      </c>
      <c r="F786" s="15">
        <v>47.85</v>
      </c>
      <c r="G786" s="15">
        <v>29.35</v>
      </c>
      <c r="H786" s="15">
        <v>0.89</v>
      </c>
      <c r="I786" s="15">
        <v>0.7</v>
      </c>
      <c r="J786" s="15">
        <v>0.31</v>
      </c>
      <c r="K786" s="15">
        <v>0.05</v>
      </c>
      <c r="L786" s="15">
        <v>9.26</v>
      </c>
      <c r="M786" s="15" t="s">
        <v>25</v>
      </c>
    </row>
    <row r="787" ht="15.75" customHeight="1">
      <c r="A787" s="15" t="s">
        <v>1011</v>
      </c>
      <c r="B787" s="15" t="s">
        <v>3218</v>
      </c>
      <c r="C787" s="15">
        <v>2.0</v>
      </c>
      <c r="D787" s="15" t="s">
        <v>22</v>
      </c>
      <c r="E787" s="15">
        <v>0.8</v>
      </c>
      <c r="F787" s="15">
        <v>47.81</v>
      </c>
      <c r="G787" s="15">
        <v>29.05</v>
      </c>
      <c r="H787" s="15">
        <v>0.84</v>
      </c>
      <c r="I787" s="15">
        <v>0.71</v>
      </c>
      <c r="J787" s="15">
        <v>0.39</v>
      </c>
      <c r="K787" s="15">
        <v>0.05</v>
      </c>
      <c r="L787" s="15">
        <v>8.86</v>
      </c>
      <c r="M787" s="15" t="s">
        <v>25</v>
      </c>
    </row>
    <row r="788" ht="15.75" customHeight="1">
      <c r="A788" s="15" t="s">
        <v>492</v>
      </c>
      <c r="B788" s="15" t="s">
        <v>3221</v>
      </c>
      <c r="C788" s="15">
        <v>2.0</v>
      </c>
      <c r="D788" s="15" t="s">
        <v>22</v>
      </c>
      <c r="E788" s="15">
        <v>0.65</v>
      </c>
      <c r="F788" s="15">
        <v>47.75</v>
      </c>
      <c r="G788" s="15">
        <v>29.75</v>
      </c>
      <c r="H788" s="15">
        <v>0.88</v>
      </c>
      <c r="I788" s="15">
        <v>0.68</v>
      </c>
      <c r="J788" s="15">
        <v>0.35</v>
      </c>
      <c r="K788" s="15">
        <v>0.05</v>
      </c>
      <c r="L788" s="15">
        <v>8.98</v>
      </c>
      <c r="M788" s="15" t="s">
        <v>25</v>
      </c>
    </row>
    <row r="789" ht="15.75" customHeight="1">
      <c r="A789" s="15" t="s">
        <v>655</v>
      </c>
      <c r="B789" s="15" t="s">
        <v>3224</v>
      </c>
      <c r="C789" s="15">
        <v>2.0</v>
      </c>
      <c r="D789" s="15" t="s">
        <v>22</v>
      </c>
      <c r="E789" s="15">
        <v>0.56</v>
      </c>
      <c r="F789" s="15">
        <v>47.71</v>
      </c>
      <c r="G789" s="15">
        <v>33.4</v>
      </c>
      <c r="H789" s="15">
        <v>0.89</v>
      </c>
      <c r="I789" s="15">
        <v>0.54</v>
      </c>
      <c r="J789" s="15">
        <v>0.42</v>
      </c>
      <c r="K789" s="15">
        <v>0.06</v>
      </c>
      <c r="L789" s="15">
        <v>8.78</v>
      </c>
      <c r="M789" s="15" t="s">
        <v>25</v>
      </c>
    </row>
    <row r="790" ht="15.75" customHeight="1">
      <c r="A790" s="15" t="s">
        <v>637</v>
      </c>
      <c r="B790" s="15" t="s">
        <v>3226</v>
      </c>
      <c r="C790" s="15">
        <v>2.0</v>
      </c>
      <c r="D790" s="15" t="s">
        <v>22</v>
      </c>
      <c r="E790" s="15">
        <v>0.65</v>
      </c>
      <c r="F790" s="15">
        <v>47.7</v>
      </c>
      <c r="G790" s="15">
        <v>29.68</v>
      </c>
      <c r="H790" s="15">
        <v>0.88</v>
      </c>
      <c r="I790" s="15">
        <v>0.68</v>
      </c>
      <c r="J790" s="15">
        <v>0.36</v>
      </c>
      <c r="K790" s="15">
        <v>0.05</v>
      </c>
      <c r="L790" s="15">
        <v>8.96</v>
      </c>
      <c r="M790" s="15" t="s">
        <v>25</v>
      </c>
    </row>
    <row r="791" ht="15.75" customHeight="1">
      <c r="A791" s="15" t="s">
        <v>847</v>
      </c>
      <c r="B791" s="15" t="s">
        <v>3229</v>
      </c>
      <c r="C791" s="15">
        <v>2.0</v>
      </c>
      <c r="D791" s="15" t="s">
        <v>22</v>
      </c>
      <c r="E791" s="15">
        <v>0.78</v>
      </c>
      <c r="F791" s="15">
        <v>47.67</v>
      </c>
      <c r="G791" s="15">
        <v>30.28</v>
      </c>
      <c r="H791" s="15">
        <v>0.9</v>
      </c>
      <c r="I791" s="15">
        <v>0.65</v>
      </c>
      <c r="J791" s="15">
        <v>0.43</v>
      </c>
      <c r="K791" s="15">
        <v>0.07</v>
      </c>
      <c r="L791" s="15">
        <v>8.54</v>
      </c>
      <c r="M791" s="15" t="s">
        <v>25</v>
      </c>
    </row>
    <row r="792" ht="15.75" customHeight="1">
      <c r="A792" s="15" t="s">
        <v>268</v>
      </c>
      <c r="B792" s="15" t="s">
        <v>3232</v>
      </c>
      <c r="C792" s="15">
        <v>2.0</v>
      </c>
      <c r="D792" s="15" t="s">
        <v>22</v>
      </c>
      <c r="E792" s="15">
        <v>0.56</v>
      </c>
      <c r="F792" s="15">
        <v>47.67</v>
      </c>
      <c r="G792" s="15">
        <v>33.13</v>
      </c>
      <c r="H792" s="15">
        <v>0.9</v>
      </c>
      <c r="I792" s="15">
        <v>0.55</v>
      </c>
      <c r="J792" s="15">
        <v>0.42</v>
      </c>
      <c r="K792" s="15">
        <v>0.06</v>
      </c>
      <c r="L792" s="15">
        <v>8.78</v>
      </c>
      <c r="M792" s="15" t="s">
        <v>25</v>
      </c>
    </row>
    <row r="793" ht="15.75" customHeight="1">
      <c r="A793" s="15" t="s">
        <v>743</v>
      </c>
      <c r="B793" s="15" t="s">
        <v>3235</v>
      </c>
      <c r="C793" s="15">
        <v>2.0</v>
      </c>
      <c r="D793" s="15" t="s">
        <v>22</v>
      </c>
      <c r="E793" s="15">
        <v>0.65</v>
      </c>
      <c r="F793" s="15">
        <v>47.66</v>
      </c>
      <c r="G793" s="15">
        <v>29.68</v>
      </c>
      <c r="H793" s="15">
        <v>0.88</v>
      </c>
      <c r="I793" s="15">
        <v>0.68</v>
      </c>
      <c r="J793" s="15">
        <v>0.36</v>
      </c>
      <c r="K793" s="15">
        <v>0.05</v>
      </c>
      <c r="L793" s="15">
        <v>8.96</v>
      </c>
      <c r="M793" s="15" t="s">
        <v>25</v>
      </c>
    </row>
    <row r="794" ht="15.75" customHeight="1">
      <c r="A794" s="15" t="s">
        <v>665</v>
      </c>
      <c r="B794" s="15" t="s">
        <v>3238</v>
      </c>
      <c r="C794" s="15">
        <v>2.0</v>
      </c>
      <c r="D794" s="15" t="s">
        <v>22</v>
      </c>
      <c r="E794" s="15">
        <v>0.66</v>
      </c>
      <c r="F794" s="15">
        <v>47.66</v>
      </c>
      <c r="G794" s="15">
        <v>29.79</v>
      </c>
      <c r="H794" s="15">
        <v>0.88</v>
      </c>
      <c r="I794" s="15">
        <v>0.67</v>
      </c>
      <c r="J794" s="15">
        <v>0.35</v>
      </c>
      <c r="K794" s="15">
        <v>0.05</v>
      </c>
      <c r="L794" s="15">
        <v>8.99</v>
      </c>
      <c r="M794" s="15" t="s">
        <v>25</v>
      </c>
    </row>
    <row r="795" ht="15.75" customHeight="1">
      <c r="A795" s="15" t="s">
        <v>1147</v>
      </c>
      <c r="B795" s="15" t="s">
        <v>3241</v>
      </c>
      <c r="C795" s="15">
        <v>2.0</v>
      </c>
      <c r="D795" s="15" t="s">
        <v>22</v>
      </c>
      <c r="E795" s="15">
        <v>0.62</v>
      </c>
      <c r="F795" s="15">
        <v>47.65</v>
      </c>
      <c r="G795" s="15">
        <v>29.42</v>
      </c>
      <c r="H795" s="15">
        <v>0.89</v>
      </c>
      <c r="I795" s="15">
        <v>0.69</v>
      </c>
      <c r="J795" s="15">
        <v>0.34</v>
      </c>
      <c r="K795" s="15">
        <v>0.05</v>
      </c>
      <c r="L795" s="15">
        <v>9.03</v>
      </c>
      <c r="M795" s="15" t="s">
        <v>25</v>
      </c>
    </row>
    <row r="796" ht="15.75" customHeight="1">
      <c r="A796" s="15" t="s">
        <v>1141</v>
      </c>
      <c r="B796" s="15" t="s">
        <v>3244</v>
      </c>
      <c r="C796" s="15">
        <v>2.0</v>
      </c>
      <c r="D796" s="15" t="s">
        <v>22</v>
      </c>
      <c r="E796" s="15">
        <v>0.62</v>
      </c>
      <c r="F796" s="15">
        <v>47.65</v>
      </c>
      <c r="G796" s="15">
        <v>29.42</v>
      </c>
      <c r="H796" s="15">
        <v>0.89</v>
      </c>
      <c r="I796" s="15">
        <v>0.69</v>
      </c>
      <c r="J796" s="15">
        <v>0.34</v>
      </c>
      <c r="K796" s="15">
        <v>0.05</v>
      </c>
      <c r="L796" s="15">
        <v>9.03</v>
      </c>
      <c r="M796" s="15" t="s">
        <v>25</v>
      </c>
    </row>
    <row r="797" ht="15.75" customHeight="1">
      <c r="A797" s="15" t="s">
        <v>692</v>
      </c>
      <c r="B797" s="15" t="s">
        <v>3247</v>
      </c>
      <c r="C797" s="15">
        <v>2.0</v>
      </c>
      <c r="D797" s="15" t="s">
        <v>22</v>
      </c>
      <c r="E797" s="15">
        <v>0.66</v>
      </c>
      <c r="F797" s="15">
        <v>47.64</v>
      </c>
      <c r="G797" s="15">
        <v>29.78</v>
      </c>
      <c r="H797" s="15">
        <v>0.88</v>
      </c>
      <c r="I797" s="15">
        <v>0.68</v>
      </c>
      <c r="J797" s="15">
        <v>0.36</v>
      </c>
      <c r="K797" s="15">
        <v>0.05</v>
      </c>
      <c r="L797" s="15">
        <v>8.96</v>
      </c>
      <c r="M797" s="15" t="s">
        <v>25</v>
      </c>
    </row>
    <row r="798" ht="15.75" customHeight="1">
      <c r="A798" s="15" t="s">
        <v>719</v>
      </c>
      <c r="B798" s="15" t="s">
        <v>3250</v>
      </c>
      <c r="C798" s="15">
        <v>2.0</v>
      </c>
      <c r="D798" s="15" t="s">
        <v>22</v>
      </c>
      <c r="E798" s="15">
        <v>0.66</v>
      </c>
      <c r="F798" s="15">
        <v>47.63</v>
      </c>
      <c r="G798" s="15">
        <v>29.7</v>
      </c>
      <c r="H798" s="15">
        <v>0.88</v>
      </c>
      <c r="I798" s="15">
        <v>0.68</v>
      </c>
      <c r="J798" s="15">
        <v>0.36</v>
      </c>
      <c r="K798" s="15">
        <v>0.05</v>
      </c>
      <c r="L798" s="15">
        <v>8.96</v>
      </c>
      <c r="M798" s="15" t="s">
        <v>25</v>
      </c>
    </row>
    <row r="799" ht="15.75" customHeight="1">
      <c r="A799" s="15" t="s">
        <v>657</v>
      </c>
      <c r="B799" s="15" t="s">
        <v>3253</v>
      </c>
      <c r="C799" s="15">
        <v>2.0</v>
      </c>
      <c r="D799" s="15" t="s">
        <v>22</v>
      </c>
      <c r="E799" s="15">
        <v>0.66</v>
      </c>
      <c r="F799" s="15">
        <v>47.62</v>
      </c>
      <c r="G799" s="15">
        <v>29.78</v>
      </c>
      <c r="H799" s="15">
        <v>0.88</v>
      </c>
      <c r="I799" s="15">
        <v>0.67</v>
      </c>
      <c r="J799" s="15">
        <v>0.36</v>
      </c>
      <c r="K799" s="15">
        <v>0.05</v>
      </c>
      <c r="L799" s="15">
        <v>8.95</v>
      </c>
      <c r="M799" s="15" t="s">
        <v>25</v>
      </c>
    </row>
    <row r="800" ht="15.75" customHeight="1">
      <c r="A800" s="15" t="s">
        <v>438</v>
      </c>
      <c r="B800" s="15" t="s">
        <v>3256</v>
      </c>
      <c r="C800" s="15">
        <v>2.0</v>
      </c>
      <c r="D800" s="15" t="s">
        <v>22</v>
      </c>
      <c r="E800" s="15">
        <v>0.56</v>
      </c>
      <c r="F800" s="15">
        <v>47.47</v>
      </c>
      <c r="G800" s="15">
        <v>32.48</v>
      </c>
      <c r="H800" s="15">
        <v>0.89</v>
      </c>
      <c r="I800" s="15">
        <v>0.57</v>
      </c>
      <c r="J800" s="15">
        <v>0.42</v>
      </c>
      <c r="K800" s="15">
        <v>0.06</v>
      </c>
      <c r="L800" s="15">
        <v>8.79</v>
      </c>
      <c r="M800" s="15" t="s">
        <v>25</v>
      </c>
    </row>
    <row r="801" ht="15.75" customHeight="1">
      <c r="A801" s="15" t="s">
        <v>961</v>
      </c>
      <c r="B801" s="15" t="s">
        <v>3259</v>
      </c>
      <c r="C801" s="15">
        <v>2.0</v>
      </c>
      <c r="D801" s="15" t="s">
        <v>22</v>
      </c>
      <c r="E801" s="15">
        <v>0.79</v>
      </c>
      <c r="F801" s="15">
        <v>47.37</v>
      </c>
      <c r="G801" s="15">
        <v>29.95</v>
      </c>
      <c r="H801" s="15">
        <v>0.91</v>
      </c>
      <c r="I801" s="15">
        <v>0.66</v>
      </c>
      <c r="J801" s="15">
        <v>0.41</v>
      </c>
      <c r="K801" s="15">
        <v>0.06</v>
      </c>
      <c r="L801" s="15">
        <v>8.62</v>
      </c>
      <c r="M801" s="15" t="s">
        <v>25</v>
      </c>
    </row>
    <row r="802" ht="15.75" customHeight="1">
      <c r="A802" s="15" t="s">
        <v>1700</v>
      </c>
      <c r="B802" s="15" t="s">
        <v>3262</v>
      </c>
      <c r="C802" s="15">
        <v>2.0</v>
      </c>
      <c r="D802" s="15" t="s">
        <v>22</v>
      </c>
      <c r="E802" s="15">
        <v>0.33</v>
      </c>
      <c r="F802" s="15">
        <v>47.36</v>
      </c>
      <c r="G802" s="15">
        <v>32.31</v>
      </c>
      <c r="H802" s="15">
        <v>0.9</v>
      </c>
      <c r="I802" s="15">
        <v>0.57</v>
      </c>
      <c r="J802" s="15">
        <v>0.55</v>
      </c>
      <c r="K802" s="15">
        <v>0.14</v>
      </c>
      <c r="L802" s="15">
        <v>7.68</v>
      </c>
      <c r="M802" s="15" t="s">
        <v>25</v>
      </c>
    </row>
    <row r="803" ht="15.75" customHeight="1">
      <c r="A803" s="15" t="s">
        <v>1204</v>
      </c>
      <c r="B803" s="15" t="s">
        <v>3265</v>
      </c>
      <c r="C803" s="15">
        <v>2.0</v>
      </c>
      <c r="D803" s="15" t="s">
        <v>22</v>
      </c>
      <c r="E803" s="15">
        <v>0.78</v>
      </c>
      <c r="F803" s="15">
        <v>47.34</v>
      </c>
      <c r="G803" s="15">
        <v>28.57</v>
      </c>
      <c r="H803" s="15">
        <v>0.84</v>
      </c>
      <c r="I803" s="15">
        <v>0.73</v>
      </c>
      <c r="J803" s="15">
        <v>0.41</v>
      </c>
      <c r="K803" s="15">
        <v>0.06</v>
      </c>
      <c r="L803" s="15">
        <v>8.72</v>
      </c>
      <c r="M803" s="15" t="s">
        <v>25</v>
      </c>
    </row>
    <row r="804" ht="15.75" customHeight="1">
      <c r="A804" s="15" t="s">
        <v>223</v>
      </c>
      <c r="B804" s="15" t="s">
        <v>3268</v>
      </c>
      <c r="C804" s="15">
        <v>2.0</v>
      </c>
      <c r="D804" s="15" t="s">
        <v>22</v>
      </c>
      <c r="E804" s="15">
        <v>0.77</v>
      </c>
      <c r="F804" s="15">
        <v>47.34</v>
      </c>
      <c r="G804" s="15">
        <v>28.57</v>
      </c>
      <c r="H804" s="15">
        <v>0.84</v>
      </c>
      <c r="I804" s="15">
        <v>0.73</v>
      </c>
      <c r="J804" s="15">
        <v>0.41</v>
      </c>
      <c r="K804" s="15">
        <v>0.06</v>
      </c>
      <c r="L804" s="15">
        <v>8.71</v>
      </c>
      <c r="M804" s="15" t="s">
        <v>25</v>
      </c>
    </row>
    <row r="805" ht="15.75" customHeight="1">
      <c r="A805" s="15" t="s">
        <v>1193</v>
      </c>
      <c r="B805" s="15" t="s">
        <v>3271</v>
      </c>
      <c r="C805" s="15">
        <v>2.0</v>
      </c>
      <c r="D805" s="15" t="s">
        <v>22</v>
      </c>
      <c r="E805" s="15">
        <v>0.76</v>
      </c>
      <c r="F805" s="15">
        <v>47.34</v>
      </c>
      <c r="G805" s="15">
        <v>28.57</v>
      </c>
      <c r="H805" s="15">
        <v>0.84</v>
      </c>
      <c r="I805" s="15">
        <v>0.73</v>
      </c>
      <c r="J805" s="15">
        <v>0.41</v>
      </c>
      <c r="K805" s="15">
        <v>0.06</v>
      </c>
      <c r="L805" s="15">
        <v>8.73</v>
      </c>
      <c r="M805" s="15" t="s">
        <v>25</v>
      </c>
    </row>
    <row r="806" ht="15.75" customHeight="1">
      <c r="A806" s="15" t="s">
        <v>681</v>
      </c>
      <c r="B806" s="15" t="s">
        <v>3274</v>
      </c>
      <c r="C806" s="15">
        <v>2.0</v>
      </c>
      <c r="D806" s="15" t="s">
        <v>22</v>
      </c>
      <c r="E806" s="15">
        <v>0.66</v>
      </c>
      <c r="F806" s="15">
        <v>47.32</v>
      </c>
      <c r="G806" s="15">
        <v>29.51</v>
      </c>
      <c r="H806" s="15">
        <v>0.88</v>
      </c>
      <c r="I806" s="15">
        <v>0.68</v>
      </c>
      <c r="J806" s="15">
        <v>0.35</v>
      </c>
      <c r="K806" s="15">
        <v>0.05</v>
      </c>
      <c r="L806" s="15">
        <v>9.0</v>
      </c>
      <c r="M806" s="15" t="s">
        <v>25</v>
      </c>
    </row>
    <row r="807" ht="15.75" customHeight="1">
      <c r="A807" s="15" t="s">
        <v>183</v>
      </c>
      <c r="B807" s="15" t="s">
        <v>3277</v>
      </c>
      <c r="C807" s="15">
        <v>2.0</v>
      </c>
      <c r="D807" s="15" t="s">
        <v>22</v>
      </c>
      <c r="E807" s="15">
        <v>0.77</v>
      </c>
      <c r="F807" s="15">
        <v>47.31</v>
      </c>
      <c r="G807" s="15">
        <v>28.7</v>
      </c>
      <c r="H807" s="15">
        <v>0.84</v>
      </c>
      <c r="I807" s="15">
        <v>0.72</v>
      </c>
      <c r="J807" s="15">
        <v>0.41</v>
      </c>
      <c r="K807" s="15">
        <v>0.06</v>
      </c>
      <c r="L807" s="15">
        <v>8.71</v>
      </c>
      <c r="M807" s="15" t="s">
        <v>25</v>
      </c>
    </row>
    <row r="808" ht="15.75" customHeight="1">
      <c r="A808" s="15" t="s">
        <v>289</v>
      </c>
      <c r="B808" s="15" t="s">
        <v>3280</v>
      </c>
      <c r="C808" s="15">
        <v>2.0</v>
      </c>
      <c r="D808" s="15" t="s">
        <v>22</v>
      </c>
      <c r="E808" s="15">
        <v>0.56</v>
      </c>
      <c r="F808" s="15">
        <v>47.31</v>
      </c>
      <c r="G808" s="15">
        <v>32.82</v>
      </c>
      <c r="H808" s="15">
        <v>0.89</v>
      </c>
      <c r="I808" s="15">
        <v>0.55</v>
      </c>
      <c r="J808" s="15">
        <v>0.42</v>
      </c>
      <c r="K808" s="15">
        <v>0.06</v>
      </c>
      <c r="L808" s="15">
        <v>8.75</v>
      </c>
      <c r="M808" s="15" t="s">
        <v>25</v>
      </c>
    </row>
    <row r="809" ht="15.75" customHeight="1">
      <c r="A809" s="15" t="s">
        <v>1209</v>
      </c>
      <c r="B809" s="15" t="s">
        <v>3283</v>
      </c>
      <c r="C809" s="15">
        <v>2.0</v>
      </c>
      <c r="D809" s="15" t="s">
        <v>22</v>
      </c>
      <c r="E809" s="15">
        <v>0.78</v>
      </c>
      <c r="F809" s="15">
        <v>47.31</v>
      </c>
      <c r="G809" s="15">
        <v>28.7</v>
      </c>
      <c r="H809" s="15">
        <v>0.84</v>
      </c>
      <c r="I809" s="15">
        <v>0.72</v>
      </c>
      <c r="J809" s="15">
        <v>0.41</v>
      </c>
      <c r="K809" s="15">
        <v>0.06</v>
      </c>
      <c r="L809" s="15">
        <v>8.74</v>
      </c>
      <c r="M809" s="15" t="s">
        <v>25</v>
      </c>
    </row>
    <row r="810" ht="15.75" customHeight="1">
      <c r="A810" s="15" t="s">
        <v>193</v>
      </c>
      <c r="B810" s="15" t="s">
        <v>3286</v>
      </c>
      <c r="C810" s="15">
        <v>2.0</v>
      </c>
      <c r="D810" s="15" t="s">
        <v>22</v>
      </c>
      <c r="E810" s="15">
        <v>0.77</v>
      </c>
      <c r="F810" s="15">
        <v>47.31</v>
      </c>
      <c r="G810" s="15">
        <v>28.5</v>
      </c>
      <c r="H810" s="15">
        <v>0.84</v>
      </c>
      <c r="I810" s="15">
        <v>0.73</v>
      </c>
      <c r="J810" s="15">
        <v>0.41</v>
      </c>
      <c r="K810" s="15">
        <v>0.06</v>
      </c>
      <c r="L810" s="15">
        <v>8.72</v>
      </c>
      <c r="M810" s="15" t="s">
        <v>25</v>
      </c>
    </row>
    <row r="811" ht="15.75" customHeight="1">
      <c r="A811" s="15" t="s">
        <v>87</v>
      </c>
      <c r="B811" s="15" t="s">
        <v>3289</v>
      </c>
      <c r="C811" s="15">
        <v>2.0</v>
      </c>
      <c r="D811" s="15" t="s">
        <v>22</v>
      </c>
      <c r="E811" s="15">
        <v>0.67</v>
      </c>
      <c r="F811" s="15">
        <v>47.29</v>
      </c>
      <c r="G811" s="15">
        <v>29.68</v>
      </c>
      <c r="H811" s="15">
        <v>0.88</v>
      </c>
      <c r="I811" s="15">
        <v>0.67</v>
      </c>
      <c r="J811" s="15">
        <v>0.36</v>
      </c>
      <c r="K811" s="15">
        <v>0.05</v>
      </c>
      <c r="L811" s="15">
        <v>8.97</v>
      </c>
      <c r="M811" s="15" t="s">
        <v>25</v>
      </c>
    </row>
    <row r="812" ht="15.75" customHeight="1">
      <c r="A812" s="15" t="s">
        <v>1213</v>
      </c>
      <c r="B812" s="15" t="s">
        <v>3292</v>
      </c>
      <c r="C812" s="15">
        <v>2.0</v>
      </c>
      <c r="D812" s="15" t="s">
        <v>22</v>
      </c>
      <c r="E812" s="15">
        <v>0.78</v>
      </c>
      <c r="F812" s="15">
        <v>47.29</v>
      </c>
      <c r="G812" s="15">
        <v>28.94</v>
      </c>
      <c r="H812" s="15">
        <v>0.84</v>
      </c>
      <c r="I812" s="15">
        <v>0.71</v>
      </c>
      <c r="J812" s="15">
        <v>0.41</v>
      </c>
      <c r="K812" s="15">
        <v>0.06</v>
      </c>
      <c r="L812" s="15">
        <v>8.74</v>
      </c>
      <c r="M812" s="15" t="s">
        <v>25</v>
      </c>
    </row>
    <row r="813" ht="15.75" customHeight="1">
      <c r="A813" s="15" t="s">
        <v>687</v>
      </c>
      <c r="B813" s="15" t="s">
        <v>3295</v>
      </c>
      <c r="C813" s="15">
        <v>2.0</v>
      </c>
      <c r="D813" s="15" t="s">
        <v>22</v>
      </c>
      <c r="E813" s="15">
        <v>0.66</v>
      </c>
      <c r="F813" s="15">
        <v>47.28</v>
      </c>
      <c r="G813" s="15">
        <v>29.75</v>
      </c>
      <c r="H813" s="15">
        <v>0.88</v>
      </c>
      <c r="I813" s="15">
        <v>0.67</v>
      </c>
      <c r="J813" s="15">
        <v>0.36</v>
      </c>
      <c r="K813" s="15">
        <v>0.05</v>
      </c>
      <c r="L813" s="15">
        <v>8.98</v>
      </c>
      <c r="M813" s="15" t="s">
        <v>25</v>
      </c>
    </row>
    <row r="814" ht="15.75" customHeight="1">
      <c r="A814" s="15" t="s">
        <v>723</v>
      </c>
      <c r="B814" s="15" t="s">
        <v>3298</v>
      </c>
      <c r="C814" s="15">
        <v>2.0</v>
      </c>
      <c r="D814" s="15" t="s">
        <v>22</v>
      </c>
      <c r="E814" s="15">
        <v>0.66</v>
      </c>
      <c r="F814" s="15">
        <v>47.27</v>
      </c>
      <c r="G814" s="15">
        <v>29.51</v>
      </c>
      <c r="H814" s="15">
        <v>0.88</v>
      </c>
      <c r="I814" s="15">
        <v>0.68</v>
      </c>
      <c r="J814" s="15">
        <v>0.36</v>
      </c>
      <c r="K814" s="15">
        <v>0.05</v>
      </c>
      <c r="L814" s="15">
        <v>8.96</v>
      </c>
      <c r="M814" s="15" t="s">
        <v>25</v>
      </c>
    </row>
    <row r="815" ht="15.75" customHeight="1">
      <c r="A815" s="15" t="s">
        <v>195</v>
      </c>
      <c r="B815" s="15" t="s">
        <v>3301</v>
      </c>
      <c r="C815" s="15">
        <v>2.0</v>
      </c>
      <c r="D815" s="15" t="s">
        <v>22</v>
      </c>
      <c r="E815" s="15">
        <v>0.77</v>
      </c>
      <c r="F815" s="15">
        <v>47.24</v>
      </c>
      <c r="G815" s="15">
        <v>28.37</v>
      </c>
      <c r="H815" s="15">
        <v>0.82</v>
      </c>
      <c r="I815" s="15">
        <v>0.74</v>
      </c>
      <c r="J815" s="15">
        <v>0.63</v>
      </c>
      <c r="K815" s="15">
        <v>0.09</v>
      </c>
      <c r="L815" s="15">
        <v>7.56</v>
      </c>
      <c r="M815" s="15" t="s">
        <v>25</v>
      </c>
    </row>
    <row r="816" ht="15.75" customHeight="1">
      <c r="A816" s="15" t="s">
        <v>1239</v>
      </c>
      <c r="B816" s="15" t="s">
        <v>3304</v>
      </c>
      <c r="C816" s="15">
        <v>2.0</v>
      </c>
      <c r="D816" s="15" t="s">
        <v>22</v>
      </c>
      <c r="E816" s="15">
        <v>0.77</v>
      </c>
      <c r="F816" s="15">
        <v>47.21</v>
      </c>
      <c r="G816" s="15">
        <v>29.04</v>
      </c>
      <c r="H816" s="15">
        <v>0.84</v>
      </c>
      <c r="I816" s="15">
        <v>0.7</v>
      </c>
      <c r="J816" s="15">
        <v>0.41</v>
      </c>
      <c r="K816" s="15">
        <v>0.06</v>
      </c>
      <c r="L816" s="15">
        <v>8.75</v>
      </c>
      <c r="M816" s="15" t="s">
        <v>25</v>
      </c>
    </row>
    <row r="817" ht="15.75" customHeight="1">
      <c r="A817" s="15" t="s">
        <v>196</v>
      </c>
      <c r="B817" s="15" t="s">
        <v>3306</v>
      </c>
      <c r="C817" s="15">
        <v>2.0</v>
      </c>
      <c r="D817" s="15" t="s">
        <v>22</v>
      </c>
      <c r="E817" s="15">
        <v>0.73</v>
      </c>
      <c r="F817" s="15">
        <v>47.2</v>
      </c>
      <c r="G817" s="15">
        <v>29.36</v>
      </c>
      <c r="H817" s="15">
        <v>0.87</v>
      </c>
      <c r="I817" s="15">
        <v>0.69</v>
      </c>
      <c r="J817" s="15">
        <v>0.53</v>
      </c>
      <c r="K817" s="15">
        <v>0.07</v>
      </c>
      <c r="L817" s="15">
        <v>8.16</v>
      </c>
      <c r="M817" s="15" t="s">
        <v>25</v>
      </c>
    </row>
    <row r="818" ht="15.75" customHeight="1">
      <c r="A818" s="15" t="s">
        <v>697</v>
      </c>
      <c r="B818" s="15" t="s">
        <v>3309</v>
      </c>
      <c r="C818" s="15">
        <v>2.0</v>
      </c>
      <c r="D818" s="15" t="s">
        <v>22</v>
      </c>
      <c r="E818" s="15">
        <v>0.67</v>
      </c>
      <c r="F818" s="15">
        <v>47.2</v>
      </c>
      <c r="G818" s="15">
        <v>29.61</v>
      </c>
      <c r="H818" s="15">
        <v>0.88</v>
      </c>
      <c r="I818" s="15">
        <v>0.68</v>
      </c>
      <c r="J818" s="15">
        <v>0.36</v>
      </c>
      <c r="K818" s="15">
        <v>0.05</v>
      </c>
      <c r="L818" s="15">
        <v>8.97</v>
      </c>
      <c r="M818" s="15" t="s">
        <v>25</v>
      </c>
    </row>
    <row r="819" ht="15.75" customHeight="1">
      <c r="A819" s="15" t="s">
        <v>138</v>
      </c>
      <c r="B819" s="15" t="s">
        <v>3312</v>
      </c>
      <c r="C819" s="15">
        <v>2.0</v>
      </c>
      <c r="D819" s="15" t="s">
        <v>22</v>
      </c>
      <c r="E819" s="15">
        <v>0.77</v>
      </c>
      <c r="F819" s="15">
        <v>47.19</v>
      </c>
      <c r="G819" s="15">
        <v>28.73</v>
      </c>
      <c r="H819" s="15">
        <v>0.84</v>
      </c>
      <c r="I819" s="15">
        <v>0.72</v>
      </c>
      <c r="J819" s="15">
        <v>0.41</v>
      </c>
      <c r="K819" s="15">
        <v>0.06</v>
      </c>
      <c r="L819" s="15">
        <v>8.74</v>
      </c>
      <c r="M819" s="15" t="s">
        <v>25</v>
      </c>
    </row>
    <row r="820" ht="15.75" customHeight="1">
      <c r="A820" s="15" t="s">
        <v>80</v>
      </c>
      <c r="B820" s="15" t="s">
        <v>3315</v>
      </c>
      <c r="C820" s="15">
        <v>2.0</v>
      </c>
      <c r="D820" s="15" t="s">
        <v>22</v>
      </c>
      <c r="E820" s="15">
        <v>0.8</v>
      </c>
      <c r="F820" s="15">
        <v>47.17</v>
      </c>
      <c r="G820" s="15">
        <v>29.23</v>
      </c>
      <c r="H820" s="15">
        <v>0.87</v>
      </c>
      <c r="I820" s="15">
        <v>0.69</v>
      </c>
      <c r="J820" s="15">
        <v>0.45</v>
      </c>
      <c r="K820" s="15">
        <v>0.06</v>
      </c>
      <c r="L820" s="15">
        <v>8.65</v>
      </c>
      <c r="M820" s="15" t="s">
        <v>25</v>
      </c>
    </row>
    <row r="821" ht="15.75" customHeight="1">
      <c r="A821" s="15" t="s">
        <v>507</v>
      </c>
      <c r="B821" s="15" t="s">
        <v>3318</v>
      </c>
      <c r="C821" s="15">
        <v>2.0</v>
      </c>
      <c r="D821" s="15" t="s">
        <v>22</v>
      </c>
      <c r="E821" s="15">
        <v>0.67</v>
      </c>
      <c r="F821" s="15">
        <v>47.13</v>
      </c>
      <c r="G821" s="15">
        <v>29.51</v>
      </c>
      <c r="H821" s="15">
        <v>0.88</v>
      </c>
      <c r="I821" s="15">
        <v>0.68</v>
      </c>
      <c r="J821" s="15">
        <v>0.36</v>
      </c>
      <c r="K821" s="15">
        <v>0.05</v>
      </c>
      <c r="L821" s="15">
        <v>8.97</v>
      </c>
      <c r="M821" s="15" t="s">
        <v>25</v>
      </c>
    </row>
    <row r="822" ht="15.75" customHeight="1">
      <c r="A822" s="15" t="s">
        <v>758</v>
      </c>
      <c r="B822" s="15" t="s">
        <v>3321</v>
      </c>
      <c r="C822" s="15">
        <v>2.0</v>
      </c>
      <c r="D822" s="15" t="s">
        <v>22</v>
      </c>
      <c r="E822" s="15">
        <v>0.53</v>
      </c>
      <c r="F822" s="15">
        <v>47.1</v>
      </c>
      <c r="G822" s="15">
        <v>29.19</v>
      </c>
      <c r="H822" s="15">
        <v>0.88</v>
      </c>
      <c r="I822" s="15">
        <v>0.69</v>
      </c>
      <c r="J822" s="15">
        <v>0.38</v>
      </c>
      <c r="K822" s="15">
        <v>0.05</v>
      </c>
      <c r="L822" s="15">
        <v>8.88</v>
      </c>
      <c r="M822" s="15" t="s">
        <v>25</v>
      </c>
    </row>
    <row r="823" ht="15.75" customHeight="1">
      <c r="A823" s="15" t="s">
        <v>817</v>
      </c>
      <c r="B823" s="15" t="s">
        <v>3324</v>
      </c>
      <c r="C823" s="15">
        <v>2.0</v>
      </c>
      <c r="D823" s="15" t="s">
        <v>22</v>
      </c>
      <c r="E823" s="15">
        <v>0.57</v>
      </c>
      <c r="F823" s="15">
        <v>47.1</v>
      </c>
      <c r="G823" s="15">
        <v>29.19</v>
      </c>
      <c r="H823" s="15">
        <v>0.88</v>
      </c>
      <c r="I823" s="15">
        <v>0.69</v>
      </c>
      <c r="J823" s="15">
        <v>0.38</v>
      </c>
      <c r="K823" s="15">
        <v>0.05</v>
      </c>
      <c r="L823" s="15">
        <v>8.88</v>
      </c>
      <c r="M823" s="15" t="s">
        <v>25</v>
      </c>
    </row>
    <row r="824" ht="15.75" customHeight="1">
      <c r="A824" s="15" t="s">
        <v>560</v>
      </c>
      <c r="B824" s="15" t="s">
        <v>3328</v>
      </c>
      <c r="C824" s="15">
        <v>2.0</v>
      </c>
      <c r="D824" s="15" t="s">
        <v>22</v>
      </c>
      <c r="E824" s="15">
        <v>0.81</v>
      </c>
      <c r="F824" s="15">
        <v>47.1</v>
      </c>
      <c r="G824" s="15">
        <v>28.8</v>
      </c>
      <c r="H824" s="15">
        <v>0.87</v>
      </c>
      <c r="I824" s="15">
        <v>0.71</v>
      </c>
      <c r="J824" s="15">
        <v>0.38</v>
      </c>
      <c r="K824" s="15">
        <v>0.05</v>
      </c>
      <c r="L824" s="15">
        <v>9.03</v>
      </c>
      <c r="M824" s="15" t="s">
        <v>25</v>
      </c>
    </row>
    <row r="825" ht="15.75" customHeight="1">
      <c r="A825" s="15" t="s">
        <v>1093</v>
      </c>
      <c r="B825" s="15" t="s">
        <v>3331</v>
      </c>
      <c r="C825" s="15">
        <v>2.0</v>
      </c>
      <c r="D825" s="15" t="s">
        <v>22</v>
      </c>
      <c r="E825" s="15">
        <v>0.81</v>
      </c>
      <c r="F825" s="15">
        <v>47.08</v>
      </c>
      <c r="G825" s="15">
        <v>29.09</v>
      </c>
      <c r="H825" s="15">
        <v>0.87</v>
      </c>
      <c r="I825" s="15">
        <v>0.7</v>
      </c>
      <c r="J825" s="15">
        <v>0.41</v>
      </c>
      <c r="K825" s="15">
        <v>0.05</v>
      </c>
      <c r="L825" s="15">
        <v>8.82</v>
      </c>
      <c r="M825" s="15" t="s">
        <v>25</v>
      </c>
    </row>
    <row r="826" ht="15.75" customHeight="1">
      <c r="A826" s="15" t="s">
        <v>575</v>
      </c>
      <c r="B826" s="15" t="s">
        <v>3334</v>
      </c>
      <c r="C826" s="15">
        <v>2.0</v>
      </c>
      <c r="D826" s="15" t="s">
        <v>22</v>
      </c>
      <c r="E826" s="15">
        <v>0.81</v>
      </c>
      <c r="F826" s="15">
        <v>47.05</v>
      </c>
      <c r="G826" s="15">
        <v>29.16</v>
      </c>
      <c r="H826" s="15">
        <v>0.87</v>
      </c>
      <c r="I826" s="15">
        <v>0.7</v>
      </c>
      <c r="J826" s="15">
        <v>0.38</v>
      </c>
      <c r="K826" s="15">
        <v>0.05</v>
      </c>
      <c r="L826" s="15">
        <v>9.01</v>
      </c>
      <c r="M826" s="15" t="s">
        <v>25</v>
      </c>
    </row>
    <row r="827" ht="15.75" customHeight="1">
      <c r="A827" s="15" t="s">
        <v>588</v>
      </c>
      <c r="B827" s="15" t="s">
        <v>3337</v>
      </c>
      <c r="C827" s="15">
        <v>2.0</v>
      </c>
      <c r="D827" s="15" t="s">
        <v>22</v>
      </c>
      <c r="E827" s="15">
        <v>0.81</v>
      </c>
      <c r="F827" s="15">
        <v>47.02</v>
      </c>
      <c r="G827" s="15">
        <v>29.46</v>
      </c>
      <c r="H827" s="15">
        <v>0.87</v>
      </c>
      <c r="I827" s="15">
        <v>0.68</v>
      </c>
      <c r="J827" s="15">
        <v>0.37</v>
      </c>
      <c r="K827" s="15">
        <v>0.05</v>
      </c>
      <c r="L827" s="15">
        <v>9.04</v>
      </c>
      <c r="M827" s="15" t="s">
        <v>25</v>
      </c>
    </row>
    <row r="828" ht="15.75" customHeight="1">
      <c r="A828" s="15" t="s">
        <v>143</v>
      </c>
      <c r="B828" s="15" t="s">
        <v>3340</v>
      </c>
      <c r="C828" s="15">
        <v>2.0</v>
      </c>
      <c r="D828" s="15" t="s">
        <v>22</v>
      </c>
      <c r="E828" s="15">
        <v>0.81</v>
      </c>
      <c r="F828" s="15">
        <v>47.02</v>
      </c>
      <c r="G828" s="15">
        <v>29.2</v>
      </c>
      <c r="H828" s="15">
        <v>0.87</v>
      </c>
      <c r="I828" s="15">
        <v>0.69</v>
      </c>
      <c r="J828" s="15">
        <v>0.37</v>
      </c>
      <c r="K828" s="15">
        <v>0.05</v>
      </c>
      <c r="L828" s="15">
        <v>9.03</v>
      </c>
      <c r="M828" s="15" t="s">
        <v>25</v>
      </c>
    </row>
    <row r="829" ht="15.75" customHeight="1">
      <c r="A829" s="15" t="s">
        <v>536</v>
      </c>
      <c r="B829" s="15" t="s">
        <v>3343</v>
      </c>
      <c r="C829" s="15">
        <v>2.0</v>
      </c>
      <c r="D829" s="15" t="s">
        <v>22</v>
      </c>
      <c r="E829" s="15">
        <v>0.57</v>
      </c>
      <c r="F829" s="15">
        <v>47.01</v>
      </c>
      <c r="G829" s="15">
        <v>29.37</v>
      </c>
      <c r="H829" s="15">
        <v>0.88</v>
      </c>
      <c r="I829" s="15">
        <v>0.68</v>
      </c>
      <c r="J829" s="15">
        <v>0.44</v>
      </c>
      <c r="K829" s="15">
        <v>0.07</v>
      </c>
      <c r="L829" s="15">
        <v>8.63</v>
      </c>
      <c r="M829" s="15" t="s">
        <v>25</v>
      </c>
    </row>
    <row r="830" ht="15.75" customHeight="1">
      <c r="A830" s="15" t="s">
        <v>123</v>
      </c>
      <c r="B830" s="15" t="s">
        <v>3346</v>
      </c>
      <c r="C830" s="15">
        <v>2.0</v>
      </c>
      <c r="D830" s="15" t="s">
        <v>22</v>
      </c>
      <c r="E830" s="15">
        <v>0.82</v>
      </c>
      <c r="F830" s="15">
        <v>47.0</v>
      </c>
      <c r="G830" s="15">
        <v>29.26</v>
      </c>
      <c r="H830" s="15">
        <v>0.87</v>
      </c>
      <c r="I830" s="15">
        <v>0.69</v>
      </c>
      <c r="J830" s="15">
        <v>0.38</v>
      </c>
      <c r="K830" s="15">
        <v>0.05</v>
      </c>
      <c r="L830" s="15">
        <v>9.04</v>
      </c>
      <c r="M830" s="15" t="s">
        <v>25</v>
      </c>
    </row>
    <row r="831" ht="15.75" customHeight="1">
      <c r="A831" s="15" t="s">
        <v>819</v>
      </c>
      <c r="B831" s="15" t="s">
        <v>3349</v>
      </c>
      <c r="C831" s="15">
        <v>2.0</v>
      </c>
      <c r="D831" s="15" t="s">
        <v>22</v>
      </c>
      <c r="E831" s="15">
        <v>0.81</v>
      </c>
      <c r="F831" s="15">
        <v>46.99</v>
      </c>
      <c r="G831" s="15">
        <v>28.86</v>
      </c>
      <c r="H831" s="15">
        <v>0.87</v>
      </c>
      <c r="I831" s="15">
        <v>0.71</v>
      </c>
      <c r="J831" s="15">
        <v>0.38</v>
      </c>
      <c r="K831" s="15">
        <v>0.05</v>
      </c>
      <c r="L831" s="15">
        <v>9.03</v>
      </c>
      <c r="M831" s="15" t="s">
        <v>25</v>
      </c>
    </row>
    <row r="832" ht="15.75" customHeight="1">
      <c r="A832" s="15" t="s">
        <v>904</v>
      </c>
      <c r="B832" s="15" t="s">
        <v>3352</v>
      </c>
      <c r="C832" s="15">
        <v>2.0</v>
      </c>
      <c r="D832" s="15" t="s">
        <v>22</v>
      </c>
      <c r="E832" s="15">
        <v>0.81</v>
      </c>
      <c r="F832" s="15">
        <v>46.97</v>
      </c>
      <c r="G832" s="15">
        <v>29.03</v>
      </c>
      <c r="H832" s="15">
        <v>0.87</v>
      </c>
      <c r="I832" s="15">
        <v>0.7</v>
      </c>
      <c r="J832" s="15">
        <v>0.37</v>
      </c>
      <c r="K832" s="15">
        <v>0.05</v>
      </c>
      <c r="L832" s="15">
        <v>9.04</v>
      </c>
      <c r="M832" s="15" t="s">
        <v>25</v>
      </c>
    </row>
    <row r="833" ht="15.75" customHeight="1">
      <c r="A833" s="15" t="s">
        <v>90</v>
      </c>
      <c r="B833" s="15" t="s">
        <v>3355</v>
      </c>
      <c r="C833" s="15">
        <v>2.0</v>
      </c>
      <c r="D833" s="15" t="s">
        <v>22</v>
      </c>
      <c r="E833" s="15">
        <v>0.82</v>
      </c>
      <c r="F833" s="15">
        <v>46.96</v>
      </c>
      <c r="G833" s="15">
        <v>28.82</v>
      </c>
      <c r="H833" s="15">
        <v>0.87</v>
      </c>
      <c r="I833" s="15">
        <v>0.71</v>
      </c>
      <c r="J833" s="15">
        <v>0.37</v>
      </c>
      <c r="K833" s="15">
        <v>0.05</v>
      </c>
      <c r="L833" s="15">
        <v>9.05</v>
      </c>
      <c r="M833" s="15" t="s">
        <v>25</v>
      </c>
    </row>
    <row r="834" ht="15.75" customHeight="1">
      <c r="A834" s="15" t="s">
        <v>103</v>
      </c>
      <c r="B834" s="15" t="s">
        <v>3358</v>
      </c>
      <c r="C834" s="15">
        <v>2.0</v>
      </c>
      <c r="D834" s="15" t="s">
        <v>22</v>
      </c>
      <c r="E834" s="15">
        <v>0.82</v>
      </c>
      <c r="F834" s="15">
        <v>46.96</v>
      </c>
      <c r="G834" s="15">
        <v>29.6</v>
      </c>
      <c r="H834" s="15">
        <v>0.87</v>
      </c>
      <c r="I834" s="15">
        <v>0.67</v>
      </c>
      <c r="J834" s="15">
        <v>0.37</v>
      </c>
      <c r="K834" s="15">
        <v>0.05</v>
      </c>
      <c r="L834" s="15">
        <v>9.07</v>
      </c>
      <c r="M834" s="15" t="s">
        <v>25</v>
      </c>
    </row>
    <row r="835" ht="15.75" customHeight="1">
      <c r="A835" s="15" t="s">
        <v>2669</v>
      </c>
      <c r="B835" s="15" t="s">
        <v>3361</v>
      </c>
      <c r="C835" s="15">
        <v>2.0</v>
      </c>
      <c r="D835" s="15" t="s">
        <v>22</v>
      </c>
      <c r="E835" s="15">
        <v>0.59</v>
      </c>
      <c r="F835" s="15">
        <v>46.96</v>
      </c>
      <c r="G835" s="15">
        <v>29.88</v>
      </c>
      <c r="H835" s="15">
        <v>0.89</v>
      </c>
      <c r="I835" s="15">
        <v>0.66</v>
      </c>
      <c r="J835" s="15">
        <v>0.39</v>
      </c>
      <c r="K835" s="15">
        <v>0.05</v>
      </c>
      <c r="L835" s="15">
        <v>8.81</v>
      </c>
      <c r="M835" s="15" t="s">
        <v>25</v>
      </c>
    </row>
    <row r="836" ht="15.75" customHeight="1">
      <c r="A836" s="15" t="s">
        <v>583</v>
      </c>
      <c r="B836" s="15" t="s">
        <v>3364</v>
      </c>
      <c r="C836" s="15">
        <v>2.0</v>
      </c>
      <c r="D836" s="15" t="s">
        <v>22</v>
      </c>
      <c r="E836" s="15">
        <v>0.61</v>
      </c>
      <c r="F836" s="15">
        <v>46.96</v>
      </c>
      <c r="G836" s="15">
        <v>29.87</v>
      </c>
      <c r="H836" s="15">
        <v>0.87</v>
      </c>
      <c r="I836" s="15">
        <v>0.66</v>
      </c>
      <c r="J836" s="15">
        <v>0.48</v>
      </c>
      <c r="K836" s="15">
        <v>0.07</v>
      </c>
      <c r="L836" s="15">
        <v>8.28</v>
      </c>
      <c r="M836" s="15" t="s">
        <v>25</v>
      </c>
    </row>
    <row r="837" ht="15.75" customHeight="1">
      <c r="A837" s="15" t="s">
        <v>538</v>
      </c>
      <c r="B837" s="15" t="s">
        <v>3367</v>
      </c>
      <c r="C837" s="15">
        <v>2.0</v>
      </c>
      <c r="D837" s="15" t="s">
        <v>22</v>
      </c>
      <c r="E837" s="15">
        <v>0.82</v>
      </c>
      <c r="F837" s="15">
        <v>46.95</v>
      </c>
      <c r="G837" s="15">
        <v>28.99</v>
      </c>
      <c r="H837" s="15">
        <v>0.87</v>
      </c>
      <c r="I837" s="15">
        <v>0.7</v>
      </c>
      <c r="J837" s="15">
        <v>0.37</v>
      </c>
      <c r="K837" s="15">
        <v>0.05</v>
      </c>
      <c r="L837" s="15">
        <v>9.04</v>
      </c>
      <c r="M837" s="15" t="s">
        <v>25</v>
      </c>
    </row>
    <row r="838" ht="15.75" customHeight="1">
      <c r="A838" s="15" t="s">
        <v>567</v>
      </c>
      <c r="B838" s="15" t="s">
        <v>3370</v>
      </c>
      <c r="C838" s="15">
        <v>2.0</v>
      </c>
      <c r="D838" s="15" t="s">
        <v>22</v>
      </c>
      <c r="E838" s="15">
        <v>0.82</v>
      </c>
      <c r="F838" s="15">
        <v>46.92</v>
      </c>
      <c r="G838" s="15">
        <v>29.28</v>
      </c>
      <c r="H838" s="15">
        <v>0.87</v>
      </c>
      <c r="I838" s="15">
        <v>0.69</v>
      </c>
      <c r="J838" s="15">
        <v>0.37</v>
      </c>
      <c r="K838" s="15">
        <v>0.05</v>
      </c>
      <c r="L838" s="15">
        <v>9.04</v>
      </c>
      <c r="M838" s="15" t="s">
        <v>25</v>
      </c>
    </row>
    <row r="839" ht="15.75" customHeight="1">
      <c r="A839" s="15" t="s">
        <v>347</v>
      </c>
      <c r="B839" s="15" t="s">
        <v>3373</v>
      </c>
      <c r="C839" s="15">
        <v>2.0</v>
      </c>
      <c r="D839" s="15" t="s">
        <v>22</v>
      </c>
      <c r="E839" s="15">
        <v>0.56</v>
      </c>
      <c r="F839" s="15">
        <v>46.91</v>
      </c>
      <c r="G839" s="15">
        <v>29.41</v>
      </c>
      <c r="H839" s="15">
        <v>0.88</v>
      </c>
      <c r="I839" s="15">
        <v>0.68</v>
      </c>
      <c r="J839" s="15">
        <v>0.44</v>
      </c>
      <c r="K839" s="15">
        <v>0.07</v>
      </c>
      <c r="L839" s="15">
        <v>8.63</v>
      </c>
      <c r="M839" s="15" t="s">
        <v>25</v>
      </c>
    </row>
    <row r="840" ht="15.75" customHeight="1">
      <c r="A840" s="15" t="s">
        <v>66</v>
      </c>
      <c r="B840" s="15" t="s">
        <v>3376</v>
      </c>
      <c r="C840" s="15">
        <v>2.0</v>
      </c>
      <c r="D840" s="15" t="s">
        <v>22</v>
      </c>
      <c r="E840" s="15">
        <v>0.82</v>
      </c>
      <c r="F840" s="15">
        <v>46.91</v>
      </c>
      <c r="G840" s="15">
        <v>29.36</v>
      </c>
      <c r="H840" s="15">
        <v>0.87</v>
      </c>
      <c r="I840" s="15">
        <v>0.68</v>
      </c>
      <c r="J840" s="15">
        <v>0.38</v>
      </c>
      <c r="K840" s="15">
        <v>0.05</v>
      </c>
      <c r="L840" s="15">
        <v>9.01</v>
      </c>
      <c r="M840" s="15" t="s">
        <v>25</v>
      </c>
    </row>
    <row r="841" ht="15.75" customHeight="1">
      <c r="A841" s="15" t="s">
        <v>745</v>
      </c>
      <c r="B841" s="15" t="s">
        <v>3379</v>
      </c>
      <c r="C841" s="15">
        <v>2.0</v>
      </c>
      <c r="D841" s="15" t="s">
        <v>22</v>
      </c>
      <c r="E841" s="15">
        <v>0.57</v>
      </c>
      <c r="F841" s="15">
        <v>46.87</v>
      </c>
      <c r="G841" s="15">
        <v>29.69</v>
      </c>
      <c r="H841" s="15">
        <v>0.89</v>
      </c>
      <c r="I841" s="15">
        <v>0.67</v>
      </c>
      <c r="J841" s="15">
        <v>0.37</v>
      </c>
      <c r="K841" s="15">
        <v>0.05</v>
      </c>
      <c r="L841" s="15">
        <v>8.9</v>
      </c>
      <c r="M841" s="15" t="s">
        <v>25</v>
      </c>
    </row>
    <row r="842" ht="15.75" customHeight="1">
      <c r="A842" s="15" t="s">
        <v>28</v>
      </c>
      <c r="B842" s="15" t="s">
        <v>3382</v>
      </c>
      <c r="C842" s="15">
        <v>2.0</v>
      </c>
      <c r="D842" s="15" t="s">
        <v>22</v>
      </c>
      <c r="E842" s="15">
        <v>0.82</v>
      </c>
      <c r="F842" s="15">
        <v>46.85</v>
      </c>
      <c r="G842" s="15">
        <v>29.29</v>
      </c>
      <c r="H842" s="15">
        <v>0.87</v>
      </c>
      <c r="I842" s="15">
        <v>0.69</v>
      </c>
      <c r="J842" s="15">
        <v>0.38</v>
      </c>
      <c r="K842" s="15">
        <v>0.05</v>
      </c>
      <c r="L842" s="15">
        <v>9.03</v>
      </c>
      <c r="M842" s="15" t="s">
        <v>25</v>
      </c>
    </row>
    <row r="843" ht="15.75" customHeight="1">
      <c r="A843" s="15" t="s">
        <v>148</v>
      </c>
      <c r="B843" s="15" t="s">
        <v>3385</v>
      </c>
      <c r="C843" s="15">
        <v>2.0</v>
      </c>
      <c r="D843" s="15" t="s">
        <v>22</v>
      </c>
      <c r="E843" s="15">
        <v>0.74</v>
      </c>
      <c r="F843" s="15">
        <v>46.84</v>
      </c>
      <c r="G843" s="15">
        <v>28.6</v>
      </c>
      <c r="H843" s="15">
        <v>0.85</v>
      </c>
      <c r="I843" s="15">
        <v>0.72</v>
      </c>
      <c r="J843" s="15">
        <v>0.46</v>
      </c>
      <c r="K843" s="15">
        <v>0.06</v>
      </c>
      <c r="L843" s="15">
        <v>8.45</v>
      </c>
      <c r="M843" s="15" t="s">
        <v>25</v>
      </c>
    </row>
    <row r="844" ht="15.75" customHeight="1">
      <c r="A844" s="15" t="s">
        <v>933</v>
      </c>
      <c r="B844" s="15" t="s">
        <v>3388</v>
      </c>
      <c r="C844" s="15">
        <v>2.0</v>
      </c>
      <c r="D844" s="15" t="s">
        <v>22</v>
      </c>
      <c r="E844" s="15">
        <v>0.54</v>
      </c>
      <c r="F844" s="15">
        <v>46.84</v>
      </c>
      <c r="G844" s="15">
        <v>31.73</v>
      </c>
      <c r="H844" s="15">
        <v>0.91</v>
      </c>
      <c r="I844" s="15">
        <v>0.58</v>
      </c>
      <c r="J844" s="15">
        <v>0.41</v>
      </c>
      <c r="K844" s="15">
        <v>0.06</v>
      </c>
      <c r="L844" s="15">
        <v>8.78</v>
      </c>
      <c r="M844" s="15" t="s">
        <v>25</v>
      </c>
    </row>
    <row r="845" ht="15.75" customHeight="1">
      <c r="A845" s="15" t="s">
        <v>451</v>
      </c>
      <c r="B845" s="15" t="s">
        <v>3391</v>
      </c>
      <c r="C845" s="15">
        <v>2.0</v>
      </c>
      <c r="D845" s="15" t="s">
        <v>22</v>
      </c>
      <c r="E845" s="15">
        <v>0.59</v>
      </c>
      <c r="F845" s="15">
        <v>46.83</v>
      </c>
      <c r="G845" s="15">
        <v>29.15</v>
      </c>
      <c r="H845" s="15">
        <v>0.88</v>
      </c>
      <c r="I845" s="15">
        <v>0.69</v>
      </c>
      <c r="J845" s="15">
        <v>0.55</v>
      </c>
      <c r="K845" s="15">
        <v>0.09</v>
      </c>
      <c r="L845" s="15">
        <v>7.38</v>
      </c>
      <c r="M845" s="15" t="s">
        <v>25</v>
      </c>
    </row>
    <row r="846" ht="15.75" customHeight="1">
      <c r="A846" s="15" t="s">
        <v>1315</v>
      </c>
      <c r="B846" s="15" t="s">
        <v>3394</v>
      </c>
      <c r="C846" s="15">
        <v>2.0</v>
      </c>
      <c r="D846" s="15" t="s">
        <v>22</v>
      </c>
      <c r="E846" s="15">
        <v>0.76</v>
      </c>
      <c r="F846" s="15">
        <v>46.79</v>
      </c>
      <c r="G846" s="15">
        <v>28.53</v>
      </c>
      <c r="H846" s="15">
        <v>0.85</v>
      </c>
      <c r="I846" s="15">
        <v>0.72</v>
      </c>
      <c r="J846" s="15">
        <v>0.45</v>
      </c>
      <c r="K846" s="15">
        <v>0.06</v>
      </c>
      <c r="L846" s="15">
        <v>8.53</v>
      </c>
      <c r="M846" s="15" t="s">
        <v>25</v>
      </c>
    </row>
    <row r="847" ht="15.75" customHeight="1">
      <c r="A847" s="15" t="s">
        <v>772</v>
      </c>
      <c r="B847" s="15" t="s">
        <v>3396</v>
      </c>
      <c r="C847" s="15">
        <v>2.0</v>
      </c>
      <c r="D847" s="15" t="s">
        <v>22</v>
      </c>
      <c r="E847" s="15">
        <v>0.58</v>
      </c>
      <c r="F847" s="15">
        <v>46.78</v>
      </c>
      <c r="G847" s="15">
        <v>30.74</v>
      </c>
      <c r="H847" s="15">
        <v>0.89</v>
      </c>
      <c r="I847" s="15">
        <v>0.62</v>
      </c>
      <c r="J847" s="15">
        <v>0.37</v>
      </c>
      <c r="K847" s="15">
        <v>0.05</v>
      </c>
      <c r="L847" s="15">
        <v>8.93</v>
      </c>
      <c r="M847" s="15" t="s">
        <v>25</v>
      </c>
    </row>
    <row r="848" ht="15.75" customHeight="1">
      <c r="A848" s="15" t="s">
        <v>2652</v>
      </c>
      <c r="B848" s="15" t="s">
        <v>3399</v>
      </c>
      <c r="C848" s="15">
        <v>2.0</v>
      </c>
      <c r="D848" s="15" t="s">
        <v>22</v>
      </c>
      <c r="E848" s="15">
        <v>0.76</v>
      </c>
      <c r="F848" s="15">
        <v>46.78</v>
      </c>
      <c r="G848" s="15">
        <v>28.63</v>
      </c>
      <c r="H848" s="15">
        <v>0.8</v>
      </c>
      <c r="I848" s="15">
        <v>0.72</v>
      </c>
      <c r="J848" s="15">
        <v>0.43</v>
      </c>
      <c r="K848" s="15">
        <v>0.06</v>
      </c>
      <c r="L848" s="15">
        <v>8.61</v>
      </c>
      <c r="M848" s="15" t="s">
        <v>25</v>
      </c>
    </row>
    <row r="849" ht="15.75" customHeight="1">
      <c r="A849" s="15" t="s">
        <v>741</v>
      </c>
      <c r="B849" s="15" t="s">
        <v>3402</v>
      </c>
      <c r="C849" s="15">
        <v>2.0</v>
      </c>
      <c r="D849" s="15" t="s">
        <v>22</v>
      </c>
      <c r="E849" s="15">
        <v>0.64</v>
      </c>
      <c r="F849" s="15">
        <v>46.77</v>
      </c>
      <c r="G849" s="15">
        <v>28.6</v>
      </c>
      <c r="H849" s="15">
        <v>0.86</v>
      </c>
      <c r="I849" s="15">
        <v>0.72</v>
      </c>
      <c r="J849" s="15">
        <v>0.42</v>
      </c>
      <c r="K849" s="15">
        <v>0.06</v>
      </c>
      <c r="L849" s="15">
        <v>8.78</v>
      </c>
      <c r="M849" s="15" t="s">
        <v>25</v>
      </c>
    </row>
    <row r="850" ht="15.75" customHeight="1">
      <c r="A850" s="15" t="s">
        <v>201</v>
      </c>
      <c r="B850" s="15" t="s">
        <v>3405</v>
      </c>
      <c r="C850" s="15">
        <v>2.0</v>
      </c>
      <c r="D850" s="15" t="s">
        <v>22</v>
      </c>
      <c r="E850" s="15">
        <v>0.73</v>
      </c>
      <c r="F850" s="15">
        <v>46.76</v>
      </c>
      <c r="G850" s="15">
        <v>29.21</v>
      </c>
      <c r="H850" s="15">
        <v>0.86</v>
      </c>
      <c r="I850" s="15">
        <v>0.69</v>
      </c>
      <c r="J850" s="15">
        <v>0.47</v>
      </c>
      <c r="K850" s="15">
        <v>0.06</v>
      </c>
      <c r="L850" s="15">
        <v>8.43</v>
      </c>
      <c r="M850" s="15" t="s">
        <v>25</v>
      </c>
    </row>
    <row r="851" ht="15.75" customHeight="1">
      <c r="A851" s="15" t="s">
        <v>599</v>
      </c>
      <c r="B851" s="15" t="s">
        <v>3408</v>
      </c>
      <c r="C851" s="15">
        <v>2.0</v>
      </c>
      <c r="D851" s="15" t="s">
        <v>22</v>
      </c>
      <c r="E851" s="15">
        <v>0.82</v>
      </c>
      <c r="F851" s="15">
        <v>46.76</v>
      </c>
      <c r="G851" s="15">
        <v>29.37</v>
      </c>
      <c r="H851" s="15">
        <v>0.88</v>
      </c>
      <c r="I851" s="15">
        <v>0.68</v>
      </c>
      <c r="J851" s="15">
        <v>0.44</v>
      </c>
      <c r="K851" s="15">
        <v>0.06</v>
      </c>
      <c r="L851" s="15">
        <v>8.68</v>
      </c>
      <c r="M851" s="15" t="s">
        <v>25</v>
      </c>
    </row>
    <row r="852" ht="15.75" customHeight="1">
      <c r="A852" s="15" t="s">
        <v>2598</v>
      </c>
      <c r="B852" s="15" t="s">
        <v>3411</v>
      </c>
      <c r="C852" s="15">
        <v>2.0</v>
      </c>
      <c r="D852" s="15" t="s">
        <v>22</v>
      </c>
      <c r="E852" s="15">
        <v>0.77</v>
      </c>
      <c r="F852" s="15">
        <v>46.74</v>
      </c>
      <c r="G852" s="15">
        <v>28.46</v>
      </c>
      <c r="H852" s="15">
        <v>0.8</v>
      </c>
      <c r="I852" s="15">
        <v>0.73</v>
      </c>
      <c r="J852" s="15">
        <v>0.43</v>
      </c>
      <c r="K852" s="15">
        <v>0.06</v>
      </c>
      <c r="L852" s="15">
        <v>8.61</v>
      </c>
      <c r="M852" s="15" t="s">
        <v>25</v>
      </c>
    </row>
    <row r="853" ht="15.75" customHeight="1">
      <c r="A853" s="15" t="s">
        <v>2766</v>
      </c>
      <c r="B853" s="15" t="s">
        <v>3414</v>
      </c>
      <c r="C853" s="15">
        <v>2.0</v>
      </c>
      <c r="D853" s="15" t="s">
        <v>22</v>
      </c>
      <c r="E853" s="15">
        <v>0.77</v>
      </c>
      <c r="F853" s="15">
        <v>46.73</v>
      </c>
      <c r="G853" s="15">
        <v>28.3</v>
      </c>
      <c r="H853" s="15">
        <v>0.8</v>
      </c>
      <c r="I853" s="15">
        <v>0.73</v>
      </c>
      <c r="J853" s="15">
        <v>0.43</v>
      </c>
      <c r="K853" s="15">
        <v>0.06</v>
      </c>
      <c r="L853" s="15">
        <v>8.62</v>
      </c>
      <c r="M853" s="15" t="s">
        <v>25</v>
      </c>
    </row>
    <row r="854" ht="15.75" customHeight="1">
      <c r="A854" s="15" t="s">
        <v>2558</v>
      </c>
      <c r="B854" s="15" t="s">
        <v>3417</v>
      </c>
      <c r="C854" s="15">
        <v>2.0</v>
      </c>
      <c r="D854" s="15" t="s">
        <v>22</v>
      </c>
      <c r="E854" s="15">
        <v>0.77</v>
      </c>
      <c r="F854" s="15">
        <v>46.72</v>
      </c>
      <c r="G854" s="15">
        <v>28.63</v>
      </c>
      <c r="H854" s="15">
        <v>0.8</v>
      </c>
      <c r="I854" s="15">
        <v>0.72</v>
      </c>
      <c r="J854" s="15">
        <v>0.43</v>
      </c>
      <c r="K854" s="15">
        <v>0.06</v>
      </c>
      <c r="L854" s="15">
        <v>8.61</v>
      </c>
      <c r="M854" s="15" t="s">
        <v>25</v>
      </c>
    </row>
    <row r="855" ht="15.75" customHeight="1">
      <c r="A855" s="15" t="s">
        <v>432</v>
      </c>
      <c r="B855" s="15" t="s">
        <v>3420</v>
      </c>
      <c r="C855" s="15">
        <v>2.0</v>
      </c>
      <c r="D855" s="15" t="s">
        <v>22</v>
      </c>
      <c r="E855" s="15">
        <v>0.56</v>
      </c>
      <c r="F855" s="15">
        <v>46.71</v>
      </c>
      <c r="G855" s="15">
        <v>29.48</v>
      </c>
      <c r="H855" s="15">
        <v>0.9</v>
      </c>
      <c r="I855" s="15">
        <v>0.68</v>
      </c>
      <c r="J855" s="15">
        <v>0.43</v>
      </c>
      <c r="K855" s="15">
        <v>0.06</v>
      </c>
      <c r="L855" s="15">
        <v>8.71</v>
      </c>
      <c r="M855" s="15" t="s">
        <v>25</v>
      </c>
    </row>
    <row r="856" ht="15.75" customHeight="1">
      <c r="A856" s="15" t="s">
        <v>752</v>
      </c>
      <c r="B856" s="15" t="s">
        <v>3423</v>
      </c>
      <c r="C856" s="15">
        <v>2.0</v>
      </c>
      <c r="D856" s="15" t="s">
        <v>22</v>
      </c>
      <c r="E856" s="15">
        <v>0.57</v>
      </c>
      <c r="F856" s="15">
        <v>46.7</v>
      </c>
      <c r="G856" s="15">
        <v>29.23</v>
      </c>
      <c r="H856" s="15">
        <v>0.88</v>
      </c>
      <c r="I856" s="15">
        <v>0.69</v>
      </c>
      <c r="J856" s="15">
        <v>0.38</v>
      </c>
      <c r="K856" s="15">
        <v>0.05</v>
      </c>
      <c r="L856" s="15">
        <v>8.9</v>
      </c>
      <c r="M856" s="15" t="s">
        <v>25</v>
      </c>
    </row>
    <row r="857" ht="15.75" customHeight="1">
      <c r="A857" s="15" t="s">
        <v>638</v>
      </c>
      <c r="B857" s="15" t="s">
        <v>3426</v>
      </c>
      <c r="C857" s="15">
        <v>2.0</v>
      </c>
      <c r="D857" s="15" t="s">
        <v>22</v>
      </c>
      <c r="E857" s="15">
        <v>0.57</v>
      </c>
      <c r="F857" s="15">
        <v>46.69</v>
      </c>
      <c r="G857" s="15">
        <v>29.62</v>
      </c>
      <c r="H857" s="15">
        <v>0.9</v>
      </c>
      <c r="I857" s="15">
        <v>0.67</v>
      </c>
      <c r="J857" s="15">
        <v>0.43</v>
      </c>
      <c r="K857" s="15">
        <v>0.07</v>
      </c>
      <c r="L857" s="15">
        <v>8.7</v>
      </c>
      <c r="M857" s="15" t="s">
        <v>25</v>
      </c>
    </row>
    <row r="858" ht="15.75" customHeight="1">
      <c r="A858" s="15" t="s">
        <v>2673</v>
      </c>
      <c r="B858" s="15" t="s">
        <v>3429</v>
      </c>
      <c r="C858" s="15">
        <v>2.0</v>
      </c>
      <c r="D858" s="15" t="s">
        <v>22</v>
      </c>
      <c r="E858" s="15">
        <v>0.77</v>
      </c>
      <c r="F858" s="15">
        <v>46.63</v>
      </c>
      <c r="G858" s="15">
        <v>28.13</v>
      </c>
      <c r="H858" s="15">
        <v>0.82</v>
      </c>
      <c r="I858" s="15">
        <v>0.74</v>
      </c>
      <c r="J858" s="15">
        <v>0.5</v>
      </c>
      <c r="K858" s="15">
        <v>0.07</v>
      </c>
      <c r="L858" s="15">
        <v>8.16</v>
      </c>
      <c r="M858" s="15" t="s">
        <v>25</v>
      </c>
    </row>
    <row r="859" ht="15.75" customHeight="1">
      <c r="A859" s="15" t="s">
        <v>580</v>
      </c>
      <c r="B859" s="15" t="s">
        <v>3432</v>
      </c>
      <c r="C859" s="15">
        <v>2.0</v>
      </c>
      <c r="D859" s="15" t="s">
        <v>22</v>
      </c>
      <c r="E859" s="15">
        <v>0.82</v>
      </c>
      <c r="F859" s="15">
        <v>46.61</v>
      </c>
      <c r="G859" s="15">
        <v>30.0</v>
      </c>
      <c r="H859" s="15">
        <v>0.88</v>
      </c>
      <c r="I859" s="15">
        <v>0.65</v>
      </c>
      <c r="J859" s="15">
        <v>0.45</v>
      </c>
      <c r="K859" s="15">
        <v>0.06</v>
      </c>
      <c r="L859" s="15">
        <v>8.7</v>
      </c>
      <c r="M859" s="15" t="s">
        <v>25</v>
      </c>
    </row>
    <row r="860" ht="15.75" customHeight="1">
      <c r="A860" s="15" t="s">
        <v>707</v>
      </c>
      <c r="B860" s="15" t="s">
        <v>3435</v>
      </c>
      <c r="C860" s="15">
        <v>2.0</v>
      </c>
      <c r="D860" s="15" t="s">
        <v>22</v>
      </c>
      <c r="E860" s="15">
        <v>0.61</v>
      </c>
      <c r="F860" s="15">
        <v>46.56</v>
      </c>
      <c r="G860" s="15">
        <v>30.12</v>
      </c>
      <c r="H860" s="15">
        <v>0.89</v>
      </c>
      <c r="I860" s="15">
        <v>0.65</v>
      </c>
      <c r="J860" s="15">
        <v>0.38</v>
      </c>
      <c r="K860" s="15">
        <v>0.05</v>
      </c>
      <c r="L860" s="15">
        <v>8.93</v>
      </c>
      <c r="M860" s="15" t="s">
        <v>25</v>
      </c>
    </row>
    <row r="861" ht="15.75" customHeight="1">
      <c r="A861" s="15" t="s">
        <v>649</v>
      </c>
      <c r="B861" s="15" t="s">
        <v>3438</v>
      </c>
      <c r="C861" s="15">
        <v>2.0</v>
      </c>
      <c r="D861" s="15" t="s">
        <v>22</v>
      </c>
      <c r="E861" s="15">
        <v>0.54</v>
      </c>
      <c r="F861" s="15">
        <v>46.52</v>
      </c>
      <c r="G861" s="15">
        <v>29.79</v>
      </c>
      <c r="H861" s="15">
        <v>0.91</v>
      </c>
      <c r="I861" s="15">
        <v>0.66</v>
      </c>
      <c r="J861" s="15">
        <v>0.43</v>
      </c>
      <c r="K861" s="15">
        <v>0.06</v>
      </c>
      <c r="L861" s="15">
        <v>8.69</v>
      </c>
      <c r="M861" s="15" t="s">
        <v>25</v>
      </c>
    </row>
    <row r="862" ht="15.75" customHeight="1">
      <c r="A862" s="15" t="s">
        <v>588</v>
      </c>
      <c r="B862" s="15" t="s">
        <v>3441</v>
      </c>
      <c r="C862" s="15">
        <v>2.0</v>
      </c>
      <c r="D862" s="15" t="s">
        <v>22</v>
      </c>
      <c r="E862" s="15">
        <v>0.83</v>
      </c>
      <c r="F862" s="15">
        <v>46.49</v>
      </c>
      <c r="G862" s="15">
        <v>29.83</v>
      </c>
      <c r="H862" s="15">
        <v>0.88</v>
      </c>
      <c r="I862" s="15">
        <v>0.66</v>
      </c>
      <c r="J862" s="15">
        <v>0.42</v>
      </c>
      <c r="K862" s="15">
        <v>0.06</v>
      </c>
      <c r="L862" s="15">
        <v>8.9</v>
      </c>
      <c r="M862" s="15" t="s">
        <v>25</v>
      </c>
    </row>
    <row r="863" ht="15.75" customHeight="1">
      <c r="A863" s="15" t="s">
        <v>479</v>
      </c>
      <c r="B863" s="15" t="s">
        <v>3444</v>
      </c>
      <c r="C863" s="15">
        <v>2.0</v>
      </c>
      <c r="D863" s="15" t="s">
        <v>22</v>
      </c>
      <c r="E863" s="15">
        <v>0.76</v>
      </c>
      <c r="F863" s="15">
        <v>46.48</v>
      </c>
      <c r="G863" s="15">
        <v>30.36</v>
      </c>
      <c r="H863" s="15">
        <v>0.92</v>
      </c>
      <c r="I863" s="15">
        <v>0.63</v>
      </c>
      <c r="J863" s="15">
        <v>0.48</v>
      </c>
      <c r="K863" s="15">
        <v>0.07</v>
      </c>
      <c r="L863" s="15">
        <v>8.17</v>
      </c>
      <c r="M863" s="15" t="s">
        <v>25</v>
      </c>
    </row>
    <row r="864" ht="15.75" customHeight="1">
      <c r="A864" s="15" t="s">
        <v>561</v>
      </c>
      <c r="B864" s="15" t="s">
        <v>3447</v>
      </c>
      <c r="C864" s="15">
        <v>2.0</v>
      </c>
      <c r="D864" s="15" t="s">
        <v>22</v>
      </c>
      <c r="E864" s="15">
        <v>0.55</v>
      </c>
      <c r="F864" s="15">
        <v>46.46</v>
      </c>
      <c r="G864" s="15">
        <v>29.19</v>
      </c>
      <c r="H864" s="15">
        <v>0.89</v>
      </c>
      <c r="I864" s="15">
        <v>0.69</v>
      </c>
      <c r="J864" s="15">
        <v>0.38</v>
      </c>
      <c r="K864" s="15">
        <v>0.05</v>
      </c>
      <c r="L864" s="15">
        <v>8.85</v>
      </c>
      <c r="M864" s="15" t="s">
        <v>25</v>
      </c>
    </row>
    <row r="865" ht="15.75" customHeight="1">
      <c r="A865" s="15" t="s">
        <v>2684</v>
      </c>
      <c r="B865" s="15" t="s">
        <v>3450</v>
      </c>
      <c r="C865" s="15">
        <v>2.0</v>
      </c>
      <c r="D865" s="15" t="s">
        <v>22</v>
      </c>
      <c r="E865" s="15">
        <v>0.78</v>
      </c>
      <c r="F865" s="15">
        <v>46.44</v>
      </c>
      <c r="G865" s="15">
        <v>27.89</v>
      </c>
      <c r="H865" s="15">
        <v>0.8</v>
      </c>
      <c r="I865" s="15">
        <v>0.75</v>
      </c>
      <c r="J865" s="15">
        <v>0.43</v>
      </c>
      <c r="K865" s="15">
        <v>0.06</v>
      </c>
      <c r="L865" s="15">
        <v>8.56</v>
      </c>
      <c r="M865" s="15" t="s">
        <v>25</v>
      </c>
    </row>
    <row r="866" ht="15.75" customHeight="1">
      <c r="A866" s="15" t="s">
        <v>2753</v>
      </c>
      <c r="B866" s="15" t="s">
        <v>3453</v>
      </c>
      <c r="C866" s="15">
        <v>2.0</v>
      </c>
      <c r="D866" s="15" t="s">
        <v>22</v>
      </c>
      <c r="E866" s="15">
        <v>0.77</v>
      </c>
      <c r="F866" s="15">
        <v>46.44</v>
      </c>
      <c r="G866" s="15">
        <v>27.89</v>
      </c>
      <c r="H866" s="15">
        <v>0.8</v>
      </c>
      <c r="I866" s="15">
        <v>0.75</v>
      </c>
      <c r="J866" s="15">
        <v>0.43</v>
      </c>
      <c r="K866" s="15">
        <v>0.06</v>
      </c>
      <c r="L866" s="15">
        <v>8.54</v>
      </c>
      <c r="M866" s="15" t="s">
        <v>25</v>
      </c>
    </row>
    <row r="867" ht="15.75" customHeight="1">
      <c r="A867" s="15" t="s">
        <v>2741</v>
      </c>
      <c r="B867" s="15" t="s">
        <v>3456</v>
      </c>
      <c r="C867" s="15">
        <v>2.0</v>
      </c>
      <c r="D867" s="15" t="s">
        <v>22</v>
      </c>
      <c r="E867" s="15">
        <v>0.78</v>
      </c>
      <c r="F867" s="15">
        <v>46.44</v>
      </c>
      <c r="G867" s="15">
        <v>27.89</v>
      </c>
      <c r="H867" s="15">
        <v>0.8</v>
      </c>
      <c r="I867" s="15">
        <v>0.75</v>
      </c>
      <c r="J867" s="15">
        <v>0.43</v>
      </c>
      <c r="K867" s="15">
        <v>0.06</v>
      </c>
      <c r="L867" s="15">
        <v>8.54</v>
      </c>
      <c r="M867" s="15" t="s">
        <v>25</v>
      </c>
    </row>
    <row r="868" ht="15.75" customHeight="1">
      <c r="A868" s="15" t="s">
        <v>2587</v>
      </c>
      <c r="B868" s="15" t="s">
        <v>3460</v>
      </c>
      <c r="C868" s="15">
        <v>2.0</v>
      </c>
      <c r="D868" s="15" t="s">
        <v>22</v>
      </c>
      <c r="E868" s="15">
        <v>0.76</v>
      </c>
      <c r="F868" s="15">
        <v>46.44</v>
      </c>
      <c r="G868" s="15">
        <v>27.89</v>
      </c>
      <c r="H868" s="15">
        <v>0.8</v>
      </c>
      <c r="I868" s="15">
        <v>0.75</v>
      </c>
      <c r="J868" s="15">
        <v>0.43</v>
      </c>
      <c r="K868" s="15">
        <v>0.06</v>
      </c>
      <c r="L868" s="15">
        <v>8.54</v>
      </c>
      <c r="M868" s="15" t="s">
        <v>25</v>
      </c>
    </row>
    <row r="869" ht="15.75" customHeight="1">
      <c r="A869" s="15" t="s">
        <v>981</v>
      </c>
      <c r="B869" s="15" t="s">
        <v>3463</v>
      </c>
      <c r="C869" s="15">
        <v>2.0</v>
      </c>
      <c r="D869" s="15" t="s">
        <v>22</v>
      </c>
      <c r="E869" s="15">
        <v>0.55</v>
      </c>
      <c r="F869" s="15">
        <v>46.44</v>
      </c>
      <c r="G869" s="15">
        <v>29.4</v>
      </c>
      <c r="H869" s="15">
        <v>0.88</v>
      </c>
      <c r="I869" s="15">
        <v>0.68</v>
      </c>
      <c r="J869" s="15">
        <v>0.44</v>
      </c>
      <c r="K869" s="15">
        <v>0.08</v>
      </c>
      <c r="L869" s="15">
        <v>8.59</v>
      </c>
      <c r="M869" s="15" t="s">
        <v>25</v>
      </c>
    </row>
    <row r="870" ht="15.75" customHeight="1">
      <c r="A870" s="15" t="s">
        <v>2646</v>
      </c>
      <c r="B870" s="15" t="s">
        <v>3466</v>
      </c>
      <c r="C870" s="15">
        <v>2.0</v>
      </c>
      <c r="D870" s="15" t="s">
        <v>22</v>
      </c>
      <c r="E870" s="15">
        <v>0.77</v>
      </c>
      <c r="F870" s="15">
        <v>46.44</v>
      </c>
      <c r="G870" s="15">
        <v>28.06</v>
      </c>
      <c r="H870" s="15">
        <v>0.8</v>
      </c>
      <c r="I870" s="15">
        <v>0.74</v>
      </c>
      <c r="J870" s="15">
        <v>0.43</v>
      </c>
      <c r="K870" s="15">
        <v>0.06</v>
      </c>
      <c r="L870" s="15">
        <v>8.55</v>
      </c>
      <c r="M870" s="15" t="s">
        <v>25</v>
      </c>
    </row>
    <row r="871" ht="15.75" customHeight="1">
      <c r="A871" s="15" t="s">
        <v>1288</v>
      </c>
      <c r="B871" s="15" t="s">
        <v>3469</v>
      </c>
      <c r="C871" s="15">
        <v>2.0</v>
      </c>
      <c r="D871" s="15" t="s">
        <v>22</v>
      </c>
      <c r="E871" s="15">
        <v>0.74</v>
      </c>
      <c r="F871" s="15">
        <v>46.43</v>
      </c>
      <c r="G871" s="15">
        <v>29.48</v>
      </c>
      <c r="H871" s="15">
        <v>0.89</v>
      </c>
      <c r="I871" s="15">
        <v>0.67</v>
      </c>
      <c r="J871" s="15">
        <v>0.31</v>
      </c>
      <c r="K871" s="15">
        <v>0.06</v>
      </c>
      <c r="L871" s="15">
        <v>8.92</v>
      </c>
      <c r="M871" s="15" t="s">
        <v>25</v>
      </c>
    </row>
    <row r="872" ht="15.75" customHeight="1">
      <c r="A872" s="15" t="s">
        <v>900</v>
      </c>
      <c r="B872" s="15" t="s">
        <v>3472</v>
      </c>
      <c r="C872" s="15">
        <v>2.0</v>
      </c>
      <c r="D872" s="15" t="s">
        <v>22</v>
      </c>
      <c r="E872" s="15">
        <v>0.78</v>
      </c>
      <c r="F872" s="15">
        <v>46.41</v>
      </c>
      <c r="G872" s="15">
        <v>28.36</v>
      </c>
      <c r="H872" s="15">
        <v>0.85</v>
      </c>
      <c r="I872" s="15">
        <v>0.73</v>
      </c>
      <c r="J872" s="15">
        <v>0.34</v>
      </c>
      <c r="K872" s="15">
        <v>0.05</v>
      </c>
      <c r="L872" s="15">
        <v>9.2</v>
      </c>
      <c r="M872" s="15" t="s">
        <v>25</v>
      </c>
    </row>
    <row r="873" ht="15.75" customHeight="1">
      <c r="A873" s="15" t="s">
        <v>808</v>
      </c>
      <c r="B873" s="15" t="s">
        <v>3475</v>
      </c>
      <c r="C873" s="15">
        <v>2.0</v>
      </c>
      <c r="D873" s="15" t="s">
        <v>22</v>
      </c>
      <c r="E873" s="15">
        <v>0.57</v>
      </c>
      <c r="F873" s="15">
        <v>46.4</v>
      </c>
      <c r="G873" s="15">
        <v>29.2</v>
      </c>
      <c r="H873" s="15">
        <v>0.89</v>
      </c>
      <c r="I873" s="15">
        <v>0.68</v>
      </c>
      <c r="J873" s="15">
        <v>0.38</v>
      </c>
      <c r="K873" s="15">
        <v>0.05</v>
      </c>
      <c r="L873" s="15">
        <v>8.89</v>
      </c>
      <c r="M873" s="15" t="s">
        <v>25</v>
      </c>
    </row>
    <row r="874" ht="15.75" customHeight="1">
      <c r="A874" s="15" t="s">
        <v>227</v>
      </c>
      <c r="B874" s="15" t="s">
        <v>3478</v>
      </c>
      <c r="C874" s="15">
        <v>2.0</v>
      </c>
      <c r="D874" s="15" t="s">
        <v>22</v>
      </c>
      <c r="E874" s="15">
        <v>0.76</v>
      </c>
      <c r="F874" s="15">
        <v>46.39</v>
      </c>
      <c r="G874" s="15">
        <v>28.36</v>
      </c>
      <c r="H874" s="15">
        <v>0.85</v>
      </c>
      <c r="I874" s="15">
        <v>0.72</v>
      </c>
      <c r="J874" s="15">
        <v>0.36</v>
      </c>
      <c r="K874" s="15">
        <v>0.05</v>
      </c>
      <c r="L874" s="15">
        <v>9.07</v>
      </c>
      <c r="M874" s="15" t="s">
        <v>25</v>
      </c>
    </row>
    <row r="875" ht="15.75" customHeight="1">
      <c r="A875" s="15" t="s">
        <v>28</v>
      </c>
      <c r="B875" s="15" t="s">
        <v>3481</v>
      </c>
      <c r="C875" s="15">
        <v>2.0</v>
      </c>
      <c r="D875" s="15" t="s">
        <v>22</v>
      </c>
      <c r="E875" s="15">
        <v>0.77</v>
      </c>
      <c r="F875" s="15">
        <v>46.39</v>
      </c>
      <c r="G875" s="15">
        <v>28.88</v>
      </c>
      <c r="H875" s="15">
        <v>0.84</v>
      </c>
      <c r="I875" s="15">
        <v>0.7</v>
      </c>
      <c r="J875" s="15">
        <v>0.55</v>
      </c>
      <c r="K875" s="15">
        <v>0.08</v>
      </c>
      <c r="L875" s="15">
        <v>7.86</v>
      </c>
      <c r="M875" s="15" t="s">
        <v>25</v>
      </c>
    </row>
    <row r="876" ht="15.75" customHeight="1">
      <c r="A876" s="15" t="s">
        <v>963</v>
      </c>
      <c r="B876" s="15" t="s">
        <v>3484</v>
      </c>
      <c r="C876" s="15">
        <v>2.0</v>
      </c>
      <c r="D876" s="15" t="s">
        <v>22</v>
      </c>
      <c r="E876" s="15">
        <v>0.77</v>
      </c>
      <c r="F876" s="15">
        <v>46.38</v>
      </c>
      <c r="G876" s="15">
        <v>28.33</v>
      </c>
      <c r="H876" s="15">
        <v>0.85</v>
      </c>
      <c r="I876" s="15">
        <v>0.73</v>
      </c>
      <c r="J876" s="15">
        <v>0.34</v>
      </c>
      <c r="K876" s="15">
        <v>0.05</v>
      </c>
      <c r="L876" s="15">
        <v>9.19</v>
      </c>
      <c r="M876" s="15" t="s">
        <v>25</v>
      </c>
    </row>
    <row r="877" ht="15.75" customHeight="1">
      <c r="A877" s="15" t="s">
        <v>864</v>
      </c>
      <c r="B877" s="15" t="s">
        <v>3487</v>
      </c>
      <c r="C877" s="15">
        <v>2.0</v>
      </c>
      <c r="D877" s="15" t="s">
        <v>22</v>
      </c>
      <c r="E877" s="15">
        <v>0.76</v>
      </c>
      <c r="F877" s="15">
        <v>46.37</v>
      </c>
      <c r="G877" s="15">
        <v>28.33</v>
      </c>
      <c r="H877" s="15">
        <v>0.85</v>
      </c>
      <c r="I877" s="15">
        <v>0.73</v>
      </c>
      <c r="J877" s="15">
        <v>0.34</v>
      </c>
      <c r="K877" s="15">
        <v>0.05</v>
      </c>
      <c r="L877" s="15">
        <v>9.21</v>
      </c>
      <c r="M877" s="15" t="s">
        <v>25</v>
      </c>
    </row>
    <row r="878" ht="15.75" customHeight="1">
      <c r="A878" s="15" t="s">
        <v>909</v>
      </c>
      <c r="B878" s="15" t="s">
        <v>3490</v>
      </c>
      <c r="C878" s="15">
        <v>2.0</v>
      </c>
      <c r="D878" s="15" t="s">
        <v>22</v>
      </c>
      <c r="E878" s="15">
        <v>0.77</v>
      </c>
      <c r="F878" s="15">
        <v>46.36</v>
      </c>
      <c r="G878" s="15">
        <v>28.33</v>
      </c>
      <c r="H878" s="15">
        <v>0.85</v>
      </c>
      <c r="I878" s="15">
        <v>0.73</v>
      </c>
      <c r="J878" s="15">
        <v>0.35</v>
      </c>
      <c r="K878" s="15">
        <v>0.05</v>
      </c>
      <c r="L878" s="15">
        <v>9.18</v>
      </c>
      <c r="M878" s="15" t="s">
        <v>25</v>
      </c>
    </row>
    <row r="879" ht="15.75" customHeight="1">
      <c r="A879" s="15" t="s">
        <v>237</v>
      </c>
      <c r="B879" s="15" t="s">
        <v>3493</v>
      </c>
      <c r="C879" s="15">
        <v>2.0</v>
      </c>
      <c r="D879" s="15" t="s">
        <v>22</v>
      </c>
      <c r="E879" s="15">
        <v>0.78</v>
      </c>
      <c r="F879" s="15">
        <v>46.36</v>
      </c>
      <c r="G879" s="15">
        <v>28.53</v>
      </c>
      <c r="H879" s="15">
        <v>0.85</v>
      </c>
      <c r="I879" s="15">
        <v>0.72</v>
      </c>
      <c r="J879" s="15">
        <v>0.34</v>
      </c>
      <c r="K879" s="15">
        <v>0.05</v>
      </c>
      <c r="L879" s="15">
        <v>9.2</v>
      </c>
      <c r="M879" s="15" t="s">
        <v>25</v>
      </c>
    </row>
    <row r="880" ht="15.75" customHeight="1">
      <c r="A880" s="15" t="s">
        <v>1280</v>
      </c>
      <c r="B880" s="15" t="s">
        <v>3496</v>
      </c>
      <c r="C880" s="15">
        <v>2.0</v>
      </c>
      <c r="D880" s="15" t="s">
        <v>22</v>
      </c>
      <c r="E880" s="15">
        <v>0.74</v>
      </c>
      <c r="F880" s="15">
        <v>46.35</v>
      </c>
      <c r="G880" s="15">
        <v>29.37</v>
      </c>
      <c r="H880" s="15">
        <v>0.89</v>
      </c>
      <c r="I880" s="15">
        <v>0.68</v>
      </c>
      <c r="J880" s="15">
        <v>0.31</v>
      </c>
      <c r="K880" s="15">
        <v>0.06</v>
      </c>
      <c r="L880" s="15">
        <v>8.9</v>
      </c>
      <c r="M880" s="15" t="s">
        <v>25</v>
      </c>
    </row>
    <row r="881" ht="15.75" customHeight="1">
      <c r="A881" s="15" t="s">
        <v>1226</v>
      </c>
      <c r="B881" s="15" t="s">
        <v>3499</v>
      </c>
      <c r="C881" s="15">
        <v>2.0</v>
      </c>
      <c r="D881" s="15" t="s">
        <v>22</v>
      </c>
      <c r="E881" s="15">
        <v>0.81</v>
      </c>
      <c r="F881" s="15">
        <v>46.31</v>
      </c>
      <c r="G881" s="15">
        <v>29.78</v>
      </c>
      <c r="H881" s="15">
        <v>0.88</v>
      </c>
      <c r="I881" s="15">
        <v>0.66</v>
      </c>
      <c r="J881" s="15">
        <v>0.44</v>
      </c>
      <c r="K881" s="15">
        <v>0.06</v>
      </c>
      <c r="L881" s="15">
        <v>8.76</v>
      </c>
      <c r="M881" s="15" t="s">
        <v>25</v>
      </c>
    </row>
    <row r="882" ht="15.75" customHeight="1">
      <c r="A882" s="15" t="s">
        <v>74</v>
      </c>
      <c r="B882" s="15" t="s">
        <v>3502</v>
      </c>
      <c r="C882" s="15">
        <v>2.0</v>
      </c>
      <c r="D882" s="15" t="s">
        <v>22</v>
      </c>
      <c r="E882" s="15">
        <v>0.58</v>
      </c>
      <c r="F882" s="15">
        <v>46.29</v>
      </c>
      <c r="G882" s="15">
        <v>29.45</v>
      </c>
      <c r="H882" s="15">
        <v>0.89</v>
      </c>
      <c r="I882" s="15">
        <v>0.67</v>
      </c>
      <c r="J882" s="15">
        <v>0.38</v>
      </c>
      <c r="K882" s="15">
        <v>0.05</v>
      </c>
      <c r="L882" s="15">
        <v>8.89</v>
      </c>
      <c r="M882" s="15" t="s">
        <v>25</v>
      </c>
    </row>
    <row r="883" ht="15.75" customHeight="1">
      <c r="A883" s="15" t="s">
        <v>615</v>
      </c>
      <c r="B883" s="15" t="s">
        <v>3504</v>
      </c>
      <c r="C883" s="15">
        <v>2.0</v>
      </c>
      <c r="D883" s="15" t="s">
        <v>22</v>
      </c>
      <c r="E883" s="15">
        <v>0.55</v>
      </c>
      <c r="F883" s="15">
        <v>46.27</v>
      </c>
      <c r="G883" s="15">
        <v>29.87</v>
      </c>
      <c r="H883" s="15">
        <v>0.85</v>
      </c>
      <c r="I883" s="15">
        <v>0.65</v>
      </c>
      <c r="J883" s="15">
        <v>0.41</v>
      </c>
      <c r="K883" s="15">
        <v>0.06</v>
      </c>
      <c r="L883" s="15">
        <v>8.54</v>
      </c>
      <c r="M883" s="15" t="s">
        <v>25</v>
      </c>
    </row>
    <row r="884" ht="15.75" customHeight="1">
      <c r="A884" s="15" t="s">
        <v>242</v>
      </c>
      <c r="B884" s="15" t="s">
        <v>3507</v>
      </c>
      <c r="C884" s="15">
        <v>2.0</v>
      </c>
      <c r="D884" s="15" t="s">
        <v>22</v>
      </c>
      <c r="E884" s="15">
        <v>0.59</v>
      </c>
      <c r="F884" s="15">
        <v>46.26</v>
      </c>
      <c r="G884" s="15">
        <v>29.32</v>
      </c>
      <c r="H884" s="15">
        <v>0.89</v>
      </c>
      <c r="I884" s="15">
        <v>0.68</v>
      </c>
      <c r="J884" s="15">
        <v>0.44</v>
      </c>
      <c r="K884" s="15">
        <v>0.08</v>
      </c>
      <c r="L884" s="15">
        <v>8.6</v>
      </c>
      <c r="M884" s="15" t="s">
        <v>25</v>
      </c>
    </row>
    <row r="885" ht="15.75" customHeight="1">
      <c r="A885" s="15" t="s">
        <v>264</v>
      </c>
      <c r="B885" s="15" t="s">
        <v>3510</v>
      </c>
      <c r="C885" s="15">
        <v>2.0</v>
      </c>
      <c r="D885" s="15" t="s">
        <v>22</v>
      </c>
      <c r="E885" s="15">
        <v>0.6</v>
      </c>
      <c r="F885" s="15">
        <v>46.25</v>
      </c>
      <c r="G885" s="15">
        <v>29.76</v>
      </c>
      <c r="H885" s="15">
        <v>0.87</v>
      </c>
      <c r="I885" s="15">
        <v>0.66</v>
      </c>
      <c r="J885" s="15">
        <v>0.61</v>
      </c>
      <c r="K885" s="15">
        <v>0.1</v>
      </c>
      <c r="L885" s="15">
        <v>7.32</v>
      </c>
      <c r="M885" s="15" t="s">
        <v>25</v>
      </c>
    </row>
    <row r="886" ht="15.75" customHeight="1">
      <c r="A886" s="15" t="s">
        <v>1230</v>
      </c>
      <c r="B886" s="15" t="s">
        <v>3513</v>
      </c>
      <c r="C886" s="15">
        <v>2.0</v>
      </c>
      <c r="D886" s="15" t="s">
        <v>22</v>
      </c>
      <c r="E886" s="15">
        <v>0.77</v>
      </c>
      <c r="F886" s="15">
        <v>46.23</v>
      </c>
      <c r="G886" s="15">
        <v>28.33</v>
      </c>
      <c r="H886" s="15">
        <v>0.85</v>
      </c>
      <c r="I886" s="15">
        <v>0.72</v>
      </c>
      <c r="J886" s="15">
        <v>0.41</v>
      </c>
      <c r="K886" s="15">
        <v>0.06</v>
      </c>
      <c r="L886" s="15">
        <v>8.72</v>
      </c>
      <c r="M886" s="15" t="s">
        <v>25</v>
      </c>
    </row>
    <row r="887" ht="15.75" customHeight="1">
      <c r="A887" s="15" t="s">
        <v>1235</v>
      </c>
      <c r="B887" s="15" t="s">
        <v>3516</v>
      </c>
      <c r="C887" s="15">
        <v>2.0</v>
      </c>
      <c r="D887" s="15" t="s">
        <v>22</v>
      </c>
      <c r="E887" s="15">
        <v>0.78</v>
      </c>
      <c r="F887" s="15">
        <v>46.23</v>
      </c>
      <c r="G887" s="15">
        <v>28.33</v>
      </c>
      <c r="H887" s="15">
        <v>0.85</v>
      </c>
      <c r="I887" s="15">
        <v>0.72</v>
      </c>
      <c r="J887" s="15">
        <v>0.41</v>
      </c>
      <c r="K887" s="15">
        <v>0.06</v>
      </c>
      <c r="L887" s="15">
        <v>8.72</v>
      </c>
      <c r="M887" s="15" t="s">
        <v>25</v>
      </c>
    </row>
    <row r="888" ht="15.75" customHeight="1">
      <c r="A888" s="15" t="s">
        <v>1173</v>
      </c>
      <c r="B888" s="15" t="s">
        <v>3519</v>
      </c>
      <c r="C888" s="15">
        <v>2.0</v>
      </c>
      <c r="D888" s="15" t="s">
        <v>22</v>
      </c>
      <c r="E888" s="15">
        <v>0.77</v>
      </c>
      <c r="F888" s="15">
        <v>46.22</v>
      </c>
      <c r="G888" s="15">
        <v>28.5</v>
      </c>
      <c r="H888" s="15">
        <v>0.85</v>
      </c>
      <c r="I888" s="15">
        <v>0.72</v>
      </c>
      <c r="J888" s="15">
        <v>0.41</v>
      </c>
      <c r="K888" s="15">
        <v>0.06</v>
      </c>
      <c r="L888" s="15">
        <v>8.72</v>
      </c>
      <c r="M888" s="15" t="s">
        <v>25</v>
      </c>
    </row>
    <row r="889" ht="15.75" customHeight="1">
      <c r="A889" s="15" t="s">
        <v>767</v>
      </c>
      <c r="B889" s="15" t="s">
        <v>3522</v>
      </c>
      <c r="C889" s="15">
        <v>2.0</v>
      </c>
      <c r="D889" s="15" t="s">
        <v>22</v>
      </c>
      <c r="E889" s="15">
        <v>0.59</v>
      </c>
      <c r="F889" s="15">
        <v>46.2</v>
      </c>
      <c r="G889" s="15">
        <v>29.84</v>
      </c>
      <c r="H889" s="15">
        <v>0.89</v>
      </c>
      <c r="I889" s="15">
        <v>0.65</v>
      </c>
      <c r="J889" s="15">
        <v>0.38</v>
      </c>
      <c r="K889" s="15">
        <v>0.05</v>
      </c>
      <c r="L889" s="15">
        <v>8.91</v>
      </c>
      <c r="M889" s="15" t="s">
        <v>25</v>
      </c>
    </row>
    <row r="890" ht="15.75" customHeight="1">
      <c r="A890" s="15" t="s">
        <v>1072</v>
      </c>
      <c r="B890" s="15" t="s">
        <v>3526</v>
      </c>
      <c r="C890" s="15">
        <v>2.0</v>
      </c>
      <c r="D890" s="15" t="s">
        <v>22</v>
      </c>
      <c r="E890" s="15">
        <v>0.74</v>
      </c>
      <c r="F890" s="15">
        <v>46.19</v>
      </c>
      <c r="G890" s="15">
        <v>29.42</v>
      </c>
      <c r="H890" s="15">
        <v>0.89</v>
      </c>
      <c r="I890" s="15">
        <v>0.67</v>
      </c>
      <c r="J890" s="15">
        <v>0.31</v>
      </c>
      <c r="K890" s="15">
        <v>0.06</v>
      </c>
      <c r="L890" s="15">
        <v>8.9</v>
      </c>
      <c r="M890" s="15" t="s">
        <v>25</v>
      </c>
    </row>
    <row r="891" ht="15.75" customHeight="1">
      <c r="A891" s="15" t="s">
        <v>168</v>
      </c>
      <c r="B891" s="15" t="s">
        <v>3529</v>
      </c>
      <c r="C891" s="15">
        <v>2.0</v>
      </c>
      <c r="D891" s="15" t="s">
        <v>22</v>
      </c>
      <c r="E891" s="15">
        <v>0.77</v>
      </c>
      <c r="F891" s="15">
        <v>46.17</v>
      </c>
      <c r="G891" s="15">
        <v>28.64</v>
      </c>
      <c r="H891" s="15">
        <v>0.85</v>
      </c>
      <c r="I891" s="15">
        <v>0.71</v>
      </c>
      <c r="J891" s="15">
        <v>0.43</v>
      </c>
      <c r="K891" s="15">
        <v>0.06</v>
      </c>
      <c r="L891" s="15">
        <v>8.65</v>
      </c>
      <c r="M891" s="15" t="s">
        <v>25</v>
      </c>
    </row>
    <row r="892" ht="15.75" customHeight="1">
      <c r="A892" s="15" t="s">
        <v>158</v>
      </c>
      <c r="B892" s="15" t="s">
        <v>3532</v>
      </c>
      <c r="C892" s="15">
        <v>2.0</v>
      </c>
      <c r="D892" s="15" t="s">
        <v>22</v>
      </c>
      <c r="E892" s="15">
        <v>0.77</v>
      </c>
      <c r="F892" s="15">
        <v>46.15</v>
      </c>
      <c r="G892" s="15">
        <v>28.81</v>
      </c>
      <c r="H892" s="15">
        <v>0.85</v>
      </c>
      <c r="I892" s="15">
        <v>0.7</v>
      </c>
      <c r="J892" s="15">
        <v>0.41</v>
      </c>
      <c r="K892" s="15">
        <v>0.06</v>
      </c>
      <c r="L892" s="15">
        <v>8.72</v>
      </c>
      <c r="M892" s="15" t="s">
        <v>25</v>
      </c>
    </row>
    <row r="893" ht="15.75" customHeight="1">
      <c r="A893" s="15" t="s">
        <v>2370</v>
      </c>
      <c r="B893" s="15" t="s">
        <v>3535</v>
      </c>
      <c r="C893" s="15">
        <v>2.0</v>
      </c>
      <c r="D893" s="15" t="s">
        <v>22</v>
      </c>
      <c r="E893" s="15">
        <v>0.78</v>
      </c>
      <c r="F893" s="15">
        <v>46.14</v>
      </c>
      <c r="G893" s="15">
        <v>28.35</v>
      </c>
      <c r="H893" s="15">
        <v>0.81</v>
      </c>
      <c r="I893" s="15">
        <v>0.72</v>
      </c>
      <c r="J893" s="15">
        <v>0.45</v>
      </c>
      <c r="K893" s="15">
        <v>0.06</v>
      </c>
      <c r="L893" s="15">
        <v>8.45</v>
      </c>
      <c r="M893" s="15" t="s">
        <v>25</v>
      </c>
    </row>
    <row r="894" ht="15.75" customHeight="1">
      <c r="A894" s="15" t="s">
        <v>1244</v>
      </c>
      <c r="B894" s="15" t="s">
        <v>3538</v>
      </c>
      <c r="C894" s="15">
        <v>2.0</v>
      </c>
      <c r="D894" s="15" t="s">
        <v>22</v>
      </c>
      <c r="E894" s="15">
        <v>0.76</v>
      </c>
      <c r="F894" s="15">
        <v>46.14</v>
      </c>
      <c r="G894" s="15">
        <v>28.77</v>
      </c>
      <c r="H894" s="15">
        <v>0.85</v>
      </c>
      <c r="I894" s="15">
        <v>0.7</v>
      </c>
      <c r="J894" s="15">
        <v>0.41</v>
      </c>
      <c r="K894" s="15">
        <v>0.06</v>
      </c>
      <c r="L894" s="15">
        <v>8.74</v>
      </c>
      <c r="M894" s="15" t="s">
        <v>25</v>
      </c>
    </row>
    <row r="895" ht="15.75" customHeight="1">
      <c r="A895" s="15" t="s">
        <v>133</v>
      </c>
      <c r="B895" s="15" t="s">
        <v>3541</v>
      </c>
      <c r="C895" s="15">
        <v>2.0</v>
      </c>
      <c r="D895" s="15" t="s">
        <v>22</v>
      </c>
      <c r="E895" s="15">
        <v>0.77</v>
      </c>
      <c r="F895" s="15">
        <v>46.12</v>
      </c>
      <c r="G895" s="15">
        <v>28.74</v>
      </c>
      <c r="H895" s="15">
        <v>0.85</v>
      </c>
      <c r="I895" s="15">
        <v>0.7</v>
      </c>
      <c r="J895" s="15">
        <v>0.41</v>
      </c>
      <c r="K895" s="15">
        <v>0.06</v>
      </c>
      <c r="L895" s="15">
        <v>8.74</v>
      </c>
      <c r="M895" s="15" t="s">
        <v>25</v>
      </c>
    </row>
    <row r="896" ht="15.75" customHeight="1">
      <c r="A896" s="15" t="s">
        <v>1145</v>
      </c>
      <c r="B896" s="15" t="s">
        <v>3544</v>
      </c>
      <c r="C896" s="15">
        <v>2.0</v>
      </c>
      <c r="D896" s="15" t="s">
        <v>22</v>
      </c>
      <c r="E896" s="15">
        <v>0.75</v>
      </c>
      <c r="F896" s="15">
        <v>46.09</v>
      </c>
      <c r="G896" s="15">
        <v>29.52</v>
      </c>
      <c r="H896" s="15">
        <v>0.89</v>
      </c>
      <c r="I896" s="15">
        <v>0.66</v>
      </c>
      <c r="J896" s="15">
        <v>0.31</v>
      </c>
      <c r="K896" s="15">
        <v>0.06</v>
      </c>
      <c r="L896" s="15">
        <v>8.87</v>
      </c>
      <c r="M896" s="15" t="s">
        <v>25</v>
      </c>
    </row>
    <row r="897" ht="15.75" customHeight="1">
      <c r="A897" s="15" t="s">
        <v>244</v>
      </c>
      <c r="B897" s="15" t="s">
        <v>3547</v>
      </c>
      <c r="C897" s="15">
        <v>2.0</v>
      </c>
      <c r="D897" s="15" t="s">
        <v>22</v>
      </c>
      <c r="E897" s="15">
        <v>0.77</v>
      </c>
      <c r="F897" s="15">
        <v>46.07</v>
      </c>
      <c r="G897" s="15">
        <v>28.66</v>
      </c>
      <c r="H897" s="15">
        <v>0.85</v>
      </c>
      <c r="I897" s="15">
        <v>0.7</v>
      </c>
      <c r="J897" s="15">
        <v>0.41</v>
      </c>
      <c r="K897" s="15">
        <v>0.05</v>
      </c>
      <c r="L897" s="15">
        <v>8.75</v>
      </c>
      <c r="M897" s="15" t="s">
        <v>25</v>
      </c>
    </row>
    <row r="898" ht="15.75" customHeight="1">
      <c r="A898" s="15" t="s">
        <v>1252</v>
      </c>
      <c r="B898" s="15" t="s">
        <v>3550</v>
      </c>
      <c r="C898" s="15">
        <v>2.0</v>
      </c>
      <c r="D898" s="15" t="s">
        <v>22</v>
      </c>
      <c r="E898" s="15">
        <v>0.74</v>
      </c>
      <c r="F898" s="15">
        <v>46.05</v>
      </c>
      <c r="G898" s="15">
        <v>29.62</v>
      </c>
      <c r="H898" s="15">
        <v>0.89</v>
      </c>
      <c r="I898" s="15">
        <v>0.66</v>
      </c>
      <c r="J898" s="15">
        <v>0.31</v>
      </c>
      <c r="K898" s="15">
        <v>0.06</v>
      </c>
      <c r="L898" s="15">
        <v>8.9</v>
      </c>
      <c r="M898" s="15" t="s">
        <v>25</v>
      </c>
    </row>
    <row r="899" ht="15.75" customHeight="1">
      <c r="A899" s="15" t="s">
        <v>173</v>
      </c>
      <c r="B899" s="15" t="s">
        <v>3553</v>
      </c>
      <c r="C899" s="15">
        <v>2.0</v>
      </c>
      <c r="D899" s="15" t="s">
        <v>22</v>
      </c>
      <c r="E899" s="15">
        <v>0.77</v>
      </c>
      <c r="F899" s="15">
        <v>46.04</v>
      </c>
      <c r="G899" s="15">
        <v>28.63</v>
      </c>
      <c r="H899" s="15">
        <v>0.85</v>
      </c>
      <c r="I899" s="15">
        <v>0.71</v>
      </c>
      <c r="J899" s="15">
        <v>0.41</v>
      </c>
      <c r="K899" s="15">
        <v>0.06</v>
      </c>
      <c r="L899" s="15">
        <v>8.73</v>
      </c>
      <c r="M899" s="15" t="s">
        <v>25</v>
      </c>
    </row>
    <row r="900" ht="15.75" customHeight="1">
      <c r="A900" s="15" t="s">
        <v>1261</v>
      </c>
      <c r="B900" s="15" t="s">
        <v>3556</v>
      </c>
      <c r="C900" s="15">
        <v>2.0</v>
      </c>
      <c r="D900" s="15" t="s">
        <v>22</v>
      </c>
      <c r="E900" s="15">
        <v>0.75</v>
      </c>
      <c r="F900" s="15">
        <v>46.01</v>
      </c>
      <c r="G900" s="15">
        <v>29.27</v>
      </c>
      <c r="H900" s="15">
        <v>0.89</v>
      </c>
      <c r="I900" s="15">
        <v>0.67</v>
      </c>
      <c r="J900" s="15">
        <v>0.31</v>
      </c>
      <c r="K900" s="15">
        <v>0.06</v>
      </c>
      <c r="L900" s="15">
        <v>8.88</v>
      </c>
      <c r="M900" s="15" t="s">
        <v>25</v>
      </c>
    </row>
    <row r="901" ht="15.75" customHeight="1">
      <c r="A901" s="15" t="s">
        <v>1163</v>
      </c>
      <c r="B901" s="15" t="s">
        <v>3559</v>
      </c>
      <c r="C901" s="15">
        <v>2.0</v>
      </c>
      <c r="D901" s="15" t="s">
        <v>22</v>
      </c>
      <c r="E901" s="15">
        <v>0.77</v>
      </c>
      <c r="F901" s="15">
        <v>46.01</v>
      </c>
      <c r="G901" s="15">
        <v>28.97</v>
      </c>
      <c r="H901" s="15">
        <v>0.85</v>
      </c>
      <c r="I901" s="15">
        <v>0.69</v>
      </c>
      <c r="J901" s="15">
        <v>0.41</v>
      </c>
      <c r="K901" s="15">
        <v>0.06</v>
      </c>
      <c r="L901" s="15">
        <v>8.76</v>
      </c>
      <c r="M901" s="15" t="s">
        <v>25</v>
      </c>
    </row>
    <row r="902" ht="15.75" customHeight="1">
      <c r="A902" s="15" t="s">
        <v>223</v>
      </c>
      <c r="B902" s="15" t="s">
        <v>3562</v>
      </c>
      <c r="C902" s="15">
        <v>2.0</v>
      </c>
      <c r="D902" s="15" t="s">
        <v>22</v>
      </c>
      <c r="E902" s="15">
        <v>0.82</v>
      </c>
      <c r="F902" s="15">
        <v>46.01</v>
      </c>
      <c r="G902" s="15">
        <v>29.09</v>
      </c>
      <c r="H902" s="15">
        <v>0.89</v>
      </c>
      <c r="I902" s="15">
        <v>0.68</v>
      </c>
      <c r="J902" s="15">
        <v>0.44</v>
      </c>
      <c r="K902" s="15">
        <v>0.06</v>
      </c>
      <c r="L902" s="15">
        <v>8.78</v>
      </c>
      <c r="M902" s="15" t="s">
        <v>25</v>
      </c>
    </row>
    <row r="903" ht="15.75" customHeight="1">
      <c r="A903" s="15" t="s">
        <v>412</v>
      </c>
      <c r="B903" s="15" t="s">
        <v>3565</v>
      </c>
      <c r="C903" s="15">
        <v>2.0</v>
      </c>
      <c r="D903" s="15" t="s">
        <v>22</v>
      </c>
      <c r="E903" s="15">
        <v>0.78</v>
      </c>
      <c r="F903" s="15">
        <v>46.0</v>
      </c>
      <c r="G903" s="15">
        <v>30.06</v>
      </c>
      <c r="H903" s="15">
        <v>0.92</v>
      </c>
      <c r="I903" s="15">
        <v>0.64</v>
      </c>
      <c r="J903" s="15">
        <v>0.41</v>
      </c>
      <c r="K903" s="15">
        <v>0.06</v>
      </c>
      <c r="L903" s="15">
        <v>8.54</v>
      </c>
      <c r="M903" s="15" t="s">
        <v>25</v>
      </c>
    </row>
    <row r="904" ht="15.75" customHeight="1">
      <c r="A904" s="15" t="s">
        <v>1226</v>
      </c>
      <c r="B904" s="15" t="s">
        <v>3568</v>
      </c>
      <c r="C904" s="15">
        <v>2.0</v>
      </c>
      <c r="D904" s="15" t="s">
        <v>22</v>
      </c>
      <c r="E904" s="15">
        <v>0.77</v>
      </c>
      <c r="F904" s="15">
        <v>45.99</v>
      </c>
      <c r="G904" s="15">
        <v>28.89</v>
      </c>
      <c r="H904" s="15">
        <v>0.85</v>
      </c>
      <c r="I904" s="15">
        <v>0.69</v>
      </c>
      <c r="J904" s="15">
        <v>0.41</v>
      </c>
      <c r="K904" s="15">
        <v>0.05</v>
      </c>
      <c r="L904" s="15">
        <v>8.77</v>
      </c>
      <c r="M904" s="15" t="s">
        <v>25</v>
      </c>
    </row>
    <row r="905" ht="15.75" customHeight="1">
      <c r="A905" s="15" t="s">
        <v>785</v>
      </c>
      <c r="B905" s="15" t="s">
        <v>3571</v>
      </c>
      <c r="C905" s="15">
        <v>2.0</v>
      </c>
      <c r="D905" s="15" t="s">
        <v>22</v>
      </c>
      <c r="E905" s="15">
        <v>0.83</v>
      </c>
      <c r="F905" s="15">
        <v>45.98</v>
      </c>
      <c r="G905" s="15">
        <v>29.45</v>
      </c>
      <c r="H905" s="15">
        <v>0.88</v>
      </c>
      <c r="I905" s="15">
        <v>0.67</v>
      </c>
      <c r="J905" s="15">
        <v>0.39</v>
      </c>
      <c r="K905" s="15">
        <v>0.05</v>
      </c>
      <c r="L905" s="15">
        <v>9.08</v>
      </c>
      <c r="M905" s="15" t="s">
        <v>25</v>
      </c>
    </row>
    <row r="906" ht="15.75" customHeight="1">
      <c r="A906" s="15" t="s">
        <v>36</v>
      </c>
      <c r="B906" s="15" t="s">
        <v>3574</v>
      </c>
      <c r="C906" s="15">
        <v>2.0</v>
      </c>
      <c r="D906" s="15" t="s">
        <v>22</v>
      </c>
      <c r="E906" s="15">
        <v>0.81</v>
      </c>
      <c r="F906" s="15">
        <v>45.96</v>
      </c>
      <c r="G906" s="15">
        <v>28.83</v>
      </c>
      <c r="H906" s="15">
        <v>0.88</v>
      </c>
      <c r="I906" s="15">
        <v>0.69</v>
      </c>
      <c r="J906" s="15">
        <v>0.38</v>
      </c>
      <c r="K906" s="15">
        <v>0.05</v>
      </c>
      <c r="L906" s="15">
        <v>8.99</v>
      </c>
      <c r="M906" s="15" t="s">
        <v>25</v>
      </c>
    </row>
    <row r="907" ht="15.75" customHeight="1">
      <c r="A907" s="15" t="s">
        <v>1097</v>
      </c>
      <c r="B907" s="15" t="s">
        <v>3577</v>
      </c>
      <c r="C907" s="15">
        <v>2.0</v>
      </c>
      <c r="D907" s="15" t="s">
        <v>22</v>
      </c>
      <c r="E907" s="15">
        <v>0.74</v>
      </c>
      <c r="F907" s="15">
        <v>45.94</v>
      </c>
      <c r="G907" s="15">
        <v>29.05</v>
      </c>
      <c r="H907" s="15">
        <v>0.89</v>
      </c>
      <c r="I907" s="15">
        <v>0.68</v>
      </c>
      <c r="J907" s="15">
        <v>0.31</v>
      </c>
      <c r="K907" s="15">
        <v>0.06</v>
      </c>
      <c r="L907" s="15">
        <v>8.87</v>
      </c>
      <c r="M907" s="15" t="s">
        <v>25</v>
      </c>
    </row>
    <row r="908" ht="15.75" customHeight="1">
      <c r="A908" s="15" t="s">
        <v>431</v>
      </c>
      <c r="B908" s="15" t="s">
        <v>3580</v>
      </c>
      <c r="C908" s="15">
        <v>2.0</v>
      </c>
      <c r="D908" s="15" t="s">
        <v>22</v>
      </c>
      <c r="E908" s="15">
        <v>0.8</v>
      </c>
      <c r="F908" s="15">
        <v>45.92</v>
      </c>
      <c r="G908" s="15">
        <v>30.14</v>
      </c>
      <c r="H908" s="15">
        <v>0.92</v>
      </c>
      <c r="I908" s="15">
        <v>0.64</v>
      </c>
      <c r="J908" s="15">
        <v>0.43</v>
      </c>
      <c r="K908" s="15">
        <v>0.06</v>
      </c>
      <c r="L908" s="15">
        <v>8.41</v>
      </c>
      <c r="M908" s="15" t="s">
        <v>25</v>
      </c>
    </row>
    <row r="909" ht="15.75" customHeight="1">
      <c r="A909" s="15" t="s">
        <v>163</v>
      </c>
      <c r="B909" s="15" t="s">
        <v>3583</v>
      </c>
      <c r="C909" s="15">
        <v>2.0</v>
      </c>
      <c r="D909" s="15" t="s">
        <v>22</v>
      </c>
      <c r="E909" s="15">
        <v>0.78</v>
      </c>
      <c r="F909" s="15">
        <v>45.91</v>
      </c>
      <c r="G909" s="15">
        <v>29.36</v>
      </c>
      <c r="H909" s="15">
        <v>0.88</v>
      </c>
      <c r="I909" s="15">
        <v>0.67</v>
      </c>
      <c r="J909" s="15">
        <v>0.47</v>
      </c>
      <c r="K909" s="15">
        <v>0.06</v>
      </c>
      <c r="L909" s="15">
        <v>8.53</v>
      </c>
      <c r="M909" s="15" t="s">
        <v>25</v>
      </c>
    </row>
    <row r="910" ht="15.75" customHeight="1">
      <c r="A910" s="15" t="s">
        <v>1230</v>
      </c>
      <c r="B910" s="15" t="s">
        <v>3586</v>
      </c>
      <c r="C910" s="15">
        <v>2.0</v>
      </c>
      <c r="D910" s="15" t="s">
        <v>22</v>
      </c>
      <c r="E910" s="15">
        <v>0.82</v>
      </c>
      <c r="F910" s="15">
        <v>45.9</v>
      </c>
      <c r="G910" s="15">
        <v>29.16</v>
      </c>
      <c r="H910" s="15">
        <v>0.88</v>
      </c>
      <c r="I910" s="15">
        <v>0.68</v>
      </c>
      <c r="J910" s="15">
        <v>0.4</v>
      </c>
      <c r="K910" s="15">
        <v>0.05</v>
      </c>
      <c r="L910" s="15">
        <v>8.89</v>
      </c>
      <c r="M910" s="15" t="s">
        <v>25</v>
      </c>
    </row>
    <row r="911" ht="15.75" customHeight="1">
      <c r="A911" s="15" t="s">
        <v>1293</v>
      </c>
      <c r="B911" s="15" t="s">
        <v>3589</v>
      </c>
      <c r="C911" s="15">
        <v>2.0</v>
      </c>
      <c r="D911" s="15" t="s">
        <v>22</v>
      </c>
      <c r="E911" s="15">
        <v>0.74</v>
      </c>
      <c r="F911" s="15">
        <v>45.9</v>
      </c>
      <c r="G911" s="15">
        <v>29.1</v>
      </c>
      <c r="H911" s="15">
        <v>0.89</v>
      </c>
      <c r="I911" s="15">
        <v>0.68</v>
      </c>
      <c r="J911" s="15">
        <v>0.31</v>
      </c>
      <c r="K911" s="15">
        <v>0.06</v>
      </c>
      <c r="L911" s="15">
        <v>8.88</v>
      </c>
      <c r="M911" s="15" t="s">
        <v>25</v>
      </c>
    </row>
    <row r="912" ht="15.75" customHeight="1">
      <c r="A912" s="15" t="s">
        <v>138</v>
      </c>
      <c r="B912" s="15" t="s">
        <v>3592</v>
      </c>
      <c r="C912" s="15">
        <v>2.0</v>
      </c>
      <c r="D912" s="15" t="s">
        <v>22</v>
      </c>
      <c r="E912" s="15">
        <v>0.82</v>
      </c>
      <c r="F912" s="15">
        <v>45.89</v>
      </c>
      <c r="G912" s="15">
        <v>29.24</v>
      </c>
      <c r="H912" s="15">
        <v>0.88</v>
      </c>
      <c r="I912" s="15">
        <v>0.67</v>
      </c>
      <c r="J912" s="15">
        <v>0.4</v>
      </c>
      <c r="K912" s="15">
        <v>0.05</v>
      </c>
      <c r="L912" s="15">
        <v>8.89</v>
      </c>
      <c r="M912" s="15" t="s">
        <v>25</v>
      </c>
    </row>
    <row r="913" ht="15.75" customHeight="1">
      <c r="A913" s="15" t="s">
        <v>520</v>
      </c>
      <c r="B913" s="15" t="s">
        <v>3595</v>
      </c>
      <c r="C913" s="15">
        <v>2.0</v>
      </c>
      <c r="D913" s="15" t="s">
        <v>22</v>
      </c>
      <c r="E913" s="15">
        <v>0.85</v>
      </c>
      <c r="F913" s="15">
        <v>45.88</v>
      </c>
      <c r="G913" s="15">
        <v>29.74</v>
      </c>
      <c r="H913" s="15">
        <v>0.88</v>
      </c>
      <c r="I913" s="15">
        <v>0.65</v>
      </c>
      <c r="J913" s="15">
        <v>0.37</v>
      </c>
      <c r="K913" s="15">
        <v>0.05</v>
      </c>
      <c r="L913" s="15">
        <v>9.14</v>
      </c>
      <c r="M913" s="15" t="s">
        <v>25</v>
      </c>
    </row>
    <row r="914" ht="15.75" customHeight="1">
      <c r="A914" s="15" t="s">
        <v>1858</v>
      </c>
      <c r="B914" s="15" t="s">
        <v>3598</v>
      </c>
      <c r="C914" s="15">
        <v>2.0</v>
      </c>
      <c r="D914" s="15" t="s">
        <v>22</v>
      </c>
      <c r="E914" s="15">
        <v>0.57</v>
      </c>
      <c r="F914" s="15">
        <v>45.88</v>
      </c>
      <c r="G914" s="15">
        <v>28.78</v>
      </c>
      <c r="H914" s="15">
        <v>0.88</v>
      </c>
      <c r="I914" s="15">
        <v>0.7</v>
      </c>
      <c r="J914" s="15">
        <v>0.52</v>
      </c>
      <c r="K914" s="15">
        <v>0.09</v>
      </c>
      <c r="L914" s="15">
        <v>7.43</v>
      </c>
      <c r="M914" s="15" t="s">
        <v>25</v>
      </c>
    </row>
    <row r="915" ht="15.75" customHeight="1">
      <c r="A915" s="15" t="s">
        <v>804</v>
      </c>
      <c r="B915" s="15" t="s">
        <v>3601</v>
      </c>
      <c r="C915" s="15">
        <v>2.0</v>
      </c>
      <c r="D915" s="15" t="s">
        <v>22</v>
      </c>
      <c r="E915" s="15">
        <v>0.75</v>
      </c>
      <c r="F915" s="15">
        <v>45.87</v>
      </c>
      <c r="G915" s="15">
        <v>29.45</v>
      </c>
      <c r="H915" s="15">
        <v>0.89</v>
      </c>
      <c r="I915" s="15">
        <v>0.66</v>
      </c>
      <c r="J915" s="15">
        <v>0.31</v>
      </c>
      <c r="K915" s="15">
        <v>0.06</v>
      </c>
      <c r="L915" s="15">
        <v>8.89</v>
      </c>
      <c r="M915" s="15" t="s">
        <v>25</v>
      </c>
    </row>
    <row r="916" ht="15.75" customHeight="1">
      <c r="A916" s="15" t="s">
        <v>852</v>
      </c>
      <c r="B916" s="15" t="s">
        <v>3604</v>
      </c>
      <c r="C916" s="15">
        <v>2.0</v>
      </c>
      <c r="D916" s="15" t="s">
        <v>22</v>
      </c>
      <c r="E916" s="15">
        <v>0.82</v>
      </c>
      <c r="F916" s="15">
        <v>45.87</v>
      </c>
      <c r="G916" s="15">
        <v>28.86</v>
      </c>
      <c r="H916" s="15">
        <v>0.88</v>
      </c>
      <c r="I916" s="15">
        <v>0.69</v>
      </c>
      <c r="J916" s="15">
        <v>0.38</v>
      </c>
      <c r="K916" s="15">
        <v>0.05</v>
      </c>
      <c r="L916" s="15">
        <v>9.0</v>
      </c>
      <c r="M916" s="15" t="s">
        <v>25</v>
      </c>
    </row>
    <row r="917" ht="15.75" customHeight="1">
      <c r="A917" s="15" t="s">
        <v>230</v>
      </c>
      <c r="B917" s="15" t="s">
        <v>3607</v>
      </c>
      <c r="C917" s="15">
        <v>2.0</v>
      </c>
      <c r="D917" s="15" t="s">
        <v>22</v>
      </c>
      <c r="E917" s="15">
        <v>0.82</v>
      </c>
      <c r="F917" s="15">
        <v>45.85</v>
      </c>
      <c r="G917" s="15">
        <v>29.21</v>
      </c>
      <c r="H917" s="15">
        <v>0.88</v>
      </c>
      <c r="I917" s="15">
        <v>0.68</v>
      </c>
      <c r="J917" s="15">
        <v>0.43</v>
      </c>
      <c r="K917" s="15">
        <v>0.06</v>
      </c>
      <c r="L917" s="15">
        <v>8.76</v>
      </c>
      <c r="M917" s="15" t="s">
        <v>25</v>
      </c>
    </row>
    <row r="918" ht="15.75" customHeight="1">
      <c r="A918" s="15" t="s">
        <v>400</v>
      </c>
      <c r="B918" s="15" t="s">
        <v>3610</v>
      </c>
      <c r="C918" s="15">
        <v>2.0</v>
      </c>
      <c r="D918" s="15" t="s">
        <v>22</v>
      </c>
      <c r="E918" s="15">
        <v>0.58</v>
      </c>
      <c r="F918" s="15">
        <v>45.85</v>
      </c>
      <c r="G918" s="15">
        <v>29.89</v>
      </c>
      <c r="H918" s="15">
        <v>0.92</v>
      </c>
      <c r="I918" s="15">
        <v>0.64</v>
      </c>
      <c r="J918" s="15">
        <v>0.55</v>
      </c>
      <c r="K918" s="15">
        <v>0.08</v>
      </c>
      <c r="L918" s="15">
        <v>7.92</v>
      </c>
      <c r="M918" s="15" t="s">
        <v>25</v>
      </c>
    </row>
    <row r="919" ht="15.75" customHeight="1">
      <c r="A919" s="15" t="s">
        <v>3612</v>
      </c>
      <c r="B919" s="15" t="s">
        <v>3614</v>
      </c>
      <c r="C919" s="15">
        <v>2.0</v>
      </c>
      <c r="D919" s="15" t="s">
        <v>22</v>
      </c>
      <c r="E919" s="15">
        <v>0.79</v>
      </c>
      <c r="F919" s="15">
        <v>45.85</v>
      </c>
      <c r="G919" s="15">
        <v>30.39</v>
      </c>
      <c r="H919" s="15">
        <v>0.92</v>
      </c>
      <c r="I919" s="15">
        <v>0.62</v>
      </c>
      <c r="J919" s="15">
        <v>0.41</v>
      </c>
      <c r="K919" s="15">
        <v>0.06</v>
      </c>
      <c r="L919" s="15">
        <v>8.58</v>
      </c>
      <c r="M919" s="15" t="s">
        <v>25</v>
      </c>
    </row>
    <row r="920" ht="15.75" customHeight="1">
      <c r="A920" s="15" t="s">
        <v>928</v>
      </c>
      <c r="B920" s="15" t="s">
        <v>3617</v>
      </c>
      <c r="C920" s="15">
        <v>2.0</v>
      </c>
      <c r="D920" s="15" t="s">
        <v>22</v>
      </c>
      <c r="E920" s="15">
        <v>0.56</v>
      </c>
      <c r="F920" s="15">
        <v>45.83</v>
      </c>
      <c r="G920" s="15">
        <v>28.85</v>
      </c>
      <c r="H920" s="15">
        <v>0.89</v>
      </c>
      <c r="I920" s="15">
        <v>0.69</v>
      </c>
      <c r="J920" s="15">
        <v>0.37</v>
      </c>
      <c r="K920" s="15">
        <v>0.05</v>
      </c>
      <c r="L920" s="15">
        <v>8.89</v>
      </c>
      <c r="M920" s="15" t="s">
        <v>25</v>
      </c>
    </row>
    <row r="921" ht="15.75" customHeight="1">
      <c r="A921" s="15" t="s">
        <v>811</v>
      </c>
      <c r="B921" s="15" t="s">
        <v>3620</v>
      </c>
      <c r="C921" s="15">
        <v>2.0</v>
      </c>
      <c r="D921" s="15" t="s">
        <v>22</v>
      </c>
      <c r="E921" s="15">
        <v>0.74</v>
      </c>
      <c r="F921" s="15">
        <v>45.83</v>
      </c>
      <c r="G921" s="15">
        <v>28.88</v>
      </c>
      <c r="H921" s="15">
        <v>0.89</v>
      </c>
      <c r="I921" s="15">
        <v>0.69</v>
      </c>
      <c r="J921" s="15">
        <v>0.31</v>
      </c>
      <c r="K921" s="15">
        <v>0.06</v>
      </c>
      <c r="L921" s="15">
        <v>8.87</v>
      </c>
      <c r="M921" s="15" t="s">
        <v>25</v>
      </c>
    </row>
    <row r="922" ht="15.75" customHeight="1">
      <c r="A922" s="15" t="s">
        <v>2403</v>
      </c>
      <c r="B922" s="15" t="s">
        <v>3623</v>
      </c>
      <c r="C922" s="15">
        <v>2.0</v>
      </c>
      <c r="D922" s="15" t="s">
        <v>22</v>
      </c>
      <c r="E922" s="15">
        <v>0.67</v>
      </c>
      <c r="F922" s="15">
        <v>45.82</v>
      </c>
      <c r="G922" s="15">
        <v>28.82</v>
      </c>
      <c r="H922" s="15">
        <v>0.89</v>
      </c>
      <c r="I922" s="15">
        <v>0.69</v>
      </c>
      <c r="J922" s="15">
        <v>0.38</v>
      </c>
      <c r="K922" s="15">
        <v>0.06</v>
      </c>
      <c r="L922" s="15">
        <v>8.78</v>
      </c>
      <c r="M922" s="15" t="s">
        <v>25</v>
      </c>
    </row>
    <row r="923" ht="15.75" customHeight="1">
      <c r="A923" s="15" t="s">
        <v>3626</v>
      </c>
      <c r="B923" s="15" t="s">
        <v>3627</v>
      </c>
      <c r="C923" s="15">
        <v>2.0</v>
      </c>
      <c r="D923" s="15" t="s">
        <v>22</v>
      </c>
      <c r="E923" s="15">
        <v>0.8</v>
      </c>
      <c r="F923" s="15">
        <v>45.82</v>
      </c>
      <c r="G923" s="15">
        <v>30.44</v>
      </c>
      <c r="H923" s="15">
        <v>0.92</v>
      </c>
      <c r="I923" s="15">
        <v>0.62</v>
      </c>
      <c r="J923" s="15">
        <v>0.41</v>
      </c>
      <c r="K923" s="15">
        <v>0.06</v>
      </c>
      <c r="L923" s="15">
        <v>8.57</v>
      </c>
      <c r="M923" s="15" t="s">
        <v>25</v>
      </c>
    </row>
    <row r="924" ht="15.75" customHeight="1">
      <c r="A924" s="15" t="s">
        <v>1315</v>
      </c>
      <c r="B924" s="15" t="s">
        <v>3630</v>
      </c>
      <c r="C924" s="15">
        <v>2.0</v>
      </c>
      <c r="D924" s="15" t="s">
        <v>22</v>
      </c>
      <c r="E924" s="15">
        <v>0.82</v>
      </c>
      <c r="F924" s="15">
        <v>45.82</v>
      </c>
      <c r="G924" s="15">
        <v>29.88</v>
      </c>
      <c r="H924" s="15">
        <v>0.89</v>
      </c>
      <c r="I924" s="15">
        <v>0.65</v>
      </c>
      <c r="J924" s="15">
        <v>0.39</v>
      </c>
      <c r="K924" s="15">
        <v>0.05</v>
      </c>
      <c r="L924" s="15">
        <v>9.09</v>
      </c>
      <c r="M924" s="15" t="s">
        <v>25</v>
      </c>
    </row>
    <row r="925" ht="15.75" customHeight="1">
      <c r="A925" s="15" t="s">
        <v>979</v>
      </c>
      <c r="B925" s="15" t="s">
        <v>3633</v>
      </c>
      <c r="C925" s="15">
        <v>2.0</v>
      </c>
      <c r="D925" s="15" t="s">
        <v>22</v>
      </c>
      <c r="E925" s="15">
        <v>0.74</v>
      </c>
      <c r="F925" s="15">
        <v>45.81</v>
      </c>
      <c r="G925" s="15">
        <v>29.57</v>
      </c>
      <c r="H925" s="15">
        <v>0.9</v>
      </c>
      <c r="I925" s="15">
        <v>0.66</v>
      </c>
      <c r="J925" s="15">
        <v>0.32</v>
      </c>
      <c r="K925" s="15">
        <v>0.06</v>
      </c>
      <c r="L925" s="15">
        <v>8.88</v>
      </c>
      <c r="M925" s="15" t="s">
        <v>25</v>
      </c>
    </row>
    <row r="926" ht="15.75" customHeight="1">
      <c r="A926" s="15" t="s">
        <v>1213</v>
      </c>
      <c r="B926" s="15" t="s">
        <v>3636</v>
      </c>
      <c r="C926" s="15">
        <v>2.0</v>
      </c>
      <c r="D926" s="15" t="s">
        <v>22</v>
      </c>
      <c r="E926" s="15">
        <v>0.83</v>
      </c>
      <c r="F926" s="15">
        <v>45.81</v>
      </c>
      <c r="G926" s="15">
        <v>29.72</v>
      </c>
      <c r="H926" s="15">
        <v>0.89</v>
      </c>
      <c r="I926" s="15">
        <v>0.65</v>
      </c>
      <c r="J926" s="15">
        <v>0.38</v>
      </c>
      <c r="K926" s="15">
        <v>0.05</v>
      </c>
      <c r="L926" s="15">
        <v>9.11</v>
      </c>
      <c r="M926" s="15" t="s">
        <v>25</v>
      </c>
    </row>
    <row r="927" ht="15.75" customHeight="1">
      <c r="A927" s="15" t="s">
        <v>613</v>
      </c>
      <c r="B927" s="15" t="s">
        <v>3639</v>
      </c>
      <c r="C927" s="15">
        <v>2.0</v>
      </c>
      <c r="D927" s="15" t="s">
        <v>22</v>
      </c>
      <c r="E927" s="15">
        <v>0.86</v>
      </c>
      <c r="F927" s="15">
        <v>45.81</v>
      </c>
      <c r="G927" s="15">
        <v>29.15</v>
      </c>
      <c r="H927" s="15">
        <v>0.88</v>
      </c>
      <c r="I927" s="15">
        <v>0.68</v>
      </c>
      <c r="J927" s="15">
        <v>0.37</v>
      </c>
      <c r="K927" s="15">
        <v>0.05</v>
      </c>
      <c r="L927" s="15">
        <v>9.06</v>
      </c>
      <c r="M927" s="15" t="s">
        <v>25</v>
      </c>
    </row>
    <row r="928" ht="15.75" customHeight="1">
      <c r="A928" s="15" t="s">
        <v>567</v>
      </c>
      <c r="B928" s="15" t="s">
        <v>3643</v>
      </c>
      <c r="C928" s="15">
        <v>2.0</v>
      </c>
      <c r="D928" s="15" t="s">
        <v>22</v>
      </c>
      <c r="E928" s="15">
        <v>0.85</v>
      </c>
      <c r="F928" s="15">
        <v>45.8</v>
      </c>
      <c r="G928" s="15">
        <v>29.24</v>
      </c>
      <c r="H928" s="15">
        <v>0.88</v>
      </c>
      <c r="I928" s="15">
        <v>0.67</v>
      </c>
      <c r="J928" s="15">
        <v>0.38</v>
      </c>
      <c r="K928" s="15">
        <v>0.05</v>
      </c>
      <c r="L928" s="15">
        <v>9.06</v>
      </c>
      <c r="M928" s="15" t="s">
        <v>25</v>
      </c>
    </row>
    <row r="929" ht="15.75" customHeight="1">
      <c r="A929" s="15" t="s">
        <v>196</v>
      </c>
      <c r="B929" s="15" t="s">
        <v>3646</v>
      </c>
      <c r="C929" s="15">
        <v>2.0</v>
      </c>
      <c r="D929" s="15" t="s">
        <v>22</v>
      </c>
      <c r="E929" s="15">
        <v>0.82</v>
      </c>
      <c r="F929" s="15">
        <v>45.8</v>
      </c>
      <c r="G929" s="15">
        <v>28.96</v>
      </c>
      <c r="H929" s="15">
        <v>0.88</v>
      </c>
      <c r="I929" s="15">
        <v>0.69</v>
      </c>
      <c r="J929" s="15">
        <v>0.4</v>
      </c>
      <c r="K929" s="15">
        <v>0.05</v>
      </c>
      <c r="L929" s="15">
        <v>8.91</v>
      </c>
      <c r="M929" s="15" t="s">
        <v>25</v>
      </c>
    </row>
    <row r="930" ht="15.75" customHeight="1">
      <c r="A930" s="15" t="s">
        <v>2562</v>
      </c>
      <c r="B930" s="15" t="s">
        <v>3649</v>
      </c>
      <c r="C930" s="15">
        <v>2.0</v>
      </c>
      <c r="D930" s="15" t="s">
        <v>22</v>
      </c>
      <c r="E930" s="15">
        <v>0.78</v>
      </c>
      <c r="F930" s="15">
        <v>45.79</v>
      </c>
      <c r="G930" s="15">
        <v>28.39</v>
      </c>
      <c r="H930" s="15">
        <v>0.81</v>
      </c>
      <c r="I930" s="15">
        <v>0.71</v>
      </c>
      <c r="J930" s="15">
        <v>0.43</v>
      </c>
      <c r="K930" s="15">
        <v>0.06</v>
      </c>
      <c r="L930" s="15">
        <v>8.6</v>
      </c>
      <c r="M930" s="15" t="s">
        <v>25</v>
      </c>
    </row>
    <row r="931" ht="15.75" customHeight="1">
      <c r="A931" s="15" t="s">
        <v>3652</v>
      </c>
      <c r="B931" s="15" t="s">
        <v>3653</v>
      </c>
      <c r="C931" s="15">
        <v>2.0</v>
      </c>
      <c r="D931" s="15" t="s">
        <v>22</v>
      </c>
      <c r="E931" s="15">
        <v>0.76</v>
      </c>
      <c r="F931" s="15">
        <v>45.79</v>
      </c>
      <c r="G931" s="15">
        <v>28.23</v>
      </c>
      <c r="H931" s="15">
        <v>0.81</v>
      </c>
      <c r="I931" s="15">
        <v>0.72</v>
      </c>
      <c r="J931" s="15">
        <v>0.42</v>
      </c>
      <c r="K931" s="15">
        <v>0.06</v>
      </c>
      <c r="L931" s="15">
        <v>8.61</v>
      </c>
      <c r="M931" s="15" t="s">
        <v>25</v>
      </c>
    </row>
    <row r="932" ht="15.75" customHeight="1">
      <c r="A932" s="15" t="s">
        <v>1065</v>
      </c>
      <c r="B932" s="15" t="s">
        <v>3655</v>
      </c>
      <c r="C932" s="15">
        <v>2.0</v>
      </c>
      <c r="D932" s="15" t="s">
        <v>22</v>
      </c>
      <c r="E932" s="15">
        <v>0.79</v>
      </c>
      <c r="F932" s="15">
        <v>45.79</v>
      </c>
      <c r="G932" s="15">
        <v>30.15</v>
      </c>
      <c r="H932" s="15">
        <v>0.92</v>
      </c>
      <c r="I932" s="15">
        <v>0.63</v>
      </c>
      <c r="J932" s="15">
        <v>0.45</v>
      </c>
      <c r="K932" s="15">
        <v>0.06</v>
      </c>
      <c r="L932" s="15">
        <v>8.36</v>
      </c>
      <c r="M932" s="15" t="s">
        <v>25</v>
      </c>
    </row>
    <row r="933" ht="15.75" customHeight="1">
      <c r="A933" s="15" t="s">
        <v>852</v>
      </c>
      <c r="B933" s="15" t="s">
        <v>3658</v>
      </c>
      <c r="C933" s="15">
        <v>2.0</v>
      </c>
      <c r="D933" s="15" t="s">
        <v>22</v>
      </c>
      <c r="E933" s="15">
        <v>0.85</v>
      </c>
      <c r="F933" s="15">
        <v>45.78</v>
      </c>
      <c r="G933" s="15">
        <v>29.11</v>
      </c>
      <c r="H933" s="15">
        <v>0.88</v>
      </c>
      <c r="I933" s="15">
        <v>0.68</v>
      </c>
      <c r="J933" s="15">
        <v>0.38</v>
      </c>
      <c r="K933" s="15">
        <v>0.05</v>
      </c>
      <c r="L933" s="15">
        <v>9.11</v>
      </c>
      <c r="M933" s="15" t="s">
        <v>25</v>
      </c>
    </row>
    <row r="934" ht="15.75" customHeight="1">
      <c r="A934" s="15" t="s">
        <v>504</v>
      </c>
      <c r="B934" s="15" t="s">
        <v>3661</v>
      </c>
      <c r="C934" s="15">
        <v>2.0</v>
      </c>
      <c r="D934" s="15" t="s">
        <v>22</v>
      </c>
      <c r="E934" s="15">
        <v>0.85</v>
      </c>
      <c r="F934" s="15">
        <v>45.78</v>
      </c>
      <c r="G934" s="15">
        <v>28.96</v>
      </c>
      <c r="H934" s="15">
        <v>0.88</v>
      </c>
      <c r="I934" s="15">
        <v>0.69</v>
      </c>
      <c r="J934" s="15">
        <v>0.37</v>
      </c>
      <c r="K934" s="15">
        <v>0.05</v>
      </c>
      <c r="L934" s="15">
        <v>9.08</v>
      </c>
      <c r="M934" s="15" t="s">
        <v>25</v>
      </c>
    </row>
    <row r="935" ht="15.75" customHeight="1">
      <c r="A935" s="15" t="s">
        <v>1163</v>
      </c>
      <c r="B935" s="15" t="s">
        <v>3664</v>
      </c>
      <c r="C935" s="15">
        <v>2.0</v>
      </c>
      <c r="D935" s="15" t="s">
        <v>22</v>
      </c>
      <c r="E935" s="15">
        <v>0.82</v>
      </c>
      <c r="F935" s="15">
        <v>45.77</v>
      </c>
      <c r="G935" s="15">
        <v>29.17</v>
      </c>
      <c r="H935" s="15">
        <v>0.88</v>
      </c>
      <c r="I935" s="15">
        <v>0.68</v>
      </c>
      <c r="J935" s="15">
        <v>0.4</v>
      </c>
      <c r="K935" s="15">
        <v>0.05</v>
      </c>
      <c r="L935" s="15">
        <v>8.9</v>
      </c>
      <c r="M935" s="15" t="s">
        <v>25</v>
      </c>
    </row>
    <row r="936" ht="15.75" customHeight="1">
      <c r="A936" s="15" t="s">
        <v>2723</v>
      </c>
      <c r="B936" s="15" t="s">
        <v>3667</v>
      </c>
      <c r="C936" s="15">
        <v>2.0</v>
      </c>
      <c r="D936" s="15" t="s">
        <v>22</v>
      </c>
      <c r="E936" s="15">
        <v>0.77</v>
      </c>
      <c r="F936" s="15">
        <v>45.77</v>
      </c>
      <c r="G936" s="15">
        <v>28.37</v>
      </c>
      <c r="H936" s="15">
        <v>0.81</v>
      </c>
      <c r="I936" s="15">
        <v>0.71</v>
      </c>
      <c r="J936" s="15">
        <v>0.43</v>
      </c>
      <c r="K936" s="15">
        <v>0.06</v>
      </c>
      <c r="L936" s="15">
        <v>8.58</v>
      </c>
      <c r="M936" s="15" t="s">
        <v>25</v>
      </c>
    </row>
    <row r="937" ht="15.75" customHeight="1">
      <c r="A937" s="15" t="s">
        <v>855</v>
      </c>
      <c r="B937" s="15" t="s">
        <v>3670</v>
      </c>
      <c r="C937" s="15">
        <v>2.0</v>
      </c>
      <c r="D937" s="15" t="s">
        <v>22</v>
      </c>
      <c r="E937" s="15">
        <v>0.86</v>
      </c>
      <c r="F937" s="15">
        <v>45.77</v>
      </c>
      <c r="G937" s="15">
        <v>29.58</v>
      </c>
      <c r="H937" s="15">
        <v>0.88</v>
      </c>
      <c r="I937" s="15">
        <v>0.66</v>
      </c>
      <c r="J937" s="15">
        <v>0.37</v>
      </c>
      <c r="K937" s="15">
        <v>0.05</v>
      </c>
      <c r="L937" s="15">
        <v>9.14</v>
      </c>
      <c r="M937" s="15" t="s">
        <v>25</v>
      </c>
    </row>
    <row r="938" ht="15.75" customHeight="1">
      <c r="A938" s="15" t="s">
        <v>529</v>
      </c>
      <c r="B938" s="15" t="s">
        <v>3673</v>
      </c>
      <c r="C938" s="15">
        <v>2.0</v>
      </c>
      <c r="D938" s="15" t="s">
        <v>22</v>
      </c>
      <c r="E938" s="15">
        <v>0.71</v>
      </c>
      <c r="F938" s="15">
        <v>45.76</v>
      </c>
      <c r="G938" s="15">
        <v>30.43</v>
      </c>
      <c r="H938" s="15">
        <v>0.92</v>
      </c>
      <c r="I938" s="15">
        <v>0.62</v>
      </c>
      <c r="J938" s="15">
        <v>0.53</v>
      </c>
      <c r="K938" s="15">
        <v>0.08</v>
      </c>
      <c r="L938" s="15">
        <v>7.88</v>
      </c>
      <c r="M938" s="15" t="s">
        <v>25</v>
      </c>
    </row>
    <row r="939" ht="15.75" customHeight="1">
      <c r="A939" s="15" t="s">
        <v>1048</v>
      </c>
      <c r="B939" s="15" t="s">
        <v>3676</v>
      </c>
      <c r="C939" s="15">
        <v>2.0</v>
      </c>
      <c r="D939" s="15" t="s">
        <v>22</v>
      </c>
      <c r="E939" s="15">
        <v>0.75</v>
      </c>
      <c r="F939" s="15">
        <v>45.76</v>
      </c>
      <c r="G939" s="15">
        <v>29.43</v>
      </c>
      <c r="H939" s="15">
        <v>0.89</v>
      </c>
      <c r="I939" s="15">
        <v>0.66</v>
      </c>
      <c r="J939" s="15">
        <v>0.31</v>
      </c>
      <c r="K939" s="15">
        <v>0.06</v>
      </c>
      <c r="L939" s="15">
        <v>8.91</v>
      </c>
      <c r="M939" s="15" t="s">
        <v>25</v>
      </c>
    </row>
    <row r="940" ht="15.75" customHeight="1">
      <c r="A940" s="15" t="s">
        <v>173</v>
      </c>
      <c r="B940" s="15" t="s">
        <v>3679</v>
      </c>
      <c r="C940" s="15">
        <v>2.0</v>
      </c>
      <c r="D940" s="15" t="s">
        <v>22</v>
      </c>
      <c r="E940" s="15">
        <v>0.82</v>
      </c>
      <c r="F940" s="15">
        <v>45.76</v>
      </c>
      <c r="G940" s="15">
        <v>29.04</v>
      </c>
      <c r="H940" s="15">
        <v>0.88</v>
      </c>
      <c r="I940" s="15">
        <v>0.68</v>
      </c>
      <c r="J940" s="15">
        <v>0.4</v>
      </c>
      <c r="K940" s="15">
        <v>0.05</v>
      </c>
      <c r="L940" s="15">
        <v>8.89</v>
      </c>
      <c r="M940" s="15" t="s">
        <v>25</v>
      </c>
    </row>
    <row r="941" ht="15.75" customHeight="1">
      <c r="A941" s="15" t="s">
        <v>3682</v>
      </c>
      <c r="B941" s="15" t="s">
        <v>3683</v>
      </c>
      <c r="C941" s="15">
        <v>2.0</v>
      </c>
      <c r="D941" s="15" t="s">
        <v>22</v>
      </c>
      <c r="E941" s="15">
        <v>0.81</v>
      </c>
      <c r="F941" s="15">
        <v>45.75</v>
      </c>
      <c r="G941" s="15">
        <v>29.46</v>
      </c>
      <c r="H941" s="15">
        <v>0.89</v>
      </c>
      <c r="I941" s="15">
        <v>0.66</v>
      </c>
      <c r="J941" s="15">
        <v>0.44</v>
      </c>
      <c r="K941" s="15">
        <v>0.06</v>
      </c>
      <c r="L941" s="15">
        <v>8.74</v>
      </c>
      <c r="M941" s="15" t="s">
        <v>25</v>
      </c>
    </row>
    <row r="942" ht="15.75" customHeight="1">
      <c r="A942" s="15" t="s">
        <v>1173</v>
      </c>
      <c r="B942" s="15" t="s">
        <v>3686</v>
      </c>
      <c r="C942" s="15">
        <v>2.0</v>
      </c>
      <c r="D942" s="15" t="s">
        <v>22</v>
      </c>
      <c r="E942" s="15">
        <v>0.82</v>
      </c>
      <c r="F942" s="15">
        <v>45.75</v>
      </c>
      <c r="G942" s="15">
        <v>29.22</v>
      </c>
      <c r="H942" s="15">
        <v>0.88</v>
      </c>
      <c r="I942" s="15">
        <v>0.67</v>
      </c>
      <c r="J942" s="15">
        <v>0.4</v>
      </c>
      <c r="K942" s="15">
        <v>0.05</v>
      </c>
      <c r="L942" s="15">
        <v>8.9</v>
      </c>
      <c r="M942" s="15" t="s">
        <v>25</v>
      </c>
    </row>
    <row r="943" ht="15.75" customHeight="1">
      <c r="A943" s="15" t="s">
        <v>1202</v>
      </c>
      <c r="B943" s="15" t="s">
        <v>3689</v>
      </c>
      <c r="C943" s="15">
        <v>2.0</v>
      </c>
      <c r="D943" s="15" t="s">
        <v>22</v>
      </c>
      <c r="E943" s="15">
        <v>0.74</v>
      </c>
      <c r="F943" s="15">
        <v>45.74</v>
      </c>
      <c r="G943" s="15">
        <v>29.26</v>
      </c>
      <c r="H943" s="15">
        <v>0.89</v>
      </c>
      <c r="I943" s="15">
        <v>0.67</v>
      </c>
      <c r="J943" s="15">
        <v>0.31</v>
      </c>
      <c r="K943" s="15">
        <v>0.06</v>
      </c>
      <c r="L943" s="15">
        <v>8.89</v>
      </c>
      <c r="M943" s="15" t="s">
        <v>25</v>
      </c>
    </row>
    <row r="944" ht="15.75" customHeight="1">
      <c r="A944" s="15" t="s">
        <v>1235</v>
      </c>
      <c r="B944" s="15" t="s">
        <v>3692</v>
      </c>
      <c r="C944" s="15">
        <v>2.0</v>
      </c>
      <c r="D944" s="15" t="s">
        <v>22</v>
      </c>
      <c r="E944" s="15">
        <v>0.83</v>
      </c>
      <c r="F944" s="15">
        <v>45.74</v>
      </c>
      <c r="G944" s="15">
        <v>29.78</v>
      </c>
      <c r="H944" s="15">
        <v>0.89</v>
      </c>
      <c r="I944" s="15">
        <v>0.65</v>
      </c>
      <c r="J944" s="15">
        <v>0.39</v>
      </c>
      <c r="K944" s="15">
        <v>0.05</v>
      </c>
      <c r="L944" s="15">
        <v>9.1</v>
      </c>
      <c r="M944" s="15" t="s">
        <v>25</v>
      </c>
    </row>
    <row r="945" ht="15.75" customHeight="1">
      <c r="A945" s="15" t="s">
        <v>135</v>
      </c>
      <c r="B945" s="15" t="s">
        <v>3695</v>
      </c>
      <c r="C945" s="15">
        <v>2.0</v>
      </c>
      <c r="D945" s="15" t="s">
        <v>22</v>
      </c>
      <c r="E945" s="15">
        <v>0.79</v>
      </c>
      <c r="F945" s="15">
        <v>45.74</v>
      </c>
      <c r="G945" s="15">
        <v>30.35</v>
      </c>
      <c r="H945" s="15">
        <v>0.92</v>
      </c>
      <c r="I945" s="15">
        <v>0.62</v>
      </c>
      <c r="J945" s="15">
        <v>0.41</v>
      </c>
      <c r="K945" s="15">
        <v>0.06</v>
      </c>
      <c r="L945" s="15">
        <v>8.58</v>
      </c>
      <c r="M945" s="15" t="s">
        <v>25</v>
      </c>
    </row>
    <row r="946" ht="15.75" customHeight="1">
      <c r="A946" s="15" t="s">
        <v>2618</v>
      </c>
      <c r="B946" s="15" t="s">
        <v>3698</v>
      </c>
      <c r="C946" s="15">
        <v>2.0</v>
      </c>
      <c r="D946" s="15" t="s">
        <v>22</v>
      </c>
      <c r="E946" s="15">
        <v>0.76</v>
      </c>
      <c r="F946" s="15">
        <v>45.74</v>
      </c>
      <c r="G946" s="15">
        <v>28.2</v>
      </c>
      <c r="H946" s="15">
        <v>0.81</v>
      </c>
      <c r="I946" s="15">
        <v>0.72</v>
      </c>
      <c r="J946" s="15">
        <v>0.43</v>
      </c>
      <c r="K946" s="15">
        <v>0.06</v>
      </c>
      <c r="L946" s="15">
        <v>8.58</v>
      </c>
      <c r="M946" s="15" t="s">
        <v>25</v>
      </c>
    </row>
    <row r="947" ht="15.75" customHeight="1">
      <c r="A947" s="15" t="s">
        <v>1127</v>
      </c>
      <c r="B947" s="15" t="s">
        <v>3701</v>
      </c>
      <c r="C947" s="15">
        <v>2.0</v>
      </c>
      <c r="D947" s="15" t="s">
        <v>22</v>
      </c>
      <c r="E947" s="15">
        <v>0.74</v>
      </c>
      <c r="F947" s="15">
        <v>45.73</v>
      </c>
      <c r="G947" s="15">
        <v>29.03</v>
      </c>
      <c r="H947" s="15">
        <v>0.89</v>
      </c>
      <c r="I947" s="15">
        <v>0.68</v>
      </c>
      <c r="J947" s="15">
        <v>0.31</v>
      </c>
      <c r="K947" s="15">
        <v>0.06</v>
      </c>
      <c r="L947" s="15">
        <v>8.88</v>
      </c>
      <c r="M947" s="15" t="s">
        <v>25</v>
      </c>
    </row>
    <row r="948" ht="15.75" customHeight="1">
      <c r="A948" s="15" t="s">
        <v>1822</v>
      </c>
      <c r="B948" s="15" t="s">
        <v>3704</v>
      </c>
      <c r="C948" s="15">
        <v>2.0</v>
      </c>
      <c r="D948" s="15" t="s">
        <v>22</v>
      </c>
      <c r="E948" s="15">
        <v>0.75</v>
      </c>
      <c r="F948" s="15">
        <v>45.73</v>
      </c>
      <c r="G948" s="15">
        <v>29.4</v>
      </c>
      <c r="H948" s="15">
        <v>0.89</v>
      </c>
      <c r="I948" s="15">
        <v>0.67</v>
      </c>
      <c r="J948" s="15">
        <v>0.31</v>
      </c>
      <c r="K948" s="15">
        <v>0.06</v>
      </c>
      <c r="L948" s="15">
        <v>8.91</v>
      </c>
      <c r="M948" s="15" t="s">
        <v>25</v>
      </c>
    </row>
    <row r="949" ht="15.75" customHeight="1">
      <c r="A949" s="15" t="s">
        <v>1328</v>
      </c>
      <c r="B949" s="15" t="s">
        <v>3706</v>
      </c>
      <c r="C949" s="15">
        <v>2.0</v>
      </c>
      <c r="D949" s="15" t="s">
        <v>22</v>
      </c>
      <c r="E949" s="15">
        <v>0.75</v>
      </c>
      <c r="F949" s="15">
        <v>45.71</v>
      </c>
      <c r="G949" s="15">
        <v>29.23</v>
      </c>
      <c r="H949" s="15">
        <v>0.89</v>
      </c>
      <c r="I949" s="15">
        <v>0.67</v>
      </c>
      <c r="J949" s="15">
        <v>0.31</v>
      </c>
      <c r="K949" s="15">
        <v>0.06</v>
      </c>
      <c r="L949" s="15">
        <v>8.88</v>
      </c>
      <c r="M949" s="15" t="s">
        <v>25</v>
      </c>
    </row>
    <row r="950" ht="15.75" customHeight="1">
      <c r="A950" s="15" t="s">
        <v>819</v>
      </c>
      <c r="B950" s="15" t="s">
        <v>3708</v>
      </c>
      <c r="C950" s="15">
        <v>2.0</v>
      </c>
      <c r="D950" s="15" t="s">
        <v>22</v>
      </c>
      <c r="E950" s="15">
        <v>0.85</v>
      </c>
      <c r="F950" s="15">
        <v>45.7</v>
      </c>
      <c r="G950" s="15">
        <v>28.91</v>
      </c>
      <c r="H950" s="15">
        <v>0.88</v>
      </c>
      <c r="I950" s="15">
        <v>0.69</v>
      </c>
      <c r="J950" s="15">
        <v>0.37</v>
      </c>
      <c r="K950" s="15">
        <v>0.05</v>
      </c>
      <c r="L950" s="15">
        <v>9.08</v>
      </c>
      <c r="M950" s="15" t="s">
        <v>25</v>
      </c>
    </row>
    <row r="951" ht="15.75" customHeight="1">
      <c r="A951" s="15" t="s">
        <v>2733</v>
      </c>
      <c r="B951" s="15" t="s">
        <v>3710</v>
      </c>
      <c r="C951" s="15">
        <v>2.0</v>
      </c>
      <c r="D951" s="15" t="s">
        <v>22</v>
      </c>
      <c r="E951" s="15">
        <v>0.77</v>
      </c>
      <c r="F951" s="15">
        <v>45.69</v>
      </c>
      <c r="G951" s="15">
        <v>28.2</v>
      </c>
      <c r="H951" s="15">
        <v>0.81</v>
      </c>
      <c r="I951" s="15">
        <v>0.72</v>
      </c>
      <c r="J951" s="15">
        <v>0.43</v>
      </c>
      <c r="K951" s="15">
        <v>0.06</v>
      </c>
      <c r="L951" s="15">
        <v>8.59</v>
      </c>
      <c r="M951" s="15" t="s">
        <v>25</v>
      </c>
    </row>
    <row r="952" ht="15.75" customHeight="1">
      <c r="A952" s="15" t="s">
        <v>2151</v>
      </c>
      <c r="B952" s="15" t="s">
        <v>3712</v>
      </c>
      <c r="C952" s="15">
        <v>2.0</v>
      </c>
      <c r="D952" s="15" t="s">
        <v>22</v>
      </c>
      <c r="E952" s="15">
        <v>0.74</v>
      </c>
      <c r="F952" s="15">
        <v>45.69</v>
      </c>
      <c r="G952" s="15">
        <v>29.56</v>
      </c>
      <c r="H952" s="15">
        <v>0.9</v>
      </c>
      <c r="I952" s="15">
        <v>0.66</v>
      </c>
      <c r="J952" s="15">
        <v>0.31</v>
      </c>
      <c r="K952" s="15">
        <v>0.06</v>
      </c>
      <c r="L952" s="15">
        <v>8.92</v>
      </c>
      <c r="M952" s="15" t="s">
        <v>25</v>
      </c>
    </row>
    <row r="953" ht="15.75" customHeight="1">
      <c r="A953" s="15" t="s">
        <v>183</v>
      </c>
      <c r="B953" s="15" t="s">
        <v>3714</v>
      </c>
      <c r="C953" s="15">
        <v>2.0</v>
      </c>
      <c r="D953" s="15" t="s">
        <v>22</v>
      </c>
      <c r="E953" s="15">
        <v>0.82</v>
      </c>
      <c r="F953" s="15">
        <v>45.68</v>
      </c>
      <c r="G953" s="15">
        <v>29.31</v>
      </c>
      <c r="H953" s="15">
        <v>0.88</v>
      </c>
      <c r="I953" s="15">
        <v>0.67</v>
      </c>
      <c r="J953" s="15">
        <v>0.4</v>
      </c>
      <c r="K953" s="15">
        <v>0.05</v>
      </c>
      <c r="L953" s="15">
        <v>8.92</v>
      </c>
      <c r="M953" s="15" t="s">
        <v>25</v>
      </c>
    </row>
    <row r="954" ht="15.75" customHeight="1">
      <c r="A954" s="15" t="s">
        <v>1249</v>
      </c>
      <c r="B954" s="15" t="s">
        <v>3716</v>
      </c>
      <c r="C954" s="15">
        <v>2.0</v>
      </c>
      <c r="D954" s="15" t="s">
        <v>22</v>
      </c>
      <c r="E954" s="15">
        <v>0.82</v>
      </c>
      <c r="F954" s="15">
        <v>45.68</v>
      </c>
      <c r="G954" s="15">
        <v>29.77</v>
      </c>
      <c r="H954" s="15">
        <v>0.89</v>
      </c>
      <c r="I954" s="15">
        <v>0.65</v>
      </c>
      <c r="J954" s="15">
        <v>0.39</v>
      </c>
      <c r="K954" s="15">
        <v>0.05</v>
      </c>
      <c r="L954" s="15">
        <v>9.11</v>
      </c>
      <c r="M954" s="15" t="s">
        <v>25</v>
      </c>
    </row>
    <row r="955" ht="15.75" customHeight="1">
      <c r="A955" s="15" t="s">
        <v>64</v>
      </c>
      <c r="B955" s="15" t="s">
        <v>3718</v>
      </c>
      <c r="C955" s="15">
        <v>2.0</v>
      </c>
      <c r="D955" s="15" t="s">
        <v>22</v>
      </c>
      <c r="E955" s="15">
        <v>0.72</v>
      </c>
      <c r="F955" s="15">
        <v>45.68</v>
      </c>
      <c r="G955" s="15">
        <v>28.94</v>
      </c>
      <c r="H955" s="15">
        <v>0.89</v>
      </c>
      <c r="I955" s="15">
        <v>0.69</v>
      </c>
      <c r="J955" s="15">
        <v>0.32</v>
      </c>
      <c r="K955" s="15">
        <v>0.06</v>
      </c>
      <c r="L955" s="15">
        <v>8.74</v>
      </c>
      <c r="M955" s="15" t="s">
        <v>25</v>
      </c>
    </row>
    <row r="956" ht="15.75" customHeight="1">
      <c r="A956" s="15" t="s">
        <v>2591</v>
      </c>
      <c r="B956" s="15" t="s">
        <v>3720</v>
      </c>
      <c r="C956" s="15">
        <v>2.0</v>
      </c>
      <c r="D956" s="15" t="s">
        <v>22</v>
      </c>
      <c r="E956" s="15">
        <v>0.78</v>
      </c>
      <c r="F956" s="15">
        <v>45.67</v>
      </c>
      <c r="G956" s="15">
        <v>28.23</v>
      </c>
      <c r="H956" s="15">
        <v>0.81</v>
      </c>
      <c r="I956" s="15">
        <v>0.72</v>
      </c>
      <c r="J956" s="15">
        <v>0.43</v>
      </c>
      <c r="K956" s="15">
        <v>0.06</v>
      </c>
      <c r="L956" s="15">
        <v>8.61</v>
      </c>
      <c r="M956" s="15" t="s">
        <v>25</v>
      </c>
    </row>
    <row r="957" ht="15.75" customHeight="1">
      <c r="A957" s="15" t="s">
        <v>1254</v>
      </c>
      <c r="B957" s="15" t="s">
        <v>3722</v>
      </c>
      <c r="C957" s="15">
        <v>2.0</v>
      </c>
      <c r="D957" s="15" t="s">
        <v>22</v>
      </c>
      <c r="E957" s="15">
        <v>0.83</v>
      </c>
      <c r="F957" s="15">
        <v>45.67</v>
      </c>
      <c r="G957" s="15">
        <v>29.43</v>
      </c>
      <c r="H957" s="15">
        <v>0.88</v>
      </c>
      <c r="I957" s="15">
        <v>0.66</v>
      </c>
      <c r="J957" s="15">
        <v>0.39</v>
      </c>
      <c r="K957" s="15">
        <v>0.05</v>
      </c>
      <c r="L957" s="15">
        <v>9.05</v>
      </c>
      <c r="M957" s="15" t="s">
        <v>25</v>
      </c>
    </row>
    <row r="958" ht="15.75" customHeight="1">
      <c r="A958" s="15" t="s">
        <v>2612</v>
      </c>
      <c r="B958" s="15" t="s">
        <v>3724</v>
      </c>
      <c r="C958" s="15">
        <v>2.0</v>
      </c>
      <c r="D958" s="15" t="s">
        <v>22</v>
      </c>
      <c r="E958" s="15">
        <v>0.77</v>
      </c>
      <c r="F958" s="15">
        <v>45.67</v>
      </c>
      <c r="G958" s="15">
        <v>28.23</v>
      </c>
      <c r="H958" s="15">
        <v>0.81</v>
      </c>
      <c r="I958" s="15">
        <v>0.72</v>
      </c>
      <c r="J958" s="15">
        <v>0.43</v>
      </c>
      <c r="K958" s="15">
        <v>0.06</v>
      </c>
      <c r="L958" s="15">
        <v>8.57</v>
      </c>
      <c r="M958" s="15" t="s">
        <v>25</v>
      </c>
    </row>
    <row r="959" ht="15.75" customHeight="1">
      <c r="A959" s="15" t="s">
        <v>1193</v>
      </c>
      <c r="B959" s="15" t="s">
        <v>3726</v>
      </c>
      <c r="C959" s="15">
        <v>2.0</v>
      </c>
      <c r="D959" s="15" t="s">
        <v>22</v>
      </c>
      <c r="E959" s="15">
        <v>0.82</v>
      </c>
      <c r="F959" s="15">
        <v>45.66</v>
      </c>
      <c r="G959" s="15">
        <v>28.87</v>
      </c>
      <c r="H959" s="15">
        <v>0.88</v>
      </c>
      <c r="I959" s="15">
        <v>0.69</v>
      </c>
      <c r="J959" s="15">
        <v>0.4</v>
      </c>
      <c r="K959" s="15">
        <v>0.05</v>
      </c>
      <c r="L959" s="15">
        <v>8.9</v>
      </c>
      <c r="M959" s="15" t="s">
        <v>25</v>
      </c>
    </row>
    <row r="960" ht="15.75" customHeight="1">
      <c r="A960" s="15" t="s">
        <v>1233</v>
      </c>
      <c r="B960" s="15" t="s">
        <v>3728</v>
      </c>
      <c r="C960" s="15">
        <v>2.0</v>
      </c>
      <c r="D960" s="15" t="s">
        <v>22</v>
      </c>
      <c r="E960" s="15">
        <v>0.74</v>
      </c>
      <c r="F960" s="15">
        <v>45.66</v>
      </c>
      <c r="G960" s="15">
        <v>29.45</v>
      </c>
      <c r="H960" s="15">
        <v>0.89</v>
      </c>
      <c r="I960" s="15">
        <v>0.66</v>
      </c>
      <c r="J960" s="15">
        <v>0.31</v>
      </c>
      <c r="K960" s="15">
        <v>0.06</v>
      </c>
      <c r="L960" s="15">
        <v>8.9</v>
      </c>
      <c r="M960" s="15" t="s">
        <v>25</v>
      </c>
    </row>
    <row r="961" ht="15.75" customHeight="1">
      <c r="A961" s="15" t="s">
        <v>193</v>
      </c>
      <c r="B961" s="15" t="s">
        <v>3730</v>
      </c>
      <c r="C961" s="15">
        <v>2.0</v>
      </c>
      <c r="D961" s="15" t="s">
        <v>22</v>
      </c>
      <c r="E961" s="15">
        <v>0.82</v>
      </c>
      <c r="F961" s="15">
        <v>45.65</v>
      </c>
      <c r="G961" s="15">
        <v>28.74</v>
      </c>
      <c r="H961" s="15">
        <v>0.88</v>
      </c>
      <c r="I961" s="15">
        <v>0.69</v>
      </c>
      <c r="J961" s="15">
        <v>0.4</v>
      </c>
      <c r="K961" s="15">
        <v>0.05</v>
      </c>
      <c r="L961" s="15">
        <v>8.91</v>
      </c>
      <c r="M961" s="15" t="s">
        <v>25</v>
      </c>
    </row>
    <row r="962" ht="15.75" customHeight="1">
      <c r="A962" s="15" t="s">
        <v>1244</v>
      </c>
      <c r="B962" s="15" t="s">
        <v>3732</v>
      </c>
      <c r="C962" s="15">
        <v>2.0</v>
      </c>
      <c r="D962" s="15" t="s">
        <v>22</v>
      </c>
      <c r="E962" s="15">
        <v>0.83</v>
      </c>
      <c r="F962" s="15">
        <v>45.65</v>
      </c>
      <c r="G962" s="15">
        <v>29.37</v>
      </c>
      <c r="H962" s="15">
        <v>0.88</v>
      </c>
      <c r="I962" s="15">
        <v>0.66</v>
      </c>
      <c r="J962" s="15">
        <v>0.39</v>
      </c>
      <c r="K962" s="15">
        <v>0.05</v>
      </c>
      <c r="L962" s="15">
        <v>9.06</v>
      </c>
      <c r="M962" s="15" t="s">
        <v>25</v>
      </c>
    </row>
    <row r="963" ht="15.75" customHeight="1">
      <c r="A963" s="15" t="s">
        <v>1274</v>
      </c>
      <c r="B963" s="15" t="s">
        <v>3734</v>
      </c>
      <c r="C963" s="15">
        <v>2.0</v>
      </c>
      <c r="D963" s="15" t="s">
        <v>22</v>
      </c>
      <c r="E963" s="15">
        <v>0.83</v>
      </c>
      <c r="F963" s="15">
        <v>45.65</v>
      </c>
      <c r="G963" s="15">
        <v>29.88</v>
      </c>
      <c r="H963" s="15">
        <v>0.89</v>
      </c>
      <c r="I963" s="15">
        <v>0.64</v>
      </c>
      <c r="J963" s="15">
        <v>0.39</v>
      </c>
      <c r="K963" s="15">
        <v>0.05</v>
      </c>
      <c r="L963" s="15">
        <v>9.11</v>
      </c>
      <c r="M963" s="15" t="s">
        <v>25</v>
      </c>
    </row>
    <row r="964" ht="15.75" customHeight="1">
      <c r="A964" s="15" t="s">
        <v>843</v>
      </c>
      <c r="B964" s="15" t="s">
        <v>3736</v>
      </c>
      <c r="C964" s="15">
        <v>2.0</v>
      </c>
      <c r="D964" s="15" t="s">
        <v>22</v>
      </c>
      <c r="E964" s="15">
        <v>0.86</v>
      </c>
      <c r="F964" s="15">
        <v>45.63</v>
      </c>
      <c r="G964" s="15">
        <v>28.96</v>
      </c>
      <c r="H964" s="15">
        <v>0.88</v>
      </c>
      <c r="I964" s="15">
        <v>0.68</v>
      </c>
      <c r="J964" s="15">
        <v>0.37</v>
      </c>
      <c r="K964" s="15">
        <v>0.05</v>
      </c>
      <c r="L964" s="15">
        <v>9.08</v>
      </c>
      <c r="M964" s="15" t="s">
        <v>25</v>
      </c>
    </row>
    <row r="965" ht="15.75" customHeight="1">
      <c r="A965" s="15" t="s">
        <v>216</v>
      </c>
      <c r="B965" s="15" t="s">
        <v>3738</v>
      </c>
      <c r="C965" s="15">
        <v>2.0</v>
      </c>
      <c r="D965" s="15" t="s">
        <v>22</v>
      </c>
      <c r="E965" s="15">
        <v>0.82</v>
      </c>
      <c r="F965" s="15">
        <v>45.61</v>
      </c>
      <c r="G965" s="15">
        <v>29.16</v>
      </c>
      <c r="H965" s="15">
        <v>0.88</v>
      </c>
      <c r="I965" s="15">
        <v>0.67</v>
      </c>
      <c r="J965" s="15">
        <v>0.4</v>
      </c>
      <c r="K965" s="15">
        <v>0.05</v>
      </c>
      <c r="L965" s="15">
        <v>8.93</v>
      </c>
      <c r="M965" s="15" t="s">
        <v>25</v>
      </c>
    </row>
    <row r="966" ht="15.75" customHeight="1">
      <c r="A966" s="15" t="s">
        <v>244</v>
      </c>
      <c r="B966" s="15" t="s">
        <v>3739</v>
      </c>
      <c r="C966" s="15">
        <v>2.0</v>
      </c>
      <c r="D966" s="15" t="s">
        <v>22</v>
      </c>
      <c r="E966" s="15">
        <v>0.83</v>
      </c>
      <c r="F966" s="15">
        <v>45.61</v>
      </c>
      <c r="G966" s="15">
        <v>29.89</v>
      </c>
      <c r="H966" s="15">
        <v>0.88</v>
      </c>
      <c r="I966" s="15">
        <v>0.64</v>
      </c>
      <c r="J966" s="15">
        <v>0.38</v>
      </c>
      <c r="K966" s="15">
        <v>0.05</v>
      </c>
      <c r="L966" s="15">
        <v>9.08</v>
      </c>
      <c r="M966" s="15" t="s">
        <v>25</v>
      </c>
    </row>
    <row r="967" ht="15.75" customHeight="1">
      <c r="A967" s="15" t="s">
        <v>168</v>
      </c>
      <c r="B967" s="15" t="s">
        <v>3741</v>
      </c>
      <c r="C967" s="15">
        <v>2.0</v>
      </c>
      <c r="D967" s="15" t="s">
        <v>22</v>
      </c>
      <c r="E967" s="15">
        <v>0.82</v>
      </c>
      <c r="F967" s="15">
        <v>45.6</v>
      </c>
      <c r="G967" s="15">
        <v>29.09</v>
      </c>
      <c r="H967" s="15">
        <v>0.88</v>
      </c>
      <c r="I967" s="15">
        <v>0.68</v>
      </c>
      <c r="J967" s="15">
        <v>0.4</v>
      </c>
      <c r="K967" s="15">
        <v>0.05</v>
      </c>
      <c r="L967" s="15">
        <v>8.93</v>
      </c>
      <c r="M967" s="15" t="s">
        <v>25</v>
      </c>
    </row>
    <row r="968" ht="15.75" customHeight="1">
      <c r="A968" s="15" t="s">
        <v>1193</v>
      </c>
      <c r="B968" s="15" t="s">
        <v>3743</v>
      </c>
      <c r="C968" s="15">
        <v>2.0</v>
      </c>
      <c r="D968" s="15" t="s">
        <v>22</v>
      </c>
      <c r="E968" s="15">
        <v>0.83</v>
      </c>
      <c r="F968" s="15">
        <v>45.59</v>
      </c>
      <c r="G968" s="15">
        <v>29.89</v>
      </c>
      <c r="H968" s="15">
        <v>0.88</v>
      </c>
      <c r="I968" s="15">
        <v>0.64</v>
      </c>
      <c r="J968" s="15">
        <v>0.38</v>
      </c>
      <c r="K968" s="15">
        <v>0.05</v>
      </c>
      <c r="L968" s="15">
        <v>9.1</v>
      </c>
      <c r="M968" s="15" t="s">
        <v>25</v>
      </c>
    </row>
    <row r="969" ht="15.75" customHeight="1">
      <c r="A969" s="15" t="s">
        <v>828</v>
      </c>
      <c r="B969" s="15" t="s">
        <v>3745</v>
      </c>
      <c r="C969" s="15">
        <v>2.0</v>
      </c>
      <c r="D969" s="15" t="s">
        <v>22</v>
      </c>
      <c r="E969" s="15">
        <v>0.86</v>
      </c>
      <c r="F969" s="15">
        <v>45.59</v>
      </c>
      <c r="G969" s="15">
        <v>28.83</v>
      </c>
      <c r="H969" s="15">
        <v>0.88</v>
      </c>
      <c r="I969" s="15">
        <v>0.69</v>
      </c>
      <c r="J969" s="15">
        <v>0.37</v>
      </c>
      <c r="K969" s="15">
        <v>0.05</v>
      </c>
      <c r="L969" s="15">
        <v>9.08</v>
      </c>
      <c r="M969" s="15" t="s">
        <v>25</v>
      </c>
    </row>
    <row r="970" ht="15.75" customHeight="1">
      <c r="A970" s="15" t="s">
        <v>108</v>
      </c>
      <c r="B970" s="15" t="s">
        <v>3747</v>
      </c>
      <c r="C970" s="15">
        <v>2.0</v>
      </c>
      <c r="D970" s="15" t="s">
        <v>22</v>
      </c>
      <c r="E970" s="15">
        <v>0.75</v>
      </c>
      <c r="F970" s="15">
        <v>45.58</v>
      </c>
      <c r="G970" s="15">
        <v>28.47</v>
      </c>
      <c r="H970" s="15">
        <v>0.86</v>
      </c>
      <c r="I970" s="15">
        <v>0.71</v>
      </c>
      <c r="J970" s="15">
        <v>0.5</v>
      </c>
      <c r="K970" s="15">
        <v>0.07</v>
      </c>
      <c r="L970" s="15">
        <v>8.3</v>
      </c>
      <c r="M970" s="15" t="s">
        <v>25</v>
      </c>
    </row>
    <row r="971" ht="15.75" customHeight="1">
      <c r="A971" s="15" t="s">
        <v>1198</v>
      </c>
      <c r="B971" s="15" t="s">
        <v>3749</v>
      </c>
      <c r="C971" s="15">
        <v>2.0</v>
      </c>
      <c r="D971" s="15" t="s">
        <v>22</v>
      </c>
      <c r="E971" s="15">
        <v>0.83</v>
      </c>
      <c r="F971" s="15">
        <v>45.55</v>
      </c>
      <c r="G971" s="15">
        <v>30.22</v>
      </c>
      <c r="H971" s="15">
        <v>0.88</v>
      </c>
      <c r="I971" s="15">
        <v>0.63</v>
      </c>
      <c r="J971" s="15">
        <v>0.38</v>
      </c>
      <c r="K971" s="15">
        <v>0.05</v>
      </c>
      <c r="L971" s="15">
        <v>9.09</v>
      </c>
      <c r="M971" s="15" t="s">
        <v>25</v>
      </c>
    </row>
    <row r="972" ht="15.75" customHeight="1">
      <c r="A972" s="15" t="s">
        <v>904</v>
      </c>
      <c r="B972" s="15" t="s">
        <v>3751</v>
      </c>
      <c r="C972" s="15">
        <v>2.0</v>
      </c>
      <c r="D972" s="15" t="s">
        <v>22</v>
      </c>
      <c r="E972" s="15">
        <v>0.86</v>
      </c>
      <c r="F972" s="15">
        <v>45.54</v>
      </c>
      <c r="G972" s="15">
        <v>28.88</v>
      </c>
      <c r="H972" s="15">
        <v>0.88</v>
      </c>
      <c r="I972" s="15">
        <v>0.69</v>
      </c>
      <c r="J972" s="15">
        <v>0.37</v>
      </c>
      <c r="K972" s="15">
        <v>0.05</v>
      </c>
      <c r="L972" s="15">
        <v>9.08</v>
      </c>
      <c r="M972" s="15" t="s">
        <v>25</v>
      </c>
    </row>
    <row r="973" ht="15.75" customHeight="1">
      <c r="A973" s="15" t="s">
        <v>1093</v>
      </c>
      <c r="B973" s="15" t="s">
        <v>3753</v>
      </c>
      <c r="C973" s="15">
        <v>2.0</v>
      </c>
      <c r="D973" s="15" t="s">
        <v>22</v>
      </c>
      <c r="E973" s="15">
        <v>0.86</v>
      </c>
      <c r="F973" s="15">
        <v>45.54</v>
      </c>
      <c r="G973" s="15">
        <v>30.23</v>
      </c>
      <c r="H973" s="15">
        <v>0.88</v>
      </c>
      <c r="I973" s="15">
        <v>0.63</v>
      </c>
      <c r="J973" s="15">
        <v>0.37</v>
      </c>
      <c r="K973" s="15">
        <v>0.05</v>
      </c>
      <c r="L973" s="15">
        <v>9.16</v>
      </c>
      <c r="M973" s="15" t="s">
        <v>25</v>
      </c>
    </row>
    <row r="974" ht="15.75" customHeight="1">
      <c r="A974" s="15" t="s">
        <v>1239</v>
      </c>
      <c r="B974" s="15" t="s">
        <v>3755</v>
      </c>
      <c r="C974" s="15">
        <v>2.0</v>
      </c>
      <c r="D974" s="15" t="s">
        <v>22</v>
      </c>
      <c r="E974" s="15">
        <v>0.83</v>
      </c>
      <c r="F974" s="15">
        <v>45.54</v>
      </c>
      <c r="G974" s="15">
        <v>29.9</v>
      </c>
      <c r="H974" s="15">
        <v>0.88</v>
      </c>
      <c r="I974" s="15">
        <v>0.64</v>
      </c>
      <c r="J974" s="15">
        <v>0.39</v>
      </c>
      <c r="K974" s="15">
        <v>0.05</v>
      </c>
      <c r="L974" s="15">
        <v>9.08</v>
      </c>
      <c r="M974" s="15" t="s">
        <v>25</v>
      </c>
    </row>
    <row r="975" ht="15.75" customHeight="1">
      <c r="A975" s="15" t="s">
        <v>158</v>
      </c>
      <c r="B975" s="15" t="s">
        <v>3757</v>
      </c>
      <c r="C975" s="15">
        <v>2.0</v>
      </c>
      <c r="D975" s="15" t="s">
        <v>22</v>
      </c>
      <c r="E975" s="15">
        <v>0.82</v>
      </c>
      <c r="F975" s="15">
        <v>45.51</v>
      </c>
      <c r="G975" s="15">
        <v>28.84</v>
      </c>
      <c r="H975" s="15">
        <v>0.88</v>
      </c>
      <c r="I975" s="15">
        <v>0.69</v>
      </c>
      <c r="J975" s="15">
        <v>0.4</v>
      </c>
      <c r="K975" s="15">
        <v>0.05</v>
      </c>
      <c r="L975" s="15">
        <v>8.91</v>
      </c>
      <c r="M975" s="15" t="s">
        <v>25</v>
      </c>
    </row>
    <row r="976" ht="15.75" customHeight="1">
      <c r="A976" s="15" t="s">
        <v>1706</v>
      </c>
      <c r="B976" s="15" t="s">
        <v>3759</v>
      </c>
      <c r="C976" s="15">
        <v>2.0</v>
      </c>
      <c r="D976" s="15" t="s">
        <v>22</v>
      </c>
      <c r="E976" s="15">
        <v>0.75</v>
      </c>
      <c r="F976" s="15">
        <v>45.51</v>
      </c>
      <c r="G976" s="15">
        <v>29.28</v>
      </c>
      <c r="H976" s="15">
        <v>0.89</v>
      </c>
      <c r="I976" s="15">
        <v>0.67</v>
      </c>
      <c r="J976" s="15">
        <v>0.31</v>
      </c>
      <c r="K976" s="15">
        <v>0.06</v>
      </c>
      <c r="L976" s="15">
        <v>8.91</v>
      </c>
      <c r="M976" s="15" t="s">
        <v>25</v>
      </c>
    </row>
    <row r="977" ht="15.75" customHeight="1">
      <c r="A977" s="15" t="s">
        <v>201</v>
      </c>
      <c r="B977" s="15" t="s">
        <v>3761</v>
      </c>
      <c r="C977" s="15">
        <v>2.0</v>
      </c>
      <c r="D977" s="15" t="s">
        <v>22</v>
      </c>
      <c r="E977" s="15">
        <v>0.82</v>
      </c>
      <c r="F977" s="15">
        <v>45.49</v>
      </c>
      <c r="G977" s="15">
        <v>29.4</v>
      </c>
      <c r="H977" s="15">
        <v>0.88</v>
      </c>
      <c r="I977" s="15">
        <v>0.66</v>
      </c>
      <c r="J977" s="15">
        <v>0.4</v>
      </c>
      <c r="K977" s="15">
        <v>0.05</v>
      </c>
      <c r="L977" s="15">
        <v>8.95</v>
      </c>
      <c r="M977" s="15" t="s">
        <v>25</v>
      </c>
    </row>
    <row r="978" ht="15.75" customHeight="1">
      <c r="A978" s="15" t="s">
        <v>623</v>
      </c>
      <c r="B978" s="15" t="s">
        <v>3763</v>
      </c>
      <c r="C978" s="15">
        <v>2.0</v>
      </c>
      <c r="D978" s="15" t="s">
        <v>22</v>
      </c>
      <c r="E978" s="15">
        <v>0.85</v>
      </c>
      <c r="F978" s="15">
        <v>45.48</v>
      </c>
      <c r="G978" s="15">
        <v>29.0</v>
      </c>
      <c r="H978" s="15">
        <v>0.88</v>
      </c>
      <c r="I978" s="15">
        <v>0.68</v>
      </c>
      <c r="J978" s="15">
        <v>0.37</v>
      </c>
      <c r="K978" s="15">
        <v>0.05</v>
      </c>
      <c r="L978" s="15">
        <v>9.1</v>
      </c>
      <c r="M978" s="15" t="s">
        <v>25</v>
      </c>
    </row>
    <row r="979" ht="15.75" customHeight="1">
      <c r="A979" s="15" t="s">
        <v>1818</v>
      </c>
      <c r="B979" s="15" t="s">
        <v>3765</v>
      </c>
      <c r="C979" s="15">
        <v>2.0</v>
      </c>
      <c r="D979" s="15" t="s">
        <v>22</v>
      </c>
      <c r="E979" s="15">
        <v>0.74</v>
      </c>
      <c r="F979" s="15">
        <v>45.46</v>
      </c>
      <c r="G979" s="15">
        <v>29.21</v>
      </c>
      <c r="H979" s="15">
        <v>0.89</v>
      </c>
      <c r="I979" s="15">
        <v>0.67</v>
      </c>
      <c r="J979" s="15">
        <v>0.31</v>
      </c>
      <c r="K979" s="15">
        <v>0.06</v>
      </c>
      <c r="L979" s="15">
        <v>8.89</v>
      </c>
      <c r="M979" s="15" t="s">
        <v>25</v>
      </c>
    </row>
    <row r="980" ht="15.75" customHeight="1">
      <c r="A980" s="15" t="s">
        <v>1209</v>
      </c>
      <c r="B980" s="15" t="s">
        <v>3767</v>
      </c>
      <c r="C980" s="15">
        <v>2.0</v>
      </c>
      <c r="D980" s="15" t="s">
        <v>22</v>
      </c>
      <c r="E980" s="15">
        <v>0.83</v>
      </c>
      <c r="F980" s="15">
        <v>45.46</v>
      </c>
      <c r="G980" s="15">
        <v>29.7</v>
      </c>
      <c r="H980" s="15">
        <v>0.88</v>
      </c>
      <c r="I980" s="15">
        <v>0.65</v>
      </c>
      <c r="J980" s="15">
        <v>0.38</v>
      </c>
      <c r="K980" s="15">
        <v>0.05</v>
      </c>
      <c r="L980" s="15">
        <v>9.06</v>
      </c>
      <c r="M980" s="15" t="s">
        <v>25</v>
      </c>
    </row>
    <row r="981" ht="15.75" customHeight="1">
      <c r="A981" s="15" t="s">
        <v>461</v>
      </c>
      <c r="B981" s="15" t="s">
        <v>3769</v>
      </c>
      <c r="C981" s="15">
        <v>2.0</v>
      </c>
      <c r="D981" s="15" t="s">
        <v>22</v>
      </c>
      <c r="E981" s="15">
        <v>0.79</v>
      </c>
      <c r="F981" s="15">
        <v>45.45</v>
      </c>
      <c r="G981" s="15">
        <v>30.1</v>
      </c>
      <c r="H981" s="15">
        <v>0.92</v>
      </c>
      <c r="I981" s="15">
        <v>0.63</v>
      </c>
      <c r="J981" s="15">
        <v>0.4</v>
      </c>
      <c r="K981" s="15">
        <v>0.06</v>
      </c>
      <c r="L981" s="15">
        <v>8.63</v>
      </c>
      <c r="M981" s="15" t="s">
        <v>25</v>
      </c>
    </row>
    <row r="982" ht="15.75" customHeight="1">
      <c r="A982" s="15" t="s">
        <v>183</v>
      </c>
      <c r="B982" s="15" t="s">
        <v>3771</v>
      </c>
      <c r="C982" s="15">
        <v>2.0</v>
      </c>
      <c r="D982" s="15" t="s">
        <v>22</v>
      </c>
      <c r="E982" s="15">
        <v>0.83</v>
      </c>
      <c r="F982" s="15">
        <v>45.43</v>
      </c>
      <c r="G982" s="15">
        <v>29.9</v>
      </c>
      <c r="H982" s="15">
        <v>0.88</v>
      </c>
      <c r="I982" s="15">
        <v>0.64</v>
      </c>
      <c r="J982" s="15">
        <v>0.39</v>
      </c>
      <c r="K982" s="15">
        <v>0.05</v>
      </c>
      <c r="L982" s="15">
        <v>9.04</v>
      </c>
      <c r="M982" s="15" t="s">
        <v>25</v>
      </c>
    </row>
    <row r="983" ht="15.75" customHeight="1">
      <c r="A983" s="15" t="s">
        <v>1173</v>
      </c>
      <c r="B983" s="15" t="s">
        <v>3773</v>
      </c>
      <c r="C983" s="15">
        <v>2.0</v>
      </c>
      <c r="D983" s="15" t="s">
        <v>22</v>
      </c>
      <c r="E983" s="15">
        <v>0.83</v>
      </c>
      <c r="F983" s="15">
        <v>45.43</v>
      </c>
      <c r="G983" s="15">
        <v>29.48</v>
      </c>
      <c r="H983" s="15">
        <v>0.88</v>
      </c>
      <c r="I983" s="15">
        <v>0.66</v>
      </c>
      <c r="J983" s="15">
        <v>0.38</v>
      </c>
      <c r="K983" s="15">
        <v>0.05</v>
      </c>
      <c r="L983" s="15">
        <v>9.07</v>
      </c>
      <c r="M983" s="15" t="s">
        <v>25</v>
      </c>
    </row>
    <row r="984" ht="15.75" customHeight="1">
      <c r="A984" s="15" t="s">
        <v>581</v>
      </c>
      <c r="B984" s="15" t="s">
        <v>3775</v>
      </c>
      <c r="C984" s="15">
        <v>2.0</v>
      </c>
      <c r="D984" s="15" t="s">
        <v>22</v>
      </c>
      <c r="E984" s="15">
        <v>0.86</v>
      </c>
      <c r="F984" s="15">
        <v>45.43</v>
      </c>
      <c r="G984" s="15">
        <v>29.16</v>
      </c>
      <c r="H984" s="15">
        <v>0.88</v>
      </c>
      <c r="I984" s="15">
        <v>0.67</v>
      </c>
      <c r="J984" s="15">
        <v>0.37</v>
      </c>
      <c r="K984" s="15">
        <v>0.05</v>
      </c>
      <c r="L984" s="15">
        <v>9.07</v>
      </c>
      <c r="M984" s="15" t="s">
        <v>25</v>
      </c>
    </row>
    <row r="985" ht="15.75" customHeight="1">
      <c r="A985" s="15" t="s">
        <v>1011</v>
      </c>
      <c r="B985" s="15" t="s">
        <v>3778</v>
      </c>
      <c r="C985" s="15">
        <v>2.0</v>
      </c>
      <c r="D985" s="15" t="s">
        <v>22</v>
      </c>
      <c r="E985" s="15">
        <v>0.86</v>
      </c>
      <c r="F985" s="15">
        <v>45.42</v>
      </c>
      <c r="G985" s="15">
        <v>29.21</v>
      </c>
      <c r="H985" s="15">
        <v>0.88</v>
      </c>
      <c r="I985" s="15">
        <v>0.67</v>
      </c>
      <c r="J985" s="15">
        <v>0.37</v>
      </c>
      <c r="K985" s="15">
        <v>0.05</v>
      </c>
      <c r="L985" s="15">
        <v>9.07</v>
      </c>
      <c r="M985" s="15" t="s">
        <v>25</v>
      </c>
    </row>
    <row r="986" ht="15.75" customHeight="1">
      <c r="A986" s="15" t="s">
        <v>244</v>
      </c>
      <c r="B986" s="15" t="s">
        <v>3780</v>
      </c>
      <c r="C986" s="15">
        <v>2.0</v>
      </c>
      <c r="D986" s="15" t="s">
        <v>22</v>
      </c>
      <c r="E986" s="15">
        <v>0.82</v>
      </c>
      <c r="F986" s="15">
        <v>45.42</v>
      </c>
      <c r="G986" s="15">
        <v>29.33</v>
      </c>
      <c r="H986" s="15">
        <v>0.88</v>
      </c>
      <c r="I986" s="15">
        <v>0.66</v>
      </c>
      <c r="J986" s="15">
        <v>0.4</v>
      </c>
      <c r="K986" s="15">
        <v>0.05</v>
      </c>
      <c r="L986" s="15">
        <v>8.94</v>
      </c>
      <c r="M986" s="15" t="s">
        <v>25</v>
      </c>
    </row>
    <row r="987" ht="15.75" customHeight="1">
      <c r="A987" s="15" t="s">
        <v>1226</v>
      </c>
      <c r="B987" s="15" t="s">
        <v>3782</v>
      </c>
      <c r="C987" s="15">
        <v>2.0</v>
      </c>
      <c r="D987" s="15" t="s">
        <v>22</v>
      </c>
      <c r="E987" s="15">
        <v>0.83</v>
      </c>
      <c r="F987" s="15">
        <v>45.41</v>
      </c>
      <c r="G987" s="15">
        <v>29.77</v>
      </c>
      <c r="H987" s="15">
        <v>0.88</v>
      </c>
      <c r="I987" s="15">
        <v>0.64</v>
      </c>
      <c r="J987" s="15">
        <v>0.38</v>
      </c>
      <c r="K987" s="15">
        <v>0.05</v>
      </c>
      <c r="L987" s="15">
        <v>9.07</v>
      </c>
      <c r="M987" s="15" t="s">
        <v>25</v>
      </c>
    </row>
    <row r="988" ht="15.75" customHeight="1">
      <c r="A988" s="15" t="s">
        <v>1306</v>
      </c>
      <c r="B988" s="15" t="s">
        <v>3784</v>
      </c>
      <c r="C988" s="15">
        <v>2.0</v>
      </c>
      <c r="D988" s="15" t="s">
        <v>22</v>
      </c>
      <c r="E988" s="15">
        <v>0.83</v>
      </c>
      <c r="F988" s="15">
        <v>45.41</v>
      </c>
      <c r="G988" s="15">
        <v>29.89</v>
      </c>
      <c r="H988" s="15">
        <v>0.89</v>
      </c>
      <c r="I988" s="15">
        <v>0.64</v>
      </c>
      <c r="J988" s="15">
        <v>0.39</v>
      </c>
      <c r="K988" s="15">
        <v>0.05</v>
      </c>
      <c r="L988" s="15">
        <v>9.08</v>
      </c>
      <c r="M988" s="15" t="s">
        <v>25</v>
      </c>
    </row>
    <row r="989" ht="15.75" customHeight="1">
      <c r="A989" s="15" t="s">
        <v>3185</v>
      </c>
      <c r="B989" s="15" t="s">
        <v>3786</v>
      </c>
      <c r="C989" s="15">
        <v>2.0</v>
      </c>
      <c r="D989" s="15" t="s">
        <v>22</v>
      </c>
      <c r="E989" s="15">
        <v>0.76</v>
      </c>
      <c r="F989" s="15">
        <v>45.41</v>
      </c>
      <c r="G989" s="15">
        <v>27.66</v>
      </c>
      <c r="H989" s="15">
        <v>0.81</v>
      </c>
      <c r="I989" s="15">
        <v>0.75</v>
      </c>
      <c r="J989" s="15">
        <v>0.43</v>
      </c>
      <c r="K989" s="15">
        <v>0.06</v>
      </c>
      <c r="L989" s="15">
        <v>8.52</v>
      </c>
      <c r="M989" s="15" t="s">
        <v>25</v>
      </c>
    </row>
    <row r="990" ht="15.75" customHeight="1">
      <c r="A990" s="15" t="s">
        <v>376</v>
      </c>
      <c r="B990" s="15" t="s">
        <v>3788</v>
      </c>
      <c r="C990" s="15">
        <v>2.0</v>
      </c>
      <c r="D990" s="15" t="s">
        <v>22</v>
      </c>
      <c r="E990" s="15">
        <v>0.8</v>
      </c>
      <c r="F990" s="15">
        <v>45.41</v>
      </c>
      <c r="G990" s="15">
        <v>30.25</v>
      </c>
      <c r="H990" s="15">
        <v>0.92</v>
      </c>
      <c r="I990" s="15">
        <v>0.62</v>
      </c>
      <c r="J990" s="15">
        <v>0.41</v>
      </c>
      <c r="K990" s="15">
        <v>0.06</v>
      </c>
      <c r="L990" s="15">
        <v>8.62</v>
      </c>
      <c r="M990" s="15" t="s">
        <v>25</v>
      </c>
    </row>
    <row r="991" ht="15.75" customHeight="1">
      <c r="A991" s="15" t="s">
        <v>948</v>
      </c>
      <c r="B991" s="15" t="s">
        <v>3790</v>
      </c>
      <c r="C991" s="15">
        <v>2.0</v>
      </c>
      <c r="D991" s="15" t="s">
        <v>22</v>
      </c>
      <c r="E991" s="15">
        <v>0.57</v>
      </c>
      <c r="F991" s="15">
        <v>45.4</v>
      </c>
      <c r="G991" s="15">
        <v>28.94</v>
      </c>
      <c r="H991" s="15">
        <v>0.89</v>
      </c>
      <c r="I991" s="15">
        <v>0.68</v>
      </c>
      <c r="J991" s="15">
        <v>0.44</v>
      </c>
      <c r="K991" s="15">
        <v>0.07</v>
      </c>
      <c r="L991" s="15">
        <v>8.62</v>
      </c>
      <c r="M991" s="15" t="s">
        <v>25</v>
      </c>
    </row>
    <row r="992" ht="15.75" customHeight="1">
      <c r="A992" s="15" t="s">
        <v>223</v>
      </c>
      <c r="B992" s="15" t="s">
        <v>3792</v>
      </c>
      <c r="C992" s="15">
        <v>2.0</v>
      </c>
      <c r="D992" s="15" t="s">
        <v>22</v>
      </c>
      <c r="E992" s="15">
        <v>0.82</v>
      </c>
      <c r="F992" s="15">
        <v>45.37</v>
      </c>
      <c r="G992" s="15">
        <v>28.77</v>
      </c>
      <c r="H992" s="15">
        <v>0.88</v>
      </c>
      <c r="I992" s="15">
        <v>0.69</v>
      </c>
      <c r="J992" s="15">
        <v>0.41</v>
      </c>
      <c r="K992" s="15">
        <v>0.05</v>
      </c>
      <c r="L992" s="15">
        <v>8.9</v>
      </c>
      <c r="M992" s="15" t="s">
        <v>25</v>
      </c>
    </row>
    <row r="993" ht="15.75" customHeight="1">
      <c r="A993" s="15" t="s">
        <v>885</v>
      </c>
      <c r="B993" s="15" t="s">
        <v>3794</v>
      </c>
      <c r="C993" s="15">
        <v>2.0</v>
      </c>
      <c r="D993" s="15" t="s">
        <v>22</v>
      </c>
      <c r="E993" s="15">
        <v>0.85</v>
      </c>
      <c r="F993" s="15">
        <v>45.37</v>
      </c>
      <c r="G993" s="15">
        <v>28.88</v>
      </c>
      <c r="H993" s="15">
        <v>0.88</v>
      </c>
      <c r="I993" s="15">
        <v>0.68</v>
      </c>
      <c r="J993" s="15">
        <v>0.37</v>
      </c>
      <c r="K993" s="15">
        <v>0.05</v>
      </c>
      <c r="L993" s="15">
        <v>9.09</v>
      </c>
      <c r="M993" s="15" t="s">
        <v>25</v>
      </c>
    </row>
    <row r="994" ht="15.75" customHeight="1">
      <c r="A994" s="15" t="s">
        <v>148</v>
      </c>
      <c r="B994" s="15" t="s">
        <v>3796</v>
      </c>
      <c r="C994" s="15">
        <v>2.0</v>
      </c>
      <c r="D994" s="15" t="s">
        <v>22</v>
      </c>
      <c r="E994" s="15">
        <v>0.82</v>
      </c>
      <c r="F994" s="15">
        <v>45.37</v>
      </c>
      <c r="G994" s="15">
        <v>29.36</v>
      </c>
      <c r="H994" s="15">
        <v>0.88</v>
      </c>
      <c r="I994" s="15">
        <v>0.66</v>
      </c>
      <c r="J994" s="15">
        <v>0.4</v>
      </c>
      <c r="K994" s="15">
        <v>0.05</v>
      </c>
      <c r="L994" s="15">
        <v>8.94</v>
      </c>
      <c r="M994" s="15" t="s">
        <v>25</v>
      </c>
    </row>
    <row r="995" ht="15.75" customHeight="1">
      <c r="A995" s="15" t="s">
        <v>850</v>
      </c>
      <c r="B995" s="15" t="s">
        <v>3798</v>
      </c>
      <c r="C995" s="15">
        <v>2.0</v>
      </c>
      <c r="D995" s="15" t="s">
        <v>22</v>
      </c>
      <c r="E995" s="15">
        <v>0.76</v>
      </c>
      <c r="F995" s="15">
        <v>45.33</v>
      </c>
      <c r="G995" s="15">
        <v>28.21</v>
      </c>
      <c r="H995" s="15">
        <v>0.86</v>
      </c>
      <c r="I995" s="15">
        <v>0.72</v>
      </c>
      <c r="J995" s="15">
        <v>0.34</v>
      </c>
      <c r="K995" s="15">
        <v>0.05</v>
      </c>
      <c r="L995" s="15">
        <v>9.22</v>
      </c>
      <c r="M995" s="15" t="s">
        <v>25</v>
      </c>
    </row>
    <row r="996" ht="15.75" customHeight="1">
      <c r="A996" s="15" t="s">
        <v>153</v>
      </c>
      <c r="B996" s="15" t="s">
        <v>3800</v>
      </c>
      <c r="C996" s="15">
        <v>2.0</v>
      </c>
      <c r="D996" s="15" t="s">
        <v>22</v>
      </c>
      <c r="E996" s="15">
        <v>0.77</v>
      </c>
      <c r="F996" s="15">
        <v>45.32</v>
      </c>
      <c r="G996" s="15">
        <v>28.12</v>
      </c>
      <c r="H996" s="15">
        <v>0.86</v>
      </c>
      <c r="I996" s="15">
        <v>0.72</v>
      </c>
      <c r="J996" s="15">
        <v>0.34</v>
      </c>
      <c r="K996" s="15">
        <v>0.05</v>
      </c>
      <c r="L996" s="15">
        <v>9.21</v>
      </c>
      <c r="M996" s="15" t="s">
        <v>25</v>
      </c>
    </row>
    <row r="997" ht="15.75" customHeight="1">
      <c r="A997" s="15" t="s">
        <v>985</v>
      </c>
      <c r="B997" s="15" t="s">
        <v>3802</v>
      </c>
      <c r="C997" s="15">
        <v>2.0</v>
      </c>
      <c r="D997" s="15" t="s">
        <v>22</v>
      </c>
      <c r="E997" s="15">
        <v>0.77</v>
      </c>
      <c r="F997" s="15">
        <v>45.32</v>
      </c>
      <c r="G997" s="15">
        <v>28.12</v>
      </c>
      <c r="H997" s="15">
        <v>0.86</v>
      </c>
      <c r="I997" s="15">
        <v>0.72</v>
      </c>
      <c r="J997" s="15">
        <v>0.34</v>
      </c>
      <c r="K997" s="15">
        <v>0.05</v>
      </c>
      <c r="L997" s="15">
        <v>9.22</v>
      </c>
      <c r="M997" s="15" t="s">
        <v>25</v>
      </c>
    </row>
    <row r="998" ht="15.75" customHeight="1">
      <c r="A998" s="15" t="s">
        <v>206</v>
      </c>
      <c r="B998" s="15" t="s">
        <v>3804</v>
      </c>
      <c r="C998" s="15">
        <v>2.0</v>
      </c>
      <c r="D998" s="15" t="s">
        <v>22</v>
      </c>
      <c r="E998" s="15">
        <v>0.72</v>
      </c>
      <c r="F998" s="15">
        <v>45.3</v>
      </c>
      <c r="G998" s="15">
        <v>28.33</v>
      </c>
      <c r="H998" s="15">
        <v>0.86</v>
      </c>
      <c r="I998" s="15">
        <v>0.71</v>
      </c>
      <c r="J998" s="15">
        <v>0.39</v>
      </c>
      <c r="K998" s="15">
        <v>0.05</v>
      </c>
      <c r="L998" s="15">
        <v>8.95</v>
      </c>
      <c r="M998" s="15" t="s">
        <v>25</v>
      </c>
    </row>
    <row r="999" ht="15.75" customHeight="1">
      <c r="A999" s="15" t="s">
        <v>881</v>
      </c>
      <c r="B999" s="15" t="s">
        <v>3806</v>
      </c>
      <c r="C999" s="15">
        <v>2.0</v>
      </c>
      <c r="D999" s="15" t="s">
        <v>22</v>
      </c>
      <c r="E999" s="15">
        <v>0.75</v>
      </c>
      <c r="F999" s="15">
        <v>45.3</v>
      </c>
      <c r="G999" s="15">
        <v>28.12</v>
      </c>
      <c r="H999" s="15">
        <v>0.86</v>
      </c>
      <c r="I999" s="15">
        <v>0.72</v>
      </c>
      <c r="J999" s="15">
        <v>0.34</v>
      </c>
      <c r="K999" s="15">
        <v>0.05</v>
      </c>
      <c r="L999" s="15">
        <v>9.22</v>
      </c>
      <c r="M999" s="15" t="s">
        <v>25</v>
      </c>
    </row>
    <row r="1000" ht="15.75" customHeight="1">
      <c r="A1000" s="15" t="s">
        <v>822</v>
      </c>
      <c r="B1000" s="15" t="s">
        <v>3808</v>
      </c>
      <c r="C1000" s="15">
        <v>2.0</v>
      </c>
      <c r="D1000" s="15" t="s">
        <v>22</v>
      </c>
      <c r="E1000" s="15">
        <v>0.76</v>
      </c>
      <c r="F1000" s="15">
        <v>45.28</v>
      </c>
      <c r="G1000" s="15">
        <v>28.12</v>
      </c>
      <c r="H1000" s="15">
        <v>0.86</v>
      </c>
      <c r="I1000" s="15">
        <v>0.72</v>
      </c>
      <c r="J1000" s="15">
        <v>0.34</v>
      </c>
      <c r="K1000" s="15">
        <v>0.05</v>
      </c>
      <c r="L1000" s="15">
        <v>9.22</v>
      </c>
      <c r="M1000" s="15" t="s">
        <v>25</v>
      </c>
    </row>
    <row r="1001" ht="15.75" customHeight="1">
      <c r="A1001" s="15" t="s">
        <v>128</v>
      </c>
      <c r="B1001" s="15" t="s">
        <v>3811</v>
      </c>
      <c r="C1001" s="15">
        <v>2.0</v>
      </c>
      <c r="D1001" s="15" t="s">
        <v>22</v>
      </c>
      <c r="E1001" s="15">
        <v>0.77</v>
      </c>
      <c r="F1001" s="15">
        <v>45.28</v>
      </c>
      <c r="G1001" s="15">
        <v>28.17</v>
      </c>
      <c r="H1001" s="15">
        <v>0.86</v>
      </c>
      <c r="I1001" s="15">
        <v>0.72</v>
      </c>
      <c r="J1001" s="15">
        <v>0.34</v>
      </c>
      <c r="K1001" s="15">
        <v>0.05</v>
      </c>
      <c r="L1001" s="15">
        <v>9.22</v>
      </c>
      <c r="M1001" s="15" t="s">
        <v>25</v>
      </c>
    </row>
    <row r="1002" ht="15.75" customHeight="1">
      <c r="A1002" s="15" t="s">
        <v>1012</v>
      </c>
      <c r="B1002" s="15" t="s">
        <v>3813</v>
      </c>
      <c r="C1002" s="15">
        <v>2.0</v>
      </c>
      <c r="D1002" s="15" t="s">
        <v>22</v>
      </c>
      <c r="E1002" s="15">
        <v>0.77</v>
      </c>
      <c r="F1002" s="15">
        <v>45.27</v>
      </c>
      <c r="G1002" s="15">
        <v>28.09</v>
      </c>
      <c r="H1002" s="15">
        <v>0.86</v>
      </c>
      <c r="I1002" s="15">
        <v>0.72</v>
      </c>
      <c r="J1002" s="15">
        <v>0.34</v>
      </c>
      <c r="K1002" s="15">
        <v>0.05</v>
      </c>
      <c r="L1002" s="15">
        <v>9.22</v>
      </c>
      <c r="M1002" s="15" t="s">
        <v>25</v>
      </c>
    </row>
    <row r="1003" ht="15.75" customHeight="1">
      <c r="A1003" s="15" t="s">
        <v>188</v>
      </c>
      <c r="B1003" s="15" t="s">
        <v>3815</v>
      </c>
      <c r="C1003" s="15">
        <v>2.0</v>
      </c>
      <c r="D1003" s="15" t="s">
        <v>22</v>
      </c>
      <c r="E1003" s="15">
        <v>0.77</v>
      </c>
      <c r="F1003" s="15">
        <v>45.27</v>
      </c>
      <c r="G1003" s="15">
        <v>28.09</v>
      </c>
      <c r="H1003" s="15">
        <v>0.86</v>
      </c>
      <c r="I1003" s="15">
        <v>0.72</v>
      </c>
      <c r="J1003" s="15">
        <v>0.34</v>
      </c>
      <c r="K1003" s="15">
        <v>0.05</v>
      </c>
      <c r="L1003" s="15">
        <v>9.21</v>
      </c>
      <c r="M1003" s="15" t="s">
        <v>25</v>
      </c>
    </row>
    <row r="1004" ht="15.75" customHeight="1">
      <c r="A1004" s="15" t="s">
        <v>887</v>
      </c>
      <c r="B1004" s="15" t="s">
        <v>3817</v>
      </c>
      <c r="C1004" s="15">
        <v>2.0</v>
      </c>
      <c r="D1004" s="15" t="s">
        <v>22</v>
      </c>
      <c r="E1004" s="15">
        <v>0.77</v>
      </c>
      <c r="F1004" s="15">
        <v>45.27</v>
      </c>
      <c r="G1004" s="15">
        <v>28.09</v>
      </c>
      <c r="H1004" s="15">
        <v>0.86</v>
      </c>
      <c r="I1004" s="15">
        <v>0.72</v>
      </c>
      <c r="J1004" s="15">
        <v>0.34</v>
      </c>
      <c r="K1004" s="15">
        <v>0.05</v>
      </c>
      <c r="L1004" s="15">
        <v>9.2</v>
      </c>
      <c r="M1004" s="15" t="s">
        <v>25</v>
      </c>
    </row>
    <row r="1005" ht="15.75" customHeight="1">
      <c r="A1005" s="15" t="s">
        <v>1204</v>
      </c>
      <c r="B1005" s="15" t="s">
        <v>3819</v>
      </c>
      <c r="C1005" s="15">
        <v>2.0</v>
      </c>
      <c r="D1005" s="15" t="s">
        <v>22</v>
      </c>
      <c r="E1005" s="15">
        <v>0.83</v>
      </c>
      <c r="F1005" s="15">
        <v>45.25</v>
      </c>
      <c r="G1005" s="15">
        <v>30.09</v>
      </c>
      <c r="H1005" s="15">
        <v>0.89</v>
      </c>
      <c r="I1005" s="15">
        <v>0.63</v>
      </c>
      <c r="J1005" s="15">
        <v>0.39</v>
      </c>
      <c r="K1005" s="15">
        <v>0.05</v>
      </c>
      <c r="L1005" s="15">
        <v>9.1</v>
      </c>
      <c r="M1005" s="15" t="s">
        <v>25</v>
      </c>
    </row>
    <row r="1006" ht="15.75" customHeight="1">
      <c r="A1006" s="15" t="s">
        <v>1143</v>
      </c>
      <c r="B1006" s="15" t="s">
        <v>3821</v>
      </c>
      <c r="C1006" s="15">
        <v>2.0</v>
      </c>
      <c r="D1006" s="15" t="s">
        <v>22</v>
      </c>
      <c r="E1006" s="15">
        <v>0.76</v>
      </c>
      <c r="F1006" s="15">
        <v>45.25</v>
      </c>
      <c r="G1006" s="15">
        <v>28.09</v>
      </c>
      <c r="H1006" s="15">
        <v>0.86</v>
      </c>
      <c r="I1006" s="15">
        <v>0.72</v>
      </c>
      <c r="J1006" s="15">
        <v>0.34</v>
      </c>
      <c r="K1006" s="15">
        <v>0.05</v>
      </c>
      <c r="L1006" s="15">
        <v>9.22</v>
      </c>
      <c r="M1006" s="15" t="s">
        <v>25</v>
      </c>
    </row>
    <row r="1007" ht="15.75" customHeight="1">
      <c r="A1007" s="15" t="s">
        <v>178</v>
      </c>
      <c r="B1007" s="15" t="s">
        <v>3823</v>
      </c>
      <c r="C1007" s="15">
        <v>2.0</v>
      </c>
      <c r="D1007" s="15" t="s">
        <v>22</v>
      </c>
      <c r="E1007" s="15">
        <v>0.77</v>
      </c>
      <c r="F1007" s="15">
        <v>45.25</v>
      </c>
      <c r="G1007" s="15">
        <v>28.46</v>
      </c>
      <c r="H1007" s="15">
        <v>0.86</v>
      </c>
      <c r="I1007" s="15">
        <v>0.7</v>
      </c>
      <c r="J1007" s="15">
        <v>0.34</v>
      </c>
      <c r="K1007" s="15">
        <v>0.05</v>
      </c>
      <c r="L1007" s="15">
        <v>9.21</v>
      </c>
      <c r="M1007" s="15" t="s">
        <v>25</v>
      </c>
    </row>
    <row r="1008" ht="15.75" customHeight="1">
      <c r="A1008" s="15" t="s">
        <v>991</v>
      </c>
      <c r="B1008" s="15" t="s">
        <v>3825</v>
      </c>
      <c r="C1008" s="15">
        <v>2.0</v>
      </c>
      <c r="D1008" s="15" t="s">
        <v>22</v>
      </c>
      <c r="E1008" s="15">
        <v>0.76</v>
      </c>
      <c r="F1008" s="15">
        <v>45.25</v>
      </c>
      <c r="G1008" s="15">
        <v>28.26</v>
      </c>
      <c r="H1008" s="15">
        <v>0.86</v>
      </c>
      <c r="I1008" s="15">
        <v>0.71</v>
      </c>
      <c r="J1008" s="15">
        <v>0.34</v>
      </c>
      <c r="K1008" s="15">
        <v>0.05</v>
      </c>
      <c r="L1008" s="15">
        <v>9.21</v>
      </c>
      <c r="M1008" s="15" t="s">
        <v>25</v>
      </c>
    </row>
    <row r="1009" ht="15.75" customHeight="1">
      <c r="A1009" s="15" t="s">
        <v>521</v>
      </c>
      <c r="B1009" s="15" t="s">
        <v>3827</v>
      </c>
      <c r="C1009" s="15">
        <v>2.0</v>
      </c>
      <c r="D1009" s="15" t="s">
        <v>22</v>
      </c>
      <c r="E1009" s="15">
        <v>0.76</v>
      </c>
      <c r="F1009" s="15">
        <v>45.25</v>
      </c>
      <c r="G1009" s="15">
        <v>28.09</v>
      </c>
      <c r="H1009" s="15">
        <v>0.86</v>
      </c>
      <c r="I1009" s="15">
        <v>0.72</v>
      </c>
      <c r="J1009" s="15">
        <v>0.34</v>
      </c>
      <c r="K1009" s="15">
        <v>0.05</v>
      </c>
      <c r="L1009" s="15">
        <v>9.2</v>
      </c>
      <c r="M1009" s="15" t="s">
        <v>25</v>
      </c>
    </row>
    <row r="1010" ht="15.75" customHeight="1">
      <c r="A1010" s="15" t="s">
        <v>695</v>
      </c>
      <c r="B1010" s="15" t="s">
        <v>3830</v>
      </c>
      <c r="C1010" s="15">
        <v>2.0</v>
      </c>
      <c r="D1010" s="15" t="s">
        <v>22</v>
      </c>
      <c r="E1010" s="15">
        <v>0.55</v>
      </c>
      <c r="F1010" s="15">
        <v>45.22</v>
      </c>
      <c r="G1010" s="15">
        <v>29.72</v>
      </c>
      <c r="H1010" s="15">
        <v>0.9</v>
      </c>
      <c r="I1010" s="15">
        <v>0.64</v>
      </c>
      <c r="J1010" s="15">
        <v>0.37</v>
      </c>
      <c r="K1010" s="15">
        <v>0.05</v>
      </c>
      <c r="L1010" s="15">
        <v>8.89</v>
      </c>
      <c r="M1010" s="15" t="s">
        <v>25</v>
      </c>
    </row>
    <row r="1011" ht="15.75" customHeight="1">
      <c r="A1011" s="15" t="s">
        <v>1393</v>
      </c>
      <c r="B1011" s="15" t="s">
        <v>3833</v>
      </c>
      <c r="C1011" s="15">
        <v>2.0</v>
      </c>
      <c r="D1011" s="15" t="s">
        <v>22</v>
      </c>
      <c r="E1011" s="15">
        <v>0.71</v>
      </c>
      <c r="F1011" s="15">
        <v>45.21</v>
      </c>
      <c r="G1011" s="15">
        <v>29.59</v>
      </c>
      <c r="H1011" s="15">
        <v>0.88</v>
      </c>
      <c r="I1011" s="15">
        <v>0.65</v>
      </c>
      <c r="J1011" s="15">
        <v>0.38</v>
      </c>
      <c r="K1011" s="15">
        <v>0.07</v>
      </c>
      <c r="L1011" s="15">
        <v>8.33</v>
      </c>
      <c r="M1011" s="15" t="s">
        <v>25</v>
      </c>
    </row>
    <row r="1012" ht="15.75" customHeight="1">
      <c r="A1012" s="15" t="s">
        <v>1230</v>
      </c>
      <c r="B1012" s="15" t="s">
        <v>3835</v>
      </c>
      <c r="C1012" s="15">
        <v>2.0</v>
      </c>
      <c r="D1012" s="15" t="s">
        <v>22</v>
      </c>
      <c r="E1012" s="15">
        <v>0.83</v>
      </c>
      <c r="F1012" s="15">
        <v>45.18</v>
      </c>
      <c r="G1012" s="15">
        <v>29.48</v>
      </c>
      <c r="H1012" s="15">
        <v>0.89</v>
      </c>
      <c r="I1012" s="15">
        <v>0.65</v>
      </c>
      <c r="J1012" s="15">
        <v>0.39</v>
      </c>
      <c r="K1012" s="15">
        <v>0.05</v>
      </c>
      <c r="L1012" s="15">
        <v>9.06</v>
      </c>
      <c r="M1012" s="15" t="s">
        <v>25</v>
      </c>
    </row>
    <row r="1013" ht="15.75" customHeight="1">
      <c r="A1013" s="15" t="s">
        <v>824</v>
      </c>
      <c r="B1013" s="15" t="s">
        <v>3838</v>
      </c>
      <c r="C1013" s="15">
        <v>2.0</v>
      </c>
      <c r="D1013" s="15" t="s">
        <v>22</v>
      </c>
      <c r="E1013" s="15">
        <v>0.86</v>
      </c>
      <c r="F1013" s="15">
        <v>45.18</v>
      </c>
      <c r="G1013" s="15">
        <v>29.55</v>
      </c>
      <c r="H1013" s="15">
        <v>0.88</v>
      </c>
      <c r="I1013" s="15">
        <v>0.65</v>
      </c>
      <c r="J1013" s="15">
        <v>0.37</v>
      </c>
      <c r="K1013" s="15">
        <v>0.05</v>
      </c>
      <c r="L1013" s="15">
        <v>9.1</v>
      </c>
      <c r="M1013" s="15" t="s">
        <v>25</v>
      </c>
    </row>
    <row r="1014" ht="15.75" customHeight="1">
      <c r="A1014" s="15" t="s">
        <v>1556</v>
      </c>
      <c r="B1014" s="15" t="s">
        <v>3841</v>
      </c>
      <c r="C1014" s="15">
        <v>2.0</v>
      </c>
      <c r="D1014" s="15" t="s">
        <v>22</v>
      </c>
      <c r="E1014" s="15">
        <v>0.28</v>
      </c>
      <c r="F1014" s="15">
        <v>45.15</v>
      </c>
      <c r="G1014" s="15">
        <v>28.17</v>
      </c>
      <c r="H1014" s="15">
        <v>0.76</v>
      </c>
      <c r="I1014" s="15">
        <v>0.72</v>
      </c>
      <c r="J1014" s="15">
        <v>0.6</v>
      </c>
      <c r="K1014" s="15">
        <v>0.1</v>
      </c>
      <c r="L1014" s="15">
        <v>7.27</v>
      </c>
      <c r="M1014" s="15" t="s">
        <v>25</v>
      </c>
    </row>
    <row r="1015" ht="15.75" customHeight="1">
      <c r="A1015" s="15" t="s">
        <v>486</v>
      </c>
      <c r="B1015" s="15" t="s">
        <v>3843</v>
      </c>
      <c r="C1015" s="15">
        <v>2.0</v>
      </c>
      <c r="D1015" s="15" t="s">
        <v>22</v>
      </c>
      <c r="E1015" s="15">
        <v>0.75</v>
      </c>
      <c r="F1015" s="15">
        <v>45.14</v>
      </c>
      <c r="G1015" s="15">
        <v>29.74</v>
      </c>
      <c r="H1015" s="15">
        <v>0.92</v>
      </c>
      <c r="I1015" s="15">
        <v>0.64</v>
      </c>
      <c r="J1015" s="15">
        <v>0.46</v>
      </c>
      <c r="K1015" s="15">
        <v>0.07</v>
      </c>
      <c r="L1015" s="15">
        <v>8.32</v>
      </c>
      <c r="M1015" s="15" t="s">
        <v>25</v>
      </c>
    </row>
    <row r="1016" ht="15.75" customHeight="1">
      <c r="A1016" s="15" t="s">
        <v>133</v>
      </c>
      <c r="B1016" s="15" t="s">
        <v>3846</v>
      </c>
      <c r="C1016" s="15">
        <v>2.0</v>
      </c>
      <c r="D1016" s="15" t="s">
        <v>22</v>
      </c>
      <c r="E1016" s="15">
        <v>0.82</v>
      </c>
      <c r="F1016" s="15">
        <v>45.11</v>
      </c>
      <c r="G1016" s="15">
        <v>29.12</v>
      </c>
      <c r="H1016" s="15">
        <v>0.88</v>
      </c>
      <c r="I1016" s="15">
        <v>0.67</v>
      </c>
      <c r="J1016" s="15">
        <v>0.4</v>
      </c>
      <c r="K1016" s="15">
        <v>0.05</v>
      </c>
      <c r="L1016" s="15">
        <v>8.94</v>
      </c>
      <c r="M1016" s="15" t="s">
        <v>25</v>
      </c>
    </row>
    <row r="1017" ht="15.75" customHeight="1">
      <c r="A1017" s="15" t="s">
        <v>357</v>
      </c>
      <c r="B1017" s="15" t="s">
        <v>3848</v>
      </c>
      <c r="C1017" s="15">
        <v>2.0</v>
      </c>
      <c r="D1017" s="15" t="s">
        <v>22</v>
      </c>
      <c r="E1017" s="15">
        <v>0.77</v>
      </c>
      <c r="F1017" s="15">
        <v>45.09</v>
      </c>
      <c r="G1017" s="15">
        <v>29.87</v>
      </c>
      <c r="H1017" s="15">
        <v>0.92</v>
      </c>
      <c r="I1017" s="15">
        <v>0.64</v>
      </c>
      <c r="J1017" s="15">
        <v>0.46</v>
      </c>
      <c r="K1017" s="15">
        <v>0.07</v>
      </c>
      <c r="L1017" s="15">
        <v>8.37</v>
      </c>
      <c r="M1017" s="15" t="s">
        <v>25</v>
      </c>
    </row>
    <row r="1018" ht="15.75" customHeight="1">
      <c r="A1018" s="15" t="s">
        <v>3849</v>
      </c>
      <c r="B1018" s="15" t="s">
        <v>3850</v>
      </c>
      <c r="C1018" s="15">
        <v>2.0</v>
      </c>
      <c r="D1018" s="15" t="s">
        <v>22</v>
      </c>
      <c r="E1018" s="15">
        <v>0.76</v>
      </c>
      <c r="F1018" s="15">
        <v>45.04</v>
      </c>
      <c r="G1018" s="15">
        <v>29.63</v>
      </c>
      <c r="H1018" s="15">
        <v>0.92</v>
      </c>
      <c r="I1018" s="15">
        <v>0.64</v>
      </c>
      <c r="J1018" s="15">
        <v>0.46</v>
      </c>
      <c r="K1018" s="15">
        <v>0.07</v>
      </c>
      <c r="L1018" s="15">
        <v>8.36</v>
      </c>
      <c r="M1018" s="15" t="s">
        <v>25</v>
      </c>
    </row>
    <row r="1019" ht="15.75" customHeight="1">
      <c r="A1019" s="15" t="s">
        <v>689</v>
      </c>
      <c r="B1019" s="15" t="s">
        <v>3852</v>
      </c>
      <c r="C1019" s="15">
        <v>2.0</v>
      </c>
      <c r="D1019" s="15" t="s">
        <v>22</v>
      </c>
      <c r="E1019" s="15">
        <v>0.49</v>
      </c>
      <c r="F1019" s="15">
        <v>45.01</v>
      </c>
      <c r="G1019" s="15">
        <v>28.6</v>
      </c>
      <c r="H1019" s="15">
        <v>0.89</v>
      </c>
      <c r="I1019" s="15">
        <v>0.69</v>
      </c>
      <c r="J1019" s="15">
        <v>0.51</v>
      </c>
      <c r="K1019" s="15">
        <v>0.07</v>
      </c>
      <c r="L1019" s="15">
        <v>7.98</v>
      </c>
      <c r="M1019" s="15" t="s">
        <v>25</v>
      </c>
    </row>
    <row r="1020" ht="15.75" customHeight="1">
      <c r="A1020" s="15" t="s">
        <v>1134</v>
      </c>
      <c r="B1020" s="15" t="s">
        <v>3854</v>
      </c>
      <c r="C1020" s="15">
        <v>2.0</v>
      </c>
      <c r="D1020" s="15" t="s">
        <v>22</v>
      </c>
      <c r="E1020" s="15">
        <v>0.77</v>
      </c>
      <c r="F1020" s="15">
        <v>44.98</v>
      </c>
      <c r="G1020" s="15">
        <v>29.62</v>
      </c>
      <c r="H1020" s="15">
        <v>0.92</v>
      </c>
      <c r="I1020" s="15">
        <v>0.64</v>
      </c>
      <c r="J1020" s="15">
        <v>0.46</v>
      </c>
      <c r="K1020" s="15">
        <v>0.07</v>
      </c>
      <c r="L1020" s="15">
        <v>8.35</v>
      </c>
      <c r="M1020" s="15" t="s">
        <v>25</v>
      </c>
    </row>
    <row r="1021" ht="15.75" customHeight="1">
      <c r="A1021" s="15" t="s">
        <v>1163</v>
      </c>
      <c r="B1021" s="15" t="s">
        <v>3857</v>
      </c>
      <c r="C1021" s="15">
        <v>2.0</v>
      </c>
      <c r="D1021" s="15" t="s">
        <v>22</v>
      </c>
      <c r="E1021" s="15">
        <v>0.83</v>
      </c>
      <c r="F1021" s="15">
        <v>44.97</v>
      </c>
      <c r="G1021" s="15">
        <v>29.63</v>
      </c>
      <c r="H1021" s="15">
        <v>0.89</v>
      </c>
      <c r="I1021" s="15">
        <v>0.64</v>
      </c>
      <c r="J1021" s="15">
        <v>0.38</v>
      </c>
      <c r="K1021" s="15">
        <v>0.05</v>
      </c>
      <c r="L1021" s="15">
        <v>9.11</v>
      </c>
      <c r="M1021" s="15" t="s">
        <v>25</v>
      </c>
    </row>
    <row r="1022" ht="15.75" customHeight="1">
      <c r="A1022" s="15" t="s">
        <v>1026</v>
      </c>
      <c r="B1022" s="15" t="s">
        <v>3859</v>
      </c>
      <c r="C1022" s="15">
        <v>2.0</v>
      </c>
      <c r="D1022" s="15" t="s">
        <v>22</v>
      </c>
      <c r="E1022" s="15">
        <v>0.75</v>
      </c>
      <c r="F1022" s="15">
        <v>44.95</v>
      </c>
      <c r="G1022" s="15">
        <v>29.7</v>
      </c>
      <c r="H1022" s="15">
        <v>0.92</v>
      </c>
      <c r="I1022" s="15">
        <v>0.64</v>
      </c>
      <c r="J1022" s="15">
        <v>0.45</v>
      </c>
      <c r="K1022" s="15">
        <v>0.07</v>
      </c>
      <c r="L1022" s="15">
        <v>8.33</v>
      </c>
      <c r="M1022" s="15" t="s">
        <v>25</v>
      </c>
    </row>
    <row r="1023" ht="15.75" customHeight="1">
      <c r="A1023" s="15" t="s">
        <v>3860</v>
      </c>
      <c r="B1023" s="15" t="s">
        <v>3861</v>
      </c>
      <c r="C1023" s="15">
        <v>2.0</v>
      </c>
      <c r="D1023" s="15" t="s">
        <v>22</v>
      </c>
      <c r="E1023" s="15">
        <v>0.8</v>
      </c>
      <c r="F1023" s="15">
        <v>44.92</v>
      </c>
      <c r="G1023" s="15">
        <v>29.79</v>
      </c>
      <c r="H1023" s="15">
        <v>0.93</v>
      </c>
      <c r="I1023" s="15">
        <v>0.64</v>
      </c>
      <c r="J1023" s="15">
        <v>0.41</v>
      </c>
      <c r="K1023" s="15">
        <v>0.06</v>
      </c>
      <c r="L1023" s="15">
        <v>8.48</v>
      </c>
      <c r="M1023" s="15" t="s">
        <v>25</v>
      </c>
    </row>
    <row r="1024" ht="15.75" customHeight="1">
      <c r="A1024" s="15" t="s">
        <v>3864</v>
      </c>
      <c r="B1024" s="15" t="s">
        <v>3865</v>
      </c>
      <c r="C1024" s="15">
        <v>2.0</v>
      </c>
      <c r="D1024" s="15" t="s">
        <v>22</v>
      </c>
      <c r="E1024" s="15">
        <v>0.79</v>
      </c>
      <c r="F1024" s="15">
        <v>44.91</v>
      </c>
      <c r="G1024" s="15">
        <v>29.76</v>
      </c>
      <c r="H1024" s="15">
        <v>0.93</v>
      </c>
      <c r="I1024" s="15">
        <v>0.64</v>
      </c>
      <c r="J1024" s="15">
        <v>0.41</v>
      </c>
      <c r="K1024" s="15">
        <v>0.06</v>
      </c>
      <c r="L1024" s="15">
        <v>8.5</v>
      </c>
      <c r="M1024" s="15" t="s">
        <v>25</v>
      </c>
    </row>
    <row r="1025" ht="15.75" customHeight="1">
      <c r="A1025" s="15" t="s">
        <v>322</v>
      </c>
      <c r="B1025" s="15" t="s">
        <v>3866</v>
      </c>
      <c r="C1025" s="15">
        <v>2.0</v>
      </c>
      <c r="D1025" s="15" t="s">
        <v>22</v>
      </c>
      <c r="E1025" s="15">
        <v>0.79</v>
      </c>
      <c r="F1025" s="15">
        <v>44.91</v>
      </c>
      <c r="G1025" s="15">
        <v>29.96</v>
      </c>
      <c r="H1025" s="15">
        <v>0.93</v>
      </c>
      <c r="I1025" s="15">
        <v>0.63</v>
      </c>
      <c r="J1025" s="15">
        <v>0.41</v>
      </c>
      <c r="K1025" s="15">
        <v>0.06</v>
      </c>
      <c r="L1025" s="15">
        <v>8.49</v>
      </c>
      <c r="M1025" s="15" t="s">
        <v>25</v>
      </c>
    </row>
    <row r="1026" ht="15.75" customHeight="1">
      <c r="A1026" s="15" t="s">
        <v>3868</v>
      </c>
      <c r="B1026" s="15" t="s">
        <v>3869</v>
      </c>
      <c r="C1026" s="15">
        <v>2.0</v>
      </c>
      <c r="D1026" s="15" t="s">
        <v>22</v>
      </c>
      <c r="E1026" s="15">
        <v>0.76</v>
      </c>
      <c r="F1026" s="15">
        <v>44.91</v>
      </c>
      <c r="G1026" s="15">
        <v>29.73</v>
      </c>
      <c r="H1026" s="15">
        <v>0.92</v>
      </c>
      <c r="I1026" s="15">
        <v>0.64</v>
      </c>
      <c r="J1026" s="15">
        <v>0.45</v>
      </c>
      <c r="K1026" s="15">
        <v>0.06</v>
      </c>
      <c r="L1026" s="15">
        <v>8.4</v>
      </c>
      <c r="M1026" s="15" t="s">
        <v>25</v>
      </c>
    </row>
    <row r="1027" ht="15.75" customHeight="1">
      <c r="A1027" s="15" t="s">
        <v>370</v>
      </c>
      <c r="B1027" s="15" t="s">
        <v>3871</v>
      </c>
      <c r="C1027" s="15">
        <v>2.0</v>
      </c>
      <c r="D1027" s="15" t="s">
        <v>22</v>
      </c>
      <c r="E1027" s="15">
        <v>0.8</v>
      </c>
      <c r="F1027" s="15">
        <v>44.9</v>
      </c>
      <c r="G1027" s="15">
        <v>29.96</v>
      </c>
      <c r="H1027" s="15">
        <v>0.93</v>
      </c>
      <c r="I1027" s="15">
        <v>0.63</v>
      </c>
      <c r="J1027" s="15">
        <v>0.41</v>
      </c>
      <c r="K1027" s="15">
        <v>0.06</v>
      </c>
      <c r="L1027" s="15">
        <v>8.5</v>
      </c>
      <c r="M1027" s="15" t="s">
        <v>25</v>
      </c>
    </row>
    <row r="1028" ht="15.75" customHeight="1">
      <c r="A1028" s="15" t="s">
        <v>403</v>
      </c>
      <c r="B1028" s="15" t="s">
        <v>3873</v>
      </c>
      <c r="C1028" s="15">
        <v>2.0</v>
      </c>
      <c r="D1028" s="15" t="s">
        <v>22</v>
      </c>
      <c r="E1028" s="15">
        <v>0.78</v>
      </c>
      <c r="F1028" s="15">
        <v>44.9</v>
      </c>
      <c r="G1028" s="15">
        <v>29.92</v>
      </c>
      <c r="H1028" s="15">
        <v>0.93</v>
      </c>
      <c r="I1028" s="15">
        <v>0.63</v>
      </c>
      <c r="J1028" s="15">
        <v>0.41</v>
      </c>
      <c r="K1028" s="15">
        <v>0.06</v>
      </c>
      <c r="L1028" s="15">
        <v>8.51</v>
      </c>
      <c r="M1028" s="15" t="s">
        <v>25</v>
      </c>
    </row>
    <row r="1029" ht="15.75" customHeight="1">
      <c r="A1029" s="15" t="s">
        <v>276</v>
      </c>
      <c r="B1029" s="15" t="s">
        <v>3874</v>
      </c>
      <c r="C1029" s="15">
        <v>2.0</v>
      </c>
      <c r="D1029" s="15" t="s">
        <v>22</v>
      </c>
      <c r="E1029" s="15">
        <v>0.3</v>
      </c>
      <c r="F1029" s="15">
        <v>44.88</v>
      </c>
      <c r="G1029" s="15">
        <v>29.42</v>
      </c>
      <c r="H1029" s="15">
        <v>0.92</v>
      </c>
      <c r="I1029" s="15">
        <v>0.65</v>
      </c>
      <c r="J1029" s="15">
        <v>0.49</v>
      </c>
      <c r="K1029" s="15">
        <v>0.08</v>
      </c>
      <c r="L1029" s="15">
        <v>7.88</v>
      </c>
      <c r="M1029" s="15" t="s">
        <v>25</v>
      </c>
    </row>
    <row r="1030" ht="15.75" customHeight="1">
      <c r="A1030" s="15" t="s">
        <v>1109</v>
      </c>
      <c r="B1030" s="15" t="s">
        <v>3876</v>
      </c>
      <c r="C1030" s="15">
        <v>2.0</v>
      </c>
      <c r="D1030" s="15" t="s">
        <v>22</v>
      </c>
      <c r="E1030" s="15">
        <v>0.77</v>
      </c>
      <c r="F1030" s="15">
        <v>44.86</v>
      </c>
      <c r="G1030" s="15">
        <v>29.87</v>
      </c>
      <c r="H1030" s="15">
        <v>0.92</v>
      </c>
      <c r="I1030" s="15">
        <v>0.63</v>
      </c>
      <c r="J1030" s="15">
        <v>0.45</v>
      </c>
      <c r="K1030" s="15">
        <v>0.07</v>
      </c>
      <c r="L1030" s="15">
        <v>8.39</v>
      </c>
      <c r="M1030" s="15" t="s">
        <v>25</v>
      </c>
    </row>
    <row r="1031" ht="15.75" customHeight="1">
      <c r="A1031" s="15" t="s">
        <v>449</v>
      </c>
      <c r="B1031" s="15" t="s">
        <v>3878</v>
      </c>
      <c r="C1031" s="15">
        <v>2.0</v>
      </c>
      <c r="D1031" s="15" t="s">
        <v>22</v>
      </c>
      <c r="E1031" s="15">
        <v>0.77</v>
      </c>
      <c r="F1031" s="15">
        <v>44.85</v>
      </c>
      <c r="G1031" s="15">
        <v>29.7</v>
      </c>
      <c r="H1031" s="15">
        <v>0.92</v>
      </c>
      <c r="I1031" s="15">
        <v>0.64</v>
      </c>
      <c r="J1031" s="15">
        <v>0.4</v>
      </c>
      <c r="K1031" s="15">
        <v>0.06</v>
      </c>
      <c r="L1031" s="15">
        <v>8.54</v>
      </c>
      <c r="M1031" s="15" t="s">
        <v>25</v>
      </c>
    </row>
    <row r="1032" ht="15.75" customHeight="1">
      <c r="A1032" s="15" t="s">
        <v>315</v>
      </c>
      <c r="B1032" s="15" t="s">
        <v>3880</v>
      </c>
      <c r="C1032" s="15">
        <v>2.0</v>
      </c>
      <c r="D1032" s="15" t="s">
        <v>22</v>
      </c>
      <c r="E1032" s="15">
        <v>0.8</v>
      </c>
      <c r="F1032" s="15">
        <v>44.84</v>
      </c>
      <c r="G1032" s="15">
        <v>30.01</v>
      </c>
      <c r="H1032" s="15">
        <v>0.93</v>
      </c>
      <c r="I1032" s="15">
        <v>0.63</v>
      </c>
      <c r="J1032" s="15">
        <v>0.41</v>
      </c>
      <c r="K1032" s="15">
        <v>0.06</v>
      </c>
      <c r="L1032" s="15">
        <v>8.5</v>
      </c>
      <c r="M1032" s="15" t="s">
        <v>25</v>
      </c>
    </row>
    <row r="1033" ht="15.75" customHeight="1">
      <c r="A1033" s="15" t="s">
        <v>587</v>
      </c>
      <c r="B1033" s="15" t="s">
        <v>3882</v>
      </c>
      <c r="C1033" s="15">
        <v>2.0</v>
      </c>
      <c r="D1033" s="15" t="s">
        <v>22</v>
      </c>
      <c r="E1033" s="15">
        <v>0.26</v>
      </c>
      <c r="F1033" s="15">
        <v>44.81</v>
      </c>
      <c r="G1033" s="15">
        <v>28.37</v>
      </c>
      <c r="H1033" s="15">
        <v>0.83</v>
      </c>
      <c r="I1033" s="15">
        <v>0.7</v>
      </c>
      <c r="J1033" s="15">
        <v>0.52</v>
      </c>
      <c r="K1033" s="15">
        <v>0.07</v>
      </c>
      <c r="L1033" s="15">
        <v>8.21</v>
      </c>
      <c r="M1033" s="15" t="s">
        <v>25</v>
      </c>
    </row>
    <row r="1034" ht="15.75" customHeight="1">
      <c r="A1034" s="15" t="s">
        <v>3195</v>
      </c>
      <c r="B1034" s="15" t="s">
        <v>3883</v>
      </c>
      <c r="C1034" s="15">
        <v>2.0</v>
      </c>
      <c r="D1034" s="15" t="s">
        <v>22</v>
      </c>
      <c r="E1034" s="15">
        <v>0.8</v>
      </c>
      <c r="F1034" s="15">
        <v>44.79</v>
      </c>
      <c r="G1034" s="15">
        <v>30.07</v>
      </c>
      <c r="H1034" s="15">
        <v>0.93</v>
      </c>
      <c r="I1034" s="15">
        <v>0.62</v>
      </c>
      <c r="J1034" s="15">
        <v>0.41</v>
      </c>
      <c r="K1034" s="15">
        <v>0.06</v>
      </c>
      <c r="L1034" s="15">
        <v>8.53</v>
      </c>
      <c r="M1034" s="15" t="s">
        <v>25</v>
      </c>
    </row>
    <row r="1035" ht="15.75" customHeight="1">
      <c r="A1035" s="15" t="s">
        <v>425</v>
      </c>
      <c r="B1035" s="15" t="s">
        <v>3885</v>
      </c>
      <c r="C1035" s="15">
        <v>2.0</v>
      </c>
      <c r="D1035" s="15" t="s">
        <v>22</v>
      </c>
      <c r="E1035" s="15">
        <v>0.76</v>
      </c>
      <c r="F1035" s="15">
        <v>44.79</v>
      </c>
      <c r="G1035" s="15">
        <v>30.18</v>
      </c>
      <c r="H1035" s="15">
        <v>0.92</v>
      </c>
      <c r="I1035" s="15">
        <v>0.62</v>
      </c>
      <c r="J1035" s="15">
        <v>0.41</v>
      </c>
      <c r="K1035" s="15">
        <v>0.06</v>
      </c>
      <c r="L1035" s="15">
        <v>8.55</v>
      </c>
      <c r="M1035" s="15" t="s">
        <v>25</v>
      </c>
    </row>
    <row r="1036" ht="15.75" customHeight="1">
      <c r="A1036" s="15" t="s">
        <v>1054</v>
      </c>
      <c r="B1036" s="15" t="s">
        <v>3887</v>
      </c>
      <c r="C1036" s="15">
        <v>2.0</v>
      </c>
      <c r="D1036" s="15" t="s">
        <v>22</v>
      </c>
      <c r="E1036" s="15">
        <v>0.77</v>
      </c>
      <c r="F1036" s="15">
        <v>44.78</v>
      </c>
      <c r="G1036" s="15">
        <v>29.73</v>
      </c>
      <c r="H1036" s="15">
        <v>0.92</v>
      </c>
      <c r="I1036" s="15">
        <v>0.64</v>
      </c>
      <c r="J1036" s="15">
        <v>0.46</v>
      </c>
      <c r="K1036" s="15">
        <v>0.07</v>
      </c>
      <c r="L1036" s="15">
        <v>8.4</v>
      </c>
      <c r="M1036" s="15" t="s">
        <v>25</v>
      </c>
    </row>
    <row r="1037" ht="15.75" customHeight="1">
      <c r="A1037" s="15" t="s">
        <v>1308</v>
      </c>
      <c r="B1037" s="15" t="s">
        <v>3888</v>
      </c>
      <c r="C1037" s="15">
        <v>2.0</v>
      </c>
      <c r="D1037" s="15" t="s">
        <v>22</v>
      </c>
      <c r="E1037" s="15">
        <v>0.64</v>
      </c>
      <c r="F1037" s="15">
        <v>44.77</v>
      </c>
      <c r="G1037" s="15">
        <v>28.12</v>
      </c>
      <c r="H1037" s="15">
        <v>0.85</v>
      </c>
      <c r="I1037" s="15">
        <v>0.71</v>
      </c>
      <c r="J1037" s="15">
        <v>0.34</v>
      </c>
      <c r="K1037" s="15">
        <v>0.05</v>
      </c>
      <c r="L1037" s="15">
        <v>9.22</v>
      </c>
      <c r="M1037" s="15" t="s">
        <v>25</v>
      </c>
    </row>
    <row r="1038" ht="15.75" customHeight="1">
      <c r="A1038" s="15" t="s">
        <v>21</v>
      </c>
      <c r="B1038" s="15" t="s">
        <v>3889</v>
      </c>
      <c r="C1038" s="15">
        <v>2.0</v>
      </c>
      <c r="D1038" s="15" t="s">
        <v>22</v>
      </c>
      <c r="E1038" s="15">
        <v>0.77</v>
      </c>
      <c r="F1038" s="15">
        <v>44.76</v>
      </c>
      <c r="G1038" s="15">
        <v>28.13</v>
      </c>
      <c r="H1038" s="15">
        <v>0.82</v>
      </c>
      <c r="I1038" s="15">
        <v>0.71</v>
      </c>
      <c r="J1038" s="15">
        <v>0.43</v>
      </c>
      <c r="K1038" s="15">
        <v>0.06</v>
      </c>
      <c r="L1038" s="15">
        <v>8.57</v>
      </c>
      <c r="M1038" s="15" t="s">
        <v>25</v>
      </c>
    </row>
    <row r="1039" ht="15.75" customHeight="1">
      <c r="A1039" s="15" t="s">
        <v>872</v>
      </c>
      <c r="B1039" s="15" t="s">
        <v>3891</v>
      </c>
      <c r="C1039" s="15">
        <v>2.0</v>
      </c>
      <c r="D1039" s="15" t="s">
        <v>22</v>
      </c>
      <c r="E1039" s="15">
        <v>0.46</v>
      </c>
      <c r="F1039" s="15">
        <v>44.75</v>
      </c>
      <c r="G1039" s="15">
        <v>27.8</v>
      </c>
      <c r="H1039" s="15">
        <v>0.83</v>
      </c>
      <c r="I1039" s="15">
        <v>0.73</v>
      </c>
      <c r="J1039" s="15">
        <v>0.49</v>
      </c>
      <c r="K1039" s="15">
        <v>0.07</v>
      </c>
      <c r="L1039" s="15">
        <v>8.39</v>
      </c>
      <c r="M1039" s="15" t="s">
        <v>25</v>
      </c>
    </row>
    <row r="1040" ht="15.75" customHeight="1">
      <c r="A1040" s="15" t="s">
        <v>473</v>
      </c>
      <c r="B1040" s="15" t="s">
        <v>3893</v>
      </c>
      <c r="C1040" s="15">
        <v>2.0</v>
      </c>
      <c r="D1040" s="15" t="s">
        <v>22</v>
      </c>
      <c r="E1040" s="15">
        <v>0.79</v>
      </c>
      <c r="F1040" s="15">
        <v>44.74</v>
      </c>
      <c r="G1040" s="15">
        <v>30.06</v>
      </c>
      <c r="H1040" s="15">
        <v>0.93</v>
      </c>
      <c r="I1040" s="15">
        <v>0.62</v>
      </c>
      <c r="J1040" s="15">
        <v>0.41</v>
      </c>
      <c r="K1040" s="15">
        <v>0.06</v>
      </c>
      <c r="L1040" s="15">
        <v>8.53</v>
      </c>
      <c r="M1040" s="15" t="s">
        <v>25</v>
      </c>
    </row>
    <row r="1041" ht="15.75" customHeight="1">
      <c r="A1041" s="15" t="s">
        <v>396</v>
      </c>
      <c r="B1041" s="15" t="s">
        <v>3895</v>
      </c>
      <c r="C1041" s="15">
        <v>2.0</v>
      </c>
      <c r="D1041" s="15" t="s">
        <v>22</v>
      </c>
      <c r="E1041" s="15">
        <v>0.79</v>
      </c>
      <c r="F1041" s="15">
        <v>44.74</v>
      </c>
      <c r="G1041" s="15">
        <v>29.97</v>
      </c>
      <c r="H1041" s="15">
        <v>0.93</v>
      </c>
      <c r="I1041" s="15">
        <v>0.63</v>
      </c>
      <c r="J1041" s="15">
        <v>0.41</v>
      </c>
      <c r="K1041" s="15">
        <v>0.06</v>
      </c>
      <c r="L1041" s="15">
        <v>8.53</v>
      </c>
      <c r="M1041" s="15" t="s">
        <v>25</v>
      </c>
    </row>
    <row r="1042" ht="15.75" customHeight="1">
      <c r="A1042" s="15" t="s">
        <v>3896</v>
      </c>
      <c r="B1042" s="15" t="s">
        <v>3897</v>
      </c>
      <c r="C1042" s="15">
        <v>2.0</v>
      </c>
      <c r="D1042" s="15" t="s">
        <v>22</v>
      </c>
      <c r="E1042" s="15">
        <v>0.76</v>
      </c>
      <c r="F1042" s="15">
        <v>44.71</v>
      </c>
      <c r="G1042" s="15">
        <v>29.59</v>
      </c>
      <c r="H1042" s="15">
        <v>0.92</v>
      </c>
      <c r="I1042" s="15">
        <v>0.64</v>
      </c>
      <c r="J1042" s="15">
        <v>0.45</v>
      </c>
      <c r="K1042" s="15">
        <v>0.07</v>
      </c>
      <c r="L1042" s="15">
        <v>8.39</v>
      </c>
      <c r="M1042" s="15" t="s">
        <v>25</v>
      </c>
    </row>
    <row r="1043" ht="15.75" customHeight="1">
      <c r="A1043" s="15" t="s">
        <v>1423</v>
      </c>
      <c r="B1043" s="15" t="s">
        <v>3899</v>
      </c>
      <c r="C1043" s="15">
        <v>2.0</v>
      </c>
      <c r="D1043" s="15" t="s">
        <v>22</v>
      </c>
      <c r="E1043" s="15">
        <v>0.77</v>
      </c>
      <c r="F1043" s="15">
        <v>44.69</v>
      </c>
      <c r="G1043" s="15">
        <v>29.53</v>
      </c>
      <c r="H1043" s="15">
        <v>0.92</v>
      </c>
      <c r="I1043" s="15">
        <v>0.64</v>
      </c>
      <c r="J1043" s="15">
        <v>0.45</v>
      </c>
      <c r="K1043" s="15">
        <v>0.06</v>
      </c>
      <c r="L1043" s="15">
        <v>8.4</v>
      </c>
      <c r="M1043" s="15" t="s">
        <v>25</v>
      </c>
    </row>
    <row r="1044" ht="15.75" customHeight="1">
      <c r="A1044" s="15" t="s">
        <v>125</v>
      </c>
      <c r="B1044" s="15" t="s">
        <v>3901</v>
      </c>
      <c r="C1044" s="15">
        <v>2.0</v>
      </c>
      <c r="D1044" s="15" t="s">
        <v>22</v>
      </c>
      <c r="E1044" s="15">
        <v>0.79</v>
      </c>
      <c r="F1044" s="15">
        <v>44.63</v>
      </c>
      <c r="G1044" s="15">
        <v>29.9</v>
      </c>
      <c r="H1044" s="15">
        <v>0.93</v>
      </c>
      <c r="I1044" s="15">
        <v>0.63</v>
      </c>
      <c r="J1044" s="15">
        <v>0.41</v>
      </c>
      <c r="K1044" s="15">
        <v>0.06</v>
      </c>
      <c r="L1044" s="15">
        <v>8.53</v>
      </c>
      <c r="M1044" s="15" t="s">
        <v>25</v>
      </c>
    </row>
    <row r="1045" ht="15.75" customHeight="1">
      <c r="A1045" s="15" t="s">
        <v>442</v>
      </c>
      <c r="B1045" s="15" t="s">
        <v>3903</v>
      </c>
      <c r="C1045" s="15">
        <v>2.0</v>
      </c>
      <c r="D1045" s="15" t="s">
        <v>22</v>
      </c>
      <c r="E1045" s="15">
        <v>0.73</v>
      </c>
      <c r="F1045" s="15">
        <v>44.61</v>
      </c>
      <c r="G1045" s="15">
        <v>29.66</v>
      </c>
      <c r="H1045" s="15">
        <v>0.92</v>
      </c>
      <c r="I1045" s="15">
        <v>0.64</v>
      </c>
      <c r="J1045" s="15">
        <v>0.6</v>
      </c>
      <c r="K1045" s="15">
        <v>0.09</v>
      </c>
      <c r="L1045" s="15">
        <v>7.58</v>
      </c>
      <c r="M1045" s="15" t="s">
        <v>25</v>
      </c>
    </row>
    <row r="1046" ht="15.75" customHeight="1">
      <c r="A1046" s="15" t="s">
        <v>538</v>
      </c>
      <c r="B1046" s="15" t="s">
        <v>3905</v>
      </c>
      <c r="C1046" s="15">
        <v>2.0</v>
      </c>
      <c r="D1046" s="15" t="s">
        <v>22</v>
      </c>
      <c r="E1046" s="15">
        <v>0.79</v>
      </c>
      <c r="F1046" s="15">
        <v>44.6</v>
      </c>
      <c r="G1046" s="15">
        <v>28.21</v>
      </c>
      <c r="H1046" s="15">
        <v>0.88</v>
      </c>
      <c r="I1046" s="15">
        <v>0.7</v>
      </c>
      <c r="J1046" s="15">
        <v>0.49</v>
      </c>
      <c r="K1046" s="15">
        <v>0.07</v>
      </c>
      <c r="L1046" s="15">
        <v>8.29</v>
      </c>
      <c r="M1046" s="15" t="s">
        <v>25</v>
      </c>
    </row>
    <row r="1047" ht="15.75" customHeight="1">
      <c r="A1047" s="15" t="s">
        <v>390</v>
      </c>
      <c r="B1047" s="15" t="s">
        <v>3906</v>
      </c>
      <c r="C1047" s="15">
        <v>2.0</v>
      </c>
      <c r="D1047" s="15" t="s">
        <v>22</v>
      </c>
      <c r="E1047" s="15">
        <v>0.8</v>
      </c>
      <c r="F1047" s="15">
        <v>44.59</v>
      </c>
      <c r="G1047" s="15">
        <v>30.22</v>
      </c>
      <c r="H1047" s="15">
        <v>0.93</v>
      </c>
      <c r="I1047" s="15">
        <v>0.61</v>
      </c>
      <c r="J1047" s="15">
        <v>0.41</v>
      </c>
      <c r="K1047" s="15">
        <v>0.06</v>
      </c>
      <c r="L1047" s="15">
        <v>8.54</v>
      </c>
      <c r="M1047" s="15" t="s">
        <v>25</v>
      </c>
    </row>
    <row r="1048" ht="15.75" customHeight="1">
      <c r="A1048" s="15" t="s">
        <v>3908</v>
      </c>
      <c r="B1048" s="15" t="s">
        <v>3909</v>
      </c>
      <c r="C1048" s="15">
        <v>2.0</v>
      </c>
      <c r="D1048" s="15" t="s">
        <v>22</v>
      </c>
      <c r="E1048" s="15">
        <v>0.8</v>
      </c>
      <c r="F1048" s="15">
        <v>44.54</v>
      </c>
      <c r="G1048" s="15">
        <v>30.14</v>
      </c>
      <c r="H1048" s="15">
        <v>0.93</v>
      </c>
      <c r="I1048" s="15">
        <v>0.62</v>
      </c>
      <c r="J1048" s="15">
        <v>0.41</v>
      </c>
      <c r="K1048" s="15">
        <v>0.06</v>
      </c>
      <c r="L1048" s="15">
        <v>8.55</v>
      </c>
      <c r="M1048" s="15" t="s">
        <v>25</v>
      </c>
    </row>
    <row r="1049" ht="15.75" customHeight="1">
      <c r="A1049" s="15" t="s">
        <v>173</v>
      </c>
      <c r="B1049" s="15" t="s">
        <v>3911</v>
      </c>
      <c r="C1049" s="15">
        <v>2.0</v>
      </c>
      <c r="D1049" s="15" t="s">
        <v>22</v>
      </c>
      <c r="E1049" s="15">
        <v>0.76</v>
      </c>
      <c r="F1049" s="15">
        <v>44.53</v>
      </c>
      <c r="G1049" s="15">
        <v>28.21</v>
      </c>
      <c r="H1049" s="15">
        <v>0.88</v>
      </c>
      <c r="I1049" s="15">
        <v>0.7</v>
      </c>
      <c r="J1049" s="15">
        <v>0.46</v>
      </c>
      <c r="K1049" s="15">
        <v>0.06</v>
      </c>
      <c r="L1049" s="15">
        <v>8.55</v>
      </c>
      <c r="M1049" s="15" t="s">
        <v>25</v>
      </c>
    </row>
    <row r="1050" ht="15.75" customHeight="1">
      <c r="A1050" s="15" t="s">
        <v>3913</v>
      </c>
      <c r="B1050" s="15" t="s">
        <v>3914</v>
      </c>
      <c r="C1050" s="15">
        <v>2.0</v>
      </c>
      <c r="D1050" s="15" t="s">
        <v>22</v>
      </c>
      <c r="E1050" s="15">
        <v>0.77</v>
      </c>
      <c r="F1050" s="15">
        <v>44.39</v>
      </c>
      <c r="G1050" s="15">
        <v>29.52</v>
      </c>
      <c r="H1050" s="15">
        <v>0.92</v>
      </c>
      <c r="I1050" s="15">
        <v>0.64</v>
      </c>
      <c r="J1050" s="15">
        <v>0.45</v>
      </c>
      <c r="K1050" s="15">
        <v>0.06</v>
      </c>
      <c r="L1050" s="15">
        <v>8.39</v>
      </c>
      <c r="M1050" s="15" t="s">
        <v>25</v>
      </c>
    </row>
    <row r="1051" ht="15.75" customHeight="1">
      <c r="A1051" s="15" t="s">
        <v>500</v>
      </c>
      <c r="B1051" s="15" t="s">
        <v>3915</v>
      </c>
      <c r="C1051" s="15">
        <v>2.0</v>
      </c>
      <c r="D1051" s="15" t="s">
        <v>22</v>
      </c>
      <c r="E1051" s="15">
        <v>0.79</v>
      </c>
      <c r="F1051" s="15">
        <v>44.36</v>
      </c>
      <c r="G1051" s="15">
        <v>29.66</v>
      </c>
      <c r="H1051" s="15">
        <v>0.92</v>
      </c>
      <c r="I1051" s="15">
        <v>0.63</v>
      </c>
      <c r="J1051" s="15">
        <v>0.53</v>
      </c>
      <c r="K1051" s="15">
        <v>0.08</v>
      </c>
      <c r="L1051" s="15">
        <v>7.94</v>
      </c>
      <c r="M1051" s="15" t="s">
        <v>25</v>
      </c>
    </row>
    <row r="1052" ht="15.75" customHeight="1">
      <c r="A1052" s="15" t="s">
        <v>790</v>
      </c>
      <c r="B1052" s="15" t="s">
        <v>3917</v>
      </c>
      <c r="C1052" s="15">
        <v>2.0</v>
      </c>
      <c r="D1052" s="15" t="s">
        <v>22</v>
      </c>
      <c r="E1052" s="15">
        <v>0.56</v>
      </c>
      <c r="F1052" s="15">
        <v>44.22</v>
      </c>
      <c r="G1052" s="15">
        <v>28.48</v>
      </c>
      <c r="H1052" s="15">
        <v>0.89</v>
      </c>
      <c r="I1052" s="15">
        <v>0.68</v>
      </c>
      <c r="J1052" s="15">
        <v>0.37</v>
      </c>
      <c r="K1052" s="15">
        <v>0.05</v>
      </c>
      <c r="L1052" s="15">
        <v>8.86</v>
      </c>
      <c r="M1052" s="15" t="s">
        <v>25</v>
      </c>
    </row>
    <row r="1053" ht="15.75" customHeight="1">
      <c r="A1053" s="15" t="s">
        <v>2770</v>
      </c>
      <c r="B1053" s="15" t="s">
        <v>3919</v>
      </c>
      <c r="C1053" s="15">
        <v>2.0</v>
      </c>
      <c r="D1053" s="15" t="s">
        <v>22</v>
      </c>
      <c r="E1053" s="15">
        <v>0.46</v>
      </c>
      <c r="F1053" s="15">
        <v>44.22</v>
      </c>
      <c r="G1053" s="15">
        <v>28.48</v>
      </c>
      <c r="H1053" s="15">
        <v>0.89</v>
      </c>
      <c r="I1053" s="15">
        <v>0.68</v>
      </c>
      <c r="J1053" s="15">
        <v>0.43</v>
      </c>
      <c r="K1053" s="15">
        <v>0.06</v>
      </c>
      <c r="L1053" s="15">
        <v>8.54</v>
      </c>
      <c r="M1053" s="15" t="s">
        <v>25</v>
      </c>
    </row>
    <row r="1054" ht="15.75" customHeight="1">
      <c r="A1054" s="15" t="s">
        <v>738</v>
      </c>
      <c r="B1054" s="15" t="s">
        <v>3921</v>
      </c>
      <c r="C1054" s="15">
        <v>2.0</v>
      </c>
      <c r="D1054" s="15" t="s">
        <v>22</v>
      </c>
      <c r="E1054" s="15">
        <v>0.59</v>
      </c>
      <c r="F1054" s="15">
        <v>44.16</v>
      </c>
      <c r="G1054" s="15">
        <v>28.38</v>
      </c>
      <c r="H1054" s="15">
        <v>0.89</v>
      </c>
      <c r="I1054" s="15">
        <v>0.69</v>
      </c>
      <c r="J1054" s="15">
        <v>0.37</v>
      </c>
      <c r="K1054" s="15">
        <v>0.05</v>
      </c>
      <c r="L1054" s="15">
        <v>8.86</v>
      </c>
      <c r="M1054" s="15" t="s">
        <v>25</v>
      </c>
    </row>
    <row r="1055" ht="15.75" customHeight="1">
      <c r="A1055" s="15" t="s">
        <v>455</v>
      </c>
      <c r="B1055" s="15" t="s">
        <v>3922</v>
      </c>
      <c r="C1055" s="15">
        <v>2.0</v>
      </c>
      <c r="D1055" s="15" t="s">
        <v>22</v>
      </c>
      <c r="E1055" s="15">
        <v>0.78</v>
      </c>
      <c r="F1055" s="15">
        <v>44.02</v>
      </c>
      <c r="G1055" s="15">
        <v>29.29</v>
      </c>
      <c r="H1055" s="15">
        <v>0.92</v>
      </c>
      <c r="I1055" s="15">
        <v>0.64</v>
      </c>
      <c r="J1055" s="15">
        <v>0.5</v>
      </c>
      <c r="K1055" s="15">
        <v>0.07</v>
      </c>
      <c r="L1055" s="15">
        <v>8.06</v>
      </c>
      <c r="M1055" s="15" t="s">
        <v>25</v>
      </c>
    </row>
    <row r="1056" ht="15.75" customHeight="1">
      <c r="A1056" s="15" t="s">
        <v>3924</v>
      </c>
      <c r="B1056" s="15" t="s">
        <v>3925</v>
      </c>
      <c r="C1056" s="15">
        <v>2.0</v>
      </c>
      <c r="D1056" s="15" t="s">
        <v>22</v>
      </c>
      <c r="E1056" s="15">
        <v>0.76</v>
      </c>
      <c r="F1056" s="15">
        <v>43.98</v>
      </c>
      <c r="G1056" s="15">
        <v>29.81</v>
      </c>
      <c r="H1056" s="15">
        <v>0.93</v>
      </c>
      <c r="I1056" s="15">
        <v>0.62</v>
      </c>
      <c r="J1056" s="15">
        <v>0.45</v>
      </c>
      <c r="K1056" s="15">
        <v>0.07</v>
      </c>
      <c r="L1056" s="15">
        <v>8.34</v>
      </c>
      <c r="M1056" s="15" t="s">
        <v>25</v>
      </c>
    </row>
    <row r="1057" ht="15.75" customHeight="1">
      <c r="A1057" s="15" t="s">
        <v>211</v>
      </c>
      <c r="B1057" s="15" t="s">
        <v>3927</v>
      </c>
      <c r="C1057" s="15">
        <v>2.0</v>
      </c>
      <c r="D1057" s="15" t="s">
        <v>22</v>
      </c>
      <c r="E1057" s="15">
        <v>0.63</v>
      </c>
      <c r="F1057" s="15">
        <v>43.96</v>
      </c>
      <c r="G1057" s="15">
        <v>30.04</v>
      </c>
      <c r="H1057" s="15">
        <v>0.86</v>
      </c>
      <c r="I1057" s="15">
        <v>0.61</v>
      </c>
      <c r="J1057" s="15">
        <v>0.54</v>
      </c>
      <c r="K1057" s="15">
        <v>0.08</v>
      </c>
      <c r="L1057" s="15">
        <v>8.17</v>
      </c>
      <c r="M1057" s="15" t="s">
        <v>25</v>
      </c>
    </row>
    <row r="1058" ht="15.75" customHeight="1">
      <c r="A1058" s="15" t="s">
        <v>3929</v>
      </c>
      <c r="B1058" s="15" t="s">
        <v>3931</v>
      </c>
      <c r="C1058" s="15">
        <v>2.0</v>
      </c>
      <c r="D1058" s="15" t="s">
        <v>22</v>
      </c>
      <c r="E1058" s="15">
        <v>0.77</v>
      </c>
      <c r="F1058" s="15">
        <v>43.86</v>
      </c>
      <c r="G1058" s="15">
        <v>29.7</v>
      </c>
      <c r="H1058" s="15">
        <v>0.93</v>
      </c>
      <c r="I1058" s="15">
        <v>0.62</v>
      </c>
      <c r="J1058" s="15">
        <v>0.45</v>
      </c>
      <c r="K1058" s="15">
        <v>0.07</v>
      </c>
      <c r="L1058" s="15">
        <v>8.34</v>
      </c>
      <c r="M1058" s="15" t="s">
        <v>25</v>
      </c>
    </row>
    <row r="1059" ht="15.75" customHeight="1">
      <c r="A1059" s="15" t="s">
        <v>3933</v>
      </c>
      <c r="B1059" s="15" t="s">
        <v>3934</v>
      </c>
      <c r="C1059" s="15">
        <v>2.0</v>
      </c>
      <c r="D1059" s="15" t="s">
        <v>22</v>
      </c>
      <c r="E1059" s="15">
        <v>0.76</v>
      </c>
      <c r="F1059" s="15">
        <v>43.83</v>
      </c>
      <c r="G1059" s="15">
        <v>29.5</v>
      </c>
      <c r="H1059" s="15">
        <v>0.93</v>
      </c>
      <c r="I1059" s="15">
        <v>0.63</v>
      </c>
      <c r="J1059" s="15">
        <v>0.45</v>
      </c>
      <c r="K1059" s="15">
        <v>0.07</v>
      </c>
      <c r="L1059" s="15">
        <v>8.34</v>
      </c>
      <c r="M1059" s="15" t="s">
        <v>25</v>
      </c>
    </row>
    <row r="1060" ht="15.75" customHeight="1">
      <c r="A1060" s="15" t="s">
        <v>1104</v>
      </c>
      <c r="B1060" s="15" t="s">
        <v>3935</v>
      </c>
      <c r="C1060" s="15">
        <v>2.0</v>
      </c>
      <c r="D1060" s="15" t="s">
        <v>22</v>
      </c>
      <c r="E1060" s="15">
        <v>0.76</v>
      </c>
      <c r="F1060" s="15">
        <v>43.81</v>
      </c>
      <c r="G1060" s="15">
        <v>29.84</v>
      </c>
      <c r="H1060" s="15">
        <v>0.93</v>
      </c>
      <c r="I1060" s="15">
        <v>0.62</v>
      </c>
      <c r="J1060" s="15">
        <v>0.45</v>
      </c>
      <c r="K1060" s="15">
        <v>0.07</v>
      </c>
      <c r="L1060" s="15">
        <v>8.34</v>
      </c>
      <c r="M1060" s="15" t="s">
        <v>25</v>
      </c>
    </row>
    <row r="1061" ht="15.75" customHeight="1">
      <c r="A1061" s="15" t="s">
        <v>363</v>
      </c>
      <c r="B1061" s="15" t="s">
        <v>3937</v>
      </c>
      <c r="C1061" s="15">
        <v>2.0</v>
      </c>
      <c r="D1061" s="15" t="s">
        <v>22</v>
      </c>
      <c r="E1061" s="15">
        <v>0.75</v>
      </c>
      <c r="F1061" s="15">
        <v>43.8</v>
      </c>
      <c r="G1061" s="15">
        <v>29.67</v>
      </c>
      <c r="H1061" s="15">
        <v>0.93</v>
      </c>
      <c r="I1061" s="15">
        <v>0.63</v>
      </c>
      <c r="J1061" s="15">
        <v>0.45</v>
      </c>
      <c r="K1061" s="15">
        <v>0.07</v>
      </c>
      <c r="L1061" s="15">
        <v>8.35</v>
      </c>
      <c r="M1061" s="15" t="s">
        <v>25</v>
      </c>
    </row>
    <row r="1062" ht="15.75" customHeight="1">
      <c r="A1062" s="15" t="s">
        <v>1060</v>
      </c>
      <c r="B1062" s="15" t="s">
        <v>3939</v>
      </c>
      <c r="C1062" s="15">
        <v>2.0</v>
      </c>
      <c r="D1062" s="15" t="s">
        <v>22</v>
      </c>
      <c r="E1062" s="15">
        <v>0.77</v>
      </c>
      <c r="F1062" s="15">
        <v>43.67</v>
      </c>
      <c r="G1062" s="15">
        <v>29.57</v>
      </c>
      <c r="H1062" s="15">
        <v>0.93</v>
      </c>
      <c r="I1062" s="15">
        <v>0.63</v>
      </c>
      <c r="J1062" s="15">
        <v>0.45</v>
      </c>
      <c r="K1062" s="15">
        <v>0.07</v>
      </c>
      <c r="L1062" s="15">
        <v>8.33</v>
      </c>
      <c r="M1062" s="15" t="s">
        <v>25</v>
      </c>
    </row>
    <row r="1063" ht="15.75" customHeight="1">
      <c r="A1063" s="15" t="s">
        <v>1582</v>
      </c>
      <c r="B1063" s="15" t="s">
        <v>3940</v>
      </c>
      <c r="C1063" s="15">
        <v>2.0</v>
      </c>
      <c r="D1063" s="15" t="s">
        <v>22</v>
      </c>
      <c r="E1063" s="15">
        <v>0.54</v>
      </c>
      <c r="F1063" s="15">
        <v>43.56</v>
      </c>
      <c r="G1063" s="15">
        <v>28.77</v>
      </c>
      <c r="H1063" s="15">
        <v>0.9</v>
      </c>
      <c r="I1063" s="15">
        <v>0.66</v>
      </c>
      <c r="J1063" s="15">
        <v>0.37</v>
      </c>
      <c r="K1063" s="15">
        <v>0.05</v>
      </c>
      <c r="L1063" s="15">
        <v>8.87</v>
      </c>
      <c r="M1063" s="15" t="s">
        <v>25</v>
      </c>
    </row>
    <row r="1064" ht="15.75" customHeight="1">
      <c r="A1064" s="15" t="s">
        <v>603</v>
      </c>
      <c r="B1064" s="15" t="s">
        <v>3941</v>
      </c>
      <c r="C1064" s="15">
        <v>2.0</v>
      </c>
      <c r="D1064" s="15" t="s">
        <v>22</v>
      </c>
      <c r="E1064" s="15">
        <v>0.42</v>
      </c>
      <c r="F1064" s="15">
        <v>43.52</v>
      </c>
      <c r="G1064" s="15">
        <v>27.85</v>
      </c>
      <c r="H1064" s="15">
        <v>0.83</v>
      </c>
      <c r="I1064" s="15">
        <v>0.7</v>
      </c>
      <c r="J1064" s="15">
        <v>0.51</v>
      </c>
      <c r="K1064" s="15">
        <v>0.07</v>
      </c>
      <c r="L1064" s="15">
        <v>8.2</v>
      </c>
      <c r="M1064" s="15" t="s">
        <v>25</v>
      </c>
    </row>
    <row r="1065" ht="15.75" customHeight="1">
      <c r="A1065" s="15" t="s">
        <v>158</v>
      </c>
      <c r="B1065" s="15" t="s">
        <v>3942</v>
      </c>
      <c r="C1065" s="15">
        <v>2.0</v>
      </c>
      <c r="D1065" s="15" t="s">
        <v>22</v>
      </c>
      <c r="E1065" s="15">
        <v>0.69</v>
      </c>
      <c r="F1065" s="15">
        <v>43.47</v>
      </c>
      <c r="G1065" s="15">
        <v>28.18</v>
      </c>
      <c r="H1065" s="15">
        <v>0.86</v>
      </c>
      <c r="I1065" s="15">
        <v>0.69</v>
      </c>
      <c r="J1065" s="15">
        <v>0.53</v>
      </c>
      <c r="K1065" s="15">
        <v>0.07</v>
      </c>
      <c r="L1065" s="15">
        <v>8.11</v>
      </c>
      <c r="M1065" s="15" t="s">
        <v>25</v>
      </c>
    </row>
    <row r="1066" ht="15.75" customHeight="1">
      <c r="A1066" s="15" t="s">
        <v>1121</v>
      </c>
      <c r="B1066" s="15" t="s">
        <v>3943</v>
      </c>
      <c r="C1066" s="15">
        <v>2.0</v>
      </c>
      <c r="D1066" s="15" t="s">
        <v>22</v>
      </c>
      <c r="E1066" s="15">
        <v>0.76</v>
      </c>
      <c r="F1066" s="15">
        <v>43.21</v>
      </c>
      <c r="G1066" s="15">
        <v>29.56</v>
      </c>
      <c r="H1066" s="15">
        <v>0.93</v>
      </c>
      <c r="I1066" s="15">
        <v>0.62</v>
      </c>
      <c r="J1066" s="15">
        <v>0.45</v>
      </c>
      <c r="K1066" s="15">
        <v>0.07</v>
      </c>
      <c r="L1066" s="15">
        <v>8.3</v>
      </c>
      <c r="M1066" s="15" t="s">
        <v>25</v>
      </c>
    </row>
    <row r="1067" ht="15.75" customHeight="1">
      <c r="A1067" s="15" t="s">
        <v>1031</v>
      </c>
      <c r="B1067" s="15" t="s">
        <v>3944</v>
      </c>
      <c r="C1067" s="15">
        <v>2.0</v>
      </c>
      <c r="D1067" s="15" t="s">
        <v>22</v>
      </c>
      <c r="E1067" s="15">
        <v>0.77</v>
      </c>
      <c r="F1067" s="15">
        <v>43.11</v>
      </c>
      <c r="G1067" s="15">
        <v>29.32</v>
      </c>
      <c r="H1067" s="15">
        <v>0.93</v>
      </c>
      <c r="I1067" s="15">
        <v>0.63</v>
      </c>
      <c r="J1067" s="15">
        <v>0.45</v>
      </c>
      <c r="K1067" s="15">
        <v>0.07</v>
      </c>
      <c r="L1067" s="15">
        <v>8.31</v>
      </c>
      <c r="M1067" s="15" t="s">
        <v>25</v>
      </c>
    </row>
    <row r="1068" ht="15.75" customHeight="1">
      <c r="A1068" s="15" t="s">
        <v>974</v>
      </c>
      <c r="B1068" s="15" t="s">
        <v>3945</v>
      </c>
      <c r="C1068" s="15">
        <v>2.0</v>
      </c>
      <c r="D1068" s="15" t="s">
        <v>22</v>
      </c>
      <c r="E1068" s="15">
        <v>0.76</v>
      </c>
      <c r="F1068" s="15">
        <v>43.08</v>
      </c>
      <c r="G1068" s="15">
        <v>29.22</v>
      </c>
      <c r="H1068" s="15">
        <v>0.93</v>
      </c>
      <c r="I1068" s="15">
        <v>0.63</v>
      </c>
      <c r="J1068" s="15">
        <v>0.45</v>
      </c>
      <c r="K1068" s="15">
        <v>0.07</v>
      </c>
      <c r="L1068" s="15">
        <v>8.33</v>
      </c>
      <c r="M1068" s="15" t="s">
        <v>25</v>
      </c>
    </row>
    <row r="1069" ht="15.75" customHeight="1">
      <c r="A1069" s="15" t="s">
        <v>1514</v>
      </c>
      <c r="B1069" s="15" t="s">
        <v>3946</v>
      </c>
      <c r="C1069" s="15">
        <v>2.0</v>
      </c>
      <c r="D1069" s="15" t="s">
        <v>22</v>
      </c>
      <c r="E1069" s="15">
        <v>0.75</v>
      </c>
      <c r="F1069" s="15">
        <v>42.67</v>
      </c>
      <c r="G1069" s="15">
        <v>27.19</v>
      </c>
      <c r="H1069" s="15">
        <v>0.86</v>
      </c>
      <c r="I1069" s="15">
        <v>0.73</v>
      </c>
      <c r="J1069" s="15">
        <v>0.3</v>
      </c>
      <c r="K1069" s="15">
        <v>0.05</v>
      </c>
      <c r="L1069" s="15">
        <v>9.46</v>
      </c>
      <c r="M1069" s="15" t="s">
        <v>25</v>
      </c>
    </row>
    <row r="1070" ht="15.75" customHeight="1">
      <c r="A1070" s="15" t="s">
        <v>1579</v>
      </c>
      <c r="B1070" s="15" t="s">
        <v>3947</v>
      </c>
      <c r="C1070" s="15">
        <v>2.0</v>
      </c>
      <c r="D1070" s="15" t="s">
        <v>22</v>
      </c>
      <c r="E1070" s="15">
        <v>0.75</v>
      </c>
      <c r="F1070" s="15">
        <v>42.66</v>
      </c>
      <c r="G1070" s="15">
        <v>27.33</v>
      </c>
      <c r="H1070" s="15">
        <v>0.86</v>
      </c>
      <c r="I1070" s="15">
        <v>0.72</v>
      </c>
      <c r="J1070" s="15">
        <v>0.29</v>
      </c>
      <c r="K1070" s="15">
        <v>0.05</v>
      </c>
      <c r="L1070" s="15">
        <v>9.55</v>
      </c>
      <c r="M1070" s="15" t="s">
        <v>25</v>
      </c>
    </row>
    <row r="1071" ht="15.75" customHeight="1">
      <c r="A1071" s="15" t="s">
        <v>95</v>
      </c>
      <c r="B1071" s="15" t="s">
        <v>3948</v>
      </c>
      <c r="C1071" s="15">
        <v>2.0</v>
      </c>
      <c r="D1071" s="15" t="s">
        <v>22</v>
      </c>
      <c r="E1071" s="15">
        <v>0.75</v>
      </c>
      <c r="F1071" s="15">
        <v>42.61</v>
      </c>
      <c r="G1071" s="15">
        <v>27.3</v>
      </c>
      <c r="H1071" s="15">
        <v>0.86</v>
      </c>
      <c r="I1071" s="15">
        <v>0.72</v>
      </c>
      <c r="J1071" s="15">
        <v>0.3</v>
      </c>
      <c r="K1071" s="15">
        <v>0.05</v>
      </c>
      <c r="L1071" s="15">
        <v>9.53</v>
      </c>
      <c r="M1071" s="15" t="s">
        <v>25</v>
      </c>
    </row>
    <row r="1072" ht="15.75" customHeight="1">
      <c r="A1072" s="15" t="s">
        <v>18</v>
      </c>
      <c r="B1072" s="15" t="s">
        <v>3949</v>
      </c>
      <c r="C1072" s="15">
        <v>2.0</v>
      </c>
      <c r="D1072" s="15" t="s">
        <v>22</v>
      </c>
      <c r="E1072" s="15">
        <v>0.73</v>
      </c>
      <c r="F1072" s="15">
        <v>42.55</v>
      </c>
      <c r="G1072" s="15">
        <v>27.37</v>
      </c>
      <c r="H1072" s="15">
        <v>0.86</v>
      </c>
      <c r="I1072" s="15">
        <v>0.71</v>
      </c>
      <c r="J1072" s="15">
        <v>0.29</v>
      </c>
      <c r="K1072" s="15">
        <v>0.05</v>
      </c>
      <c r="L1072" s="15">
        <v>9.55</v>
      </c>
      <c r="M1072" s="15" t="s">
        <v>25</v>
      </c>
    </row>
    <row r="1073" ht="15.75" customHeight="1">
      <c r="A1073" s="15" t="s">
        <v>670</v>
      </c>
      <c r="B1073" s="15" t="s">
        <v>3950</v>
      </c>
      <c r="C1073" s="15">
        <v>2.0</v>
      </c>
      <c r="D1073" s="15" t="s">
        <v>22</v>
      </c>
      <c r="E1073" s="15">
        <v>0.59</v>
      </c>
      <c r="F1073" s="15">
        <v>42.5</v>
      </c>
      <c r="G1073" s="15">
        <v>27.94</v>
      </c>
      <c r="H1073" s="15">
        <v>0.9</v>
      </c>
      <c r="I1073" s="15">
        <v>0.68</v>
      </c>
      <c r="J1073" s="15">
        <v>0.37</v>
      </c>
      <c r="K1073" s="15">
        <v>0.05</v>
      </c>
      <c r="L1073" s="15">
        <v>8.85</v>
      </c>
      <c r="M1073" s="15" t="s">
        <v>25</v>
      </c>
    </row>
    <row r="1074" ht="15.75" customHeight="1">
      <c r="A1074" s="15" t="s">
        <v>54</v>
      </c>
      <c r="B1074" s="15" t="s">
        <v>3951</v>
      </c>
      <c r="C1074" s="15">
        <v>2.0</v>
      </c>
      <c r="D1074" s="15" t="s">
        <v>22</v>
      </c>
      <c r="E1074" s="15">
        <v>0.74</v>
      </c>
      <c r="F1074" s="15">
        <v>42.38</v>
      </c>
      <c r="G1074" s="15">
        <v>27.33</v>
      </c>
      <c r="H1074" s="15">
        <v>0.86</v>
      </c>
      <c r="I1074" s="15">
        <v>0.71</v>
      </c>
      <c r="J1074" s="15">
        <v>0.29</v>
      </c>
      <c r="K1074" s="15">
        <v>0.05</v>
      </c>
      <c r="L1074" s="15">
        <v>9.54</v>
      </c>
      <c r="M1074" s="15" t="s">
        <v>25</v>
      </c>
    </row>
    <row r="1075" ht="15.75" customHeight="1">
      <c r="A1075" s="15" t="s">
        <v>27</v>
      </c>
      <c r="B1075" s="15" t="s">
        <v>29</v>
      </c>
      <c r="C1075" s="15">
        <v>2.0</v>
      </c>
      <c r="D1075" s="15" t="s">
        <v>22</v>
      </c>
      <c r="E1075" s="15">
        <v>0.39</v>
      </c>
      <c r="F1075" s="15">
        <v>42.31</v>
      </c>
      <c r="G1075" s="15">
        <v>28.1</v>
      </c>
      <c r="H1075" s="15">
        <v>0.88</v>
      </c>
      <c r="I1075" s="15">
        <v>0.67</v>
      </c>
      <c r="J1075" s="15">
        <v>0.49</v>
      </c>
      <c r="K1075" s="15">
        <v>0.07</v>
      </c>
      <c r="L1075" s="15">
        <v>7.98</v>
      </c>
      <c r="M1075" s="15" t="s">
        <v>25</v>
      </c>
    </row>
    <row r="1076" ht="15.75" customHeight="1">
      <c r="A1076" s="15" t="s">
        <v>1609</v>
      </c>
      <c r="B1076" s="15" t="s">
        <v>3952</v>
      </c>
      <c r="C1076" s="15">
        <v>2.0</v>
      </c>
      <c r="D1076" s="15" t="s">
        <v>22</v>
      </c>
      <c r="E1076" s="15">
        <v>0.74</v>
      </c>
      <c r="F1076" s="15">
        <v>42.05</v>
      </c>
      <c r="G1076" s="15">
        <v>27.19</v>
      </c>
      <c r="H1076" s="15">
        <v>0.87</v>
      </c>
      <c r="I1076" s="15">
        <v>0.72</v>
      </c>
      <c r="J1076" s="15">
        <v>0.29</v>
      </c>
      <c r="K1076" s="15">
        <v>0.05</v>
      </c>
      <c r="L1076" s="15">
        <v>9.58</v>
      </c>
      <c r="M1076" s="15" t="s">
        <v>25</v>
      </c>
    </row>
    <row r="1077" ht="15.75" customHeight="1">
      <c r="A1077" s="15" t="s">
        <v>1782</v>
      </c>
      <c r="B1077" s="15" t="s">
        <v>3953</v>
      </c>
      <c r="C1077" s="15">
        <v>2.0</v>
      </c>
      <c r="D1077" s="15" t="s">
        <v>22</v>
      </c>
      <c r="E1077" s="15">
        <v>0.49</v>
      </c>
      <c r="F1077" s="15">
        <v>42.03</v>
      </c>
      <c r="G1077" s="15">
        <v>26.84</v>
      </c>
      <c r="H1077" s="15">
        <v>0.83</v>
      </c>
      <c r="I1077" s="15">
        <v>0.73</v>
      </c>
      <c r="J1077" s="15">
        <v>0.35</v>
      </c>
      <c r="K1077" s="15">
        <v>0.05</v>
      </c>
      <c r="L1077" s="15">
        <v>8.93</v>
      </c>
      <c r="M1077" s="15" t="s">
        <v>25</v>
      </c>
    </row>
    <row r="1078" ht="15.75" customHeight="1">
      <c r="A1078" s="15" t="s">
        <v>714</v>
      </c>
      <c r="B1078" s="15" t="s">
        <v>3954</v>
      </c>
      <c r="C1078" s="15">
        <v>2.0</v>
      </c>
      <c r="D1078" s="15" t="s">
        <v>22</v>
      </c>
      <c r="E1078" s="15">
        <v>0.55</v>
      </c>
      <c r="F1078" s="15">
        <v>42.02</v>
      </c>
      <c r="G1078" s="15">
        <v>27.74</v>
      </c>
      <c r="H1078" s="15">
        <v>0.89</v>
      </c>
      <c r="I1078" s="15">
        <v>0.69</v>
      </c>
      <c r="J1078" s="15">
        <v>0.41</v>
      </c>
      <c r="K1078" s="15">
        <v>0.06</v>
      </c>
      <c r="L1078" s="15">
        <v>8.63</v>
      </c>
      <c r="M1078" s="15" t="s">
        <v>25</v>
      </c>
    </row>
    <row r="1079" ht="15.75" customHeight="1">
      <c r="A1079" s="15" t="s">
        <v>549</v>
      </c>
      <c r="B1079" s="15" t="s">
        <v>3955</v>
      </c>
      <c r="C1079" s="15">
        <v>2.0</v>
      </c>
      <c r="D1079" s="15" t="s">
        <v>22</v>
      </c>
      <c r="E1079" s="15">
        <v>0.63</v>
      </c>
      <c r="F1079" s="15">
        <v>42.01</v>
      </c>
      <c r="G1079" s="15">
        <v>27.21</v>
      </c>
      <c r="H1079" s="15">
        <v>0.83</v>
      </c>
      <c r="I1079" s="15">
        <v>0.71</v>
      </c>
      <c r="J1079" s="15">
        <v>0.45</v>
      </c>
      <c r="K1079" s="15">
        <v>0.07</v>
      </c>
      <c r="L1079" s="15">
        <v>8.53</v>
      </c>
      <c r="M1079" s="15" t="s">
        <v>25</v>
      </c>
    </row>
    <row r="1080" ht="15.75" customHeight="1">
      <c r="A1080" s="15" t="s">
        <v>1389</v>
      </c>
      <c r="B1080" s="15" t="s">
        <v>3956</v>
      </c>
      <c r="C1080" s="15">
        <v>2.0</v>
      </c>
      <c r="D1080" s="15" t="s">
        <v>22</v>
      </c>
      <c r="E1080" s="15">
        <v>0.77</v>
      </c>
      <c r="F1080" s="15">
        <v>41.96</v>
      </c>
      <c r="G1080" s="15">
        <v>26.64</v>
      </c>
      <c r="H1080" s="15">
        <v>0.83</v>
      </c>
      <c r="I1080" s="15">
        <v>0.74</v>
      </c>
      <c r="J1080" s="15">
        <v>0.3</v>
      </c>
      <c r="K1080" s="15">
        <v>0.04</v>
      </c>
      <c r="L1080" s="15">
        <v>9.48</v>
      </c>
      <c r="M1080" s="15" t="s">
        <v>25</v>
      </c>
    </row>
    <row r="1081" ht="15.75" customHeight="1">
      <c r="A1081" s="15" t="s">
        <v>617</v>
      </c>
      <c r="B1081" s="15" t="s">
        <v>3957</v>
      </c>
      <c r="C1081" s="15">
        <v>2.0</v>
      </c>
      <c r="D1081" s="15" t="s">
        <v>22</v>
      </c>
      <c r="E1081" s="15">
        <v>0.6</v>
      </c>
      <c r="F1081" s="15">
        <v>41.9</v>
      </c>
      <c r="G1081" s="15">
        <v>27.97</v>
      </c>
      <c r="H1081" s="15">
        <v>0.83</v>
      </c>
      <c r="I1081" s="15">
        <v>0.67</v>
      </c>
      <c r="J1081" s="15">
        <v>0.45</v>
      </c>
      <c r="K1081" s="15">
        <v>0.07</v>
      </c>
      <c r="L1081" s="15">
        <v>8.58</v>
      </c>
      <c r="M1081" s="15" t="s">
        <v>25</v>
      </c>
    </row>
    <row r="1082" ht="15.75" customHeight="1">
      <c r="A1082" s="15" t="s">
        <v>634</v>
      </c>
      <c r="B1082" s="15" t="s">
        <v>3958</v>
      </c>
      <c r="C1082" s="15">
        <v>2.0</v>
      </c>
      <c r="D1082" s="15" t="s">
        <v>22</v>
      </c>
      <c r="E1082" s="15">
        <v>0.64</v>
      </c>
      <c r="F1082" s="15">
        <v>41.85</v>
      </c>
      <c r="G1082" s="15">
        <v>27.23</v>
      </c>
      <c r="H1082" s="15">
        <v>0.83</v>
      </c>
      <c r="I1082" s="15">
        <v>0.71</v>
      </c>
      <c r="J1082" s="15">
        <v>0.45</v>
      </c>
      <c r="K1082" s="15">
        <v>0.07</v>
      </c>
      <c r="L1082" s="15">
        <v>8.55</v>
      </c>
      <c r="M1082" s="15" t="s">
        <v>25</v>
      </c>
    </row>
    <row r="1083" ht="15.75" customHeight="1">
      <c r="A1083" s="15" t="s">
        <v>45</v>
      </c>
      <c r="B1083" s="15" t="s">
        <v>3959</v>
      </c>
      <c r="C1083" s="15">
        <v>2.0</v>
      </c>
      <c r="D1083" s="15" t="s">
        <v>22</v>
      </c>
      <c r="E1083" s="15">
        <v>0.64</v>
      </c>
      <c r="F1083" s="15">
        <v>41.77</v>
      </c>
      <c r="G1083" s="15">
        <v>26.92</v>
      </c>
      <c r="H1083" s="15">
        <v>0.83</v>
      </c>
      <c r="I1083" s="15">
        <v>0.72</v>
      </c>
      <c r="J1083" s="15">
        <v>0.45</v>
      </c>
      <c r="K1083" s="15">
        <v>0.07</v>
      </c>
      <c r="L1083" s="15">
        <v>8.54</v>
      </c>
      <c r="M1083" s="15" t="s">
        <v>25</v>
      </c>
    </row>
    <row r="1084" ht="15.75" customHeight="1">
      <c r="A1084" s="15" t="s">
        <v>555</v>
      </c>
      <c r="B1084" s="15" t="s">
        <v>3960</v>
      </c>
      <c r="C1084" s="15">
        <v>2.0</v>
      </c>
      <c r="D1084" s="15" t="s">
        <v>22</v>
      </c>
      <c r="E1084" s="15">
        <v>0.63</v>
      </c>
      <c r="F1084" s="15">
        <v>41.61</v>
      </c>
      <c r="G1084" s="15">
        <v>27.47</v>
      </c>
      <c r="H1084" s="15">
        <v>0.83</v>
      </c>
      <c r="I1084" s="15">
        <v>0.69</v>
      </c>
      <c r="J1084" s="15">
        <v>0.44</v>
      </c>
      <c r="K1084" s="15">
        <v>0.06</v>
      </c>
      <c r="L1084" s="15">
        <v>8.63</v>
      </c>
      <c r="M1084" s="15" t="s">
        <v>25</v>
      </c>
    </row>
    <row r="1085" ht="15.75" customHeight="1">
      <c r="A1085" s="15" t="s">
        <v>1442</v>
      </c>
      <c r="B1085" s="15" t="s">
        <v>3961</v>
      </c>
      <c r="C1085" s="15">
        <v>2.0</v>
      </c>
      <c r="D1085" s="15" t="s">
        <v>22</v>
      </c>
      <c r="E1085" s="15">
        <v>0.71</v>
      </c>
      <c r="F1085" s="15">
        <v>41.56</v>
      </c>
      <c r="G1085" s="15">
        <v>26.84</v>
      </c>
      <c r="H1085" s="15">
        <v>0.85</v>
      </c>
      <c r="I1085" s="15">
        <v>0.73</v>
      </c>
      <c r="J1085" s="15">
        <v>0.35</v>
      </c>
      <c r="K1085" s="15">
        <v>0.05</v>
      </c>
      <c r="L1085" s="15">
        <v>9.16</v>
      </c>
      <c r="M1085" s="15" t="s">
        <v>25</v>
      </c>
    </row>
    <row r="1086" ht="15.75" customHeight="1">
      <c r="A1086" s="15" t="s">
        <v>1199</v>
      </c>
      <c r="B1086" s="15" t="s">
        <v>3962</v>
      </c>
      <c r="C1086" s="15">
        <v>2.0</v>
      </c>
      <c r="D1086" s="15" t="s">
        <v>22</v>
      </c>
      <c r="E1086" s="15">
        <v>0.74</v>
      </c>
      <c r="F1086" s="15">
        <v>41.55</v>
      </c>
      <c r="G1086" s="15">
        <v>26.98</v>
      </c>
      <c r="H1086" s="15">
        <v>0.87</v>
      </c>
      <c r="I1086" s="15">
        <v>0.72</v>
      </c>
      <c r="J1086" s="15">
        <v>0.29</v>
      </c>
      <c r="K1086" s="15">
        <v>0.05</v>
      </c>
      <c r="L1086" s="15">
        <v>9.56</v>
      </c>
      <c r="M1086" s="15" t="s">
        <v>25</v>
      </c>
    </row>
    <row r="1087" ht="15.75" customHeight="1">
      <c r="A1087" s="15" t="s">
        <v>46</v>
      </c>
      <c r="B1087" s="15" t="s">
        <v>3963</v>
      </c>
      <c r="C1087" s="15">
        <v>2.0</v>
      </c>
      <c r="D1087" s="15" t="s">
        <v>22</v>
      </c>
      <c r="E1087" s="15">
        <v>0.72</v>
      </c>
      <c r="F1087" s="15">
        <v>41.54</v>
      </c>
      <c r="G1087" s="15">
        <v>27.05</v>
      </c>
      <c r="H1087" s="15">
        <v>0.87</v>
      </c>
      <c r="I1087" s="15">
        <v>0.71</v>
      </c>
      <c r="J1087" s="15">
        <v>0.33</v>
      </c>
      <c r="K1087" s="15">
        <v>0.05</v>
      </c>
      <c r="L1087" s="15">
        <v>9.29</v>
      </c>
      <c r="M1087" s="15" t="s">
        <v>25</v>
      </c>
    </row>
    <row r="1088" ht="15.75" customHeight="1">
      <c r="A1088" s="15" t="s">
        <v>1205</v>
      </c>
      <c r="B1088" s="15" t="s">
        <v>3964</v>
      </c>
      <c r="C1088" s="15">
        <v>2.0</v>
      </c>
      <c r="D1088" s="15" t="s">
        <v>22</v>
      </c>
      <c r="E1088" s="15">
        <v>0.75</v>
      </c>
      <c r="F1088" s="15">
        <v>41.54</v>
      </c>
      <c r="G1088" s="15">
        <v>27.13</v>
      </c>
      <c r="H1088" s="15">
        <v>0.87</v>
      </c>
      <c r="I1088" s="15">
        <v>0.71</v>
      </c>
      <c r="J1088" s="15">
        <v>0.29</v>
      </c>
      <c r="K1088" s="15">
        <v>0.05</v>
      </c>
      <c r="L1088" s="15">
        <v>9.55</v>
      </c>
      <c r="M1088" s="15" t="s">
        <v>25</v>
      </c>
    </row>
    <row r="1089" ht="15.75" customHeight="1">
      <c r="A1089" s="15" t="s">
        <v>653</v>
      </c>
      <c r="B1089" s="15" t="s">
        <v>3965</v>
      </c>
      <c r="C1089" s="15">
        <v>2.0</v>
      </c>
      <c r="D1089" s="15" t="s">
        <v>22</v>
      </c>
      <c r="E1089" s="15">
        <v>0.75</v>
      </c>
      <c r="F1089" s="15">
        <v>41.51</v>
      </c>
      <c r="G1089" s="15">
        <v>26.98</v>
      </c>
      <c r="H1089" s="15">
        <v>0.87</v>
      </c>
      <c r="I1089" s="15">
        <v>0.72</v>
      </c>
      <c r="J1089" s="15">
        <v>0.3</v>
      </c>
      <c r="K1089" s="15">
        <v>0.05</v>
      </c>
      <c r="L1089" s="15">
        <v>9.53</v>
      </c>
      <c r="M1089" s="15" t="s">
        <v>25</v>
      </c>
    </row>
    <row r="1090" ht="15.75" customHeight="1">
      <c r="A1090" s="15" t="s">
        <v>1485</v>
      </c>
      <c r="B1090" s="15" t="s">
        <v>3966</v>
      </c>
      <c r="C1090" s="15">
        <v>2.0</v>
      </c>
      <c r="D1090" s="15" t="s">
        <v>22</v>
      </c>
      <c r="E1090" s="15">
        <v>0.77</v>
      </c>
      <c r="F1090" s="15">
        <v>41.48</v>
      </c>
      <c r="G1090" s="15">
        <v>26.68</v>
      </c>
      <c r="H1090" s="15">
        <v>0.83</v>
      </c>
      <c r="I1090" s="15">
        <v>0.73</v>
      </c>
      <c r="J1090" s="15">
        <v>0.3</v>
      </c>
      <c r="K1090" s="15">
        <v>0.04</v>
      </c>
      <c r="L1090" s="15">
        <v>9.49</v>
      </c>
      <c r="M1090" s="15" t="s">
        <v>25</v>
      </c>
    </row>
    <row r="1091" ht="15.75" customHeight="1">
      <c r="A1091" s="15" t="s">
        <v>1544</v>
      </c>
      <c r="B1091" s="15" t="s">
        <v>3967</v>
      </c>
      <c r="C1091" s="15">
        <v>2.0</v>
      </c>
      <c r="D1091" s="15" t="s">
        <v>22</v>
      </c>
      <c r="E1091" s="15">
        <v>0.77</v>
      </c>
      <c r="F1091" s="15">
        <v>41.48</v>
      </c>
      <c r="G1091" s="15">
        <v>26.61</v>
      </c>
      <c r="H1091" s="15">
        <v>0.83</v>
      </c>
      <c r="I1091" s="15">
        <v>0.74</v>
      </c>
      <c r="J1091" s="15">
        <v>0.3</v>
      </c>
      <c r="K1091" s="15">
        <v>0.04</v>
      </c>
      <c r="L1091" s="15">
        <v>9.49</v>
      </c>
      <c r="M1091" s="15" t="s">
        <v>25</v>
      </c>
    </row>
    <row r="1092" ht="15.75" customHeight="1">
      <c r="A1092" s="15" t="s">
        <v>1626</v>
      </c>
      <c r="B1092" s="15" t="s">
        <v>3968</v>
      </c>
      <c r="C1092" s="15">
        <v>2.0</v>
      </c>
      <c r="D1092" s="15" t="s">
        <v>22</v>
      </c>
      <c r="E1092" s="15">
        <v>0.77</v>
      </c>
      <c r="F1092" s="15">
        <v>41.47</v>
      </c>
      <c r="G1092" s="15">
        <v>26.64</v>
      </c>
      <c r="H1092" s="15">
        <v>0.83</v>
      </c>
      <c r="I1092" s="15">
        <v>0.73</v>
      </c>
      <c r="J1092" s="15">
        <v>0.3</v>
      </c>
      <c r="K1092" s="15">
        <v>0.04</v>
      </c>
      <c r="L1092" s="15">
        <v>9.48</v>
      </c>
      <c r="M1092" s="15" t="s">
        <v>25</v>
      </c>
    </row>
    <row r="1093" ht="15.75" customHeight="1">
      <c r="A1093" s="15" t="s">
        <v>79</v>
      </c>
      <c r="B1093" s="15" t="s">
        <v>3969</v>
      </c>
      <c r="C1093" s="15">
        <v>2.0</v>
      </c>
      <c r="D1093" s="15" t="s">
        <v>22</v>
      </c>
      <c r="E1093" s="15">
        <v>0.53</v>
      </c>
      <c r="F1093" s="15">
        <v>41.46</v>
      </c>
      <c r="G1093" s="15">
        <v>26.6</v>
      </c>
      <c r="H1093" s="15">
        <v>0.83</v>
      </c>
      <c r="I1093" s="15">
        <v>0.74</v>
      </c>
      <c r="J1093" s="15">
        <v>0.36</v>
      </c>
      <c r="K1093" s="15">
        <v>0.05</v>
      </c>
      <c r="L1093" s="15">
        <v>8.92</v>
      </c>
      <c r="M1093" s="15" t="s">
        <v>25</v>
      </c>
    </row>
    <row r="1094" ht="15.75" customHeight="1">
      <c r="A1094" s="15" t="s">
        <v>71</v>
      </c>
      <c r="B1094" s="15" t="s">
        <v>3970</v>
      </c>
      <c r="C1094" s="15">
        <v>2.0</v>
      </c>
      <c r="D1094" s="15" t="s">
        <v>22</v>
      </c>
      <c r="E1094" s="15">
        <v>0.75</v>
      </c>
      <c r="F1094" s="15">
        <v>41.46</v>
      </c>
      <c r="G1094" s="15">
        <v>27.08</v>
      </c>
      <c r="H1094" s="15">
        <v>0.87</v>
      </c>
      <c r="I1094" s="15">
        <v>0.71</v>
      </c>
      <c r="J1094" s="15">
        <v>0.29</v>
      </c>
      <c r="K1094" s="15">
        <v>0.05</v>
      </c>
      <c r="L1094" s="15">
        <v>9.55</v>
      </c>
      <c r="M1094" s="15" t="s">
        <v>25</v>
      </c>
    </row>
    <row r="1095" ht="15.75" customHeight="1">
      <c r="A1095" s="15" t="s">
        <v>1295</v>
      </c>
      <c r="B1095" s="15" t="s">
        <v>3971</v>
      </c>
      <c r="C1095" s="15">
        <v>2.0</v>
      </c>
      <c r="D1095" s="15" t="s">
        <v>22</v>
      </c>
      <c r="E1095" s="15">
        <v>0.74</v>
      </c>
      <c r="F1095" s="15">
        <v>41.46</v>
      </c>
      <c r="G1095" s="15">
        <v>27.08</v>
      </c>
      <c r="H1095" s="15">
        <v>0.87</v>
      </c>
      <c r="I1095" s="15">
        <v>0.71</v>
      </c>
      <c r="J1095" s="15">
        <v>0.29</v>
      </c>
      <c r="K1095" s="15">
        <v>0.05</v>
      </c>
      <c r="L1095" s="15">
        <v>9.55</v>
      </c>
      <c r="M1095" s="15" t="s">
        <v>25</v>
      </c>
    </row>
    <row r="1096" ht="15.75" customHeight="1">
      <c r="A1096" s="15" t="s">
        <v>250</v>
      </c>
      <c r="B1096" s="15" t="s">
        <v>3972</v>
      </c>
      <c r="C1096" s="15">
        <v>2.0</v>
      </c>
      <c r="D1096" s="15" t="s">
        <v>22</v>
      </c>
      <c r="E1096" s="15">
        <v>0.74</v>
      </c>
      <c r="F1096" s="15">
        <v>41.45</v>
      </c>
      <c r="G1096" s="15">
        <v>27.13</v>
      </c>
      <c r="H1096" s="15">
        <v>0.87</v>
      </c>
      <c r="I1096" s="15">
        <v>0.71</v>
      </c>
      <c r="J1096" s="15">
        <v>0.29</v>
      </c>
      <c r="K1096" s="15">
        <v>0.05</v>
      </c>
      <c r="L1096" s="15">
        <v>9.54</v>
      </c>
      <c r="M1096" s="15" t="s">
        <v>25</v>
      </c>
    </row>
    <row r="1097" ht="15.75" customHeight="1">
      <c r="A1097" s="15" t="s">
        <v>1671</v>
      </c>
      <c r="B1097" s="15" t="s">
        <v>3973</v>
      </c>
      <c r="C1097" s="15">
        <v>2.0</v>
      </c>
      <c r="D1097" s="15" t="s">
        <v>22</v>
      </c>
      <c r="E1097" s="15">
        <v>0.77</v>
      </c>
      <c r="F1097" s="15">
        <v>41.45</v>
      </c>
      <c r="G1097" s="15">
        <v>26.69</v>
      </c>
      <c r="H1097" s="15">
        <v>0.83</v>
      </c>
      <c r="I1097" s="15">
        <v>0.73</v>
      </c>
      <c r="J1097" s="15">
        <v>0.3</v>
      </c>
      <c r="K1097" s="15">
        <v>0.04</v>
      </c>
      <c r="L1097" s="15">
        <v>9.48</v>
      </c>
      <c r="M1097" s="15" t="s">
        <v>25</v>
      </c>
    </row>
    <row r="1098" ht="15.75" customHeight="1">
      <c r="A1098" s="15" t="s">
        <v>113</v>
      </c>
      <c r="B1098" s="15" t="s">
        <v>3974</v>
      </c>
      <c r="C1098" s="15">
        <v>2.0</v>
      </c>
      <c r="D1098" s="15" t="s">
        <v>22</v>
      </c>
      <c r="E1098" s="15">
        <v>0.73</v>
      </c>
      <c r="F1098" s="15">
        <v>41.44</v>
      </c>
      <c r="G1098" s="15">
        <v>27.16</v>
      </c>
      <c r="H1098" s="15">
        <v>0.87</v>
      </c>
      <c r="I1098" s="15">
        <v>0.71</v>
      </c>
      <c r="J1098" s="15">
        <v>0.29</v>
      </c>
      <c r="K1098" s="15">
        <v>0.05</v>
      </c>
      <c r="L1098" s="15">
        <v>9.53</v>
      </c>
      <c r="M1098" s="15" t="s">
        <v>25</v>
      </c>
    </row>
    <row r="1099" ht="15.75" customHeight="1">
      <c r="A1099" s="15" t="s">
        <v>1639</v>
      </c>
      <c r="B1099" s="15" t="s">
        <v>3975</v>
      </c>
      <c r="C1099" s="15">
        <v>2.0</v>
      </c>
      <c r="D1099" s="15" t="s">
        <v>22</v>
      </c>
      <c r="E1099" s="15">
        <v>0.75</v>
      </c>
      <c r="F1099" s="15">
        <v>41.42</v>
      </c>
      <c r="G1099" s="15">
        <v>27.12</v>
      </c>
      <c r="H1099" s="15">
        <v>0.87</v>
      </c>
      <c r="I1099" s="15">
        <v>0.71</v>
      </c>
      <c r="J1099" s="15">
        <v>0.29</v>
      </c>
      <c r="K1099" s="15">
        <v>0.05</v>
      </c>
      <c r="L1099" s="15">
        <v>9.54</v>
      </c>
      <c r="M1099" s="15" t="s">
        <v>25</v>
      </c>
    </row>
    <row r="1100" ht="15.75" customHeight="1">
      <c r="A1100" s="15" t="s">
        <v>1710</v>
      </c>
      <c r="B1100" s="15" t="s">
        <v>3976</v>
      </c>
      <c r="C1100" s="15">
        <v>2.0</v>
      </c>
      <c r="D1100" s="15" t="s">
        <v>22</v>
      </c>
      <c r="E1100" s="15">
        <v>0.74</v>
      </c>
      <c r="F1100" s="15">
        <v>41.42</v>
      </c>
      <c r="G1100" s="15">
        <v>27.18</v>
      </c>
      <c r="H1100" s="15">
        <v>0.87</v>
      </c>
      <c r="I1100" s="15">
        <v>0.7</v>
      </c>
      <c r="J1100" s="15">
        <v>0.29</v>
      </c>
      <c r="K1100" s="15">
        <v>0.05</v>
      </c>
      <c r="L1100" s="15">
        <v>9.54</v>
      </c>
      <c r="M1100" s="15" t="s">
        <v>25</v>
      </c>
    </row>
    <row r="1101" ht="15.75" customHeight="1">
      <c r="A1101" s="15" t="s">
        <v>1521</v>
      </c>
      <c r="B1101" s="15" t="s">
        <v>3977</v>
      </c>
      <c r="C1101" s="15">
        <v>2.0</v>
      </c>
      <c r="D1101" s="15" t="s">
        <v>22</v>
      </c>
      <c r="E1101" s="15">
        <v>0.76</v>
      </c>
      <c r="F1101" s="15">
        <v>41.42</v>
      </c>
      <c r="G1101" s="15">
        <v>26.44</v>
      </c>
      <c r="H1101" s="15">
        <v>0.83</v>
      </c>
      <c r="I1101" s="15">
        <v>0.74</v>
      </c>
      <c r="J1101" s="15">
        <v>0.3</v>
      </c>
      <c r="K1101" s="15">
        <v>0.04</v>
      </c>
      <c r="L1101" s="15">
        <v>9.5</v>
      </c>
      <c r="M1101" s="15" t="s">
        <v>25</v>
      </c>
    </row>
    <row r="1102" ht="15.75" customHeight="1">
      <c r="A1102" s="15" t="s">
        <v>631</v>
      </c>
      <c r="B1102" s="15" t="s">
        <v>3978</v>
      </c>
      <c r="C1102" s="15">
        <v>2.0</v>
      </c>
      <c r="D1102" s="15" t="s">
        <v>22</v>
      </c>
      <c r="E1102" s="15">
        <v>0.63</v>
      </c>
      <c r="F1102" s="15">
        <v>41.42</v>
      </c>
      <c r="G1102" s="15">
        <v>27.05</v>
      </c>
      <c r="H1102" s="15">
        <v>0.83</v>
      </c>
      <c r="I1102" s="15">
        <v>0.71</v>
      </c>
      <c r="J1102" s="15">
        <v>0.44</v>
      </c>
      <c r="K1102" s="15">
        <v>0.06</v>
      </c>
      <c r="L1102" s="15">
        <v>8.62</v>
      </c>
      <c r="M1102" s="15" t="s">
        <v>25</v>
      </c>
    </row>
    <row r="1103" ht="15.75" customHeight="1">
      <c r="A1103" s="15" t="s">
        <v>1361</v>
      </c>
      <c r="B1103" s="15" t="s">
        <v>3979</v>
      </c>
      <c r="C1103" s="15">
        <v>2.0</v>
      </c>
      <c r="D1103" s="15" t="s">
        <v>22</v>
      </c>
      <c r="E1103" s="15">
        <v>0.77</v>
      </c>
      <c r="F1103" s="15">
        <v>41.4</v>
      </c>
      <c r="G1103" s="15">
        <v>26.54</v>
      </c>
      <c r="H1103" s="15">
        <v>0.83</v>
      </c>
      <c r="I1103" s="15">
        <v>0.74</v>
      </c>
      <c r="J1103" s="15">
        <v>0.3</v>
      </c>
      <c r="K1103" s="15">
        <v>0.04</v>
      </c>
      <c r="L1103" s="15">
        <v>9.49</v>
      </c>
      <c r="M1103" s="15" t="s">
        <v>25</v>
      </c>
    </row>
    <row r="1104" ht="15.75" customHeight="1">
      <c r="A1104" s="15" t="s">
        <v>100</v>
      </c>
      <c r="B1104" s="15" t="s">
        <v>3980</v>
      </c>
      <c r="C1104" s="15">
        <v>2.0</v>
      </c>
      <c r="D1104" s="15" t="s">
        <v>22</v>
      </c>
      <c r="E1104" s="15">
        <v>0.74</v>
      </c>
      <c r="F1104" s="15">
        <v>41.4</v>
      </c>
      <c r="G1104" s="15">
        <v>27.22</v>
      </c>
      <c r="H1104" s="15">
        <v>0.87</v>
      </c>
      <c r="I1104" s="15">
        <v>0.7</v>
      </c>
      <c r="J1104" s="15">
        <v>0.3</v>
      </c>
      <c r="K1104" s="15">
        <v>0.05</v>
      </c>
      <c r="L1104" s="15">
        <v>9.54</v>
      </c>
      <c r="M1104" s="15" t="s">
        <v>25</v>
      </c>
    </row>
    <row r="1105" ht="15.75" customHeight="1">
      <c r="A1105" s="15" t="s">
        <v>1666</v>
      </c>
      <c r="B1105" s="15" t="s">
        <v>3981</v>
      </c>
      <c r="C1105" s="15">
        <v>2.0</v>
      </c>
      <c r="D1105" s="15" t="s">
        <v>22</v>
      </c>
      <c r="E1105" s="15">
        <v>0.75</v>
      </c>
      <c r="F1105" s="15">
        <v>41.38</v>
      </c>
      <c r="G1105" s="15">
        <v>27.06</v>
      </c>
      <c r="H1105" s="15">
        <v>0.87</v>
      </c>
      <c r="I1105" s="15">
        <v>0.71</v>
      </c>
      <c r="J1105" s="15">
        <v>0.29</v>
      </c>
      <c r="K1105" s="15">
        <v>0.05</v>
      </c>
      <c r="L1105" s="15">
        <v>9.55</v>
      </c>
      <c r="M1105" s="15" t="s">
        <v>25</v>
      </c>
    </row>
    <row r="1106" ht="15.75" customHeight="1">
      <c r="A1106" s="15" t="s">
        <v>61</v>
      </c>
      <c r="B1106" s="15" t="s">
        <v>3982</v>
      </c>
      <c r="C1106" s="15">
        <v>2.0</v>
      </c>
      <c r="D1106" s="15" t="s">
        <v>22</v>
      </c>
      <c r="E1106" s="15">
        <v>0.74</v>
      </c>
      <c r="F1106" s="15">
        <v>41.38</v>
      </c>
      <c r="G1106" s="15">
        <v>27.28</v>
      </c>
      <c r="H1106" s="15">
        <v>0.87</v>
      </c>
      <c r="I1106" s="15">
        <v>0.7</v>
      </c>
      <c r="J1106" s="15">
        <v>0.29</v>
      </c>
      <c r="K1106" s="15">
        <v>0.05</v>
      </c>
      <c r="L1106" s="15">
        <v>9.55</v>
      </c>
      <c r="M1106" s="15" t="s">
        <v>25</v>
      </c>
    </row>
    <row r="1107" ht="15.75" customHeight="1">
      <c r="A1107" s="15" t="s">
        <v>1657</v>
      </c>
      <c r="B1107" s="15" t="s">
        <v>3983</v>
      </c>
      <c r="C1107" s="15">
        <v>2.0</v>
      </c>
      <c r="D1107" s="15" t="s">
        <v>22</v>
      </c>
      <c r="E1107" s="15">
        <v>0.77</v>
      </c>
      <c r="F1107" s="15">
        <v>41.37</v>
      </c>
      <c r="G1107" s="15">
        <v>26.61</v>
      </c>
      <c r="H1107" s="15">
        <v>0.83</v>
      </c>
      <c r="I1107" s="15">
        <v>0.73</v>
      </c>
      <c r="J1107" s="15">
        <v>0.31</v>
      </c>
      <c r="K1107" s="15">
        <v>0.04</v>
      </c>
      <c r="L1107" s="15">
        <v>9.47</v>
      </c>
      <c r="M1107" s="15" t="s">
        <v>25</v>
      </c>
    </row>
    <row r="1108" ht="15.75" customHeight="1">
      <c r="A1108" s="15" t="s">
        <v>1525</v>
      </c>
      <c r="B1108" s="15" t="s">
        <v>3984</v>
      </c>
      <c r="C1108" s="15">
        <v>2.0</v>
      </c>
      <c r="D1108" s="15" t="s">
        <v>22</v>
      </c>
      <c r="E1108" s="15">
        <v>0.75</v>
      </c>
      <c r="F1108" s="15">
        <v>41.33</v>
      </c>
      <c r="G1108" s="15">
        <v>27.16</v>
      </c>
      <c r="H1108" s="15">
        <v>0.87</v>
      </c>
      <c r="I1108" s="15">
        <v>0.7</v>
      </c>
      <c r="J1108" s="15">
        <v>0.29</v>
      </c>
      <c r="K1108" s="15">
        <v>0.05</v>
      </c>
      <c r="L1108" s="15">
        <v>9.54</v>
      </c>
      <c r="M1108" s="15" t="s">
        <v>25</v>
      </c>
    </row>
    <row r="1109" ht="15.75" customHeight="1">
      <c r="A1109" s="15" t="s">
        <v>533</v>
      </c>
      <c r="B1109" s="15" t="s">
        <v>3985</v>
      </c>
      <c r="C1109" s="15">
        <v>2.0</v>
      </c>
      <c r="D1109" s="15" t="s">
        <v>22</v>
      </c>
      <c r="E1109" s="15">
        <v>0.62</v>
      </c>
      <c r="F1109" s="15">
        <v>41.28</v>
      </c>
      <c r="G1109" s="15">
        <v>27.61</v>
      </c>
      <c r="H1109" s="15">
        <v>0.83</v>
      </c>
      <c r="I1109" s="15">
        <v>0.68</v>
      </c>
      <c r="J1109" s="15">
        <v>0.44</v>
      </c>
      <c r="K1109" s="15">
        <v>0.06</v>
      </c>
      <c r="L1109" s="15">
        <v>8.63</v>
      </c>
      <c r="M1109" s="15" t="s">
        <v>25</v>
      </c>
    </row>
    <row r="1110" ht="15.75" customHeight="1">
      <c r="A1110" s="15" t="s">
        <v>1556</v>
      </c>
      <c r="B1110" s="15" t="s">
        <v>3986</v>
      </c>
      <c r="C1110" s="15">
        <v>2.0</v>
      </c>
      <c r="D1110" s="15" t="s">
        <v>22</v>
      </c>
      <c r="E1110" s="15">
        <v>0.66</v>
      </c>
      <c r="F1110" s="15">
        <v>41.25</v>
      </c>
      <c r="G1110" s="15">
        <v>26.31</v>
      </c>
      <c r="H1110" s="15">
        <v>0.78</v>
      </c>
      <c r="I1110" s="15">
        <v>0.75</v>
      </c>
      <c r="J1110" s="15">
        <v>0.41</v>
      </c>
      <c r="K1110" s="15">
        <v>0.07</v>
      </c>
      <c r="L1110" s="15">
        <v>8.71</v>
      </c>
      <c r="M1110" s="15" t="s">
        <v>25</v>
      </c>
    </row>
    <row r="1111" ht="15.75" customHeight="1">
      <c r="A1111" s="15" t="s">
        <v>540</v>
      </c>
      <c r="B1111" s="15" t="s">
        <v>3987</v>
      </c>
      <c r="C1111" s="15">
        <v>2.0</v>
      </c>
      <c r="D1111" s="15" t="s">
        <v>22</v>
      </c>
      <c r="E1111" s="15">
        <v>0.63</v>
      </c>
      <c r="F1111" s="15">
        <v>41.13</v>
      </c>
      <c r="G1111" s="15">
        <v>27.1</v>
      </c>
      <c r="H1111" s="15">
        <v>0.83</v>
      </c>
      <c r="I1111" s="15">
        <v>0.7</v>
      </c>
      <c r="J1111" s="15">
        <v>0.45</v>
      </c>
      <c r="K1111" s="15">
        <v>0.06</v>
      </c>
      <c r="L1111" s="15">
        <v>8.58</v>
      </c>
      <c r="M1111" s="15" t="s">
        <v>25</v>
      </c>
    </row>
    <row r="1112" ht="15.75" customHeight="1">
      <c r="A1112" s="15" t="s">
        <v>1475</v>
      </c>
      <c r="B1112" s="15" t="s">
        <v>3988</v>
      </c>
      <c r="C1112" s="15">
        <v>2.0</v>
      </c>
      <c r="D1112" s="15" t="s">
        <v>22</v>
      </c>
      <c r="E1112" s="15">
        <v>0.48</v>
      </c>
      <c r="F1112" s="15">
        <v>41.01</v>
      </c>
      <c r="G1112" s="15">
        <v>26.6</v>
      </c>
      <c r="H1112" s="15">
        <v>0.84</v>
      </c>
      <c r="I1112" s="15">
        <v>0.73</v>
      </c>
      <c r="J1112" s="15">
        <v>0.36</v>
      </c>
      <c r="K1112" s="15">
        <v>0.05</v>
      </c>
      <c r="L1112" s="15">
        <v>8.93</v>
      </c>
      <c r="M1112" s="15" t="s">
        <v>25</v>
      </c>
    </row>
    <row r="1113" ht="15.75" customHeight="1">
      <c r="A1113" s="15" t="s">
        <v>132</v>
      </c>
      <c r="B1113" s="15" t="s">
        <v>3989</v>
      </c>
      <c r="C1113" s="15">
        <v>2.0</v>
      </c>
      <c r="D1113" s="15" t="s">
        <v>22</v>
      </c>
      <c r="E1113" s="15">
        <v>0.49</v>
      </c>
      <c r="F1113" s="15">
        <v>41.01</v>
      </c>
      <c r="G1113" s="15">
        <v>26.6</v>
      </c>
      <c r="H1113" s="15">
        <v>0.84</v>
      </c>
      <c r="I1113" s="15">
        <v>0.73</v>
      </c>
      <c r="J1113" s="15">
        <v>0.35</v>
      </c>
      <c r="K1113" s="15">
        <v>0.05</v>
      </c>
      <c r="L1113" s="15">
        <v>8.94</v>
      </c>
      <c r="M1113" s="15" t="s">
        <v>25</v>
      </c>
    </row>
    <row r="1114" ht="15.75" customHeight="1">
      <c r="A1114" s="15" t="s">
        <v>446</v>
      </c>
      <c r="B1114" s="15" t="s">
        <v>3990</v>
      </c>
      <c r="C1114" s="15">
        <v>2.0</v>
      </c>
      <c r="D1114" s="15" t="s">
        <v>22</v>
      </c>
      <c r="E1114" s="15">
        <v>0.5</v>
      </c>
      <c r="F1114" s="15">
        <v>41.01</v>
      </c>
      <c r="G1114" s="15">
        <v>26.6</v>
      </c>
      <c r="H1114" s="15">
        <v>0.84</v>
      </c>
      <c r="I1114" s="15">
        <v>0.73</v>
      </c>
      <c r="J1114" s="15">
        <v>0.35</v>
      </c>
      <c r="K1114" s="15">
        <v>0.05</v>
      </c>
      <c r="L1114" s="15">
        <v>8.94</v>
      </c>
      <c r="M1114" s="15" t="s">
        <v>25</v>
      </c>
    </row>
    <row r="1115" ht="15.75" customHeight="1">
      <c r="A1115" s="15" t="s">
        <v>172</v>
      </c>
      <c r="B1115" s="15" t="s">
        <v>3991</v>
      </c>
      <c r="C1115" s="15">
        <v>2.0</v>
      </c>
      <c r="D1115" s="15" t="s">
        <v>22</v>
      </c>
      <c r="E1115" s="15">
        <v>0.49</v>
      </c>
      <c r="F1115" s="15">
        <v>41.01</v>
      </c>
      <c r="G1115" s="15">
        <v>26.6</v>
      </c>
      <c r="H1115" s="15">
        <v>0.84</v>
      </c>
      <c r="I1115" s="15">
        <v>0.73</v>
      </c>
      <c r="J1115" s="15">
        <v>0.35</v>
      </c>
      <c r="K1115" s="15">
        <v>0.05</v>
      </c>
      <c r="L1115" s="15">
        <v>8.94</v>
      </c>
      <c r="M1115" s="15" t="s">
        <v>25</v>
      </c>
    </row>
    <row r="1116" ht="15.75" customHeight="1">
      <c r="A1116" s="15" t="s">
        <v>1498</v>
      </c>
      <c r="B1116" s="15" t="s">
        <v>3992</v>
      </c>
      <c r="C1116" s="15">
        <v>2.0</v>
      </c>
      <c r="D1116" s="15" t="s">
        <v>22</v>
      </c>
      <c r="E1116" s="15">
        <v>0.77</v>
      </c>
      <c r="F1116" s="15">
        <v>40.98</v>
      </c>
      <c r="G1116" s="15">
        <v>26.41</v>
      </c>
      <c r="H1116" s="15">
        <v>0.84</v>
      </c>
      <c r="I1116" s="15">
        <v>0.74</v>
      </c>
      <c r="J1116" s="15">
        <v>0.3</v>
      </c>
      <c r="K1116" s="15">
        <v>0.04</v>
      </c>
      <c r="L1116" s="15">
        <v>9.48</v>
      </c>
      <c r="M1116" s="15" t="s">
        <v>25</v>
      </c>
    </row>
    <row r="1117" ht="15.75" customHeight="1">
      <c r="A1117" s="15" t="s">
        <v>1478</v>
      </c>
      <c r="B1117" s="15" t="s">
        <v>3993</v>
      </c>
      <c r="C1117" s="15">
        <v>2.0</v>
      </c>
      <c r="D1117" s="15" t="s">
        <v>22</v>
      </c>
      <c r="E1117" s="15">
        <v>0.76</v>
      </c>
      <c r="F1117" s="15">
        <v>40.97</v>
      </c>
      <c r="G1117" s="15">
        <v>26.41</v>
      </c>
      <c r="H1117" s="15">
        <v>0.84</v>
      </c>
      <c r="I1117" s="15">
        <v>0.74</v>
      </c>
      <c r="J1117" s="15">
        <v>0.3</v>
      </c>
      <c r="K1117" s="15">
        <v>0.04</v>
      </c>
      <c r="L1117" s="15">
        <v>9.48</v>
      </c>
      <c r="M1117" s="15" t="s">
        <v>25</v>
      </c>
    </row>
    <row r="1118" ht="15.75" customHeight="1">
      <c r="A1118" s="15" t="s">
        <v>1272</v>
      </c>
      <c r="B1118" s="15" t="s">
        <v>3994</v>
      </c>
      <c r="C1118" s="15">
        <v>2.0</v>
      </c>
      <c r="D1118" s="15" t="s">
        <v>22</v>
      </c>
      <c r="E1118" s="15">
        <v>0.75</v>
      </c>
      <c r="F1118" s="15">
        <v>40.96</v>
      </c>
      <c r="G1118" s="15">
        <v>26.41</v>
      </c>
      <c r="H1118" s="15">
        <v>0.84</v>
      </c>
      <c r="I1118" s="15">
        <v>0.74</v>
      </c>
      <c r="J1118" s="15">
        <v>0.3</v>
      </c>
      <c r="K1118" s="15">
        <v>0.04</v>
      </c>
      <c r="L1118" s="15">
        <v>9.49</v>
      </c>
      <c r="M1118" s="15" t="s">
        <v>25</v>
      </c>
    </row>
    <row r="1119" ht="15.75" customHeight="1">
      <c r="A1119" s="15" t="s">
        <v>1471</v>
      </c>
      <c r="B1119" s="15" t="s">
        <v>3995</v>
      </c>
      <c r="C1119" s="15">
        <v>2.0</v>
      </c>
      <c r="D1119" s="15" t="s">
        <v>22</v>
      </c>
      <c r="E1119" s="15">
        <v>0.76</v>
      </c>
      <c r="F1119" s="15">
        <v>40.96</v>
      </c>
      <c r="G1119" s="15">
        <v>26.37</v>
      </c>
      <c r="H1119" s="15">
        <v>0.84</v>
      </c>
      <c r="I1119" s="15">
        <v>0.74</v>
      </c>
      <c r="J1119" s="15">
        <v>0.31</v>
      </c>
      <c r="K1119" s="15">
        <v>0.05</v>
      </c>
      <c r="L1119" s="15">
        <v>9.4</v>
      </c>
      <c r="M1119" s="15" t="s">
        <v>25</v>
      </c>
    </row>
    <row r="1120" ht="15.75" customHeight="1">
      <c r="A1120" s="15" t="s">
        <v>1532</v>
      </c>
      <c r="B1120" s="15" t="s">
        <v>3996</v>
      </c>
      <c r="C1120" s="15">
        <v>2.0</v>
      </c>
      <c r="D1120" s="15" t="s">
        <v>22</v>
      </c>
      <c r="E1120" s="15">
        <v>0.76</v>
      </c>
      <c r="F1120" s="15">
        <v>40.96</v>
      </c>
      <c r="G1120" s="15">
        <v>26.41</v>
      </c>
      <c r="H1120" s="15">
        <v>0.84</v>
      </c>
      <c r="I1120" s="15">
        <v>0.74</v>
      </c>
      <c r="J1120" s="15">
        <v>0.3</v>
      </c>
      <c r="K1120" s="15">
        <v>0.04</v>
      </c>
      <c r="L1120" s="15">
        <v>9.47</v>
      </c>
      <c r="M1120" s="15" t="s">
        <v>25</v>
      </c>
    </row>
    <row r="1121" ht="15.75" customHeight="1">
      <c r="A1121" s="15" t="s">
        <v>606</v>
      </c>
      <c r="B1121" s="15" t="s">
        <v>3997</v>
      </c>
      <c r="C1121" s="15">
        <v>2.0</v>
      </c>
      <c r="D1121" s="15" t="s">
        <v>22</v>
      </c>
      <c r="E1121" s="15">
        <v>0.63</v>
      </c>
      <c r="F1121" s="15">
        <v>40.88</v>
      </c>
      <c r="G1121" s="15">
        <v>26.52</v>
      </c>
      <c r="H1121" s="15">
        <v>0.83</v>
      </c>
      <c r="I1121" s="15">
        <v>0.73</v>
      </c>
      <c r="J1121" s="15">
        <v>0.45</v>
      </c>
      <c r="K1121" s="15">
        <v>0.07</v>
      </c>
      <c r="L1121" s="15">
        <v>8.53</v>
      </c>
      <c r="M1121" s="15" t="s">
        <v>25</v>
      </c>
    </row>
    <row r="1122" ht="15.75" customHeight="1">
      <c r="A1122" s="15" t="s">
        <v>778</v>
      </c>
      <c r="B1122" s="15" t="s">
        <v>3998</v>
      </c>
      <c r="C1122" s="15">
        <v>2.0</v>
      </c>
      <c r="D1122" s="15" t="s">
        <v>22</v>
      </c>
      <c r="E1122" s="15">
        <v>0.64</v>
      </c>
      <c r="F1122" s="15">
        <v>40.86</v>
      </c>
      <c r="G1122" s="15">
        <v>26.87</v>
      </c>
      <c r="H1122" s="15">
        <v>0.83</v>
      </c>
      <c r="I1122" s="15">
        <v>0.71</v>
      </c>
      <c r="J1122" s="15">
        <v>0.44</v>
      </c>
      <c r="K1122" s="15">
        <v>0.06</v>
      </c>
      <c r="L1122" s="15">
        <v>8.62</v>
      </c>
      <c r="M1122" s="15" t="s">
        <v>25</v>
      </c>
    </row>
    <row r="1123" ht="15.75" customHeight="1">
      <c r="A1123" s="15" t="s">
        <v>526</v>
      </c>
      <c r="B1123" s="15" t="s">
        <v>3999</v>
      </c>
      <c r="C1123" s="15">
        <v>2.0</v>
      </c>
      <c r="D1123" s="15" t="s">
        <v>22</v>
      </c>
      <c r="E1123" s="15">
        <v>0.61</v>
      </c>
      <c r="F1123" s="15">
        <v>40.86</v>
      </c>
      <c r="G1123" s="15">
        <v>26.78</v>
      </c>
      <c r="H1123" s="15">
        <v>0.83</v>
      </c>
      <c r="I1123" s="15">
        <v>0.72</v>
      </c>
      <c r="J1123" s="15">
        <v>0.45</v>
      </c>
      <c r="K1123" s="15">
        <v>0.06</v>
      </c>
      <c r="L1123" s="15">
        <v>8.58</v>
      </c>
      <c r="M1123" s="15" t="s">
        <v>25</v>
      </c>
    </row>
    <row r="1124" ht="15.75" customHeight="1">
      <c r="A1124" s="15" t="s">
        <v>572</v>
      </c>
      <c r="B1124" s="15" t="s">
        <v>4000</v>
      </c>
      <c r="C1124" s="15">
        <v>2.0</v>
      </c>
      <c r="D1124" s="15" t="s">
        <v>22</v>
      </c>
      <c r="E1124" s="15">
        <v>0.62</v>
      </c>
      <c r="F1124" s="15">
        <v>40.78</v>
      </c>
      <c r="G1124" s="15">
        <v>26.57</v>
      </c>
      <c r="H1124" s="15">
        <v>0.83</v>
      </c>
      <c r="I1124" s="15">
        <v>0.73</v>
      </c>
      <c r="J1124" s="15">
        <v>0.44</v>
      </c>
      <c r="K1124" s="15">
        <v>0.06</v>
      </c>
      <c r="L1124" s="15">
        <v>8.59</v>
      </c>
      <c r="M1124" s="15" t="s">
        <v>25</v>
      </c>
    </row>
    <row r="1125" ht="15.75" customHeight="1">
      <c r="A1125" s="15" t="s">
        <v>102</v>
      </c>
      <c r="B1125" s="15" t="s">
        <v>4001</v>
      </c>
      <c r="C1125" s="15">
        <v>2.0</v>
      </c>
      <c r="D1125" s="15" t="s">
        <v>22</v>
      </c>
      <c r="E1125" s="15">
        <v>0.64</v>
      </c>
      <c r="F1125" s="15">
        <v>40.74</v>
      </c>
      <c r="G1125" s="15">
        <v>27.69</v>
      </c>
      <c r="H1125" s="15">
        <v>0.9</v>
      </c>
      <c r="I1125" s="15">
        <v>0.67</v>
      </c>
      <c r="J1125" s="15">
        <v>0.65</v>
      </c>
      <c r="K1125" s="15">
        <v>0.09</v>
      </c>
      <c r="L1125" s="15">
        <v>7.34</v>
      </c>
      <c r="M1125" s="15" t="s">
        <v>25</v>
      </c>
    </row>
    <row r="1126" ht="15.75" customHeight="1">
      <c r="A1126" s="15" t="s">
        <v>509</v>
      </c>
      <c r="B1126" s="15" t="s">
        <v>4002</v>
      </c>
      <c r="C1126" s="15">
        <v>2.0</v>
      </c>
      <c r="D1126" s="15" t="s">
        <v>22</v>
      </c>
      <c r="E1126" s="15">
        <v>0.62</v>
      </c>
      <c r="F1126" s="15">
        <v>40.72</v>
      </c>
      <c r="G1126" s="15">
        <v>26.65</v>
      </c>
      <c r="H1126" s="15">
        <v>0.83</v>
      </c>
      <c r="I1126" s="15">
        <v>0.72</v>
      </c>
      <c r="J1126" s="15">
        <v>0.45</v>
      </c>
      <c r="K1126" s="15">
        <v>0.07</v>
      </c>
      <c r="L1126" s="15">
        <v>8.55</v>
      </c>
      <c r="M1126" s="15" t="s">
        <v>25</v>
      </c>
    </row>
    <row r="1127" ht="15.75" customHeight="1">
      <c r="A1127" s="15" t="s">
        <v>595</v>
      </c>
      <c r="B1127" s="15" t="s">
        <v>4003</v>
      </c>
      <c r="C1127" s="15">
        <v>2.0</v>
      </c>
      <c r="D1127" s="15" t="s">
        <v>22</v>
      </c>
      <c r="E1127" s="15">
        <v>0.65</v>
      </c>
      <c r="F1127" s="15">
        <v>40.72</v>
      </c>
      <c r="G1127" s="15">
        <v>26.68</v>
      </c>
      <c r="H1127" s="15">
        <v>0.83</v>
      </c>
      <c r="I1127" s="15">
        <v>0.72</v>
      </c>
      <c r="J1127" s="15">
        <v>0.45</v>
      </c>
      <c r="K1127" s="15">
        <v>0.06</v>
      </c>
      <c r="L1127" s="15">
        <v>8.59</v>
      </c>
      <c r="M1127" s="15" t="s">
        <v>25</v>
      </c>
    </row>
    <row r="1128" ht="15.75" customHeight="1">
      <c r="A1128" s="15" t="s">
        <v>219</v>
      </c>
      <c r="B1128" s="15" t="s">
        <v>4004</v>
      </c>
      <c r="C1128" s="15">
        <v>2.0</v>
      </c>
      <c r="D1128" s="15" t="s">
        <v>22</v>
      </c>
      <c r="E1128" s="15">
        <v>0.52</v>
      </c>
      <c r="F1128" s="15">
        <v>40.7</v>
      </c>
      <c r="G1128" s="15">
        <v>26.73</v>
      </c>
      <c r="H1128" s="15">
        <v>0.82</v>
      </c>
      <c r="I1128" s="15">
        <v>0.72</v>
      </c>
      <c r="J1128" s="15">
        <v>0.36</v>
      </c>
      <c r="K1128" s="15">
        <v>0.05</v>
      </c>
      <c r="L1128" s="15">
        <v>8.94</v>
      </c>
      <c r="M1128" s="15" t="s">
        <v>25</v>
      </c>
    </row>
    <row r="1129" ht="15.75" customHeight="1">
      <c r="A1129" s="15" t="s">
        <v>1443</v>
      </c>
      <c r="B1129" s="15" t="s">
        <v>4005</v>
      </c>
      <c r="C1129" s="15">
        <v>2.0</v>
      </c>
      <c r="D1129" s="15" t="s">
        <v>22</v>
      </c>
      <c r="E1129" s="15">
        <v>0.76</v>
      </c>
      <c r="F1129" s="15">
        <v>40.63</v>
      </c>
      <c r="G1129" s="15">
        <v>26.41</v>
      </c>
      <c r="H1129" s="15">
        <v>0.84</v>
      </c>
      <c r="I1129" s="15">
        <v>0.73</v>
      </c>
      <c r="J1129" s="15">
        <v>0.32</v>
      </c>
      <c r="K1129" s="15">
        <v>0.05</v>
      </c>
      <c r="L1129" s="15">
        <v>9.36</v>
      </c>
      <c r="M1129" s="15" t="s">
        <v>25</v>
      </c>
    </row>
    <row r="1130" ht="15.75" customHeight="1">
      <c r="A1130" s="15" t="s">
        <v>830</v>
      </c>
      <c r="B1130" s="15" t="s">
        <v>4006</v>
      </c>
      <c r="C1130" s="15">
        <v>2.0</v>
      </c>
      <c r="D1130" s="15" t="s">
        <v>22</v>
      </c>
      <c r="E1130" s="15">
        <v>0.64</v>
      </c>
      <c r="F1130" s="15">
        <v>40.61</v>
      </c>
      <c r="G1130" s="15">
        <v>26.57</v>
      </c>
      <c r="H1130" s="15">
        <v>0.83</v>
      </c>
      <c r="I1130" s="15">
        <v>0.72</v>
      </c>
      <c r="J1130" s="15">
        <v>0.45</v>
      </c>
      <c r="K1130" s="15">
        <v>0.07</v>
      </c>
      <c r="L1130" s="15">
        <v>8.55</v>
      </c>
      <c r="M1130" s="15" t="s">
        <v>25</v>
      </c>
    </row>
    <row r="1131" ht="15.75" customHeight="1">
      <c r="A1131" s="15" t="s">
        <v>1776</v>
      </c>
      <c r="B1131" s="15" t="s">
        <v>4007</v>
      </c>
      <c r="C1131" s="15">
        <v>2.0</v>
      </c>
      <c r="D1131" s="15" t="s">
        <v>22</v>
      </c>
      <c r="E1131" s="15">
        <v>0.31</v>
      </c>
      <c r="F1131" s="15">
        <v>40.58</v>
      </c>
      <c r="G1131" s="15">
        <v>26.6</v>
      </c>
      <c r="H1131" s="15">
        <v>0.78</v>
      </c>
      <c r="I1131" s="15">
        <v>0.72</v>
      </c>
      <c r="J1131" s="15">
        <v>0.53</v>
      </c>
      <c r="K1131" s="15">
        <v>0.13</v>
      </c>
      <c r="L1131" s="15">
        <v>8.18</v>
      </c>
      <c r="M1131" s="15" t="s">
        <v>25</v>
      </c>
    </row>
    <row r="1132" ht="15.75" customHeight="1">
      <c r="A1132" s="15" t="s">
        <v>2699</v>
      </c>
      <c r="B1132" s="15" t="s">
        <v>4008</v>
      </c>
      <c r="C1132" s="15">
        <v>2.0</v>
      </c>
      <c r="D1132" s="15" t="s">
        <v>22</v>
      </c>
      <c r="E1132" s="15">
        <v>0.3</v>
      </c>
      <c r="F1132" s="15">
        <v>40.57</v>
      </c>
      <c r="G1132" s="15">
        <v>27.03</v>
      </c>
      <c r="H1132" s="15">
        <v>0.89</v>
      </c>
      <c r="I1132" s="15">
        <v>0.7</v>
      </c>
      <c r="J1132" s="15">
        <v>0.5</v>
      </c>
      <c r="K1132" s="15">
        <v>0.07</v>
      </c>
      <c r="L1132" s="15">
        <v>8.14</v>
      </c>
      <c r="M1132" s="15" t="s">
        <v>25</v>
      </c>
    </row>
    <row r="1133" ht="15.75" customHeight="1">
      <c r="A1133" s="15" t="s">
        <v>601</v>
      </c>
      <c r="B1133" s="15" t="s">
        <v>4009</v>
      </c>
      <c r="C1133" s="15">
        <v>2.0</v>
      </c>
      <c r="D1133" s="15" t="s">
        <v>22</v>
      </c>
      <c r="E1133" s="15">
        <v>0.63</v>
      </c>
      <c r="F1133" s="15">
        <v>40.54</v>
      </c>
      <c r="G1133" s="15">
        <v>26.71</v>
      </c>
      <c r="H1133" s="15">
        <v>0.83</v>
      </c>
      <c r="I1133" s="15">
        <v>0.71</v>
      </c>
      <c r="J1133" s="15">
        <v>0.45</v>
      </c>
      <c r="K1133" s="15">
        <v>0.07</v>
      </c>
      <c r="L1133" s="15">
        <v>8.56</v>
      </c>
      <c r="M1133" s="15" t="s">
        <v>25</v>
      </c>
    </row>
    <row r="1134" ht="15.75" customHeight="1">
      <c r="A1134" s="15" t="s">
        <v>840</v>
      </c>
      <c r="B1134" s="15" t="s">
        <v>4010</v>
      </c>
      <c r="C1134" s="15">
        <v>2.0</v>
      </c>
      <c r="D1134" s="15" t="s">
        <v>22</v>
      </c>
      <c r="E1134" s="15">
        <v>0.65</v>
      </c>
      <c r="F1134" s="15">
        <v>40.53</v>
      </c>
      <c r="G1134" s="15">
        <v>26.53</v>
      </c>
      <c r="H1134" s="15">
        <v>0.83</v>
      </c>
      <c r="I1134" s="15">
        <v>0.72</v>
      </c>
      <c r="J1134" s="15">
        <v>0.45</v>
      </c>
      <c r="K1134" s="15">
        <v>0.07</v>
      </c>
      <c r="L1134" s="15">
        <v>8.56</v>
      </c>
      <c r="M1134" s="15" t="s">
        <v>25</v>
      </c>
    </row>
    <row r="1135" ht="15.75" customHeight="1">
      <c r="A1135" s="15" t="s">
        <v>117</v>
      </c>
      <c r="B1135" s="15" t="s">
        <v>4011</v>
      </c>
      <c r="C1135" s="15">
        <v>2.0</v>
      </c>
      <c r="D1135" s="15" t="s">
        <v>22</v>
      </c>
      <c r="E1135" s="15">
        <v>0.55</v>
      </c>
      <c r="F1135" s="15">
        <v>40.52</v>
      </c>
      <c r="G1135" s="15">
        <v>26.6</v>
      </c>
      <c r="H1135" s="15">
        <v>0.85</v>
      </c>
      <c r="I1135" s="15">
        <v>0.72</v>
      </c>
      <c r="J1135" s="15">
        <v>0.35</v>
      </c>
      <c r="K1135" s="15">
        <v>0.05</v>
      </c>
      <c r="L1135" s="15">
        <v>8.96</v>
      </c>
      <c r="M1135" s="15" t="s">
        <v>25</v>
      </c>
    </row>
    <row r="1136" ht="15.75" customHeight="1">
      <c r="A1136" s="15" t="s">
        <v>1377</v>
      </c>
      <c r="B1136" s="15" t="s">
        <v>4012</v>
      </c>
      <c r="C1136" s="15">
        <v>2.0</v>
      </c>
      <c r="D1136" s="15" t="s">
        <v>22</v>
      </c>
      <c r="E1136" s="15">
        <v>0.76</v>
      </c>
      <c r="F1136" s="15">
        <v>40.52</v>
      </c>
      <c r="G1136" s="15">
        <v>26.28</v>
      </c>
      <c r="H1136" s="15">
        <v>0.84</v>
      </c>
      <c r="I1136" s="15">
        <v>0.74</v>
      </c>
      <c r="J1136" s="15">
        <v>0.3</v>
      </c>
      <c r="K1136" s="15">
        <v>0.04</v>
      </c>
      <c r="L1136" s="15">
        <v>9.48</v>
      </c>
      <c r="M1136" s="15" t="s">
        <v>25</v>
      </c>
    </row>
    <row r="1137" ht="15.75" customHeight="1">
      <c r="A1137" s="15" t="s">
        <v>1942</v>
      </c>
      <c r="B1137" s="15" t="s">
        <v>4013</v>
      </c>
      <c r="C1137" s="15">
        <v>2.0</v>
      </c>
      <c r="D1137" s="15" t="s">
        <v>22</v>
      </c>
      <c r="E1137" s="15">
        <v>0.52</v>
      </c>
      <c r="F1137" s="15">
        <v>40.51</v>
      </c>
      <c r="G1137" s="15">
        <v>26.32</v>
      </c>
      <c r="H1137" s="15">
        <v>0.82</v>
      </c>
      <c r="I1137" s="15">
        <v>0.73</v>
      </c>
      <c r="J1137" s="15">
        <v>0.36</v>
      </c>
      <c r="K1137" s="15">
        <v>0.05</v>
      </c>
      <c r="L1137" s="15">
        <v>8.95</v>
      </c>
      <c r="M1137" s="15" t="s">
        <v>25</v>
      </c>
    </row>
    <row r="1138" ht="15.75" customHeight="1">
      <c r="A1138" s="15" t="s">
        <v>1385</v>
      </c>
      <c r="B1138" s="15" t="s">
        <v>4014</v>
      </c>
      <c r="C1138" s="15">
        <v>2.0</v>
      </c>
      <c r="D1138" s="15" t="s">
        <v>22</v>
      </c>
      <c r="E1138" s="15">
        <v>0.76</v>
      </c>
      <c r="F1138" s="15">
        <v>40.49</v>
      </c>
      <c r="G1138" s="15">
        <v>26.24</v>
      </c>
      <c r="H1138" s="15">
        <v>0.84</v>
      </c>
      <c r="I1138" s="15">
        <v>0.74</v>
      </c>
      <c r="J1138" s="15">
        <v>0.3</v>
      </c>
      <c r="K1138" s="15">
        <v>0.04</v>
      </c>
      <c r="L1138" s="15">
        <v>9.47</v>
      </c>
      <c r="M1138" s="15" t="s">
        <v>25</v>
      </c>
    </row>
    <row r="1139" ht="15.75" customHeight="1">
      <c r="A1139" s="15" t="s">
        <v>1584</v>
      </c>
      <c r="B1139" s="15" t="s">
        <v>4015</v>
      </c>
      <c r="C1139" s="15">
        <v>2.0</v>
      </c>
      <c r="D1139" s="15" t="s">
        <v>22</v>
      </c>
      <c r="E1139" s="15">
        <v>0.76</v>
      </c>
      <c r="F1139" s="15">
        <v>40.49</v>
      </c>
      <c r="G1139" s="15">
        <v>26.24</v>
      </c>
      <c r="H1139" s="15">
        <v>0.84</v>
      </c>
      <c r="I1139" s="15">
        <v>0.74</v>
      </c>
      <c r="J1139" s="15">
        <v>0.3</v>
      </c>
      <c r="K1139" s="15">
        <v>0.04</v>
      </c>
      <c r="L1139" s="15">
        <v>9.47</v>
      </c>
      <c r="M1139" s="15" t="s">
        <v>25</v>
      </c>
    </row>
    <row r="1140" ht="15.75" customHeight="1">
      <c r="A1140" s="15" t="s">
        <v>381</v>
      </c>
      <c r="B1140" s="15" t="s">
        <v>4016</v>
      </c>
      <c r="C1140" s="15">
        <v>2.0</v>
      </c>
      <c r="D1140" s="15" t="s">
        <v>22</v>
      </c>
      <c r="E1140" s="15">
        <v>0.63</v>
      </c>
      <c r="F1140" s="15">
        <v>40.49</v>
      </c>
      <c r="G1140" s="15">
        <v>26.65</v>
      </c>
      <c r="H1140" s="15">
        <v>0.83</v>
      </c>
      <c r="I1140" s="15">
        <v>0.72</v>
      </c>
      <c r="J1140" s="15">
        <v>0.45</v>
      </c>
      <c r="K1140" s="15">
        <v>0.07</v>
      </c>
      <c r="L1140" s="15">
        <v>8.54</v>
      </c>
      <c r="M1140" s="15" t="s">
        <v>25</v>
      </c>
    </row>
    <row r="1141" ht="15.75" customHeight="1">
      <c r="A1141" s="15" t="s">
        <v>1454</v>
      </c>
      <c r="B1141" s="15" t="s">
        <v>4017</v>
      </c>
      <c r="C1141" s="15">
        <v>2.0</v>
      </c>
      <c r="D1141" s="15" t="s">
        <v>22</v>
      </c>
      <c r="E1141" s="15">
        <v>0.76</v>
      </c>
      <c r="F1141" s="15">
        <v>40.48</v>
      </c>
      <c r="G1141" s="15">
        <v>26.41</v>
      </c>
      <c r="H1141" s="15">
        <v>0.84</v>
      </c>
      <c r="I1141" s="15">
        <v>0.73</v>
      </c>
      <c r="J1141" s="15">
        <v>0.3</v>
      </c>
      <c r="K1141" s="15">
        <v>0.04</v>
      </c>
      <c r="L1141" s="15">
        <v>9.49</v>
      </c>
      <c r="M1141" s="15" t="s">
        <v>25</v>
      </c>
    </row>
    <row r="1142" ht="15.75" customHeight="1">
      <c r="A1142" s="15" t="s">
        <v>1503</v>
      </c>
      <c r="B1142" s="15" t="s">
        <v>4018</v>
      </c>
      <c r="C1142" s="15">
        <v>2.0</v>
      </c>
      <c r="D1142" s="15" t="s">
        <v>22</v>
      </c>
      <c r="E1142" s="15">
        <v>0.76</v>
      </c>
      <c r="F1142" s="15">
        <v>40.48</v>
      </c>
      <c r="G1142" s="15">
        <v>26.24</v>
      </c>
      <c r="H1142" s="15">
        <v>0.84</v>
      </c>
      <c r="I1142" s="15">
        <v>0.74</v>
      </c>
      <c r="J1142" s="15">
        <v>0.3</v>
      </c>
      <c r="K1142" s="15">
        <v>0.05</v>
      </c>
      <c r="L1142" s="15">
        <v>9.46</v>
      </c>
      <c r="M1142" s="15" t="s">
        <v>25</v>
      </c>
    </row>
    <row r="1143" ht="15.75" customHeight="1">
      <c r="A1143" s="15" t="s">
        <v>1458</v>
      </c>
      <c r="B1143" s="15" t="s">
        <v>4019</v>
      </c>
      <c r="C1143" s="15">
        <v>2.0</v>
      </c>
      <c r="D1143" s="15" t="s">
        <v>22</v>
      </c>
      <c r="E1143" s="15">
        <v>0.76</v>
      </c>
      <c r="F1143" s="15">
        <v>40.47</v>
      </c>
      <c r="G1143" s="15">
        <v>26.24</v>
      </c>
      <c r="H1143" s="15">
        <v>0.84</v>
      </c>
      <c r="I1143" s="15">
        <v>0.74</v>
      </c>
      <c r="J1143" s="15">
        <v>0.3</v>
      </c>
      <c r="K1143" s="15">
        <v>0.05</v>
      </c>
      <c r="L1143" s="15">
        <v>9.46</v>
      </c>
      <c r="M1143" s="15" t="s">
        <v>25</v>
      </c>
    </row>
    <row r="1144" ht="15.75" customHeight="1">
      <c r="A1144" s="15" t="s">
        <v>1465</v>
      </c>
      <c r="B1144" s="15" t="s">
        <v>4020</v>
      </c>
      <c r="C1144" s="15">
        <v>2.0</v>
      </c>
      <c r="D1144" s="15" t="s">
        <v>22</v>
      </c>
      <c r="E1144" s="15">
        <v>0.51</v>
      </c>
      <c r="F1144" s="15">
        <v>40.45</v>
      </c>
      <c r="G1144" s="15">
        <v>26.36</v>
      </c>
      <c r="H1144" s="15">
        <v>0.84</v>
      </c>
      <c r="I1144" s="15">
        <v>0.73</v>
      </c>
      <c r="J1144" s="15">
        <v>0.35</v>
      </c>
      <c r="K1144" s="15">
        <v>0.05</v>
      </c>
      <c r="L1144" s="15">
        <v>8.93</v>
      </c>
      <c r="M1144" s="15" t="s">
        <v>25</v>
      </c>
    </row>
    <row r="1145" ht="15.75" customHeight="1">
      <c r="A1145" s="15" t="s">
        <v>93</v>
      </c>
      <c r="B1145" s="15" t="s">
        <v>4021</v>
      </c>
      <c r="C1145" s="15">
        <v>2.0</v>
      </c>
      <c r="D1145" s="15" t="s">
        <v>22</v>
      </c>
      <c r="E1145" s="15">
        <v>0.52</v>
      </c>
      <c r="F1145" s="15">
        <v>40.45</v>
      </c>
      <c r="G1145" s="15">
        <v>26.36</v>
      </c>
      <c r="H1145" s="15">
        <v>0.84</v>
      </c>
      <c r="I1145" s="15">
        <v>0.73</v>
      </c>
      <c r="J1145" s="15">
        <v>0.36</v>
      </c>
      <c r="K1145" s="15">
        <v>0.05</v>
      </c>
      <c r="L1145" s="15">
        <v>8.92</v>
      </c>
      <c r="M1145" s="15" t="s">
        <v>25</v>
      </c>
    </row>
    <row r="1146" ht="15.75" customHeight="1">
      <c r="A1146" s="15" t="s">
        <v>35</v>
      </c>
      <c r="B1146" s="15" t="s">
        <v>4022</v>
      </c>
      <c r="C1146" s="15">
        <v>2.0</v>
      </c>
      <c r="D1146" s="15" t="s">
        <v>22</v>
      </c>
      <c r="E1146" s="15">
        <v>0.53</v>
      </c>
      <c r="F1146" s="15">
        <v>40.45</v>
      </c>
      <c r="G1146" s="15">
        <v>26.36</v>
      </c>
      <c r="H1146" s="15">
        <v>0.84</v>
      </c>
      <c r="I1146" s="15">
        <v>0.73</v>
      </c>
      <c r="J1146" s="15">
        <v>0.36</v>
      </c>
      <c r="K1146" s="15">
        <v>0.05</v>
      </c>
      <c r="L1146" s="15">
        <v>8.92</v>
      </c>
      <c r="M1146" s="15" t="s">
        <v>25</v>
      </c>
    </row>
    <row r="1147" ht="15.75" customHeight="1">
      <c r="A1147" s="15" t="s">
        <v>84</v>
      </c>
      <c r="B1147" s="15" t="s">
        <v>4023</v>
      </c>
      <c r="C1147" s="15">
        <v>2.0</v>
      </c>
      <c r="D1147" s="15" t="s">
        <v>22</v>
      </c>
      <c r="E1147" s="15">
        <v>0.39</v>
      </c>
      <c r="F1147" s="15">
        <v>40.45</v>
      </c>
      <c r="G1147" s="15">
        <v>26.36</v>
      </c>
      <c r="H1147" s="15">
        <v>0.84</v>
      </c>
      <c r="I1147" s="15">
        <v>0.73</v>
      </c>
      <c r="J1147" s="15">
        <v>0.43</v>
      </c>
      <c r="K1147" s="15">
        <v>0.06</v>
      </c>
      <c r="L1147" s="15">
        <v>8.45</v>
      </c>
      <c r="M1147" s="15" t="s">
        <v>25</v>
      </c>
    </row>
    <row r="1148" ht="15.75" customHeight="1">
      <c r="A1148" s="15" t="s">
        <v>466</v>
      </c>
      <c r="B1148" s="15" t="s">
        <v>4024</v>
      </c>
      <c r="C1148" s="15">
        <v>2.0</v>
      </c>
      <c r="D1148" s="15" t="s">
        <v>22</v>
      </c>
      <c r="E1148" s="15">
        <v>0.64</v>
      </c>
      <c r="F1148" s="15">
        <v>40.44</v>
      </c>
      <c r="G1148" s="15">
        <v>26.43</v>
      </c>
      <c r="H1148" s="15">
        <v>0.83</v>
      </c>
      <c r="I1148" s="15">
        <v>0.73</v>
      </c>
      <c r="J1148" s="15">
        <v>0.45</v>
      </c>
      <c r="K1148" s="15">
        <v>0.07</v>
      </c>
      <c r="L1148" s="15">
        <v>8.54</v>
      </c>
      <c r="M1148" s="15" t="s">
        <v>25</v>
      </c>
    </row>
    <row r="1149" ht="15.75" customHeight="1">
      <c r="A1149" s="15" t="s">
        <v>137</v>
      </c>
      <c r="B1149" s="15" t="s">
        <v>4025</v>
      </c>
      <c r="C1149" s="15">
        <v>2.0</v>
      </c>
      <c r="D1149" s="15" t="s">
        <v>22</v>
      </c>
      <c r="E1149" s="15">
        <v>0.51</v>
      </c>
      <c r="F1149" s="15">
        <v>40.43</v>
      </c>
      <c r="G1149" s="15">
        <v>27.06</v>
      </c>
      <c r="H1149" s="15">
        <v>0.84</v>
      </c>
      <c r="I1149" s="15">
        <v>0.69</v>
      </c>
      <c r="J1149" s="15">
        <v>0.35</v>
      </c>
      <c r="K1149" s="15">
        <v>0.05</v>
      </c>
      <c r="L1149" s="15">
        <v>8.93</v>
      </c>
      <c r="M1149" s="15" t="s">
        <v>25</v>
      </c>
    </row>
    <row r="1150" ht="15.75" customHeight="1">
      <c r="A1150" s="15" t="s">
        <v>1751</v>
      </c>
      <c r="B1150" s="15" t="s">
        <v>4026</v>
      </c>
      <c r="C1150" s="15">
        <v>2.0</v>
      </c>
      <c r="D1150" s="15" t="s">
        <v>22</v>
      </c>
      <c r="E1150" s="15">
        <v>0.43</v>
      </c>
      <c r="F1150" s="15">
        <v>39.98</v>
      </c>
      <c r="G1150" s="15">
        <v>26.36</v>
      </c>
      <c r="H1150" s="15">
        <v>0.85</v>
      </c>
      <c r="I1150" s="15">
        <v>0.72</v>
      </c>
      <c r="J1150" s="15">
        <v>0.35</v>
      </c>
      <c r="K1150" s="15">
        <v>0.05</v>
      </c>
      <c r="L1150" s="15">
        <v>8.94</v>
      </c>
      <c r="M1150" s="15" t="s">
        <v>25</v>
      </c>
    </row>
    <row r="1151" ht="15.75" customHeight="1">
      <c r="A1151" s="15" t="s">
        <v>142</v>
      </c>
      <c r="B1151" s="15" t="s">
        <v>4027</v>
      </c>
      <c r="C1151" s="15">
        <v>2.0</v>
      </c>
      <c r="D1151" s="15" t="s">
        <v>22</v>
      </c>
      <c r="E1151" s="15">
        <v>0.51</v>
      </c>
      <c r="F1151" s="15">
        <v>39.9</v>
      </c>
      <c r="G1151" s="15">
        <v>26.13</v>
      </c>
      <c r="H1151" s="15">
        <v>0.83</v>
      </c>
      <c r="I1151" s="15">
        <v>0.73</v>
      </c>
      <c r="J1151" s="15">
        <v>0.37</v>
      </c>
      <c r="K1151" s="15">
        <v>0.05</v>
      </c>
      <c r="L1151" s="15">
        <v>8.86</v>
      </c>
      <c r="M1151" s="15" t="s">
        <v>25</v>
      </c>
    </row>
    <row r="1152" ht="15.75" customHeight="1">
      <c r="A1152" s="15" t="s">
        <v>2684</v>
      </c>
      <c r="B1152" s="15" t="s">
        <v>4028</v>
      </c>
      <c r="C1152" s="15">
        <v>2.0</v>
      </c>
      <c r="D1152" s="15" t="s">
        <v>22</v>
      </c>
      <c r="E1152" s="15">
        <v>0.76</v>
      </c>
      <c r="F1152" s="15">
        <v>39.83</v>
      </c>
      <c r="G1152" s="15">
        <v>27.04</v>
      </c>
      <c r="H1152" s="15">
        <v>0.89</v>
      </c>
      <c r="I1152" s="15">
        <v>0.68</v>
      </c>
      <c r="J1152" s="15">
        <v>0.46</v>
      </c>
      <c r="K1152" s="15">
        <v>0.07</v>
      </c>
      <c r="L1152" s="15">
        <v>8.29</v>
      </c>
      <c r="M1152" s="15" t="s">
        <v>25</v>
      </c>
    </row>
    <row r="1153" ht="15.75" customHeight="1">
      <c r="A1153" s="15" t="s">
        <v>121</v>
      </c>
      <c r="B1153" s="15" t="s">
        <v>4029</v>
      </c>
      <c r="C1153" s="15">
        <v>2.0</v>
      </c>
      <c r="D1153" s="15" t="s">
        <v>22</v>
      </c>
      <c r="E1153" s="15">
        <v>0.56</v>
      </c>
      <c r="F1153" s="15">
        <v>39.62</v>
      </c>
      <c r="G1153" s="15">
        <v>26.41</v>
      </c>
      <c r="H1153" s="15">
        <v>0.83</v>
      </c>
      <c r="I1153" s="15">
        <v>0.71</v>
      </c>
      <c r="J1153" s="15">
        <v>0.36</v>
      </c>
      <c r="K1153" s="15">
        <v>0.05</v>
      </c>
      <c r="L1153" s="15">
        <v>8.97</v>
      </c>
      <c r="M1153" s="15" t="s">
        <v>25</v>
      </c>
    </row>
    <row r="1154" ht="15.75" customHeight="1">
      <c r="A1154" s="15" t="s">
        <v>147</v>
      </c>
      <c r="B1154" s="15" t="s">
        <v>4030</v>
      </c>
      <c r="C1154" s="15">
        <v>2.0</v>
      </c>
      <c r="D1154" s="15" t="s">
        <v>22</v>
      </c>
      <c r="E1154" s="15">
        <v>0.5</v>
      </c>
      <c r="F1154" s="15">
        <v>39.62</v>
      </c>
      <c r="G1154" s="15">
        <v>26.29</v>
      </c>
      <c r="H1154" s="15">
        <v>0.83</v>
      </c>
      <c r="I1154" s="15">
        <v>0.72</v>
      </c>
      <c r="J1154" s="15">
        <v>0.36</v>
      </c>
      <c r="K1154" s="15">
        <v>0.05</v>
      </c>
      <c r="L1154" s="15">
        <v>8.97</v>
      </c>
      <c r="M1154" s="15" t="s">
        <v>25</v>
      </c>
    </row>
    <row r="1155" ht="15.75" customHeight="1">
      <c r="A1155" s="15" t="s">
        <v>629</v>
      </c>
      <c r="B1155" s="15" t="s">
        <v>4031</v>
      </c>
      <c r="C1155" s="15">
        <v>2.0</v>
      </c>
      <c r="D1155" s="15" t="s">
        <v>22</v>
      </c>
      <c r="E1155" s="15">
        <v>0.64</v>
      </c>
      <c r="F1155" s="15">
        <v>39.54</v>
      </c>
      <c r="G1155" s="15">
        <v>26.51</v>
      </c>
      <c r="H1155" s="15">
        <v>0.84</v>
      </c>
      <c r="I1155" s="15">
        <v>0.71</v>
      </c>
      <c r="J1155" s="15">
        <v>0.45</v>
      </c>
      <c r="K1155" s="15">
        <v>0.07</v>
      </c>
      <c r="L1155" s="15">
        <v>8.57</v>
      </c>
      <c r="M1155" s="15" t="s">
        <v>25</v>
      </c>
    </row>
    <row r="1156" ht="15.75" customHeight="1">
      <c r="A1156" s="15" t="s">
        <v>1905</v>
      </c>
      <c r="B1156" s="15" t="s">
        <v>4032</v>
      </c>
      <c r="C1156" s="15">
        <v>2.0</v>
      </c>
      <c r="D1156" s="15" t="s">
        <v>22</v>
      </c>
      <c r="E1156" s="15">
        <v>0.49</v>
      </c>
      <c r="F1156" s="15">
        <v>39.5</v>
      </c>
      <c r="G1156" s="15">
        <v>26.69</v>
      </c>
      <c r="H1156" s="15">
        <v>0.83</v>
      </c>
      <c r="I1156" s="15">
        <v>0.7</v>
      </c>
      <c r="J1156" s="15">
        <v>0.36</v>
      </c>
      <c r="K1156" s="15">
        <v>0.05</v>
      </c>
      <c r="L1156" s="15">
        <v>8.96</v>
      </c>
      <c r="M1156" s="15" t="s">
        <v>25</v>
      </c>
    </row>
    <row r="1157" ht="15.75" customHeight="1">
      <c r="A1157" s="15" t="s">
        <v>2741</v>
      </c>
      <c r="B1157" s="15" t="s">
        <v>4033</v>
      </c>
      <c r="C1157" s="15">
        <v>2.0</v>
      </c>
      <c r="D1157" s="15" t="s">
        <v>22</v>
      </c>
      <c r="E1157" s="15">
        <v>0.79</v>
      </c>
      <c r="F1157" s="15">
        <v>39.41</v>
      </c>
      <c r="G1157" s="15">
        <v>27.06</v>
      </c>
      <c r="H1157" s="15">
        <v>0.89</v>
      </c>
      <c r="I1157" s="15">
        <v>0.68</v>
      </c>
      <c r="J1157" s="15">
        <v>0.42</v>
      </c>
      <c r="K1157" s="15">
        <v>0.06</v>
      </c>
      <c r="L1157" s="15">
        <v>8.51</v>
      </c>
      <c r="M1157" s="15" t="s">
        <v>25</v>
      </c>
    </row>
    <row r="1158" ht="15.75" customHeight="1">
      <c r="A1158" s="15" t="s">
        <v>126</v>
      </c>
      <c r="B1158" s="15" t="s">
        <v>4034</v>
      </c>
      <c r="C1158" s="15">
        <v>2.0</v>
      </c>
      <c r="D1158" s="15" t="s">
        <v>22</v>
      </c>
      <c r="E1158" s="15">
        <v>0.54</v>
      </c>
      <c r="F1158" s="15">
        <v>39.39</v>
      </c>
      <c r="G1158" s="15">
        <v>26.66</v>
      </c>
      <c r="H1158" s="15">
        <v>0.85</v>
      </c>
      <c r="I1158" s="15">
        <v>0.7</v>
      </c>
      <c r="J1158" s="15">
        <v>0.35</v>
      </c>
      <c r="K1158" s="15">
        <v>0.05</v>
      </c>
      <c r="L1158" s="15">
        <v>8.95</v>
      </c>
      <c r="M1158" s="15" t="s">
        <v>25</v>
      </c>
    </row>
    <row r="1159" ht="15.75" customHeight="1">
      <c r="A1159" s="15" t="s">
        <v>560</v>
      </c>
      <c r="B1159" s="15" t="s">
        <v>4035</v>
      </c>
      <c r="C1159" s="15">
        <v>2.0</v>
      </c>
      <c r="D1159" s="15" t="s">
        <v>22</v>
      </c>
      <c r="E1159" s="15">
        <v>0.68</v>
      </c>
      <c r="F1159" s="15">
        <v>39.34</v>
      </c>
      <c r="G1159" s="15">
        <v>26.61</v>
      </c>
      <c r="H1159" s="15">
        <v>0.83</v>
      </c>
      <c r="I1159" s="15">
        <v>0.7</v>
      </c>
      <c r="J1159" s="15">
        <v>0.58</v>
      </c>
      <c r="K1159" s="15">
        <v>0.09</v>
      </c>
      <c r="L1159" s="15">
        <v>7.54</v>
      </c>
      <c r="M1159" s="15" t="s">
        <v>25</v>
      </c>
    </row>
    <row r="1160" ht="15.75" customHeight="1">
      <c r="A1160" s="15" t="s">
        <v>177</v>
      </c>
      <c r="B1160" s="15" t="s">
        <v>4036</v>
      </c>
      <c r="C1160" s="15">
        <v>2.0</v>
      </c>
      <c r="D1160" s="15" t="s">
        <v>22</v>
      </c>
      <c r="E1160" s="15">
        <v>0.76</v>
      </c>
      <c r="F1160" s="15">
        <v>39.09</v>
      </c>
      <c r="G1160" s="15">
        <v>27.17</v>
      </c>
      <c r="H1160" s="15">
        <v>0.89</v>
      </c>
      <c r="I1160" s="15">
        <v>0.67</v>
      </c>
      <c r="J1160" s="15">
        <v>0.48</v>
      </c>
      <c r="K1160" s="15">
        <v>0.07</v>
      </c>
      <c r="L1160" s="15">
        <v>8.22</v>
      </c>
      <c r="M1160" s="15" t="s">
        <v>25</v>
      </c>
    </row>
    <row r="1161" ht="15.75" customHeight="1">
      <c r="A1161" s="15" t="s">
        <v>2753</v>
      </c>
      <c r="B1161" s="15" t="s">
        <v>4037</v>
      </c>
      <c r="C1161" s="15">
        <v>2.0</v>
      </c>
      <c r="D1161" s="15" t="s">
        <v>22</v>
      </c>
      <c r="E1161" s="15">
        <v>0.8</v>
      </c>
      <c r="F1161" s="15">
        <v>39.02</v>
      </c>
      <c r="G1161" s="15">
        <v>26.8</v>
      </c>
      <c r="H1161" s="15">
        <v>0.89</v>
      </c>
      <c r="I1161" s="15">
        <v>0.68</v>
      </c>
      <c r="J1161" s="15">
        <v>0.43</v>
      </c>
      <c r="K1161" s="15">
        <v>0.06</v>
      </c>
      <c r="L1161" s="15">
        <v>8.45</v>
      </c>
      <c r="M1161" s="15" t="s">
        <v>25</v>
      </c>
    </row>
    <row r="1162" ht="15.75" customHeight="1">
      <c r="A1162" s="15" t="s">
        <v>568</v>
      </c>
      <c r="B1162" s="15" t="s">
        <v>4038</v>
      </c>
      <c r="C1162" s="15">
        <v>2.0</v>
      </c>
      <c r="D1162" s="15" t="s">
        <v>22</v>
      </c>
      <c r="E1162" s="15">
        <v>0.51</v>
      </c>
      <c r="F1162" s="15">
        <v>38.81</v>
      </c>
      <c r="G1162" s="15">
        <v>25.76</v>
      </c>
      <c r="H1162" s="15">
        <v>0.82</v>
      </c>
      <c r="I1162" s="15">
        <v>0.74</v>
      </c>
      <c r="J1162" s="15">
        <v>0.64</v>
      </c>
      <c r="K1162" s="15">
        <v>0.1</v>
      </c>
      <c r="L1162" s="15">
        <v>7.13</v>
      </c>
      <c r="M1162" s="15" t="s">
        <v>25</v>
      </c>
    </row>
    <row r="1163" ht="15.75" customHeight="1">
      <c r="A1163" s="15" t="s">
        <v>190</v>
      </c>
      <c r="B1163" s="15" t="s">
        <v>4039</v>
      </c>
      <c r="C1163" s="15">
        <v>2.0</v>
      </c>
      <c r="D1163" s="15" t="s">
        <v>22</v>
      </c>
      <c r="E1163" s="15">
        <v>0.79</v>
      </c>
      <c r="F1163" s="15">
        <v>38.66</v>
      </c>
      <c r="G1163" s="15">
        <v>27.02</v>
      </c>
      <c r="H1163" s="15">
        <v>0.9</v>
      </c>
      <c r="I1163" s="15">
        <v>0.67</v>
      </c>
      <c r="J1163" s="15">
        <v>0.43</v>
      </c>
      <c r="K1163" s="15">
        <v>0.06</v>
      </c>
      <c r="L1163" s="15">
        <v>8.5</v>
      </c>
      <c r="M1163" s="15" t="s">
        <v>25</v>
      </c>
    </row>
    <row r="1164" ht="15.75" customHeight="1">
      <c r="A1164" s="15" t="s">
        <v>157</v>
      </c>
      <c r="B1164" s="15" t="s">
        <v>4040</v>
      </c>
      <c r="C1164" s="15">
        <v>2.0</v>
      </c>
      <c r="D1164" s="15" t="s">
        <v>22</v>
      </c>
      <c r="E1164" s="15">
        <v>0.79</v>
      </c>
      <c r="F1164" s="15">
        <v>38.63</v>
      </c>
      <c r="G1164" s="15">
        <v>26.85</v>
      </c>
      <c r="H1164" s="15">
        <v>0.9</v>
      </c>
      <c r="I1164" s="15">
        <v>0.67</v>
      </c>
      <c r="J1164" s="15">
        <v>0.43</v>
      </c>
      <c r="K1164" s="15">
        <v>0.06</v>
      </c>
      <c r="L1164" s="15">
        <v>8.49</v>
      </c>
      <c r="M1164" s="15" t="s">
        <v>25</v>
      </c>
    </row>
    <row r="1165" ht="15.75" customHeight="1">
      <c r="A1165" s="15" t="s">
        <v>97</v>
      </c>
      <c r="B1165" s="15" t="s">
        <v>4041</v>
      </c>
      <c r="C1165" s="15">
        <v>2.0</v>
      </c>
      <c r="D1165" s="15" t="s">
        <v>22</v>
      </c>
      <c r="E1165" s="15">
        <v>0.79</v>
      </c>
      <c r="F1165" s="15">
        <v>38.63</v>
      </c>
      <c r="G1165" s="15">
        <v>26.93</v>
      </c>
      <c r="H1165" s="15">
        <v>0.9</v>
      </c>
      <c r="I1165" s="15">
        <v>0.67</v>
      </c>
      <c r="J1165" s="15">
        <v>0.43</v>
      </c>
      <c r="K1165" s="15">
        <v>0.06</v>
      </c>
      <c r="L1165" s="15">
        <v>8.48</v>
      </c>
      <c r="M1165" s="15" t="s">
        <v>25</v>
      </c>
    </row>
    <row r="1166" ht="15.75" customHeight="1">
      <c r="A1166" s="15" t="s">
        <v>2652</v>
      </c>
      <c r="B1166" s="15" t="s">
        <v>4042</v>
      </c>
      <c r="C1166" s="15">
        <v>2.0</v>
      </c>
      <c r="D1166" s="15" t="s">
        <v>22</v>
      </c>
      <c r="E1166" s="15">
        <v>0.78</v>
      </c>
      <c r="F1166" s="15">
        <v>38.62</v>
      </c>
      <c r="G1166" s="15">
        <v>26.85</v>
      </c>
      <c r="H1166" s="15">
        <v>0.9</v>
      </c>
      <c r="I1166" s="15">
        <v>0.67</v>
      </c>
      <c r="J1166" s="15">
        <v>0.43</v>
      </c>
      <c r="K1166" s="15">
        <v>0.06</v>
      </c>
      <c r="L1166" s="15">
        <v>8.49</v>
      </c>
      <c r="M1166" s="15" t="s">
        <v>25</v>
      </c>
    </row>
    <row r="1167" ht="15.75" customHeight="1">
      <c r="A1167" s="15" t="s">
        <v>152</v>
      </c>
      <c r="B1167" s="15" t="s">
        <v>4043</v>
      </c>
      <c r="C1167" s="15">
        <v>2.0</v>
      </c>
      <c r="D1167" s="15" t="s">
        <v>22</v>
      </c>
      <c r="E1167" s="15">
        <v>0.8</v>
      </c>
      <c r="F1167" s="15">
        <v>38.62</v>
      </c>
      <c r="G1167" s="15">
        <v>26.85</v>
      </c>
      <c r="H1167" s="15">
        <v>0.9</v>
      </c>
      <c r="I1167" s="15">
        <v>0.67</v>
      </c>
      <c r="J1167" s="15">
        <v>0.43</v>
      </c>
      <c r="K1167" s="15">
        <v>0.06</v>
      </c>
      <c r="L1167" s="15">
        <v>8.49</v>
      </c>
      <c r="M1167" s="15" t="s">
        <v>25</v>
      </c>
    </row>
    <row r="1168" ht="15.75" customHeight="1">
      <c r="A1168" s="15" t="s">
        <v>21</v>
      </c>
      <c r="B1168" s="15" t="s">
        <v>4044</v>
      </c>
      <c r="C1168" s="15">
        <v>2.0</v>
      </c>
      <c r="D1168" s="15" t="s">
        <v>22</v>
      </c>
      <c r="E1168" s="15">
        <v>0.8</v>
      </c>
      <c r="F1168" s="15">
        <v>38.61</v>
      </c>
      <c r="G1168" s="15">
        <v>26.82</v>
      </c>
      <c r="H1168" s="15">
        <v>0.9</v>
      </c>
      <c r="I1168" s="15">
        <v>0.67</v>
      </c>
      <c r="J1168" s="15">
        <v>0.43</v>
      </c>
      <c r="K1168" s="15">
        <v>0.06</v>
      </c>
      <c r="L1168" s="15">
        <v>8.49</v>
      </c>
      <c r="M1168" s="15" t="s">
        <v>25</v>
      </c>
    </row>
    <row r="1169" ht="15.75" customHeight="1">
      <c r="A1169" s="15" t="s">
        <v>58</v>
      </c>
      <c r="B1169" s="15" t="s">
        <v>4045</v>
      </c>
      <c r="C1169" s="15">
        <v>2.0</v>
      </c>
      <c r="D1169" s="15" t="s">
        <v>22</v>
      </c>
      <c r="E1169" s="15">
        <v>0.8</v>
      </c>
      <c r="F1169" s="15">
        <v>38.54</v>
      </c>
      <c r="G1169" s="15">
        <v>26.88</v>
      </c>
      <c r="H1169" s="15">
        <v>0.9</v>
      </c>
      <c r="I1169" s="15">
        <v>0.67</v>
      </c>
      <c r="J1169" s="15">
        <v>0.42</v>
      </c>
      <c r="K1169" s="15">
        <v>0.06</v>
      </c>
      <c r="L1169" s="15">
        <v>8.47</v>
      </c>
      <c r="M1169" s="15" t="s">
        <v>25</v>
      </c>
    </row>
    <row r="1170" ht="15.75" customHeight="1">
      <c r="A1170" s="15" t="s">
        <v>2591</v>
      </c>
      <c r="B1170" s="15" t="s">
        <v>4046</v>
      </c>
      <c r="C1170" s="15">
        <v>2.0</v>
      </c>
      <c r="D1170" s="15" t="s">
        <v>22</v>
      </c>
      <c r="E1170" s="15">
        <v>0.79</v>
      </c>
      <c r="F1170" s="15">
        <v>38.53</v>
      </c>
      <c r="G1170" s="15">
        <v>26.88</v>
      </c>
      <c r="H1170" s="15">
        <v>0.9</v>
      </c>
      <c r="I1170" s="15">
        <v>0.67</v>
      </c>
      <c r="J1170" s="15">
        <v>0.43</v>
      </c>
      <c r="K1170" s="15">
        <v>0.06</v>
      </c>
      <c r="L1170" s="15">
        <v>8.43</v>
      </c>
      <c r="M1170" s="15" t="s">
        <v>25</v>
      </c>
    </row>
    <row r="1171" ht="15.75" customHeight="1">
      <c r="A1171" s="15" t="s">
        <v>2612</v>
      </c>
      <c r="B1171" s="15" t="s">
        <v>4047</v>
      </c>
      <c r="C1171" s="15">
        <v>2.0</v>
      </c>
      <c r="D1171" s="15" t="s">
        <v>22</v>
      </c>
      <c r="E1171" s="15">
        <v>0.79</v>
      </c>
      <c r="F1171" s="15">
        <v>38.51</v>
      </c>
      <c r="G1171" s="15">
        <v>26.88</v>
      </c>
      <c r="H1171" s="15">
        <v>0.9</v>
      </c>
      <c r="I1171" s="15">
        <v>0.67</v>
      </c>
      <c r="J1171" s="15">
        <v>0.43</v>
      </c>
      <c r="K1171" s="15">
        <v>0.06</v>
      </c>
      <c r="L1171" s="15">
        <v>8.46</v>
      </c>
      <c r="M1171" s="15" t="s">
        <v>25</v>
      </c>
    </row>
    <row r="1172" ht="15.75" customHeight="1">
      <c r="A1172" s="15" t="s">
        <v>2558</v>
      </c>
      <c r="B1172" s="15" t="s">
        <v>4048</v>
      </c>
      <c r="C1172" s="15">
        <v>2.0</v>
      </c>
      <c r="D1172" s="15" t="s">
        <v>22</v>
      </c>
      <c r="E1172" s="15">
        <v>0.78</v>
      </c>
      <c r="F1172" s="15">
        <v>38.51</v>
      </c>
      <c r="G1172" s="15">
        <v>26.88</v>
      </c>
      <c r="H1172" s="15">
        <v>0.9</v>
      </c>
      <c r="I1172" s="15">
        <v>0.67</v>
      </c>
      <c r="J1172" s="15">
        <v>0.42</v>
      </c>
      <c r="K1172" s="15">
        <v>0.06</v>
      </c>
      <c r="L1172" s="15">
        <v>8.46</v>
      </c>
      <c r="M1172" s="15" t="s">
        <v>25</v>
      </c>
    </row>
    <row r="1173" ht="15.75" customHeight="1">
      <c r="A1173" s="15" t="s">
        <v>187</v>
      </c>
      <c r="B1173" s="15" t="s">
        <v>4049</v>
      </c>
      <c r="C1173" s="15">
        <v>2.0</v>
      </c>
      <c r="D1173" s="15" t="s">
        <v>22</v>
      </c>
      <c r="E1173" s="15">
        <v>0.79</v>
      </c>
      <c r="F1173" s="15">
        <v>38.51</v>
      </c>
      <c r="G1173" s="15">
        <v>26.88</v>
      </c>
      <c r="H1173" s="15">
        <v>0.9</v>
      </c>
      <c r="I1173" s="15">
        <v>0.67</v>
      </c>
      <c r="J1173" s="15">
        <v>0.42</v>
      </c>
      <c r="K1173" s="15">
        <v>0.06</v>
      </c>
      <c r="L1173" s="15">
        <v>8.47</v>
      </c>
      <c r="M1173" s="15" t="s">
        <v>25</v>
      </c>
    </row>
    <row r="1174" ht="15.75" customHeight="1">
      <c r="A1174" s="15" t="s">
        <v>2618</v>
      </c>
      <c r="B1174" s="15" t="s">
        <v>4050</v>
      </c>
      <c r="C1174" s="15">
        <v>2.0</v>
      </c>
      <c r="D1174" s="15" t="s">
        <v>22</v>
      </c>
      <c r="E1174" s="15">
        <v>0.79</v>
      </c>
      <c r="F1174" s="15">
        <v>38.5</v>
      </c>
      <c r="G1174" s="15">
        <v>26.88</v>
      </c>
      <c r="H1174" s="15">
        <v>0.9</v>
      </c>
      <c r="I1174" s="15">
        <v>0.67</v>
      </c>
      <c r="J1174" s="15">
        <v>0.42</v>
      </c>
      <c r="K1174" s="15">
        <v>0.06</v>
      </c>
      <c r="L1174" s="15">
        <v>8.47</v>
      </c>
      <c r="M1174" s="15" t="s">
        <v>25</v>
      </c>
    </row>
    <row r="1175" ht="15.75" customHeight="1">
      <c r="A1175" s="15" t="s">
        <v>2766</v>
      </c>
      <c r="B1175" s="15" t="s">
        <v>4051</v>
      </c>
      <c r="C1175" s="15">
        <v>2.0</v>
      </c>
      <c r="D1175" s="15" t="s">
        <v>22</v>
      </c>
      <c r="E1175" s="15">
        <v>0.79</v>
      </c>
      <c r="F1175" s="15">
        <v>38.5</v>
      </c>
      <c r="G1175" s="15">
        <v>26.88</v>
      </c>
      <c r="H1175" s="15">
        <v>0.9</v>
      </c>
      <c r="I1175" s="15">
        <v>0.67</v>
      </c>
      <c r="J1175" s="15">
        <v>0.42</v>
      </c>
      <c r="K1175" s="15">
        <v>0.06</v>
      </c>
      <c r="L1175" s="15">
        <v>8.48</v>
      </c>
      <c r="M1175" s="15" t="s">
        <v>25</v>
      </c>
    </row>
    <row r="1176" ht="15.75" customHeight="1">
      <c r="A1176" s="15" t="s">
        <v>2587</v>
      </c>
      <c r="B1176" s="15" t="s">
        <v>4052</v>
      </c>
      <c r="C1176" s="15">
        <v>2.0</v>
      </c>
      <c r="D1176" s="15" t="s">
        <v>22</v>
      </c>
      <c r="E1176" s="15">
        <v>0.79</v>
      </c>
      <c r="F1176" s="15">
        <v>38.5</v>
      </c>
      <c r="G1176" s="15">
        <v>26.88</v>
      </c>
      <c r="H1176" s="15">
        <v>0.9</v>
      </c>
      <c r="I1176" s="15">
        <v>0.67</v>
      </c>
      <c r="J1176" s="15">
        <v>0.42</v>
      </c>
      <c r="K1176" s="15">
        <v>0.06</v>
      </c>
      <c r="L1176" s="15">
        <v>8.46</v>
      </c>
      <c r="M1176" s="15" t="s">
        <v>25</v>
      </c>
    </row>
    <row r="1177" ht="15.75" customHeight="1">
      <c r="A1177" s="15" t="s">
        <v>195</v>
      </c>
      <c r="B1177" s="15" t="s">
        <v>4053</v>
      </c>
      <c r="C1177" s="15">
        <v>2.0</v>
      </c>
      <c r="D1177" s="15" t="s">
        <v>22</v>
      </c>
      <c r="E1177" s="15">
        <v>0.79</v>
      </c>
      <c r="F1177" s="15">
        <v>38.49</v>
      </c>
      <c r="G1177" s="15">
        <v>26.88</v>
      </c>
      <c r="H1177" s="15">
        <v>0.9</v>
      </c>
      <c r="I1177" s="15">
        <v>0.67</v>
      </c>
      <c r="J1177" s="15">
        <v>0.42</v>
      </c>
      <c r="K1177" s="15">
        <v>0.06</v>
      </c>
      <c r="L1177" s="15">
        <v>8.46</v>
      </c>
      <c r="M1177" s="15" t="s">
        <v>25</v>
      </c>
    </row>
    <row r="1178" ht="15.75" customHeight="1">
      <c r="A1178" s="15" t="s">
        <v>2598</v>
      </c>
      <c r="B1178" s="15" t="s">
        <v>4054</v>
      </c>
      <c r="C1178" s="15">
        <v>2.0</v>
      </c>
      <c r="D1178" s="15" t="s">
        <v>22</v>
      </c>
      <c r="E1178" s="15">
        <v>0.8</v>
      </c>
      <c r="F1178" s="15">
        <v>38.46</v>
      </c>
      <c r="G1178" s="15">
        <v>26.68</v>
      </c>
      <c r="H1178" s="15">
        <v>0.9</v>
      </c>
      <c r="I1178" s="15">
        <v>0.68</v>
      </c>
      <c r="J1178" s="15">
        <v>0.42</v>
      </c>
      <c r="K1178" s="15">
        <v>0.06</v>
      </c>
      <c r="L1178" s="15">
        <v>8.47</v>
      </c>
      <c r="M1178" s="15" t="s">
        <v>25</v>
      </c>
    </row>
    <row r="1179" ht="15.75" customHeight="1">
      <c r="A1179" s="15" t="s">
        <v>2646</v>
      </c>
      <c r="B1179" s="15" t="s">
        <v>4055</v>
      </c>
      <c r="C1179" s="15">
        <v>2.0</v>
      </c>
      <c r="D1179" s="15" t="s">
        <v>22</v>
      </c>
      <c r="E1179" s="15">
        <v>0.81</v>
      </c>
      <c r="F1179" s="15">
        <v>38.45</v>
      </c>
      <c r="G1179" s="15">
        <v>26.65</v>
      </c>
      <c r="H1179" s="15">
        <v>0.9</v>
      </c>
      <c r="I1179" s="15">
        <v>0.68</v>
      </c>
      <c r="J1179" s="15">
        <v>0.42</v>
      </c>
      <c r="K1179" s="15">
        <v>0.06</v>
      </c>
      <c r="L1179" s="15">
        <v>8.49</v>
      </c>
      <c r="M1179" s="15" t="s">
        <v>25</v>
      </c>
    </row>
    <row r="1180" ht="15.75" customHeight="1">
      <c r="A1180" s="15" t="s">
        <v>3185</v>
      </c>
      <c r="B1180" s="15" t="s">
        <v>4056</v>
      </c>
      <c r="C1180" s="15">
        <v>2.0</v>
      </c>
      <c r="D1180" s="15" t="s">
        <v>22</v>
      </c>
      <c r="E1180" s="15">
        <v>0.76</v>
      </c>
      <c r="F1180" s="15">
        <v>38.4</v>
      </c>
      <c r="G1180" s="15">
        <v>26.36</v>
      </c>
      <c r="H1180" s="15">
        <v>0.88</v>
      </c>
      <c r="I1180" s="15">
        <v>0.69</v>
      </c>
      <c r="J1180" s="15">
        <v>0.5</v>
      </c>
      <c r="K1180" s="15">
        <v>0.07</v>
      </c>
      <c r="L1180" s="15">
        <v>8.03</v>
      </c>
      <c r="M1180" s="15" t="s">
        <v>25</v>
      </c>
    </row>
    <row r="1181" ht="15.75" customHeight="1">
      <c r="A1181" s="15" t="s">
        <v>1913</v>
      </c>
      <c r="B1181" s="15" t="s">
        <v>4057</v>
      </c>
      <c r="C1181" s="15">
        <v>2.0</v>
      </c>
      <c r="D1181" s="15" t="s">
        <v>22</v>
      </c>
      <c r="E1181" s="15">
        <v>0.53</v>
      </c>
      <c r="F1181" s="15">
        <v>38.36</v>
      </c>
      <c r="G1181" s="15">
        <v>25.66</v>
      </c>
      <c r="H1181" s="15">
        <v>0.84</v>
      </c>
      <c r="I1181" s="15">
        <v>0.73</v>
      </c>
      <c r="J1181" s="15">
        <v>0.35</v>
      </c>
      <c r="K1181" s="15">
        <v>0.05</v>
      </c>
      <c r="L1181" s="15">
        <v>8.92</v>
      </c>
      <c r="M1181" s="15" t="s">
        <v>25</v>
      </c>
    </row>
    <row r="1182" ht="15.75" customHeight="1">
      <c r="A1182" s="15" t="s">
        <v>1744</v>
      </c>
      <c r="B1182" s="15" t="s">
        <v>4058</v>
      </c>
      <c r="C1182" s="15">
        <v>2.0</v>
      </c>
      <c r="D1182" s="15" t="s">
        <v>22</v>
      </c>
      <c r="E1182" s="15">
        <v>0.51</v>
      </c>
      <c r="F1182" s="15">
        <v>38.29</v>
      </c>
      <c r="G1182" s="15">
        <v>25.22</v>
      </c>
      <c r="H1182" s="15">
        <v>0.8</v>
      </c>
      <c r="I1182" s="15">
        <v>0.76</v>
      </c>
      <c r="J1182" s="15">
        <v>0.44</v>
      </c>
      <c r="K1182" s="15">
        <v>0.06</v>
      </c>
      <c r="L1182" s="15">
        <v>8.42</v>
      </c>
      <c r="M1182" s="15" t="s">
        <v>25</v>
      </c>
    </row>
    <row r="1183" ht="15.75" customHeight="1">
      <c r="A1183" s="15" t="s">
        <v>2723</v>
      </c>
      <c r="B1183" s="15" t="s">
        <v>4059</v>
      </c>
      <c r="C1183" s="15">
        <v>2.0</v>
      </c>
      <c r="D1183" s="15" t="s">
        <v>22</v>
      </c>
      <c r="E1183" s="15">
        <v>0.8</v>
      </c>
      <c r="F1183" s="15">
        <v>38.26</v>
      </c>
      <c r="G1183" s="15">
        <v>26.77</v>
      </c>
      <c r="H1183" s="15">
        <v>0.9</v>
      </c>
      <c r="I1183" s="15">
        <v>0.67</v>
      </c>
      <c r="J1183" s="15">
        <v>0.43</v>
      </c>
      <c r="K1183" s="15">
        <v>0.06</v>
      </c>
      <c r="L1183" s="15">
        <v>8.46</v>
      </c>
      <c r="M1183" s="15" t="s">
        <v>25</v>
      </c>
    </row>
    <row r="1184" ht="15.75" customHeight="1">
      <c r="A1184" s="15" t="s">
        <v>2733</v>
      </c>
      <c r="B1184" s="15" t="s">
        <v>4060</v>
      </c>
      <c r="C1184" s="15">
        <v>2.0</v>
      </c>
      <c r="D1184" s="15" t="s">
        <v>22</v>
      </c>
      <c r="E1184" s="15">
        <v>0.76</v>
      </c>
      <c r="F1184" s="15">
        <v>37.68</v>
      </c>
      <c r="G1184" s="15">
        <v>26.58</v>
      </c>
      <c r="H1184" s="15">
        <v>0.89</v>
      </c>
      <c r="I1184" s="15">
        <v>0.67</v>
      </c>
      <c r="J1184" s="15">
        <v>0.54</v>
      </c>
      <c r="K1184" s="15">
        <v>0.08</v>
      </c>
      <c r="L1184" s="15">
        <v>7.84</v>
      </c>
      <c r="M1184" s="15" t="s">
        <v>25</v>
      </c>
    </row>
    <row r="1185" ht="15.75" customHeight="1">
      <c r="A1185" s="15" t="s">
        <v>2694</v>
      </c>
      <c r="B1185" s="15" t="s">
        <v>4061</v>
      </c>
      <c r="C1185" s="15">
        <v>2.0</v>
      </c>
      <c r="D1185" s="15" t="s">
        <v>22</v>
      </c>
      <c r="E1185" s="15">
        <v>0.29</v>
      </c>
      <c r="F1185" s="15">
        <v>37.46</v>
      </c>
      <c r="G1185" s="15">
        <v>24.97</v>
      </c>
      <c r="H1185" s="15">
        <v>0.79</v>
      </c>
      <c r="I1185" s="15">
        <v>0.75</v>
      </c>
      <c r="J1185" s="15">
        <v>0.58</v>
      </c>
      <c r="K1185" s="15">
        <v>0.08</v>
      </c>
      <c r="L1185" s="15">
        <v>7.86</v>
      </c>
      <c r="M1185" s="15" t="s">
        <v>25</v>
      </c>
    </row>
    <row r="1186" ht="15.75" customHeight="1">
      <c r="A1186" s="15" t="s">
        <v>112</v>
      </c>
      <c r="B1186" s="15" t="s">
        <v>4062</v>
      </c>
      <c r="C1186" s="15">
        <v>2.0</v>
      </c>
      <c r="D1186" s="15" t="s">
        <v>22</v>
      </c>
      <c r="E1186" s="15">
        <v>0.46</v>
      </c>
      <c r="F1186" s="15">
        <v>37.15</v>
      </c>
      <c r="G1186" s="15">
        <v>25.18</v>
      </c>
      <c r="H1186" s="15">
        <v>0.84</v>
      </c>
      <c r="I1186" s="15">
        <v>0.74</v>
      </c>
      <c r="J1186" s="15">
        <v>0.51</v>
      </c>
      <c r="K1186" s="15">
        <v>0.08</v>
      </c>
      <c r="L1186" s="15">
        <v>7.97</v>
      </c>
      <c r="M1186" s="15" t="s">
        <v>25</v>
      </c>
    </row>
    <row r="1187" ht="15.75" customHeight="1">
      <c r="A1187" s="15" t="s">
        <v>76</v>
      </c>
      <c r="B1187" s="15" t="s">
        <v>4063</v>
      </c>
      <c r="C1187" s="15">
        <v>2.0</v>
      </c>
      <c r="D1187" s="15" t="s">
        <v>22</v>
      </c>
      <c r="E1187" s="15">
        <v>0.73</v>
      </c>
      <c r="F1187" s="15">
        <v>36.19</v>
      </c>
      <c r="G1187" s="15">
        <v>28.6</v>
      </c>
      <c r="H1187" s="15">
        <v>0.96</v>
      </c>
      <c r="I1187" s="15">
        <v>0.56</v>
      </c>
      <c r="J1187" s="15">
        <v>0.58</v>
      </c>
      <c r="K1187" s="15">
        <v>0.09</v>
      </c>
      <c r="L1187" s="15">
        <v>7.4</v>
      </c>
      <c r="M1187" s="15" t="s">
        <v>25</v>
      </c>
    </row>
    <row r="1188" ht="15.75" customHeight="1">
      <c r="A1188" s="15" t="s">
        <v>2432</v>
      </c>
      <c r="B1188" s="15" t="s">
        <v>4064</v>
      </c>
      <c r="C1188" s="15">
        <v>2.0</v>
      </c>
      <c r="D1188" s="15" t="s">
        <v>22</v>
      </c>
      <c r="E1188" s="15">
        <v>0.75</v>
      </c>
      <c r="F1188" s="15">
        <v>35.73</v>
      </c>
      <c r="G1188" s="15">
        <v>28.7</v>
      </c>
      <c r="H1188" s="15">
        <v>0.96</v>
      </c>
      <c r="I1188" s="15">
        <v>0.55</v>
      </c>
      <c r="J1188" s="15">
        <v>0.45</v>
      </c>
      <c r="K1188" s="15">
        <v>0.07</v>
      </c>
      <c r="L1188" s="15">
        <v>8.08</v>
      </c>
      <c r="M1188" s="15" t="s">
        <v>25</v>
      </c>
    </row>
    <row r="1189" ht="15.75" customHeight="1">
      <c r="A1189" s="15" t="s">
        <v>449</v>
      </c>
      <c r="B1189" s="15" t="s">
        <v>4065</v>
      </c>
      <c r="C1189" s="15">
        <v>2.0</v>
      </c>
      <c r="D1189" s="15" t="s">
        <v>22</v>
      </c>
      <c r="E1189" s="15">
        <v>0.76</v>
      </c>
      <c r="F1189" s="15">
        <v>35.43</v>
      </c>
      <c r="G1189" s="15">
        <v>28.13</v>
      </c>
      <c r="H1189" s="15">
        <v>0.96</v>
      </c>
      <c r="I1189" s="15">
        <v>0.56</v>
      </c>
      <c r="J1189" s="15">
        <v>0.46</v>
      </c>
      <c r="K1189" s="15">
        <v>0.07</v>
      </c>
      <c r="L1189" s="15">
        <v>8.02</v>
      </c>
      <c r="M1189" s="15" t="s">
        <v>25</v>
      </c>
    </row>
    <row r="1190" ht="15.75" customHeight="1">
      <c r="A1190" s="15" t="s">
        <v>534</v>
      </c>
      <c r="B1190" s="15" t="s">
        <v>4066</v>
      </c>
      <c r="C1190" s="15">
        <v>2.0</v>
      </c>
      <c r="D1190" s="15" t="s">
        <v>22</v>
      </c>
      <c r="E1190" s="15">
        <v>0.75</v>
      </c>
      <c r="F1190" s="15">
        <v>35.4</v>
      </c>
      <c r="G1190" s="15">
        <v>28.3</v>
      </c>
      <c r="H1190" s="15">
        <v>0.96</v>
      </c>
      <c r="I1190" s="15">
        <v>0.56</v>
      </c>
      <c r="J1190" s="15">
        <v>0.46</v>
      </c>
      <c r="K1190" s="15">
        <v>0.07</v>
      </c>
      <c r="L1190" s="15">
        <v>8.0</v>
      </c>
      <c r="M1190" s="15" t="s">
        <v>25</v>
      </c>
    </row>
    <row r="1191" ht="15.75" customHeight="1">
      <c r="A1191" s="15" t="s">
        <v>529</v>
      </c>
      <c r="B1191" s="15" t="s">
        <v>4067</v>
      </c>
      <c r="C1191" s="15">
        <v>2.0</v>
      </c>
      <c r="D1191" s="15" t="s">
        <v>22</v>
      </c>
      <c r="E1191" s="15">
        <v>0.76</v>
      </c>
      <c r="F1191" s="15">
        <v>35.39</v>
      </c>
      <c r="G1191" s="15">
        <v>28.3</v>
      </c>
      <c r="H1191" s="15">
        <v>0.96</v>
      </c>
      <c r="I1191" s="15">
        <v>0.56</v>
      </c>
      <c r="J1191" s="15">
        <v>0.46</v>
      </c>
      <c r="K1191" s="15">
        <v>0.07</v>
      </c>
      <c r="L1191" s="15">
        <v>8.02</v>
      </c>
      <c r="M1191" s="15" t="s">
        <v>25</v>
      </c>
    </row>
    <row r="1192" ht="15.75" customHeight="1">
      <c r="A1192" s="15" t="s">
        <v>384</v>
      </c>
      <c r="B1192" s="15" t="s">
        <v>4068</v>
      </c>
      <c r="C1192" s="15">
        <v>2.0</v>
      </c>
      <c r="D1192" s="15" t="s">
        <v>22</v>
      </c>
      <c r="E1192" s="15">
        <v>0.74</v>
      </c>
      <c r="F1192" s="15">
        <v>35.38</v>
      </c>
      <c r="G1192" s="15">
        <v>28.3</v>
      </c>
      <c r="H1192" s="15">
        <v>0.96</v>
      </c>
      <c r="I1192" s="15">
        <v>0.56</v>
      </c>
      <c r="J1192" s="15">
        <v>0.46</v>
      </c>
      <c r="K1192" s="15">
        <v>0.07</v>
      </c>
      <c r="L1192" s="15">
        <v>8.02</v>
      </c>
      <c r="M1192" s="15" t="s">
        <v>25</v>
      </c>
    </row>
    <row r="1193" ht="15.75" customHeight="1">
      <c r="A1193" s="15" t="s">
        <v>425</v>
      </c>
      <c r="B1193" s="15" t="s">
        <v>4069</v>
      </c>
      <c r="C1193" s="15">
        <v>2.0</v>
      </c>
      <c r="D1193" s="15" t="s">
        <v>22</v>
      </c>
      <c r="E1193" s="15">
        <v>0.76</v>
      </c>
      <c r="F1193" s="15">
        <v>35.37</v>
      </c>
      <c r="G1193" s="15">
        <v>28.3</v>
      </c>
      <c r="H1193" s="15">
        <v>0.96</v>
      </c>
      <c r="I1193" s="15">
        <v>0.56</v>
      </c>
      <c r="J1193" s="15">
        <v>0.46</v>
      </c>
      <c r="K1193" s="15">
        <v>0.07</v>
      </c>
      <c r="L1193" s="15">
        <v>8.01</v>
      </c>
      <c r="M1193" s="15" t="s">
        <v>25</v>
      </c>
    </row>
    <row r="1194" ht="15.75" customHeight="1">
      <c r="A1194" s="15" t="s">
        <v>98</v>
      </c>
      <c r="B1194" s="15" t="s">
        <v>4070</v>
      </c>
      <c r="C1194" s="15">
        <v>2.0</v>
      </c>
      <c r="D1194" s="15" t="s">
        <v>22</v>
      </c>
      <c r="E1194" s="15">
        <v>0.74</v>
      </c>
      <c r="F1194" s="15">
        <v>35.18</v>
      </c>
      <c r="G1194" s="15">
        <v>28.71</v>
      </c>
      <c r="H1194" s="15">
        <v>0.96</v>
      </c>
      <c r="I1194" s="15">
        <v>0.54</v>
      </c>
      <c r="J1194" s="15">
        <v>0.52</v>
      </c>
      <c r="K1194" s="15">
        <v>0.08</v>
      </c>
      <c r="L1194" s="15">
        <v>7.74</v>
      </c>
      <c r="M1194" s="15" t="s">
        <v>25</v>
      </c>
    </row>
    <row r="1195" ht="15.75" customHeight="1">
      <c r="A1195" s="15" t="s">
        <v>2493</v>
      </c>
      <c r="B1195" s="15" t="s">
        <v>4071</v>
      </c>
      <c r="C1195" s="15">
        <v>2.0</v>
      </c>
      <c r="D1195" s="15" t="s">
        <v>22</v>
      </c>
      <c r="E1195" s="15">
        <v>0.76</v>
      </c>
      <c r="F1195" s="15">
        <v>35.05</v>
      </c>
      <c r="G1195" s="15">
        <v>27.89</v>
      </c>
      <c r="H1195" s="15">
        <v>0.95</v>
      </c>
      <c r="I1195" s="15">
        <v>0.57</v>
      </c>
      <c r="J1195" s="15">
        <v>0.46</v>
      </c>
      <c r="K1195" s="15">
        <v>0.07</v>
      </c>
      <c r="L1195" s="15">
        <v>8.01</v>
      </c>
      <c r="M1195" s="15" t="s">
        <v>25</v>
      </c>
    </row>
    <row r="1196" ht="15.75" customHeight="1">
      <c r="A1196" s="15" t="s">
        <v>431</v>
      </c>
      <c r="B1196" s="15" t="s">
        <v>4072</v>
      </c>
      <c r="C1196" s="15">
        <v>2.0</v>
      </c>
      <c r="D1196" s="15" t="s">
        <v>22</v>
      </c>
      <c r="E1196" s="15">
        <v>0.75</v>
      </c>
      <c r="F1196" s="15">
        <v>35.05</v>
      </c>
      <c r="G1196" s="15">
        <v>27.89</v>
      </c>
      <c r="H1196" s="15">
        <v>0.95</v>
      </c>
      <c r="I1196" s="15">
        <v>0.57</v>
      </c>
      <c r="J1196" s="15">
        <v>0.46</v>
      </c>
      <c r="K1196" s="15">
        <v>0.07</v>
      </c>
      <c r="L1196" s="15">
        <v>7.99</v>
      </c>
      <c r="M1196" s="15" t="s">
        <v>25</v>
      </c>
    </row>
    <row r="1197" ht="15.75" customHeight="1">
      <c r="A1197" s="15" t="s">
        <v>43</v>
      </c>
      <c r="B1197" s="15" t="s">
        <v>4073</v>
      </c>
      <c r="C1197" s="15">
        <v>2.0</v>
      </c>
      <c r="D1197" s="15" t="s">
        <v>22</v>
      </c>
      <c r="E1197" s="15">
        <v>0.75</v>
      </c>
      <c r="F1197" s="15">
        <v>35.05</v>
      </c>
      <c r="G1197" s="15">
        <v>27.89</v>
      </c>
      <c r="H1197" s="15">
        <v>0.95</v>
      </c>
      <c r="I1197" s="15">
        <v>0.57</v>
      </c>
      <c r="J1197" s="15">
        <v>0.46</v>
      </c>
      <c r="K1197" s="15">
        <v>0.07</v>
      </c>
      <c r="L1197" s="15">
        <v>8.01</v>
      </c>
      <c r="M1197" s="15" t="s">
        <v>25</v>
      </c>
    </row>
    <row r="1198" ht="15.75" customHeight="1">
      <c r="A1198" s="15" t="s">
        <v>294</v>
      </c>
      <c r="B1198" s="15" t="s">
        <v>4074</v>
      </c>
      <c r="C1198" s="15">
        <v>2.0</v>
      </c>
      <c r="D1198" s="15" t="s">
        <v>22</v>
      </c>
      <c r="E1198" s="15">
        <v>0.76</v>
      </c>
      <c r="F1198" s="15">
        <v>35.05</v>
      </c>
      <c r="G1198" s="15">
        <v>27.89</v>
      </c>
      <c r="H1198" s="15">
        <v>0.95</v>
      </c>
      <c r="I1198" s="15">
        <v>0.57</v>
      </c>
      <c r="J1198" s="15">
        <v>0.45</v>
      </c>
      <c r="K1198" s="15">
        <v>0.07</v>
      </c>
      <c r="L1198" s="15">
        <v>8.05</v>
      </c>
      <c r="M1198" s="15" t="s">
        <v>25</v>
      </c>
    </row>
    <row r="1199" ht="15.75" customHeight="1">
      <c r="A1199" s="15" t="s">
        <v>38</v>
      </c>
      <c r="B1199" s="15" t="s">
        <v>4075</v>
      </c>
      <c r="C1199" s="15">
        <v>2.0</v>
      </c>
      <c r="D1199" s="15" t="s">
        <v>22</v>
      </c>
      <c r="E1199" s="15">
        <v>0.75</v>
      </c>
      <c r="F1199" s="15">
        <v>35.02</v>
      </c>
      <c r="G1199" s="15">
        <v>28.06</v>
      </c>
      <c r="H1199" s="15">
        <v>0.95</v>
      </c>
      <c r="I1199" s="15">
        <v>0.56</v>
      </c>
      <c r="J1199" s="15">
        <v>0.46</v>
      </c>
      <c r="K1199" s="15">
        <v>0.07</v>
      </c>
      <c r="L1199" s="15">
        <v>8.01</v>
      </c>
      <c r="M1199" s="15" t="s">
        <v>25</v>
      </c>
    </row>
    <row r="1200" ht="15.75" customHeight="1">
      <c r="A1200" s="15" t="s">
        <v>1037</v>
      </c>
      <c r="B1200" s="15" t="s">
        <v>4076</v>
      </c>
      <c r="C1200" s="15">
        <v>2.0</v>
      </c>
      <c r="D1200" s="15" t="s">
        <v>22</v>
      </c>
      <c r="E1200" s="15">
        <v>0.76</v>
      </c>
      <c r="F1200" s="15">
        <v>34.99</v>
      </c>
      <c r="G1200" s="15">
        <v>28.06</v>
      </c>
      <c r="H1200" s="15">
        <v>0.95</v>
      </c>
      <c r="I1200" s="15">
        <v>0.56</v>
      </c>
      <c r="J1200" s="15">
        <v>0.46</v>
      </c>
      <c r="K1200" s="15">
        <v>0.07</v>
      </c>
      <c r="L1200" s="15">
        <v>8.01</v>
      </c>
      <c r="M1200" s="15" t="s">
        <v>25</v>
      </c>
    </row>
    <row r="1201" ht="15.75" customHeight="1">
      <c r="A1201" s="15" t="s">
        <v>279</v>
      </c>
      <c r="B1201" s="15" t="s">
        <v>4077</v>
      </c>
      <c r="C1201" s="15">
        <v>2.0</v>
      </c>
      <c r="D1201" s="15" t="s">
        <v>22</v>
      </c>
      <c r="E1201" s="15">
        <v>0.75</v>
      </c>
      <c r="F1201" s="15">
        <v>34.99</v>
      </c>
      <c r="G1201" s="15">
        <v>28.23</v>
      </c>
      <c r="H1201" s="15">
        <v>0.95</v>
      </c>
      <c r="I1201" s="15">
        <v>0.55</v>
      </c>
      <c r="J1201" s="15">
        <v>0.46</v>
      </c>
      <c r="K1201" s="15">
        <v>0.07</v>
      </c>
      <c r="L1201" s="15">
        <v>7.98</v>
      </c>
      <c r="M1201" s="15" t="s">
        <v>25</v>
      </c>
    </row>
    <row r="1202" ht="15.75" customHeight="1">
      <c r="A1202" s="15" t="s">
        <v>287</v>
      </c>
      <c r="B1202" s="15" t="s">
        <v>4078</v>
      </c>
      <c r="C1202" s="15">
        <v>2.0</v>
      </c>
      <c r="D1202" s="15" t="s">
        <v>22</v>
      </c>
      <c r="E1202" s="15">
        <v>0.73</v>
      </c>
      <c r="F1202" s="15">
        <v>34.67</v>
      </c>
      <c r="G1202" s="15">
        <v>27.66</v>
      </c>
      <c r="H1202" s="15">
        <v>0.95</v>
      </c>
      <c r="I1202" s="15">
        <v>0.57</v>
      </c>
      <c r="J1202" s="15">
        <v>0.48</v>
      </c>
      <c r="K1202" s="15">
        <v>0.08</v>
      </c>
      <c r="L1202" s="15">
        <v>7.87</v>
      </c>
      <c r="M1202" s="15" t="s">
        <v>25</v>
      </c>
    </row>
    <row r="1203" ht="15.75" customHeight="1">
      <c r="A1203" s="15" t="s">
        <v>48</v>
      </c>
      <c r="B1203" s="15" t="s">
        <v>4079</v>
      </c>
      <c r="C1203" s="15">
        <v>2.0</v>
      </c>
      <c r="D1203" s="15" t="s">
        <v>22</v>
      </c>
      <c r="E1203" s="15">
        <v>0.75</v>
      </c>
      <c r="F1203" s="15">
        <v>34.67</v>
      </c>
      <c r="G1203" s="15">
        <v>27.66</v>
      </c>
      <c r="H1203" s="15">
        <v>0.95</v>
      </c>
      <c r="I1203" s="15">
        <v>0.57</v>
      </c>
      <c r="J1203" s="15">
        <v>0.47</v>
      </c>
      <c r="K1203" s="15">
        <v>0.07</v>
      </c>
      <c r="L1203" s="15">
        <v>7.89</v>
      </c>
      <c r="M1203" s="15" t="s">
        <v>25</v>
      </c>
    </row>
    <row r="1204" ht="15.75" customHeight="1">
      <c r="A1204" s="15" t="s">
        <v>461</v>
      </c>
      <c r="B1204" s="15" t="s">
        <v>4080</v>
      </c>
      <c r="C1204" s="15">
        <v>2.0</v>
      </c>
      <c r="D1204" s="15" t="s">
        <v>22</v>
      </c>
      <c r="E1204" s="15">
        <v>0.77</v>
      </c>
      <c r="F1204" s="15">
        <v>34.44</v>
      </c>
      <c r="G1204" s="15">
        <v>28.3</v>
      </c>
      <c r="H1204" s="15">
        <v>0.96</v>
      </c>
      <c r="I1204" s="15">
        <v>0.54</v>
      </c>
      <c r="J1204" s="15">
        <v>0.46</v>
      </c>
      <c r="K1204" s="15">
        <v>0.07</v>
      </c>
      <c r="L1204" s="15">
        <v>8.0</v>
      </c>
      <c r="M1204" s="15" t="s">
        <v>25</v>
      </c>
    </row>
    <row r="1205" ht="15.75" customHeight="1">
      <c r="A1205" s="15" t="s">
        <v>376</v>
      </c>
      <c r="B1205" s="15" t="s">
        <v>4081</v>
      </c>
      <c r="C1205" s="15">
        <v>2.0</v>
      </c>
      <c r="D1205" s="15" t="s">
        <v>22</v>
      </c>
      <c r="E1205" s="15">
        <v>0.74</v>
      </c>
      <c r="F1205" s="15">
        <v>34.1</v>
      </c>
      <c r="G1205" s="15">
        <v>28.06</v>
      </c>
      <c r="H1205" s="15">
        <v>0.96</v>
      </c>
      <c r="I1205" s="15">
        <v>0.54</v>
      </c>
      <c r="J1205" s="15">
        <v>0.48</v>
      </c>
      <c r="K1205" s="15">
        <v>0.08</v>
      </c>
      <c r="L1205" s="15">
        <v>7.86</v>
      </c>
      <c r="M1205" s="15" t="s">
        <v>25</v>
      </c>
    </row>
    <row r="1206" ht="15.75" customHeight="1">
      <c r="A1206" s="15" t="s">
        <v>473</v>
      </c>
      <c r="B1206" s="15" t="s">
        <v>4082</v>
      </c>
      <c r="C1206" s="15">
        <v>2.0</v>
      </c>
      <c r="D1206" s="15" t="s">
        <v>22</v>
      </c>
      <c r="E1206" s="15">
        <v>0.75</v>
      </c>
      <c r="F1206" s="15">
        <v>34.09</v>
      </c>
      <c r="G1206" s="15">
        <v>28.06</v>
      </c>
      <c r="H1206" s="15">
        <v>0.96</v>
      </c>
      <c r="I1206" s="15">
        <v>0.54</v>
      </c>
      <c r="J1206" s="15">
        <v>0.46</v>
      </c>
      <c r="K1206" s="15">
        <v>0.07</v>
      </c>
      <c r="L1206" s="15">
        <v>7.96</v>
      </c>
      <c r="M1206" s="15" t="s">
        <v>25</v>
      </c>
    </row>
    <row r="1207" ht="15.75" customHeight="1">
      <c r="A1207" s="15" t="s">
        <v>479</v>
      </c>
      <c r="B1207" s="15" t="s">
        <v>4083</v>
      </c>
      <c r="C1207" s="15">
        <v>2.0</v>
      </c>
      <c r="D1207" s="15" t="s">
        <v>22</v>
      </c>
      <c r="E1207" s="15">
        <v>0.75</v>
      </c>
      <c r="F1207" s="15">
        <v>34.07</v>
      </c>
      <c r="G1207" s="15">
        <v>28.06</v>
      </c>
      <c r="H1207" s="15">
        <v>0.96</v>
      </c>
      <c r="I1207" s="15">
        <v>0.54</v>
      </c>
      <c r="J1207" s="15">
        <v>0.46</v>
      </c>
      <c r="K1207" s="15">
        <v>0.07</v>
      </c>
      <c r="L1207" s="15">
        <v>7.96</v>
      </c>
      <c r="M1207" s="15" t="s">
        <v>25</v>
      </c>
    </row>
    <row r="1208" ht="15.75" customHeight="1">
      <c r="A1208" s="15" t="s">
        <v>329</v>
      </c>
      <c r="B1208" s="15" t="s">
        <v>4084</v>
      </c>
      <c r="C1208" s="15">
        <v>2.0</v>
      </c>
      <c r="D1208" s="15" t="s">
        <v>22</v>
      </c>
      <c r="E1208" s="15">
        <v>0.75</v>
      </c>
      <c r="F1208" s="15">
        <v>34.06</v>
      </c>
      <c r="G1208" s="15">
        <v>28.06</v>
      </c>
      <c r="H1208" s="15">
        <v>0.96</v>
      </c>
      <c r="I1208" s="15">
        <v>0.54</v>
      </c>
      <c r="J1208" s="15">
        <v>0.46</v>
      </c>
      <c r="K1208" s="15">
        <v>0.07</v>
      </c>
      <c r="L1208" s="15">
        <v>7.99</v>
      </c>
      <c r="M1208" s="15" t="s">
        <v>25</v>
      </c>
    </row>
    <row r="1209" ht="15.75" customHeight="1">
      <c r="A1209" s="15" t="s">
        <v>486</v>
      </c>
      <c r="B1209" s="15" t="s">
        <v>4085</v>
      </c>
      <c r="C1209" s="15">
        <v>2.0</v>
      </c>
      <c r="D1209" s="15" t="s">
        <v>22</v>
      </c>
      <c r="E1209" s="15">
        <v>0.73</v>
      </c>
      <c r="F1209" s="15">
        <v>33.77</v>
      </c>
      <c r="G1209" s="15">
        <v>27.66</v>
      </c>
      <c r="H1209" s="15">
        <v>0.96</v>
      </c>
      <c r="I1209" s="15">
        <v>0.55</v>
      </c>
      <c r="J1209" s="15">
        <v>0.48</v>
      </c>
      <c r="K1209" s="15">
        <v>0.08</v>
      </c>
      <c r="L1209" s="15">
        <v>7.87</v>
      </c>
      <c r="M1209" s="15" t="s">
        <v>25</v>
      </c>
    </row>
    <row r="1210" ht="15.75" customHeight="1">
      <c r="A1210" s="15" t="s">
        <v>342</v>
      </c>
      <c r="B1210" s="15" t="s">
        <v>4086</v>
      </c>
      <c r="C1210" s="15">
        <v>2.0</v>
      </c>
      <c r="D1210" s="15" t="s">
        <v>22</v>
      </c>
      <c r="E1210" s="15">
        <v>0.76</v>
      </c>
      <c r="F1210" s="15">
        <v>33.7</v>
      </c>
      <c r="G1210" s="15">
        <v>27.83</v>
      </c>
      <c r="H1210" s="15">
        <v>0.96</v>
      </c>
      <c r="I1210" s="15">
        <v>0.55</v>
      </c>
      <c r="J1210" s="15">
        <v>0.47</v>
      </c>
      <c r="K1210" s="15">
        <v>0.07</v>
      </c>
      <c r="L1210" s="15">
        <v>7.92</v>
      </c>
      <c r="M1210" s="15" t="s">
        <v>25</v>
      </c>
    </row>
    <row r="1211" ht="15.75" customHeight="1">
      <c r="A1211" s="15" t="s">
        <v>266</v>
      </c>
      <c r="B1211" s="15" t="s">
        <v>4087</v>
      </c>
      <c r="C1211" s="15">
        <v>2.0</v>
      </c>
      <c r="D1211" s="15" t="s">
        <v>22</v>
      </c>
      <c r="E1211" s="15">
        <v>0.73</v>
      </c>
      <c r="F1211" s="15">
        <v>33.41</v>
      </c>
      <c r="G1211" s="15">
        <v>27.42</v>
      </c>
      <c r="H1211" s="15">
        <v>0.96</v>
      </c>
      <c r="I1211" s="15">
        <v>0.56</v>
      </c>
      <c r="J1211" s="15">
        <v>0.48</v>
      </c>
      <c r="K1211" s="15">
        <v>0.08</v>
      </c>
      <c r="L1211" s="15">
        <v>7.83</v>
      </c>
      <c r="M1211" s="15" t="s">
        <v>25</v>
      </c>
    </row>
    <row r="1212" ht="15.75" customHeight="1">
      <c r="A1212" s="15" t="s">
        <v>455</v>
      </c>
      <c r="B1212" s="15" t="s">
        <v>4088</v>
      </c>
      <c r="C1212" s="15">
        <v>2.0</v>
      </c>
      <c r="D1212" s="15" t="s">
        <v>22</v>
      </c>
      <c r="E1212" s="15">
        <v>0.74</v>
      </c>
      <c r="F1212" s="15">
        <v>33.41</v>
      </c>
      <c r="G1212" s="15">
        <v>27.42</v>
      </c>
      <c r="H1212" s="15">
        <v>0.96</v>
      </c>
      <c r="I1212" s="15">
        <v>0.56</v>
      </c>
      <c r="J1212" s="15">
        <v>0.49</v>
      </c>
      <c r="K1212" s="15">
        <v>0.08</v>
      </c>
      <c r="L1212" s="15">
        <v>7.82</v>
      </c>
      <c r="M1212" s="15" t="s">
        <v>25</v>
      </c>
    </row>
    <row r="1213" ht="15.75" customHeight="1">
      <c r="A1213" s="15" t="s">
        <v>467</v>
      </c>
      <c r="B1213" s="15" t="s">
        <v>4089</v>
      </c>
      <c r="C1213" s="15">
        <v>2.0</v>
      </c>
      <c r="D1213" s="15" t="s">
        <v>22</v>
      </c>
      <c r="E1213" s="15">
        <v>0.74</v>
      </c>
      <c r="F1213" s="15">
        <v>33.41</v>
      </c>
      <c r="G1213" s="15">
        <v>27.42</v>
      </c>
      <c r="H1213" s="15">
        <v>0.96</v>
      </c>
      <c r="I1213" s="15">
        <v>0.56</v>
      </c>
      <c r="J1213" s="15">
        <v>0.49</v>
      </c>
      <c r="K1213" s="15">
        <v>0.08</v>
      </c>
      <c r="L1213" s="15">
        <v>7.83</v>
      </c>
      <c r="M1213" s="15" t="s">
        <v>25</v>
      </c>
    </row>
    <row r="1214" ht="15.75" customHeight="1">
      <c r="A1214" s="15" t="s">
        <v>442</v>
      </c>
      <c r="B1214" s="15" t="s">
        <v>4090</v>
      </c>
      <c r="C1214" s="15">
        <v>2.0</v>
      </c>
      <c r="D1214" s="15" t="s">
        <v>22</v>
      </c>
      <c r="E1214" s="15">
        <v>0.72</v>
      </c>
      <c r="F1214" s="15">
        <v>33.41</v>
      </c>
      <c r="G1214" s="15">
        <v>27.42</v>
      </c>
      <c r="H1214" s="15">
        <v>0.96</v>
      </c>
      <c r="I1214" s="15">
        <v>0.56</v>
      </c>
      <c r="J1214" s="15">
        <v>0.49</v>
      </c>
      <c r="K1214" s="15">
        <v>0.08</v>
      </c>
      <c r="L1214" s="15">
        <v>7.82</v>
      </c>
      <c r="M1214" s="15" t="s">
        <v>25</v>
      </c>
    </row>
    <row r="1215" ht="15.75" customHeight="1">
      <c r="A1215" s="15" t="s">
        <v>500</v>
      </c>
      <c r="B1215" s="15" t="s">
        <v>4091</v>
      </c>
      <c r="C1215" s="15">
        <v>2.0</v>
      </c>
      <c r="D1215" s="15" t="s">
        <v>22</v>
      </c>
      <c r="E1215" s="15">
        <v>0.73</v>
      </c>
      <c r="F1215" s="15">
        <v>33.41</v>
      </c>
      <c r="G1215" s="15">
        <v>27.42</v>
      </c>
      <c r="H1215" s="15">
        <v>0.96</v>
      </c>
      <c r="I1215" s="15">
        <v>0.56</v>
      </c>
      <c r="J1215" s="15">
        <v>0.49</v>
      </c>
      <c r="K1215" s="15">
        <v>0.08</v>
      </c>
      <c r="L1215" s="15">
        <v>7.8</v>
      </c>
      <c r="M1215" s="15" t="s">
        <v>25</v>
      </c>
    </row>
    <row r="1216" ht="15.75" customHeight="1">
      <c r="A1216" s="15" t="s">
        <v>204</v>
      </c>
      <c r="B1216" s="15" t="s">
        <v>4092</v>
      </c>
      <c r="C1216" s="15">
        <v>2.0</v>
      </c>
      <c r="D1216" s="15" t="s">
        <v>22</v>
      </c>
      <c r="E1216" s="15">
        <v>0.71</v>
      </c>
      <c r="F1216" s="15">
        <v>33.41</v>
      </c>
      <c r="G1216" s="15">
        <v>27.42</v>
      </c>
      <c r="H1216" s="15">
        <v>0.96</v>
      </c>
      <c r="I1216" s="15">
        <v>0.56</v>
      </c>
      <c r="J1216" s="15">
        <v>0.57</v>
      </c>
      <c r="K1216" s="15">
        <v>0.09</v>
      </c>
      <c r="L1216" s="15">
        <v>7.43</v>
      </c>
      <c r="M1216" s="15" t="s">
        <v>25</v>
      </c>
    </row>
    <row r="1217" ht="15.75" customHeight="1">
      <c r="A1217" s="15" t="s">
        <v>523</v>
      </c>
      <c r="B1217" s="15" t="s">
        <v>4093</v>
      </c>
      <c r="C1217" s="15">
        <v>2.0</v>
      </c>
      <c r="D1217" s="15" t="s">
        <v>22</v>
      </c>
      <c r="E1217" s="15">
        <v>0.73</v>
      </c>
      <c r="F1217" s="15">
        <v>33.41</v>
      </c>
      <c r="G1217" s="15">
        <v>27.42</v>
      </c>
      <c r="H1217" s="15">
        <v>0.96</v>
      </c>
      <c r="I1217" s="15">
        <v>0.56</v>
      </c>
      <c r="J1217" s="15">
        <v>0.49</v>
      </c>
      <c r="K1217" s="15">
        <v>0.08</v>
      </c>
      <c r="L1217" s="15">
        <v>7.84</v>
      </c>
      <c r="M1217" s="15" t="s">
        <v>25</v>
      </c>
    </row>
    <row r="1218" ht="15.75" customHeight="1">
      <c r="A1218" s="15" t="s">
        <v>1150</v>
      </c>
      <c r="B1218" s="15" t="s">
        <v>4094</v>
      </c>
      <c r="C1218" s="15">
        <v>2.0</v>
      </c>
      <c r="D1218" s="15" t="s">
        <v>22</v>
      </c>
      <c r="E1218" s="15">
        <v>0.74</v>
      </c>
      <c r="F1218" s="15">
        <v>33.41</v>
      </c>
      <c r="G1218" s="15">
        <v>27.42</v>
      </c>
      <c r="H1218" s="15">
        <v>0.96</v>
      </c>
      <c r="I1218" s="15">
        <v>0.56</v>
      </c>
      <c r="J1218" s="15">
        <v>0.49</v>
      </c>
      <c r="K1218" s="15">
        <v>0.08</v>
      </c>
      <c r="L1218" s="15">
        <v>7.81</v>
      </c>
      <c r="M1218" s="15" t="s">
        <v>25</v>
      </c>
    </row>
    <row r="1219" ht="15.75" customHeight="1">
      <c r="A1219" s="15" t="s">
        <v>969</v>
      </c>
      <c r="B1219" s="15" t="s">
        <v>4095</v>
      </c>
      <c r="C1219" s="15">
        <v>2.0</v>
      </c>
      <c r="D1219" s="15" t="s">
        <v>22</v>
      </c>
      <c r="E1219" s="15">
        <v>0.74</v>
      </c>
      <c r="F1219" s="15">
        <v>33.41</v>
      </c>
      <c r="G1219" s="15">
        <v>27.42</v>
      </c>
      <c r="H1219" s="15">
        <v>0.96</v>
      </c>
      <c r="I1219" s="15">
        <v>0.56</v>
      </c>
      <c r="J1219" s="15">
        <v>0.48</v>
      </c>
      <c r="K1219" s="15">
        <v>0.08</v>
      </c>
      <c r="L1219" s="15">
        <v>7.84</v>
      </c>
      <c r="M1219" s="15" t="s">
        <v>25</v>
      </c>
    </row>
    <row r="1220" ht="15.75" customHeight="1">
      <c r="A1220" s="15" t="s">
        <v>514</v>
      </c>
      <c r="B1220" s="15" t="s">
        <v>4096</v>
      </c>
      <c r="C1220" s="15">
        <v>2.0</v>
      </c>
      <c r="D1220" s="15" t="s">
        <v>22</v>
      </c>
      <c r="E1220" s="15">
        <v>0.74</v>
      </c>
      <c r="F1220" s="15">
        <v>33.41</v>
      </c>
      <c r="G1220" s="15">
        <v>27.42</v>
      </c>
      <c r="H1220" s="15">
        <v>0.96</v>
      </c>
      <c r="I1220" s="15">
        <v>0.56</v>
      </c>
      <c r="J1220" s="15">
        <v>0.48</v>
      </c>
      <c r="K1220" s="15">
        <v>0.08</v>
      </c>
      <c r="L1220" s="15">
        <v>7.82</v>
      </c>
      <c r="M1220" s="15" t="s">
        <v>25</v>
      </c>
    </row>
    <row r="1221" ht="15.75" customHeight="1">
      <c r="A1221" s="15" t="s">
        <v>1428</v>
      </c>
      <c r="B1221" s="15" t="s">
        <v>4097</v>
      </c>
      <c r="C1221" s="15">
        <v>2.0</v>
      </c>
      <c r="D1221" s="15" t="s">
        <v>22</v>
      </c>
      <c r="E1221" s="15">
        <v>0.73</v>
      </c>
      <c r="F1221" s="15">
        <v>33.41</v>
      </c>
      <c r="G1221" s="15">
        <v>27.42</v>
      </c>
      <c r="H1221" s="15">
        <v>0.96</v>
      </c>
      <c r="I1221" s="15">
        <v>0.56</v>
      </c>
      <c r="J1221" s="15">
        <v>0.49</v>
      </c>
      <c r="K1221" s="15">
        <v>0.08</v>
      </c>
      <c r="L1221" s="15">
        <v>7.81</v>
      </c>
      <c r="M1221" s="15" t="s">
        <v>25</v>
      </c>
    </row>
    <row r="1222" ht="15.75" customHeight="1">
      <c r="A1222" s="15" t="s">
        <v>997</v>
      </c>
      <c r="B1222" s="15" t="s">
        <v>4098</v>
      </c>
      <c r="C1222" s="15">
        <v>2.0</v>
      </c>
      <c r="D1222" s="15" t="s">
        <v>22</v>
      </c>
      <c r="E1222" s="15">
        <v>0.73</v>
      </c>
      <c r="F1222" s="15">
        <v>33.41</v>
      </c>
      <c r="G1222" s="15">
        <v>27.42</v>
      </c>
      <c r="H1222" s="15">
        <v>0.96</v>
      </c>
      <c r="I1222" s="15">
        <v>0.56</v>
      </c>
      <c r="J1222" s="15">
        <v>0.48</v>
      </c>
      <c r="K1222" s="15">
        <v>0.08</v>
      </c>
      <c r="L1222" s="15">
        <v>7.83</v>
      </c>
      <c r="M1222" s="15" t="s">
        <v>25</v>
      </c>
    </row>
    <row r="1223" ht="15.75" customHeight="1">
      <c r="A1223" s="15" t="s">
        <v>221</v>
      </c>
      <c r="B1223" s="15" t="s">
        <v>4099</v>
      </c>
      <c r="C1223" s="15">
        <v>2.0</v>
      </c>
      <c r="D1223" s="15" t="s">
        <v>22</v>
      </c>
      <c r="E1223" s="15">
        <v>0.74</v>
      </c>
      <c r="F1223" s="15">
        <v>33.41</v>
      </c>
      <c r="G1223" s="15">
        <v>27.42</v>
      </c>
      <c r="H1223" s="15">
        <v>0.96</v>
      </c>
      <c r="I1223" s="15">
        <v>0.56</v>
      </c>
      <c r="J1223" s="15">
        <v>0.49</v>
      </c>
      <c r="K1223" s="15">
        <v>0.08</v>
      </c>
      <c r="L1223" s="15">
        <v>7.82</v>
      </c>
      <c r="M1223" s="15" t="s">
        <v>25</v>
      </c>
    </row>
    <row r="1224" ht="15.75" customHeight="1">
      <c r="A1224" s="15" t="s">
        <v>175</v>
      </c>
      <c r="B1224" s="15" t="s">
        <v>4100</v>
      </c>
      <c r="C1224" s="15">
        <v>2.0</v>
      </c>
      <c r="D1224" s="15" t="s">
        <v>22</v>
      </c>
      <c r="E1224" s="15">
        <v>0.73</v>
      </c>
      <c r="F1224" s="15">
        <v>33.41</v>
      </c>
      <c r="G1224" s="15">
        <v>27.42</v>
      </c>
      <c r="H1224" s="15">
        <v>0.96</v>
      </c>
      <c r="I1224" s="15">
        <v>0.56</v>
      </c>
      <c r="J1224" s="15">
        <v>0.49</v>
      </c>
      <c r="K1224" s="15">
        <v>0.08</v>
      </c>
      <c r="L1224" s="15">
        <v>7.83</v>
      </c>
      <c r="M1224" s="15" t="s">
        <v>25</v>
      </c>
    </row>
    <row r="1225" ht="15.75" customHeight="1">
      <c r="A1225" s="15" t="s">
        <v>226</v>
      </c>
      <c r="B1225" s="15" t="s">
        <v>4101</v>
      </c>
      <c r="C1225" s="15">
        <v>2.0</v>
      </c>
      <c r="D1225" s="15" t="s">
        <v>22</v>
      </c>
      <c r="E1225" s="15">
        <v>0.74</v>
      </c>
      <c r="F1225" s="15">
        <v>33.41</v>
      </c>
      <c r="G1225" s="15">
        <v>27.42</v>
      </c>
      <c r="H1225" s="15">
        <v>0.96</v>
      </c>
      <c r="I1225" s="15">
        <v>0.56</v>
      </c>
      <c r="J1225" s="15">
        <v>0.48</v>
      </c>
      <c r="K1225" s="15">
        <v>0.08</v>
      </c>
      <c r="L1225" s="15">
        <v>7.83</v>
      </c>
      <c r="M1225" s="15" t="s">
        <v>25</v>
      </c>
    </row>
    <row r="1226" ht="15.75" customHeight="1">
      <c r="A1226" s="15" t="s">
        <v>1134</v>
      </c>
      <c r="B1226" s="15" t="s">
        <v>4102</v>
      </c>
      <c r="C1226" s="15">
        <v>2.0</v>
      </c>
      <c r="D1226" s="15" t="s">
        <v>22</v>
      </c>
      <c r="E1226" s="15">
        <v>0.72</v>
      </c>
      <c r="F1226" s="15">
        <v>33.41</v>
      </c>
      <c r="G1226" s="15">
        <v>27.42</v>
      </c>
      <c r="H1226" s="15">
        <v>0.96</v>
      </c>
      <c r="I1226" s="15">
        <v>0.56</v>
      </c>
      <c r="J1226" s="15">
        <v>0.56</v>
      </c>
      <c r="K1226" s="15">
        <v>0.09</v>
      </c>
      <c r="L1226" s="15">
        <v>7.48</v>
      </c>
      <c r="M1226" s="15" t="s">
        <v>25</v>
      </c>
    </row>
    <row r="1227" ht="15.75" customHeight="1">
      <c r="A1227" s="15" t="s">
        <v>1026</v>
      </c>
      <c r="B1227" s="15" t="s">
        <v>4103</v>
      </c>
      <c r="C1227" s="15">
        <v>2.0</v>
      </c>
      <c r="D1227" s="15" t="s">
        <v>22</v>
      </c>
      <c r="E1227" s="15">
        <v>0.73</v>
      </c>
      <c r="F1227" s="15">
        <v>33.41</v>
      </c>
      <c r="G1227" s="15">
        <v>27.42</v>
      </c>
      <c r="H1227" s="15">
        <v>0.96</v>
      </c>
      <c r="I1227" s="15">
        <v>0.56</v>
      </c>
      <c r="J1227" s="15">
        <v>0.49</v>
      </c>
      <c r="K1227" s="15">
        <v>0.08</v>
      </c>
      <c r="L1227" s="15">
        <v>7.82</v>
      </c>
      <c r="M1227" s="15" t="s">
        <v>25</v>
      </c>
    </row>
    <row r="1228" ht="15.75" customHeight="1">
      <c r="A1228" s="15" t="s">
        <v>1423</v>
      </c>
      <c r="B1228" s="15" t="s">
        <v>4104</v>
      </c>
      <c r="C1228" s="15">
        <v>2.0</v>
      </c>
      <c r="D1228" s="15" t="s">
        <v>22</v>
      </c>
      <c r="E1228" s="15">
        <v>0.73</v>
      </c>
      <c r="F1228" s="15">
        <v>33.41</v>
      </c>
      <c r="G1228" s="15">
        <v>27.42</v>
      </c>
      <c r="H1228" s="15">
        <v>0.96</v>
      </c>
      <c r="I1228" s="15">
        <v>0.56</v>
      </c>
      <c r="J1228" s="15">
        <v>0.49</v>
      </c>
      <c r="K1228" s="15">
        <v>0.08</v>
      </c>
      <c r="L1228" s="15">
        <v>7.8</v>
      </c>
      <c r="M1228" s="15" t="s">
        <v>25</v>
      </c>
    </row>
    <row r="1229" ht="15.75" customHeight="1">
      <c r="A1229" s="15" t="s">
        <v>155</v>
      </c>
      <c r="B1229" s="15" t="s">
        <v>4105</v>
      </c>
      <c r="C1229" s="15">
        <v>2.0</v>
      </c>
      <c r="D1229" s="15" t="s">
        <v>22</v>
      </c>
      <c r="E1229" s="15">
        <v>0.74</v>
      </c>
      <c r="F1229" s="15">
        <v>33.39</v>
      </c>
      <c r="G1229" s="15">
        <v>27.59</v>
      </c>
      <c r="H1229" s="15">
        <v>0.96</v>
      </c>
      <c r="I1229" s="15">
        <v>0.55</v>
      </c>
      <c r="J1229" s="15">
        <v>0.48</v>
      </c>
      <c r="K1229" s="15">
        <v>0.08</v>
      </c>
      <c r="L1229" s="15">
        <v>7.83</v>
      </c>
      <c r="M1229" s="15" t="s">
        <v>25</v>
      </c>
    </row>
    <row r="1230" ht="15.75" customHeight="1">
      <c r="A1230" s="15" t="s">
        <v>185</v>
      </c>
      <c r="B1230" s="15" t="s">
        <v>4106</v>
      </c>
      <c r="C1230" s="15">
        <v>2.0</v>
      </c>
      <c r="D1230" s="15" t="s">
        <v>22</v>
      </c>
      <c r="E1230" s="15">
        <v>0.72</v>
      </c>
      <c r="F1230" s="15">
        <v>33.04</v>
      </c>
      <c r="G1230" s="15">
        <v>27.19</v>
      </c>
      <c r="H1230" s="15">
        <v>0.96</v>
      </c>
      <c r="I1230" s="15">
        <v>0.56</v>
      </c>
      <c r="J1230" s="15">
        <v>0.52</v>
      </c>
      <c r="K1230" s="15">
        <v>0.08</v>
      </c>
      <c r="L1230" s="15">
        <v>7.63</v>
      </c>
      <c r="M1230" s="15" t="s">
        <v>25</v>
      </c>
    </row>
    <row r="1231" ht="15.75" customHeight="1">
      <c r="A1231" s="15" t="s">
        <v>493</v>
      </c>
      <c r="B1231" s="15" t="s">
        <v>4107</v>
      </c>
      <c r="C1231" s="15">
        <v>2.0</v>
      </c>
      <c r="D1231" s="15" t="s">
        <v>22</v>
      </c>
      <c r="E1231" s="15">
        <v>0.73</v>
      </c>
      <c r="F1231" s="15">
        <v>33.04</v>
      </c>
      <c r="G1231" s="15">
        <v>27.19</v>
      </c>
      <c r="H1231" s="15">
        <v>0.96</v>
      </c>
      <c r="I1231" s="15">
        <v>0.56</v>
      </c>
      <c r="J1231" s="15">
        <v>0.49</v>
      </c>
      <c r="K1231" s="15">
        <v>0.08</v>
      </c>
      <c r="L1231" s="15">
        <v>7.79</v>
      </c>
      <c r="M1231" s="15" t="s">
        <v>25</v>
      </c>
    </row>
    <row r="1232" ht="15.75" customHeight="1">
      <c r="A1232" s="15" t="s">
        <v>1897</v>
      </c>
      <c r="B1232" s="15" t="s">
        <v>4108</v>
      </c>
      <c r="C1232" s="15">
        <v>2.0</v>
      </c>
      <c r="D1232" s="15" t="s">
        <v>22</v>
      </c>
      <c r="E1232" s="15">
        <v>0.37</v>
      </c>
      <c r="F1232" s="15">
        <v>31.61</v>
      </c>
      <c r="G1232" s="15">
        <v>22.91</v>
      </c>
      <c r="H1232" s="15">
        <v>0.71</v>
      </c>
      <c r="I1232" s="15">
        <v>0.76</v>
      </c>
      <c r="J1232" s="15">
        <v>0.48</v>
      </c>
      <c r="K1232" s="15">
        <v>0.14</v>
      </c>
      <c r="L1232" s="15">
        <v>7.7</v>
      </c>
      <c r="M1232" s="15" t="s">
        <v>25</v>
      </c>
    </row>
    <row r="1233" ht="15.75" customHeight="1">
      <c r="A1233" s="15" t="s">
        <v>2694</v>
      </c>
      <c r="B1233" s="15" t="s">
        <v>4109</v>
      </c>
      <c r="C1233" s="15">
        <v>2.0</v>
      </c>
      <c r="D1233" s="15" t="s">
        <v>22</v>
      </c>
      <c r="E1233" s="15">
        <v>0.74</v>
      </c>
      <c r="F1233" s="15">
        <v>31.19</v>
      </c>
      <c r="G1233" s="15">
        <v>25.07</v>
      </c>
      <c r="H1233" s="15">
        <v>0.93</v>
      </c>
      <c r="I1233" s="15">
        <v>0.62</v>
      </c>
      <c r="J1233" s="15">
        <v>0.54</v>
      </c>
      <c r="K1233" s="15">
        <v>0.08</v>
      </c>
      <c r="L1233" s="15">
        <v>7.67</v>
      </c>
      <c r="M1233" s="15" t="s">
        <v>25</v>
      </c>
    </row>
    <row r="1234" ht="15.75" customHeight="1">
      <c r="A1234" s="15" t="s">
        <v>2684</v>
      </c>
      <c r="B1234" s="15" t="s">
        <v>4110</v>
      </c>
      <c r="C1234" s="15">
        <v>2.0</v>
      </c>
      <c r="D1234" s="15" t="s">
        <v>22</v>
      </c>
      <c r="E1234" s="15">
        <v>0.76</v>
      </c>
      <c r="F1234" s="15">
        <v>30.99</v>
      </c>
      <c r="G1234" s="15">
        <v>24.95</v>
      </c>
      <c r="H1234" s="15">
        <v>0.93</v>
      </c>
      <c r="I1234" s="15">
        <v>0.63</v>
      </c>
      <c r="J1234" s="15">
        <v>0.48</v>
      </c>
      <c r="K1234" s="15">
        <v>0.07</v>
      </c>
      <c r="L1234" s="15">
        <v>8.01</v>
      </c>
      <c r="M1234" s="15" t="s">
        <v>25</v>
      </c>
    </row>
    <row r="1235" ht="15.75" customHeight="1">
      <c r="A1235" s="15" t="s">
        <v>2608</v>
      </c>
      <c r="B1235" s="15" t="s">
        <v>4111</v>
      </c>
      <c r="C1235" s="15">
        <v>2.0</v>
      </c>
      <c r="D1235" s="15" t="s">
        <v>22</v>
      </c>
      <c r="E1235" s="15">
        <v>0.76</v>
      </c>
      <c r="F1235" s="15">
        <v>30.96</v>
      </c>
      <c r="G1235" s="15">
        <v>25.12</v>
      </c>
      <c r="H1235" s="15">
        <v>0.93</v>
      </c>
      <c r="I1235" s="15">
        <v>0.62</v>
      </c>
      <c r="J1235" s="15">
        <v>0.47</v>
      </c>
      <c r="K1235" s="15">
        <v>0.07</v>
      </c>
      <c r="L1235" s="15">
        <v>8.06</v>
      </c>
      <c r="M1235" s="15" t="s">
        <v>25</v>
      </c>
    </row>
    <row r="1236" ht="15.75" customHeight="1">
      <c r="A1236" s="15" t="s">
        <v>2708</v>
      </c>
      <c r="B1236" s="15" t="s">
        <v>4112</v>
      </c>
      <c r="C1236" s="15">
        <v>2.0</v>
      </c>
      <c r="D1236" s="15" t="s">
        <v>22</v>
      </c>
      <c r="E1236" s="15">
        <v>0.78</v>
      </c>
      <c r="F1236" s="15">
        <v>30.95</v>
      </c>
      <c r="G1236" s="15">
        <v>25.12</v>
      </c>
      <c r="H1236" s="15">
        <v>0.93</v>
      </c>
      <c r="I1236" s="15">
        <v>0.62</v>
      </c>
      <c r="J1236" s="15">
        <v>0.46</v>
      </c>
      <c r="K1236" s="15">
        <v>0.07</v>
      </c>
      <c r="L1236" s="15">
        <v>8.09</v>
      </c>
      <c r="M1236" s="15" t="s">
        <v>25</v>
      </c>
    </row>
    <row r="1237" ht="15.75" customHeight="1">
      <c r="A1237" s="15" t="s">
        <v>2562</v>
      </c>
      <c r="B1237" s="15" t="s">
        <v>4113</v>
      </c>
      <c r="C1237" s="15">
        <v>2.0</v>
      </c>
      <c r="D1237" s="15" t="s">
        <v>22</v>
      </c>
      <c r="E1237" s="15">
        <v>0.76</v>
      </c>
      <c r="F1237" s="15">
        <v>30.95</v>
      </c>
      <c r="G1237" s="15">
        <v>25.12</v>
      </c>
      <c r="H1237" s="15">
        <v>0.93</v>
      </c>
      <c r="I1237" s="15">
        <v>0.62</v>
      </c>
      <c r="J1237" s="15">
        <v>0.47</v>
      </c>
      <c r="K1237" s="15">
        <v>0.07</v>
      </c>
      <c r="L1237" s="15">
        <v>8.03</v>
      </c>
      <c r="M1237" s="15" t="s">
        <v>25</v>
      </c>
    </row>
    <row r="1238" ht="15.75" customHeight="1">
      <c r="A1238" s="15" t="s">
        <v>2658</v>
      </c>
      <c r="B1238" s="15" t="s">
        <v>4114</v>
      </c>
      <c r="C1238" s="15">
        <v>2.0</v>
      </c>
      <c r="D1238" s="15" t="s">
        <v>22</v>
      </c>
      <c r="E1238" s="15">
        <v>0.77</v>
      </c>
      <c r="F1238" s="15">
        <v>30.72</v>
      </c>
      <c r="G1238" s="15">
        <v>25.0</v>
      </c>
      <c r="H1238" s="15">
        <v>0.93</v>
      </c>
      <c r="I1238" s="15">
        <v>0.62</v>
      </c>
      <c r="J1238" s="15">
        <v>0.46</v>
      </c>
      <c r="K1238" s="15">
        <v>0.07</v>
      </c>
      <c r="L1238" s="15">
        <v>8.09</v>
      </c>
      <c r="M1238" s="15" t="s">
        <v>25</v>
      </c>
    </row>
    <row r="1239" ht="15.75" customHeight="1">
      <c r="A1239" s="15" t="s">
        <v>2612</v>
      </c>
      <c r="B1239" s="15" t="s">
        <v>4115</v>
      </c>
      <c r="C1239" s="15">
        <v>2.0</v>
      </c>
      <c r="D1239" s="15" t="s">
        <v>22</v>
      </c>
      <c r="E1239" s="15">
        <v>0.77</v>
      </c>
      <c r="F1239" s="15">
        <v>30.45</v>
      </c>
      <c r="G1239" s="15">
        <v>24.83</v>
      </c>
      <c r="H1239" s="15">
        <v>0.93</v>
      </c>
      <c r="I1239" s="15">
        <v>0.62</v>
      </c>
      <c r="J1239" s="15">
        <v>0.48</v>
      </c>
      <c r="K1239" s="15">
        <v>0.07</v>
      </c>
      <c r="L1239" s="15">
        <v>7.96</v>
      </c>
      <c r="M1239" s="15" t="s">
        <v>25</v>
      </c>
    </row>
    <row r="1240" ht="15.75" customHeight="1">
      <c r="A1240" s="15" t="s">
        <v>2598</v>
      </c>
      <c r="B1240" s="15" t="s">
        <v>4116</v>
      </c>
      <c r="C1240" s="15">
        <v>2.0</v>
      </c>
      <c r="D1240" s="15" t="s">
        <v>22</v>
      </c>
      <c r="E1240" s="15">
        <v>0.76</v>
      </c>
      <c r="F1240" s="15">
        <v>30.41</v>
      </c>
      <c r="G1240" s="15">
        <v>25.0</v>
      </c>
      <c r="H1240" s="15">
        <v>0.93</v>
      </c>
      <c r="I1240" s="15">
        <v>0.61</v>
      </c>
      <c r="J1240" s="15">
        <v>0.48</v>
      </c>
      <c r="K1240" s="15">
        <v>0.07</v>
      </c>
      <c r="L1240" s="15">
        <v>8.01</v>
      </c>
      <c r="M1240" s="15" t="s">
        <v>25</v>
      </c>
    </row>
    <row r="1241" ht="15.75" customHeight="1">
      <c r="A1241" s="15" t="s">
        <v>2618</v>
      </c>
      <c r="B1241" s="15" t="s">
        <v>4117</v>
      </c>
      <c r="C1241" s="15">
        <v>2.0</v>
      </c>
      <c r="D1241" s="15" t="s">
        <v>22</v>
      </c>
      <c r="E1241" s="15">
        <v>0.78</v>
      </c>
      <c r="F1241" s="15">
        <v>30.39</v>
      </c>
      <c r="G1241" s="15">
        <v>25.0</v>
      </c>
      <c r="H1241" s="15">
        <v>0.93</v>
      </c>
      <c r="I1241" s="15">
        <v>0.61</v>
      </c>
      <c r="J1241" s="15">
        <v>0.48</v>
      </c>
      <c r="K1241" s="15">
        <v>0.07</v>
      </c>
      <c r="L1241" s="15">
        <v>8.01</v>
      </c>
      <c r="M1241" s="15" t="s">
        <v>25</v>
      </c>
    </row>
    <row r="1242" ht="15.75" customHeight="1">
      <c r="A1242" s="15" t="s">
        <v>2766</v>
      </c>
      <c r="B1242" s="15" t="s">
        <v>4118</v>
      </c>
      <c r="C1242" s="15">
        <v>2.0</v>
      </c>
      <c r="D1242" s="15" t="s">
        <v>22</v>
      </c>
      <c r="E1242" s="15">
        <v>0.77</v>
      </c>
      <c r="F1242" s="15">
        <v>29.91</v>
      </c>
      <c r="G1242" s="15">
        <v>24.72</v>
      </c>
      <c r="H1242" s="15">
        <v>0.94</v>
      </c>
      <c r="I1242" s="15">
        <v>0.62</v>
      </c>
      <c r="J1242" s="15">
        <v>0.48</v>
      </c>
      <c r="K1242" s="15">
        <v>0.07</v>
      </c>
      <c r="L1242" s="15">
        <v>7.97</v>
      </c>
      <c r="M1242" s="15" t="s">
        <v>25</v>
      </c>
    </row>
    <row r="1243" ht="15.75" customHeight="1">
      <c r="A1243" s="15" t="s">
        <v>2668</v>
      </c>
      <c r="B1243" s="15" t="s">
        <v>4119</v>
      </c>
      <c r="C1243" s="15">
        <v>2.0</v>
      </c>
      <c r="D1243" s="15" t="s">
        <v>22</v>
      </c>
      <c r="E1243" s="15">
        <v>0.75</v>
      </c>
      <c r="F1243" s="15">
        <v>29.91</v>
      </c>
      <c r="G1243" s="15">
        <v>24.72</v>
      </c>
      <c r="H1243" s="15">
        <v>0.94</v>
      </c>
      <c r="I1243" s="15">
        <v>0.62</v>
      </c>
      <c r="J1243" s="15">
        <v>0.49</v>
      </c>
      <c r="K1243" s="15">
        <v>0.08</v>
      </c>
      <c r="L1243" s="15">
        <v>7.88</v>
      </c>
      <c r="M1243" s="15" t="s">
        <v>25</v>
      </c>
    </row>
    <row r="1244" ht="15.75" customHeight="1">
      <c r="A1244" s="15" t="s">
        <v>2714</v>
      </c>
      <c r="B1244" s="15" t="s">
        <v>4120</v>
      </c>
      <c r="C1244" s="15">
        <v>2.0</v>
      </c>
      <c r="D1244" s="15" t="s">
        <v>22</v>
      </c>
      <c r="E1244" s="15">
        <v>0.77</v>
      </c>
      <c r="F1244" s="15">
        <v>29.86</v>
      </c>
      <c r="G1244" s="15">
        <v>24.88</v>
      </c>
      <c r="H1244" s="15">
        <v>0.94</v>
      </c>
      <c r="I1244" s="15">
        <v>0.61</v>
      </c>
      <c r="J1244" s="15">
        <v>0.47</v>
      </c>
      <c r="K1244" s="15">
        <v>0.07</v>
      </c>
      <c r="L1244" s="15">
        <v>8.02</v>
      </c>
      <c r="M1244" s="15" t="s">
        <v>25</v>
      </c>
    </row>
    <row r="1245" ht="15.75" customHeight="1">
      <c r="A1245" s="15" t="s">
        <v>2646</v>
      </c>
      <c r="B1245" s="15" t="s">
        <v>4121</v>
      </c>
      <c r="C1245" s="15">
        <v>2.0</v>
      </c>
      <c r="D1245" s="15" t="s">
        <v>22</v>
      </c>
      <c r="E1245" s="15">
        <v>0.76</v>
      </c>
      <c r="F1245" s="15">
        <v>29.85</v>
      </c>
      <c r="G1245" s="15">
        <v>24.88</v>
      </c>
      <c r="H1245" s="15">
        <v>0.94</v>
      </c>
      <c r="I1245" s="15">
        <v>0.61</v>
      </c>
      <c r="J1245" s="15">
        <v>0.48</v>
      </c>
      <c r="K1245" s="15">
        <v>0.07</v>
      </c>
      <c r="L1245" s="15">
        <v>7.97</v>
      </c>
      <c r="M1245" s="15" t="s">
        <v>25</v>
      </c>
    </row>
    <row r="1246" ht="15.75" customHeight="1">
      <c r="A1246" s="15" t="s">
        <v>3185</v>
      </c>
      <c r="B1246" s="15" t="s">
        <v>4122</v>
      </c>
      <c r="C1246" s="15">
        <v>2.0</v>
      </c>
      <c r="D1246" s="15" t="s">
        <v>22</v>
      </c>
      <c r="E1246" s="15">
        <v>0.77</v>
      </c>
      <c r="F1246" s="15">
        <v>29.84</v>
      </c>
      <c r="G1246" s="15">
        <v>24.88</v>
      </c>
      <c r="H1246" s="15">
        <v>0.94</v>
      </c>
      <c r="I1246" s="15">
        <v>0.61</v>
      </c>
      <c r="J1246" s="15">
        <v>0.48</v>
      </c>
      <c r="K1246" s="15">
        <v>0.07</v>
      </c>
      <c r="L1246" s="15">
        <v>7.98</v>
      </c>
      <c r="M1246" s="15" t="s">
        <v>25</v>
      </c>
    </row>
    <row r="1247" ht="15.75" customHeight="1">
      <c r="A1247" s="15" t="s">
        <v>2733</v>
      </c>
      <c r="B1247" s="15" t="s">
        <v>4123</v>
      </c>
      <c r="C1247" s="15">
        <v>2.0</v>
      </c>
      <c r="D1247" s="15" t="s">
        <v>22</v>
      </c>
      <c r="E1247" s="15">
        <v>0.77</v>
      </c>
      <c r="F1247" s="15">
        <v>29.84</v>
      </c>
      <c r="G1247" s="15">
        <v>24.88</v>
      </c>
      <c r="H1247" s="15">
        <v>0.94</v>
      </c>
      <c r="I1247" s="15">
        <v>0.61</v>
      </c>
      <c r="J1247" s="15">
        <v>0.47</v>
      </c>
      <c r="K1247" s="15">
        <v>0.07</v>
      </c>
      <c r="L1247" s="15">
        <v>8.0</v>
      </c>
      <c r="M1247" s="15" t="s">
        <v>25</v>
      </c>
    </row>
    <row r="1248" ht="15.75" customHeight="1">
      <c r="A1248" s="15" t="s">
        <v>2723</v>
      </c>
      <c r="B1248" s="15" t="s">
        <v>4124</v>
      </c>
      <c r="C1248" s="15">
        <v>2.0</v>
      </c>
      <c r="D1248" s="15" t="s">
        <v>22</v>
      </c>
      <c r="E1248" s="15">
        <v>0.77</v>
      </c>
      <c r="F1248" s="15">
        <v>29.83</v>
      </c>
      <c r="G1248" s="15">
        <v>24.88</v>
      </c>
      <c r="H1248" s="15">
        <v>0.94</v>
      </c>
      <c r="I1248" s="15">
        <v>0.61</v>
      </c>
      <c r="J1248" s="15">
        <v>0.48</v>
      </c>
      <c r="K1248" s="15">
        <v>0.07</v>
      </c>
      <c r="L1248" s="15">
        <v>7.99</v>
      </c>
      <c r="M1248" s="15" t="s">
        <v>25</v>
      </c>
    </row>
    <row r="1249" ht="15.75" customHeight="1">
      <c r="A1249" s="15" t="s">
        <v>2552</v>
      </c>
      <c r="B1249" s="15" t="s">
        <v>4125</v>
      </c>
      <c r="C1249" s="15">
        <v>2.0</v>
      </c>
      <c r="D1249" s="15" t="s">
        <v>22</v>
      </c>
      <c r="E1249" s="15">
        <v>0.77</v>
      </c>
      <c r="F1249" s="15">
        <v>29.82</v>
      </c>
      <c r="G1249" s="15">
        <v>24.88</v>
      </c>
      <c r="H1249" s="15">
        <v>0.94</v>
      </c>
      <c r="I1249" s="15">
        <v>0.61</v>
      </c>
      <c r="J1249" s="15">
        <v>0.46</v>
      </c>
      <c r="K1249" s="15">
        <v>0.07</v>
      </c>
      <c r="L1249" s="15">
        <v>8.06</v>
      </c>
      <c r="M1249" s="15" t="s">
        <v>25</v>
      </c>
    </row>
    <row r="1250" ht="15.75" customHeight="1">
      <c r="A1250" s="15" t="s">
        <v>3652</v>
      </c>
      <c r="B1250" s="15" t="s">
        <v>4126</v>
      </c>
      <c r="C1250" s="15">
        <v>2.0</v>
      </c>
      <c r="D1250" s="15" t="s">
        <v>22</v>
      </c>
      <c r="E1250" s="15">
        <v>0.76</v>
      </c>
      <c r="F1250" s="15">
        <v>29.65</v>
      </c>
      <c r="G1250" s="15">
        <v>24.77</v>
      </c>
      <c r="H1250" s="15">
        <v>0.94</v>
      </c>
      <c r="I1250" s="15">
        <v>0.61</v>
      </c>
      <c r="J1250" s="15">
        <v>0.48</v>
      </c>
      <c r="K1250" s="15">
        <v>0.07</v>
      </c>
      <c r="L1250" s="15">
        <v>7.99</v>
      </c>
      <c r="M1250" s="15" t="s">
        <v>25</v>
      </c>
    </row>
    <row r="1251" ht="15.75" customHeight="1">
      <c r="A1251" s="15" t="s">
        <v>2673</v>
      </c>
      <c r="B1251" s="15" t="s">
        <v>4127</v>
      </c>
      <c r="C1251" s="15">
        <v>2.0</v>
      </c>
      <c r="D1251" s="15" t="s">
        <v>22</v>
      </c>
      <c r="E1251" s="15">
        <v>0.76</v>
      </c>
      <c r="F1251" s="15">
        <v>29.65</v>
      </c>
      <c r="G1251" s="15">
        <v>24.77</v>
      </c>
      <c r="H1251" s="15">
        <v>0.94</v>
      </c>
      <c r="I1251" s="15">
        <v>0.61</v>
      </c>
      <c r="J1251" s="15">
        <v>0.48</v>
      </c>
      <c r="K1251" s="15">
        <v>0.07</v>
      </c>
      <c r="L1251" s="15">
        <v>8.0</v>
      </c>
      <c r="M1251" s="15" t="s">
        <v>25</v>
      </c>
    </row>
    <row r="1252" ht="15.75" customHeight="1">
      <c r="A1252" s="15" t="s">
        <v>2370</v>
      </c>
      <c r="B1252" s="15" t="s">
        <v>4128</v>
      </c>
      <c r="C1252" s="15">
        <v>2.0</v>
      </c>
      <c r="D1252" s="15" t="s">
        <v>22</v>
      </c>
      <c r="E1252" s="15">
        <v>0.77</v>
      </c>
      <c r="F1252" s="15">
        <v>29.64</v>
      </c>
      <c r="G1252" s="15">
        <v>24.77</v>
      </c>
      <c r="H1252" s="15">
        <v>0.94</v>
      </c>
      <c r="I1252" s="15">
        <v>0.61</v>
      </c>
      <c r="J1252" s="15">
        <v>0.48</v>
      </c>
      <c r="K1252" s="15">
        <v>0.07</v>
      </c>
      <c r="L1252" s="15">
        <v>7.99</v>
      </c>
      <c r="M1252" s="15" t="s">
        <v>25</v>
      </c>
    </row>
    <row r="1253" ht="15.75" customHeight="1">
      <c r="A1253" s="15" t="s">
        <v>2634</v>
      </c>
      <c r="B1253" s="15" t="s">
        <v>4129</v>
      </c>
      <c r="C1253" s="15">
        <v>2.0</v>
      </c>
      <c r="D1253" s="15" t="s">
        <v>22</v>
      </c>
      <c r="E1253" s="15">
        <v>0.78</v>
      </c>
      <c r="F1253" s="15">
        <v>29.64</v>
      </c>
      <c r="G1253" s="15">
        <v>24.77</v>
      </c>
      <c r="H1253" s="15">
        <v>0.94</v>
      </c>
      <c r="I1253" s="15">
        <v>0.61</v>
      </c>
      <c r="J1253" s="15">
        <v>0.45</v>
      </c>
      <c r="K1253" s="15">
        <v>0.07</v>
      </c>
      <c r="L1253" s="15">
        <v>8.07</v>
      </c>
      <c r="M1253" s="15" t="s">
        <v>25</v>
      </c>
    </row>
    <row r="1254" ht="15.75" customHeight="1">
      <c r="A1254" s="15" t="s">
        <v>2591</v>
      </c>
      <c r="B1254" s="15" t="s">
        <v>4130</v>
      </c>
      <c r="C1254" s="15">
        <v>2.0</v>
      </c>
      <c r="D1254" s="15" t="s">
        <v>22</v>
      </c>
      <c r="E1254" s="15">
        <v>0.75</v>
      </c>
      <c r="F1254" s="15">
        <v>29.3</v>
      </c>
      <c r="G1254" s="15">
        <v>24.77</v>
      </c>
      <c r="H1254" s="15">
        <v>0.94</v>
      </c>
      <c r="I1254" s="15">
        <v>0.6</v>
      </c>
      <c r="J1254" s="15">
        <v>0.48</v>
      </c>
      <c r="K1254" s="15">
        <v>0.07</v>
      </c>
      <c r="L1254" s="15">
        <v>7.97</v>
      </c>
      <c r="M1254" s="15" t="s">
        <v>25</v>
      </c>
    </row>
    <row r="1255" ht="15.75" customHeight="1">
      <c r="A1255" s="15" t="s">
        <v>1700</v>
      </c>
      <c r="B1255" s="15" t="s">
        <v>3262</v>
      </c>
      <c r="C1255" s="15">
        <v>2.0</v>
      </c>
      <c r="D1255" s="15" t="s">
        <v>22</v>
      </c>
      <c r="E1255" s="15">
        <v>0.38</v>
      </c>
      <c r="F1255" s="15">
        <v>29.28</v>
      </c>
      <c r="G1255" s="15">
        <v>21.87</v>
      </c>
      <c r="H1255" s="15">
        <v>0.73</v>
      </c>
      <c r="I1255" s="15">
        <v>0.77</v>
      </c>
      <c r="J1255" s="15">
        <v>0.52</v>
      </c>
      <c r="K1255" s="15">
        <v>0.15</v>
      </c>
      <c r="L1255" s="15">
        <v>6.96</v>
      </c>
      <c r="M1255" s="15" t="s">
        <v>25</v>
      </c>
    </row>
    <row r="1256" ht="15.75" customHeight="1">
      <c r="A1256" s="15" t="s">
        <v>824</v>
      </c>
      <c r="B1256" s="15" t="s">
        <v>4131</v>
      </c>
      <c r="C1256" s="15">
        <v>2.0</v>
      </c>
      <c r="D1256" s="15" t="s">
        <v>22</v>
      </c>
      <c r="E1256" s="15">
        <v>0.36</v>
      </c>
      <c r="F1256" s="15">
        <v>14.01</v>
      </c>
      <c r="G1256" s="15">
        <v>15.03</v>
      </c>
      <c r="H1256" s="15">
        <v>0.75</v>
      </c>
      <c r="I1256" s="15">
        <v>0.78</v>
      </c>
      <c r="J1256" s="15">
        <v>0.54</v>
      </c>
      <c r="K1256" s="15">
        <v>0.11</v>
      </c>
      <c r="L1256" s="15">
        <v>6.89</v>
      </c>
      <c r="M1256" s="15" t="s">
        <v>25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41.71"/>
    <col customWidth="1" min="3" max="3" width="13.86"/>
    <col customWidth="1" min="4" max="4" width="18.57"/>
    <col customWidth="1" min="5" max="5" width="16.71"/>
    <col customWidth="1" min="6" max="6" width="16.14"/>
    <col customWidth="1" min="7" max="7" width="20.0"/>
    <col customWidth="1" min="8" max="8" width="17.29"/>
    <col customWidth="1" min="9" max="9" width="19.14"/>
    <col customWidth="1" min="10" max="10" width="24.14"/>
    <col customWidth="1" min="11" max="11" width="18.29"/>
    <col customWidth="1" min="12" max="12" width="19.0"/>
    <col customWidth="1" min="13" max="13" width="36.0"/>
    <col customWidth="1" min="14" max="16" width="16.29"/>
    <col customWidth="1" min="17" max="26" width="8.71"/>
  </cols>
  <sheetData>
    <row r="1" ht="22.5" customHeight="1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0</v>
      </c>
      <c r="G1" s="11" t="s">
        <v>1</v>
      </c>
      <c r="H1" s="11" t="s">
        <v>2</v>
      </c>
      <c r="I1" s="11" t="s">
        <v>3</v>
      </c>
      <c r="J1" s="11" t="s">
        <v>15</v>
      </c>
      <c r="K1" s="11" t="s">
        <v>4</v>
      </c>
      <c r="L1" s="11" t="s">
        <v>5</v>
      </c>
      <c r="M1" s="11" t="s">
        <v>16</v>
      </c>
    </row>
    <row r="2" ht="22.5" customHeight="1">
      <c r="A2" s="29" t="s">
        <v>219</v>
      </c>
      <c r="B2" s="29" t="s">
        <v>220</v>
      </c>
      <c r="C2" s="29">
        <v>0.0</v>
      </c>
      <c r="D2" s="29" t="s">
        <v>60</v>
      </c>
      <c r="E2" s="29">
        <v>0.3712</v>
      </c>
      <c r="F2" s="29">
        <v>107.4379</v>
      </c>
      <c r="G2" s="29">
        <v>46.0455</v>
      </c>
      <c r="H2" s="29">
        <v>0.764</v>
      </c>
      <c r="I2" s="29">
        <v>0.6368</v>
      </c>
      <c r="J2" s="29">
        <v>0.6152</v>
      </c>
      <c r="K2" s="29">
        <v>0.0743</v>
      </c>
      <c r="L2" s="29">
        <v>7.8917</v>
      </c>
      <c r="M2" s="29" t="s">
        <v>225</v>
      </c>
    </row>
    <row r="3" ht="22.5" customHeight="1">
      <c r="A3" s="29" t="s">
        <v>227</v>
      </c>
      <c r="B3" s="29" t="s">
        <v>229</v>
      </c>
      <c r="C3" s="29">
        <v>0.0</v>
      </c>
      <c r="D3" s="29" t="s">
        <v>60</v>
      </c>
      <c r="E3" s="29">
        <v>0.2821</v>
      </c>
      <c r="F3" s="29">
        <v>95.8983</v>
      </c>
      <c r="G3" s="29">
        <v>51.4371</v>
      </c>
      <c r="H3" s="29">
        <v>0.757</v>
      </c>
      <c r="I3" s="29">
        <v>0.4551</v>
      </c>
      <c r="J3" s="29">
        <v>0.5782</v>
      </c>
      <c r="K3" s="29">
        <v>0.0842</v>
      </c>
      <c r="L3" s="29">
        <v>8.1015</v>
      </c>
      <c r="M3" s="29" t="s">
        <v>225</v>
      </c>
    </row>
    <row r="4" ht="22.5" customHeight="1">
      <c r="A4" s="29" t="s">
        <v>235</v>
      </c>
      <c r="B4" s="29" t="s">
        <v>236</v>
      </c>
      <c r="C4" s="29">
        <v>0.0</v>
      </c>
      <c r="D4" s="29" t="s">
        <v>60</v>
      </c>
      <c r="E4" s="29">
        <v>0.4683</v>
      </c>
      <c r="F4" s="29">
        <v>93.3666</v>
      </c>
      <c r="G4" s="29">
        <v>40.3681</v>
      </c>
      <c r="H4" s="29">
        <v>0.7438</v>
      </c>
      <c r="I4" s="29">
        <v>0.7189</v>
      </c>
      <c r="J4" s="29">
        <v>0.5705</v>
      </c>
      <c r="K4" s="29">
        <v>0.0769</v>
      </c>
      <c r="L4" s="29">
        <v>8.1722</v>
      </c>
      <c r="M4" s="29" t="s">
        <v>225</v>
      </c>
    </row>
    <row r="5" ht="22.5" customHeight="1">
      <c r="A5" s="29" t="s">
        <v>242</v>
      </c>
      <c r="B5" s="29" t="s">
        <v>243</v>
      </c>
      <c r="C5" s="29">
        <v>0.0</v>
      </c>
      <c r="D5" s="29" t="s">
        <v>60</v>
      </c>
      <c r="E5" s="29">
        <v>0.6751</v>
      </c>
      <c r="F5" s="29">
        <v>85.5811</v>
      </c>
      <c r="G5" s="29">
        <v>47.0342</v>
      </c>
      <c r="H5" s="29">
        <v>0.7584</v>
      </c>
      <c r="I5" s="29">
        <v>0.4861</v>
      </c>
      <c r="J5" s="29">
        <v>0.4505</v>
      </c>
      <c r="K5" s="29">
        <v>0.1088</v>
      </c>
      <c r="L5" s="29">
        <v>8.5524</v>
      </c>
      <c r="M5" s="29" t="s">
        <v>225</v>
      </c>
    </row>
    <row r="6" ht="22.5" customHeight="1">
      <c r="A6" s="29" t="s">
        <v>106</v>
      </c>
      <c r="B6" s="29" t="s">
        <v>248</v>
      </c>
      <c r="C6" s="29">
        <v>0.0</v>
      </c>
      <c r="D6" s="29" t="s">
        <v>60</v>
      </c>
      <c r="E6" s="29">
        <v>0.6254</v>
      </c>
      <c r="F6" s="29">
        <v>84.2893</v>
      </c>
      <c r="G6" s="29">
        <v>45.8315</v>
      </c>
      <c r="H6" s="29">
        <v>0.4388</v>
      </c>
      <c r="I6" s="29">
        <v>0.5011</v>
      </c>
      <c r="J6" s="29">
        <v>0.5034</v>
      </c>
      <c r="K6" s="29">
        <v>0.0901</v>
      </c>
      <c r="L6" s="29">
        <v>8.4498</v>
      </c>
      <c r="M6" s="29" t="s">
        <v>225</v>
      </c>
    </row>
    <row r="7" ht="22.5" customHeight="1">
      <c r="A7" s="29" t="s">
        <v>254</v>
      </c>
      <c r="B7" s="29" t="s">
        <v>255</v>
      </c>
      <c r="C7" s="29">
        <v>0.0</v>
      </c>
      <c r="D7" s="29" t="s">
        <v>60</v>
      </c>
      <c r="E7" s="29">
        <v>0.3007</v>
      </c>
      <c r="F7" s="29">
        <v>83.6867</v>
      </c>
      <c r="G7" s="29">
        <v>43.1055</v>
      </c>
      <c r="H7" s="29">
        <v>0.6525</v>
      </c>
      <c r="I7" s="29">
        <v>0.566</v>
      </c>
      <c r="J7" s="29">
        <v>0.4493</v>
      </c>
      <c r="K7" s="29">
        <v>0.0527</v>
      </c>
      <c r="L7" s="29">
        <v>8.9063</v>
      </c>
      <c r="M7" s="29" t="s">
        <v>225</v>
      </c>
    </row>
    <row r="8" ht="22.5" customHeight="1">
      <c r="A8" s="29" t="s">
        <v>261</v>
      </c>
      <c r="B8" s="29" t="s">
        <v>263</v>
      </c>
      <c r="C8" s="29">
        <v>0.0</v>
      </c>
      <c r="D8" s="29" t="s">
        <v>60</v>
      </c>
      <c r="E8" s="29">
        <v>0.6035</v>
      </c>
      <c r="F8" s="29">
        <v>83.4443</v>
      </c>
      <c r="G8" s="29">
        <v>38.8447</v>
      </c>
      <c r="H8" s="29">
        <v>0.7172</v>
      </c>
      <c r="I8" s="29">
        <v>0.6949</v>
      </c>
      <c r="J8" s="29">
        <v>0.3972</v>
      </c>
      <c r="K8" s="29">
        <v>0.0966</v>
      </c>
      <c r="L8" s="29">
        <v>8.9436</v>
      </c>
      <c r="M8" s="29" t="s">
        <v>225</v>
      </c>
    </row>
    <row r="9" ht="22.5" customHeight="1">
      <c r="A9" s="29" t="s">
        <v>268</v>
      </c>
      <c r="B9" s="29" t="s">
        <v>270</v>
      </c>
      <c r="C9" s="29">
        <v>0.0</v>
      </c>
      <c r="D9" s="29" t="s">
        <v>60</v>
      </c>
      <c r="E9" s="29">
        <v>0.3713</v>
      </c>
      <c r="F9" s="29">
        <v>83.4131</v>
      </c>
      <c r="G9" s="29">
        <v>37.7902</v>
      </c>
      <c r="H9" s="29">
        <v>0.7487</v>
      </c>
      <c r="I9" s="29">
        <v>0.734</v>
      </c>
      <c r="J9" s="29">
        <v>0.4277</v>
      </c>
      <c r="K9" s="29">
        <v>0.0565</v>
      </c>
      <c r="L9" s="29">
        <v>8.6865</v>
      </c>
      <c r="M9" s="29" t="s">
        <v>225</v>
      </c>
    </row>
    <row r="10" ht="22.5" customHeight="1">
      <c r="A10" s="29" t="s">
        <v>276</v>
      </c>
      <c r="B10" s="29" t="s">
        <v>277</v>
      </c>
      <c r="C10" s="29">
        <v>0.0</v>
      </c>
      <c r="D10" s="29" t="s">
        <v>60</v>
      </c>
      <c r="E10" s="29">
        <v>0.567</v>
      </c>
      <c r="F10" s="29">
        <v>82.5889</v>
      </c>
      <c r="G10" s="29">
        <v>44.3546</v>
      </c>
      <c r="H10" s="29">
        <v>0.595</v>
      </c>
      <c r="I10" s="29">
        <v>0.5275</v>
      </c>
      <c r="J10" s="29">
        <v>0.4091</v>
      </c>
      <c r="K10" s="29">
        <v>0.0705</v>
      </c>
      <c r="L10" s="29">
        <v>8.8282</v>
      </c>
      <c r="M10" s="29" t="s">
        <v>225</v>
      </c>
    </row>
    <row r="11" ht="22.5" customHeight="1">
      <c r="A11" s="29" t="s">
        <v>282</v>
      </c>
      <c r="B11" s="29" t="s">
        <v>283</v>
      </c>
      <c r="C11" s="29">
        <v>0.0</v>
      </c>
      <c r="D11" s="29" t="s">
        <v>60</v>
      </c>
      <c r="E11" s="29">
        <v>0.5928</v>
      </c>
      <c r="F11" s="29">
        <v>82.4538</v>
      </c>
      <c r="G11" s="29">
        <v>38.9665</v>
      </c>
      <c r="H11" s="29">
        <v>0.6943</v>
      </c>
      <c r="I11" s="29">
        <v>0.6822</v>
      </c>
      <c r="J11" s="29">
        <v>0.4066</v>
      </c>
      <c r="K11" s="29">
        <v>0.1001</v>
      </c>
      <c r="L11" s="29">
        <v>8.8906</v>
      </c>
      <c r="M11" s="29" t="s">
        <v>225</v>
      </c>
    </row>
    <row r="12" ht="22.5" customHeight="1">
      <c r="A12" s="29" t="s">
        <v>289</v>
      </c>
      <c r="B12" s="29" t="s">
        <v>290</v>
      </c>
      <c r="C12" s="29">
        <v>0.0</v>
      </c>
      <c r="D12" s="29" t="s">
        <v>60</v>
      </c>
      <c r="E12" s="29">
        <v>0.3306</v>
      </c>
      <c r="F12" s="29">
        <v>81.8408</v>
      </c>
      <c r="G12" s="29">
        <v>37.7557</v>
      </c>
      <c r="H12" s="29">
        <v>0.763</v>
      </c>
      <c r="I12" s="29">
        <v>0.7215</v>
      </c>
      <c r="J12" s="29">
        <v>0.3696</v>
      </c>
      <c r="K12" s="29">
        <v>0.0497</v>
      </c>
      <c r="L12" s="29">
        <v>8.9969</v>
      </c>
      <c r="M12" s="29" t="s">
        <v>225</v>
      </c>
    </row>
    <row r="13" ht="22.5" customHeight="1">
      <c r="A13" s="29" t="s">
        <v>296</v>
      </c>
      <c r="B13" s="29" t="s">
        <v>297</v>
      </c>
      <c r="C13" s="29">
        <v>0.0</v>
      </c>
      <c r="D13" s="29" t="s">
        <v>60</v>
      </c>
      <c r="E13" s="29">
        <v>0.3222</v>
      </c>
      <c r="F13" s="29">
        <v>81.7196</v>
      </c>
      <c r="G13" s="29">
        <v>39.3002</v>
      </c>
      <c r="H13" s="29">
        <v>0.7004</v>
      </c>
      <c r="I13" s="29">
        <v>0.6647</v>
      </c>
      <c r="J13" s="29">
        <v>0.5422</v>
      </c>
      <c r="K13" s="29">
        <v>0.1003</v>
      </c>
      <c r="L13" s="29">
        <v>8.2403</v>
      </c>
      <c r="M13" s="29" t="s">
        <v>225</v>
      </c>
    </row>
    <row r="14" ht="22.5" customHeight="1">
      <c r="A14" s="29" t="s">
        <v>303</v>
      </c>
      <c r="B14" s="29" t="s">
        <v>304</v>
      </c>
      <c r="C14" s="29">
        <v>0.0</v>
      </c>
      <c r="D14" s="29" t="s">
        <v>60</v>
      </c>
      <c r="E14" s="29">
        <v>0.3441</v>
      </c>
      <c r="F14" s="29">
        <v>81.3906</v>
      </c>
      <c r="G14" s="29">
        <v>37.356</v>
      </c>
      <c r="H14" s="29">
        <v>0.7307</v>
      </c>
      <c r="I14" s="29">
        <v>0.7305</v>
      </c>
      <c r="J14" s="29">
        <v>0.4199</v>
      </c>
      <c r="K14" s="29">
        <v>0.0523</v>
      </c>
      <c r="L14" s="29">
        <v>8.9658</v>
      </c>
      <c r="M14" s="29" t="s">
        <v>225</v>
      </c>
    </row>
    <row r="15" ht="22.5" customHeight="1">
      <c r="A15" s="29" t="s">
        <v>310</v>
      </c>
      <c r="B15" s="29" t="s">
        <v>311</v>
      </c>
      <c r="C15" s="29">
        <v>0.0</v>
      </c>
      <c r="D15" s="29" t="s">
        <v>60</v>
      </c>
      <c r="E15" s="29">
        <v>0.5897</v>
      </c>
      <c r="F15" s="29">
        <v>81.2694</v>
      </c>
      <c r="G15" s="29">
        <v>46.3318</v>
      </c>
      <c r="H15" s="29">
        <v>0.5871</v>
      </c>
      <c r="I15" s="29">
        <v>0.4756</v>
      </c>
      <c r="J15" s="29">
        <v>0.4116</v>
      </c>
      <c r="K15" s="29">
        <v>0.0716</v>
      </c>
      <c r="L15" s="29">
        <v>8.844</v>
      </c>
      <c r="M15" s="29" t="s">
        <v>225</v>
      </c>
    </row>
    <row r="16" ht="22.5" customHeight="1">
      <c r="A16" s="29" t="s">
        <v>317</v>
      </c>
      <c r="B16" s="29" t="s">
        <v>318</v>
      </c>
      <c r="C16" s="29">
        <v>0.0</v>
      </c>
      <c r="D16" s="29" t="s">
        <v>60</v>
      </c>
      <c r="E16" s="29">
        <v>0.5956</v>
      </c>
      <c r="F16" s="29">
        <v>81.1204</v>
      </c>
      <c r="G16" s="29">
        <v>38.3655</v>
      </c>
      <c r="H16" s="29">
        <v>0.7017</v>
      </c>
      <c r="I16" s="29">
        <v>0.6919</v>
      </c>
      <c r="J16" s="29">
        <v>0.401</v>
      </c>
      <c r="K16" s="29">
        <v>0.0949</v>
      </c>
      <c r="L16" s="29">
        <v>8.9253</v>
      </c>
      <c r="M16" s="29" t="s">
        <v>225</v>
      </c>
    </row>
    <row r="17" ht="22.5" customHeight="1">
      <c r="A17" s="29" t="s">
        <v>324</v>
      </c>
      <c r="B17" s="29" t="s">
        <v>325</v>
      </c>
      <c r="C17" s="29">
        <v>0.0</v>
      </c>
      <c r="D17" s="29" t="s">
        <v>60</v>
      </c>
      <c r="E17" s="29">
        <v>0.3043</v>
      </c>
      <c r="F17" s="29">
        <v>80.9438</v>
      </c>
      <c r="G17" s="29">
        <v>36.6174</v>
      </c>
      <c r="H17" s="29">
        <v>0.7437</v>
      </c>
      <c r="I17" s="29">
        <v>0.758</v>
      </c>
      <c r="J17" s="29">
        <v>0.4286</v>
      </c>
      <c r="K17" s="29">
        <v>0.0583</v>
      </c>
      <c r="L17" s="29">
        <v>8.9099</v>
      </c>
      <c r="M17" s="29" t="s">
        <v>225</v>
      </c>
    </row>
    <row r="18" ht="15.75" customHeight="1">
      <c r="A18" s="29" t="s">
        <v>331</v>
      </c>
      <c r="B18" s="29" t="s">
        <v>332</v>
      </c>
      <c r="C18" s="29">
        <v>0.0</v>
      </c>
      <c r="D18" s="29" t="s">
        <v>60</v>
      </c>
      <c r="E18" s="29">
        <v>0.5832</v>
      </c>
      <c r="F18" s="29">
        <v>80.6979</v>
      </c>
      <c r="G18" s="29">
        <v>38.954</v>
      </c>
      <c r="H18" s="29">
        <v>0.6877</v>
      </c>
      <c r="I18" s="29">
        <v>0.6683</v>
      </c>
      <c r="J18" s="29">
        <v>0.3983</v>
      </c>
      <c r="K18" s="29">
        <v>0.0916</v>
      </c>
      <c r="L18" s="29">
        <v>8.9193</v>
      </c>
      <c r="M18" s="29" t="s">
        <v>225</v>
      </c>
    </row>
    <row r="19" ht="15.75" customHeight="1">
      <c r="A19" s="29" t="s">
        <v>337</v>
      </c>
      <c r="B19" s="29" t="s">
        <v>339</v>
      </c>
      <c r="C19" s="29">
        <v>0.0</v>
      </c>
      <c r="D19" s="29" t="s">
        <v>60</v>
      </c>
      <c r="E19" s="29">
        <v>0.3002</v>
      </c>
      <c r="F19" s="29">
        <v>80.4105</v>
      </c>
      <c r="G19" s="29">
        <v>37.2404</v>
      </c>
      <c r="H19" s="29">
        <v>0.7381</v>
      </c>
      <c r="I19" s="29">
        <v>0.7269</v>
      </c>
      <c r="J19" s="29">
        <v>0.4303</v>
      </c>
      <c r="K19" s="29">
        <v>0.0563</v>
      </c>
      <c r="L19" s="29">
        <v>8.9266</v>
      </c>
      <c r="M19" s="29" t="s">
        <v>225</v>
      </c>
    </row>
    <row r="20" ht="15.75" customHeight="1">
      <c r="A20" s="29" t="s">
        <v>347</v>
      </c>
      <c r="B20" s="29" t="s">
        <v>348</v>
      </c>
      <c r="C20" s="29">
        <v>0.0</v>
      </c>
      <c r="D20" s="29" t="s">
        <v>60</v>
      </c>
      <c r="E20" s="29">
        <v>0.6052</v>
      </c>
      <c r="F20" s="29">
        <v>80.1542</v>
      </c>
      <c r="G20" s="29">
        <v>37.8926</v>
      </c>
      <c r="H20" s="29">
        <v>0.689</v>
      </c>
      <c r="I20" s="29">
        <v>0.7012</v>
      </c>
      <c r="J20" s="29">
        <v>0.4009</v>
      </c>
      <c r="K20" s="29">
        <v>0.0962</v>
      </c>
      <c r="L20" s="29">
        <v>8.8828</v>
      </c>
      <c r="M20" s="29" t="s">
        <v>225</v>
      </c>
    </row>
    <row r="21" ht="15.75" customHeight="1">
      <c r="A21" s="29" t="s">
        <v>354</v>
      </c>
      <c r="B21" s="29" t="s">
        <v>355</v>
      </c>
      <c r="C21" s="29">
        <v>0.0</v>
      </c>
      <c r="D21" s="29" t="s">
        <v>60</v>
      </c>
      <c r="E21" s="29">
        <v>0.5943</v>
      </c>
      <c r="F21" s="29">
        <v>80.0953</v>
      </c>
      <c r="G21" s="29">
        <v>37.4525</v>
      </c>
      <c r="H21" s="29">
        <v>0.6636</v>
      </c>
      <c r="I21" s="29">
        <v>0.7176</v>
      </c>
      <c r="J21" s="29">
        <v>0.4051</v>
      </c>
      <c r="K21" s="29">
        <v>0.1005</v>
      </c>
      <c r="L21" s="29">
        <v>8.8548</v>
      </c>
      <c r="M21" s="29" t="s">
        <v>225</v>
      </c>
    </row>
    <row r="22" ht="15.75" customHeight="1">
      <c r="A22" s="29" t="s">
        <v>361</v>
      </c>
      <c r="B22" s="29" t="s">
        <v>362</v>
      </c>
      <c r="C22" s="29">
        <v>0.0</v>
      </c>
      <c r="D22" s="29" t="s">
        <v>60</v>
      </c>
      <c r="E22" s="29">
        <v>0.615</v>
      </c>
      <c r="F22" s="29">
        <v>80.0468</v>
      </c>
      <c r="G22" s="29">
        <v>41.7328</v>
      </c>
      <c r="H22" s="29">
        <v>0.7182</v>
      </c>
      <c r="I22" s="29">
        <v>0.5776</v>
      </c>
      <c r="J22" s="29">
        <v>0.4052</v>
      </c>
      <c r="K22" s="29">
        <v>0.1002</v>
      </c>
      <c r="L22" s="29">
        <v>8.9043</v>
      </c>
      <c r="M22" s="29" t="s">
        <v>225</v>
      </c>
    </row>
    <row r="23" ht="15.75" customHeight="1">
      <c r="A23" s="29" t="s">
        <v>368</v>
      </c>
      <c r="B23" s="29" t="s">
        <v>369</v>
      </c>
      <c r="C23" s="29">
        <v>0.0</v>
      </c>
      <c r="D23" s="29" t="s">
        <v>60</v>
      </c>
      <c r="E23" s="29">
        <v>0.6013</v>
      </c>
      <c r="F23" s="29">
        <v>79.5412</v>
      </c>
      <c r="G23" s="29">
        <v>37.9031</v>
      </c>
      <c r="H23" s="29">
        <v>0.6735</v>
      </c>
      <c r="I23" s="29">
        <v>0.6958</v>
      </c>
      <c r="J23" s="29">
        <v>0.4041</v>
      </c>
      <c r="K23" s="29">
        <v>0.1017</v>
      </c>
      <c r="L23" s="29">
        <v>8.8619</v>
      </c>
      <c r="M23" s="29" t="s">
        <v>225</v>
      </c>
    </row>
    <row r="24" ht="15.75" customHeight="1">
      <c r="A24" s="29" t="s">
        <v>374</v>
      </c>
      <c r="B24" s="29" t="s">
        <v>375</v>
      </c>
      <c r="C24" s="29">
        <v>0.0</v>
      </c>
      <c r="D24" s="29" t="s">
        <v>60</v>
      </c>
      <c r="E24" s="29">
        <v>0.3257</v>
      </c>
      <c r="F24" s="29">
        <v>79.226</v>
      </c>
      <c r="G24" s="29">
        <v>36.1306</v>
      </c>
      <c r="H24" s="29">
        <v>0.7142</v>
      </c>
      <c r="I24" s="29">
        <v>0.7621</v>
      </c>
      <c r="J24" s="29">
        <v>0.4203</v>
      </c>
      <c r="K24" s="29">
        <v>0.0605</v>
      </c>
      <c r="L24" s="29">
        <v>8.9092</v>
      </c>
      <c r="M24" s="29" t="s">
        <v>225</v>
      </c>
    </row>
    <row r="25" ht="15.75" customHeight="1">
      <c r="A25" s="29" t="s">
        <v>381</v>
      </c>
      <c r="B25" s="29" t="s">
        <v>382</v>
      </c>
      <c r="C25" s="29">
        <v>0.0</v>
      </c>
      <c r="D25" s="29" t="s">
        <v>60</v>
      </c>
      <c r="E25" s="29">
        <v>0.625</v>
      </c>
      <c r="F25" s="29">
        <v>78.7446</v>
      </c>
      <c r="G25" s="29">
        <v>48.0639</v>
      </c>
      <c r="H25" s="29">
        <v>0.71</v>
      </c>
      <c r="I25" s="29">
        <v>0.4264</v>
      </c>
      <c r="J25" s="29">
        <v>0.4826</v>
      </c>
      <c r="K25" s="29">
        <v>0.1302</v>
      </c>
      <c r="L25" s="29">
        <v>8.3227</v>
      </c>
      <c r="M25" s="29" t="s">
        <v>225</v>
      </c>
    </row>
    <row r="26" ht="15.75" customHeight="1">
      <c r="A26" s="29" t="s">
        <v>389</v>
      </c>
      <c r="B26" s="29" t="s">
        <v>391</v>
      </c>
      <c r="C26" s="29">
        <v>0.0</v>
      </c>
      <c r="D26" s="29" t="s">
        <v>60</v>
      </c>
      <c r="E26" s="29">
        <v>0.3723</v>
      </c>
      <c r="F26" s="29">
        <v>78.4987</v>
      </c>
      <c r="G26" s="29">
        <v>36.7532</v>
      </c>
      <c r="H26" s="29">
        <v>0.6806</v>
      </c>
      <c r="I26" s="29">
        <v>0.7303</v>
      </c>
      <c r="J26" s="29">
        <v>0.4464</v>
      </c>
      <c r="K26" s="29">
        <v>0.0596</v>
      </c>
      <c r="L26" s="29">
        <v>8.7572</v>
      </c>
      <c r="M26" s="29" t="s">
        <v>225</v>
      </c>
    </row>
    <row r="27" ht="15.75" customHeight="1">
      <c r="A27" s="29" t="s">
        <v>397</v>
      </c>
      <c r="B27" s="29" t="s">
        <v>399</v>
      </c>
      <c r="C27" s="29">
        <v>0.0</v>
      </c>
      <c r="D27" s="29" t="s">
        <v>60</v>
      </c>
      <c r="E27" s="29">
        <v>0.4341</v>
      </c>
      <c r="F27" s="29">
        <v>78.4364</v>
      </c>
      <c r="G27" s="29">
        <v>35.8377</v>
      </c>
      <c r="H27" s="29">
        <v>0.7097</v>
      </c>
      <c r="I27" s="29">
        <v>0.7671</v>
      </c>
      <c r="J27" s="29">
        <v>0.4785</v>
      </c>
      <c r="K27" s="29">
        <v>0.0597</v>
      </c>
      <c r="L27" s="29">
        <v>8.4961</v>
      </c>
      <c r="M27" s="29" t="s">
        <v>225</v>
      </c>
    </row>
    <row r="28" ht="15.75" customHeight="1">
      <c r="A28" s="29" t="s">
        <v>405</v>
      </c>
      <c r="B28" s="29" t="s">
        <v>406</v>
      </c>
      <c r="C28" s="29">
        <v>0.0</v>
      </c>
      <c r="D28" s="29" t="s">
        <v>60</v>
      </c>
      <c r="E28" s="29">
        <v>0.3335</v>
      </c>
      <c r="F28" s="29">
        <v>78.4156</v>
      </c>
      <c r="G28" s="29">
        <v>39.1034</v>
      </c>
      <c r="H28" s="29">
        <v>0.7396</v>
      </c>
      <c r="I28" s="29">
        <v>0.6444</v>
      </c>
      <c r="J28" s="29">
        <v>0.4949</v>
      </c>
      <c r="K28" s="29">
        <v>0.064</v>
      </c>
      <c r="L28" s="29">
        <v>8.2774</v>
      </c>
      <c r="M28" s="29" t="s">
        <v>225</v>
      </c>
    </row>
    <row r="29" ht="15.75" customHeight="1">
      <c r="A29" s="29" t="s">
        <v>410</v>
      </c>
      <c r="B29" s="29" t="s">
        <v>411</v>
      </c>
      <c r="C29" s="29">
        <v>0.0</v>
      </c>
      <c r="D29" s="29" t="s">
        <v>60</v>
      </c>
      <c r="E29" s="29">
        <v>0.6056</v>
      </c>
      <c r="F29" s="29">
        <v>78.3741</v>
      </c>
      <c r="G29" s="29">
        <v>41.1259</v>
      </c>
      <c r="H29" s="29">
        <v>0.6378</v>
      </c>
      <c r="I29" s="29">
        <v>0.5823</v>
      </c>
      <c r="J29" s="29">
        <v>0.4062</v>
      </c>
      <c r="K29" s="29">
        <v>0.0983</v>
      </c>
      <c r="L29" s="29">
        <v>8.8726</v>
      </c>
      <c r="M29" s="29" t="s">
        <v>225</v>
      </c>
    </row>
    <row r="30" ht="15.75" customHeight="1">
      <c r="A30" s="29" t="s">
        <v>417</v>
      </c>
      <c r="B30" s="29" t="s">
        <v>419</v>
      </c>
      <c r="C30" s="29">
        <v>0.0</v>
      </c>
      <c r="D30" s="29" t="s">
        <v>60</v>
      </c>
      <c r="E30" s="29">
        <v>0.3403</v>
      </c>
      <c r="F30" s="29">
        <v>78.0727</v>
      </c>
      <c r="G30" s="29">
        <v>37.2013</v>
      </c>
      <c r="H30" s="29">
        <v>0.5729</v>
      </c>
      <c r="I30" s="29">
        <v>0.7089</v>
      </c>
      <c r="J30" s="29">
        <v>0.479</v>
      </c>
      <c r="K30" s="29">
        <v>0.0585</v>
      </c>
      <c r="L30" s="29">
        <v>8.5755</v>
      </c>
      <c r="M30" s="29" t="s">
        <v>225</v>
      </c>
    </row>
    <row r="31" ht="15.75" customHeight="1">
      <c r="A31" s="29" t="s">
        <v>424</v>
      </c>
      <c r="B31" s="29" t="s">
        <v>426</v>
      </c>
      <c r="C31" s="29">
        <v>0.0</v>
      </c>
      <c r="D31" s="29" t="s">
        <v>60</v>
      </c>
      <c r="E31" s="29">
        <v>0.607</v>
      </c>
      <c r="F31" s="29">
        <v>77.9377</v>
      </c>
      <c r="G31" s="29">
        <v>39.3886</v>
      </c>
      <c r="H31" s="29">
        <v>0.6704</v>
      </c>
      <c r="I31" s="29">
        <v>0.6313</v>
      </c>
      <c r="J31" s="29">
        <v>0.4023</v>
      </c>
      <c r="K31" s="29">
        <v>0.0994</v>
      </c>
      <c r="L31" s="29">
        <v>8.903</v>
      </c>
      <c r="M31" s="29" t="s">
        <v>225</v>
      </c>
    </row>
    <row r="32" ht="15.75" customHeight="1">
      <c r="A32" s="29" t="s">
        <v>432</v>
      </c>
      <c r="B32" s="29" t="s">
        <v>434</v>
      </c>
      <c r="C32" s="29">
        <v>0.0</v>
      </c>
      <c r="D32" s="29" t="s">
        <v>60</v>
      </c>
      <c r="E32" s="29">
        <v>0.6082</v>
      </c>
      <c r="F32" s="29">
        <v>77.6433</v>
      </c>
      <c r="G32" s="29">
        <v>37.2456</v>
      </c>
      <c r="H32" s="29">
        <v>0.6719</v>
      </c>
      <c r="I32" s="29">
        <v>0.7031</v>
      </c>
      <c r="J32" s="29">
        <v>0.437</v>
      </c>
      <c r="K32" s="29">
        <v>0.1037</v>
      </c>
      <c r="L32" s="29">
        <v>8.683</v>
      </c>
      <c r="M32" s="29" t="s">
        <v>225</v>
      </c>
    </row>
    <row r="33" ht="15.75" customHeight="1">
      <c r="A33" s="29" t="s">
        <v>438</v>
      </c>
      <c r="B33" s="29" t="s">
        <v>440</v>
      </c>
      <c r="C33" s="29">
        <v>0.0</v>
      </c>
      <c r="D33" s="29" t="s">
        <v>60</v>
      </c>
      <c r="E33" s="29">
        <v>0.6052</v>
      </c>
      <c r="F33" s="29">
        <v>77.6294</v>
      </c>
      <c r="G33" s="29">
        <v>36.8984</v>
      </c>
      <c r="H33" s="29">
        <v>0.6719</v>
      </c>
      <c r="I33" s="29">
        <v>0.7165</v>
      </c>
      <c r="J33" s="29">
        <v>0.4077</v>
      </c>
      <c r="K33" s="29">
        <v>0.104</v>
      </c>
      <c r="L33" s="29">
        <v>8.8346</v>
      </c>
      <c r="M33" s="29" t="s">
        <v>225</v>
      </c>
    </row>
    <row r="34" ht="15.75" customHeight="1">
      <c r="A34" s="29" t="s">
        <v>446</v>
      </c>
      <c r="B34" s="29" t="s">
        <v>448</v>
      </c>
      <c r="C34" s="29">
        <v>0.0</v>
      </c>
      <c r="D34" s="29" t="s">
        <v>60</v>
      </c>
      <c r="E34" s="29">
        <v>0.5718</v>
      </c>
      <c r="F34" s="29">
        <v>77.1203</v>
      </c>
      <c r="G34" s="29">
        <v>44.6604</v>
      </c>
      <c r="H34" s="29">
        <v>0.2915</v>
      </c>
      <c r="I34" s="29">
        <v>0.4849</v>
      </c>
      <c r="J34" s="29">
        <v>0.5355</v>
      </c>
      <c r="K34" s="29">
        <v>0.1392</v>
      </c>
      <c r="L34" s="29">
        <v>8.1944</v>
      </c>
      <c r="M34" s="29" t="s">
        <v>225</v>
      </c>
    </row>
    <row r="35" ht="15.75" customHeight="1">
      <c r="A35" s="29" t="s">
        <v>454</v>
      </c>
      <c r="B35" s="29" t="s">
        <v>456</v>
      </c>
      <c r="C35" s="29">
        <v>0.0</v>
      </c>
      <c r="D35" s="29" t="s">
        <v>60</v>
      </c>
      <c r="E35" s="29">
        <v>0.2656</v>
      </c>
      <c r="F35" s="29">
        <v>76.8641</v>
      </c>
      <c r="G35" s="29">
        <v>35.1054</v>
      </c>
      <c r="H35" s="29">
        <v>0.6988</v>
      </c>
      <c r="I35" s="29">
        <v>0.7822</v>
      </c>
      <c r="J35" s="29">
        <v>0.4149</v>
      </c>
      <c r="K35" s="29">
        <v>0.0534</v>
      </c>
      <c r="L35" s="29">
        <v>8.9268</v>
      </c>
      <c r="M35" s="29" t="s">
        <v>225</v>
      </c>
    </row>
    <row r="36" ht="15.75" customHeight="1">
      <c r="A36" s="29" t="s">
        <v>268</v>
      </c>
      <c r="B36" s="29" t="s">
        <v>462</v>
      </c>
      <c r="C36" s="29">
        <v>0.0</v>
      </c>
      <c r="D36" s="29" t="s">
        <v>60</v>
      </c>
      <c r="E36" s="29">
        <v>0.5823</v>
      </c>
      <c r="F36" s="29">
        <v>76.7948</v>
      </c>
      <c r="G36" s="29">
        <v>43.0077</v>
      </c>
      <c r="H36" s="29">
        <v>0.6967</v>
      </c>
      <c r="I36" s="29">
        <v>0.5217</v>
      </c>
      <c r="J36" s="29">
        <v>0.4075</v>
      </c>
      <c r="K36" s="29">
        <v>0.1063</v>
      </c>
      <c r="L36" s="29">
        <v>8.8631</v>
      </c>
      <c r="M36" s="29" t="s">
        <v>225</v>
      </c>
    </row>
    <row r="37" ht="15.75" customHeight="1">
      <c r="A37" s="29" t="s">
        <v>466</v>
      </c>
      <c r="B37" s="29" t="s">
        <v>469</v>
      </c>
      <c r="C37" s="29">
        <v>0.0</v>
      </c>
      <c r="D37" s="29" t="s">
        <v>60</v>
      </c>
      <c r="E37" s="29">
        <v>0.3944</v>
      </c>
      <c r="F37" s="29">
        <v>76.5731</v>
      </c>
      <c r="G37" s="29">
        <v>37.9138</v>
      </c>
      <c r="H37" s="29">
        <v>0.8125</v>
      </c>
      <c r="I37" s="29">
        <v>0.6694</v>
      </c>
      <c r="J37" s="29">
        <v>0.455</v>
      </c>
      <c r="K37" s="29">
        <v>0.0599</v>
      </c>
      <c r="L37" s="29">
        <v>8.514</v>
      </c>
      <c r="M37" s="29" t="s">
        <v>225</v>
      </c>
    </row>
    <row r="38" ht="15.75" customHeight="1">
      <c r="A38" s="29" t="s">
        <v>289</v>
      </c>
      <c r="B38" s="29" t="s">
        <v>476</v>
      </c>
      <c r="C38" s="29">
        <v>0.0</v>
      </c>
      <c r="D38" s="29" t="s">
        <v>60</v>
      </c>
      <c r="E38" s="29">
        <v>0.5853</v>
      </c>
      <c r="F38" s="29">
        <v>76.2615</v>
      </c>
      <c r="G38" s="29">
        <v>38.0128</v>
      </c>
      <c r="H38" s="29">
        <v>0.6385</v>
      </c>
      <c r="I38" s="29">
        <v>0.6632</v>
      </c>
      <c r="J38" s="29">
        <v>0.4021</v>
      </c>
      <c r="K38" s="29">
        <v>0.1011</v>
      </c>
      <c r="L38" s="29">
        <v>8.8409</v>
      </c>
      <c r="M38" s="29" t="s">
        <v>225</v>
      </c>
    </row>
    <row r="39" ht="15.75" customHeight="1">
      <c r="A39" s="29" t="s">
        <v>481</v>
      </c>
      <c r="B39" s="29" t="s">
        <v>482</v>
      </c>
      <c r="C39" s="29">
        <v>0.0</v>
      </c>
      <c r="D39" s="29" t="s">
        <v>60</v>
      </c>
      <c r="E39" s="29">
        <v>0.3053</v>
      </c>
      <c r="F39" s="29">
        <v>76.213</v>
      </c>
      <c r="G39" s="29">
        <v>38.1802</v>
      </c>
      <c r="H39" s="29">
        <v>0.5913</v>
      </c>
      <c r="I39" s="29">
        <v>0.657</v>
      </c>
      <c r="J39" s="29">
        <v>0.6057</v>
      </c>
      <c r="K39" s="29">
        <v>0.0714</v>
      </c>
      <c r="L39" s="29">
        <v>8.0527</v>
      </c>
      <c r="M39" s="29" t="s">
        <v>225</v>
      </c>
    </row>
    <row r="40" ht="15.75" customHeight="1">
      <c r="A40" s="29" t="s">
        <v>488</v>
      </c>
      <c r="B40" s="29" t="s">
        <v>489</v>
      </c>
      <c r="C40" s="29">
        <v>0.0</v>
      </c>
      <c r="D40" s="29" t="s">
        <v>60</v>
      </c>
      <c r="E40" s="29">
        <v>0.3937</v>
      </c>
      <c r="F40" s="29">
        <v>76.0571</v>
      </c>
      <c r="G40" s="29">
        <v>35.8036</v>
      </c>
      <c r="H40" s="29">
        <v>0.7586</v>
      </c>
      <c r="I40" s="29">
        <v>0.7456</v>
      </c>
      <c r="J40" s="29">
        <v>0.4243</v>
      </c>
      <c r="K40" s="29">
        <v>0.0559</v>
      </c>
      <c r="L40" s="29">
        <v>8.9119</v>
      </c>
      <c r="M40" s="29" t="s">
        <v>225</v>
      </c>
    </row>
    <row r="41" ht="15.75" customHeight="1">
      <c r="A41" s="29" t="s">
        <v>498</v>
      </c>
      <c r="B41" s="29" t="s">
        <v>499</v>
      </c>
      <c r="C41" s="29">
        <v>0.0</v>
      </c>
      <c r="D41" s="29" t="s">
        <v>60</v>
      </c>
      <c r="E41" s="29">
        <v>0.5869</v>
      </c>
      <c r="F41" s="29">
        <v>75.8736</v>
      </c>
      <c r="G41" s="29">
        <v>36.046</v>
      </c>
      <c r="H41" s="29">
        <v>0.6436</v>
      </c>
      <c r="I41" s="29">
        <v>0.7338</v>
      </c>
      <c r="J41" s="29">
        <v>0.4058</v>
      </c>
      <c r="K41" s="29">
        <v>0.0971</v>
      </c>
      <c r="L41" s="29">
        <v>8.8287</v>
      </c>
      <c r="M41" s="29" t="s">
        <v>225</v>
      </c>
    </row>
    <row r="42" ht="15.75" customHeight="1">
      <c r="A42" s="29" t="s">
        <v>505</v>
      </c>
      <c r="B42" s="29" t="s">
        <v>506</v>
      </c>
      <c r="C42" s="29">
        <v>0.0</v>
      </c>
      <c r="D42" s="29" t="s">
        <v>60</v>
      </c>
      <c r="E42" s="29">
        <v>0.2577</v>
      </c>
      <c r="F42" s="29">
        <v>75.8182</v>
      </c>
      <c r="G42" s="29">
        <v>36.406</v>
      </c>
      <c r="H42" s="29">
        <v>0.6683</v>
      </c>
      <c r="I42" s="29">
        <v>0.7188</v>
      </c>
      <c r="J42" s="29">
        <v>0.5264</v>
      </c>
      <c r="K42" s="29">
        <v>0.0669</v>
      </c>
      <c r="L42" s="29">
        <v>8.163</v>
      </c>
      <c r="M42" s="29" t="s">
        <v>225</v>
      </c>
    </row>
    <row r="43" ht="15.75" customHeight="1">
      <c r="A43" s="29" t="s">
        <v>512</v>
      </c>
      <c r="B43" s="29" t="s">
        <v>513</v>
      </c>
      <c r="C43" s="29">
        <v>0.0</v>
      </c>
      <c r="D43" s="29" t="s">
        <v>60</v>
      </c>
      <c r="E43" s="29">
        <v>0.5982</v>
      </c>
      <c r="F43" s="29">
        <v>75.6381</v>
      </c>
      <c r="G43" s="29">
        <v>38.9582</v>
      </c>
      <c r="H43" s="29">
        <v>0.6115</v>
      </c>
      <c r="I43" s="29">
        <v>0.6263</v>
      </c>
      <c r="J43" s="29">
        <v>0.3947</v>
      </c>
      <c r="K43" s="29">
        <v>0.0905</v>
      </c>
      <c r="L43" s="29">
        <v>8.9088</v>
      </c>
      <c r="M43" s="29" t="s">
        <v>225</v>
      </c>
    </row>
    <row r="44" ht="15.75" customHeight="1">
      <c r="A44" s="29" t="s">
        <v>518</v>
      </c>
      <c r="B44" s="29" t="s">
        <v>519</v>
      </c>
      <c r="C44" s="29">
        <v>0.0</v>
      </c>
      <c r="D44" s="29" t="s">
        <v>60</v>
      </c>
      <c r="E44" s="29">
        <v>0.3375</v>
      </c>
      <c r="F44" s="29">
        <v>75.5238</v>
      </c>
      <c r="G44" s="29">
        <v>36.6195</v>
      </c>
      <c r="H44" s="29">
        <v>0.7122</v>
      </c>
      <c r="I44" s="29">
        <v>0.7071</v>
      </c>
      <c r="J44" s="29">
        <v>0.4221</v>
      </c>
      <c r="K44" s="29">
        <v>0.0541</v>
      </c>
      <c r="L44" s="29">
        <v>8.9233</v>
      </c>
      <c r="M44" s="29" t="s">
        <v>225</v>
      </c>
    </row>
    <row r="45" ht="15.75" customHeight="1">
      <c r="A45" s="29" t="s">
        <v>40</v>
      </c>
      <c r="B45" s="29" t="s">
        <v>525</v>
      </c>
      <c r="C45" s="29">
        <v>0.0</v>
      </c>
      <c r="D45" s="29" t="s">
        <v>60</v>
      </c>
      <c r="E45" s="29">
        <v>0.3886</v>
      </c>
      <c r="F45" s="29">
        <v>75.4095</v>
      </c>
      <c r="G45" s="29">
        <v>34.933</v>
      </c>
      <c r="H45" s="29">
        <v>0.7047</v>
      </c>
      <c r="I45" s="29">
        <v>0.7765</v>
      </c>
      <c r="J45" s="29">
        <v>0.4252</v>
      </c>
      <c r="K45" s="29">
        <v>0.0622</v>
      </c>
      <c r="L45" s="29">
        <v>8.8521</v>
      </c>
      <c r="M45" s="29" t="s">
        <v>225</v>
      </c>
    </row>
    <row r="46" ht="15.75" customHeight="1">
      <c r="A46" s="29" t="s">
        <v>528</v>
      </c>
      <c r="B46" s="29" t="s">
        <v>531</v>
      </c>
      <c r="C46" s="29">
        <v>0.0</v>
      </c>
      <c r="D46" s="29" t="s">
        <v>60</v>
      </c>
      <c r="E46" s="29">
        <v>0.3982</v>
      </c>
      <c r="F46" s="29">
        <v>75.2294</v>
      </c>
      <c r="G46" s="29">
        <v>34.7523</v>
      </c>
      <c r="H46" s="29">
        <v>0.693</v>
      </c>
      <c r="I46" s="29">
        <v>0.7828</v>
      </c>
      <c r="J46" s="29">
        <v>0.4277</v>
      </c>
      <c r="K46" s="29">
        <v>0.0579</v>
      </c>
      <c r="L46" s="29">
        <v>8.8851</v>
      </c>
      <c r="M46" s="29" t="s">
        <v>225</v>
      </c>
    </row>
    <row r="47" ht="15.75" customHeight="1">
      <c r="A47" s="29" t="s">
        <v>536</v>
      </c>
      <c r="B47" s="29" t="s">
        <v>537</v>
      </c>
      <c r="C47" s="29">
        <v>0.0</v>
      </c>
      <c r="D47" s="29" t="s">
        <v>60</v>
      </c>
      <c r="E47" s="29">
        <v>0.5961</v>
      </c>
      <c r="F47" s="29">
        <v>75.1047</v>
      </c>
      <c r="G47" s="29">
        <v>36.4478</v>
      </c>
      <c r="H47" s="29">
        <v>0.6714</v>
      </c>
      <c r="I47" s="29">
        <v>0.7105</v>
      </c>
      <c r="J47" s="29">
        <v>0.4034</v>
      </c>
      <c r="K47" s="29">
        <v>0.1018</v>
      </c>
      <c r="L47" s="29">
        <v>8.8315</v>
      </c>
      <c r="M47" s="29" t="s">
        <v>225</v>
      </c>
    </row>
    <row r="48" ht="15.75" customHeight="1">
      <c r="A48" s="29" t="s">
        <v>350</v>
      </c>
      <c r="B48" s="29" t="s">
        <v>543</v>
      </c>
      <c r="C48" s="29">
        <v>0.0</v>
      </c>
      <c r="D48" s="29" t="s">
        <v>60</v>
      </c>
      <c r="E48" s="29">
        <v>0.3363</v>
      </c>
      <c r="F48" s="29">
        <v>75.0493</v>
      </c>
      <c r="G48" s="29">
        <v>35.0688</v>
      </c>
      <c r="H48" s="29">
        <v>0.7124</v>
      </c>
      <c r="I48" s="29">
        <v>0.7669</v>
      </c>
      <c r="J48" s="29">
        <v>0.4161</v>
      </c>
      <c r="K48" s="29">
        <v>0.0572</v>
      </c>
      <c r="L48" s="29">
        <v>8.8829</v>
      </c>
      <c r="M48" s="29" t="s">
        <v>225</v>
      </c>
    </row>
    <row r="49" ht="15.75" customHeight="1">
      <c r="A49" s="29" t="s">
        <v>550</v>
      </c>
      <c r="B49" s="29" t="s">
        <v>551</v>
      </c>
      <c r="C49" s="29">
        <v>0.0</v>
      </c>
      <c r="D49" s="29" t="s">
        <v>60</v>
      </c>
      <c r="E49" s="29">
        <v>0.6071</v>
      </c>
      <c r="F49" s="29">
        <v>74.935</v>
      </c>
      <c r="G49" s="29">
        <v>40.7488</v>
      </c>
      <c r="H49" s="29">
        <v>0.68</v>
      </c>
      <c r="I49" s="29">
        <v>0.5671</v>
      </c>
      <c r="J49" s="29">
        <v>0.4083</v>
      </c>
      <c r="K49" s="29">
        <v>0.1087</v>
      </c>
      <c r="L49" s="29">
        <v>8.8387</v>
      </c>
      <c r="M49" s="29" t="s">
        <v>225</v>
      </c>
    </row>
    <row r="50" ht="15.75" customHeight="1">
      <c r="A50" s="29" t="s">
        <v>556</v>
      </c>
      <c r="B50" s="29" t="s">
        <v>557</v>
      </c>
      <c r="C50" s="29">
        <v>0.0</v>
      </c>
      <c r="D50" s="29" t="s">
        <v>60</v>
      </c>
      <c r="E50" s="29">
        <v>0.2994</v>
      </c>
      <c r="F50" s="29">
        <v>74.4675</v>
      </c>
      <c r="G50" s="29">
        <v>35.0163</v>
      </c>
      <c r="H50" s="29">
        <v>0.7008</v>
      </c>
      <c r="I50" s="29">
        <v>0.7632</v>
      </c>
      <c r="J50" s="29">
        <v>0.4121</v>
      </c>
      <c r="K50" s="29">
        <v>0.0553</v>
      </c>
      <c r="L50" s="29">
        <v>8.9051</v>
      </c>
      <c r="M50" s="29" t="s">
        <v>225</v>
      </c>
    </row>
    <row r="51" ht="15.75" customHeight="1">
      <c r="A51" s="29" t="s">
        <v>563</v>
      </c>
      <c r="B51" s="29" t="s">
        <v>564</v>
      </c>
      <c r="C51" s="29">
        <v>0.0</v>
      </c>
      <c r="D51" s="29" t="s">
        <v>60</v>
      </c>
      <c r="E51" s="29">
        <v>0.5522</v>
      </c>
      <c r="F51" s="29">
        <v>73.9445</v>
      </c>
      <c r="G51" s="29">
        <v>37.6377</v>
      </c>
      <c r="H51" s="29">
        <v>0.6164</v>
      </c>
      <c r="I51" s="29">
        <v>0.6559</v>
      </c>
      <c r="J51" s="29">
        <v>0.4476</v>
      </c>
      <c r="K51" s="29">
        <v>0.0948</v>
      </c>
      <c r="L51" s="29">
        <v>8.4676</v>
      </c>
      <c r="M51" s="29" t="s">
        <v>225</v>
      </c>
    </row>
    <row r="52" ht="15.75" customHeight="1">
      <c r="A52" s="29" t="s">
        <v>572</v>
      </c>
      <c r="B52" s="29" t="s">
        <v>573</v>
      </c>
      <c r="C52" s="29">
        <v>0.0</v>
      </c>
      <c r="D52" s="29" t="s">
        <v>60</v>
      </c>
      <c r="E52" s="29">
        <v>0.3578</v>
      </c>
      <c r="F52" s="29">
        <v>73.9341</v>
      </c>
      <c r="G52" s="29">
        <v>41.6854</v>
      </c>
      <c r="H52" s="29">
        <v>0.7644</v>
      </c>
      <c r="I52" s="29">
        <v>0.5346</v>
      </c>
      <c r="J52" s="29">
        <v>0.5325</v>
      </c>
      <c r="K52" s="29">
        <v>0.0736</v>
      </c>
      <c r="L52" s="29">
        <v>8.0532</v>
      </c>
      <c r="M52" s="29" t="s">
        <v>225</v>
      </c>
    </row>
    <row r="53" ht="15.75" customHeight="1">
      <c r="A53" s="29" t="s">
        <v>578</v>
      </c>
      <c r="B53" s="29" t="s">
        <v>579</v>
      </c>
      <c r="C53" s="29">
        <v>0.0</v>
      </c>
      <c r="D53" s="29" t="s">
        <v>60</v>
      </c>
      <c r="E53" s="29">
        <v>0.3969</v>
      </c>
      <c r="F53" s="29">
        <v>73.9237</v>
      </c>
      <c r="G53" s="29">
        <v>46.1204</v>
      </c>
      <c r="H53" s="29">
        <v>0.7668</v>
      </c>
      <c r="I53" s="29">
        <v>0.4367</v>
      </c>
      <c r="J53" s="29">
        <v>0.4504</v>
      </c>
      <c r="K53" s="29">
        <v>0.073</v>
      </c>
      <c r="L53" s="29">
        <v>9.0318</v>
      </c>
      <c r="M53" s="29" t="s">
        <v>225</v>
      </c>
    </row>
    <row r="54" ht="15.75" customHeight="1">
      <c r="A54" s="29" t="s">
        <v>585</v>
      </c>
      <c r="B54" s="29" t="s">
        <v>586</v>
      </c>
      <c r="C54" s="29">
        <v>0.0</v>
      </c>
      <c r="D54" s="29" t="s">
        <v>60</v>
      </c>
      <c r="E54" s="29">
        <v>0.5681</v>
      </c>
      <c r="F54" s="29">
        <v>73.7783</v>
      </c>
      <c r="G54" s="29">
        <v>38.6315</v>
      </c>
      <c r="H54" s="29">
        <v>0.6469</v>
      </c>
      <c r="I54" s="29">
        <v>0.6208</v>
      </c>
      <c r="J54" s="29">
        <v>0.3989</v>
      </c>
      <c r="K54" s="29">
        <v>0.0962</v>
      </c>
      <c r="L54" s="29">
        <v>8.8793</v>
      </c>
      <c r="M54" s="29" t="s">
        <v>225</v>
      </c>
    </row>
    <row r="55" ht="15.75" customHeight="1">
      <c r="A55" s="29" t="s">
        <v>324</v>
      </c>
      <c r="B55" s="29" t="s">
        <v>592</v>
      </c>
      <c r="C55" s="29">
        <v>0.0</v>
      </c>
      <c r="D55" s="29" t="s">
        <v>60</v>
      </c>
      <c r="E55" s="29">
        <v>0.591</v>
      </c>
      <c r="F55" s="29">
        <v>73.5462</v>
      </c>
      <c r="G55" s="29">
        <v>39.1194</v>
      </c>
      <c r="H55" s="29">
        <v>0.596</v>
      </c>
      <c r="I55" s="29">
        <v>0.6031</v>
      </c>
      <c r="J55" s="29">
        <v>0.4269</v>
      </c>
      <c r="K55" s="29">
        <v>0.0866</v>
      </c>
      <c r="L55" s="29">
        <v>8.6953</v>
      </c>
      <c r="M55" s="29" t="s">
        <v>225</v>
      </c>
    </row>
    <row r="56" ht="15.75" customHeight="1">
      <c r="A56" s="29" t="s">
        <v>466</v>
      </c>
      <c r="B56" s="29" t="s">
        <v>596</v>
      </c>
      <c r="C56" s="29">
        <v>0.0</v>
      </c>
      <c r="D56" s="29" t="s">
        <v>60</v>
      </c>
      <c r="E56" s="29">
        <v>0.5273</v>
      </c>
      <c r="F56" s="29">
        <v>73.1445</v>
      </c>
      <c r="G56" s="29">
        <v>35.5264</v>
      </c>
      <c r="H56" s="29">
        <v>0.5752</v>
      </c>
      <c r="I56" s="29">
        <v>0.728</v>
      </c>
      <c r="J56" s="29">
        <v>0.389</v>
      </c>
      <c r="K56" s="29">
        <v>0.078</v>
      </c>
      <c r="L56" s="29">
        <v>9.0348</v>
      </c>
      <c r="M56" s="29" t="s">
        <v>225</v>
      </c>
    </row>
    <row r="57" ht="15.75" customHeight="1">
      <c r="A57" s="29" t="s">
        <v>603</v>
      </c>
      <c r="B57" s="29" t="s">
        <v>604</v>
      </c>
      <c r="C57" s="29">
        <v>0.0</v>
      </c>
      <c r="D57" s="29" t="s">
        <v>60</v>
      </c>
      <c r="E57" s="29">
        <v>0.5654</v>
      </c>
      <c r="F57" s="29">
        <v>72.9575</v>
      </c>
      <c r="G57" s="29">
        <v>36.7564</v>
      </c>
      <c r="H57" s="29">
        <v>0.5736</v>
      </c>
      <c r="I57" s="29">
        <v>0.6786</v>
      </c>
      <c r="J57" s="29">
        <v>0.3942</v>
      </c>
      <c r="K57" s="29">
        <v>0.088</v>
      </c>
      <c r="L57" s="29">
        <v>8.989</v>
      </c>
      <c r="M57" s="29" t="s">
        <v>225</v>
      </c>
    </row>
    <row r="58" ht="15.75" customHeight="1">
      <c r="A58" s="29" t="s">
        <v>199</v>
      </c>
      <c r="B58" s="29" t="s">
        <v>609</v>
      </c>
      <c r="C58" s="29">
        <v>0.0</v>
      </c>
      <c r="D58" s="29" t="s">
        <v>60</v>
      </c>
      <c r="E58" s="29">
        <v>0.4567</v>
      </c>
      <c r="F58" s="29">
        <v>72.8917</v>
      </c>
      <c r="G58" s="29">
        <v>39.9019</v>
      </c>
      <c r="H58" s="29">
        <v>0.7652</v>
      </c>
      <c r="I58" s="29">
        <v>0.5717</v>
      </c>
      <c r="J58" s="29">
        <v>0.4867</v>
      </c>
      <c r="K58" s="29">
        <v>0.0716</v>
      </c>
      <c r="L58" s="29">
        <v>8.8697</v>
      </c>
      <c r="M58" s="29" t="s">
        <v>225</v>
      </c>
    </row>
    <row r="59" ht="15.75" customHeight="1">
      <c r="A59" s="29" t="s">
        <v>615</v>
      </c>
      <c r="B59" s="29" t="s">
        <v>616</v>
      </c>
      <c r="C59" s="29">
        <v>0.0</v>
      </c>
      <c r="D59" s="29" t="s">
        <v>60</v>
      </c>
      <c r="E59" s="29">
        <v>0.5753</v>
      </c>
      <c r="F59" s="29">
        <v>72.8051</v>
      </c>
      <c r="G59" s="29">
        <v>37.5566</v>
      </c>
      <c r="H59" s="29">
        <v>0.6235</v>
      </c>
      <c r="I59" s="29">
        <v>0.6455</v>
      </c>
      <c r="J59" s="29">
        <v>0.4402</v>
      </c>
      <c r="K59" s="29">
        <v>0.1101</v>
      </c>
      <c r="L59" s="29">
        <v>8.5574</v>
      </c>
      <c r="M59" s="29" t="s">
        <v>225</v>
      </c>
    </row>
    <row r="60" ht="15.75" customHeight="1">
      <c r="A60" s="29" t="s">
        <v>621</v>
      </c>
      <c r="B60" s="29" t="s">
        <v>622</v>
      </c>
      <c r="C60" s="29">
        <v>0.0</v>
      </c>
      <c r="D60" s="29" t="s">
        <v>60</v>
      </c>
      <c r="E60" s="29">
        <v>0.3877</v>
      </c>
      <c r="F60" s="29">
        <v>72.7324</v>
      </c>
      <c r="G60" s="29">
        <v>35.8973</v>
      </c>
      <c r="H60" s="29">
        <v>0.6532</v>
      </c>
      <c r="I60" s="29">
        <v>0.7093</v>
      </c>
      <c r="J60" s="29">
        <v>0.4139</v>
      </c>
      <c r="K60" s="29">
        <v>0.0567</v>
      </c>
      <c r="L60" s="29">
        <v>8.8957</v>
      </c>
      <c r="M60" s="29" t="s">
        <v>225</v>
      </c>
    </row>
    <row r="61" ht="15.75" customHeight="1">
      <c r="A61" s="29" t="s">
        <v>627</v>
      </c>
      <c r="B61" s="29" t="s">
        <v>628</v>
      </c>
      <c r="C61" s="29">
        <v>0.0</v>
      </c>
      <c r="D61" s="29" t="s">
        <v>60</v>
      </c>
      <c r="E61" s="29">
        <v>0.3779</v>
      </c>
      <c r="F61" s="29">
        <v>72.7289</v>
      </c>
      <c r="G61" s="29">
        <v>33.8974</v>
      </c>
      <c r="H61" s="29">
        <v>0.359</v>
      </c>
      <c r="I61" s="29">
        <v>0.7954</v>
      </c>
      <c r="J61" s="29">
        <v>0.5691</v>
      </c>
      <c r="K61" s="29">
        <v>0.0708</v>
      </c>
      <c r="L61" s="29">
        <v>8.034</v>
      </c>
      <c r="M61" s="29" t="s">
        <v>225</v>
      </c>
    </row>
    <row r="62" ht="15.75" customHeight="1">
      <c r="A62" s="29" t="s">
        <v>631</v>
      </c>
      <c r="B62" s="29" t="s">
        <v>633</v>
      </c>
      <c r="C62" s="29">
        <v>0.0</v>
      </c>
      <c r="D62" s="29" t="s">
        <v>60</v>
      </c>
      <c r="E62" s="29">
        <v>0.5838</v>
      </c>
      <c r="F62" s="29">
        <v>72.6666</v>
      </c>
      <c r="G62" s="29">
        <v>35.9081</v>
      </c>
      <c r="H62" s="29">
        <v>0.5593</v>
      </c>
      <c r="I62" s="29">
        <v>0.7082</v>
      </c>
      <c r="J62" s="29">
        <v>0.4036</v>
      </c>
      <c r="K62" s="29">
        <v>0.0933</v>
      </c>
      <c r="L62" s="29">
        <v>8.9396</v>
      </c>
      <c r="M62" s="29" t="s">
        <v>225</v>
      </c>
    </row>
    <row r="63" ht="15.75" customHeight="1">
      <c r="A63" s="29" t="s">
        <v>638</v>
      </c>
      <c r="B63" s="29" t="s">
        <v>640</v>
      </c>
      <c r="C63" s="29">
        <v>0.0</v>
      </c>
      <c r="D63" s="29" t="s">
        <v>60</v>
      </c>
      <c r="E63" s="29">
        <v>0.5892</v>
      </c>
      <c r="F63" s="29">
        <v>72.6527</v>
      </c>
      <c r="G63" s="29">
        <v>41.1704</v>
      </c>
      <c r="H63" s="29">
        <v>0.6449</v>
      </c>
      <c r="I63" s="29">
        <v>0.5379</v>
      </c>
      <c r="J63" s="29">
        <v>0.4877</v>
      </c>
      <c r="K63" s="29">
        <v>0.0839</v>
      </c>
      <c r="L63" s="29">
        <v>8.274</v>
      </c>
      <c r="M63" s="29" t="s">
        <v>225</v>
      </c>
    </row>
    <row r="64" ht="15.75" customHeight="1">
      <c r="A64" s="29" t="s">
        <v>106</v>
      </c>
      <c r="B64" s="29" t="s">
        <v>644</v>
      </c>
      <c r="C64" s="29">
        <v>0.0</v>
      </c>
      <c r="D64" s="29" t="s">
        <v>60</v>
      </c>
      <c r="E64" s="29">
        <v>0.3288</v>
      </c>
      <c r="F64" s="29">
        <v>72.5142</v>
      </c>
      <c r="G64" s="29">
        <v>50.2058</v>
      </c>
      <c r="H64" s="29">
        <v>0.7902</v>
      </c>
      <c r="I64" s="29">
        <v>0.361</v>
      </c>
      <c r="J64" s="29">
        <v>0.4575</v>
      </c>
      <c r="K64" s="29">
        <v>0.0989</v>
      </c>
      <c r="L64" s="29">
        <v>8.9652</v>
      </c>
      <c r="M64" s="29" t="s">
        <v>225</v>
      </c>
    </row>
    <row r="65" ht="15.75" customHeight="1">
      <c r="A65" s="29" t="s">
        <v>649</v>
      </c>
      <c r="B65" s="29" t="s">
        <v>650</v>
      </c>
      <c r="C65" s="29">
        <v>0.0</v>
      </c>
      <c r="D65" s="29" t="s">
        <v>60</v>
      </c>
      <c r="E65" s="29">
        <v>0.5893</v>
      </c>
      <c r="F65" s="29">
        <v>71.8215</v>
      </c>
      <c r="G65" s="29">
        <v>36.4074</v>
      </c>
      <c r="H65" s="29">
        <v>0.6673</v>
      </c>
      <c r="I65" s="29">
        <v>0.6809</v>
      </c>
      <c r="J65" s="29">
        <v>0.3982</v>
      </c>
      <c r="K65" s="29">
        <v>0.0952</v>
      </c>
      <c r="L65" s="29">
        <v>8.8512</v>
      </c>
      <c r="M65" s="29" t="s">
        <v>225</v>
      </c>
    </row>
    <row r="66" ht="15.75" customHeight="1">
      <c r="A66" s="29" t="s">
        <v>655</v>
      </c>
      <c r="B66" s="29" t="s">
        <v>656</v>
      </c>
      <c r="C66" s="29">
        <v>0.0</v>
      </c>
      <c r="D66" s="29" t="s">
        <v>60</v>
      </c>
      <c r="E66" s="29">
        <v>0.4991</v>
      </c>
      <c r="F66" s="29">
        <v>71.8146</v>
      </c>
      <c r="G66" s="29">
        <v>35.7688</v>
      </c>
      <c r="H66" s="29">
        <v>0.7463</v>
      </c>
      <c r="I66" s="29">
        <v>0.7053</v>
      </c>
      <c r="J66" s="29">
        <v>0.509</v>
      </c>
      <c r="K66" s="29">
        <v>0.0664</v>
      </c>
      <c r="L66" s="29">
        <v>8.2138</v>
      </c>
      <c r="M66" s="29" t="s">
        <v>225</v>
      </c>
    </row>
    <row r="67" ht="15.75" customHeight="1">
      <c r="A67" s="29" t="s">
        <v>662</v>
      </c>
      <c r="B67" s="29" t="s">
        <v>663</v>
      </c>
      <c r="C67" s="29">
        <v>0.0</v>
      </c>
      <c r="D67" s="29" t="s">
        <v>60</v>
      </c>
      <c r="E67" s="29">
        <v>0.583</v>
      </c>
      <c r="F67" s="29">
        <v>71.7488</v>
      </c>
      <c r="G67" s="29">
        <v>35.2851</v>
      </c>
      <c r="H67" s="29">
        <v>0.6128</v>
      </c>
      <c r="I67" s="29">
        <v>0.7242</v>
      </c>
      <c r="J67" s="29">
        <v>0.407</v>
      </c>
      <c r="K67" s="29">
        <v>0.1017</v>
      </c>
      <c r="L67" s="29">
        <v>8.794</v>
      </c>
      <c r="M67" s="29" t="s">
        <v>225</v>
      </c>
    </row>
    <row r="68" ht="15.75" customHeight="1">
      <c r="A68" s="29" t="s">
        <v>668</v>
      </c>
      <c r="B68" s="29" t="s">
        <v>669</v>
      </c>
      <c r="C68" s="29">
        <v>0.0</v>
      </c>
      <c r="D68" s="29" t="s">
        <v>60</v>
      </c>
      <c r="E68" s="29">
        <v>0.3396</v>
      </c>
      <c r="F68" s="29">
        <v>71.5098</v>
      </c>
      <c r="G68" s="29">
        <v>34.511</v>
      </c>
      <c r="H68" s="29">
        <v>0.696</v>
      </c>
      <c r="I68" s="29">
        <v>0.7544</v>
      </c>
      <c r="J68" s="29">
        <v>0.4174</v>
      </c>
      <c r="K68" s="29">
        <v>0.0558</v>
      </c>
      <c r="L68" s="29">
        <v>8.8918</v>
      </c>
      <c r="M68" s="29" t="s">
        <v>225</v>
      </c>
    </row>
    <row r="69" ht="15.75" customHeight="1">
      <c r="A69" s="29" t="s">
        <v>674</v>
      </c>
      <c r="B69" s="29" t="s">
        <v>675</v>
      </c>
      <c r="C69" s="29">
        <v>0.0</v>
      </c>
      <c r="D69" s="29" t="s">
        <v>60</v>
      </c>
      <c r="E69" s="29">
        <v>0.5307</v>
      </c>
      <c r="F69" s="29">
        <v>71.4025</v>
      </c>
      <c r="G69" s="29">
        <v>39.8963</v>
      </c>
      <c r="H69" s="29">
        <v>0.4449</v>
      </c>
      <c r="I69" s="29">
        <v>0.5637</v>
      </c>
      <c r="J69" s="29">
        <v>0.4316</v>
      </c>
      <c r="K69" s="29">
        <v>0.0721</v>
      </c>
      <c r="L69" s="29">
        <v>8.7506</v>
      </c>
      <c r="M69" s="29" t="s">
        <v>225</v>
      </c>
    </row>
    <row r="70" ht="15.75" customHeight="1">
      <c r="A70" s="29" t="s">
        <v>683</v>
      </c>
      <c r="B70" s="29" t="s">
        <v>684</v>
      </c>
      <c r="C70" s="29">
        <v>0.0</v>
      </c>
      <c r="D70" s="29" t="s">
        <v>60</v>
      </c>
      <c r="E70" s="29">
        <v>0.5875</v>
      </c>
      <c r="F70" s="29">
        <v>71.257</v>
      </c>
      <c r="G70" s="29">
        <v>35.9283</v>
      </c>
      <c r="H70" s="29">
        <v>0.5398</v>
      </c>
      <c r="I70" s="29">
        <v>0.6937</v>
      </c>
      <c r="J70" s="29">
        <v>0.51</v>
      </c>
      <c r="K70" s="29">
        <v>0.0886</v>
      </c>
      <c r="L70" s="29">
        <v>8.1836</v>
      </c>
      <c r="M70" s="29" t="s">
        <v>225</v>
      </c>
    </row>
    <row r="71" ht="15.75" customHeight="1">
      <c r="A71" s="29" t="s">
        <v>689</v>
      </c>
      <c r="B71" s="29" t="s">
        <v>691</v>
      </c>
      <c r="C71" s="29">
        <v>0.0</v>
      </c>
      <c r="D71" s="29" t="s">
        <v>60</v>
      </c>
      <c r="E71" s="29">
        <v>0.2919</v>
      </c>
      <c r="F71" s="29">
        <v>71.1739</v>
      </c>
      <c r="G71" s="29">
        <v>34.4253</v>
      </c>
      <c r="H71" s="29">
        <v>0.6952</v>
      </c>
      <c r="I71" s="29">
        <v>0.7541</v>
      </c>
      <c r="J71" s="29">
        <v>0.4731</v>
      </c>
      <c r="K71" s="29">
        <v>0.0593</v>
      </c>
      <c r="L71" s="29">
        <v>8.5023</v>
      </c>
      <c r="M71" s="29" t="s">
        <v>225</v>
      </c>
    </row>
    <row r="72" ht="15.75" customHeight="1">
      <c r="A72" s="29" t="s">
        <v>696</v>
      </c>
      <c r="B72" s="29" t="s">
        <v>698</v>
      </c>
      <c r="C72" s="29">
        <v>0.0</v>
      </c>
      <c r="D72" s="29" t="s">
        <v>60</v>
      </c>
      <c r="E72" s="29">
        <v>0.5896</v>
      </c>
      <c r="F72" s="29">
        <v>71.1185</v>
      </c>
      <c r="G72" s="29">
        <v>37.8139</v>
      </c>
      <c r="H72" s="29">
        <v>0.5756</v>
      </c>
      <c r="I72" s="29">
        <v>0.625</v>
      </c>
      <c r="J72" s="29">
        <v>0.4064</v>
      </c>
      <c r="K72" s="29">
        <v>0.0973</v>
      </c>
      <c r="L72" s="29">
        <v>8.9377</v>
      </c>
      <c r="M72" s="29" t="s">
        <v>225</v>
      </c>
    </row>
    <row r="73" ht="15.75" customHeight="1">
      <c r="A73" s="29" t="s">
        <v>702</v>
      </c>
      <c r="B73" s="29" t="s">
        <v>703</v>
      </c>
      <c r="C73" s="29">
        <v>0.0</v>
      </c>
      <c r="D73" s="29" t="s">
        <v>60</v>
      </c>
      <c r="E73" s="29">
        <v>0.3374</v>
      </c>
      <c r="F73" s="29">
        <v>70.9453</v>
      </c>
      <c r="G73" s="29">
        <v>38.1175</v>
      </c>
      <c r="H73" s="29">
        <v>0.6616</v>
      </c>
      <c r="I73" s="29">
        <v>0.6136</v>
      </c>
      <c r="J73" s="29">
        <v>0.4044</v>
      </c>
      <c r="K73" s="29">
        <v>0.0562</v>
      </c>
      <c r="L73" s="29">
        <v>8.8764</v>
      </c>
      <c r="M73" s="29" t="s">
        <v>225</v>
      </c>
    </row>
    <row r="74" ht="15.75" customHeight="1">
      <c r="A74" s="29" t="s">
        <v>549</v>
      </c>
      <c r="B74" s="29" t="s">
        <v>708</v>
      </c>
      <c r="C74" s="29">
        <v>0.0</v>
      </c>
      <c r="D74" s="29" t="s">
        <v>60</v>
      </c>
      <c r="E74" s="29">
        <v>0.5732</v>
      </c>
      <c r="F74" s="29">
        <v>70.8449</v>
      </c>
      <c r="G74" s="29">
        <v>38.8513</v>
      </c>
      <c r="H74" s="29">
        <v>0.6091</v>
      </c>
      <c r="I74" s="29">
        <v>0.5897</v>
      </c>
      <c r="J74" s="29">
        <v>0.4448</v>
      </c>
      <c r="K74" s="29">
        <v>0.1</v>
      </c>
      <c r="L74" s="29">
        <v>8.6592</v>
      </c>
      <c r="M74" s="29" t="s">
        <v>225</v>
      </c>
    </row>
    <row r="75" ht="15.75" customHeight="1">
      <c r="A75" s="29" t="s">
        <v>509</v>
      </c>
      <c r="B75" s="29" t="s">
        <v>713</v>
      </c>
      <c r="C75" s="29">
        <v>0.0</v>
      </c>
      <c r="D75" s="29" t="s">
        <v>60</v>
      </c>
      <c r="E75" s="29">
        <v>0.5374</v>
      </c>
      <c r="F75" s="29">
        <v>70.7479</v>
      </c>
      <c r="G75" s="29">
        <v>38.7883</v>
      </c>
      <c r="H75" s="29">
        <v>0.5853</v>
      </c>
      <c r="I75" s="29">
        <v>0.5909</v>
      </c>
      <c r="J75" s="29">
        <v>0.395</v>
      </c>
      <c r="K75" s="29">
        <v>0.0896</v>
      </c>
      <c r="L75" s="29">
        <v>8.9962</v>
      </c>
      <c r="M75" s="29" t="s">
        <v>225</v>
      </c>
    </row>
    <row r="76" ht="15.75" customHeight="1">
      <c r="A76" s="29" t="s">
        <v>40</v>
      </c>
      <c r="B76" s="29" t="s">
        <v>718</v>
      </c>
      <c r="C76" s="29">
        <v>0.0</v>
      </c>
      <c r="D76" s="29" t="s">
        <v>60</v>
      </c>
      <c r="E76" s="29">
        <v>0.5753</v>
      </c>
      <c r="F76" s="29">
        <v>70.5713</v>
      </c>
      <c r="G76" s="29">
        <v>38.1757</v>
      </c>
      <c r="H76" s="29">
        <v>0.5516</v>
      </c>
      <c r="I76" s="29">
        <v>0.6078</v>
      </c>
      <c r="J76" s="29">
        <v>0.4375</v>
      </c>
      <c r="K76" s="29">
        <v>0.1121</v>
      </c>
      <c r="L76" s="29">
        <v>8.4663</v>
      </c>
      <c r="M76" s="29" t="s">
        <v>225</v>
      </c>
    </row>
    <row r="77" ht="15.75" customHeight="1">
      <c r="A77" s="29" t="s">
        <v>572</v>
      </c>
      <c r="B77" s="29" t="s">
        <v>724</v>
      </c>
      <c r="C77" s="29">
        <v>0.0</v>
      </c>
      <c r="D77" s="29" t="s">
        <v>60</v>
      </c>
      <c r="E77" s="29">
        <v>0.5426</v>
      </c>
      <c r="F77" s="29">
        <v>70.5055</v>
      </c>
      <c r="G77" s="29">
        <v>39.1191</v>
      </c>
      <c r="H77" s="29">
        <v>0.5425</v>
      </c>
      <c r="I77" s="29">
        <v>0.579</v>
      </c>
      <c r="J77" s="29">
        <v>0.4093</v>
      </c>
      <c r="K77" s="29">
        <v>0.1052</v>
      </c>
      <c r="L77" s="29">
        <v>8.896</v>
      </c>
      <c r="M77" s="29" t="s">
        <v>225</v>
      </c>
    </row>
    <row r="78" ht="15.75" customHeight="1">
      <c r="A78" s="29" t="s">
        <v>728</v>
      </c>
      <c r="B78" s="29" t="s">
        <v>729</v>
      </c>
      <c r="C78" s="29">
        <v>0.0</v>
      </c>
      <c r="D78" s="29" t="s">
        <v>60</v>
      </c>
      <c r="E78" s="29">
        <v>0.5949</v>
      </c>
      <c r="F78" s="29">
        <v>70.2111</v>
      </c>
      <c r="G78" s="29">
        <v>34.9693</v>
      </c>
      <c r="H78" s="29">
        <v>0.5744</v>
      </c>
      <c r="I78" s="29">
        <v>0.7176</v>
      </c>
      <c r="J78" s="29">
        <v>0.447</v>
      </c>
      <c r="K78" s="29">
        <v>0.1148</v>
      </c>
      <c r="L78" s="29">
        <v>8.4359</v>
      </c>
      <c r="M78" s="29" t="s">
        <v>225</v>
      </c>
    </row>
    <row r="79" ht="15.75" customHeight="1">
      <c r="A79" s="29" t="s">
        <v>735</v>
      </c>
      <c r="B79" s="29" t="s">
        <v>736</v>
      </c>
      <c r="C79" s="29">
        <v>0.0</v>
      </c>
      <c r="D79" s="29" t="s">
        <v>60</v>
      </c>
      <c r="E79" s="29">
        <v>0.5491</v>
      </c>
      <c r="F79" s="29">
        <v>70.1799</v>
      </c>
      <c r="G79" s="29">
        <v>40.2275</v>
      </c>
      <c r="H79" s="29">
        <v>0.5839</v>
      </c>
      <c r="I79" s="29">
        <v>0.545</v>
      </c>
      <c r="J79" s="29">
        <v>0.4084</v>
      </c>
      <c r="K79" s="29">
        <v>0.1147</v>
      </c>
      <c r="L79" s="29">
        <v>8.856</v>
      </c>
      <c r="M79" s="29" t="s">
        <v>225</v>
      </c>
    </row>
    <row r="80" ht="15.75" customHeight="1">
      <c r="A80" s="29" t="s">
        <v>741</v>
      </c>
      <c r="B80" s="29" t="s">
        <v>742</v>
      </c>
      <c r="C80" s="29">
        <v>0.0</v>
      </c>
      <c r="D80" s="29" t="s">
        <v>60</v>
      </c>
      <c r="E80" s="29">
        <v>0.5622</v>
      </c>
      <c r="F80" s="29">
        <v>70.0033</v>
      </c>
      <c r="G80" s="29">
        <v>40.0732</v>
      </c>
      <c r="H80" s="29">
        <v>0.5628</v>
      </c>
      <c r="I80" s="29">
        <v>0.5477</v>
      </c>
      <c r="J80" s="29">
        <v>0.4003</v>
      </c>
      <c r="K80" s="29">
        <v>0.0977</v>
      </c>
      <c r="L80" s="29">
        <v>8.9683</v>
      </c>
      <c r="M80" s="29" t="s">
        <v>225</v>
      </c>
    </row>
    <row r="81" ht="15.75" customHeight="1">
      <c r="A81" s="29" t="s">
        <v>353</v>
      </c>
      <c r="B81" s="29" t="s">
        <v>747</v>
      </c>
      <c r="C81" s="29">
        <v>0.0</v>
      </c>
      <c r="D81" s="29" t="s">
        <v>60</v>
      </c>
      <c r="E81" s="29">
        <v>0.321</v>
      </c>
      <c r="F81" s="29">
        <v>69.6674</v>
      </c>
      <c r="G81" s="29">
        <v>40.6756</v>
      </c>
      <c r="H81" s="29">
        <v>0.8013</v>
      </c>
      <c r="I81" s="29">
        <v>0.5178</v>
      </c>
      <c r="J81" s="29">
        <v>0.4659</v>
      </c>
      <c r="K81" s="29">
        <v>0.124</v>
      </c>
      <c r="L81" s="29">
        <v>8.8146</v>
      </c>
      <c r="M81" s="29" t="s">
        <v>225</v>
      </c>
    </row>
    <row r="82" ht="15.75" customHeight="1">
      <c r="A82" s="29" t="s">
        <v>750</v>
      </c>
      <c r="B82" s="29" t="s">
        <v>751</v>
      </c>
      <c r="C82" s="29">
        <v>0.0</v>
      </c>
      <c r="D82" s="29" t="s">
        <v>60</v>
      </c>
      <c r="E82" s="29">
        <v>0.44</v>
      </c>
      <c r="F82" s="29">
        <v>69.5704</v>
      </c>
      <c r="G82" s="29">
        <v>35.329</v>
      </c>
      <c r="H82" s="29">
        <v>0.6464</v>
      </c>
      <c r="I82" s="29">
        <v>0.7004</v>
      </c>
      <c r="J82" s="29">
        <v>0.5172</v>
      </c>
      <c r="K82" s="29">
        <v>0.0765</v>
      </c>
      <c r="L82" s="29">
        <v>8.2663</v>
      </c>
      <c r="M82" s="29" t="s">
        <v>225</v>
      </c>
    </row>
    <row r="83" ht="15.75" customHeight="1">
      <c r="A83" s="29" t="s">
        <v>756</v>
      </c>
      <c r="B83" s="29" t="s">
        <v>757</v>
      </c>
      <c r="C83" s="29">
        <v>0.0</v>
      </c>
      <c r="D83" s="29" t="s">
        <v>60</v>
      </c>
      <c r="E83" s="29">
        <v>0.29</v>
      </c>
      <c r="F83" s="29">
        <v>69.2795</v>
      </c>
      <c r="G83" s="29">
        <v>33.8577</v>
      </c>
      <c r="H83" s="29">
        <v>0.6819</v>
      </c>
      <c r="I83" s="29">
        <v>0.7594</v>
      </c>
      <c r="J83" s="29">
        <v>0.4194</v>
      </c>
      <c r="K83" s="29">
        <v>0.0603</v>
      </c>
      <c r="L83" s="29">
        <v>8.8287</v>
      </c>
      <c r="M83" s="29" t="s">
        <v>225</v>
      </c>
    </row>
    <row r="84" ht="15.75" customHeight="1">
      <c r="A84" s="29" t="s">
        <v>761</v>
      </c>
      <c r="B84" s="29" t="s">
        <v>763</v>
      </c>
      <c r="C84" s="29">
        <v>0.0</v>
      </c>
      <c r="D84" s="29" t="s">
        <v>60</v>
      </c>
      <c r="E84" s="29">
        <v>0.5563</v>
      </c>
      <c r="F84" s="29">
        <v>69.1998</v>
      </c>
      <c r="G84" s="29">
        <v>38.1489</v>
      </c>
      <c r="H84" s="29">
        <v>0.5665</v>
      </c>
      <c r="I84" s="29">
        <v>0.5975</v>
      </c>
      <c r="J84" s="29">
        <v>0.3954</v>
      </c>
      <c r="K84" s="29">
        <v>0.0895</v>
      </c>
      <c r="L84" s="29">
        <v>8.9773</v>
      </c>
      <c r="M84" s="29" t="s">
        <v>225</v>
      </c>
    </row>
    <row r="85" ht="15.75" customHeight="1">
      <c r="A85" s="29" t="s">
        <v>45</v>
      </c>
      <c r="B85" s="29" t="s">
        <v>768</v>
      </c>
      <c r="C85" s="29">
        <v>0.0</v>
      </c>
      <c r="D85" s="29" t="s">
        <v>60</v>
      </c>
      <c r="E85" s="29">
        <v>0.529</v>
      </c>
      <c r="F85" s="29">
        <v>69.1548</v>
      </c>
      <c r="G85" s="29">
        <v>39.1859</v>
      </c>
      <c r="H85" s="29">
        <v>0.5668</v>
      </c>
      <c r="I85" s="29">
        <v>0.5659</v>
      </c>
      <c r="J85" s="29">
        <v>0.3965</v>
      </c>
      <c r="K85" s="29">
        <v>0.097</v>
      </c>
      <c r="L85" s="29">
        <v>8.9495</v>
      </c>
      <c r="M85" s="29" t="s">
        <v>225</v>
      </c>
    </row>
    <row r="86" ht="15.75" customHeight="1">
      <c r="A86" s="29" t="s">
        <v>341</v>
      </c>
      <c r="B86" s="29" t="s">
        <v>773</v>
      </c>
      <c r="C86" s="29">
        <v>0.0</v>
      </c>
      <c r="D86" s="29" t="s">
        <v>60</v>
      </c>
      <c r="E86" s="29">
        <v>0.2719</v>
      </c>
      <c r="F86" s="29">
        <v>69.134</v>
      </c>
      <c r="G86" s="29">
        <v>49.212</v>
      </c>
      <c r="H86" s="29">
        <v>0.7814</v>
      </c>
      <c r="I86" s="29">
        <v>0.3587</v>
      </c>
      <c r="J86" s="29">
        <v>0.4646</v>
      </c>
      <c r="K86" s="29">
        <v>0.1254</v>
      </c>
      <c r="L86" s="29">
        <v>8.8167</v>
      </c>
      <c r="M86" s="29" t="s">
        <v>225</v>
      </c>
    </row>
    <row r="87" ht="15.75" customHeight="1">
      <c r="A87" s="29" t="s">
        <v>778</v>
      </c>
      <c r="B87" s="29" t="s">
        <v>779</v>
      </c>
      <c r="C87" s="29">
        <v>0.0</v>
      </c>
      <c r="D87" s="29" t="s">
        <v>60</v>
      </c>
      <c r="E87" s="29">
        <v>0.5475</v>
      </c>
      <c r="F87" s="29">
        <v>69.1202</v>
      </c>
      <c r="G87" s="29">
        <v>38.0942</v>
      </c>
      <c r="H87" s="29">
        <v>0.5387</v>
      </c>
      <c r="I87" s="29">
        <v>0.5985</v>
      </c>
      <c r="J87" s="29">
        <v>0.4086</v>
      </c>
      <c r="K87" s="29">
        <v>0.1097</v>
      </c>
      <c r="L87" s="29">
        <v>8.8713</v>
      </c>
      <c r="M87" s="29" t="s">
        <v>225</v>
      </c>
    </row>
    <row r="88" ht="15.75" customHeight="1">
      <c r="A88" s="29" t="s">
        <v>634</v>
      </c>
      <c r="B88" s="29" t="s">
        <v>784</v>
      </c>
      <c r="C88" s="29">
        <v>0.0</v>
      </c>
      <c r="D88" s="29" t="s">
        <v>60</v>
      </c>
      <c r="E88" s="29">
        <v>0.5472</v>
      </c>
      <c r="F88" s="29">
        <v>69.0751</v>
      </c>
      <c r="G88" s="29">
        <v>38.8879</v>
      </c>
      <c r="H88" s="29">
        <v>0.5524</v>
      </c>
      <c r="I88" s="29">
        <v>0.574</v>
      </c>
      <c r="J88" s="29">
        <v>0.407</v>
      </c>
      <c r="K88" s="29">
        <v>0.1092</v>
      </c>
      <c r="L88" s="29">
        <v>8.8822</v>
      </c>
      <c r="M88" s="29" t="s">
        <v>225</v>
      </c>
    </row>
    <row r="89" ht="15.75" customHeight="1">
      <c r="A89" s="29" t="s">
        <v>275</v>
      </c>
      <c r="B89" s="29" t="s">
        <v>788</v>
      </c>
      <c r="C89" s="29">
        <v>0.0</v>
      </c>
      <c r="D89" s="29" t="s">
        <v>60</v>
      </c>
      <c r="E89" s="29">
        <v>0.2942</v>
      </c>
      <c r="F89" s="29">
        <v>69.0613</v>
      </c>
      <c r="G89" s="29">
        <v>39.7685</v>
      </c>
      <c r="H89" s="29">
        <v>0.7833</v>
      </c>
      <c r="I89" s="29">
        <v>0.5433</v>
      </c>
      <c r="J89" s="29">
        <v>0.4665</v>
      </c>
      <c r="K89" s="29">
        <v>0.1195</v>
      </c>
      <c r="L89" s="29">
        <v>8.8245</v>
      </c>
      <c r="M89" s="29" t="s">
        <v>225</v>
      </c>
    </row>
    <row r="90" ht="15.75" customHeight="1">
      <c r="A90" s="29" t="s">
        <v>389</v>
      </c>
      <c r="B90" s="29" t="s">
        <v>793</v>
      </c>
      <c r="C90" s="29">
        <v>0.0</v>
      </c>
      <c r="D90" s="29" t="s">
        <v>60</v>
      </c>
      <c r="E90" s="29">
        <v>0.5908</v>
      </c>
      <c r="F90" s="29">
        <v>68.9643</v>
      </c>
      <c r="G90" s="29">
        <v>36.3674</v>
      </c>
      <c r="H90" s="29">
        <v>0.5753</v>
      </c>
      <c r="I90" s="29">
        <v>0.6553</v>
      </c>
      <c r="J90" s="29">
        <v>0.4386</v>
      </c>
      <c r="K90" s="29">
        <v>0.1085</v>
      </c>
      <c r="L90" s="29">
        <v>8.4455</v>
      </c>
      <c r="M90" s="29" t="s">
        <v>225</v>
      </c>
    </row>
    <row r="91" ht="15.75" customHeight="1">
      <c r="A91" s="29" t="s">
        <v>798</v>
      </c>
      <c r="B91" s="29" t="s">
        <v>799</v>
      </c>
      <c r="C91" s="29">
        <v>0.0</v>
      </c>
      <c r="D91" s="29" t="s">
        <v>60</v>
      </c>
      <c r="E91" s="29">
        <v>0.3621</v>
      </c>
      <c r="F91" s="29">
        <v>68.9505</v>
      </c>
      <c r="G91" s="29">
        <v>33.1331</v>
      </c>
      <c r="H91" s="29">
        <v>0.7028</v>
      </c>
      <c r="I91" s="29">
        <v>0.7893</v>
      </c>
      <c r="J91" s="29">
        <v>0.4232</v>
      </c>
      <c r="K91" s="29">
        <v>0.0602</v>
      </c>
      <c r="L91" s="29">
        <v>8.8447</v>
      </c>
      <c r="M91" s="29" t="s">
        <v>225</v>
      </c>
    </row>
    <row r="92" ht="15.75" customHeight="1">
      <c r="A92" s="29" t="s">
        <v>505</v>
      </c>
      <c r="B92" s="29" t="s">
        <v>803</v>
      </c>
      <c r="C92" s="29">
        <v>0.0</v>
      </c>
      <c r="D92" s="29" t="s">
        <v>60</v>
      </c>
      <c r="E92" s="29">
        <v>0.5992</v>
      </c>
      <c r="F92" s="29">
        <v>68.7288</v>
      </c>
      <c r="G92" s="29">
        <v>34.5636</v>
      </c>
      <c r="H92" s="29">
        <v>0.6136</v>
      </c>
      <c r="I92" s="29">
        <v>0.723</v>
      </c>
      <c r="J92" s="29">
        <v>0.4491</v>
      </c>
      <c r="K92" s="29">
        <v>0.1203</v>
      </c>
      <c r="L92" s="29">
        <v>8.3685</v>
      </c>
      <c r="M92" s="29" t="s">
        <v>225</v>
      </c>
    </row>
    <row r="93" ht="15.75" customHeight="1">
      <c r="A93" s="29" t="s">
        <v>296</v>
      </c>
      <c r="B93" s="29" t="s">
        <v>297</v>
      </c>
      <c r="C93" s="29">
        <v>0.0</v>
      </c>
      <c r="D93" s="29" t="s">
        <v>60</v>
      </c>
      <c r="E93" s="29">
        <v>0.3779</v>
      </c>
      <c r="F93" s="29">
        <v>68.6145</v>
      </c>
      <c r="G93" s="29">
        <v>36.4813</v>
      </c>
      <c r="H93" s="29">
        <v>0.6593</v>
      </c>
      <c r="I93" s="29">
        <v>0.647</v>
      </c>
      <c r="J93" s="29">
        <v>0.5581</v>
      </c>
      <c r="K93" s="29">
        <v>0.1267</v>
      </c>
      <c r="L93" s="29">
        <v>7.8789</v>
      </c>
      <c r="M93" s="29" t="s">
        <v>225</v>
      </c>
    </row>
    <row r="94" ht="15.75" customHeight="1">
      <c r="A94" s="29" t="s">
        <v>809</v>
      </c>
      <c r="B94" s="29" t="s">
        <v>810</v>
      </c>
      <c r="C94" s="29">
        <v>0.0</v>
      </c>
      <c r="D94" s="29" t="s">
        <v>60</v>
      </c>
      <c r="E94" s="29">
        <v>0.5213</v>
      </c>
      <c r="F94" s="29">
        <v>68.6145</v>
      </c>
      <c r="G94" s="29">
        <v>38.5772</v>
      </c>
      <c r="H94" s="29">
        <v>0.5756</v>
      </c>
      <c r="I94" s="29">
        <v>0.5794</v>
      </c>
      <c r="J94" s="29">
        <v>0.3937</v>
      </c>
      <c r="K94" s="29">
        <v>0.0926</v>
      </c>
      <c r="L94" s="29">
        <v>8.9721</v>
      </c>
      <c r="M94" s="29" t="s">
        <v>225</v>
      </c>
    </row>
    <row r="95" ht="15.75" customHeight="1">
      <c r="A95" s="29" t="s">
        <v>815</v>
      </c>
      <c r="B95" s="29" t="s">
        <v>816</v>
      </c>
      <c r="C95" s="29">
        <v>0.0</v>
      </c>
      <c r="D95" s="29" t="s">
        <v>60</v>
      </c>
      <c r="E95" s="29">
        <v>0.5587</v>
      </c>
      <c r="F95" s="29">
        <v>68.5764</v>
      </c>
      <c r="G95" s="29">
        <v>35.7072</v>
      </c>
      <c r="H95" s="29">
        <v>0.5523</v>
      </c>
      <c r="I95" s="29">
        <v>0.6759</v>
      </c>
      <c r="J95" s="29">
        <v>0.4001</v>
      </c>
      <c r="K95" s="29">
        <v>0.0966</v>
      </c>
      <c r="L95" s="29">
        <v>8.9165</v>
      </c>
      <c r="M95" s="29" t="s">
        <v>225</v>
      </c>
    </row>
    <row r="96" ht="15.75" customHeight="1">
      <c r="A96" s="29" t="s">
        <v>488</v>
      </c>
      <c r="B96" s="29" t="s">
        <v>821</v>
      </c>
      <c r="C96" s="29">
        <v>0.0</v>
      </c>
      <c r="D96" s="29" t="s">
        <v>60</v>
      </c>
      <c r="E96" s="29">
        <v>0.5881</v>
      </c>
      <c r="F96" s="29">
        <v>68.5453</v>
      </c>
      <c r="G96" s="29">
        <v>37.2362</v>
      </c>
      <c r="H96" s="29">
        <v>0.6012</v>
      </c>
      <c r="I96" s="29">
        <v>0.6212</v>
      </c>
      <c r="J96" s="29">
        <v>0.4472</v>
      </c>
      <c r="K96" s="29">
        <v>0.1212</v>
      </c>
      <c r="L96" s="29">
        <v>8.3886</v>
      </c>
      <c r="M96" s="29" t="s">
        <v>225</v>
      </c>
    </row>
    <row r="97" ht="15.75" customHeight="1">
      <c r="A97" s="29" t="s">
        <v>307</v>
      </c>
      <c r="B97" s="29" t="s">
        <v>826</v>
      </c>
      <c r="C97" s="29">
        <v>0.0</v>
      </c>
      <c r="D97" s="29" t="s">
        <v>60</v>
      </c>
      <c r="E97" s="29">
        <v>0.3063</v>
      </c>
      <c r="F97" s="29">
        <v>68.5176</v>
      </c>
      <c r="G97" s="29">
        <v>40.03</v>
      </c>
      <c r="H97" s="29">
        <v>0.7827</v>
      </c>
      <c r="I97" s="29">
        <v>0.5341</v>
      </c>
      <c r="J97" s="29">
        <v>0.4593</v>
      </c>
      <c r="K97" s="29">
        <v>0.1092</v>
      </c>
      <c r="L97" s="29">
        <v>8.87</v>
      </c>
      <c r="M97" s="29" t="s">
        <v>225</v>
      </c>
    </row>
    <row r="98" ht="15.75" customHeight="1">
      <c r="A98" s="29" t="s">
        <v>830</v>
      </c>
      <c r="B98" s="29" t="s">
        <v>831</v>
      </c>
      <c r="C98" s="29">
        <v>0.0</v>
      </c>
      <c r="D98" s="29" t="s">
        <v>60</v>
      </c>
      <c r="E98" s="29">
        <v>0.567</v>
      </c>
      <c r="F98" s="29">
        <v>68.2163</v>
      </c>
      <c r="G98" s="29">
        <v>39.4621</v>
      </c>
      <c r="H98" s="29">
        <v>0.5978</v>
      </c>
      <c r="I98" s="29">
        <v>0.5505</v>
      </c>
      <c r="J98" s="29">
        <v>0.4015</v>
      </c>
      <c r="K98" s="29">
        <v>0.1048</v>
      </c>
      <c r="L98" s="29">
        <v>8.9127</v>
      </c>
      <c r="M98" s="29" t="s">
        <v>225</v>
      </c>
    </row>
    <row r="99" ht="15.75" customHeight="1">
      <c r="A99" s="29" t="s">
        <v>834</v>
      </c>
      <c r="B99" s="29" t="s">
        <v>835</v>
      </c>
      <c r="C99" s="29">
        <v>0.0</v>
      </c>
      <c r="D99" s="29" t="s">
        <v>60</v>
      </c>
      <c r="E99" s="29">
        <v>0.5284</v>
      </c>
      <c r="F99" s="29">
        <v>68.1678</v>
      </c>
      <c r="G99" s="29">
        <v>37.0255</v>
      </c>
      <c r="H99" s="29">
        <v>0.7509</v>
      </c>
      <c r="I99" s="29">
        <v>0.6249</v>
      </c>
      <c r="J99" s="29">
        <v>0.4898</v>
      </c>
      <c r="K99" s="29">
        <v>0.0642</v>
      </c>
      <c r="L99" s="29">
        <v>8.5158</v>
      </c>
      <c r="M99" s="29" t="s">
        <v>225</v>
      </c>
    </row>
    <row r="100" ht="15.75" customHeight="1">
      <c r="A100" s="29" t="s">
        <v>840</v>
      </c>
      <c r="B100" s="29" t="s">
        <v>841</v>
      </c>
      <c r="C100" s="29">
        <v>0.0</v>
      </c>
      <c r="D100" s="29" t="s">
        <v>60</v>
      </c>
      <c r="E100" s="29">
        <v>0.5481</v>
      </c>
      <c r="F100" s="29">
        <v>68.0881</v>
      </c>
      <c r="G100" s="29">
        <v>38.2099</v>
      </c>
      <c r="H100" s="29">
        <v>0.5605</v>
      </c>
      <c r="I100" s="29">
        <v>0.586</v>
      </c>
      <c r="J100" s="29">
        <v>0.4065</v>
      </c>
      <c r="K100" s="29">
        <v>0.1097</v>
      </c>
      <c r="L100" s="29">
        <v>8.8707</v>
      </c>
      <c r="M100" s="29" t="s">
        <v>225</v>
      </c>
    </row>
    <row r="101" ht="15.75" customHeight="1">
      <c r="A101" s="29" t="s">
        <v>269</v>
      </c>
      <c r="B101" s="29" t="s">
        <v>845</v>
      </c>
      <c r="C101" s="29">
        <v>0.0</v>
      </c>
      <c r="D101" s="29" t="s">
        <v>60</v>
      </c>
      <c r="E101" s="29">
        <v>0.6151</v>
      </c>
      <c r="F101" s="29">
        <v>67.9704</v>
      </c>
      <c r="G101" s="29">
        <v>34.2506</v>
      </c>
      <c r="H101" s="29">
        <v>0.7372</v>
      </c>
      <c r="I101" s="29">
        <v>0.7281</v>
      </c>
      <c r="J101" s="29">
        <v>0.4876</v>
      </c>
      <c r="K101" s="29">
        <v>0.1238</v>
      </c>
      <c r="L101" s="29">
        <v>7.7422</v>
      </c>
      <c r="M101" s="29" t="s">
        <v>225</v>
      </c>
    </row>
    <row r="102" ht="15.75" customHeight="1">
      <c r="A102" s="29" t="s">
        <v>397</v>
      </c>
      <c r="B102" s="29" t="s">
        <v>849</v>
      </c>
      <c r="C102" s="29">
        <v>0.0</v>
      </c>
      <c r="D102" s="29" t="s">
        <v>60</v>
      </c>
      <c r="E102" s="29">
        <v>0.5761</v>
      </c>
      <c r="F102" s="29">
        <v>67.9253</v>
      </c>
      <c r="G102" s="29">
        <v>35.219</v>
      </c>
      <c r="H102" s="29">
        <v>0.5973</v>
      </c>
      <c r="I102" s="29">
        <v>0.6867</v>
      </c>
      <c r="J102" s="29">
        <v>0.4433</v>
      </c>
      <c r="K102" s="29">
        <v>0.1169</v>
      </c>
      <c r="L102" s="29">
        <v>8.426</v>
      </c>
      <c r="M102" s="29" t="s">
        <v>225</v>
      </c>
    </row>
    <row r="103" ht="15.75" customHeight="1">
      <c r="A103" s="29" t="s">
        <v>337</v>
      </c>
      <c r="B103" s="29" t="s">
        <v>854</v>
      </c>
      <c r="C103" s="29">
        <v>0.0</v>
      </c>
      <c r="D103" s="29" t="s">
        <v>60</v>
      </c>
      <c r="E103" s="29">
        <v>0.582</v>
      </c>
      <c r="F103" s="29">
        <v>67.437</v>
      </c>
      <c r="G103" s="29">
        <v>37.301</v>
      </c>
      <c r="H103" s="29">
        <v>0.5608</v>
      </c>
      <c r="I103" s="29">
        <v>0.6081</v>
      </c>
      <c r="J103" s="29">
        <v>0.4377</v>
      </c>
      <c r="K103" s="29">
        <v>0.1058</v>
      </c>
      <c r="L103" s="29">
        <v>8.4725</v>
      </c>
      <c r="M103" s="29" t="s">
        <v>225</v>
      </c>
    </row>
    <row r="104" ht="15.75" customHeight="1">
      <c r="A104" s="29" t="s">
        <v>53</v>
      </c>
      <c r="B104" s="29" t="s">
        <v>858</v>
      </c>
      <c r="C104" s="29">
        <v>0.0</v>
      </c>
      <c r="D104" s="29" t="s">
        <v>60</v>
      </c>
      <c r="E104" s="29">
        <v>0.3389</v>
      </c>
      <c r="F104" s="29">
        <v>67.34</v>
      </c>
      <c r="G104" s="29">
        <v>40.1704</v>
      </c>
      <c r="H104" s="29">
        <v>0.8113</v>
      </c>
      <c r="I104" s="29">
        <v>0.5234</v>
      </c>
      <c r="J104" s="29">
        <v>0.4703</v>
      </c>
      <c r="K104" s="29">
        <v>0.1261</v>
      </c>
      <c r="L104" s="29">
        <v>8.7774</v>
      </c>
      <c r="M104" s="29" t="s">
        <v>225</v>
      </c>
    </row>
    <row r="105" ht="15.75" customHeight="1">
      <c r="A105" s="29" t="s">
        <v>227</v>
      </c>
      <c r="B105" s="29" t="s">
        <v>862</v>
      </c>
      <c r="C105" s="29">
        <v>0.0</v>
      </c>
      <c r="D105" s="29" t="s">
        <v>60</v>
      </c>
      <c r="E105" s="29">
        <v>0.581</v>
      </c>
      <c r="F105" s="29">
        <v>67.2812</v>
      </c>
      <c r="G105" s="29">
        <v>36.6066</v>
      </c>
      <c r="H105" s="29">
        <v>0.5374</v>
      </c>
      <c r="I105" s="29">
        <v>0.6309</v>
      </c>
      <c r="J105" s="29">
        <v>0.4214</v>
      </c>
      <c r="K105" s="29">
        <v>0.1035</v>
      </c>
      <c r="L105" s="29">
        <v>8.8118</v>
      </c>
      <c r="M105" s="29" t="s">
        <v>225</v>
      </c>
    </row>
    <row r="106" ht="15.75" customHeight="1">
      <c r="A106" s="29" t="s">
        <v>866</v>
      </c>
      <c r="B106" s="29" t="s">
        <v>867</v>
      </c>
      <c r="C106" s="29">
        <v>0.0</v>
      </c>
      <c r="D106" s="29" t="s">
        <v>60</v>
      </c>
      <c r="E106" s="29">
        <v>0.5547</v>
      </c>
      <c r="F106" s="29">
        <v>67.2396</v>
      </c>
      <c r="G106" s="29">
        <v>35.2472</v>
      </c>
      <c r="H106" s="29">
        <v>0.5978</v>
      </c>
      <c r="I106" s="29">
        <v>0.6789</v>
      </c>
      <c r="J106" s="29">
        <v>0.4415</v>
      </c>
      <c r="K106" s="29">
        <v>0.1064</v>
      </c>
      <c r="L106" s="29">
        <v>8.4778</v>
      </c>
      <c r="M106" s="29" t="s">
        <v>225</v>
      </c>
    </row>
    <row r="107" ht="15.75" customHeight="1">
      <c r="A107" s="29" t="s">
        <v>872</v>
      </c>
      <c r="B107" s="29" t="s">
        <v>873</v>
      </c>
      <c r="C107" s="29">
        <v>0.0</v>
      </c>
      <c r="D107" s="29" t="s">
        <v>60</v>
      </c>
      <c r="E107" s="29">
        <v>0.5352</v>
      </c>
      <c r="F107" s="29">
        <v>67.0768</v>
      </c>
      <c r="G107" s="29">
        <v>38.9993</v>
      </c>
      <c r="H107" s="29">
        <v>0.6108</v>
      </c>
      <c r="I107" s="29">
        <v>0.5542</v>
      </c>
      <c r="J107" s="29">
        <v>0.4147</v>
      </c>
      <c r="K107" s="29">
        <v>0.1191</v>
      </c>
      <c r="L107" s="29">
        <v>8.8061</v>
      </c>
      <c r="M107" s="29" t="s">
        <v>225</v>
      </c>
    </row>
    <row r="108" ht="15.75" customHeight="1">
      <c r="A108" s="29" t="s">
        <v>834</v>
      </c>
      <c r="B108" s="29" t="s">
        <v>879</v>
      </c>
      <c r="C108" s="29">
        <v>0.0</v>
      </c>
      <c r="D108" s="29" t="s">
        <v>60</v>
      </c>
      <c r="E108" s="29">
        <v>0.5651</v>
      </c>
      <c r="F108" s="29">
        <v>67.063</v>
      </c>
      <c r="G108" s="29">
        <v>33.4291</v>
      </c>
      <c r="H108" s="29">
        <v>0.5978</v>
      </c>
      <c r="I108" s="29">
        <v>0.7531</v>
      </c>
      <c r="J108" s="29">
        <v>0.4875</v>
      </c>
      <c r="K108" s="29">
        <v>0.1113</v>
      </c>
      <c r="L108" s="29">
        <v>8.2102</v>
      </c>
      <c r="M108" s="29" t="s">
        <v>225</v>
      </c>
    </row>
    <row r="109" ht="15.75" customHeight="1">
      <c r="A109" s="29" t="s">
        <v>883</v>
      </c>
      <c r="B109" s="29" t="s">
        <v>884</v>
      </c>
      <c r="C109" s="29">
        <v>0.0</v>
      </c>
      <c r="D109" s="29" t="s">
        <v>60</v>
      </c>
      <c r="E109" s="29">
        <v>0.5475</v>
      </c>
      <c r="F109" s="29">
        <v>66.9695</v>
      </c>
      <c r="G109" s="29">
        <v>38.1186</v>
      </c>
      <c r="H109" s="29">
        <v>0.579</v>
      </c>
      <c r="I109" s="29">
        <v>0.5792</v>
      </c>
      <c r="J109" s="29">
        <v>0.4037</v>
      </c>
      <c r="K109" s="29">
        <v>0.1017</v>
      </c>
      <c r="L109" s="29">
        <v>8.9176</v>
      </c>
      <c r="M109" s="29" t="s">
        <v>225</v>
      </c>
    </row>
    <row r="110" ht="15.75" customHeight="1">
      <c r="A110" s="29" t="s">
        <v>777</v>
      </c>
      <c r="B110" s="29" t="s">
        <v>889</v>
      </c>
      <c r="C110" s="29">
        <v>0.0</v>
      </c>
      <c r="D110" s="29" t="s">
        <v>60</v>
      </c>
      <c r="E110" s="29">
        <v>0.3638</v>
      </c>
      <c r="F110" s="29">
        <v>66.8898</v>
      </c>
      <c r="G110" s="29">
        <v>34.371</v>
      </c>
      <c r="H110" s="29">
        <v>0.6395</v>
      </c>
      <c r="I110" s="29">
        <v>0.7115</v>
      </c>
      <c r="J110" s="29">
        <v>0.4093</v>
      </c>
      <c r="K110" s="29">
        <v>0.0591</v>
      </c>
      <c r="L110" s="29">
        <v>8.8379</v>
      </c>
      <c r="M110" s="29" t="s">
        <v>225</v>
      </c>
    </row>
    <row r="111" ht="15.75" customHeight="1">
      <c r="A111" s="29" t="s">
        <v>894</v>
      </c>
      <c r="B111" s="29" t="s">
        <v>895</v>
      </c>
      <c r="C111" s="29">
        <v>0.0</v>
      </c>
      <c r="D111" s="29" t="s">
        <v>60</v>
      </c>
      <c r="E111" s="29">
        <v>0.5707</v>
      </c>
      <c r="F111" s="29">
        <v>66.7547</v>
      </c>
      <c r="G111" s="29">
        <v>38.6298</v>
      </c>
      <c r="H111" s="29">
        <v>0.6016</v>
      </c>
      <c r="I111" s="29">
        <v>0.5621</v>
      </c>
      <c r="J111" s="29">
        <v>0.4111</v>
      </c>
      <c r="K111" s="29">
        <v>0.1134</v>
      </c>
      <c r="L111" s="29">
        <v>8.8586</v>
      </c>
      <c r="M111" s="29" t="s">
        <v>225</v>
      </c>
    </row>
    <row r="112" ht="15.75" customHeight="1">
      <c r="A112" s="29" t="s">
        <v>540</v>
      </c>
      <c r="B112" s="29" t="s">
        <v>898</v>
      </c>
      <c r="C112" s="29">
        <v>0.0</v>
      </c>
      <c r="D112" s="29" t="s">
        <v>60</v>
      </c>
      <c r="E112" s="29">
        <v>0.5626</v>
      </c>
      <c r="F112" s="29">
        <v>66.6889</v>
      </c>
      <c r="G112" s="29">
        <v>34.4797</v>
      </c>
      <c r="H112" s="29">
        <v>0.5089</v>
      </c>
      <c r="I112" s="29">
        <v>0.7049</v>
      </c>
      <c r="J112" s="29">
        <v>0.4307</v>
      </c>
      <c r="K112" s="29">
        <v>0.1014</v>
      </c>
      <c r="L112" s="29">
        <v>8.7459</v>
      </c>
      <c r="M112" s="29" t="s">
        <v>225</v>
      </c>
    </row>
    <row r="113" ht="15.75" customHeight="1">
      <c r="A113" s="29" t="s">
        <v>249</v>
      </c>
      <c r="B113" s="29" t="s">
        <v>903</v>
      </c>
      <c r="C113" s="29">
        <v>0.0</v>
      </c>
      <c r="D113" s="29" t="s">
        <v>60</v>
      </c>
      <c r="E113" s="29">
        <v>0.3263</v>
      </c>
      <c r="F113" s="29">
        <v>66.6335</v>
      </c>
      <c r="G113" s="29">
        <v>37.5562</v>
      </c>
      <c r="H113" s="29">
        <v>0.7823</v>
      </c>
      <c r="I113" s="29">
        <v>0.5893</v>
      </c>
      <c r="J113" s="29">
        <v>0.4794</v>
      </c>
      <c r="K113" s="29">
        <v>0.1363</v>
      </c>
      <c r="L113" s="29">
        <v>8.6879</v>
      </c>
      <c r="M113" s="29" t="s">
        <v>225</v>
      </c>
    </row>
    <row r="114" ht="15.75" customHeight="1">
      <c r="A114" s="29" t="s">
        <v>172</v>
      </c>
      <c r="B114" s="29" t="s">
        <v>908</v>
      </c>
      <c r="C114" s="29">
        <v>0.0</v>
      </c>
      <c r="D114" s="29" t="s">
        <v>60</v>
      </c>
      <c r="E114" s="29">
        <v>0.5565</v>
      </c>
      <c r="F114" s="29">
        <v>66.5331</v>
      </c>
      <c r="G114" s="29">
        <v>41.3233</v>
      </c>
      <c r="H114" s="29">
        <v>0.5905</v>
      </c>
      <c r="I114" s="29">
        <v>0.4889</v>
      </c>
      <c r="J114" s="29">
        <v>0.5383</v>
      </c>
      <c r="K114" s="29">
        <v>0.1016</v>
      </c>
      <c r="L114" s="29">
        <v>7.7493</v>
      </c>
      <c r="M114" s="29" t="s">
        <v>225</v>
      </c>
    </row>
    <row r="115" ht="15.75" customHeight="1">
      <c r="A115" s="29" t="s">
        <v>526</v>
      </c>
      <c r="B115" s="29" t="s">
        <v>913</v>
      </c>
      <c r="C115" s="29">
        <v>0.0</v>
      </c>
      <c r="D115" s="29" t="s">
        <v>60</v>
      </c>
      <c r="E115" s="29">
        <v>0.6061</v>
      </c>
      <c r="F115" s="29">
        <v>66.5123</v>
      </c>
      <c r="G115" s="29">
        <v>44.6837</v>
      </c>
      <c r="H115" s="29">
        <v>0.7712</v>
      </c>
      <c r="I115" s="29">
        <v>0.4131</v>
      </c>
      <c r="J115" s="29">
        <v>0.5058</v>
      </c>
      <c r="K115" s="29">
        <v>0.0918</v>
      </c>
      <c r="L115" s="29">
        <v>8.3086</v>
      </c>
      <c r="M115" s="29" t="s">
        <v>225</v>
      </c>
    </row>
    <row r="116" ht="15.75" customHeight="1">
      <c r="A116" s="29" t="s">
        <v>27</v>
      </c>
      <c r="B116" s="29" t="s">
        <v>917</v>
      </c>
      <c r="C116" s="29">
        <v>0.0</v>
      </c>
      <c r="D116" s="29" t="s">
        <v>60</v>
      </c>
      <c r="E116" s="29">
        <v>0.3867</v>
      </c>
      <c r="F116" s="29">
        <v>66.308</v>
      </c>
      <c r="G116" s="29">
        <v>42.3401</v>
      </c>
      <c r="H116" s="29">
        <v>0.7964</v>
      </c>
      <c r="I116" s="29">
        <v>0.4596</v>
      </c>
      <c r="J116" s="29">
        <v>0.4732</v>
      </c>
      <c r="K116" s="29">
        <v>0.1288</v>
      </c>
      <c r="L116" s="29">
        <v>8.7876</v>
      </c>
      <c r="M116" s="29" t="s">
        <v>225</v>
      </c>
    </row>
    <row r="117" ht="15.75" customHeight="1">
      <c r="A117" s="29" t="s">
        <v>921</v>
      </c>
      <c r="B117" s="29" t="s">
        <v>922</v>
      </c>
      <c r="C117" s="29">
        <v>0.0</v>
      </c>
      <c r="D117" s="29" t="s">
        <v>60</v>
      </c>
      <c r="E117" s="29">
        <v>0.6695</v>
      </c>
      <c r="F117" s="29">
        <v>66.2353</v>
      </c>
      <c r="G117" s="29">
        <v>35.4004</v>
      </c>
      <c r="H117" s="29">
        <v>0.7427</v>
      </c>
      <c r="I117" s="29">
        <v>0.6631</v>
      </c>
      <c r="J117" s="29">
        <v>0.3635</v>
      </c>
      <c r="K117" s="29">
        <v>0.0787</v>
      </c>
      <c r="L117" s="29">
        <v>9.2193</v>
      </c>
      <c r="M117" s="29" t="s">
        <v>225</v>
      </c>
    </row>
    <row r="118" ht="15.75" customHeight="1">
      <c r="A118" s="29" t="s">
        <v>928</v>
      </c>
      <c r="B118" s="29" t="s">
        <v>929</v>
      </c>
      <c r="C118" s="29">
        <v>0.0</v>
      </c>
      <c r="D118" s="29" t="s">
        <v>60</v>
      </c>
      <c r="E118" s="29">
        <v>0.3831</v>
      </c>
      <c r="F118" s="29">
        <v>66.1036</v>
      </c>
      <c r="G118" s="29">
        <v>32.7086</v>
      </c>
      <c r="H118" s="29">
        <v>0.5805</v>
      </c>
      <c r="I118" s="29">
        <v>0.7764</v>
      </c>
      <c r="J118" s="29">
        <v>0.4899</v>
      </c>
      <c r="K118" s="29">
        <v>0.0634</v>
      </c>
      <c r="L118" s="29">
        <v>8.3561</v>
      </c>
      <c r="M118" s="29" t="s">
        <v>225</v>
      </c>
    </row>
    <row r="119" ht="15.75" customHeight="1">
      <c r="A119" s="29" t="s">
        <v>350</v>
      </c>
      <c r="B119" s="29" t="s">
        <v>934</v>
      </c>
      <c r="C119" s="29">
        <v>0.0</v>
      </c>
      <c r="D119" s="29" t="s">
        <v>60</v>
      </c>
      <c r="E119" s="29">
        <v>0.5929</v>
      </c>
      <c r="F119" s="29">
        <v>66.0898</v>
      </c>
      <c r="G119" s="29">
        <v>35.1984</v>
      </c>
      <c r="H119" s="29">
        <v>0.5628</v>
      </c>
      <c r="I119" s="29">
        <v>0.67</v>
      </c>
      <c r="J119" s="29">
        <v>0.4362</v>
      </c>
      <c r="K119" s="29">
        <v>0.1018</v>
      </c>
      <c r="L119" s="29">
        <v>8.4574</v>
      </c>
      <c r="M119" s="29" t="s">
        <v>225</v>
      </c>
    </row>
    <row r="120" ht="15.75" customHeight="1">
      <c r="A120" s="29" t="s">
        <v>938</v>
      </c>
      <c r="B120" s="29" t="s">
        <v>939</v>
      </c>
      <c r="C120" s="29">
        <v>0.0</v>
      </c>
      <c r="D120" s="29" t="s">
        <v>60</v>
      </c>
      <c r="E120" s="29">
        <v>0.342</v>
      </c>
      <c r="F120" s="29">
        <v>66.0759</v>
      </c>
      <c r="G120" s="29">
        <v>44.3891</v>
      </c>
      <c r="H120" s="29">
        <v>0.6653</v>
      </c>
      <c r="I120" s="29">
        <v>0.4214</v>
      </c>
      <c r="J120" s="29">
        <v>0.4158</v>
      </c>
      <c r="K120" s="29">
        <v>0.0531</v>
      </c>
      <c r="L120" s="29">
        <v>9.0647</v>
      </c>
      <c r="M120" s="29" t="s">
        <v>225</v>
      </c>
    </row>
    <row r="121" ht="15.75" customHeight="1">
      <c r="A121" s="29" t="s">
        <v>668</v>
      </c>
      <c r="B121" s="29" t="s">
        <v>944</v>
      </c>
      <c r="C121" s="29">
        <v>0.0</v>
      </c>
      <c r="D121" s="29" t="s">
        <v>60</v>
      </c>
      <c r="E121" s="29">
        <v>0.5844</v>
      </c>
      <c r="F121" s="29">
        <v>65.8578</v>
      </c>
      <c r="G121" s="29">
        <v>34.1576</v>
      </c>
      <c r="H121" s="29">
        <v>0.543</v>
      </c>
      <c r="I121" s="29">
        <v>0.706</v>
      </c>
      <c r="J121" s="29">
        <v>0.4485</v>
      </c>
      <c r="K121" s="29">
        <v>0.1216</v>
      </c>
      <c r="L121" s="29">
        <v>8.3971</v>
      </c>
      <c r="M121" s="29" t="s">
        <v>225</v>
      </c>
    </row>
    <row r="122" ht="15.75" customHeight="1">
      <c r="A122" s="29" t="s">
        <v>621</v>
      </c>
      <c r="B122" s="29" t="s">
        <v>949</v>
      </c>
      <c r="C122" s="29">
        <v>0.0</v>
      </c>
      <c r="D122" s="29" t="s">
        <v>60</v>
      </c>
      <c r="E122" s="29">
        <v>0.5593</v>
      </c>
      <c r="F122" s="29">
        <v>65.7573</v>
      </c>
      <c r="G122" s="29">
        <v>32.5805</v>
      </c>
      <c r="H122" s="29">
        <v>0.6007</v>
      </c>
      <c r="I122" s="29">
        <v>0.7729</v>
      </c>
      <c r="J122" s="29">
        <v>0.4478</v>
      </c>
      <c r="K122" s="29">
        <v>0.1137</v>
      </c>
      <c r="L122" s="29">
        <v>8.4142</v>
      </c>
      <c r="M122" s="29" t="s">
        <v>225</v>
      </c>
    </row>
    <row r="123" ht="15.75" customHeight="1">
      <c r="A123" s="29" t="s">
        <v>303</v>
      </c>
      <c r="B123" s="29" t="s">
        <v>955</v>
      </c>
      <c r="C123" s="29">
        <v>0.0</v>
      </c>
      <c r="D123" s="29" t="s">
        <v>60</v>
      </c>
      <c r="E123" s="29">
        <v>0.5755</v>
      </c>
      <c r="F123" s="29">
        <v>65.4214</v>
      </c>
      <c r="G123" s="29">
        <v>34.9226</v>
      </c>
      <c r="H123" s="29">
        <v>0.5761</v>
      </c>
      <c r="I123" s="29">
        <v>0.6714</v>
      </c>
      <c r="J123" s="29">
        <v>0.4445</v>
      </c>
      <c r="K123" s="29">
        <v>0.1161</v>
      </c>
      <c r="L123" s="29">
        <v>8.413</v>
      </c>
      <c r="M123" s="29" t="s">
        <v>225</v>
      </c>
    </row>
    <row r="124" ht="15.75" customHeight="1">
      <c r="A124" s="29" t="s">
        <v>256</v>
      </c>
      <c r="B124" s="29" t="s">
        <v>960</v>
      </c>
      <c r="C124" s="29">
        <v>0.0</v>
      </c>
      <c r="D124" s="29" t="s">
        <v>60</v>
      </c>
      <c r="E124" s="29">
        <v>0.3673</v>
      </c>
      <c r="F124" s="29">
        <v>65.4179</v>
      </c>
      <c r="G124" s="29">
        <v>38.4268</v>
      </c>
      <c r="H124" s="29">
        <v>0.7814</v>
      </c>
      <c r="I124" s="29">
        <v>0.5548</v>
      </c>
      <c r="J124" s="29">
        <v>0.469</v>
      </c>
      <c r="K124" s="29">
        <v>0.1206</v>
      </c>
      <c r="L124" s="29">
        <v>8.7628</v>
      </c>
      <c r="M124" s="29" t="s">
        <v>225</v>
      </c>
    </row>
    <row r="125" ht="15.75" customHeight="1">
      <c r="A125" s="29" t="s">
        <v>178</v>
      </c>
      <c r="B125" s="29" t="s">
        <v>966</v>
      </c>
      <c r="C125" s="29">
        <v>0.0</v>
      </c>
      <c r="D125" s="29" t="s">
        <v>60</v>
      </c>
      <c r="E125" s="29">
        <v>0.6928</v>
      </c>
      <c r="F125" s="29">
        <v>65.3348</v>
      </c>
      <c r="G125" s="29">
        <v>36.0269</v>
      </c>
      <c r="H125" s="29">
        <v>0.6454</v>
      </c>
      <c r="I125" s="29">
        <v>0.6324</v>
      </c>
      <c r="J125" s="29">
        <v>0.4468</v>
      </c>
      <c r="K125" s="29">
        <v>0.162</v>
      </c>
      <c r="L125" s="29">
        <v>8.4748</v>
      </c>
      <c r="M125" s="29" t="s">
        <v>225</v>
      </c>
    </row>
    <row r="126" ht="15.75" customHeight="1">
      <c r="A126" s="29" t="s">
        <v>454</v>
      </c>
      <c r="B126" s="29" t="s">
        <v>971</v>
      </c>
      <c r="C126" s="29">
        <v>0.0</v>
      </c>
      <c r="D126" s="29" t="s">
        <v>60</v>
      </c>
      <c r="E126" s="29">
        <v>0.6005</v>
      </c>
      <c r="F126" s="29">
        <v>65.314</v>
      </c>
      <c r="G126" s="29">
        <v>33.0433</v>
      </c>
      <c r="H126" s="29">
        <v>0.5734</v>
      </c>
      <c r="I126" s="29">
        <v>0.75</v>
      </c>
      <c r="J126" s="29">
        <v>0.4445</v>
      </c>
      <c r="K126" s="29">
        <v>0.1107</v>
      </c>
      <c r="L126" s="29">
        <v>8.4108</v>
      </c>
      <c r="M126" s="29" t="s">
        <v>225</v>
      </c>
    </row>
    <row r="127" ht="15.75" customHeight="1">
      <c r="A127" s="29" t="s">
        <v>240</v>
      </c>
      <c r="B127" s="29" t="s">
        <v>976</v>
      </c>
      <c r="C127" s="29">
        <v>0.0</v>
      </c>
      <c r="D127" s="29" t="s">
        <v>60</v>
      </c>
      <c r="E127" s="29">
        <v>0.3803</v>
      </c>
      <c r="F127" s="29">
        <v>65.217</v>
      </c>
      <c r="G127" s="29">
        <v>47.0829</v>
      </c>
      <c r="H127" s="29">
        <v>0.7692</v>
      </c>
      <c r="I127" s="29">
        <v>0.3639</v>
      </c>
      <c r="J127" s="29">
        <v>0.4502</v>
      </c>
      <c r="K127" s="29">
        <v>0.1206</v>
      </c>
      <c r="L127" s="29">
        <v>8.8974</v>
      </c>
      <c r="M127" s="29" t="s">
        <v>225</v>
      </c>
    </row>
    <row r="128" ht="15.75" customHeight="1">
      <c r="A128" s="29" t="s">
        <v>963</v>
      </c>
      <c r="B128" s="29" t="s">
        <v>983</v>
      </c>
      <c r="C128" s="29">
        <v>0.0</v>
      </c>
      <c r="D128" s="29" t="s">
        <v>60</v>
      </c>
      <c r="E128" s="29">
        <v>0.6916</v>
      </c>
      <c r="F128" s="29">
        <v>65.0577</v>
      </c>
      <c r="G128" s="29">
        <v>35.3186</v>
      </c>
      <c r="H128" s="29">
        <v>0.6377</v>
      </c>
      <c r="I128" s="29">
        <v>0.6553</v>
      </c>
      <c r="J128" s="29">
        <v>0.4414</v>
      </c>
      <c r="K128" s="29">
        <v>0.1481</v>
      </c>
      <c r="L128" s="29">
        <v>8.5659</v>
      </c>
      <c r="M128" s="29" t="s">
        <v>225</v>
      </c>
    </row>
    <row r="129" ht="15.75" customHeight="1">
      <c r="A129" s="29" t="s">
        <v>864</v>
      </c>
      <c r="B129" s="29" t="s">
        <v>990</v>
      </c>
      <c r="C129" s="29">
        <v>0.0</v>
      </c>
      <c r="D129" s="29" t="s">
        <v>60</v>
      </c>
      <c r="E129" s="29">
        <v>0.7003</v>
      </c>
      <c r="F129" s="29">
        <v>64.985</v>
      </c>
      <c r="G129" s="29">
        <v>37.0503</v>
      </c>
      <c r="H129" s="29">
        <v>0.6891</v>
      </c>
      <c r="I129" s="29">
        <v>0.5948</v>
      </c>
      <c r="J129" s="29">
        <v>0.4453</v>
      </c>
      <c r="K129" s="29">
        <v>0.1695</v>
      </c>
      <c r="L129" s="29">
        <v>8.4243</v>
      </c>
      <c r="M129" s="29" t="s">
        <v>225</v>
      </c>
    </row>
    <row r="130" ht="15.75" customHeight="1">
      <c r="A130" s="29" t="s">
        <v>730</v>
      </c>
      <c r="B130" s="29" t="s">
        <v>995</v>
      </c>
      <c r="C130" s="29">
        <v>0.0</v>
      </c>
      <c r="D130" s="29" t="s">
        <v>60</v>
      </c>
      <c r="E130" s="29">
        <v>0.6927</v>
      </c>
      <c r="F130" s="29">
        <v>64.9815</v>
      </c>
      <c r="G130" s="29">
        <v>37.4946</v>
      </c>
      <c r="H130" s="29">
        <v>0.6099</v>
      </c>
      <c r="I130" s="29">
        <v>0.5804</v>
      </c>
      <c r="J130" s="29">
        <v>0.453</v>
      </c>
      <c r="K130" s="29">
        <v>0.1631</v>
      </c>
      <c r="L130" s="29">
        <v>8.3087</v>
      </c>
      <c r="M130" s="29" t="s">
        <v>225</v>
      </c>
    </row>
    <row r="131" ht="15.75" customHeight="1">
      <c r="A131" s="29" t="s">
        <v>707</v>
      </c>
      <c r="B131" s="29" t="s">
        <v>1002</v>
      </c>
      <c r="C131" s="29">
        <v>0.0</v>
      </c>
      <c r="D131" s="29" t="s">
        <v>60</v>
      </c>
      <c r="E131" s="29">
        <v>0.6055</v>
      </c>
      <c r="F131" s="29">
        <v>64.8776</v>
      </c>
      <c r="G131" s="29">
        <v>34.8488</v>
      </c>
      <c r="H131" s="29">
        <v>0.6883</v>
      </c>
      <c r="I131" s="29">
        <v>0.6695</v>
      </c>
      <c r="J131" s="29">
        <v>0.3863</v>
      </c>
      <c r="K131" s="29">
        <v>0.1043</v>
      </c>
      <c r="L131" s="29">
        <v>8.98</v>
      </c>
      <c r="M131" s="29" t="s">
        <v>225</v>
      </c>
    </row>
    <row r="132" ht="15.75" customHeight="1">
      <c r="A132" s="29" t="s">
        <v>777</v>
      </c>
      <c r="B132" s="29" t="s">
        <v>1007</v>
      </c>
      <c r="C132" s="29">
        <v>0.0</v>
      </c>
      <c r="D132" s="29" t="s">
        <v>60</v>
      </c>
      <c r="E132" s="29">
        <v>0.563</v>
      </c>
      <c r="F132" s="29">
        <v>64.6595</v>
      </c>
      <c r="G132" s="29">
        <v>33.3232</v>
      </c>
      <c r="H132" s="29">
        <v>0.4841</v>
      </c>
      <c r="I132" s="29">
        <v>0.7311</v>
      </c>
      <c r="J132" s="29">
        <v>0.4722</v>
      </c>
      <c r="K132" s="29">
        <v>0.1038</v>
      </c>
      <c r="L132" s="29">
        <v>8.264</v>
      </c>
      <c r="M132" s="29" t="s">
        <v>225</v>
      </c>
    </row>
    <row r="133" ht="15.75" customHeight="1">
      <c r="A133" s="29" t="s">
        <v>1012</v>
      </c>
      <c r="B133" s="29" t="s">
        <v>1014</v>
      </c>
      <c r="C133" s="29">
        <v>0.0</v>
      </c>
      <c r="D133" s="29" t="s">
        <v>60</v>
      </c>
      <c r="E133" s="29">
        <v>0.6927</v>
      </c>
      <c r="F133" s="29">
        <v>64.6006</v>
      </c>
      <c r="G133" s="29">
        <v>35.2845</v>
      </c>
      <c r="H133" s="29">
        <v>0.6121</v>
      </c>
      <c r="I133" s="29">
        <v>0.652</v>
      </c>
      <c r="J133" s="29">
        <v>0.4423</v>
      </c>
      <c r="K133" s="29">
        <v>0.1619</v>
      </c>
      <c r="L133" s="29">
        <v>8.5179</v>
      </c>
      <c r="M133" s="29" t="s">
        <v>225</v>
      </c>
    </row>
    <row r="134" ht="15.75" customHeight="1">
      <c r="A134" s="29" t="s">
        <v>1019</v>
      </c>
      <c r="B134" s="29" t="s">
        <v>1020</v>
      </c>
      <c r="C134" s="29">
        <v>0.0</v>
      </c>
      <c r="D134" s="29" t="s">
        <v>60</v>
      </c>
      <c r="E134" s="29">
        <v>0.6807</v>
      </c>
      <c r="F134" s="29">
        <v>64.5002</v>
      </c>
      <c r="G134" s="29">
        <v>33.4743</v>
      </c>
      <c r="H134" s="29">
        <v>0.7335</v>
      </c>
      <c r="I134" s="29">
        <v>0.7226</v>
      </c>
      <c r="J134" s="29">
        <v>0.3605</v>
      </c>
      <c r="K134" s="29">
        <v>0.0699</v>
      </c>
      <c r="L134" s="29">
        <v>9.2359</v>
      </c>
      <c r="M134" s="29" t="s">
        <v>225</v>
      </c>
    </row>
    <row r="135" ht="15.75" customHeight="1">
      <c r="A135" s="29" t="s">
        <v>321</v>
      </c>
      <c r="B135" s="29" t="s">
        <v>1025</v>
      </c>
      <c r="C135" s="29">
        <v>0.0</v>
      </c>
      <c r="D135" s="29" t="s">
        <v>60</v>
      </c>
      <c r="E135" s="29">
        <v>0.3615</v>
      </c>
      <c r="F135" s="29">
        <v>64.4794</v>
      </c>
      <c r="G135" s="29">
        <v>37.9786</v>
      </c>
      <c r="H135" s="29">
        <v>0.75</v>
      </c>
      <c r="I135" s="29">
        <v>0.5611</v>
      </c>
      <c r="J135" s="29">
        <v>0.4537</v>
      </c>
      <c r="K135" s="29">
        <v>0.1122</v>
      </c>
      <c r="L135" s="29">
        <v>8.8345</v>
      </c>
      <c r="M135" s="29" t="s">
        <v>225</v>
      </c>
    </row>
    <row r="136" ht="15.75" customHeight="1">
      <c r="A136" s="29" t="s">
        <v>518</v>
      </c>
      <c r="B136" s="29" t="s">
        <v>1030</v>
      </c>
      <c r="C136" s="29">
        <v>0.0</v>
      </c>
      <c r="D136" s="29" t="s">
        <v>60</v>
      </c>
      <c r="E136" s="29">
        <v>0.6166</v>
      </c>
      <c r="F136" s="29">
        <v>64.2335</v>
      </c>
      <c r="G136" s="29">
        <v>33.1286</v>
      </c>
      <c r="H136" s="29">
        <v>0.5482</v>
      </c>
      <c r="I136" s="29">
        <v>0.7336</v>
      </c>
      <c r="J136" s="29">
        <v>0.4473</v>
      </c>
      <c r="K136" s="29">
        <v>0.122</v>
      </c>
      <c r="L136" s="29">
        <v>8.3464</v>
      </c>
      <c r="M136" s="29" t="s">
        <v>225</v>
      </c>
    </row>
    <row r="137" ht="15.75" customHeight="1">
      <c r="A137" s="29" t="s">
        <v>235</v>
      </c>
      <c r="B137" s="29" t="s">
        <v>1036</v>
      </c>
      <c r="C137" s="29">
        <v>0.0</v>
      </c>
      <c r="D137" s="29" t="s">
        <v>60</v>
      </c>
      <c r="E137" s="29">
        <v>0.3543</v>
      </c>
      <c r="F137" s="29">
        <v>64.2162</v>
      </c>
      <c r="G137" s="29">
        <v>38.136</v>
      </c>
      <c r="H137" s="29">
        <v>0.6672</v>
      </c>
      <c r="I137" s="29">
        <v>0.5532</v>
      </c>
      <c r="J137" s="29">
        <v>0.565</v>
      </c>
      <c r="K137" s="29">
        <v>0.0676</v>
      </c>
      <c r="L137" s="29">
        <v>8.3065</v>
      </c>
      <c r="M137" s="29" t="s">
        <v>225</v>
      </c>
    </row>
    <row r="138" ht="15.75" customHeight="1">
      <c r="A138" s="29" t="s">
        <v>881</v>
      </c>
      <c r="B138" s="29" t="s">
        <v>1042</v>
      </c>
      <c r="C138" s="29">
        <v>0.0</v>
      </c>
      <c r="D138" s="29" t="s">
        <v>60</v>
      </c>
      <c r="E138" s="29">
        <v>0.6908</v>
      </c>
      <c r="F138" s="29">
        <v>64.1781</v>
      </c>
      <c r="G138" s="29">
        <v>34.8965</v>
      </c>
      <c r="H138" s="29">
        <v>0.6325</v>
      </c>
      <c r="I138" s="29">
        <v>0.6622</v>
      </c>
      <c r="J138" s="29">
        <v>0.4443</v>
      </c>
      <c r="K138" s="29">
        <v>0.1578</v>
      </c>
      <c r="L138" s="29">
        <v>8.5015</v>
      </c>
      <c r="M138" s="29" t="s">
        <v>225</v>
      </c>
    </row>
    <row r="139" ht="15.75" customHeight="1">
      <c r="A139" s="29" t="s">
        <v>1022</v>
      </c>
      <c r="B139" s="29" t="s">
        <v>1047</v>
      </c>
      <c r="C139" s="29">
        <v>0.0</v>
      </c>
      <c r="D139" s="29" t="s">
        <v>60</v>
      </c>
      <c r="E139" s="29">
        <v>0.6439</v>
      </c>
      <c r="F139" s="29">
        <v>64.1538</v>
      </c>
      <c r="G139" s="29">
        <v>33.1547</v>
      </c>
      <c r="H139" s="29">
        <v>0.756</v>
      </c>
      <c r="I139" s="29">
        <v>0.7334</v>
      </c>
      <c r="J139" s="29">
        <v>0.4262</v>
      </c>
      <c r="K139" s="29">
        <v>0.11</v>
      </c>
      <c r="L139" s="29">
        <v>8.0697</v>
      </c>
      <c r="M139" s="29" t="s">
        <v>225</v>
      </c>
    </row>
    <row r="140" ht="15.75" customHeight="1">
      <c r="A140" s="29" t="s">
        <v>563</v>
      </c>
      <c r="B140" s="29" t="s">
        <v>1053</v>
      </c>
      <c r="C140" s="29">
        <v>0.0</v>
      </c>
      <c r="D140" s="29" t="s">
        <v>60</v>
      </c>
      <c r="E140" s="29">
        <v>0.586</v>
      </c>
      <c r="F140" s="29">
        <v>63.946</v>
      </c>
      <c r="G140" s="29">
        <v>35.7458</v>
      </c>
      <c r="H140" s="29">
        <v>0.7174</v>
      </c>
      <c r="I140" s="29">
        <v>0.6288</v>
      </c>
      <c r="J140" s="29">
        <v>0.4615</v>
      </c>
      <c r="K140" s="29">
        <v>0.0662</v>
      </c>
      <c r="L140" s="29">
        <v>8.7246</v>
      </c>
      <c r="M140" s="29" t="s">
        <v>225</v>
      </c>
    </row>
    <row r="141" ht="15.75" customHeight="1">
      <c r="A141" s="29" t="s">
        <v>887</v>
      </c>
      <c r="B141" s="29" t="s">
        <v>1059</v>
      </c>
      <c r="C141" s="29">
        <v>0.0</v>
      </c>
      <c r="D141" s="29" t="s">
        <v>60</v>
      </c>
      <c r="E141" s="29">
        <v>0.6976</v>
      </c>
      <c r="F141" s="29">
        <v>63.901</v>
      </c>
      <c r="G141" s="29">
        <v>34.4316</v>
      </c>
      <c r="H141" s="29">
        <v>0.6645</v>
      </c>
      <c r="I141" s="29">
        <v>0.6773</v>
      </c>
      <c r="J141" s="29">
        <v>0.4493</v>
      </c>
      <c r="K141" s="29">
        <v>0.1626</v>
      </c>
      <c r="L141" s="29">
        <v>8.4622</v>
      </c>
      <c r="M141" s="29" t="s">
        <v>225</v>
      </c>
    </row>
    <row r="142" ht="15.75" customHeight="1">
      <c r="A142" s="29" t="s">
        <v>991</v>
      </c>
      <c r="B142" s="29" t="s">
        <v>1064</v>
      </c>
      <c r="C142" s="29">
        <v>0.0</v>
      </c>
      <c r="D142" s="29" t="s">
        <v>60</v>
      </c>
      <c r="E142" s="29">
        <v>0.7114</v>
      </c>
      <c r="F142" s="29">
        <v>63.759</v>
      </c>
      <c r="G142" s="29">
        <v>35.5418</v>
      </c>
      <c r="H142" s="29">
        <v>0.6522</v>
      </c>
      <c r="I142" s="29">
        <v>0.6343</v>
      </c>
      <c r="J142" s="29">
        <v>0.4489</v>
      </c>
      <c r="K142" s="29">
        <v>0.1679</v>
      </c>
      <c r="L142" s="29">
        <v>8.4306</v>
      </c>
      <c r="M142" s="29" t="s">
        <v>225</v>
      </c>
    </row>
    <row r="143" ht="15.75" customHeight="1">
      <c r="A143" s="29" t="s">
        <v>611</v>
      </c>
      <c r="B143" s="29" t="s">
        <v>1070</v>
      </c>
      <c r="C143" s="29">
        <v>0.0</v>
      </c>
      <c r="D143" s="29" t="s">
        <v>60</v>
      </c>
      <c r="E143" s="29">
        <v>0.6875</v>
      </c>
      <c r="F143" s="29">
        <v>63.759</v>
      </c>
      <c r="G143" s="29">
        <v>38.3328</v>
      </c>
      <c r="H143" s="29">
        <v>0.6018</v>
      </c>
      <c r="I143" s="29">
        <v>0.5441</v>
      </c>
      <c r="J143" s="29">
        <v>0.4454</v>
      </c>
      <c r="K143" s="29">
        <v>0.1564</v>
      </c>
      <c r="L143" s="29">
        <v>8.3502</v>
      </c>
      <c r="M143" s="29" t="s">
        <v>225</v>
      </c>
    </row>
    <row r="144" ht="15.75" customHeight="1">
      <c r="A144" s="29" t="s">
        <v>909</v>
      </c>
      <c r="B144" s="29" t="s">
        <v>1075</v>
      </c>
      <c r="C144" s="29">
        <v>0.0</v>
      </c>
      <c r="D144" s="29" t="s">
        <v>60</v>
      </c>
      <c r="E144" s="29">
        <v>0.6985</v>
      </c>
      <c r="F144" s="29">
        <v>63.6136</v>
      </c>
      <c r="G144" s="29">
        <v>37.1092</v>
      </c>
      <c r="H144" s="29">
        <v>0.6765</v>
      </c>
      <c r="I144" s="29">
        <v>0.5802</v>
      </c>
      <c r="J144" s="29">
        <v>0.4464</v>
      </c>
      <c r="K144" s="29">
        <v>0.1735</v>
      </c>
      <c r="L144" s="29">
        <v>8.4419</v>
      </c>
      <c r="M144" s="29" t="s">
        <v>225</v>
      </c>
    </row>
    <row r="145" ht="15.75" customHeight="1">
      <c r="A145" s="29" t="s">
        <v>1080</v>
      </c>
      <c r="B145" s="29" t="s">
        <v>1081</v>
      </c>
      <c r="C145" s="29">
        <v>0.0</v>
      </c>
      <c r="D145" s="29" t="s">
        <v>60</v>
      </c>
      <c r="E145" s="29">
        <v>0.7014</v>
      </c>
      <c r="F145" s="29">
        <v>63.5374</v>
      </c>
      <c r="G145" s="29">
        <v>33.1724</v>
      </c>
      <c r="H145" s="29">
        <v>0.7217</v>
      </c>
      <c r="I145" s="29">
        <v>0.7256</v>
      </c>
      <c r="J145" s="29">
        <v>0.3691</v>
      </c>
      <c r="K145" s="29">
        <v>0.0759</v>
      </c>
      <c r="L145" s="29">
        <v>9.1875</v>
      </c>
      <c r="M145" s="29" t="s">
        <v>225</v>
      </c>
    </row>
    <row r="146" ht="15.75" customHeight="1">
      <c r="A146" s="29" t="s">
        <v>850</v>
      </c>
      <c r="B146" s="29" t="s">
        <v>1085</v>
      </c>
      <c r="C146" s="29">
        <v>0.0</v>
      </c>
      <c r="D146" s="29" t="s">
        <v>60</v>
      </c>
      <c r="E146" s="29">
        <v>0.7088</v>
      </c>
      <c r="F146" s="29">
        <v>63.3642</v>
      </c>
      <c r="G146" s="29">
        <v>35.7354</v>
      </c>
      <c r="H146" s="29">
        <v>0.6526</v>
      </c>
      <c r="I146" s="29">
        <v>0.6233</v>
      </c>
      <c r="J146" s="29">
        <v>0.4516</v>
      </c>
      <c r="K146" s="29">
        <v>0.1773</v>
      </c>
      <c r="L146" s="29">
        <v>8.382</v>
      </c>
      <c r="M146" s="29" t="s">
        <v>225</v>
      </c>
    </row>
    <row r="147" ht="15.75" customHeight="1">
      <c r="A147" s="29" t="s">
        <v>741</v>
      </c>
      <c r="B147" s="29" t="s">
        <v>1090</v>
      </c>
      <c r="C147" s="29">
        <v>0.0</v>
      </c>
      <c r="D147" s="29" t="s">
        <v>60</v>
      </c>
      <c r="E147" s="29">
        <v>0.7149</v>
      </c>
      <c r="F147" s="29">
        <v>63.3088</v>
      </c>
      <c r="G147" s="29">
        <v>35.7918</v>
      </c>
      <c r="H147" s="29">
        <v>0.6852</v>
      </c>
      <c r="I147" s="29">
        <v>0.6209</v>
      </c>
      <c r="J147" s="29">
        <v>0.4527</v>
      </c>
      <c r="K147" s="29">
        <v>0.1558</v>
      </c>
      <c r="L147" s="29">
        <v>8.4432</v>
      </c>
      <c r="M147" s="29" t="s">
        <v>225</v>
      </c>
    </row>
    <row r="148" ht="15.75" customHeight="1">
      <c r="A148" s="29" t="s">
        <v>642</v>
      </c>
      <c r="B148" s="29" t="s">
        <v>1096</v>
      </c>
      <c r="C148" s="29">
        <v>0.0</v>
      </c>
      <c r="D148" s="29" t="s">
        <v>60</v>
      </c>
      <c r="E148" s="29">
        <v>0.7076</v>
      </c>
      <c r="F148" s="29">
        <v>63.2984</v>
      </c>
      <c r="G148" s="29">
        <v>37.3634</v>
      </c>
      <c r="H148" s="29">
        <v>0.6169</v>
      </c>
      <c r="I148" s="29">
        <v>0.5697</v>
      </c>
      <c r="J148" s="29">
        <v>0.4551</v>
      </c>
      <c r="K148" s="29">
        <v>0.1786</v>
      </c>
      <c r="L148" s="29">
        <v>8.1558</v>
      </c>
      <c r="M148" s="29" t="s">
        <v>225</v>
      </c>
    </row>
    <row r="149" ht="15.75" customHeight="1">
      <c r="A149" s="29" t="s">
        <v>1101</v>
      </c>
      <c r="B149" s="29" t="s">
        <v>1103</v>
      </c>
      <c r="C149" s="29">
        <v>0.0</v>
      </c>
      <c r="D149" s="29" t="s">
        <v>60</v>
      </c>
      <c r="E149" s="29">
        <v>0.6895</v>
      </c>
      <c r="F149" s="29">
        <v>63.2083</v>
      </c>
      <c r="G149" s="29">
        <v>33.4368</v>
      </c>
      <c r="H149" s="29">
        <v>0.8054</v>
      </c>
      <c r="I149" s="29">
        <v>0.7105</v>
      </c>
      <c r="J149" s="29">
        <v>0.3706</v>
      </c>
      <c r="K149" s="29">
        <v>0.1078</v>
      </c>
      <c r="L149" s="29">
        <v>8.5162</v>
      </c>
      <c r="M149" s="29" t="s">
        <v>225</v>
      </c>
    </row>
    <row r="150" ht="15.75" customHeight="1">
      <c r="A150" s="29" t="s">
        <v>714</v>
      </c>
      <c r="B150" s="29" t="s">
        <v>1108</v>
      </c>
      <c r="C150" s="29">
        <v>0.0</v>
      </c>
      <c r="D150" s="29" t="s">
        <v>60</v>
      </c>
      <c r="E150" s="29">
        <v>0.5968</v>
      </c>
      <c r="F150" s="29">
        <v>63.2083</v>
      </c>
      <c r="G150" s="29">
        <v>34.3031</v>
      </c>
      <c r="H150" s="29">
        <v>0.6776</v>
      </c>
      <c r="I150" s="29">
        <v>0.675</v>
      </c>
      <c r="J150" s="29">
        <v>0.3813</v>
      </c>
      <c r="K150" s="29">
        <v>0.0959</v>
      </c>
      <c r="L150" s="29">
        <v>9.0191</v>
      </c>
      <c r="M150" s="29" t="s">
        <v>225</v>
      </c>
    </row>
    <row r="151" ht="15.75" customHeight="1">
      <c r="A151" s="29" t="s">
        <v>1113</v>
      </c>
      <c r="B151" s="29" t="s">
        <v>1114</v>
      </c>
      <c r="C151" s="29">
        <v>0.0</v>
      </c>
      <c r="D151" s="29" t="s">
        <v>60</v>
      </c>
      <c r="E151" s="29">
        <v>0.6982</v>
      </c>
      <c r="F151" s="29">
        <v>63.1356</v>
      </c>
      <c r="G151" s="29">
        <v>36.5471</v>
      </c>
      <c r="H151" s="29">
        <v>0.6297</v>
      </c>
      <c r="I151" s="29">
        <v>0.594</v>
      </c>
      <c r="J151" s="29">
        <v>0.4614</v>
      </c>
      <c r="K151" s="29">
        <v>0.1913</v>
      </c>
      <c r="L151" s="29">
        <v>8.0485</v>
      </c>
      <c r="M151" s="29" t="s">
        <v>225</v>
      </c>
    </row>
    <row r="152" ht="15.75" customHeight="1">
      <c r="A152" s="29" t="s">
        <v>728</v>
      </c>
      <c r="B152" s="29" t="s">
        <v>1120</v>
      </c>
      <c r="C152" s="29">
        <v>0.0</v>
      </c>
      <c r="D152" s="29" t="s">
        <v>60</v>
      </c>
      <c r="E152" s="29">
        <v>0.2939</v>
      </c>
      <c r="F152" s="29">
        <v>62.9728</v>
      </c>
      <c r="G152" s="29">
        <v>36.9974</v>
      </c>
      <c r="H152" s="29">
        <v>0.5835</v>
      </c>
      <c r="I152" s="29">
        <v>0.5733</v>
      </c>
      <c r="J152" s="29">
        <v>0.625</v>
      </c>
      <c r="K152" s="29">
        <v>0.1897</v>
      </c>
      <c r="L152" s="29">
        <v>7.0897</v>
      </c>
      <c r="M152" s="29" t="s">
        <v>225</v>
      </c>
    </row>
    <row r="153" ht="15.75" customHeight="1">
      <c r="A153" s="29" t="s">
        <v>188</v>
      </c>
      <c r="B153" s="29" t="s">
        <v>1126</v>
      </c>
      <c r="C153" s="29">
        <v>0.0</v>
      </c>
      <c r="D153" s="29" t="s">
        <v>60</v>
      </c>
      <c r="E153" s="29">
        <v>0.7062</v>
      </c>
      <c r="F153" s="29">
        <v>62.907</v>
      </c>
      <c r="G153" s="29">
        <v>37.231</v>
      </c>
      <c r="H153" s="29">
        <v>0.6551</v>
      </c>
      <c r="I153" s="29">
        <v>0.5703</v>
      </c>
      <c r="J153" s="29">
        <v>0.4501</v>
      </c>
      <c r="K153" s="29">
        <v>0.1825</v>
      </c>
      <c r="L153" s="29">
        <v>8.3416</v>
      </c>
      <c r="M153" s="29" t="s">
        <v>225</v>
      </c>
    </row>
    <row r="154" ht="15.75" customHeight="1">
      <c r="A154" s="29" t="s">
        <v>1132</v>
      </c>
      <c r="B154" s="29" t="s">
        <v>1133</v>
      </c>
      <c r="C154" s="29">
        <v>0.0</v>
      </c>
      <c r="D154" s="29" t="s">
        <v>60</v>
      </c>
      <c r="E154" s="29">
        <v>0.6738</v>
      </c>
      <c r="F154" s="29">
        <v>62.8828</v>
      </c>
      <c r="G154" s="29">
        <v>35.5533</v>
      </c>
      <c r="H154" s="29">
        <v>0.7209</v>
      </c>
      <c r="I154" s="29">
        <v>0.6245</v>
      </c>
      <c r="J154" s="29">
        <v>0.3654</v>
      </c>
      <c r="K154" s="29">
        <v>0.0812</v>
      </c>
      <c r="L154" s="29">
        <v>9.1846</v>
      </c>
      <c r="M154" s="29" t="s">
        <v>225</v>
      </c>
    </row>
    <row r="155" ht="15.75" customHeight="1">
      <c r="A155" s="29" t="s">
        <v>218</v>
      </c>
      <c r="B155" s="29" t="s">
        <v>1139</v>
      </c>
      <c r="C155" s="29">
        <v>0.0</v>
      </c>
      <c r="D155" s="29" t="s">
        <v>60</v>
      </c>
      <c r="E155" s="29">
        <v>0.3551</v>
      </c>
      <c r="F155" s="29">
        <v>62.8239</v>
      </c>
      <c r="G155" s="29">
        <v>38.5285</v>
      </c>
      <c r="H155" s="29">
        <v>0.7756</v>
      </c>
      <c r="I155" s="29">
        <v>0.5318</v>
      </c>
      <c r="J155" s="29">
        <v>0.4742</v>
      </c>
      <c r="K155" s="29">
        <v>0.1393</v>
      </c>
      <c r="L155" s="29">
        <v>8.6473</v>
      </c>
      <c r="M155" s="29" t="s">
        <v>225</v>
      </c>
    </row>
    <row r="156" ht="15.75" customHeight="1">
      <c r="A156" s="29" t="s">
        <v>1143</v>
      </c>
      <c r="B156" s="29" t="s">
        <v>1144</v>
      </c>
      <c r="C156" s="29">
        <v>0.0</v>
      </c>
      <c r="D156" s="29" t="s">
        <v>60</v>
      </c>
      <c r="E156" s="29">
        <v>0.6977</v>
      </c>
      <c r="F156" s="29">
        <v>62.817</v>
      </c>
      <c r="G156" s="29">
        <v>35.2092</v>
      </c>
      <c r="H156" s="29">
        <v>0.6364</v>
      </c>
      <c r="I156" s="29">
        <v>0.6366</v>
      </c>
      <c r="J156" s="29">
        <v>0.4356</v>
      </c>
      <c r="K156" s="29">
        <v>0.1602</v>
      </c>
      <c r="L156" s="29">
        <v>8.5338</v>
      </c>
      <c r="M156" s="29" t="s">
        <v>225</v>
      </c>
    </row>
    <row r="157" ht="15.75" customHeight="1">
      <c r="A157" s="29" t="s">
        <v>625</v>
      </c>
      <c r="B157" s="29" t="s">
        <v>1149</v>
      </c>
      <c r="C157" s="29">
        <v>0.0</v>
      </c>
      <c r="D157" s="29" t="s">
        <v>60</v>
      </c>
      <c r="E157" s="29">
        <v>0.6875</v>
      </c>
      <c r="F157" s="29">
        <v>62.7096</v>
      </c>
      <c r="G157" s="29">
        <v>35.4673</v>
      </c>
      <c r="H157" s="29">
        <v>0.609</v>
      </c>
      <c r="I157" s="29">
        <v>0.6253</v>
      </c>
      <c r="J157" s="29">
        <v>0.4567</v>
      </c>
      <c r="K157" s="29">
        <v>0.1707</v>
      </c>
      <c r="L157" s="29">
        <v>8.22</v>
      </c>
      <c r="M157" s="29" t="s">
        <v>225</v>
      </c>
    </row>
    <row r="158" ht="15.75" customHeight="1">
      <c r="A158" s="29" t="s">
        <v>227</v>
      </c>
      <c r="B158" s="29" t="s">
        <v>1155</v>
      </c>
      <c r="C158" s="29">
        <v>0.0</v>
      </c>
      <c r="D158" s="29" t="s">
        <v>60</v>
      </c>
      <c r="E158" s="29">
        <v>0.6977</v>
      </c>
      <c r="F158" s="29">
        <v>62.3737</v>
      </c>
      <c r="G158" s="29">
        <v>34.978</v>
      </c>
      <c r="H158" s="29">
        <v>0.6539</v>
      </c>
      <c r="I158" s="29">
        <v>0.6406</v>
      </c>
      <c r="J158" s="29">
        <v>0.4429</v>
      </c>
      <c r="K158" s="29">
        <v>0.1676</v>
      </c>
      <c r="L158" s="29">
        <v>8.454</v>
      </c>
      <c r="M158" s="29" t="s">
        <v>225</v>
      </c>
    </row>
    <row r="159" ht="15.75" customHeight="1">
      <c r="A159" s="29" t="s">
        <v>1158</v>
      </c>
      <c r="B159" s="29" t="s">
        <v>1159</v>
      </c>
      <c r="C159" s="29">
        <v>0.0</v>
      </c>
      <c r="D159" s="29" t="s">
        <v>60</v>
      </c>
      <c r="E159" s="29">
        <v>0.3129</v>
      </c>
      <c r="F159" s="29">
        <v>62.3252</v>
      </c>
      <c r="G159" s="29">
        <v>34.5113</v>
      </c>
      <c r="H159" s="29">
        <v>0.5563</v>
      </c>
      <c r="I159" s="29">
        <v>0.6556</v>
      </c>
      <c r="J159" s="29">
        <v>0.5012</v>
      </c>
      <c r="K159" s="29">
        <v>0.0686</v>
      </c>
      <c r="L159" s="29">
        <v>8.5067</v>
      </c>
      <c r="M159" s="29" t="s">
        <v>225</v>
      </c>
    </row>
    <row r="160" ht="15.75" customHeight="1">
      <c r="A160" s="29" t="s">
        <v>985</v>
      </c>
      <c r="B160" s="29" t="s">
        <v>1164</v>
      </c>
      <c r="C160" s="29">
        <v>0.0</v>
      </c>
      <c r="D160" s="29" t="s">
        <v>60</v>
      </c>
      <c r="E160" s="29">
        <v>0.7027</v>
      </c>
      <c r="F160" s="29">
        <v>62.249</v>
      </c>
      <c r="G160" s="29">
        <v>35.6459</v>
      </c>
      <c r="H160" s="29">
        <v>0.6408</v>
      </c>
      <c r="I160" s="29">
        <v>0.615</v>
      </c>
      <c r="J160" s="29">
        <v>0.4543</v>
      </c>
      <c r="K160" s="29">
        <v>0.1805</v>
      </c>
      <c r="L160" s="29">
        <v>8.3601</v>
      </c>
      <c r="M160" s="29" t="s">
        <v>225</v>
      </c>
    </row>
    <row r="161" ht="15.75" customHeight="1">
      <c r="A161" s="29" t="s">
        <v>775</v>
      </c>
      <c r="B161" s="29" t="s">
        <v>1169</v>
      </c>
      <c r="C161" s="29">
        <v>0.0</v>
      </c>
      <c r="D161" s="29" t="s">
        <v>60</v>
      </c>
      <c r="E161" s="29">
        <v>0.6905</v>
      </c>
      <c r="F161" s="29">
        <v>62.204</v>
      </c>
      <c r="G161" s="29">
        <v>37.6085</v>
      </c>
      <c r="H161" s="29">
        <v>0.5946</v>
      </c>
      <c r="I161" s="29">
        <v>0.5525</v>
      </c>
      <c r="J161" s="29">
        <v>0.4507</v>
      </c>
      <c r="K161" s="29">
        <v>0.1641</v>
      </c>
      <c r="L161" s="29">
        <v>8.2556</v>
      </c>
      <c r="M161" s="29" t="s">
        <v>225</v>
      </c>
    </row>
    <row r="162" ht="15.75" customHeight="1">
      <c r="A162" s="29" t="s">
        <v>1174</v>
      </c>
      <c r="B162" s="29" t="s">
        <v>1176</v>
      </c>
      <c r="C162" s="29">
        <v>0.0</v>
      </c>
      <c r="D162" s="29" t="s">
        <v>60</v>
      </c>
      <c r="E162" s="29">
        <v>0.6951</v>
      </c>
      <c r="F162" s="29">
        <v>62.1971</v>
      </c>
      <c r="G162" s="29">
        <v>40.4699</v>
      </c>
      <c r="H162" s="29">
        <v>0.6066</v>
      </c>
      <c r="I162" s="29">
        <v>0.4772</v>
      </c>
      <c r="J162" s="29">
        <v>0.4525</v>
      </c>
      <c r="K162" s="29">
        <v>0.1718</v>
      </c>
      <c r="L162" s="29">
        <v>8.2544</v>
      </c>
      <c r="M162" s="29" t="s">
        <v>225</v>
      </c>
    </row>
    <row r="163" ht="15.75" customHeight="1">
      <c r="A163" s="29" t="s">
        <v>1179</v>
      </c>
      <c r="B163" s="29" t="s">
        <v>1182</v>
      </c>
      <c r="C163" s="29">
        <v>0.0</v>
      </c>
      <c r="D163" s="29" t="s">
        <v>60</v>
      </c>
      <c r="E163" s="29">
        <v>0.5301</v>
      </c>
      <c r="F163" s="29">
        <v>62.0793</v>
      </c>
      <c r="G163" s="29">
        <v>41.9174</v>
      </c>
      <c r="H163" s="29">
        <v>0.6673</v>
      </c>
      <c r="I163" s="29">
        <v>0.4439</v>
      </c>
      <c r="J163" s="29">
        <v>0.4423</v>
      </c>
      <c r="K163" s="29">
        <v>0.0834</v>
      </c>
      <c r="L163" s="29">
        <v>8.7186</v>
      </c>
      <c r="M163" s="29" t="s">
        <v>225</v>
      </c>
    </row>
    <row r="164" ht="15.75" customHeight="1">
      <c r="A164" s="29" t="s">
        <v>237</v>
      </c>
      <c r="B164" s="29" t="s">
        <v>1189</v>
      </c>
      <c r="C164" s="29">
        <v>0.0</v>
      </c>
      <c r="D164" s="29" t="s">
        <v>60</v>
      </c>
      <c r="E164" s="29">
        <v>0.7083</v>
      </c>
      <c r="F164" s="29">
        <v>61.9893</v>
      </c>
      <c r="G164" s="29">
        <v>35.2016</v>
      </c>
      <c r="H164" s="29">
        <v>0.6601</v>
      </c>
      <c r="I164" s="29">
        <v>0.6286</v>
      </c>
      <c r="J164" s="29">
        <v>0.4537</v>
      </c>
      <c r="K164" s="29">
        <v>0.1854</v>
      </c>
      <c r="L164" s="29">
        <v>8.3149</v>
      </c>
      <c r="M164" s="29" t="s">
        <v>225</v>
      </c>
    </row>
    <row r="165" ht="15.75" customHeight="1">
      <c r="A165" s="29" t="s">
        <v>900</v>
      </c>
      <c r="B165" s="29" t="s">
        <v>1194</v>
      </c>
      <c r="C165" s="29">
        <v>0.0</v>
      </c>
      <c r="D165" s="29" t="s">
        <v>60</v>
      </c>
      <c r="E165" s="29">
        <v>0.6913</v>
      </c>
      <c r="F165" s="29">
        <v>61.8923</v>
      </c>
      <c r="G165" s="29">
        <v>35.5993</v>
      </c>
      <c r="H165" s="29">
        <v>0.6493</v>
      </c>
      <c r="I165" s="29">
        <v>0.6135</v>
      </c>
      <c r="J165" s="29">
        <v>0.4505</v>
      </c>
      <c r="K165" s="29">
        <v>0.1778</v>
      </c>
      <c r="L165" s="29">
        <v>8.3687</v>
      </c>
      <c r="M165" s="29" t="s">
        <v>225</v>
      </c>
    </row>
    <row r="166" ht="15.75" customHeight="1">
      <c r="A166" s="29" t="s">
        <v>1199</v>
      </c>
      <c r="B166" s="29" t="s">
        <v>1201</v>
      </c>
      <c r="C166" s="29">
        <v>0.0</v>
      </c>
      <c r="D166" s="29" t="s">
        <v>60</v>
      </c>
      <c r="E166" s="29">
        <v>0.7182</v>
      </c>
      <c r="F166" s="29">
        <v>61.8473</v>
      </c>
      <c r="G166" s="29">
        <v>35.4707</v>
      </c>
      <c r="H166" s="29">
        <v>0.6626</v>
      </c>
      <c r="I166" s="29">
        <v>0.6177</v>
      </c>
      <c r="J166" s="29">
        <v>0.4682</v>
      </c>
      <c r="K166" s="29">
        <v>0.1027</v>
      </c>
      <c r="L166" s="29">
        <v>8.4325</v>
      </c>
      <c r="M166" s="29" t="s">
        <v>225</v>
      </c>
    </row>
    <row r="167" ht="15.75" customHeight="1">
      <c r="A167" s="29" t="s">
        <v>1205</v>
      </c>
      <c r="B167" s="29" t="s">
        <v>1207</v>
      </c>
      <c r="C167" s="29">
        <v>0.0</v>
      </c>
      <c r="D167" s="29" t="s">
        <v>60</v>
      </c>
      <c r="E167" s="29">
        <v>0.6609</v>
      </c>
      <c r="F167" s="29">
        <v>61.8196</v>
      </c>
      <c r="G167" s="29">
        <v>35.5366</v>
      </c>
      <c r="H167" s="29">
        <v>0.6356</v>
      </c>
      <c r="I167" s="29">
        <v>0.6152</v>
      </c>
      <c r="J167" s="29">
        <v>0.4299</v>
      </c>
      <c r="K167" s="29">
        <v>0.1412</v>
      </c>
      <c r="L167" s="29">
        <v>8.4475</v>
      </c>
      <c r="M167" s="29" t="s">
        <v>225</v>
      </c>
    </row>
    <row r="168" ht="15.75" customHeight="1">
      <c r="A168" s="29" t="s">
        <v>985</v>
      </c>
      <c r="B168" s="29" t="s">
        <v>1212</v>
      </c>
      <c r="C168" s="29">
        <v>0.0</v>
      </c>
      <c r="D168" s="29" t="s">
        <v>60</v>
      </c>
      <c r="E168" s="29">
        <v>0.3381</v>
      </c>
      <c r="F168" s="29">
        <v>61.7849</v>
      </c>
      <c r="G168" s="29">
        <v>32.0989</v>
      </c>
      <c r="H168" s="29">
        <v>0.6372</v>
      </c>
      <c r="I168" s="29">
        <v>0.7532</v>
      </c>
      <c r="J168" s="29">
        <v>0.3513</v>
      </c>
      <c r="K168" s="29">
        <v>0.0737</v>
      </c>
      <c r="L168" s="29">
        <v>9.3348</v>
      </c>
      <c r="M168" s="29" t="s">
        <v>225</v>
      </c>
    </row>
    <row r="169" ht="15.75" customHeight="1">
      <c r="A169" s="29" t="s">
        <v>153</v>
      </c>
      <c r="B169" s="29" t="s">
        <v>1216</v>
      </c>
      <c r="C169" s="29">
        <v>0.0</v>
      </c>
      <c r="D169" s="29" t="s">
        <v>60</v>
      </c>
      <c r="E169" s="29">
        <v>0.6902</v>
      </c>
      <c r="F169" s="29">
        <v>61.733</v>
      </c>
      <c r="G169" s="29">
        <v>34.6956</v>
      </c>
      <c r="H169" s="29">
        <v>0.6414</v>
      </c>
      <c r="I169" s="29">
        <v>0.6444</v>
      </c>
      <c r="J169" s="29">
        <v>0.4535</v>
      </c>
      <c r="K169" s="29">
        <v>0.1651</v>
      </c>
      <c r="L169" s="29">
        <v>8.3718</v>
      </c>
      <c r="M169" s="29" t="s">
        <v>225</v>
      </c>
    </row>
    <row r="170" ht="15.75" customHeight="1">
      <c r="A170" s="29" t="s">
        <v>1141</v>
      </c>
      <c r="B170" s="29" t="s">
        <v>1220</v>
      </c>
      <c r="C170" s="29">
        <v>0.0</v>
      </c>
      <c r="D170" s="29" t="s">
        <v>60</v>
      </c>
      <c r="E170" s="29">
        <v>0.7119</v>
      </c>
      <c r="F170" s="29">
        <v>61.7053</v>
      </c>
      <c r="G170" s="29">
        <v>33.6805</v>
      </c>
      <c r="H170" s="29">
        <v>0.8089</v>
      </c>
      <c r="I170" s="29">
        <v>0.6836</v>
      </c>
      <c r="J170" s="29">
        <v>0.3833</v>
      </c>
      <c r="K170" s="29">
        <v>0.1239</v>
      </c>
      <c r="L170" s="29">
        <v>8.4215</v>
      </c>
      <c r="M170" s="29" t="s">
        <v>225</v>
      </c>
    </row>
    <row r="171" ht="15.75" customHeight="1">
      <c r="A171" s="29" t="s">
        <v>541</v>
      </c>
      <c r="B171" s="29" t="s">
        <v>1223</v>
      </c>
      <c r="C171" s="29">
        <v>0.0</v>
      </c>
      <c r="D171" s="29" t="s">
        <v>60</v>
      </c>
      <c r="E171" s="29">
        <v>0.6783</v>
      </c>
      <c r="F171" s="29">
        <v>61.7018</v>
      </c>
      <c r="G171" s="29">
        <v>35.4043</v>
      </c>
      <c r="H171" s="29">
        <v>0.6145</v>
      </c>
      <c r="I171" s="29">
        <v>0.6181</v>
      </c>
      <c r="J171" s="29">
        <v>0.46</v>
      </c>
      <c r="K171" s="29">
        <v>0.1814</v>
      </c>
      <c r="L171" s="29">
        <v>8.1228</v>
      </c>
      <c r="M171" s="29" t="s">
        <v>225</v>
      </c>
    </row>
    <row r="172" ht="15.75" customHeight="1">
      <c r="A172" s="29" t="s">
        <v>556</v>
      </c>
      <c r="B172" s="29" t="s">
        <v>1228</v>
      </c>
      <c r="C172" s="29">
        <v>0.0</v>
      </c>
      <c r="D172" s="29" t="s">
        <v>60</v>
      </c>
      <c r="E172" s="29">
        <v>0.5762</v>
      </c>
      <c r="F172" s="29">
        <v>61.636</v>
      </c>
      <c r="G172" s="29">
        <v>33.4138</v>
      </c>
      <c r="H172" s="29">
        <v>0.7384</v>
      </c>
      <c r="I172" s="29">
        <v>0.6937</v>
      </c>
      <c r="J172" s="29">
        <v>0.4956</v>
      </c>
      <c r="K172" s="29">
        <v>0.0746</v>
      </c>
      <c r="L172" s="29">
        <v>8.5098</v>
      </c>
      <c r="M172" s="29" t="s">
        <v>225</v>
      </c>
    </row>
    <row r="173" ht="15.75" customHeight="1">
      <c r="A173" s="29" t="s">
        <v>128</v>
      </c>
      <c r="B173" s="29" t="s">
        <v>1232</v>
      </c>
      <c r="C173" s="29">
        <v>0.0</v>
      </c>
      <c r="D173" s="29" t="s">
        <v>60</v>
      </c>
      <c r="E173" s="29">
        <v>0.7025</v>
      </c>
      <c r="F173" s="29">
        <v>61.5287</v>
      </c>
      <c r="G173" s="29">
        <v>34.9133</v>
      </c>
      <c r="H173" s="29">
        <v>0.6374</v>
      </c>
      <c r="I173" s="29">
        <v>0.6336</v>
      </c>
      <c r="J173" s="29">
        <v>0.4546</v>
      </c>
      <c r="K173" s="29">
        <v>0.1826</v>
      </c>
      <c r="L173" s="29">
        <v>8.3161</v>
      </c>
      <c r="M173" s="29" t="s">
        <v>225</v>
      </c>
    </row>
    <row r="174" ht="15.75" customHeight="1">
      <c r="A174" s="29" t="s">
        <v>822</v>
      </c>
      <c r="B174" s="29" t="s">
        <v>1237</v>
      </c>
      <c r="C174" s="29">
        <v>0.0</v>
      </c>
      <c r="D174" s="29" t="s">
        <v>60</v>
      </c>
      <c r="E174" s="29">
        <v>0.7106</v>
      </c>
      <c r="F174" s="29">
        <v>61.3243</v>
      </c>
      <c r="G174" s="29">
        <v>34.0834</v>
      </c>
      <c r="H174" s="29">
        <v>0.6434</v>
      </c>
      <c r="I174" s="29">
        <v>0.6625</v>
      </c>
      <c r="J174" s="29">
        <v>0.4586</v>
      </c>
      <c r="K174" s="29">
        <v>0.1931</v>
      </c>
      <c r="L174" s="29">
        <v>8.2685</v>
      </c>
      <c r="M174" s="29" t="s">
        <v>225</v>
      </c>
    </row>
    <row r="175" ht="15.75" customHeight="1">
      <c r="A175" s="29" t="s">
        <v>787</v>
      </c>
      <c r="B175" s="29" t="s">
        <v>1241</v>
      </c>
      <c r="C175" s="29">
        <v>0.0</v>
      </c>
      <c r="D175" s="29" t="s">
        <v>60</v>
      </c>
      <c r="E175" s="29">
        <v>0.6173</v>
      </c>
      <c r="F175" s="29">
        <v>61.2031</v>
      </c>
      <c r="G175" s="29">
        <v>37.7391</v>
      </c>
      <c r="H175" s="29">
        <v>0.6482</v>
      </c>
      <c r="I175" s="29">
        <v>0.5396</v>
      </c>
      <c r="J175" s="29">
        <v>0.3811</v>
      </c>
      <c r="K175" s="29">
        <v>0.0984</v>
      </c>
      <c r="L175" s="29">
        <v>9.0155</v>
      </c>
      <c r="M175" s="29" t="s">
        <v>225</v>
      </c>
    </row>
    <row r="176" ht="15.75" customHeight="1">
      <c r="A176" s="29" t="s">
        <v>767</v>
      </c>
      <c r="B176" s="29" t="s">
        <v>1246</v>
      </c>
      <c r="C176" s="29">
        <v>0.0</v>
      </c>
      <c r="D176" s="29" t="s">
        <v>60</v>
      </c>
      <c r="E176" s="29">
        <v>0.6102</v>
      </c>
      <c r="F176" s="29">
        <v>61.1962</v>
      </c>
      <c r="G176" s="29">
        <v>34.9084</v>
      </c>
      <c r="H176" s="29">
        <v>0.6665</v>
      </c>
      <c r="I176" s="29">
        <v>0.6289</v>
      </c>
      <c r="J176" s="29">
        <v>0.3882</v>
      </c>
      <c r="K176" s="29">
        <v>0.1093</v>
      </c>
      <c r="L176" s="29">
        <v>8.9295</v>
      </c>
      <c r="M176" s="29" t="s">
        <v>225</v>
      </c>
    </row>
    <row r="177" ht="15.75" customHeight="1">
      <c r="A177" s="29" t="s">
        <v>74</v>
      </c>
      <c r="B177" s="29" t="s">
        <v>1251</v>
      </c>
      <c r="C177" s="29">
        <v>0.0</v>
      </c>
      <c r="D177" s="29" t="s">
        <v>60</v>
      </c>
      <c r="E177" s="29">
        <v>0.6178</v>
      </c>
      <c r="F177" s="29">
        <v>61.1858</v>
      </c>
      <c r="G177" s="29">
        <v>32.3137</v>
      </c>
      <c r="H177" s="29">
        <v>0.5206</v>
      </c>
      <c r="I177" s="29">
        <v>0.7364</v>
      </c>
      <c r="J177" s="29">
        <v>0.4104</v>
      </c>
      <c r="K177" s="29">
        <v>0.0715</v>
      </c>
      <c r="L177" s="29">
        <v>8.8461</v>
      </c>
      <c r="M177" s="29" t="s">
        <v>225</v>
      </c>
    </row>
    <row r="178" ht="15.75" customHeight="1">
      <c r="A178" s="29" t="s">
        <v>536</v>
      </c>
      <c r="B178" s="29" t="s">
        <v>1258</v>
      </c>
      <c r="C178" s="29">
        <v>0.0</v>
      </c>
      <c r="D178" s="29" t="s">
        <v>60</v>
      </c>
      <c r="E178" s="29">
        <v>0.6567</v>
      </c>
      <c r="F178" s="29">
        <v>61.1581</v>
      </c>
      <c r="G178" s="29">
        <v>33.3734</v>
      </c>
      <c r="H178" s="29">
        <v>0.8408</v>
      </c>
      <c r="I178" s="29">
        <v>0.69</v>
      </c>
      <c r="J178" s="29">
        <v>0.3801</v>
      </c>
      <c r="K178" s="29">
        <v>0.0771</v>
      </c>
      <c r="L178" s="29">
        <v>8.936</v>
      </c>
      <c r="M178" s="29" t="s">
        <v>225</v>
      </c>
    </row>
    <row r="179" ht="15.75" customHeight="1">
      <c r="A179" s="29" t="s">
        <v>1263</v>
      </c>
      <c r="B179" s="29" t="s">
        <v>1264</v>
      </c>
      <c r="C179" s="29">
        <v>0.0</v>
      </c>
      <c r="D179" s="29" t="s">
        <v>60</v>
      </c>
      <c r="E179" s="29">
        <v>0.3474</v>
      </c>
      <c r="F179" s="29">
        <v>61.1338</v>
      </c>
      <c r="G179" s="29">
        <v>32.9332</v>
      </c>
      <c r="H179" s="29">
        <v>0.2847</v>
      </c>
      <c r="I179" s="29">
        <v>0.7065</v>
      </c>
      <c r="J179" s="29">
        <v>0.5826</v>
      </c>
      <c r="K179" s="29">
        <v>0.0845</v>
      </c>
      <c r="L179" s="29">
        <v>7.8599</v>
      </c>
      <c r="M179" s="29" t="s">
        <v>225</v>
      </c>
    </row>
    <row r="180" ht="15.75" customHeight="1">
      <c r="A180" s="29" t="s">
        <v>668</v>
      </c>
      <c r="B180" s="29" t="s">
        <v>1267</v>
      </c>
      <c r="C180" s="29">
        <v>0.0</v>
      </c>
      <c r="D180" s="29" t="s">
        <v>60</v>
      </c>
      <c r="E180" s="29">
        <v>0.587</v>
      </c>
      <c r="F180" s="29">
        <v>61.12</v>
      </c>
      <c r="G180" s="29">
        <v>40.6331</v>
      </c>
      <c r="H180" s="29">
        <v>0.7933</v>
      </c>
      <c r="I180" s="29">
        <v>0.4652</v>
      </c>
      <c r="J180" s="29">
        <v>0.4396</v>
      </c>
      <c r="K180" s="29">
        <v>0.0916</v>
      </c>
      <c r="L180" s="29">
        <v>8.8412</v>
      </c>
      <c r="M180" s="29" t="s">
        <v>225</v>
      </c>
    </row>
    <row r="181" ht="15.75" customHeight="1">
      <c r="A181" s="29" t="s">
        <v>1272</v>
      </c>
      <c r="B181" s="29" t="s">
        <v>1273</v>
      </c>
      <c r="C181" s="29">
        <v>0.0</v>
      </c>
      <c r="D181" s="29" t="s">
        <v>60</v>
      </c>
      <c r="E181" s="29">
        <v>0.505</v>
      </c>
      <c r="F181" s="29">
        <v>61.0473</v>
      </c>
      <c r="G181" s="29">
        <v>35.5668</v>
      </c>
      <c r="H181" s="29">
        <v>0.6966</v>
      </c>
      <c r="I181" s="29">
        <v>0.6051</v>
      </c>
      <c r="J181" s="29">
        <v>0.5451</v>
      </c>
      <c r="K181" s="29">
        <v>0.0765</v>
      </c>
      <c r="L181" s="29">
        <v>8.1512</v>
      </c>
      <c r="M181" s="29" t="s">
        <v>225</v>
      </c>
    </row>
    <row r="182" ht="15.75" customHeight="1">
      <c r="A182" s="29" t="s">
        <v>692</v>
      </c>
      <c r="B182" s="29" t="s">
        <v>1277</v>
      </c>
      <c r="C182" s="29">
        <v>0.0</v>
      </c>
      <c r="D182" s="29" t="s">
        <v>60</v>
      </c>
      <c r="E182" s="29">
        <v>0.6786</v>
      </c>
      <c r="F182" s="29">
        <v>60.9364</v>
      </c>
      <c r="G182" s="29">
        <v>34.4132</v>
      </c>
      <c r="H182" s="29">
        <v>0.58</v>
      </c>
      <c r="I182" s="29">
        <v>0.6461</v>
      </c>
      <c r="J182" s="29">
        <v>0.5118</v>
      </c>
      <c r="K182" s="29">
        <v>0.1468</v>
      </c>
      <c r="L182" s="29">
        <v>7.8846</v>
      </c>
      <c r="M182" s="29" t="s">
        <v>225</v>
      </c>
    </row>
    <row r="183" ht="15.75" customHeight="1">
      <c r="A183" s="29" t="s">
        <v>660</v>
      </c>
      <c r="B183" s="29" t="s">
        <v>1282</v>
      </c>
      <c r="C183" s="29">
        <v>0.0</v>
      </c>
      <c r="D183" s="29" t="s">
        <v>60</v>
      </c>
      <c r="E183" s="29">
        <v>0.6064</v>
      </c>
      <c r="F183" s="29">
        <v>60.8602</v>
      </c>
      <c r="G183" s="29">
        <v>34.441</v>
      </c>
      <c r="H183" s="29">
        <v>0.6466</v>
      </c>
      <c r="I183" s="29">
        <v>0.6447</v>
      </c>
      <c r="J183" s="29">
        <v>0.3808</v>
      </c>
      <c r="K183" s="29">
        <v>0.0954</v>
      </c>
      <c r="L183" s="29">
        <v>9.0325</v>
      </c>
      <c r="M183" s="29" t="s">
        <v>225</v>
      </c>
    </row>
    <row r="184" ht="15.75" customHeight="1">
      <c r="A184" s="29" t="s">
        <v>1285</v>
      </c>
      <c r="B184" s="29" t="s">
        <v>1286</v>
      </c>
      <c r="C184" s="29">
        <v>0.0</v>
      </c>
      <c r="D184" s="29" t="s">
        <v>60</v>
      </c>
      <c r="E184" s="29">
        <v>0.3524</v>
      </c>
      <c r="F184" s="29">
        <v>60.7771</v>
      </c>
      <c r="G184" s="29">
        <v>37.9337</v>
      </c>
      <c r="H184" s="29">
        <v>0.7102</v>
      </c>
      <c r="I184" s="29">
        <v>0.5303</v>
      </c>
      <c r="J184" s="29">
        <v>0.5419</v>
      </c>
      <c r="K184" s="29">
        <v>0.1142</v>
      </c>
      <c r="L184" s="29">
        <v>7.3699</v>
      </c>
      <c r="M184" s="29" t="s">
        <v>225</v>
      </c>
    </row>
    <row r="185" ht="15.75" customHeight="1">
      <c r="A185" s="29" t="s">
        <v>454</v>
      </c>
      <c r="B185" s="29" t="s">
        <v>1290</v>
      </c>
      <c r="C185" s="29">
        <v>0.0</v>
      </c>
      <c r="D185" s="29" t="s">
        <v>60</v>
      </c>
      <c r="E185" s="29">
        <v>0.5875</v>
      </c>
      <c r="F185" s="29">
        <v>60.7529</v>
      </c>
      <c r="G185" s="29">
        <v>38.6479</v>
      </c>
      <c r="H185" s="29">
        <v>0.7944</v>
      </c>
      <c r="I185" s="29">
        <v>0.5101</v>
      </c>
      <c r="J185" s="29">
        <v>0.4556</v>
      </c>
      <c r="K185" s="29">
        <v>0.1058</v>
      </c>
      <c r="L185" s="29">
        <v>8.7184</v>
      </c>
      <c r="M185" s="29" t="s">
        <v>225</v>
      </c>
    </row>
    <row r="186" ht="15.75" customHeight="1">
      <c r="A186" s="29" t="s">
        <v>1295</v>
      </c>
      <c r="B186" s="29" t="s">
        <v>1296</v>
      </c>
      <c r="C186" s="29">
        <v>0.0</v>
      </c>
      <c r="D186" s="29" t="s">
        <v>60</v>
      </c>
      <c r="E186" s="29">
        <v>0.6145</v>
      </c>
      <c r="F186" s="29">
        <v>60.6767</v>
      </c>
      <c r="G186" s="29">
        <v>34.6002</v>
      </c>
      <c r="H186" s="29">
        <v>0.5569</v>
      </c>
      <c r="I186" s="29">
        <v>0.6369</v>
      </c>
      <c r="J186" s="29">
        <v>0.5852</v>
      </c>
      <c r="K186" s="29">
        <v>0.1057</v>
      </c>
      <c r="L186" s="29">
        <v>7.8873</v>
      </c>
      <c r="M186" s="29" t="s">
        <v>225</v>
      </c>
    </row>
    <row r="187" ht="15.75" customHeight="1">
      <c r="A187" s="29" t="s">
        <v>1300</v>
      </c>
      <c r="B187" s="29" t="s">
        <v>1301</v>
      </c>
      <c r="C187" s="29">
        <v>0.0</v>
      </c>
      <c r="D187" s="29" t="s">
        <v>60</v>
      </c>
      <c r="E187" s="29">
        <v>0.6678</v>
      </c>
      <c r="F187" s="29">
        <v>60.604</v>
      </c>
      <c r="G187" s="29">
        <v>38.5466</v>
      </c>
      <c r="H187" s="29">
        <v>0.7117</v>
      </c>
      <c r="I187" s="29">
        <v>0.5126</v>
      </c>
      <c r="J187" s="29">
        <v>0.356</v>
      </c>
      <c r="K187" s="29">
        <v>0.0756</v>
      </c>
      <c r="L187" s="29">
        <v>9.2743</v>
      </c>
      <c r="M187" s="29" t="s">
        <v>225</v>
      </c>
    </row>
    <row r="188" ht="15.75" customHeight="1">
      <c r="A188" s="29" t="s">
        <v>1304</v>
      </c>
      <c r="B188" s="29" t="s">
        <v>1305</v>
      </c>
      <c r="C188" s="29">
        <v>0.0</v>
      </c>
      <c r="D188" s="29" t="s">
        <v>60</v>
      </c>
      <c r="E188" s="29">
        <v>0.6049</v>
      </c>
      <c r="F188" s="29">
        <v>60.5728</v>
      </c>
      <c r="G188" s="29">
        <v>41.573</v>
      </c>
      <c r="H188" s="29">
        <v>0.7084</v>
      </c>
      <c r="I188" s="29">
        <v>0.4398</v>
      </c>
      <c r="J188" s="29">
        <v>0.4054</v>
      </c>
      <c r="K188" s="29">
        <v>0.1169</v>
      </c>
      <c r="L188" s="29">
        <v>8.8386</v>
      </c>
      <c r="M188" s="29" t="s">
        <v>225</v>
      </c>
    </row>
    <row r="189" ht="15.75" customHeight="1">
      <c r="A189" s="29" t="s">
        <v>570</v>
      </c>
      <c r="B189" s="29" t="s">
        <v>1310</v>
      </c>
      <c r="C189" s="29">
        <v>0.0</v>
      </c>
      <c r="D189" s="29" t="s">
        <v>60</v>
      </c>
      <c r="E189" s="29">
        <v>0.6951</v>
      </c>
      <c r="F189" s="29">
        <v>60.5624</v>
      </c>
      <c r="G189" s="29">
        <v>34.7872</v>
      </c>
      <c r="H189" s="29">
        <v>0.6158</v>
      </c>
      <c r="I189" s="29">
        <v>0.6282</v>
      </c>
      <c r="J189" s="29">
        <v>0.4586</v>
      </c>
      <c r="K189" s="29">
        <v>0.1757</v>
      </c>
      <c r="L189" s="29">
        <v>8.1584</v>
      </c>
      <c r="M189" s="29" t="s">
        <v>225</v>
      </c>
    </row>
    <row r="190" ht="15.75" customHeight="1">
      <c r="A190" s="29" t="s">
        <v>817</v>
      </c>
      <c r="B190" s="29" t="s">
        <v>1314</v>
      </c>
      <c r="C190" s="29">
        <v>0.0</v>
      </c>
      <c r="D190" s="29" t="s">
        <v>60</v>
      </c>
      <c r="E190" s="29">
        <v>0.6278</v>
      </c>
      <c r="F190" s="29">
        <v>60.5555</v>
      </c>
      <c r="G190" s="29">
        <v>35.4359</v>
      </c>
      <c r="H190" s="29">
        <v>0.651</v>
      </c>
      <c r="I190" s="29">
        <v>0.606</v>
      </c>
      <c r="J190" s="29">
        <v>0.3843</v>
      </c>
      <c r="K190" s="29">
        <v>0.0973</v>
      </c>
      <c r="L190" s="29">
        <v>9.0229</v>
      </c>
      <c r="M190" s="29" t="s">
        <v>225</v>
      </c>
    </row>
    <row r="191" ht="15.75" customHeight="1">
      <c r="A191" s="29" t="s">
        <v>794</v>
      </c>
      <c r="B191" s="29" t="s">
        <v>1318</v>
      </c>
      <c r="C191" s="29">
        <v>0.0</v>
      </c>
      <c r="D191" s="29" t="s">
        <v>60</v>
      </c>
      <c r="E191" s="29">
        <v>0.3175</v>
      </c>
      <c r="F191" s="29">
        <v>60.4758</v>
      </c>
      <c r="G191" s="29">
        <v>32.1915</v>
      </c>
      <c r="H191" s="29">
        <v>0.6327</v>
      </c>
      <c r="I191" s="29">
        <v>0.7333</v>
      </c>
      <c r="J191" s="29">
        <v>0.4042</v>
      </c>
      <c r="K191" s="29">
        <v>0.0563</v>
      </c>
      <c r="L191" s="29">
        <v>8.7877</v>
      </c>
      <c r="M191" s="29" t="s">
        <v>225</v>
      </c>
    </row>
    <row r="192" ht="15.75" customHeight="1">
      <c r="A192" s="29" t="s">
        <v>521</v>
      </c>
      <c r="B192" s="29" t="s">
        <v>1321</v>
      </c>
      <c r="C192" s="29">
        <v>0.0</v>
      </c>
      <c r="D192" s="29" t="s">
        <v>60</v>
      </c>
      <c r="E192" s="29">
        <v>0.6881</v>
      </c>
      <c r="F192" s="29">
        <v>60.4308</v>
      </c>
      <c r="G192" s="29">
        <v>33.3971</v>
      </c>
      <c r="H192" s="29">
        <v>0.6414</v>
      </c>
      <c r="I192" s="29">
        <v>0.6807</v>
      </c>
      <c r="J192" s="29">
        <v>0.4527</v>
      </c>
      <c r="K192" s="29">
        <v>0.179</v>
      </c>
      <c r="L192" s="29">
        <v>8.3506</v>
      </c>
      <c r="M192" s="29" t="s">
        <v>225</v>
      </c>
    </row>
    <row r="193" ht="15.75" customHeight="1">
      <c r="A193" s="29" t="s">
        <v>1324</v>
      </c>
      <c r="B193" s="29" t="s">
        <v>1325</v>
      </c>
      <c r="C193" s="29">
        <v>0.0</v>
      </c>
      <c r="D193" s="29" t="s">
        <v>60</v>
      </c>
      <c r="E193" s="29">
        <v>0.7007</v>
      </c>
      <c r="F193" s="29">
        <v>60.4308</v>
      </c>
      <c r="G193" s="29">
        <v>36.5635</v>
      </c>
      <c r="H193" s="29">
        <v>0.5818</v>
      </c>
      <c r="I193" s="29">
        <v>0.5662</v>
      </c>
      <c r="J193" s="29">
        <v>0.4519</v>
      </c>
      <c r="K193" s="29">
        <v>0.1735</v>
      </c>
      <c r="L193" s="29">
        <v>8.2113</v>
      </c>
      <c r="M193" s="29" t="s">
        <v>225</v>
      </c>
    </row>
    <row r="194" ht="15.75" customHeight="1">
      <c r="A194" s="29" t="s">
        <v>645</v>
      </c>
      <c r="B194" s="29" t="s">
        <v>1330</v>
      </c>
      <c r="C194" s="29">
        <v>0.0</v>
      </c>
      <c r="D194" s="29" t="s">
        <v>60</v>
      </c>
      <c r="E194" s="29">
        <v>0.7012</v>
      </c>
      <c r="F194" s="29">
        <v>60.3338</v>
      </c>
      <c r="G194" s="29">
        <v>37.3042</v>
      </c>
      <c r="H194" s="29">
        <v>0.585</v>
      </c>
      <c r="I194" s="29">
        <v>0.5442</v>
      </c>
      <c r="J194" s="29">
        <v>0.46</v>
      </c>
      <c r="K194" s="29">
        <v>0.1861</v>
      </c>
      <c r="L194" s="29">
        <v>8.1223</v>
      </c>
      <c r="M194" s="29" t="s">
        <v>225</v>
      </c>
    </row>
    <row r="195" ht="15.75" customHeight="1">
      <c r="A195" s="29" t="s">
        <v>381</v>
      </c>
      <c r="B195" s="29" t="s">
        <v>1334</v>
      </c>
      <c r="C195" s="29">
        <v>0.0</v>
      </c>
      <c r="D195" s="29" t="s">
        <v>60</v>
      </c>
      <c r="E195" s="29">
        <v>0.6412</v>
      </c>
      <c r="F195" s="29">
        <v>60.2888</v>
      </c>
      <c r="G195" s="29">
        <v>40.6168</v>
      </c>
      <c r="H195" s="29">
        <v>0.822</v>
      </c>
      <c r="I195" s="29">
        <v>0.4558</v>
      </c>
      <c r="J195" s="29">
        <v>0.4488</v>
      </c>
      <c r="K195" s="29">
        <v>0.0902</v>
      </c>
      <c r="L195" s="29">
        <v>8.617</v>
      </c>
      <c r="M195" s="29" t="s">
        <v>225</v>
      </c>
    </row>
    <row r="196" ht="15.75" customHeight="1">
      <c r="A196" s="29" t="s">
        <v>498</v>
      </c>
      <c r="B196" s="29" t="s">
        <v>1338</v>
      </c>
      <c r="C196" s="29">
        <v>0.0</v>
      </c>
      <c r="D196" s="29" t="s">
        <v>60</v>
      </c>
      <c r="E196" s="29">
        <v>0.6565</v>
      </c>
      <c r="F196" s="29">
        <v>60.2784</v>
      </c>
      <c r="G196" s="29">
        <v>35.0362</v>
      </c>
      <c r="H196" s="29">
        <v>0.835</v>
      </c>
      <c r="I196" s="29">
        <v>0.6171</v>
      </c>
      <c r="J196" s="29">
        <v>0.398</v>
      </c>
      <c r="K196" s="29">
        <v>0.1037</v>
      </c>
      <c r="L196" s="29">
        <v>8.7907</v>
      </c>
      <c r="M196" s="29" t="s">
        <v>225</v>
      </c>
    </row>
    <row r="197" ht="15.75" customHeight="1">
      <c r="A197" s="29" t="s">
        <v>492</v>
      </c>
      <c r="B197" s="29" t="s">
        <v>1344</v>
      </c>
      <c r="C197" s="29">
        <v>0.0</v>
      </c>
      <c r="D197" s="29" t="s">
        <v>60</v>
      </c>
      <c r="E197" s="29">
        <v>0.6964</v>
      </c>
      <c r="F197" s="29">
        <v>60.2611</v>
      </c>
      <c r="G197" s="29">
        <v>34.4115</v>
      </c>
      <c r="H197" s="29">
        <v>0.5841</v>
      </c>
      <c r="I197" s="29">
        <v>0.6391</v>
      </c>
      <c r="J197" s="29">
        <v>0.4694</v>
      </c>
      <c r="K197" s="29">
        <v>0.1408</v>
      </c>
      <c r="L197" s="29">
        <v>8.1231</v>
      </c>
      <c r="M197" s="29" t="s">
        <v>225</v>
      </c>
    </row>
    <row r="198" ht="15.75" customHeight="1">
      <c r="A198" s="29" t="s">
        <v>550</v>
      </c>
      <c r="B198" s="29" t="s">
        <v>1348</v>
      </c>
      <c r="C198" s="29">
        <v>0.0</v>
      </c>
      <c r="D198" s="29" t="s">
        <v>60</v>
      </c>
      <c r="E198" s="29">
        <v>0.6625</v>
      </c>
      <c r="F198" s="29">
        <v>60.1884</v>
      </c>
      <c r="G198" s="29">
        <v>33.0464</v>
      </c>
      <c r="H198" s="29">
        <v>0.8403</v>
      </c>
      <c r="I198" s="29">
        <v>0.6926</v>
      </c>
      <c r="J198" s="29">
        <v>0.3776</v>
      </c>
      <c r="K198" s="29">
        <v>0.0698</v>
      </c>
      <c r="L198" s="29">
        <v>8.9326</v>
      </c>
      <c r="M198" s="29" t="s">
        <v>225</v>
      </c>
    </row>
    <row r="199" ht="15.75" customHeight="1">
      <c r="A199" s="29" t="s">
        <v>887</v>
      </c>
      <c r="B199" s="29" t="s">
        <v>1351</v>
      </c>
      <c r="C199" s="29">
        <v>0.0</v>
      </c>
      <c r="D199" s="29" t="s">
        <v>60</v>
      </c>
      <c r="E199" s="29">
        <v>0.284</v>
      </c>
      <c r="F199" s="29">
        <v>60.1537</v>
      </c>
      <c r="G199" s="29">
        <v>32.0097</v>
      </c>
      <c r="H199" s="29">
        <v>0.6609</v>
      </c>
      <c r="I199" s="29">
        <v>0.7377</v>
      </c>
      <c r="J199" s="29">
        <v>0.359</v>
      </c>
      <c r="K199" s="29">
        <v>0.0899</v>
      </c>
      <c r="L199" s="29">
        <v>9.2386</v>
      </c>
      <c r="M199" s="29" t="s">
        <v>225</v>
      </c>
    </row>
    <row r="200" ht="15.75" customHeight="1">
      <c r="A200" s="29" t="s">
        <v>597</v>
      </c>
      <c r="B200" s="29" t="s">
        <v>1355</v>
      </c>
      <c r="C200" s="29">
        <v>0.0</v>
      </c>
      <c r="D200" s="29" t="s">
        <v>60</v>
      </c>
      <c r="E200" s="29">
        <v>0.7068</v>
      </c>
      <c r="F200" s="29">
        <v>60.1295</v>
      </c>
      <c r="G200" s="29">
        <v>35.843</v>
      </c>
      <c r="H200" s="29">
        <v>0.598</v>
      </c>
      <c r="I200" s="29">
        <v>0.5876</v>
      </c>
      <c r="J200" s="29">
        <v>0.4663</v>
      </c>
      <c r="K200" s="29">
        <v>0.1903</v>
      </c>
      <c r="L200" s="29">
        <v>8.0685</v>
      </c>
      <c r="M200" s="29" t="s">
        <v>225</v>
      </c>
    </row>
    <row r="201" ht="15.75" customHeight="1">
      <c r="A201" s="29" t="s">
        <v>1157</v>
      </c>
      <c r="B201" s="29" t="s">
        <v>1357</v>
      </c>
      <c r="C201" s="29">
        <v>0.0</v>
      </c>
      <c r="D201" s="29" t="s">
        <v>60</v>
      </c>
      <c r="E201" s="29">
        <v>0.7425</v>
      </c>
      <c r="F201" s="29">
        <v>60.1191</v>
      </c>
      <c r="G201" s="29">
        <v>33.068</v>
      </c>
      <c r="H201" s="29">
        <v>0.7868</v>
      </c>
      <c r="I201" s="29">
        <v>0.6909</v>
      </c>
      <c r="J201" s="29">
        <v>0.3872</v>
      </c>
      <c r="K201" s="29">
        <v>0.1313</v>
      </c>
      <c r="L201" s="29">
        <v>8.3968</v>
      </c>
      <c r="M201" s="29" t="s">
        <v>225</v>
      </c>
    </row>
    <row r="202" ht="15.75" customHeight="1">
      <c r="A202" s="29" t="s">
        <v>79</v>
      </c>
      <c r="B202" s="29" t="s">
        <v>1362</v>
      </c>
      <c r="C202" s="29">
        <v>0.0</v>
      </c>
      <c r="D202" s="29" t="s">
        <v>60</v>
      </c>
      <c r="E202" s="29">
        <v>0.6988</v>
      </c>
      <c r="F202" s="29">
        <v>60.1122</v>
      </c>
      <c r="G202" s="29">
        <v>32.3131</v>
      </c>
      <c r="H202" s="29">
        <v>0.7426</v>
      </c>
      <c r="I202" s="29">
        <v>0.7235</v>
      </c>
      <c r="J202" s="29">
        <v>0.4355</v>
      </c>
      <c r="K202" s="29">
        <v>0.1432</v>
      </c>
      <c r="L202" s="29">
        <v>8.1988</v>
      </c>
      <c r="M202" s="29" t="s">
        <v>225</v>
      </c>
    </row>
    <row r="203" ht="15.75" customHeight="1">
      <c r="A203" s="29" t="s">
        <v>346</v>
      </c>
      <c r="B203" s="29" t="s">
        <v>1365</v>
      </c>
      <c r="C203" s="29">
        <v>0.0</v>
      </c>
      <c r="D203" s="29" t="s">
        <v>60</v>
      </c>
      <c r="E203" s="29">
        <v>0.3647</v>
      </c>
      <c r="F203" s="29">
        <v>60.1018</v>
      </c>
      <c r="G203" s="29">
        <v>36.272</v>
      </c>
      <c r="H203" s="29">
        <v>0.7592</v>
      </c>
      <c r="I203" s="29">
        <v>0.5725</v>
      </c>
      <c r="J203" s="29">
        <v>0.4919</v>
      </c>
      <c r="K203" s="29">
        <v>0.161</v>
      </c>
      <c r="L203" s="29">
        <v>8.4754</v>
      </c>
      <c r="M203" s="29" t="s">
        <v>225</v>
      </c>
    </row>
    <row r="204" ht="15.75" customHeight="1">
      <c r="A204" s="29" t="s">
        <v>93</v>
      </c>
      <c r="B204" s="29" t="s">
        <v>1369</v>
      </c>
      <c r="C204" s="29">
        <v>0.0</v>
      </c>
      <c r="D204" s="29" t="s">
        <v>60</v>
      </c>
      <c r="E204" s="29">
        <v>0.3089</v>
      </c>
      <c r="F204" s="29">
        <v>60.0914</v>
      </c>
      <c r="G204" s="29">
        <v>31.5104</v>
      </c>
      <c r="H204" s="29">
        <v>0.426</v>
      </c>
      <c r="I204" s="29">
        <v>0.7592</v>
      </c>
      <c r="J204" s="29">
        <v>0.5103</v>
      </c>
      <c r="K204" s="29">
        <v>0.1067</v>
      </c>
      <c r="L204" s="29">
        <v>8.0695</v>
      </c>
      <c r="M204" s="29" t="s">
        <v>225</v>
      </c>
    </row>
    <row r="205" ht="15.75" customHeight="1">
      <c r="A205" s="29" t="s">
        <v>759</v>
      </c>
      <c r="B205" s="29" t="s">
        <v>1373</v>
      </c>
      <c r="C205" s="29">
        <v>0.0</v>
      </c>
      <c r="D205" s="29" t="s">
        <v>60</v>
      </c>
      <c r="E205" s="29">
        <v>0.6994</v>
      </c>
      <c r="F205" s="29">
        <v>60.0464</v>
      </c>
      <c r="G205" s="29">
        <v>36.2449</v>
      </c>
      <c r="H205" s="29">
        <v>0.6173</v>
      </c>
      <c r="I205" s="29">
        <v>0.5739</v>
      </c>
      <c r="J205" s="29">
        <v>0.4666</v>
      </c>
      <c r="K205" s="29">
        <v>0.1973</v>
      </c>
      <c r="L205" s="29">
        <v>8.0198</v>
      </c>
      <c r="M205" s="29" t="s">
        <v>225</v>
      </c>
    </row>
    <row r="206" ht="15.75" customHeight="1">
      <c r="A206" s="29" t="s">
        <v>405</v>
      </c>
      <c r="B206" s="29" t="s">
        <v>1376</v>
      </c>
      <c r="C206" s="29">
        <v>0.0</v>
      </c>
      <c r="D206" s="29" t="s">
        <v>60</v>
      </c>
      <c r="E206" s="29">
        <v>0.7019</v>
      </c>
      <c r="F206" s="29">
        <v>60.036</v>
      </c>
      <c r="G206" s="29">
        <v>36.3218</v>
      </c>
      <c r="H206" s="29">
        <v>0.5674</v>
      </c>
      <c r="I206" s="29">
        <v>0.5713</v>
      </c>
      <c r="J206" s="29">
        <v>0.4556</v>
      </c>
      <c r="K206" s="29">
        <v>0.1717</v>
      </c>
      <c r="L206" s="29">
        <v>8.1893</v>
      </c>
      <c r="M206" s="29" t="s">
        <v>225</v>
      </c>
    </row>
    <row r="207" ht="15.75" customHeight="1">
      <c r="A207" s="29" t="s">
        <v>866</v>
      </c>
      <c r="B207" s="29" t="s">
        <v>1380</v>
      </c>
      <c r="C207" s="29">
        <v>0.0</v>
      </c>
      <c r="D207" s="29" t="s">
        <v>60</v>
      </c>
      <c r="E207" s="29">
        <v>0.5786</v>
      </c>
      <c r="F207" s="29">
        <v>60.0152</v>
      </c>
      <c r="G207" s="29">
        <v>32.1452</v>
      </c>
      <c r="H207" s="29">
        <v>0.7807</v>
      </c>
      <c r="I207" s="29">
        <v>0.7294</v>
      </c>
      <c r="J207" s="29">
        <v>0.4351</v>
      </c>
      <c r="K207" s="29">
        <v>0.0876</v>
      </c>
      <c r="L207" s="29">
        <v>8.7806</v>
      </c>
      <c r="M207" s="29" t="s">
        <v>225</v>
      </c>
    </row>
    <row r="208" ht="15.75" customHeight="1">
      <c r="A208" s="29" t="s">
        <v>368</v>
      </c>
      <c r="B208" s="29" t="s">
        <v>1382</v>
      </c>
      <c r="C208" s="29">
        <v>0.0</v>
      </c>
      <c r="D208" s="29" t="s">
        <v>60</v>
      </c>
      <c r="E208" s="29">
        <v>0.6662</v>
      </c>
      <c r="F208" s="29">
        <v>60.0048</v>
      </c>
      <c r="G208" s="29">
        <v>32.9026</v>
      </c>
      <c r="H208" s="29">
        <v>0.8266</v>
      </c>
      <c r="I208" s="29">
        <v>0.6965</v>
      </c>
      <c r="J208" s="29">
        <v>0.3747</v>
      </c>
      <c r="K208" s="29">
        <v>0.0683</v>
      </c>
      <c r="L208" s="29">
        <v>8.974</v>
      </c>
      <c r="M208" s="29" t="s">
        <v>225</v>
      </c>
    </row>
    <row r="209" ht="15.75" customHeight="1">
      <c r="A209" s="29" t="s">
        <v>1106</v>
      </c>
      <c r="B209" s="29" t="s">
        <v>1386</v>
      </c>
      <c r="C209" s="29">
        <v>0.0</v>
      </c>
      <c r="D209" s="29" t="s">
        <v>60</v>
      </c>
      <c r="E209" s="29">
        <v>0.6928</v>
      </c>
      <c r="F209" s="29">
        <v>59.9944</v>
      </c>
      <c r="G209" s="29">
        <v>32.5457</v>
      </c>
      <c r="H209" s="29">
        <v>0.7838</v>
      </c>
      <c r="I209" s="29">
        <v>0.7118</v>
      </c>
      <c r="J209" s="29">
        <v>0.3622</v>
      </c>
      <c r="K209" s="29">
        <v>0.0942</v>
      </c>
      <c r="L209" s="29">
        <v>8.5414</v>
      </c>
      <c r="M209" s="29" t="s">
        <v>225</v>
      </c>
    </row>
    <row r="210" ht="15.75" customHeight="1">
      <c r="A210" s="29" t="s">
        <v>1123</v>
      </c>
      <c r="B210" s="29" t="s">
        <v>1390</v>
      </c>
      <c r="C210" s="29">
        <v>0.0</v>
      </c>
      <c r="D210" s="29" t="s">
        <v>60</v>
      </c>
      <c r="E210" s="29">
        <v>0.677</v>
      </c>
      <c r="F210" s="29">
        <v>59.9529</v>
      </c>
      <c r="G210" s="29">
        <v>33.0513</v>
      </c>
      <c r="H210" s="29">
        <v>0.7759</v>
      </c>
      <c r="I210" s="29">
        <v>0.6897</v>
      </c>
      <c r="J210" s="29">
        <v>0.3699</v>
      </c>
      <c r="K210" s="29">
        <v>0.1071</v>
      </c>
      <c r="L210" s="29">
        <v>8.46</v>
      </c>
      <c r="M210" s="29" t="s">
        <v>225</v>
      </c>
    </row>
    <row r="211" ht="15.75" customHeight="1">
      <c r="A211" s="29" t="s">
        <v>35</v>
      </c>
      <c r="B211" s="29" t="s">
        <v>1396</v>
      </c>
      <c r="C211" s="29">
        <v>0.0</v>
      </c>
      <c r="D211" s="29" t="s">
        <v>60</v>
      </c>
      <c r="E211" s="29">
        <v>0.7652</v>
      </c>
      <c r="F211" s="29">
        <v>59.9494</v>
      </c>
      <c r="G211" s="29">
        <v>32.8187</v>
      </c>
      <c r="H211" s="29">
        <v>0.7703</v>
      </c>
      <c r="I211" s="29">
        <v>0.6994</v>
      </c>
      <c r="J211" s="29">
        <v>0.4232</v>
      </c>
      <c r="K211" s="29">
        <v>0.1517</v>
      </c>
      <c r="L211" s="29">
        <v>8.2817</v>
      </c>
      <c r="M211" s="29" t="s">
        <v>225</v>
      </c>
    </row>
    <row r="212" ht="15.75" customHeight="1">
      <c r="A212" s="29" t="s">
        <v>93</v>
      </c>
      <c r="B212" s="29" t="s">
        <v>1399</v>
      </c>
      <c r="C212" s="29">
        <v>0.0</v>
      </c>
      <c r="D212" s="29" t="s">
        <v>60</v>
      </c>
      <c r="E212" s="29">
        <v>0.6375</v>
      </c>
      <c r="F212" s="29">
        <v>59.9252</v>
      </c>
      <c r="G212" s="29">
        <v>34.3519</v>
      </c>
      <c r="H212" s="29">
        <v>0.6253</v>
      </c>
      <c r="I212" s="29">
        <v>0.6381</v>
      </c>
      <c r="J212" s="29">
        <v>0.4671</v>
      </c>
      <c r="K212" s="29">
        <v>0.0987</v>
      </c>
      <c r="L212" s="29">
        <v>7.9373</v>
      </c>
      <c r="M212" s="29" t="s">
        <v>225</v>
      </c>
    </row>
    <row r="213" ht="15.75" customHeight="1">
      <c r="A213" s="29" t="s">
        <v>649</v>
      </c>
      <c r="B213" s="29" t="s">
        <v>1401</v>
      </c>
      <c r="C213" s="29">
        <v>0.0</v>
      </c>
      <c r="D213" s="29" t="s">
        <v>60</v>
      </c>
      <c r="E213" s="29">
        <v>0.6681</v>
      </c>
      <c r="F213" s="29">
        <v>59.9113</v>
      </c>
      <c r="G213" s="29">
        <v>33.2901</v>
      </c>
      <c r="H213" s="29">
        <v>0.8269</v>
      </c>
      <c r="I213" s="29">
        <v>0.6792</v>
      </c>
      <c r="J213" s="29">
        <v>0.3785</v>
      </c>
      <c r="K213" s="29">
        <v>0.0747</v>
      </c>
      <c r="L213" s="29">
        <v>8.9579</v>
      </c>
      <c r="M213" s="29" t="s">
        <v>225</v>
      </c>
    </row>
    <row r="214" ht="15.75" customHeight="1">
      <c r="A214" s="29" t="s">
        <v>242</v>
      </c>
      <c r="B214" s="29" t="s">
        <v>1404</v>
      </c>
      <c r="C214" s="29">
        <v>0.0</v>
      </c>
      <c r="D214" s="29" t="s">
        <v>60</v>
      </c>
      <c r="E214" s="29">
        <v>0.6565</v>
      </c>
      <c r="F214" s="29">
        <v>59.8455</v>
      </c>
      <c r="G214" s="29">
        <v>35.0497</v>
      </c>
      <c r="H214" s="29">
        <v>0.8151</v>
      </c>
      <c r="I214" s="29">
        <v>0.6122</v>
      </c>
      <c r="J214" s="29">
        <v>0.4264</v>
      </c>
      <c r="K214" s="29">
        <v>0.0776</v>
      </c>
      <c r="L214" s="29">
        <v>8.6818</v>
      </c>
      <c r="M214" s="29" t="s">
        <v>225</v>
      </c>
    </row>
    <row r="215" ht="15.75" customHeight="1">
      <c r="A215" s="29" t="s">
        <v>1050</v>
      </c>
      <c r="B215" s="29" t="s">
        <v>1407</v>
      </c>
      <c r="C215" s="29">
        <v>0.0</v>
      </c>
      <c r="D215" s="29" t="s">
        <v>60</v>
      </c>
      <c r="E215" s="29">
        <v>0.7047</v>
      </c>
      <c r="F215" s="29">
        <v>59.8143</v>
      </c>
      <c r="G215" s="29">
        <v>32.2173</v>
      </c>
      <c r="H215" s="29">
        <v>0.7762</v>
      </c>
      <c r="I215" s="29">
        <v>0.7241</v>
      </c>
      <c r="J215" s="29">
        <v>0.3677</v>
      </c>
      <c r="K215" s="29">
        <v>0.1079</v>
      </c>
      <c r="L215" s="29">
        <v>8.4939</v>
      </c>
      <c r="M215" s="29" t="s">
        <v>225</v>
      </c>
    </row>
    <row r="216" ht="15.75" customHeight="1">
      <c r="A216" s="29" t="s">
        <v>1008</v>
      </c>
      <c r="B216" s="29" t="s">
        <v>1410</v>
      </c>
      <c r="C216" s="29">
        <v>0.0</v>
      </c>
      <c r="D216" s="29" t="s">
        <v>60</v>
      </c>
      <c r="E216" s="29">
        <v>0.6929</v>
      </c>
      <c r="F216" s="29">
        <v>59.7936</v>
      </c>
      <c r="G216" s="29">
        <v>34.8969</v>
      </c>
      <c r="H216" s="29">
        <v>0.5828</v>
      </c>
      <c r="I216" s="29">
        <v>0.6164</v>
      </c>
      <c r="J216" s="29">
        <v>0.4631</v>
      </c>
      <c r="K216" s="29">
        <v>0.1872</v>
      </c>
      <c r="L216" s="29">
        <v>8.0826</v>
      </c>
      <c r="M216" s="29" t="s">
        <v>225</v>
      </c>
    </row>
    <row r="217" ht="15.75" customHeight="1">
      <c r="A217" s="29" t="s">
        <v>268</v>
      </c>
      <c r="B217" s="29" t="s">
        <v>1413</v>
      </c>
      <c r="C217" s="29">
        <v>0.0</v>
      </c>
      <c r="D217" s="29" t="s">
        <v>60</v>
      </c>
      <c r="E217" s="29">
        <v>0.6641</v>
      </c>
      <c r="F217" s="29">
        <v>59.7243</v>
      </c>
      <c r="G217" s="29">
        <v>32.7807</v>
      </c>
      <c r="H217" s="29">
        <v>0.8245</v>
      </c>
      <c r="I217" s="29">
        <v>0.6984</v>
      </c>
      <c r="J217" s="29">
        <v>0.3764</v>
      </c>
      <c r="K217" s="29">
        <v>0.0723</v>
      </c>
      <c r="L217" s="29">
        <v>8.9503</v>
      </c>
      <c r="M217" s="29" t="s">
        <v>225</v>
      </c>
    </row>
    <row r="218" ht="15.75" customHeight="1">
      <c r="A218" s="29" t="s">
        <v>549</v>
      </c>
      <c r="B218" s="29" t="s">
        <v>1416</v>
      </c>
      <c r="C218" s="29">
        <v>0.0</v>
      </c>
      <c r="D218" s="29" t="s">
        <v>60</v>
      </c>
      <c r="E218" s="29">
        <v>0.6495</v>
      </c>
      <c r="F218" s="29">
        <v>59.6308</v>
      </c>
      <c r="G218" s="29">
        <v>35.259</v>
      </c>
      <c r="H218" s="29">
        <v>0.8367</v>
      </c>
      <c r="I218" s="29">
        <v>0.6028</v>
      </c>
      <c r="J218" s="29">
        <v>0.4245</v>
      </c>
      <c r="K218" s="29">
        <v>0.0873</v>
      </c>
      <c r="L218" s="29">
        <v>8.679</v>
      </c>
      <c r="M218" s="29" t="s">
        <v>225</v>
      </c>
    </row>
    <row r="219" ht="15.75" customHeight="1">
      <c r="A219" s="29" t="s">
        <v>593</v>
      </c>
      <c r="B219" s="29" t="s">
        <v>1419</v>
      </c>
      <c r="C219" s="29">
        <v>0.0</v>
      </c>
      <c r="D219" s="29" t="s">
        <v>60</v>
      </c>
      <c r="E219" s="29">
        <v>0.7051</v>
      </c>
      <c r="F219" s="29">
        <v>59.6273</v>
      </c>
      <c r="G219" s="29">
        <v>36.3462</v>
      </c>
      <c r="H219" s="29">
        <v>0.6084</v>
      </c>
      <c r="I219" s="29">
        <v>0.5671</v>
      </c>
      <c r="J219" s="29">
        <v>0.463</v>
      </c>
      <c r="K219" s="29">
        <v>0.1856</v>
      </c>
      <c r="L219" s="29">
        <v>8.1045</v>
      </c>
      <c r="M219" s="29" t="s">
        <v>225</v>
      </c>
    </row>
    <row r="220" ht="15.75" customHeight="1">
      <c r="A220" s="29" t="s">
        <v>590</v>
      </c>
      <c r="B220" s="29" t="s">
        <v>1424</v>
      </c>
      <c r="C220" s="29">
        <v>0.0</v>
      </c>
      <c r="D220" s="29" t="s">
        <v>60</v>
      </c>
      <c r="E220" s="29">
        <v>0.6953</v>
      </c>
      <c r="F220" s="29">
        <v>59.5823</v>
      </c>
      <c r="G220" s="29">
        <v>35.1487</v>
      </c>
      <c r="H220" s="29">
        <v>0.6125</v>
      </c>
      <c r="I220" s="29">
        <v>0.6058</v>
      </c>
      <c r="J220" s="29">
        <v>0.4626</v>
      </c>
      <c r="K220" s="29">
        <v>0.1865</v>
      </c>
      <c r="L220" s="29">
        <v>8.0558</v>
      </c>
      <c r="M220" s="29" t="s">
        <v>225</v>
      </c>
    </row>
    <row r="221" ht="15.75" customHeight="1">
      <c r="A221" s="29" t="s">
        <v>1427</v>
      </c>
      <c r="B221" s="29" t="s">
        <v>1430</v>
      </c>
      <c r="C221" s="29">
        <v>0.0</v>
      </c>
      <c r="D221" s="29" t="s">
        <v>60</v>
      </c>
      <c r="E221" s="29">
        <v>0.6839</v>
      </c>
      <c r="F221" s="29">
        <v>59.5546</v>
      </c>
      <c r="G221" s="29">
        <v>32.0418</v>
      </c>
      <c r="H221" s="29">
        <v>0.6991</v>
      </c>
      <c r="I221" s="29">
        <v>0.7289</v>
      </c>
      <c r="J221" s="29">
        <v>0.3553</v>
      </c>
      <c r="K221" s="29">
        <v>0.0649</v>
      </c>
      <c r="L221" s="29">
        <v>9.2631</v>
      </c>
      <c r="M221" s="29" t="s">
        <v>225</v>
      </c>
    </row>
    <row r="222" ht="15.75" customHeight="1">
      <c r="A222" s="29" t="s">
        <v>681</v>
      </c>
      <c r="B222" s="29" t="s">
        <v>1433</v>
      </c>
      <c r="C222" s="29">
        <v>0.0</v>
      </c>
      <c r="D222" s="29" t="s">
        <v>60</v>
      </c>
      <c r="E222" s="29">
        <v>0.6899</v>
      </c>
      <c r="F222" s="29">
        <v>59.5373</v>
      </c>
      <c r="G222" s="29">
        <v>35.6999</v>
      </c>
      <c r="H222" s="29">
        <v>0.615</v>
      </c>
      <c r="I222" s="29">
        <v>0.5862</v>
      </c>
      <c r="J222" s="29">
        <v>0.4774</v>
      </c>
      <c r="K222" s="29">
        <v>0.1506</v>
      </c>
      <c r="L222" s="29">
        <v>8.0892</v>
      </c>
      <c r="M222" s="29" t="s">
        <v>225</v>
      </c>
    </row>
    <row r="223" ht="15.75" customHeight="1">
      <c r="A223" s="29" t="s">
        <v>680</v>
      </c>
      <c r="B223" s="29" t="s">
        <v>1436</v>
      </c>
      <c r="C223" s="29">
        <v>0.0</v>
      </c>
      <c r="D223" s="29" t="s">
        <v>60</v>
      </c>
      <c r="E223" s="29">
        <v>0.6423</v>
      </c>
      <c r="F223" s="29">
        <v>59.4819</v>
      </c>
      <c r="G223" s="29">
        <v>38.314</v>
      </c>
      <c r="H223" s="29">
        <v>0.6289</v>
      </c>
      <c r="I223" s="29">
        <v>0.5081</v>
      </c>
      <c r="J223" s="29">
        <v>0.3924</v>
      </c>
      <c r="K223" s="29">
        <v>0.1192</v>
      </c>
      <c r="L223" s="29">
        <v>8.9308</v>
      </c>
      <c r="M223" s="29" t="s">
        <v>225</v>
      </c>
    </row>
    <row r="224" ht="15.75" customHeight="1">
      <c r="A224" s="29" t="s">
        <v>738</v>
      </c>
      <c r="B224" s="29" t="s">
        <v>1440</v>
      </c>
      <c r="C224" s="29">
        <v>0.0</v>
      </c>
      <c r="D224" s="29" t="s">
        <v>60</v>
      </c>
      <c r="E224" s="29">
        <v>0.6241</v>
      </c>
      <c r="F224" s="29">
        <v>59.4576</v>
      </c>
      <c r="G224" s="29">
        <v>35.1253</v>
      </c>
      <c r="H224" s="29">
        <v>0.6612</v>
      </c>
      <c r="I224" s="29">
        <v>0.6056</v>
      </c>
      <c r="J224" s="29">
        <v>0.3948</v>
      </c>
      <c r="K224" s="29">
        <v>0.1133</v>
      </c>
      <c r="L224" s="29">
        <v>8.8947</v>
      </c>
      <c r="M224" s="29" t="s">
        <v>225</v>
      </c>
    </row>
    <row r="225" ht="15.75" customHeight="1">
      <c r="A225" s="29" t="s">
        <v>1443</v>
      </c>
      <c r="B225" s="29" t="s">
        <v>1445</v>
      </c>
      <c r="C225" s="29">
        <v>0.0</v>
      </c>
      <c r="D225" s="29" t="s">
        <v>60</v>
      </c>
      <c r="E225" s="29">
        <v>0.6531</v>
      </c>
      <c r="F225" s="29">
        <v>59.423</v>
      </c>
      <c r="G225" s="29">
        <v>35.9652</v>
      </c>
      <c r="H225" s="29">
        <v>0.6979</v>
      </c>
      <c r="I225" s="29">
        <v>0.5773</v>
      </c>
      <c r="J225" s="29">
        <v>0.3595</v>
      </c>
      <c r="K225" s="29">
        <v>0.0745</v>
      </c>
      <c r="L225" s="29">
        <v>9.2258</v>
      </c>
      <c r="M225" s="29" t="s">
        <v>225</v>
      </c>
    </row>
    <row r="226" ht="15.75" customHeight="1">
      <c r="A226" s="29" t="s">
        <v>89</v>
      </c>
      <c r="B226" s="29" t="s">
        <v>1448</v>
      </c>
      <c r="C226" s="29">
        <v>0.0</v>
      </c>
      <c r="D226" s="29" t="s">
        <v>60</v>
      </c>
      <c r="E226" s="29">
        <v>0.6705</v>
      </c>
      <c r="F226" s="29">
        <v>59.423</v>
      </c>
      <c r="G226" s="29">
        <v>31.8255</v>
      </c>
      <c r="H226" s="29">
        <v>0.7329</v>
      </c>
      <c r="I226" s="29">
        <v>0.7372</v>
      </c>
      <c r="J226" s="29">
        <v>0.4905</v>
      </c>
      <c r="K226" s="29">
        <v>0.1367</v>
      </c>
      <c r="L226" s="29">
        <v>7.5602</v>
      </c>
      <c r="M226" s="29" t="s">
        <v>225</v>
      </c>
    </row>
    <row r="227" ht="15.75" customHeight="1">
      <c r="A227" s="29" t="s">
        <v>1452</v>
      </c>
      <c r="B227" s="29" t="s">
        <v>1453</v>
      </c>
      <c r="C227" s="29">
        <v>0.0</v>
      </c>
      <c r="D227" s="29" t="s">
        <v>60</v>
      </c>
      <c r="E227" s="29">
        <v>0.718</v>
      </c>
      <c r="F227" s="29">
        <v>59.3122</v>
      </c>
      <c r="G227" s="29">
        <v>32.6787</v>
      </c>
      <c r="H227" s="29">
        <v>0.743</v>
      </c>
      <c r="I227" s="29">
        <v>0.6979</v>
      </c>
      <c r="J227" s="29">
        <v>0.3869</v>
      </c>
      <c r="K227" s="29">
        <v>0.1435</v>
      </c>
      <c r="L227" s="29">
        <v>8.5754</v>
      </c>
      <c r="M227" s="29" t="s">
        <v>225</v>
      </c>
    </row>
    <row r="228" ht="15.75" customHeight="1">
      <c r="A228" s="29" t="s">
        <v>777</v>
      </c>
      <c r="B228" s="29" t="s">
        <v>1457</v>
      </c>
      <c r="C228" s="29">
        <v>0.0</v>
      </c>
      <c r="D228" s="29" t="s">
        <v>60</v>
      </c>
      <c r="E228" s="29">
        <v>0.5795</v>
      </c>
      <c r="F228" s="29">
        <v>59.1979</v>
      </c>
      <c r="G228" s="29">
        <v>36.2267</v>
      </c>
      <c r="H228" s="29">
        <v>0.7718</v>
      </c>
      <c r="I228" s="29">
        <v>0.5665</v>
      </c>
      <c r="J228" s="29">
        <v>0.4318</v>
      </c>
      <c r="K228" s="29">
        <v>0.0856</v>
      </c>
      <c r="L228" s="29">
        <v>8.8329</v>
      </c>
      <c r="M228" s="29" t="s">
        <v>225</v>
      </c>
    </row>
    <row r="229" ht="15.75" customHeight="1">
      <c r="A229" s="29" t="s">
        <v>836</v>
      </c>
      <c r="B229" s="29" t="s">
        <v>1461</v>
      </c>
      <c r="C229" s="29">
        <v>0.0</v>
      </c>
      <c r="D229" s="29" t="s">
        <v>60</v>
      </c>
      <c r="E229" s="29">
        <v>0.6333</v>
      </c>
      <c r="F229" s="29">
        <v>59.1806</v>
      </c>
      <c r="G229" s="29">
        <v>35.8416</v>
      </c>
      <c r="H229" s="29">
        <v>0.6647</v>
      </c>
      <c r="I229" s="29">
        <v>0.5788</v>
      </c>
      <c r="J229" s="29">
        <v>0.3917</v>
      </c>
      <c r="K229" s="29">
        <v>0.1121</v>
      </c>
      <c r="L229" s="29">
        <v>8.9131</v>
      </c>
      <c r="M229" s="29" t="s">
        <v>225</v>
      </c>
    </row>
    <row r="230" ht="15.75" customHeight="1">
      <c r="A230" s="29" t="s">
        <v>1167</v>
      </c>
      <c r="B230" s="29" t="s">
        <v>1462</v>
      </c>
      <c r="C230" s="29">
        <v>0.0</v>
      </c>
      <c r="D230" s="29" t="s">
        <v>60</v>
      </c>
      <c r="E230" s="29">
        <v>0.6976</v>
      </c>
      <c r="F230" s="29">
        <v>59.1563</v>
      </c>
      <c r="G230" s="29">
        <v>31.7482</v>
      </c>
      <c r="H230" s="29">
        <v>0.7843</v>
      </c>
      <c r="I230" s="29">
        <v>0.7375</v>
      </c>
      <c r="J230" s="29">
        <v>0.3693</v>
      </c>
      <c r="K230" s="29">
        <v>0.1041</v>
      </c>
      <c r="L230" s="29">
        <v>8.4771</v>
      </c>
      <c r="M230" s="29" t="s">
        <v>225</v>
      </c>
    </row>
    <row r="231" ht="15.75" customHeight="1">
      <c r="A231" s="29" t="s">
        <v>1465</v>
      </c>
      <c r="B231" s="29" t="s">
        <v>1467</v>
      </c>
      <c r="C231" s="29">
        <v>0.0</v>
      </c>
      <c r="D231" s="29" t="s">
        <v>60</v>
      </c>
      <c r="E231" s="29">
        <v>0.7363</v>
      </c>
      <c r="F231" s="29">
        <v>59.1563</v>
      </c>
      <c r="G231" s="29">
        <v>32.3458</v>
      </c>
      <c r="H231" s="29">
        <v>0.7505</v>
      </c>
      <c r="I231" s="29">
        <v>0.7105</v>
      </c>
      <c r="J231" s="29">
        <v>0.3933</v>
      </c>
      <c r="K231" s="29">
        <v>0.1311</v>
      </c>
      <c r="L231" s="29">
        <v>8.5645</v>
      </c>
      <c r="M231" s="29" t="s">
        <v>225</v>
      </c>
    </row>
    <row r="232" ht="15.75" customHeight="1">
      <c r="A232" s="29" t="s">
        <v>1076</v>
      </c>
      <c r="B232" s="29" t="s">
        <v>1470</v>
      </c>
      <c r="C232" s="29">
        <v>0.0</v>
      </c>
      <c r="D232" s="29" t="s">
        <v>60</v>
      </c>
      <c r="E232" s="29">
        <v>0.7327</v>
      </c>
      <c r="F232" s="29">
        <v>59.0212</v>
      </c>
      <c r="G232" s="29">
        <v>31.8886</v>
      </c>
      <c r="H232" s="29">
        <v>0.7693</v>
      </c>
      <c r="I232" s="29">
        <v>0.7294</v>
      </c>
      <c r="J232" s="29">
        <v>0.3841</v>
      </c>
      <c r="K232" s="29">
        <v>0.1225</v>
      </c>
      <c r="L232" s="29">
        <v>8.3877</v>
      </c>
      <c r="M232" s="29" t="s">
        <v>225</v>
      </c>
    </row>
    <row r="233" ht="15.75" customHeight="1">
      <c r="A233" s="29" t="s">
        <v>1178</v>
      </c>
      <c r="B233" s="29" t="s">
        <v>1474</v>
      </c>
      <c r="C233" s="29">
        <v>0.0</v>
      </c>
      <c r="D233" s="29" t="s">
        <v>60</v>
      </c>
      <c r="E233" s="29">
        <v>0.7131</v>
      </c>
      <c r="F233" s="29">
        <v>58.9624</v>
      </c>
      <c r="G233" s="29">
        <v>31.9575</v>
      </c>
      <c r="H233" s="29">
        <v>0.785</v>
      </c>
      <c r="I233" s="29">
        <v>0.7255</v>
      </c>
      <c r="J233" s="29">
        <v>0.3676</v>
      </c>
      <c r="K233" s="29">
        <v>0.1055</v>
      </c>
      <c r="L233" s="29">
        <v>8.4705</v>
      </c>
      <c r="M233" s="29" t="s">
        <v>225</v>
      </c>
    </row>
    <row r="234" ht="15.75" customHeight="1">
      <c r="A234" s="29" t="s">
        <v>1475</v>
      </c>
      <c r="B234" s="29" t="s">
        <v>1477</v>
      </c>
      <c r="C234" s="29">
        <v>0.0</v>
      </c>
      <c r="D234" s="29" t="s">
        <v>60</v>
      </c>
      <c r="E234" s="29">
        <v>0.7456</v>
      </c>
      <c r="F234" s="29">
        <v>58.9624</v>
      </c>
      <c r="G234" s="29">
        <v>32.287</v>
      </c>
      <c r="H234" s="29">
        <v>0.7603</v>
      </c>
      <c r="I234" s="29">
        <v>0.7108</v>
      </c>
      <c r="J234" s="29">
        <v>0.3859</v>
      </c>
      <c r="K234" s="29">
        <v>0.1401</v>
      </c>
      <c r="L234" s="29">
        <v>8.6036</v>
      </c>
      <c r="M234" s="29" t="s">
        <v>225</v>
      </c>
    </row>
    <row r="235" ht="15.75" customHeight="1">
      <c r="A235" s="29" t="s">
        <v>1172</v>
      </c>
      <c r="B235" s="29" t="s">
        <v>1481</v>
      </c>
      <c r="C235" s="29">
        <v>0.0</v>
      </c>
      <c r="D235" s="29" t="s">
        <v>60</v>
      </c>
      <c r="E235" s="29">
        <v>0.7096</v>
      </c>
      <c r="F235" s="29">
        <v>58.9416</v>
      </c>
      <c r="G235" s="29">
        <v>31.7221</v>
      </c>
      <c r="H235" s="29">
        <v>0.7799</v>
      </c>
      <c r="I235" s="29">
        <v>0.7361</v>
      </c>
      <c r="J235" s="29">
        <v>0.3694</v>
      </c>
      <c r="K235" s="29">
        <v>0.1069</v>
      </c>
      <c r="L235" s="29">
        <v>8.4707</v>
      </c>
      <c r="M235" s="29" t="s">
        <v>225</v>
      </c>
    </row>
    <row r="236" ht="15.75" customHeight="1">
      <c r="A236" s="29" t="s">
        <v>1184</v>
      </c>
      <c r="B236" s="29" t="s">
        <v>1484</v>
      </c>
      <c r="C236" s="29">
        <v>0.0</v>
      </c>
      <c r="D236" s="29" t="s">
        <v>60</v>
      </c>
      <c r="E236" s="29">
        <v>0.7258</v>
      </c>
      <c r="F236" s="29">
        <v>58.8896</v>
      </c>
      <c r="G236" s="29">
        <v>32.0289</v>
      </c>
      <c r="H236" s="29">
        <v>0.767</v>
      </c>
      <c r="I236" s="29">
        <v>0.7214</v>
      </c>
      <c r="J236" s="29">
        <v>0.3827</v>
      </c>
      <c r="K236" s="29">
        <v>0.1252</v>
      </c>
      <c r="L236" s="29">
        <v>8.34</v>
      </c>
      <c r="M236" s="29" t="s">
        <v>225</v>
      </c>
    </row>
    <row r="237" ht="15.75" customHeight="1">
      <c r="A237" s="29" t="s">
        <v>794</v>
      </c>
      <c r="B237" s="29" t="s">
        <v>1488</v>
      </c>
      <c r="C237" s="29">
        <v>0.0</v>
      </c>
      <c r="D237" s="29" t="s">
        <v>60</v>
      </c>
      <c r="E237" s="29">
        <v>0.6542</v>
      </c>
      <c r="F237" s="29">
        <v>58.8827</v>
      </c>
      <c r="G237" s="29">
        <v>33.3863</v>
      </c>
      <c r="H237" s="29">
        <v>0.6372</v>
      </c>
      <c r="I237" s="29">
        <v>0.6638</v>
      </c>
      <c r="J237" s="29">
        <v>0.5126</v>
      </c>
      <c r="K237" s="29">
        <v>0.1588</v>
      </c>
      <c r="L237" s="29">
        <v>7.8201</v>
      </c>
      <c r="M237" s="29" t="s">
        <v>225</v>
      </c>
    </row>
    <row r="238" ht="15.75" customHeight="1">
      <c r="A238" s="29" t="s">
        <v>397</v>
      </c>
      <c r="B238" s="29" t="s">
        <v>1491</v>
      </c>
      <c r="C238" s="29">
        <v>0.0</v>
      </c>
      <c r="D238" s="29" t="s">
        <v>60</v>
      </c>
      <c r="E238" s="29">
        <v>0.6089</v>
      </c>
      <c r="F238" s="29">
        <v>58.855</v>
      </c>
      <c r="G238" s="29">
        <v>36.4217</v>
      </c>
      <c r="H238" s="29">
        <v>0.7437</v>
      </c>
      <c r="I238" s="29">
        <v>0.5575</v>
      </c>
      <c r="J238" s="29">
        <v>0.4429</v>
      </c>
      <c r="K238" s="29">
        <v>0.0949</v>
      </c>
      <c r="L238" s="29">
        <v>8.758</v>
      </c>
      <c r="M238" s="29" t="s">
        <v>225</v>
      </c>
    </row>
    <row r="239" ht="15.75" customHeight="1">
      <c r="A239" s="29" t="s">
        <v>1493</v>
      </c>
      <c r="B239" s="29" t="s">
        <v>1494</v>
      </c>
      <c r="C239" s="29">
        <v>0.0</v>
      </c>
      <c r="D239" s="29" t="s">
        <v>60</v>
      </c>
      <c r="E239" s="29">
        <v>0.7003</v>
      </c>
      <c r="F239" s="29">
        <v>58.8342</v>
      </c>
      <c r="G239" s="29">
        <v>35.2462</v>
      </c>
      <c r="H239" s="29">
        <v>0.6172</v>
      </c>
      <c r="I239" s="29">
        <v>0.5948</v>
      </c>
      <c r="J239" s="29">
        <v>0.4606</v>
      </c>
      <c r="K239" s="29">
        <v>0.1855</v>
      </c>
      <c r="L239" s="29">
        <v>8.0742</v>
      </c>
      <c r="M239" s="29" t="s">
        <v>225</v>
      </c>
    </row>
    <row r="240" ht="15.75" customHeight="1">
      <c r="A240" s="29" t="s">
        <v>772</v>
      </c>
      <c r="B240" s="29" t="s">
        <v>1497</v>
      </c>
      <c r="C240" s="29">
        <v>0.0</v>
      </c>
      <c r="D240" s="29" t="s">
        <v>60</v>
      </c>
      <c r="E240" s="29">
        <v>0.6544</v>
      </c>
      <c r="F240" s="29">
        <v>58.7546</v>
      </c>
      <c r="G240" s="29">
        <v>35.7706</v>
      </c>
      <c r="H240" s="29">
        <v>0.6065</v>
      </c>
      <c r="I240" s="29">
        <v>0.577</v>
      </c>
      <c r="J240" s="29">
        <v>0.4028</v>
      </c>
      <c r="K240" s="29">
        <v>0.1029</v>
      </c>
      <c r="L240" s="29">
        <v>8.8602</v>
      </c>
      <c r="M240" s="29" t="s">
        <v>225</v>
      </c>
    </row>
    <row r="241" ht="15.75" customHeight="1">
      <c r="A241" s="29" t="s">
        <v>1188</v>
      </c>
      <c r="B241" s="29" t="s">
        <v>1501</v>
      </c>
      <c r="C241" s="29">
        <v>0.0</v>
      </c>
      <c r="D241" s="29" t="s">
        <v>60</v>
      </c>
      <c r="E241" s="29">
        <v>0.7269</v>
      </c>
      <c r="F241" s="29">
        <v>58.7442</v>
      </c>
      <c r="G241" s="29">
        <v>31.6876</v>
      </c>
      <c r="H241" s="29">
        <v>0.7821</v>
      </c>
      <c r="I241" s="29">
        <v>0.7352</v>
      </c>
      <c r="J241" s="29">
        <v>0.3711</v>
      </c>
      <c r="K241" s="29">
        <v>0.1083</v>
      </c>
      <c r="L241" s="29">
        <v>8.4604</v>
      </c>
      <c r="M241" s="29" t="s">
        <v>225</v>
      </c>
    </row>
    <row r="242" ht="15.75" customHeight="1">
      <c r="A242" s="29" t="s">
        <v>1504</v>
      </c>
      <c r="B242" s="29" t="s">
        <v>1506</v>
      </c>
      <c r="C242" s="29">
        <v>0.0</v>
      </c>
      <c r="D242" s="29" t="s">
        <v>60</v>
      </c>
      <c r="E242" s="29">
        <v>0.6862</v>
      </c>
      <c r="F242" s="29">
        <v>58.7407</v>
      </c>
      <c r="G242" s="29">
        <v>32.0585</v>
      </c>
      <c r="H242" s="29">
        <v>0.7012</v>
      </c>
      <c r="I242" s="29">
        <v>0.7182</v>
      </c>
      <c r="J242" s="29">
        <v>0.3725</v>
      </c>
      <c r="K242" s="29">
        <v>0.0845</v>
      </c>
      <c r="L242" s="29">
        <v>9.1332</v>
      </c>
      <c r="M242" s="29" t="s">
        <v>225</v>
      </c>
    </row>
    <row r="243" ht="15.75" customHeight="1">
      <c r="A243" s="29" t="s">
        <v>410</v>
      </c>
      <c r="B243" s="29" t="s">
        <v>1508</v>
      </c>
      <c r="C243" s="29">
        <v>0.0</v>
      </c>
      <c r="D243" s="29" t="s">
        <v>60</v>
      </c>
      <c r="E243" s="29">
        <v>0.6414</v>
      </c>
      <c r="F243" s="29">
        <v>58.5502</v>
      </c>
      <c r="G243" s="29">
        <v>33.3633</v>
      </c>
      <c r="H243" s="29">
        <v>0.7077</v>
      </c>
      <c r="I243" s="29">
        <v>0.6598</v>
      </c>
      <c r="J243" s="29">
        <v>0.5039</v>
      </c>
      <c r="K243" s="29">
        <v>0.0726</v>
      </c>
      <c r="L243" s="29">
        <v>8.2697</v>
      </c>
      <c r="M243" s="29" t="s">
        <v>225</v>
      </c>
    </row>
    <row r="244" ht="15.75" customHeight="1">
      <c r="A244" s="29" t="s">
        <v>424</v>
      </c>
      <c r="B244" s="29" t="s">
        <v>1511</v>
      </c>
      <c r="C244" s="29">
        <v>0.0</v>
      </c>
      <c r="D244" s="29" t="s">
        <v>60</v>
      </c>
      <c r="E244" s="29">
        <v>0.6645</v>
      </c>
      <c r="F244" s="29">
        <v>58.5433</v>
      </c>
      <c r="G244" s="29">
        <v>34.1228</v>
      </c>
      <c r="H244" s="29">
        <v>0.8365</v>
      </c>
      <c r="I244" s="29">
        <v>0.6318</v>
      </c>
      <c r="J244" s="29">
        <v>0.3957</v>
      </c>
      <c r="K244" s="29">
        <v>0.1026</v>
      </c>
      <c r="L244" s="29">
        <v>8.8109</v>
      </c>
      <c r="M244" s="29" t="s">
        <v>225</v>
      </c>
    </row>
    <row r="245" ht="15.75" customHeight="1">
      <c r="A245" s="29" t="s">
        <v>1514</v>
      </c>
      <c r="B245" s="29" t="s">
        <v>1515</v>
      </c>
      <c r="C245" s="29">
        <v>0.0</v>
      </c>
      <c r="D245" s="29" t="s">
        <v>60</v>
      </c>
      <c r="E245" s="29">
        <v>0.7432</v>
      </c>
      <c r="F245" s="29">
        <v>58.5121</v>
      </c>
      <c r="G245" s="29">
        <v>32.3744</v>
      </c>
      <c r="H245" s="29">
        <v>0.7519</v>
      </c>
      <c r="I245" s="29">
        <v>0.7015</v>
      </c>
      <c r="J245" s="29">
        <v>0.3905</v>
      </c>
      <c r="K245" s="29">
        <v>0.1508</v>
      </c>
      <c r="L245" s="29">
        <v>8.5455</v>
      </c>
      <c r="M245" s="29" t="s">
        <v>225</v>
      </c>
    </row>
    <row r="246" ht="15.75" customHeight="1">
      <c r="A246" s="29" t="s">
        <v>558</v>
      </c>
      <c r="B246" s="29" t="s">
        <v>1519</v>
      </c>
      <c r="C246" s="29">
        <v>0.0</v>
      </c>
      <c r="D246" s="29" t="s">
        <v>60</v>
      </c>
      <c r="E246" s="29">
        <v>0.6894</v>
      </c>
      <c r="F246" s="29">
        <v>58.5052</v>
      </c>
      <c r="G246" s="29">
        <v>36.4517</v>
      </c>
      <c r="H246" s="29">
        <v>0.6161</v>
      </c>
      <c r="I246" s="29">
        <v>0.5533</v>
      </c>
      <c r="J246" s="29">
        <v>0.4672</v>
      </c>
      <c r="K246" s="29">
        <v>0.1888</v>
      </c>
      <c r="L246" s="29">
        <v>8.0328</v>
      </c>
      <c r="M246" s="29" t="s">
        <v>225</v>
      </c>
    </row>
    <row r="247" ht="15.75" customHeight="1">
      <c r="A247" s="29" t="s">
        <v>695</v>
      </c>
      <c r="B247" s="29" t="s">
        <v>1523</v>
      </c>
      <c r="C247" s="29">
        <v>0.0</v>
      </c>
      <c r="D247" s="29" t="s">
        <v>60</v>
      </c>
      <c r="E247" s="29">
        <v>0.6428</v>
      </c>
      <c r="F247" s="29">
        <v>58.4221</v>
      </c>
      <c r="G247" s="29">
        <v>38.8294</v>
      </c>
      <c r="H247" s="29">
        <v>0.668</v>
      </c>
      <c r="I247" s="29">
        <v>0.4869</v>
      </c>
      <c r="J247" s="29">
        <v>0.3911</v>
      </c>
      <c r="K247" s="29">
        <v>0.1196</v>
      </c>
      <c r="L247" s="29">
        <v>8.9174</v>
      </c>
      <c r="M247" s="29" t="s">
        <v>225</v>
      </c>
    </row>
    <row r="248" ht="15.75" customHeight="1">
      <c r="A248" s="29" t="s">
        <v>361</v>
      </c>
      <c r="B248" s="29" t="s">
        <v>1527</v>
      </c>
      <c r="C248" s="29">
        <v>0.0</v>
      </c>
      <c r="D248" s="29" t="s">
        <v>60</v>
      </c>
      <c r="E248" s="29">
        <v>0.6698</v>
      </c>
      <c r="F248" s="29">
        <v>58.4013</v>
      </c>
      <c r="G248" s="29">
        <v>32.1964</v>
      </c>
      <c r="H248" s="29">
        <v>0.8205</v>
      </c>
      <c r="I248" s="29">
        <v>0.708</v>
      </c>
      <c r="J248" s="29">
        <v>0.3798</v>
      </c>
      <c r="K248" s="29">
        <v>0.0781</v>
      </c>
      <c r="L248" s="29">
        <v>8.929</v>
      </c>
      <c r="M248" s="29" t="s">
        <v>225</v>
      </c>
    </row>
    <row r="249" ht="15.75" customHeight="1">
      <c r="A249" s="29" t="s">
        <v>638</v>
      </c>
      <c r="B249" s="29" t="s">
        <v>1530</v>
      </c>
      <c r="C249" s="29">
        <v>0.0</v>
      </c>
      <c r="D249" s="29" t="s">
        <v>60</v>
      </c>
      <c r="E249" s="29">
        <v>0.6479</v>
      </c>
      <c r="F249" s="29">
        <v>58.3494</v>
      </c>
      <c r="G249" s="29">
        <v>34.4212</v>
      </c>
      <c r="H249" s="29">
        <v>0.7256</v>
      </c>
      <c r="I249" s="29">
        <v>0.6182</v>
      </c>
      <c r="J249" s="29">
        <v>0.47</v>
      </c>
      <c r="K249" s="29">
        <v>0.0805</v>
      </c>
      <c r="L249" s="29">
        <v>8.4698</v>
      </c>
      <c r="M249" s="29" t="s">
        <v>225</v>
      </c>
    </row>
    <row r="250" ht="15.75" customHeight="1">
      <c r="A250" s="29" t="s">
        <v>758</v>
      </c>
      <c r="B250" s="29" t="s">
        <v>1534</v>
      </c>
      <c r="C250" s="29">
        <v>0.0</v>
      </c>
      <c r="D250" s="29" t="s">
        <v>60</v>
      </c>
      <c r="E250" s="29">
        <v>0.633</v>
      </c>
      <c r="F250" s="29">
        <v>58.339</v>
      </c>
      <c r="G250" s="29">
        <v>35.5313</v>
      </c>
      <c r="H250" s="29">
        <v>0.6363</v>
      </c>
      <c r="I250" s="29">
        <v>0.5807</v>
      </c>
      <c r="J250" s="29">
        <v>0.3905</v>
      </c>
      <c r="K250" s="29">
        <v>0.1058</v>
      </c>
      <c r="L250" s="29">
        <v>8.9626</v>
      </c>
      <c r="M250" s="29" t="s">
        <v>225</v>
      </c>
    </row>
    <row r="251" ht="15.75" customHeight="1">
      <c r="A251" s="29" t="s">
        <v>1117</v>
      </c>
      <c r="B251" s="29" t="s">
        <v>1537</v>
      </c>
      <c r="C251" s="29">
        <v>0.0</v>
      </c>
      <c r="D251" s="29" t="s">
        <v>60</v>
      </c>
      <c r="E251" s="29">
        <v>0.7284</v>
      </c>
      <c r="F251" s="29">
        <v>58.2801</v>
      </c>
      <c r="G251" s="29">
        <v>32.2866</v>
      </c>
      <c r="H251" s="29">
        <v>0.7676</v>
      </c>
      <c r="I251" s="29">
        <v>0.7026</v>
      </c>
      <c r="J251" s="29">
        <v>0.3692</v>
      </c>
      <c r="K251" s="29">
        <v>0.1093</v>
      </c>
      <c r="L251" s="29">
        <v>8.4692</v>
      </c>
      <c r="M251" s="29" t="s">
        <v>225</v>
      </c>
    </row>
    <row r="252" ht="15.75" customHeight="1">
      <c r="A252" s="29" t="s">
        <v>1541</v>
      </c>
      <c r="B252" s="29" t="s">
        <v>1542</v>
      </c>
      <c r="C252" s="29">
        <v>0.0</v>
      </c>
      <c r="D252" s="29" t="s">
        <v>60</v>
      </c>
      <c r="E252" s="29">
        <v>0.646</v>
      </c>
      <c r="F252" s="29">
        <v>58.2662</v>
      </c>
      <c r="G252" s="29">
        <v>31.5153</v>
      </c>
      <c r="H252" s="29">
        <v>0.6335</v>
      </c>
      <c r="I252" s="29">
        <v>0.7372</v>
      </c>
      <c r="J252" s="29">
        <v>0.5188</v>
      </c>
      <c r="K252" s="29">
        <v>0.1241</v>
      </c>
      <c r="L252" s="29">
        <v>7.7536</v>
      </c>
      <c r="M252" s="29" t="s">
        <v>225</v>
      </c>
    </row>
    <row r="253" ht="15.75" customHeight="1">
      <c r="A253" s="29" t="s">
        <v>670</v>
      </c>
      <c r="B253" s="29" t="s">
        <v>1546</v>
      </c>
      <c r="C253" s="29">
        <v>0.0</v>
      </c>
      <c r="D253" s="29" t="s">
        <v>60</v>
      </c>
      <c r="E253" s="29">
        <v>0.6203</v>
      </c>
      <c r="F253" s="29">
        <v>58.145</v>
      </c>
      <c r="G253" s="29">
        <v>33.3473</v>
      </c>
      <c r="H253" s="29">
        <v>0.6554</v>
      </c>
      <c r="I253" s="29">
        <v>0.6571</v>
      </c>
      <c r="J253" s="29">
        <v>0.373</v>
      </c>
      <c r="K253" s="29">
        <v>0.0863</v>
      </c>
      <c r="L253" s="29">
        <v>9.0541</v>
      </c>
      <c r="M253" s="29" t="s">
        <v>225</v>
      </c>
    </row>
    <row r="254" ht="15.75" customHeight="1">
      <c r="A254" s="29" t="s">
        <v>1152</v>
      </c>
      <c r="B254" s="29" t="s">
        <v>1549</v>
      </c>
      <c r="C254" s="29">
        <v>0.0</v>
      </c>
      <c r="D254" s="29" t="s">
        <v>60</v>
      </c>
      <c r="E254" s="29">
        <v>0.7274</v>
      </c>
      <c r="F254" s="29">
        <v>58.0931</v>
      </c>
      <c r="G254" s="29">
        <v>31.5355</v>
      </c>
      <c r="H254" s="29">
        <v>0.776</v>
      </c>
      <c r="I254" s="29">
        <v>0.7341</v>
      </c>
      <c r="J254" s="29">
        <v>0.3718</v>
      </c>
      <c r="K254" s="29">
        <v>0.1106</v>
      </c>
      <c r="L254" s="29">
        <v>8.4225</v>
      </c>
      <c r="M254" s="29" t="s">
        <v>225</v>
      </c>
    </row>
    <row r="255" ht="15.75" customHeight="1">
      <c r="A255" s="29" t="s">
        <v>1552</v>
      </c>
      <c r="B255" s="29" t="s">
        <v>1553</v>
      </c>
      <c r="C255" s="29">
        <v>0.0</v>
      </c>
      <c r="D255" s="29" t="s">
        <v>60</v>
      </c>
      <c r="E255" s="29">
        <v>0.5723</v>
      </c>
      <c r="F255" s="29">
        <v>58.0446</v>
      </c>
      <c r="G255" s="29">
        <v>37.021</v>
      </c>
      <c r="H255" s="29">
        <v>0.5952</v>
      </c>
      <c r="I255" s="29">
        <v>0.5312</v>
      </c>
      <c r="J255" s="29">
        <v>0.4376</v>
      </c>
      <c r="K255" s="29">
        <v>0.1221</v>
      </c>
      <c r="L255" s="29">
        <v>8.5875</v>
      </c>
      <c r="M255" s="29" t="s">
        <v>225</v>
      </c>
    </row>
    <row r="256" ht="15.75" customHeight="1">
      <c r="A256" s="29" t="s">
        <v>1556</v>
      </c>
      <c r="B256" s="29" t="s">
        <v>1558</v>
      </c>
      <c r="C256" s="29">
        <v>0.0</v>
      </c>
      <c r="D256" s="29" t="s">
        <v>60</v>
      </c>
      <c r="E256" s="29">
        <v>0.7505</v>
      </c>
      <c r="F256" s="29">
        <v>58.0204</v>
      </c>
      <c r="G256" s="29">
        <v>32.6014</v>
      </c>
      <c r="H256" s="29">
        <v>0.7572</v>
      </c>
      <c r="I256" s="29">
        <v>0.686</v>
      </c>
      <c r="J256" s="29">
        <v>0.3888</v>
      </c>
      <c r="K256" s="29">
        <v>0.1415</v>
      </c>
      <c r="L256" s="29">
        <v>8.5841</v>
      </c>
      <c r="M256" s="29" t="s">
        <v>225</v>
      </c>
    </row>
    <row r="257" ht="15.75" customHeight="1">
      <c r="A257" s="29" t="s">
        <v>1442</v>
      </c>
      <c r="B257" s="29" t="s">
        <v>1561</v>
      </c>
      <c r="C257" s="29">
        <v>0.0</v>
      </c>
      <c r="D257" s="29" t="s">
        <v>60</v>
      </c>
      <c r="E257" s="29">
        <v>0.6778</v>
      </c>
      <c r="F257" s="29">
        <v>58.003</v>
      </c>
      <c r="G257" s="29">
        <v>37.0795</v>
      </c>
      <c r="H257" s="29">
        <v>0.6767</v>
      </c>
      <c r="I257" s="29">
        <v>0.5301</v>
      </c>
      <c r="J257" s="29">
        <v>0.3654</v>
      </c>
      <c r="K257" s="29">
        <v>0.0815</v>
      </c>
      <c r="L257" s="29">
        <v>9.1724</v>
      </c>
      <c r="M257" s="29" t="s">
        <v>225</v>
      </c>
    </row>
    <row r="258" ht="15.75" customHeight="1">
      <c r="A258" s="29" t="s">
        <v>665</v>
      </c>
      <c r="B258" s="29" t="s">
        <v>1564</v>
      </c>
      <c r="C258" s="29">
        <v>0.0</v>
      </c>
      <c r="D258" s="29" t="s">
        <v>60</v>
      </c>
      <c r="E258" s="29">
        <v>0.6868</v>
      </c>
      <c r="F258" s="29">
        <v>57.9823</v>
      </c>
      <c r="G258" s="29">
        <v>35.9356</v>
      </c>
      <c r="H258" s="29">
        <v>0.6164</v>
      </c>
      <c r="I258" s="29">
        <v>0.564</v>
      </c>
      <c r="J258" s="29">
        <v>0.4786</v>
      </c>
      <c r="K258" s="29">
        <v>0.1583</v>
      </c>
      <c r="L258" s="29">
        <v>8.0391</v>
      </c>
      <c r="M258" s="29" t="s">
        <v>225</v>
      </c>
    </row>
    <row r="259" ht="15.75" customHeight="1">
      <c r="A259" s="29" t="s">
        <v>585</v>
      </c>
      <c r="B259" s="29" t="s">
        <v>1567</v>
      </c>
      <c r="C259" s="29">
        <v>0.0</v>
      </c>
      <c r="D259" s="29" t="s">
        <v>60</v>
      </c>
      <c r="E259" s="29">
        <v>0.6622</v>
      </c>
      <c r="F259" s="29">
        <v>57.9511</v>
      </c>
      <c r="G259" s="29">
        <v>32.1048</v>
      </c>
      <c r="H259" s="29">
        <v>0.8234</v>
      </c>
      <c r="I259" s="29">
        <v>0.7065</v>
      </c>
      <c r="J259" s="29">
        <v>0.3719</v>
      </c>
      <c r="K259" s="29">
        <v>0.0659</v>
      </c>
      <c r="L259" s="29">
        <v>8.9566</v>
      </c>
      <c r="M259" s="29" t="s">
        <v>225</v>
      </c>
    </row>
    <row r="260" ht="15.75" customHeight="1">
      <c r="A260" s="29" t="s">
        <v>1147</v>
      </c>
      <c r="B260" s="29" t="s">
        <v>1569</v>
      </c>
      <c r="C260" s="29">
        <v>0.0</v>
      </c>
      <c r="D260" s="29" t="s">
        <v>60</v>
      </c>
      <c r="E260" s="29">
        <v>0.7095</v>
      </c>
      <c r="F260" s="29">
        <v>57.9338</v>
      </c>
      <c r="G260" s="29">
        <v>31.4825</v>
      </c>
      <c r="H260" s="29">
        <v>0.7699</v>
      </c>
      <c r="I260" s="29">
        <v>0.7345</v>
      </c>
      <c r="J260" s="29">
        <v>0.3775</v>
      </c>
      <c r="K260" s="29">
        <v>0.1161</v>
      </c>
      <c r="L260" s="29">
        <v>8.39</v>
      </c>
      <c r="M260" s="29" t="s">
        <v>225</v>
      </c>
    </row>
    <row r="261" ht="15.75" customHeight="1">
      <c r="A261" s="29" t="s">
        <v>1295</v>
      </c>
      <c r="B261" s="29" t="s">
        <v>1571</v>
      </c>
      <c r="C261" s="29">
        <v>0.0</v>
      </c>
      <c r="D261" s="29" t="s">
        <v>60</v>
      </c>
      <c r="E261" s="29">
        <v>0.7661</v>
      </c>
      <c r="F261" s="29">
        <v>57.8887</v>
      </c>
      <c r="G261" s="29">
        <v>31.6497</v>
      </c>
      <c r="H261" s="29">
        <v>0.7502</v>
      </c>
      <c r="I261" s="29">
        <v>0.7262</v>
      </c>
      <c r="J261" s="29">
        <v>0.4366</v>
      </c>
      <c r="K261" s="29">
        <v>0.1492</v>
      </c>
      <c r="L261" s="29">
        <v>8.1934</v>
      </c>
      <c r="M261" s="29" t="s">
        <v>225</v>
      </c>
    </row>
    <row r="262" ht="15.75" customHeight="1">
      <c r="A262" s="29" t="s">
        <v>505</v>
      </c>
      <c r="B262" s="29" t="s">
        <v>1575</v>
      </c>
      <c r="C262" s="29">
        <v>0.0</v>
      </c>
      <c r="D262" s="29" t="s">
        <v>60</v>
      </c>
      <c r="E262" s="29">
        <v>0.585</v>
      </c>
      <c r="F262" s="29">
        <v>57.8853</v>
      </c>
      <c r="G262" s="29">
        <v>32.7908</v>
      </c>
      <c r="H262" s="29">
        <v>0.745</v>
      </c>
      <c r="I262" s="29">
        <v>0.6761</v>
      </c>
      <c r="J262" s="29">
        <v>0.4279</v>
      </c>
      <c r="K262" s="29">
        <v>0.0782</v>
      </c>
      <c r="L262" s="29">
        <v>8.8418</v>
      </c>
      <c r="M262" s="29" t="s">
        <v>225</v>
      </c>
    </row>
    <row r="263" ht="15.75" customHeight="1">
      <c r="A263" s="29" t="s">
        <v>1086</v>
      </c>
      <c r="B263" s="29" t="s">
        <v>1578</v>
      </c>
      <c r="C263" s="29">
        <v>0.0</v>
      </c>
      <c r="D263" s="29" t="s">
        <v>60</v>
      </c>
      <c r="E263" s="29">
        <v>0.7306</v>
      </c>
      <c r="F263" s="29">
        <v>57.8368</v>
      </c>
      <c r="G263" s="29">
        <v>32.3392</v>
      </c>
      <c r="H263" s="29">
        <v>0.7898</v>
      </c>
      <c r="I263" s="29">
        <v>0.695</v>
      </c>
      <c r="J263" s="29">
        <v>0.3846</v>
      </c>
      <c r="K263" s="29">
        <v>0.1273</v>
      </c>
      <c r="L263" s="29">
        <v>8.4128</v>
      </c>
      <c r="M263" s="29" t="s">
        <v>225</v>
      </c>
    </row>
    <row r="264" ht="15.75" customHeight="1">
      <c r="A264" s="29" t="s">
        <v>1582</v>
      </c>
      <c r="B264" s="29" t="s">
        <v>1583</v>
      </c>
      <c r="C264" s="29">
        <v>0.0</v>
      </c>
      <c r="D264" s="29" t="s">
        <v>60</v>
      </c>
      <c r="E264" s="29">
        <v>0.5592</v>
      </c>
      <c r="F264" s="29">
        <v>57.8229</v>
      </c>
      <c r="G264" s="29">
        <v>33.8727</v>
      </c>
      <c r="H264" s="29">
        <v>0.5286</v>
      </c>
      <c r="I264" s="29">
        <v>0.6333</v>
      </c>
      <c r="J264" s="29">
        <v>0.4568</v>
      </c>
      <c r="K264" s="29">
        <v>0.1033</v>
      </c>
      <c r="L264" s="29">
        <v>8.4615</v>
      </c>
      <c r="M264" s="29" t="s">
        <v>225</v>
      </c>
    </row>
    <row r="265" ht="15.75" customHeight="1">
      <c r="A265" s="29" t="s">
        <v>1587</v>
      </c>
      <c r="B265" s="29" t="s">
        <v>1588</v>
      </c>
      <c r="C265" s="29">
        <v>0.0</v>
      </c>
      <c r="D265" s="29" t="s">
        <v>60</v>
      </c>
      <c r="E265" s="29">
        <v>0.6912</v>
      </c>
      <c r="F265" s="29">
        <v>57.7883</v>
      </c>
      <c r="G265" s="29">
        <v>32.4544</v>
      </c>
      <c r="H265" s="29">
        <v>0.6783</v>
      </c>
      <c r="I265" s="29">
        <v>0.6894</v>
      </c>
      <c r="J265" s="29">
        <v>0.366</v>
      </c>
      <c r="K265" s="29">
        <v>0.0774</v>
      </c>
      <c r="L265" s="29">
        <v>9.1704</v>
      </c>
      <c r="M265" s="29" t="s">
        <v>225</v>
      </c>
    </row>
    <row r="266" ht="15.75" customHeight="1">
      <c r="A266" s="29" t="s">
        <v>432</v>
      </c>
      <c r="B266" s="29" t="s">
        <v>1591</v>
      </c>
      <c r="C266" s="29">
        <v>0.0</v>
      </c>
      <c r="D266" s="29" t="s">
        <v>60</v>
      </c>
      <c r="E266" s="29">
        <v>0.6703</v>
      </c>
      <c r="F266" s="29">
        <v>57.6255</v>
      </c>
      <c r="G266" s="29">
        <v>32.2409</v>
      </c>
      <c r="H266" s="29">
        <v>0.813</v>
      </c>
      <c r="I266" s="29">
        <v>0.6966</v>
      </c>
      <c r="J266" s="29">
        <v>0.3795</v>
      </c>
      <c r="K266" s="29">
        <v>0.0728</v>
      </c>
      <c r="L266" s="29">
        <v>8.9324</v>
      </c>
      <c r="M266" s="29" t="s">
        <v>225</v>
      </c>
    </row>
    <row r="267" ht="15.75" customHeight="1">
      <c r="A267" s="29" t="s">
        <v>40</v>
      </c>
      <c r="B267" s="29" t="s">
        <v>1594</v>
      </c>
      <c r="C267" s="29">
        <v>0.0</v>
      </c>
      <c r="D267" s="29" t="s">
        <v>60</v>
      </c>
      <c r="E267" s="29">
        <v>0.5985</v>
      </c>
      <c r="F267" s="29">
        <v>57.6117</v>
      </c>
      <c r="G267" s="29">
        <v>35.4759</v>
      </c>
      <c r="H267" s="29">
        <v>0.7528</v>
      </c>
      <c r="I267" s="29">
        <v>0.5752</v>
      </c>
      <c r="J267" s="29">
        <v>0.4338</v>
      </c>
      <c r="K267" s="29">
        <v>0.0881</v>
      </c>
      <c r="L267" s="29">
        <v>8.808</v>
      </c>
      <c r="M267" s="29" t="s">
        <v>225</v>
      </c>
    </row>
    <row r="268" ht="15.75" customHeight="1">
      <c r="A268" s="29" t="s">
        <v>1352</v>
      </c>
      <c r="B268" s="29" t="s">
        <v>1597</v>
      </c>
      <c r="C268" s="29">
        <v>0.0</v>
      </c>
      <c r="D268" s="29" t="s">
        <v>60</v>
      </c>
      <c r="E268" s="29">
        <v>0.6946</v>
      </c>
      <c r="F268" s="29">
        <v>57.5978</v>
      </c>
      <c r="G268" s="29">
        <v>33.5196</v>
      </c>
      <c r="H268" s="29">
        <v>0.6753</v>
      </c>
      <c r="I268" s="29">
        <v>0.6442</v>
      </c>
      <c r="J268" s="29">
        <v>0.3601</v>
      </c>
      <c r="K268" s="29">
        <v>0.0684</v>
      </c>
      <c r="L268" s="29">
        <v>9.2272</v>
      </c>
      <c r="M268" s="29" t="s">
        <v>225</v>
      </c>
    </row>
    <row r="269" ht="15.75" customHeight="1">
      <c r="A269" s="29" t="s">
        <v>1162</v>
      </c>
      <c r="B269" s="29" t="s">
        <v>1601</v>
      </c>
      <c r="C269" s="29">
        <v>0.0</v>
      </c>
      <c r="D269" s="29" t="s">
        <v>60</v>
      </c>
      <c r="E269" s="29">
        <v>0.6871</v>
      </c>
      <c r="F269" s="29">
        <v>57.5874</v>
      </c>
      <c r="G269" s="29">
        <v>31.7768</v>
      </c>
      <c r="H269" s="29">
        <v>0.7677</v>
      </c>
      <c r="I269" s="29">
        <v>0.7167</v>
      </c>
      <c r="J269" s="29">
        <v>0.3723</v>
      </c>
      <c r="K269" s="29">
        <v>0.0995</v>
      </c>
      <c r="L269" s="29">
        <v>8.3802</v>
      </c>
      <c r="M269" s="29" t="s">
        <v>225</v>
      </c>
    </row>
    <row r="270" ht="15.75" customHeight="1">
      <c r="A270" s="29" t="s">
        <v>1604</v>
      </c>
      <c r="B270" s="29" t="s">
        <v>1605</v>
      </c>
      <c r="C270" s="29">
        <v>0.0</v>
      </c>
      <c r="D270" s="29" t="s">
        <v>60</v>
      </c>
      <c r="E270" s="29">
        <v>0.75</v>
      </c>
      <c r="F270" s="29">
        <v>57.5632</v>
      </c>
      <c r="G270" s="29">
        <v>32.2584</v>
      </c>
      <c r="H270" s="29">
        <v>0.7478</v>
      </c>
      <c r="I270" s="29">
        <v>0.6951</v>
      </c>
      <c r="J270" s="29">
        <v>0.3915</v>
      </c>
      <c r="K270" s="29">
        <v>0.1415</v>
      </c>
      <c r="L270" s="29">
        <v>8.5836</v>
      </c>
      <c r="M270" s="29" t="s">
        <v>225</v>
      </c>
    </row>
    <row r="271" ht="15.75" customHeight="1">
      <c r="A271" s="29" t="s">
        <v>728</v>
      </c>
      <c r="B271" s="29" t="s">
        <v>1608</v>
      </c>
      <c r="C271" s="29">
        <v>0.0</v>
      </c>
      <c r="D271" s="29" t="s">
        <v>60</v>
      </c>
      <c r="E271" s="29">
        <v>0.6079</v>
      </c>
      <c r="F271" s="29">
        <v>57.5597</v>
      </c>
      <c r="G271" s="29">
        <v>39.3486</v>
      </c>
      <c r="H271" s="29">
        <v>0.7904</v>
      </c>
      <c r="I271" s="29">
        <v>0.4671</v>
      </c>
      <c r="J271" s="29">
        <v>0.4555</v>
      </c>
      <c r="K271" s="29">
        <v>0.1206</v>
      </c>
      <c r="L271" s="29">
        <v>8.6294</v>
      </c>
      <c r="M271" s="29" t="s">
        <v>225</v>
      </c>
    </row>
    <row r="272" ht="15.75" customHeight="1">
      <c r="A272" s="29" t="s">
        <v>1609</v>
      </c>
      <c r="B272" s="29" t="s">
        <v>1610</v>
      </c>
      <c r="C272" s="29">
        <v>0.0</v>
      </c>
      <c r="D272" s="29" t="s">
        <v>60</v>
      </c>
      <c r="E272" s="29">
        <v>0.7616</v>
      </c>
      <c r="F272" s="29">
        <v>57.5563</v>
      </c>
      <c r="G272" s="29">
        <v>32.4353</v>
      </c>
      <c r="H272" s="29">
        <v>0.7504</v>
      </c>
      <c r="I272" s="29">
        <v>0.6875</v>
      </c>
      <c r="J272" s="29">
        <v>0.389</v>
      </c>
      <c r="K272" s="29">
        <v>0.1407</v>
      </c>
      <c r="L272" s="29">
        <v>8.5857</v>
      </c>
      <c r="M272" s="29" t="s">
        <v>225</v>
      </c>
    </row>
    <row r="273" ht="15.75" customHeight="1">
      <c r="A273" s="29" t="s">
        <v>697</v>
      </c>
      <c r="B273" s="29" t="s">
        <v>1613</v>
      </c>
      <c r="C273" s="29">
        <v>0.0</v>
      </c>
      <c r="D273" s="29" t="s">
        <v>60</v>
      </c>
      <c r="E273" s="29">
        <v>0.6917</v>
      </c>
      <c r="F273" s="29">
        <v>57.5424</v>
      </c>
      <c r="G273" s="29">
        <v>33.9323</v>
      </c>
      <c r="H273" s="29">
        <v>0.6038</v>
      </c>
      <c r="I273" s="29">
        <v>0.628</v>
      </c>
      <c r="J273" s="29">
        <v>0.4855</v>
      </c>
      <c r="K273" s="29">
        <v>0.1596</v>
      </c>
      <c r="L273" s="29">
        <v>7.9804</v>
      </c>
      <c r="M273" s="29" t="s">
        <v>225</v>
      </c>
    </row>
    <row r="274" ht="15.75" customHeight="1">
      <c r="A274" s="29" t="s">
        <v>1616</v>
      </c>
      <c r="B274" s="29" t="s">
        <v>1617</v>
      </c>
      <c r="C274" s="29">
        <v>0.0</v>
      </c>
      <c r="D274" s="29" t="s">
        <v>60</v>
      </c>
      <c r="E274" s="29">
        <v>0.6184</v>
      </c>
      <c r="F274" s="29">
        <v>57.5112</v>
      </c>
      <c r="G274" s="29">
        <v>34.5263</v>
      </c>
      <c r="H274" s="29">
        <v>0.6315</v>
      </c>
      <c r="I274" s="29">
        <v>0.6057</v>
      </c>
      <c r="J274" s="29">
        <v>0.3911</v>
      </c>
      <c r="K274" s="29">
        <v>0.0953</v>
      </c>
      <c r="L274" s="29">
        <v>8.9824</v>
      </c>
      <c r="M274" s="29" t="s">
        <v>225</v>
      </c>
    </row>
    <row r="275" ht="15.75" customHeight="1">
      <c r="A275" s="29" t="s">
        <v>890</v>
      </c>
      <c r="B275" s="29" t="s">
        <v>1621</v>
      </c>
      <c r="C275" s="29">
        <v>0.0</v>
      </c>
      <c r="D275" s="29" t="s">
        <v>60</v>
      </c>
      <c r="E275" s="29">
        <v>0.6974</v>
      </c>
      <c r="F275" s="29">
        <v>57.4385</v>
      </c>
      <c r="G275" s="29">
        <v>34.4073</v>
      </c>
      <c r="H275" s="29">
        <v>0.6425</v>
      </c>
      <c r="I275" s="29">
        <v>0.6094</v>
      </c>
      <c r="J275" s="29">
        <v>0.4697</v>
      </c>
      <c r="K275" s="29">
        <v>0.1439</v>
      </c>
      <c r="L275" s="29">
        <v>8.1295</v>
      </c>
      <c r="M275" s="29" t="s">
        <v>225</v>
      </c>
    </row>
    <row r="276" ht="15.75" customHeight="1">
      <c r="A276" s="29" t="s">
        <v>790</v>
      </c>
      <c r="B276" s="29" t="s">
        <v>1624</v>
      </c>
      <c r="C276" s="29">
        <v>0.0</v>
      </c>
      <c r="D276" s="29" t="s">
        <v>60</v>
      </c>
      <c r="E276" s="29">
        <v>0.6182</v>
      </c>
      <c r="F276" s="29">
        <v>57.4385</v>
      </c>
      <c r="G276" s="29">
        <v>36.5057</v>
      </c>
      <c r="H276" s="29">
        <v>0.6291</v>
      </c>
      <c r="I276" s="29">
        <v>0.5414</v>
      </c>
      <c r="J276" s="29">
        <v>0.3935</v>
      </c>
      <c r="K276" s="29">
        <v>0.1166</v>
      </c>
      <c r="L276" s="29">
        <v>8.8873</v>
      </c>
      <c r="M276" s="29" t="s">
        <v>225</v>
      </c>
    </row>
    <row r="277" ht="15.75" customHeight="1">
      <c r="A277" s="29" t="s">
        <v>1628</v>
      </c>
      <c r="B277" s="29" t="s">
        <v>1629</v>
      </c>
      <c r="C277" s="29">
        <v>0.0</v>
      </c>
      <c r="D277" s="29" t="s">
        <v>60</v>
      </c>
      <c r="E277" s="29">
        <v>0.7043</v>
      </c>
      <c r="F277" s="29">
        <v>57.4004</v>
      </c>
      <c r="G277" s="29">
        <v>32.0703</v>
      </c>
      <c r="H277" s="29">
        <v>0.6664</v>
      </c>
      <c r="I277" s="29">
        <v>0.7013</v>
      </c>
      <c r="J277" s="29">
        <v>0.355</v>
      </c>
      <c r="K277" s="29">
        <v>0.0636</v>
      </c>
      <c r="L277" s="29">
        <v>9.274</v>
      </c>
      <c r="M277" s="29" t="s">
        <v>225</v>
      </c>
    </row>
    <row r="278" ht="15.75" customHeight="1">
      <c r="A278" s="29" t="s">
        <v>662</v>
      </c>
      <c r="B278" s="29" t="s">
        <v>1633</v>
      </c>
      <c r="C278" s="29">
        <v>0.0</v>
      </c>
      <c r="D278" s="29" t="s">
        <v>60</v>
      </c>
      <c r="E278" s="29">
        <v>0.6717</v>
      </c>
      <c r="F278" s="29">
        <v>57.3623</v>
      </c>
      <c r="G278" s="29">
        <v>32.7528</v>
      </c>
      <c r="H278" s="29">
        <v>0.8192</v>
      </c>
      <c r="I278" s="29">
        <v>0.672</v>
      </c>
      <c r="J278" s="29">
        <v>0.4039</v>
      </c>
      <c r="K278" s="29">
        <v>0.1145</v>
      </c>
      <c r="L278" s="29">
        <v>8.7443</v>
      </c>
      <c r="M278" s="29" t="s">
        <v>225</v>
      </c>
    </row>
    <row r="279" ht="15.75" customHeight="1">
      <c r="A279" s="29" t="s">
        <v>764</v>
      </c>
      <c r="B279" s="29" t="s">
        <v>1637</v>
      </c>
      <c r="C279" s="29">
        <v>0.0</v>
      </c>
      <c r="D279" s="29" t="s">
        <v>60</v>
      </c>
      <c r="E279" s="29">
        <v>0.6077</v>
      </c>
      <c r="F279" s="29">
        <v>57.3381</v>
      </c>
      <c r="G279" s="29">
        <v>38.0807</v>
      </c>
      <c r="H279" s="29">
        <v>0.5942</v>
      </c>
      <c r="I279" s="29">
        <v>0.4969</v>
      </c>
      <c r="J279" s="29">
        <v>0.3884</v>
      </c>
      <c r="K279" s="29">
        <v>0.1094</v>
      </c>
      <c r="L279" s="29">
        <v>8.9355</v>
      </c>
      <c r="M279" s="29" t="s">
        <v>225</v>
      </c>
    </row>
    <row r="280" ht="15.75" customHeight="1">
      <c r="A280" s="29" t="s">
        <v>400</v>
      </c>
      <c r="B280" s="29" t="s">
        <v>1643</v>
      </c>
      <c r="C280" s="29">
        <v>0.0</v>
      </c>
      <c r="D280" s="29" t="s">
        <v>60</v>
      </c>
      <c r="E280" s="29">
        <v>0.6479</v>
      </c>
      <c r="F280" s="29">
        <v>57.3277</v>
      </c>
      <c r="G280" s="29">
        <v>33.7728</v>
      </c>
      <c r="H280" s="29">
        <v>0.6365</v>
      </c>
      <c r="I280" s="29">
        <v>0.6308</v>
      </c>
      <c r="J280" s="29">
        <v>0.5433</v>
      </c>
      <c r="K280" s="29">
        <v>0.1991</v>
      </c>
      <c r="L280" s="29">
        <v>7.567</v>
      </c>
      <c r="M280" s="29" t="s">
        <v>225</v>
      </c>
    </row>
    <row r="281" ht="15.75" customHeight="1">
      <c r="A281" s="29" t="s">
        <v>1647</v>
      </c>
      <c r="B281" s="29" t="s">
        <v>1648</v>
      </c>
      <c r="C281" s="29">
        <v>0.0</v>
      </c>
      <c r="D281" s="29" t="s">
        <v>60</v>
      </c>
      <c r="E281" s="29">
        <v>0.6971</v>
      </c>
      <c r="F281" s="29">
        <v>57.3208</v>
      </c>
      <c r="G281" s="29">
        <v>31.3498</v>
      </c>
      <c r="H281" s="29">
        <v>0.6665</v>
      </c>
      <c r="I281" s="29">
        <v>0.7329</v>
      </c>
      <c r="J281" s="29">
        <v>0.3555</v>
      </c>
      <c r="K281" s="29">
        <v>0.0645</v>
      </c>
      <c r="L281" s="29">
        <v>9.2573</v>
      </c>
      <c r="M281" s="29" t="s">
        <v>225</v>
      </c>
    </row>
    <row r="282" ht="15.75" customHeight="1">
      <c r="A282" s="29" t="s">
        <v>1099</v>
      </c>
      <c r="B282" s="29" t="s">
        <v>1652</v>
      </c>
      <c r="C282" s="29">
        <v>0.0</v>
      </c>
      <c r="D282" s="29" t="s">
        <v>60</v>
      </c>
      <c r="E282" s="29">
        <v>0.7246</v>
      </c>
      <c r="F282" s="29">
        <v>57.2654</v>
      </c>
      <c r="G282" s="29">
        <v>31.4442</v>
      </c>
      <c r="H282" s="29">
        <v>0.7601</v>
      </c>
      <c r="I282" s="29">
        <v>0.7278</v>
      </c>
      <c r="J282" s="29">
        <v>0.3732</v>
      </c>
      <c r="K282" s="29">
        <v>0.1138</v>
      </c>
      <c r="L282" s="29">
        <v>8.438</v>
      </c>
      <c r="M282" s="29" t="s">
        <v>225</v>
      </c>
    </row>
    <row r="283" ht="15.75" customHeight="1">
      <c r="A283" s="29" t="s">
        <v>303</v>
      </c>
      <c r="B283" s="29" t="s">
        <v>1656</v>
      </c>
      <c r="C283" s="29">
        <v>0.0</v>
      </c>
      <c r="D283" s="29" t="s">
        <v>60</v>
      </c>
      <c r="E283" s="29">
        <v>0.6001</v>
      </c>
      <c r="F283" s="29">
        <v>57.2134</v>
      </c>
      <c r="G283" s="29">
        <v>32.1737</v>
      </c>
      <c r="H283" s="29">
        <v>0.7587</v>
      </c>
      <c r="I283" s="29">
        <v>0.6946</v>
      </c>
      <c r="J283" s="29">
        <v>0.4238</v>
      </c>
      <c r="K283" s="29">
        <v>0.074</v>
      </c>
      <c r="L283" s="29">
        <v>8.8487</v>
      </c>
      <c r="M283" s="29" t="s">
        <v>225</v>
      </c>
    </row>
    <row r="284" ht="15.75" customHeight="1">
      <c r="A284" s="29" t="s">
        <v>389</v>
      </c>
      <c r="B284" s="29" t="s">
        <v>1661</v>
      </c>
      <c r="C284" s="29">
        <v>0.0</v>
      </c>
      <c r="D284" s="29" t="s">
        <v>60</v>
      </c>
      <c r="E284" s="29">
        <v>0.5908</v>
      </c>
      <c r="F284" s="29">
        <v>57.1926</v>
      </c>
      <c r="G284" s="29">
        <v>36.9089</v>
      </c>
      <c r="H284" s="29">
        <v>0.7408</v>
      </c>
      <c r="I284" s="29">
        <v>0.5276</v>
      </c>
      <c r="J284" s="29">
        <v>0.4265</v>
      </c>
      <c r="K284" s="29">
        <v>0.0832</v>
      </c>
      <c r="L284" s="29">
        <v>8.8515</v>
      </c>
      <c r="M284" s="29" t="s">
        <v>225</v>
      </c>
    </row>
    <row r="285" ht="15.75" customHeight="1">
      <c r="A285" s="29" t="s">
        <v>556</v>
      </c>
      <c r="B285" s="29" t="s">
        <v>1665</v>
      </c>
      <c r="C285" s="29">
        <v>0.0</v>
      </c>
      <c r="D285" s="29" t="s">
        <v>60</v>
      </c>
      <c r="E285" s="29">
        <v>0.3113</v>
      </c>
      <c r="F285" s="29">
        <v>57.1926</v>
      </c>
      <c r="G285" s="29">
        <v>35.6239</v>
      </c>
      <c r="H285" s="29">
        <v>0.832</v>
      </c>
      <c r="I285" s="29">
        <v>0.5663</v>
      </c>
      <c r="J285" s="29">
        <v>0.5865</v>
      </c>
      <c r="K285" s="29">
        <v>0.1405</v>
      </c>
      <c r="L285" s="29">
        <v>7.2731</v>
      </c>
      <c r="M285" s="29" t="s">
        <v>225</v>
      </c>
    </row>
    <row r="286" ht="15.75" customHeight="1">
      <c r="A286" s="29" t="s">
        <v>778</v>
      </c>
      <c r="B286" s="29" t="s">
        <v>1670</v>
      </c>
      <c r="C286" s="29">
        <v>0.0</v>
      </c>
      <c r="D286" s="29" t="s">
        <v>60</v>
      </c>
      <c r="E286" s="29">
        <v>0.6601</v>
      </c>
      <c r="F286" s="29">
        <v>57.1892</v>
      </c>
      <c r="G286" s="29">
        <v>33.5708</v>
      </c>
      <c r="H286" s="29">
        <v>0.8556</v>
      </c>
      <c r="I286" s="29">
        <v>0.6362</v>
      </c>
      <c r="J286" s="29">
        <v>0.4084</v>
      </c>
      <c r="K286" s="29">
        <v>0.1217</v>
      </c>
      <c r="L286" s="29">
        <v>8.7475</v>
      </c>
      <c r="M286" s="29" t="s">
        <v>225</v>
      </c>
    </row>
    <row r="287" ht="15.75" customHeight="1">
      <c r="A287" s="29" t="s">
        <v>289</v>
      </c>
      <c r="B287" s="29" t="s">
        <v>1675</v>
      </c>
      <c r="C287" s="29">
        <v>0.0</v>
      </c>
      <c r="D287" s="29" t="s">
        <v>60</v>
      </c>
      <c r="E287" s="29">
        <v>0.664</v>
      </c>
      <c r="F287" s="29">
        <v>57.1753</v>
      </c>
      <c r="G287" s="29">
        <v>32.9517</v>
      </c>
      <c r="H287" s="29">
        <v>0.8305</v>
      </c>
      <c r="I287" s="29">
        <v>0.6617</v>
      </c>
      <c r="J287" s="29">
        <v>0.391</v>
      </c>
      <c r="K287" s="29">
        <v>0.0974</v>
      </c>
      <c r="L287" s="29">
        <v>8.8526</v>
      </c>
      <c r="M287" s="29" t="s">
        <v>225</v>
      </c>
    </row>
    <row r="288" ht="15.75" customHeight="1">
      <c r="A288" s="29" t="s">
        <v>603</v>
      </c>
      <c r="B288" s="29" t="s">
        <v>1679</v>
      </c>
      <c r="C288" s="29">
        <v>0.0</v>
      </c>
      <c r="D288" s="29" t="s">
        <v>60</v>
      </c>
      <c r="E288" s="29">
        <v>0.6609</v>
      </c>
      <c r="F288" s="29">
        <v>57.1511</v>
      </c>
      <c r="G288" s="29">
        <v>33.3212</v>
      </c>
      <c r="H288" s="29">
        <v>0.863</v>
      </c>
      <c r="I288" s="29">
        <v>0.6462</v>
      </c>
      <c r="J288" s="29">
        <v>0.4054</v>
      </c>
      <c r="K288" s="29">
        <v>0.115</v>
      </c>
      <c r="L288" s="29">
        <v>8.7812</v>
      </c>
      <c r="M288" s="29" t="s">
        <v>225</v>
      </c>
    </row>
    <row r="289" ht="15.75" customHeight="1">
      <c r="A289" s="29" t="s">
        <v>735</v>
      </c>
      <c r="B289" s="29" t="s">
        <v>1683</v>
      </c>
      <c r="C289" s="29">
        <v>0.0</v>
      </c>
      <c r="D289" s="29" t="s">
        <v>60</v>
      </c>
      <c r="E289" s="29">
        <v>0.6593</v>
      </c>
      <c r="F289" s="29">
        <v>56.9987</v>
      </c>
      <c r="G289" s="29">
        <v>34.2652</v>
      </c>
      <c r="H289" s="29">
        <v>0.8641</v>
      </c>
      <c r="I289" s="29">
        <v>0.6094</v>
      </c>
      <c r="J289" s="29">
        <v>0.4044</v>
      </c>
      <c r="K289" s="29">
        <v>0.1168</v>
      </c>
      <c r="L289" s="29">
        <v>8.7912</v>
      </c>
      <c r="M289" s="29" t="s">
        <v>225</v>
      </c>
    </row>
    <row r="290" ht="15.75" customHeight="1">
      <c r="A290" s="29" t="s">
        <v>1687</v>
      </c>
      <c r="B290" s="29" t="s">
        <v>1688</v>
      </c>
      <c r="C290" s="29">
        <v>0.0</v>
      </c>
      <c r="D290" s="29" t="s">
        <v>60</v>
      </c>
      <c r="E290" s="29">
        <v>0.4038</v>
      </c>
      <c r="F290" s="29">
        <v>56.9952</v>
      </c>
      <c r="G290" s="29">
        <v>31.5734</v>
      </c>
      <c r="H290" s="29">
        <v>0.769</v>
      </c>
      <c r="I290" s="29">
        <v>0.718</v>
      </c>
      <c r="J290" s="29">
        <v>0.5479</v>
      </c>
      <c r="K290" s="29">
        <v>0.1082</v>
      </c>
      <c r="L290" s="29">
        <v>7.471</v>
      </c>
      <c r="M290" s="29" t="s">
        <v>225</v>
      </c>
    </row>
    <row r="291" ht="15.75" customHeight="1">
      <c r="A291" s="29" t="s">
        <v>282</v>
      </c>
      <c r="B291" s="29" t="s">
        <v>1691</v>
      </c>
      <c r="C291" s="29">
        <v>0.0</v>
      </c>
      <c r="D291" s="29" t="s">
        <v>60</v>
      </c>
      <c r="E291" s="29">
        <v>0.6572</v>
      </c>
      <c r="F291" s="29">
        <v>56.9502</v>
      </c>
      <c r="G291" s="29">
        <v>33.1467</v>
      </c>
      <c r="H291" s="29">
        <v>0.829</v>
      </c>
      <c r="I291" s="29">
        <v>0.6514</v>
      </c>
      <c r="J291" s="29">
        <v>0.3862</v>
      </c>
      <c r="K291" s="29">
        <v>0.0925</v>
      </c>
      <c r="L291" s="29">
        <v>8.8847</v>
      </c>
      <c r="M291" s="29" t="s">
        <v>225</v>
      </c>
    </row>
    <row r="292" ht="15.75" customHeight="1">
      <c r="A292" s="29" t="s">
        <v>676</v>
      </c>
      <c r="B292" s="29" t="s">
        <v>1695</v>
      </c>
      <c r="C292" s="29">
        <v>0.0</v>
      </c>
      <c r="D292" s="29" t="s">
        <v>60</v>
      </c>
      <c r="E292" s="29">
        <v>0.7122</v>
      </c>
      <c r="F292" s="29">
        <v>56.9017</v>
      </c>
      <c r="G292" s="29">
        <v>32.9907</v>
      </c>
      <c r="H292" s="29">
        <v>0.6263</v>
      </c>
      <c r="I292" s="29">
        <v>0.6551</v>
      </c>
      <c r="J292" s="29">
        <v>0.4818</v>
      </c>
      <c r="K292" s="29">
        <v>0.1638</v>
      </c>
      <c r="L292" s="29">
        <v>8.0005</v>
      </c>
      <c r="M292" s="29" t="s">
        <v>225</v>
      </c>
    </row>
    <row r="293" ht="15.75" customHeight="1">
      <c r="A293" s="29" t="s">
        <v>1129</v>
      </c>
      <c r="B293" s="29" t="s">
        <v>1698</v>
      </c>
      <c r="C293" s="29">
        <v>0.0</v>
      </c>
      <c r="D293" s="29" t="s">
        <v>60</v>
      </c>
      <c r="E293" s="29">
        <v>0.419</v>
      </c>
      <c r="F293" s="29">
        <v>56.8463</v>
      </c>
      <c r="G293" s="29">
        <v>31.0253</v>
      </c>
      <c r="H293" s="29">
        <v>0.68</v>
      </c>
      <c r="I293" s="29">
        <v>0.7421</v>
      </c>
      <c r="J293" s="29">
        <v>0.5402</v>
      </c>
      <c r="K293" s="29">
        <v>0.1337</v>
      </c>
      <c r="L293" s="29">
        <v>7.561</v>
      </c>
      <c r="M293" s="29" t="s">
        <v>225</v>
      </c>
    </row>
    <row r="294" ht="15.75" customHeight="1">
      <c r="A294" s="29" t="s">
        <v>731</v>
      </c>
      <c r="B294" s="29" t="s">
        <v>1702</v>
      </c>
      <c r="C294" s="29">
        <v>0.0</v>
      </c>
      <c r="D294" s="29" t="s">
        <v>60</v>
      </c>
      <c r="E294" s="29">
        <v>0.6436</v>
      </c>
      <c r="F294" s="29">
        <v>56.8428</v>
      </c>
      <c r="G294" s="29">
        <v>41.8251</v>
      </c>
      <c r="H294" s="29">
        <v>0.6077</v>
      </c>
      <c r="I294" s="29">
        <v>0.4083</v>
      </c>
      <c r="J294" s="29">
        <v>0.3933</v>
      </c>
      <c r="K294" s="29">
        <v>0.1215</v>
      </c>
      <c r="L294" s="29">
        <v>8.8907</v>
      </c>
      <c r="M294" s="29" t="s">
        <v>225</v>
      </c>
    </row>
    <row r="295" ht="15.75" customHeight="1">
      <c r="A295" s="29" t="s">
        <v>518</v>
      </c>
      <c r="B295" s="29" t="s">
        <v>1705</v>
      </c>
      <c r="C295" s="29">
        <v>0.0</v>
      </c>
      <c r="D295" s="29" t="s">
        <v>60</v>
      </c>
      <c r="E295" s="29">
        <v>0.6031</v>
      </c>
      <c r="F295" s="29">
        <v>56.8255</v>
      </c>
      <c r="G295" s="29">
        <v>36.9249</v>
      </c>
      <c r="H295" s="29">
        <v>0.7735</v>
      </c>
      <c r="I295" s="29">
        <v>0.5232</v>
      </c>
      <c r="J295" s="29">
        <v>0.45</v>
      </c>
      <c r="K295" s="29">
        <v>0.0985</v>
      </c>
      <c r="L295" s="29">
        <v>8.7416</v>
      </c>
      <c r="M295" s="29" t="s">
        <v>225</v>
      </c>
    </row>
    <row r="296" ht="15.75" customHeight="1">
      <c r="A296" s="29" t="s">
        <v>374</v>
      </c>
      <c r="B296" s="29" t="s">
        <v>1709</v>
      </c>
      <c r="C296" s="29">
        <v>0.0</v>
      </c>
      <c r="D296" s="29" t="s">
        <v>60</v>
      </c>
      <c r="E296" s="29">
        <v>0.6049</v>
      </c>
      <c r="F296" s="29">
        <v>56.8255</v>
      </c>
      <c r="G296" s="29">
        <v>37.2477</v>
      </c>
      <c r="H296" s="29">
        <v>0.7724</v>
      </c>
      <c r="I296" s="29">
        <v>0.5147</v>
      </c>
      <c r="J296" s="29">
        <v>0.4398</v>
      </c>
      <c r="K296" s="29">
        <v>0.0838</v>
      </c>
      <c r="L296" s="29">
        <v>8.8131</v>
      </c>
      <c r="M296" s="29" t="s">
        <v>225</v>
      </c>
    </row>
    <row r="297" ht="15.75" customHeight="1">
      <c r="A297" s="29" t="s">
        <v>615</v>
      </c>
      <c r="B297" s="29" t="s">
        <v>1713</v>
      </c>
      <c r="C297" s="29">
        <v>0.0</v>
      </c>
      <c r="D297" s="29" t="s">
        <v>60</v>
      </c>
      <c r="E297" s="29">
        <v>0.6129</v>
      </c>
      <c r="F297" s="29">
        <v>56.8117</v>
      </c>
      <c r="G297" s="29">
        <v>36.7992</v>
      </c>
      <c r="H297" s="29">
        <v>0.7579</v>
      </c>
      <c r="I297" s="29">
        <v>0.5272</v>
      </c>
      <c r="J297" s="29">
        <v>0.4383</v>
      </c>
      <c r="K297" s="29">
        <v>0.0959</v>
      </c>
      <c r="L297" s="29">
        <v>8.7781</v>
      </c>
      <c r="M297" s="29" t="s">
        <v>225</v>
      </c>
    </row>
    <row r="298" ht="15.75" customHeight="1">
      <c r="A298" s="29" t="s">
        <v>808</v>
      </c>
      <c r="B298" s="29" t="s">
        <v>1716</v>
      </c>
      <c r="C298" s="29">
        <v>0.0</v>
      </c>
      <c r="D298" s="29" t="s">
        <v>60</v>
      </c>
      <c r="E298" s="29">
        <v>0.6402</v>
      </c>
      <c r="F298" s="29">
        <v>56.7701</v>
      </c>
      <c r="G298" s="29">
        <v>37.7722</v>
      </c>
      <c r="H298" s="29">
        <v>0.6299</v>
      </c>
      <c r="I298" s="29">
        <v>0.499</v>
      </c>
      <c r="J298" s="29">
        <v>0.3866</v>
      </c>
      <c r="K298" s="29">
        <v>0.1128</v>
      </c>
      <c r="L298" s="29">
        <v>8.9568</v>
      </c>
      <c r="M298" s="29" t="s">
        <v>225</v>
      </c>
    </row>
    <row r="299" ht="15.75" customHeight="1">
      <c r="A299" s="29" t="s">
        <v>488</v>
      </c>
      <c r="B299" s="29" t="s">
        <v>1720</v>
      </c>
      <c r="C299" s="29">
        <v>0.0</v>
      </c>
      <c r="D299" s="29" t="s">
        <v>60</v>
      </c>
      <c r="E299" s="29">
        <v>0.566</v>
      </c>
      <c r="F299" s="29">
        <v>56.732</v>
      </c>
      <c r="G299" s="29">
        <v>39.3949</v>
      </c>
      <c r="H299" s="29">
        <v>0.7666</v>
      </c>
      <c r="I299" s="29">
        <v>0.4594</v>
      </c>
      <c r="J299" s="29">
        <v>0.4396</v>
      </c>
      <c r="K299" s="29">
        <v>0.0931</v>
      </c>
      <c r="L299" s="29">
        <v>8.7838</v>
      </c>
      <c r="M299" s="29" t="s">
        <v>225</v>
      </c>
    </row>
    <row r="300" ht="15.75" customHeight="1">
      <c r="A300" s="29" t="s">
        <v>446</v>
      </c>
      <c r="B300" s="29" t="s">
        <v>1723</v>
      </c>
      <c r="C300" s="29">
        <v>0.0</v>
      </c>
      <c r="D300" s="29" t="s">
        <v>60</v>
      </c>
      <c r="E300" s="29">
        <v>0.7359</v>
      </c>
      <c r="F300" s="29">
        <v>56.7078</v>
      </c>
      <c r="G300" s="29">
        <v>31.6901</v>
      </c>
      <c r="H300" s="29">
        <v>0.7257</v>
      </c>
      <c r="I300" s="29">
        <v>0.7096</v>
      </c>
      <c r="J300" s="29">
        <v>0.3805</v>
      </c>
      <c r="K300" s="29">
        <v>0.1265</v>
      </c>
      <c r="L300" s="29">
        <v>8.6561</v>
      </c>
      <c r="M300" s="29" t="s">
        <v>225</v>
      </c>
    </row>
    <row r="301" ht="15.75" customHeight="1">
      <c r="A301" s="29" t="s">
        <v>719</v>
      </c>
      <c r="B301" s="29" t="s">
        <v>1727</v>
      </c>
      <c r="C301" s="29">
        <v>0.0</v>
      </c>
      <c r="D301" s="29" t="s">
        <v>60</v>
      </c>
      <c r="E301" s="29">
        <v>0.7053</v>
      </c>
      <c r="F301" s="29">
        <v>56.7043</v>
      </c>
      <c r="G301" s="29">
        <v>35.1016</v>
      </c>
      <c r="H301" s="29">
        <v>0.6153</v>
      </c>
      <c r="I301" s="29">
        <v>0.5781</v>
      </c>
      <c r="J301" s="29">
        <v>0.478</v>
      </c>
      <c r="K301" s="29">
        <v>0.1556</v>
      </c>
      <c r="L301" s="29">
        <v>8.0254</v>
      </c>
      <c r="M301" s="29" t="s">
        <v>225</v>
      </c>
    </row>
    <row r="302" ht="15.75" customHeight="1">
      <c r="A302" s="29" t="s">
        <v>438</v>
      </c>
      <c r="B302" s="29" t="s">
        <v>1731</v>
      </c>
      <c r="C302" s="29">
        <v>0.0</v>
      </c>
      <c r="D302" s="29" t="s">
        <v>60</v>
      </c>
      <c r="E302" s="29">
        <v>0.6586</v>
      </c>
      <c r="F302" s="29">
        <v>56.6697</v>
      </c>
      <c r="G302" s="29">
        <v>33.4124</v>
      </c>
      <c r="H302" s="29">
        <v>0.8258</v>
      </c>
      <c r="I302" s="29">
        <v>0.6379</v>
      </c>
      <c r="J302" s="29">
        <v>0.3938</v>
      </c>
      <c r="K302" s="29">
        <v>0.1019</v>
      </c>
      <c r="L302" s="29">
        <v>8.8347</v>
      </c>
      <c r="M302" s="29" t="s">
        <v>225</v>
      </c>
    </row>
    <row r="303" ht="15.75" customHeight="1">
      <c r="A303" s="29" t="s">
        <v>745</v>
      </c>
      <c r="B303" s="29" t="s">
        <v>1734</v>
      </c>
      <c r="C303" s="29">
        <v>0.0</v>
      </c>
      <c r="D303" s="29" t="s">
        <v>60</v>
      </c>
      <c r="E303" s="29">
        <v>0.6233</v>
      </c>
      <c r="F303" s="29">
        <v>56.6454</v>
      </c>
      <c r="G303" s="29">
        <v>34.9571</v>
      </c>
      <c r="H303" s="29">
        <v>0.6339</v>
      </c>
      <c r="I303" s="29">
        <v>0.5786</v>
      </c>
      <c r="J303" s="29">
        <v>0.3807</v>
      </c>
      <c r="K303" s="29">
        <v>0.0987</v>
      </c>
      <c r="L303" s="29">
        <v>9.0499</v>
      </c>
      <c r="M303" s="29" t="s">
        <v>225</v>
      </c>
    </row>
    <row r="304" ht="15.75" customHeight="1">
      <c r="A304" s="29" t="s">
        <v>655</v>
      </c>
      <c r="B304" s="29" t="s">
        <v>1737</v>
      </c>
      <c r="C304" s="29">
        <v>0.0</v>
      </c>
      <c r="D304" s="29" t="s">
        <v>60</v>
      </c>
      <c r="E304" s="29">
        <v>0.476</v>
      </c>
      <c r="F304" s="29">
        <v>56.5727</v>
      </c>
      <c r="G304" s="29">
        <v>32.0282</v>
      </c>
      <c r="H304" s="29">
        <v>0.6973</v>
      </c>
      <c r="I304" s="29">
        <v>0.693</v>
      </c>
      <c r="J304" s="29">
        <v>0.5599</v>
      </c>
      <c r="K304" s="29">
        <v>0.1111</v>
      </c>
      <c r="L304" s="29">
        <v>7.4463</v>
      </c>
      <c r="M304" s="29" t="s">
        <v>225</v>
      </c>
    </row>
    <row r="305" ht="15.75" customHeight="1">
      <c r="A305" s="29" t="s">
        <v>721</v>
      </c>
      <c r="B305" s="29" t="s">
        <v>1741</v>
      </c>
      <c r="C305" s="29">
        <v>0.0</v>
      </c>
      <c r="D305" s="29" t="s">
        <v>60</v>
      </c>
      <c r="E305" s="29">
        <v>0.7087</v>
      </c>
      <c r="F305" s="29">
        <v>56.545</v>
      </c>
      <c r="G305" s="29">
        <v>32.3757</v>
      </c>
      <c r="H305" s="29">
        <v>0.594</v>
      </c>
      <c r="I305" s="29">
        <v>0.6778</v>
      </c>
      <c r="J305" s="29">
        <v>0.473</v>
      </c>
      <c r="K305" s="29">
        <v>0.138</v>
      </c>
      <c r="L305" s="29">
        <v>8.1265</v>
      </c>
      <c r="M305" s="29" t="s">
        <v>225</v>
      </c>
    </row>
    <row r="306" ht="15.75" customHeight="1">
      <c r="A306" s="29" t="s">
        <v>1744</v>
      </c>
      <c r="B306" s="29" t="s">
        <v>1745</v>
      </c>
      <c r="C306" s="29">
        <v>0.0</v>
      </c>
      <c r="D306" s="29" t="s">
        <v>60</v>
      </c>
      <c r="E306" s="29">
        <v>0.745</v>
      </c>
      <c r="F306" s="29">
        <v>56.5104</v>
      </c>
      <c r="G306" s="29">
        <v>31.532</v>
      </c>
      <c r="H306" s="29">
        <v>0.754</v>
      </c>
      <c r="I306" s="29">
        <v>0.7142</v>
      </c>
      <c r="J306" s="29">
        <v>0.3812</v>
      </c>
      <c r="K306" s="29">
        <v>0.1329</v>
      </c>
      <c r="L306" s="29">
        <v>8.6196</v>
      </c>
      <c r="M306" s="29" t="s">
        <v>225</v>
      </c>
    </row>
    <row r="307" ht="15.75" customHeight="1">
      <c r="A307" s="29" t="s">
        <v>1158</v>
      </c>
      <c r="B307" s="29" t="s">
        <v>1748</v>
      </c>
      <c r="C307" s="29">
        <v>0.0</v>
      </c>
      <c r="D307" s="29" t="s">
        <v>60</v>
      </c>
      <c r="E307" s="29">
        <v>0.7006</v>
      </c>
      <c r="F307" s="29">
        <v>56.4896</v>
      </c>
      <c r="G307" s="29">
        <v>32.4255</v>
      </c>
      <c r="H307" s="29">
        <v>0.6511</v>
      </c>
      <c r="I307" s="29">
        <v>0.6752</v>
      </c>
      <c r="J307" s="29">
        <v>0.3566</v>
      </c>
      <c r="K307" s="29">
        <v>0.0642</v>
      </c>
      <c r="L307" s="29">
        <v>9.2585</v>
      </c>
      <c r="M307" s="29" t="s">
        <v>225</v>
      </c>
    </row>
    <row r="308" ht="15.75" customHeight="1">
      <c r="A308" s="29" t="s">
        <v>1751</v>
      </c>
      <c r="B308" s="29" t="s">
        <v>1752</v>
      </c>
      <c r="C308" s="29">
        <v>0.0</v>
      </c>
      <c r="D308" s="29" t="s">
        <v>60</v>
      </c>
      <c r="E308" s="29">
        <v>0.7467</v>
      </c>
      <c r="F308" s="29">
        <v>56.3753</v>
      </c>
      <c r="G308" s="29">
        <v>31.3917</v>
      </c>
      <c r="H308" s="29">
        <v>0.7403</v>
      </c>
      <c r="I308" s="29">
        <v>0.7189</v>
      </c>
      <c r="J308" s="29">
        <v>0.3778</v>
      </c>
      <c r="K308" s="29">
        <v>0.1268</v>
      </c>
      <c r="L308" s="29">
        <v>8.6796</v>
      </c>
      <c r="M308" s="29" t="s">
        <v>225</v>
      </c>
    </row>
    <row r="309" ht="15.75" customHeight="1">
      <c r="A309" s="29" t="s">
        <v>1755</v>
      </c>
      <c r="B309" s="29" t="s">
        <v>1756</v>
      </c>
      <c r="C309" s="29">
        <v>0.0</v>
      </c>
      <c r="D309" s="29" t="s">
        <v>60</v>
      </c>
      <c r="E309" s="29">
        <v>0.7324</v>
      </c>
      <c r="F309" s="29">
        <v>56.358</v>
      </c>
      <c r="G309" s="29">
        <v>31.3168</v>
      </c>
      <c r="H309" s="29">
        <v>0.7464</v>
      </c>
      <c r="I309" s="29">
        <v>0.7221</v>
      </c>
      <c r="J309" s="29">
        <v>0.3857</v>
      </c>
      <c r="K309" s="29">
        <v>0.1367</v>
      </c>
      <c r="L309" s="29">
        <v>8.5717</v>
      </c>
      <c r="M309" s="29" t="s">
        <v>225</v>
      </c>
    </row>
    <row r="310" ht="15.75" customHeight="1">
      <c r="A310" s="29" t="s">
        <v>872</v>
      </c>
      <c r="B310" s="29" t="s">
        <v>1760</v>
      </c>
      <c r="C310" s="29">
        <v>0.0</v>
      </c>
      <c r="D310" s="29" t="s">
        <v>60</v>
      </c>
      <c r="E310" s="29">
        <v>0.649</v>
      </c>
      <c r="F310" s="29">
        <v>56.3337</v>
      </c>
      <c r="G310" s="29">
        <v>35.0362</v>
      </c>
      <c r="H310" s="29">
        <v>0.8713</v>
      </c>
      <c r="I310" s="29">
        <v>0.5761</v>
      </c>
      <c r="J310" s="29">
        <v>0.4125</v>
      </c>
      <c r="K310" s="29">
        <v>0.1341</v>
      </c>
      <c r="L310" s="29">
        <v>8.6649</v>
      </c>
      <c r="M310" s="29" t="s">
        <v>225</v>
      </c>
    </row>
    <row r="311" ht="15.75" customHeight="1">
      <c r="A311" s="29" t="s">
        <v>261</v>
      </c>
      <c r="B311" s="29" t="s">
        <v>1763</v>
      </c>
      <c r="C311" s="29">
        <v>0.0</v>
      </c>
      <c r="D311" s="29" t="s">
        <v>60</v>
      </c>
      <c r="E311" s="29">
        <v>0.6734</v>
      </c>
      <c r="F311" s="29">
        <v>56.3337</v>
      </c>
      <c r="G311" s="29">
        <v>34.9369</v>
      </c>
      <c r="H311" s="29">
        <v>0.824</v>
      </c>
      <c r="I311" s="29">
        <v>0.58</v>
      </c>
      <c r="J311" s="29">
        <v>0.401</v>
      </c>
      <c r="K311" s="29">
        <v>0.1143</v>
      </c>
      <c r="L311" s="29">
        <v>8.7658</v>
      </c>
      <c r="M311" s="29" t="s">
        <v>225</v>
      </c>
    </row>
    <row r="312" ht="15.75" customHeight="1">
      <c r="A312" s="29" t="s">
        <v>840</v>
      </c>
      <c r="B312" s="29" t="s">
        <v>1766</v>
      </c>
      <c r="C312" s="29">
        <v>0.0</v>
      </c>
      <c r="D312" s="29" t="s">
        <v>60</v>
      </c>
      <c r="E312" s="29">
        <v>0.6513</v>
      </c>
      <c r="F312" s="29">
        <v>56.2368</v>
      </c>
      <c r="G312" s="29">
        <v>34.277</v>
      </c>
      <c r="H312" s="29">
        <v>0.8607</v>
      </c>
      <c r="I312" s="29">
        <v>0.6015</v>
      </c>
      <c r="J312" s="29">
        <v>0.3967</v>
      </c>
      <c r="K312" s="29">
        <v>0.1062</v>
      </c>
      <c r="L312" s="29">
        <v>8.8167</v>
      </c>
      <c r="M312" s="29" t="s">
        <v>225</v>
      </c>
    </row>
    <row r="313" ht="15.75" customHeight="1">
      <c r="A313" s="29" t="s">
        <v>671</v>
      </c>
      <c r="B313" s="29" t="s">
        <v>1769</v>
      </c>
      <c r="C313" s="29">
        <v>0.0</v>
      </c>
      <c r="D313" s="29" t="s">
        <v>60</v>
      </c>
      <c r="E313" s="29">
        <v>0.7096</v>
      </c>
      <c r="F313" s="29">
        <v>56.2125</v>
      </c>
      <c r="G313" s="29">
        <v>33.145</v>
      </c>
      <c r="H313" s="29">
        <v>0.6418</v>
      </c>
      <c r="I313" s="29">
        <v>0.6428</v>
      </c>
      <c r="J313" s="29">
        <v>0.4774</v>
      </c>
      <c r="K313" s="29">
        <v>0.1499</v>
      </c>
      <c r="L313" s="29">
        <v>8.0663</v>
      </c>
      <c r="M313" s="29" t="s">
        <v>225</v>
      </c>
    </row>
    <row r="314" ht="15.75" customHeight="1">
      <c r="A314" s="29" t="s">
        <v>782</v>
      </c>
      <c r="B314" s="29" t="s">
        <v>1772</v>
      </c>
      <c r="C314" s="29">
        <v>0.0</v>
      </c>
      <c r="D314" s="29" t="s">
        <v>60</v>
      </c>
      <c r="E314" s="29">
        <v>0.6987</v>
      </c>
      <c r="F314" s="29">
        <v>56.1917</v>
      </c>
      <c r="G314" s="29">
        <v>33.48</v>
      </c>
      <c r="H314" s="29">
        <v>0.6195</v>
      </c>
      <c r="I314" s="29">
        <v>0.6295</v>
      </c>
      <c r="J314" s="29">
        <v>0.486</v>
      </c>
      <c r="K314" s="29">
        <v>0.1624</v>
      </c>
      <c r="L314" s="29">
        <v>7.986</v>
      </c>
      <c r="M314" s="29" t="s">
        <v>225</v>
      </c>
    </row>
    <row r="315" ht="15.75" customHeight="1">
      <c r="A315" s="29" t="s">
        <v>894</v>
      </c>
      <c r="B315" s="29" t="s">
        <v>1775</v>
      </c>
      <c r="C315" s="29">
        <v>0.0</v>
      </c>
      <c r="D315" s="29" t="s">
        <v>60</v>
      </c>
      <c r="E315" s="29">
        <v>0.6473</v>
      </c>
      <c r="F315" s="29">
        <v>56.1606</v>
      </c>
      <c r="G315" s="29">
        <v>34.2526</v>
      </c>
      <c r="H315" s="29">
        <v>0.8629</v>
      </c>
      <c r="I315" s="29">
        <v>0.6004</v>
      </c>
      <c r="J315" s="29">
        <v>0.4236</v>
      </c>
      <c r="K315" s="29">
        <v>0.1443</v>
      </c>
      <c r="L315" s="29">
        <v>8.5965</v>
      </c>
      <c r="M315" s="29" t="s">
        <v>225</v>
      </c>
    </row>
    <row r="316" ht="15.75" customHeight="1">
      <c r="A316" s="29" t="s">
        <v>466</v>
      </c>
      <c r="B316" s="29" t="s">
        <v>1779</v>
      </c>
      <c r="C316" s="29">
        <v>0.0</v>
      </c>
      <c r="D316" s="29" t="s">
        <v>60</v>
      </c>
      <c r="E316" s="29">
        <v>0.6451</v>
      </c>
      <c r="F316" s="29">
        <v>56.1536</v>
      </c>
      <c r="G316" s="29">
        <v>33.723</v>
      </c>
      <c r="H316" s="29">
        <v>0.8646</v>
      </c>
      <c r="I316" s="29">
        <v>0.6202</v>
      </c>
      <c r="J316" s="29">
        <v>0.397</v>
      </c>
      <c r="K316" s="29">
        <v>0.1046</v>
      </c>
      <c r="L316" s="29">
        <v>8.8377</v>
      </c>
      <c r="M316" s="29" t="s">
        <v>225</v>
      </c>
    </row>
    <row r="317" ht="15.75" customHeight="1">
      <c r="A317" s="29" t="s">
        <v>1782</v>
      </c>
      <c r="B317" s="29" t="s">
        <v>1783</v>
      </c>
      <c r="C317" s="29">
        <v>0.0</v>
      </c>
      <c r="D317" s="29" t="s">
        <v>60</v>
      </c>
      <c r="E317" s="29">
        <v>0.7574</v>
      </c>
      <c r="F317" s="29">
        <v>56.1433</v>
      </c>
      <c r="G317" s="29">
        <v>32.3193</v>
      </c>
      <c r="H317" s="29">
        <v>0.7398</v>
      </c>
      <c r="I317" s="29">
        <v>0.6754</v>
      </c>
      <c r="J317" s="29">
        <v>0.3904</v>
      </c>
      <c r="K317" s="29">
        <v>0.142</v>
      </c>
      <c r="L317" s="29">
        <v>8.5892</v>
      </c>
      <c r="M317" s="29" t="s">
        <v>225</v>
      </c>
    </row>
    <row r="318" ht="15.75" customHeight="1">
      <c r="A318" s="29" t="s">
        <v>1776</v>
      </c>
      <c r="B318" s="29" t="s">
        <v>1787</v>
      </c>
      <c r="C318" s="29">
        <v>0.0</v>
      </c>
      <c r="D318" s="29" t="s">
        <v>60</v>
      </c>
      <c r="E318" s="29">
        <v>0.6974</v>
      </c>
      <c r="F318" s="29">
        <v>56.119</v>
      </c>
      <c r="G318" s="29">
        <v>38.0901</v>
      </c>
      <c r="H318" s="29">
        <v>0.6719</v>
      </c>
      <c r="I318" s="29">
        <v>0.4861</v>
      </c>
      <c r="J318" s="29">
        <v>0.3563</v>
      </c>
      <c r="K318" s="29">
        <v>0.0732</v>
      </c>
      <c r="L318" s="29">
        <v>9.2506</v>
      </c>
      <c r="M318" s="29" t="s">
        <v>225</v>
      </c>
    </row>
    <row r="319" ht="15.75" customHeight="1">
      <c r="A319" s="29" t="s">
        <v>540</v>
      </c>
      <c r="B319" s="29" t="s">
        <v>1790</v>
      </c>
      <c r="C319" s="29">
        <v>0.0</v>
      </c>
      <c r="D319" s="29" t="s">
        <v>60</v>
      </c>
      <c r="E319" s="29">
        <v>0.6351</v>
      </c>
      <c r="F319" s="29">
        <v>56.0705</v>
      </c>
      <c r="G319" s="29">
        <v>33.995</v>
      </c>
      <c r="H319" s="29">
        <v>0.8607</v>
      </c>
      <c r="I319" s="29">
        <v>0.6089</v>
      </c>
      <c r="J319" s="29">
        <v>0.4399</v>
      </c>
      <c r="K319" s="29">
        <v>0.1471</v>
      </c>
      <c r="L319" s="29">
        <v>8.491</v>
      </c>
      <c r="M319" s="29" t="s">
        <v>225</v>
      </c>
    </row>
    <row r="320" ht="15.75" customHeight="1">
      <c r="A320" s="29" t="s">
        <v>642</v>
      </c>
      <c r="B320" s="29" t="s">
        <v>1793</v>
      </c>
      <c r="C320" s="29">
        <v>0.0</v>
      </c>
      <c r="D320" s="29" t="s">
        <v>60</v>
      </c>
      <c r="E320" s="29">
        <v>0.3476</v>
      </c>
      <c r="F320" s="29">
        <v>56.0671</v>
      </c>
      <c r="G320" s="29">
        <v>32.4116</v>
      </c>
      <c r="H320" s="29">
        <v>0.6573</v>
      </c>
      <c r="I320" s="29">
        <v>0.6707</v>
      </c>
      <c r="J320" s="29">
        <v>0.3537</v>
      </c>
      <c r="K320" s="29">
        <v>0.0879</v>
      </c>
      <c r="L320" s="29">
        <v>9.1082</v>
      </c>
      <c r="M320" s="29" t="s">
        <v>225</v>
      </c>
    </row>
    <row r="321" ht="15.75" customHeight="1">
      <c r="A321" s="29" t="s">
        <v>730</v>
      </c>
      <c r="B321" s="29" t="s">
        <v>1796</v>
      </c>
      <c r="C321" s="29">
        <v>0.0</v>
      </c>
      <c r="D321" s="29" t="s">
        <v>60</v>
      </c>
      <c r="E321" s="29">
        <v>0.2988</v>
      </c>
      <c r="F321" s="29">
        <v>56.0532</v>
      </c>
      <c r="G321" s="29">
        <v>30.7983</v>
      </c>
      <c r="H321" s="29">
        <v>0.6723</v>
      </c>
      <c r="I321" s="29">
        <v>0.7426</v>
      </c>
      <c r="J321" s="29">
        <v>0.3454</v>
      </c>
      <c r="K321" s="29">
        <v>0.0771</v>
      </c>
      <c r="L321" s="29">
        <v>9.156</v>
      </c>
      <c r="M321" s="29" t="s">
        <v>225</v>
      </c>
    </row>
    <row r="322" ht="15.75" customHeight="1">
      <c r="A322" s="29" t="s">
        <v>347</v>
      </c>
      <c r="B322" s="29" t="s">
        <v>1798</v>
      </c>
      <c r="C322" s="29">
        <v>0.0</v>
      </c>
      <c r="D322" s="29" t="s">
        <v>60</v>
      </c>
      <c r="E322" s="29">
        <v>0.657</v>
      </c>
      <c r="F322" s="29">
        <v>56.0082</v>
      </c>
      <c r="G322" s="29">
        <v>33.3274</v>
      </c>
      <c r="H322" s="29">
        <v>0.822</v>
      </c>
      <c r="I322" s="29">
        <v>0.6337</v>
      </c>
      <c r="J322" s="29">
        <v>0.3864</v>
      </c>
      <c r="K322" s="29">
        <v>0.0943</v>
      </c>
      <c r="L322" s="29">
        <v>8.8844</v>
      </c>
      <c r="M322" s="29" t="s">
        <v>225</v>
      </c>
    </row>
    <row r="323" ht="15.75" customHeight="1">
      <c r="A323" s="29" t="s">
        <v>1082</v>
      </c>
      <c r="B323" s="29" t="s">
        <v>1801</v>
      </c>
      <c r="C323" s="29">
        <v>0.0</v>
      </c>
      <c r="D323" s="29" t="s">
        <v>60</v>
      </c>
      <c r="E323" s="29">
        <v>0.706</v>
      </c>
      <c r="F323" s="29">
        <v>55.9839</v>
      </c>
      <c r="G323" s="29">
        <v>30.9066</v>
      </c>
      <c r="H323" s="29">
        <v>0.75</v>
      </c>
      <c r="I323" s="29">
        <v>0.7365</v>
      </c>
      <c r="J323" s="29">
        <v>0.3806</v>
      </c>
      <c r="K323" s="29">
        <v>0.1113</v>
      </c>
      <c r="L323" s="29">
        <v>8.3617</v>
      </c>
      <c r="M323" s="29" t="s">
        <v>225</v>
      </c>
    </row>
    <row r="324" ht="15.75" customHeight="1">
      <c r="A324" s="29" t="s">
        <v>558</v>
      </c>
      <c r="B324" s="29" t="s">
        <v>1804</v>
      </c>
      <c r="C324" s="29">
        <v>0.0</v>
      </c>
      <c r="D324" s="29" t="s">
        <v>60</v>
      </c>
      <c r="E324" s="29">
        <v>0.3081</v>
      </c>
      <c r="F324" s="29">
        <v>55.9528</v>
      </c>
      <c r="G324" s="29">
        <v>33.4305</v>
      </c>
      <c r="H324" s="29">
        <v>0.6567</v>
      </c>
      <c r="I324" s="29">
        <v>0.6291</v>
      </c>
      <c r="J324" s="29">
        <v>0.3524</v>
      </c>
      <c r="K324" s="29">
        <v>0.0882</v>
      </c>
      <c r="L324" s="29">
        <v>9.1166</v>
      </c>
      <c r="M324" s="29" t="s">
        <v>225</v>
      </c>
    </row>
    <row r="325" ht="15.75" customHeight="1">
      <c r="A325" s="29" t="s">
        <v>683</v>
      </c>
      <c r="B325" s="29" t="s">
        <v>1808</v>
      </c>
      <c r="C325" s="29">
        <v>0.0</v>
      </c>
      <c r="D325" s="29" t="s">
        <v>60</v>
      </c>
      <c r="E325" s="29">
        <v>0.6643</v>
      </c>
      <c r="F325" s="29">
        <v>55.9216</v>
      </c>
      <c r="G325" s="29">
        <v>35.1389</v>
      </c>
      <c r="H325" s="29">
        <v>0.5986</v>
      </c>
      <c r="I325" s="29">
        <v>0.5679</v>
      </c>
      <c r="J325" s="29">
        <v>0.5075</v>
      </c>
      <c r="K325" s="29">
        <v>0.2135</v>
      </c>
      <c r="L325" s="29">
        <v>7.6707</v>
      </c>
      <c r="M325" s="29" t="s">
        <v>225</v>
      </c>
    </row>
    <row r="326" ht="15.75" customHeight="1">
      <c r="A326" s="29" t="s">
        <v>45</v>
      </c>
      <c r="B326" s="29" t="s">
        <v>1810</v>
      </c>
      <c r="C326" s="29">
        <v>0.0</v>
      </c>
      <c r="D326" s="29" t="s">
        <v>60</v>
      </c>
      <c r="E326" s="29">
        <v>0.6498</v>
      </c>
      <c r="F326" s="29">
        <v>55.7623</v>
      </c>
      <c r="G326" s="29">
        <v>34.6427</v>
      </c>
      <c r="H326" s="29">
        <v>0.8629</v>
      </c>
      <c r="I326" s="29">
        <v>0.5832</v>
      </c>
      <c r="J326" s="29">
        <v>0.414</v>
      </c>
      <c r="K326" s="29">
        <v>0.1252</v>
      </c>
      <c r="L326" s="29">
        <v>8.7207</v>
      </c>
      <c r="M326" s="29" t="s">
        <v>225</v>
      </c>
    </row>
    <row r="327" ht="15.75" customHeight="1">
      <c r="A327" s="29" t="s">
        <v>741</v>
      </c>
      <c r="B327" s="29" t="s">
        <v>1813</v>
      </c>
      <c r="C327" s="29">
        <v>0.0</v>
      </c>
      <c r="D327" s="29" t="s">
        <v>60</v>
      </c>
      <c r="E327" s="29">
        <v>0.6434</v>
      </c>
      <c r="F327" s="29">
        <v>55.7207</v>
      </c>
      <c r="G327" s="29">
        <v>34.6911</v>
      </c>
      <c r="H327" s="29">
        <v>0.8156</v>
      </c>
      <c r="I327" s="29">
        <v>0.5814</v>
      </c>
      <c r="J327" s="29">
        <v>0.4343</v>
      </c>
      <c r="K327" s="29">
        <v>0.1199</v>
      </c>
      <c r="L327" s="29">
        <v>8.5834</v>
      </c>
      <c r="M327" s="29" t="s">
        <v>225</v>
      </c>
    </row>
    <row r="328" ht="15.75" customHeight="1">
      <c r="A328" s="29" t="s">
        <v>674</v>
      </c>
      <c r="B328" s="29" t="s">
        <v>1815</v>
      </c>
      <c r="C328" s="29">
        <v>0.0</v>
      </c>
      <c r="D328" s="29" t="s">
        <v>60</v>
      </c>
      <c r="E328" s="29">
        <v>0.5932</v>
      </c>
      <c r="F328" s="29">
        <v>55.6584</v>
      </c>
      <c r="G328" s="29">
        <v>34.0963</v>
      </c>
      <c r="H328" s="29">
        <v>0.7981</v>
      </c>
      <c r="I328" s="29">
        <v>0.5934</v>
      </c>
      <c r="J328" s="29">
        <v>0.4699</v>
      </c>
      <c r="K328" s="29">
        <v>0.138</v>
      </c>
      <c r="L328" s="29">
        <v>8.5082</v>
      </c>
      <c r="M328" s="29" t="s">
        <v>225</v>
      </c>
    </row>
    <row r="329" ht="15.75" customHeight="1">
      <c r="A329" s="29" t="s">
        <v>696</v>
      </c>
      <c r="B329" s="29" t="s">
        <v>1820</v>
      </c>
      <c r="C329" s="29">
        <v>0.0</v>
      </c>
      <c r="D329" s="29" t="s">
        <v>60</v>
      </c>
      <c r="E329" s="29">
        <v>0.6604</v>
      </c>
      <c r="F329" s="29">
        <v>55.6549</v>
      </c>
      <c r="G329" s="29">
        <v>33.8954</v>
      </c>
      <c r="H329" s="29">
        <v>0.8626</v>
      </c>
      <c r="I329" s="29">
        <v>0.6084</v>
      </c>
      <c r="J329" s="29">
        <v>0.4146</v>
      </c>
      <c r="K329" s="29">
        <v>0.1283</v>
      </c>
      <c r="L329" s="29">
        <v>8.6886</v>
      </c>
      <c r="M329" s="29" t="s">
        <v>225</v>
      </c>
    </row>
    <row r="330" ht="15.75" customHeight="1">
      <c r="A330" s="29" t="s">
        <v>276</v>
      </c>
      <c r="B330" s="29" t="s">
        <v>1824</v>
      </c>
      <c r="C330" s="29">
        <v>0.0</v>
      </c>
      <c r="D330" s="29" t="s">
        <v>60</v>
      </c>
      <c r="E330" s="29">
        <v>0.5785</v>
      </c>
      <c r="F330" s="29">
        <v>55.6411</v>
      </c>
      <c r="G330" s="29">
        <v>35.2405</v>
      </c>
      <c r="H330" s="29">
        <v>0.756</v>
      </c>
      <c r="I330" s="29">
        <v>0.563</v>
      </c>
      <c r="J330" s="29">
        <v>0.449</v>
      </c>
      <c r="K330" s="29">
        <v>0.0922</v>
      </c>
      <c r="L330" s="29">
        <v>8.7027</v>
      </c>
      <c r="M330" s="29" t="s">
        <v>225</v>
      </c>
    </row>
    <row r="331" ht="15.75" customHeight="1">
      <c r="A331" s="29" t="s">
        <v>219</v>
      </c>
      <c r="B331" s="29" t="s">
        <v>1826</v>
      </c>
      <c r="C331" s="29">
        <v>0.0</v>
      </c>
      <c r="D331" s="29" t="s">
        <v>60</v>
      </c>
      <c r="E331" s="29">
        <v>0.7047</v>
      </c>
      <c r="F331" s="29">
        <v>55.6376</v>
      </c>
      <c r="G331" s="29">
        <v>31.1563</v>
      </c>
      <c r="H331" s="29">
        <v>0.7386</v>
      </c>
      <c r="I331" s="29">
        <v>0.7203</v>
      </c>
      <c r="J331" s="29">
        <v>0.3799</v>
      </c>
      <c r="K331" s="29">
        <v>0.1266</v>
      </c>
      <c r="L331" s="29">
        <v>8.6413</v>
      </c>
      <c r="M331" s="29" t="s">
        <v>225</v>
      </c>
    </row>
    <row r="332" ht="15.75" customHeight="1">
      <c r="A332" s="29" t="s">
        <v>690</v>
      </c>
      <c r="B332" s="29" t="s">
        <v>1829</v>
      </c>
      <c r="C332" s="29">
        <v>0.0</v>
      </c>
      <c r="D332" s="29" t="s">
        <v>60</v>
      </c>
      <c r="E332" s="29">
        <v>0.4712</v>
      </c>
      <c r="F332" s="29">
        <v>55.5476</v>
      </c>
      <c r="G332" s="29">
        <v>29.8769</v>
      </c>
      <c r="H332" s="29">
        <v>0.5862</v>
      </c>
      <c r="I332" s="29">
        <v>0.7814</v>
      </c>
      <c r="J332" s="29">
        <v>0.5383</v>
      </c>
      <c r="K332" s="29">
        <v>0.1032</v>
      </c>
      <c r="L332" s="29">
        <v>7.9839</v>
      </c>
      <c r="M332" s="29" t="s">
        <v>225</v>
      </c>
    </row>
    <row r="333" ht="15.75" customHeight="1">
      <c r="A333" s="29" t="s">
        <v>634</v>
      </c>
      <c r="B333" s="29" t="s">
        <v>1832</v>
      </c>
      <c r="C333" s="29">
        <v>0.0</v>
      </c>
      <c r="D333" s="29" t="s">
        <v>60</v>
      </c>
      <c r="E333" s="29">
        <v>0.6564</v>
      </c>
      <c r="F333" s="29">
        <v>55.5164</v>
      </c>
      <c r="G333" s="29">
        <v>34.4518</v>
      </c>
      <c r="H333" s="29">
        <v>0.849</v>
      </c>
      <c r="I333" s="29">
        <v>0.5867</v>
      </c>
      <c r="J333" s="29">
        <v>0.4102</v>
      </c>
      <c r="K333" s="29">
        <v>0.1262</v>
      </c>
      <c r="L333" s="29">
        <v>8.7207</v>
      </c>
      <c r="M333" s="29" t="s">
        <v>225</v>
      </c>
    </row>
    <row r="334" ht="15.75" customHeight="1">
      <c r="A334" s="29" t="s">
        <v>331</v>
      </c>
      <c r="B334" s="29" t="s">
        <v>1835</v>
      </c>
      <c r="C334" s="29">
        <v>0.0</v>
      </c>
      <c r="D334" s="29" t="s">
        <v>60</v>
      </c>
      <c r="E334" s="29">
        <v>0.659</v>
      </c>
      <c r="F334" s="29">
        <v>55.4541</v>
      </c>
      <c r="G334" s="29">
        <v>32.3472</v>
      </c>
      <c r="H334" s="29">
        <v>0.8283</v>
      </c>
      <c r="I334" s="29">
        <v>0.666</v>
      </c>
      <c r="J334" s="29">
        <v>0.3801</v>
      </c>
      <c r="K334" s="29">
        <v>0.088</v>
      </c>
      <c r="L334" s="29">
        <v>8.9161</v>
      </c>
      <c r="M334" s="29" t="s">
        <v>225</v>
      </c>
    </row>
    <row r="335" ht="15.75" customHeight="1">
      <c r="A335" s="29" t="s">
        <v>687</v>
      </c>
      <c r="B335" s="29" t="s">
        <v>1838</v>
      </c>
      <c r="C335" s="29">
        <v>0.0</v>
      </c>
      <c r="D335" s="29" t="s">
        <v>60</v>
      </c>
      <c r="E335" s="29">
        <v>0.7042</v>
      </c>
      <c r="F335" s="29">
        <v>55.3709</v>
      </c>
      <c r="G335" s="29">
        <v>32.4367</v>
      </c>
      <c r="H335" s="29">
        <v>0.6569</v>
      </c>
      <c r="I335" s="29">
        <v>0.6612</v>
      </c>
      <c r="J335" s="29">
        <v>0.4743</v>
      </c>
      <c r="K335" s="29">
        <v>0.1519</v>
      </c>
      <c r="L335" s="29">
        <v>8.0147</v>
      </c>
      <c r="M335" s="29" t="s">
        <v>225</v>
      </c>
    </row>
    <row r="336" ht="15.75" customHeight="1">
      <c r="A336" s="29" t="s">
        <v>1199</v>
      </c>
      <c r="B336" s="29" t="s">
        <v>1841</v>
      </c>
      <c r="C336" s="29">
        <v>0.0</v>
      </c>
      <c r="D336" s="29" t="s">
        <v>60</v>
      </c>
      <c r="E336" s="29">
        <v>0.5016</v>
      </c>
      <c r="F336" s="29">
        <v>55.3467</v>
      </c>
      <c r="G336" s="29">
        <v>32.4495</v>
      </c>
      <c r="H336" s="29">
        <v>0.4762</v>
      </c>
      <c r="I336" s="29">
        <v>0.6605</v>
      </c>
      <c r="J336" s="29">
        <v>0.582</v>
      </c>
      <c r="K336" s="29">
        <v>0.0992</v>
      </c>
      <c r="L336" s="29">
        <v>7.2146</v>
      </c>
      <c r="M336" s="29" t="s">
        <v>225</v>
      </c>
    </row>
    <row r="337" ht="15.75" customHeight="1">
      <c r="A337" s="29" t="s">
        <v>1844</v>
      </c>
      <c r="B337" s="29" t="s">
        <v>1846</v>
      </c>
      <c r="C337" s="29">
        <v>0.0</v>
      </c>
      <c r="D337" s="29" t="s">
        <v>60</v>
      </c>
      <c r="E337" s="29">
        <v>0.6919</v>
      </c>
      <c r="F337" s="29">
        <v>55.3398</v>
      </c>
      <c r="G337" s="29">
        <v>32.0299</v>
      </c>
      <c r="H337" s="29">
        <v>0.6318</v>
      </c>
      <c r="I337" s="29">
        <v>0.6779</v>
      </c>
      <c r="J337" s="29">
        <v>0.3564</v>
      </c>
      <c r="K337" s="29">
        <v>0.0681</v>
      </c>
      <c r="L337" s="29">
        <v>9.2482</v>
      </c>
      <c r="M337" s="29" t="s">
        <v>225</v>
      </c>
    </row>
    <row r="338" ht="15.75" customHeight="1">
      <c r="A338" s="29" t="s">
        <v>1848</v>
      </c>
      <c r="B338" s="29" t="s">
        <v>1850</v>
      </c>
      <c r="C338" s="29">
        <v>0.0</v>
      </c>
      <c r="D338" s="29" t="s">
        <v>60</v>
      </c>
      <c r="E338" s="29">
        <v>0.7002</v>
      </c>
      <c r="F338" s="29">
        <v>55.3294</v>
      </c>
      <c r="G338" s="29">
        <v>32.1929</v>
      </c>
      <c r="H338" s="29">
        <v>0.6661</v>
      </c>
      <c r="I338" s="29">
        <v>0.6647</v>
      </c>
      <c r="J338" s="29">
        <v>0.3716</v>
      </c>
      <c r="K338" s="29">
        <v>0.095</v>
      </c>
      <c r="L338" s="29">
        <v>9.1099</v>
      </c>
      <c r="M338" s="29" t="s">
        <v>225</v>
      </c>
    </row>
    <row r="339" ht="15.75" customHeight="1">
      <c r="A339" s="29" t="s">
        <v>611</v>
      </c>
      <c r="B339" s="29" t="s">
        <v>1853</v>
      </c>
      <c r="C339" s="29">
        <v>0.0</v>
      </c>
      <c r="D339" s="29" t="s">
        <v>60</v>
      </c>
      <c r="E339" s="29">
        <v>0.2588</v>
      </c>
      <c r="F339" s="29">
        <v>55.319</v>
      </c>
      <c r="G339" s="29">
        <v>30.9748</v>
      </c>
      <c r="H339" s="29">
        <v>0.6732</v>
      </c>
      <c r="I339" s="29">
        <v>0.7245</v>
      </c>
      <c r="J339" s="29">
        <v>0.3491</v>
      </c>
      <c r="K339" s="29">
        <v>0.0846</v>
      </c>
      <c r="L339" s="29">
        <v>9.1223</v>
      </c>
      <c r="M339" s="29" t="s">
        <v>225</v>
      </c>
    </row>
    <row r="340" ht="15.75" customHeight="1">
      <c r="A340" s="29" t="s">
        <v>761</v>
      </c>
      <c r="B340" s="29" t="s">
        <v>1856</v>
      </c>
      <c r="C340" s="29">
        <v>0.0</v>
      </c>
      <c r="D340" s="29" t="s">
        <v>60</v>
      </c>
      <c r="E340" s="29">
        <v>0.6577</v>
      </c>
      <c r="F340" s="29">
        <v>55.2913</v>
      </c>
      <c r="G340" s="29">
        <v>34.9143</v>
      </c>
      <c r="H340" s="29">
        <v>0.8593</v>
      </c>
      <c r="I340" s="29">
        <v>0.5696</v>
      </c>
      <c r="J340" s="29">
        <v>0.4143</v>
      </c>
      <c r="K340" s="29">
        <v>0.1311</v>
      </c>
      <c r="L340" s="29">
        <v>8.6867</v>
      </c>
      <c r="M340" s="29" t="s">
        <v>225</v>
      </c>
    </row>
    <row r="341" ht="15.75" customHeight="1">
      <c r="A341" s="29" t="s">
        <v>1858</v>
      </c>
      <c r="B341" s="29" t="s">
        <v>1859</v>
      </c>
      <c r="C341" s="29">
        <v>0.0</v>
      </c>
      <c r="D341" s="29" t="s">
        <v>60</v>
      </c>
      <c r="E341" s="29">
        <v>0.4549</v>
      </c>
      <c r="F341" s="29">
        <v>55.2186</v>
      </c>
      <c r="G341" s="29">
        <v>30.4943</v>
      </c>
      <c r="H341" s="29">
        <v>0.6478</v>
      </c>
      <c r="I341" s="29">
        <v>0.7462</v>
      </c>
      <c r="J341" s="29">
        <v>0.5456</v>
      </c>
      <c r="K341" s="29">
        <v>0.1348</v>
      </c>
      <c r="L341" s="29">
        <v>7.1177</v>
      </c>
      <c r="M341" s="29" t="s">
        <v>225</v>
      </c>
    </row>
    <row r="342" ht="15.75" customHeight="1">
      <c r="A342" s="29" t="s">
        <v>350</v>
      </c>
      <c r="B342" s="29" t="s">
        <v>1862</v>
      </c>
      <c r="C342" s="29">
        <v>0.0</v>
      </c>
      <c r="D342" s="29" t="s">
        <v>60</v>
      </c>
      <c r="E342" s="29">
        <v>0.6029</v>
      </c>
      <c r="F342" s="29">
        <v>55.2082</v>
      </c>
      <c r="G342" s="29">
        <v>39.2632</v>
      </c>
      <c r="H342" s="29">
        <v>0.7615</v>
      </c>
      <c r="I342" s="29">
        <v>0.45</v>
      </c>
      <c r="J342" s="29">
        <v>0.4446</v>
      </c>
      <c r="K342" s="29">
        <v>0.1004</v>
      </c>
      <c r="L342" s="29">
        <v>8.7675</v>
      </c>
      <c r="M342" s="29" t="s">
        <v>225</v>
      </c>
    </row>
    <row r="343" ht="15.75" customHeight="1">
      <c r="A343" s="29" t="s">
        <v>324</v>
      </c>
      <c r="B343" s="29" t="s">
        <v>1865</v>
      </c>
      <c r="C343" s="29">
        <v>0.0</v>
      </c>
      <c r="D343" s="29" t="s">
        <v>60</v>
      </c>
      <c r="E343" s="29">
        <v>0.5979</v>
      </c>
      <c r="F343" s="29">
        <v>55.2012</v>
      </c>
      <c r="G343" s="29">
        <v>32.9311</v>
      </c>
      <c r="H343" s="29">
        <v>0.7709</v>
      </c>
      <c r="I343" s="29">
        <v>0.6324</v>
      </c>
      <c r="J343" s="29">
        <v>0.446</v>
      </c>
      <c r="K343" s="29">
        <v>0.1045</v>
      </c>
      <c r="L343" s="29">
        <v>8.7046</v>
      </c>
      <c r="M343" s="29" t="s">
        <v>225</v>
      </c>
    </row>
    <row r="344" ht="15.75" customHeight="1">
      <c r="A344" s="29" t="s">
        <v>593</v>
      </c>
      <c r="B344" s="29" t="s">
        <v>1868</v>
      </c>
      <c r="C344" s="29">
        <v>0.0</v>
      </c>
      <c r="D344" s="29" t="s">
        <v>60</v>
      </c>
      <c r="E344" s="29">
        <v>0.2511</v>
      </c>
      <c r="F344" s="29">
        <v>55.1943</v>
      </c>
      <c r="G344" s="29">
        <v>32.7424</v>
      </c>
      <c r="H344" s="29">
        <v>0.6708</v>
      </c>
      <c r="I344" s="29">
        <v>0.6457</v>
      </c>
      <c r="J344" s="29">
        <v>0.3467</v>
      </c>
      <c r="K344" s="29">
        <v>0.0843</v>
      </c>
      <c r="L344" s="29">
        <v>9.1545</v>
      </c>
      <c r="M344" s="29" t="s">
        <v>225</v>
      </c>
    </row>
    <row r="345" ht="15.75" customHeight="1">
      <c r="A345" s="29" t="s">
        <v>1308</v>
      </c>
      <c r="B345" s="29" t="s">
        <v>1871</v>
      </c>
      <c r="C345" s="29">
        <v>0.0</v>
      </c>
      <c r="D345" s="29" t="s">
        <v>60</v>
      </c>
      <c r="E345" s="29">
        <v>0.7127</v>
      </c>
      <c r="F345" s="29">
        <v>55.1874</v>
      </c>
      <c r="G345" s="29">
        <v>31.1991</v>
      </c>
      <c r="H345" s="29">
        <v>0.7224</v>
      </c>
      <c r="I345" s="29">
        <v>0.7125</v>
      </c>
      <c r="J345" s="29">
        <v>0.3758</v>
      </c>
      <c r="K345" s="29">
        <v>0.1247</v>
      </c>
      <c r="L345" s="29">
        <v>8.6989</v>
      </c>
      <c r="M345" s="29" t="s">
        <v>225</v>
      </c>
    </row>
    <row r="346" ht="15.75" customHeight="1">
      <c r="A346" s="29" t="s">
        <v>830</v>
      </c>
      <c r="B346" s="29" t="s">
        <v>1875</v>
      </c>
      <c r="C346" s="29">
        <v>0.0</v>
      </c>
      <c r="D346" s="29" t="s">
        <v>60</v>
      </c>
      <c r="E346" s="29">
        <v>0.6485</v>
      </c>
      <c r="F346" s="29">
        <v>55.0627</v>
      </c>
      <c r="G346" s="29">
        <v>34.9306</v>
      </c>
      <c r="H346" s="29">
        <v>0.8509</v>
      </c>
      <c r="I346" s="29">
        <v>0.5643</v>
      </c>
      <c r="J346" s="29">
        <v>0.414</v>
      </c>
      <c r="K346" s="29">
        <v>0.1299</v>
      </c>
      <c r="L346" s="29">
        <v>8.7257</v>
      </c>
      <c r="M346" s="29" t="s">
        <v>225</v>
      </c>
    </row>
    <row r="347" ht="15.75" customHeight="1">
      <c r="A347" s="29" t="s">
        <v>621</v>
      </c>
      <c r="B347" s="29" t="s">
        <v>1879</v>
      </c>
      <c r="C347" s="29">
        <v>0.0</v>
      </c>
      <c r="D347" s="29" t="s">
        <v>60</v>
      </c>
      <c r="E347" s="29">
        <v>0.6016</v>
      </c>
      <c r="F347" s="29">
        <v>54.9831</v>
      </c>
      <c r="G347" s="29">
        <v>32.6999</v>
      </c>
      <c r="H347" s="29">
        <v>0.7789</v>
      </c>
      <c r="I347" s="29">
        <v>0.6377</v>
      </c>
      <c r="J347" s="29">
        <v>0.4588</v>
      </c>
      <c r="K347" s="29">
        <v>0.1152</v>
      </c>
      <c r="L347" s="29">
        <v>8.6469</v>
      </c>
      <c r="M347" s="29" t="s">
        <v>225</v>
      </c>
    </row>
    <row r="348" ht="15.75" customHeight="1">
      <c r="A348" s="29" t="s">
        <v>354</v>
      </c>
      <c r="B348" s="29" t="s">
        <v>1882</v>
      </c>
      <c r="C348" s="29">
        <v>0.0</v>
      </c>
      <c r="D348" s="29" t="s">
        <v>60</v>
      </c>
      <c r="E348" s="29">
        <v>0.6716</v>
      </c>
      <c r="F348" s="29">
        <v>54.9692</v>
      </c>
      <c r="G348" s="29">
        <v>33.4535</v>
      </c>
      <c r="H348" s="29">
        <v>0.8225</v>
      </c>
      <c r="I348" s="29">
        <v>0.6172</v>
      </c>
      <c r="J348" s="29">
        <v>0.3858</v>
      </c>
      <c r="K348" s="29">
        <v>0.093</v>
      </c>
      <c r="L348" s="29">
        <v>8.9031</v>
      </c>
      <c r="M348" s="29" t="s">
        <v>225</v>
      </c>
    </row>
    <row r="349" ht="15.75" customHeight="1">
      <c r="A349" s="29" t="s">
        <v>637</v>
      </c>
      <c r="B349" s="29" t="s">
        <v>1888</v>
      </c>
      <c r="C349" s="29">
        <v>0.0</v>
      </c>
      <c r="D349" s="29" t="s">
        <v>60</v>
      </c>
      <c r="E349" s="29">
        <v>0.6974</v>
      </c>
      <c r="F349" s="29">
        <v>54.9588</v>
      </c>
      <c r="G349" s="29">
        <v>32.8246</v>
      </c>
      <c r="H349" s="29">
        <v>0.6416</v>
      </c>
      <c r="I349" s="29">
        <v>0.639</v>
      </c>
      <c r="J349" s="29">
        <v>0.4825</v>
      </c>
      <c r="K349" s="29">
        <v>0.1582</v>
      </c>
      <c r="L349" s="29">
        <v>7.9939</v>
      </c>
      <c r="M349" s="29" t="s">
        <v>225</v>
      </c>
    </row>
    <row r="350" ht="15.75" customHeight="1">
      <c r="A350" s="29" t="s">
        <v>815</v>
      </c>
      <c r="B350" s="29" t="s">
        <v>1891</v>
      </c>
      <c r="C350" s="29">
        <v>0.0</v>
      </c>
      <c r="D350" s="29" t="s">
        <v>60</v>
      </c>
      <c r="E350" s="29">
        <v>0.6487</v>
      </c>
      <c r="F350" s="29">
        <v>54.9207</v>
      </c>
      <c r="G350" s="29">
        <v>33.2665</v>
      </c>
      <c r="H350" s="29">
        <v>0.855</v>
      </c>
      <c r="I350" s="29">
        <v>0.6223</v>
      </c>
      <c r="J350" s="29">
        <v>0.4105</v>
      </c>
      <c r="K350" s="29">
        <v>0.1277</v>
      </c>
      <c r="L350" s="29">
        <v>8.7259</v>
      </c>
      <c r="M350" s="29" t="s">
        <v>225</v>
      </c>
    </row>
    <row r="351" ht="15.75" customHeight="1">
      <c r="A351" s="29" t="s">
        <v>512</v>
      </c>
      <c r="B351" s="29" t="s">
        <v>1894</v>
      </c>
      <c r="C351" s="29">
        <v>0.0</v>
      </c>
      <c r="D351" s="29" t="s">
        <v>60</v>
      </c>
      <c r="E351" s="29">
        <v>0.6626</v>
      </c>
      <c r="F351" s="29">
        <v>54.8411</v>
      </c>
      <c r="G351" s="29">
        <v>33.7397</v>
      </c>
      <c r="H351" s="29">
        <v>0.8113</v>
      </c>
      <c r="I351" s="29">
        <v>0.6054</v>
      </c>
      <c r="J351" s="29">
        <v>0.4077</v>
      </c>
      <c r="K351" s="29">
        <v>0.1252</v>
      </c>
      <c r="L351" s="29">
        <v>8.7004</v>
      </c>
      <c r="M351" s="29" t="s">
        <v>225</v>
      </c>
    </row>
    <row r="352" ht="15.75" customHeight="1">
      <c r="A352" s="29" t="s">
        <v>1897</v>
      </c>
      <c r="B352" s="29" t="s">
        <v>1898</v>
      </c>
      <c r="C352" s="29">
        <v>0.0</v>
      </c>
      <c r="D352" s="29" t="s">
        <v>60</v>
      </c>
      <c r="E352" s="29">
        <v>0.7393</v>
      </c>
      <c r="F352" s="29">
        <v>54.6991</v>
      </c>
      <c r="G352" s="29">
        <v>31.9725</v>
      </c>
      <c r="H352" s="29">
        <v>0.7325</v>
      </c>
      <c r="I352" s="29">
        <v>0.6724</v>
      </c>
      <c r="J352" s="29">
        <v>0.3962</v>
      </c>
      <c r="K352" s="29">
        <v>0.1511</v>
      </c>
      <c r="L352" s="29">
        <v>8.5419</v>
      </c>
      <c r="M352" s="29" t="s">
        <v>225</v>
      </c>
    </row>
    <row r="353" ht="15.75" customHeight="1">
      <c r="A353" s="29" t="s">
        <v>657</v>
      </c>
      <c r="B353" s="29" t="s">
        <v>1900</v>
      </c>
      <c r="C353" s="29">
        <v>0.0</v>
      </c>
      <c r="D353" s="29" t="s">
        <v>60</v>
      </c>
      <c r="E353" s="29">
        <v>0.7122</v>
      </c>
      <c r="F353" s="29">
        <v>54.6021</v>
      </c>
      <c r="G353" s="29">
        <v>32.4997</v>
      </c>
      <c r="H353" s="29">
        <v>0.6098</v>
      </c>
      <c r="I353" s="29">
        <v>0.6481</v>
      </c>
      <c r="J353" s="29">
        <v>0.4899</v>
      </c>
      <c r="K353" s="29">
        <v>0.1646</v>
      </c>
      <c r="L353" s="29">
        <v>7.9484</v>
      </c>
      <c r="M353" s="29" t="s">
        <v>225</v>
      </c>
    </row>
    <row r="354" ht="15.75" customHeight="1">
      <c r="A354" s="29" t="s">
        <v>883</v>
      </c>
      <c r="B354" s="29" t="s">
        <v>1903</v>
      </c>
      <c r="C354" s="29">
        <v>0.0</v>
      </c>
      <c r="D354" s="29" t="s">
        <v>60</v>
      </c>
      <c r="E354" s="29">
        <v>0.6567</v>
      </c>
      <c r="F354" s="29">
        <v>54.5848</v>
      </c>
      <c r="G354" s="29">
        <v>32.7915</v>
      </c>
      <c r="H354" s="29">
        <v>0.8513</v>
      </c>
      <c r="I354" s="29">
        <v>0.6374</v>
      </c>
      <c r="J354" s="29">
        <v>0.4045</v>
      </c>
      <c r="K354" s="29">
        <v>0.1165</v>
      </c>
      <c r="L354" s="29">
        <v>8.7711</v>
      </c>
      <c r="M354" s="29" t="s">
        <v>225</v>
      </c>
    </row>
    <row r="355" ht="15.75" customHeight="1">
      <c r="A355" s="29" t="s">
        <v>1905</v>
      </c>
      <c r="B355" s="29" t="s">
        <v>1906</v>
      </c>
      <c r="C355" s="29">
        <v>0.0</v>
      </c>
      <c r="D355" s="29" t="s">
        <v>60</v>
      </c>
      <c r="E355" s="29">
        <v>0.7592</v>
      </c>
      <c r="F355" s="29">
        <v>54.5675</v>
      </c>
      <c r="G355" s="29">
        <v>32.693</v>
      </c>
      <c r="H355" s="29">
        <v>0.7392</v>
      </c>
      <c r="I355" s="29">
        <v>0.6416</v>
      </c>
      <c r="J355" s="29">
        <v>0.3965</v>
      </c>
      <c r="K355" s="29">
        <v>0.1548</v>
      </c>
      <c r="L355" s="29">
        <v>8.5216</v>
      </c>
      <c r="M355" s="29" t="s">
        <v>225</v>
      </c>
    </row>
    <row r="356" ht="15.75" customHeight="1">
      <c r="A356" s="29" t="s">
        <v>1910</v>
      </c>
      <c r="B356" s="29" t="s">
        <v>1911</v>
      </c>
      <c r="C356" s="29">
        <v>0.0</v>
      </c>
      <c r="D356" s="29" t="s">
        <v>60</v>
      </c>
      <c r="E356" s="29">
        <v>0.7456</v>
      </c>
      <c r="F356" s="29">
        <v>54.5398</v>
      </c>
      <c r="G356" s="29">
        <v>31.6556</v>
      </c>
      <c r="H356" s="29">
        <v>0.7227</v>
      </c>
      <c r="I356" s="29">
        <v>0.6839</v>
      </c>
      <c r="J356" s="29">
        <v>0.3894</v>
      </c>
      <c r="K356" s="29">
        <v>0.1446</v>
      </c>
      <c r="L356" s="29">
        <v>8.5793</v>
      </c>
      <c r="M356" s="29" t="s">
        <v>225</v>
      </c>
    </row>
    <row r="357" ht="15.75" customHeight="1">
      <c r="A357" s="29" t="s">
        <v>1913</v>
      </c>
      <c r="B357" s="29" t="s">
        <v>1915</v>
      </c>
      <c r="C357" s="29">
        <v>0.0</v>
      </c>
      <c r="D357" s="29" t="s">
        <v>60</v>
      </c>
      <c r="E357" s="29">
        <v>0.7382</v>
      </c>
      <c r="F357" s="29">
        <v>54.5328</v>
      </c>
      <c r="G357" s="29">
        <v>31.2193</v>
      </c>
      <c r="H357" s="29">
        <v>0.7243</v>
      </c>
      <c r="I357" s="29">
        <v>0.7031</v>
      </c>
      <c r="J357" s="29">
        <v>0.3812</v>
      </c>
      <c r="K357" s="29">
        <v>0.1334</v>
      </c>
      <c r="L357" s="29">
        <v>8.624</v>
      </c>
      <c r="M357" s="29" t="s">
        <v>225</v>
      </c>
    </row>
    <row r="358" ht="15.75" customHeight="1">
      <c r="A358" s="29" t="s">
        <v>1188</v>
      </c>
      <c r="B358" s="29" t="s">
        <v>1917</v>
      </c>
      <c r="C358" s="29">
        <v>0.0</v>
      </c>
      <c r="D358" s="29" t="s">
        <v>60</v>
      </c>
      <c r="E358" s="29">
        <v>0.4106</v>
      </c>
      <c r="F358" s="29">
        <v>54.5017</v>
      </c>
      <c r="G358" s="29">
        <v>42.4523</v>
      </c>
      <c r="H358" s="29">
        <v>0.716</v>
      </c>
      <c r="I358" s="29">
        <v>0.3796</v>
      </c>
      <c r="J358" s="29">
        <v>0.6267</v>
      </c>
      <c r="K358" s="29">
        <v>0.212</v>
      </c>
      <c r="L358" s="29">
        <v>7.1918</v>
      </c>
      <c r="M358" s="29" t="s">
        <v>225</v>
      </c>
    </row>
    <row r="359" ht="15.75" customHeight="1">
      <c r="A359" s="29" t="s">
        <v>572</v>
      </c>
      <c r="B359" s="29" t="s">
        <v>1921</v>
      </c>
      <c r="C359" s="29">
        <v>0.0</v>
      </c>
      <c r="D359" s="29" t="s">
        <v>60</v>
      </c>
      <c r="E359" s="29">
        <v>0.6653</v>
      </c>
      <c r="F359" s="29">
        <v>54.4462</v>
      </c>
      <c r="G359" s="29">
        <v>32.9294</v>
      </c>
      <c r="H359" s="29">
        <v>0.8481</v>
      </c>
      <c r="I359" s="29">
        <v>0.6306</v>
      </c>
      <c r="J359" s="29">
        <v>0.4064</v>
      </c>
      <c r="K359" s="29">
        <v>0.1201</v>
      </c>
      <c r="L359" s="29">
        <v>8.7374</v>
      </c>
      <c r="M359" s="29" t="s">
        <v>225</v>
      </c>
    </row>
    <row r="360" ht="15.75" customHeight="1">
      <c r="A360" s="29" t="s">
        <v>1129</v>
      </c>
      <c r="B360" s="29" t="s">
        <v>1924</v>
      </c>
      <c r="C360" s="29">
        <v>0.0</v>
      </c>
      <c r="D360" s="29" t="s">
        <v>60</v>
      </c>
      <c r="E360" s="29">
        <v>0.7026</v>
      </c>
      <c r="F360" s="29">
        <v>54.3146</v>
      </c>
      <c r="G360" s="29">
        <v>30.0113</v>
      </c>
      <c r="H360" s="29">
        <v>0.6948</v>
      </c>
      <c r="I360" s="29">
        <v>0.7578</v>
      </c>
      <c r="J360" s="29">
        <v>0.4119</v>
      </c>
      <c r="K360" s="29">
        <v>0.1167</v>
      </c>
      <c r="L360" s="29">
        <v>8.1178</v>
      </c>
      <c r="M360" s="29" t="s">
        <v>225</v>
      </c>
    </row>
    <row r="361" ht="15.75" customHeight="1">
      <c r="A361" s="29" t="s">
        <v>868</v>
      </c>
      <c r="B361" s="29" t="s">
        <v>1927</v>
      </c>
      <c r="C361" s="29">
        <v>0.0</v>
      </c>
      <c r="D361" s="29" t="s">
        <v>60</v>
      </c>
      <c r="E361" s="29">
        <v>0.6999</v>
      </c>
      <c r="F361" s="29">
        <v>54.1519</v>
      </c>
      <c r="G361" s="29">
        <v>32.3677</v>
      </c>
      <c r="H361" s="29">
        <v>0.6105</v>
      </c>
      <c r="I361" s="29">
        <v>0.649</v>
      </c>
      <c r="J361" s="29">
        <v>0.485</v>
      </c>
      <c r="K361" s="29">
        <v>0.1607</v>
      </c>
      <c r="L361" s="29">
        <v>7.9749</v>
      </c>
      <c r="M361" s="29" t="s">
        <v>225</v>
      </c>
    </row>
    <row r="362" ht="15.75" customHeight="1">
      <c r="A362" s="29" t="s">
        <v>1162</v>
      </c>
      <c r="B362" s="29" t="s">
        <v>1930</v>
      </c>
      <c r="C362" s="29">
        <v>0.0</v>
      </c>
      <c r="D362" s="29" t="s">
        <v>60</v>
      </c>
      <c r="E362" s="29">
        <v>0.4214</v>
      </c>
      <c r="F362" s="29">
        <v>53.9579</v>
      </c>
      <c r="G362" s="29">
        <v>30.2742</v>
      </c>
      <c r="H362" s="29">
        <v>0.5846</v>
      </c>
      <c r="I362" s="29">
        <v>0.7398</v>
      </c>
      <c r="J362" s="29">
        <v>0.4544</v>
      </c>
      <c r="K362" s="29">
        <v>0.1034</v>
      </c>
      <c r="L362" s="29">
        <v>8.0468</v>
      </c>
      <c r="M362" s="29" t="s">
        <v>225</v>
      </c>
    </row>
    <row r="363" ht="15.75" customHeight="1">
      <c r="A363" s="29" t="s">
        <v>405</v>
      </c>
      <c r="B363" s="29" t="s">
        <v>1933</v>
      </c>
      <c r="C363" s="29">
        <v>0.0</v>
      </c>
      <c r="D363" s="29" t="s">
        <v>60</v>
      </c>
      <c r="E363" s="29">
        <v>0.3221</v>
      </c>
      <c r="F363" s="29">
        <v>53.906</v>
      </c>
      <c r="G363" s="29">
        <v>32.7769</v>
      </c>
      <c r="H363" s="29">
        <v>0.6864</v>
      </c>
      <c r="I363" s="29">
        <v>0.6305</v>
      </c>
      <c r="J363" s="29">
        <v>0.3501</v>
      </c>
      <c r="K363" s="29">
        <v>0.0897</v>
      </c>
      <c r="L363" s="29">
        <v>9.114</v>
      </c>
      <c r="M363" s="29" t="s">
        <v>225</v>
      </c>
    </row>
    <row r="364" ht="15.75" customHeight="1">
      <c r="A364" s="29" t="s">
        <v>337</v>
      </c>
      <c r="B364" s="29" t="s">
        <v>1936</v>
      </c>
      <c r="C364" s="29">
        <v>0.0</v>
      </c>
      <c r="D364" s="29" t="s">
        <v>60</v>
      </c>
      <c r="E364" s="29">
        <v>0.6016</v>
      </c>
      <c r="F364" s="29">
        <v>53.8887</v>
      </c>
      <c r="G364" s="29">
        <v>31.3989</v>
      </c>
      <c r="H364" s="29">
        <v>0.7615</v>
      </c>
      <c r="I364" s="29">
        <v>0.6785</v>
      </c>
      <c r="J364" s="29">
        <v>0.4553</v>
      </c>
      <c r="K364" s="29">
        <v>0.1149</v>
      </c>
      <c r="L364" s="29">
        <v>8.6208</v>
      </c>
      <c r="M364" s="29" t="s">
        <v>225</v>
      </c>
    </row>
    <row r="365" ht="15.75" customHeight="1">
      <c r="A365" s="29" t="s">
        <v>775</v>
      </c>
      <c r="B365" s="29" t="s">
        <v>1940</v>
      </c>
      <c r="C365" s="29">
        <v>0.0</v>
      </c>
      <c r="D365" s="29" t="s">
        <v>60</v>
      </c>
      <c r="E365" s="29">
        <v>0.4133</v>
      </c>
      <c r="F365" s="29">
        <v>53.854</v>
      </c>
      <c r="G365" s="29">
        <v>30.5771</v>
      </c>
      <c r="H365" s="29">
        <v>0.695</v>
      </c>
      <c r="I365" s="29">
        <v>0.7217</v>
      </c>
      <c r="J365" s="29">
        <v>0.3518</v>
      </c>
      <c r="K365" s="29">
        <v>0.099</v>
      </c>
      <c r="L365" s="29">
        <v>9.0649</v>
      </c>
      <c r="M365" s="29" t="s">
        <v>225</v>
      </c>
    </row>
    <row r="366" ht="15.75" customHeight="1">
      <c r="A366" s="29" t="s">
        <v>1942</v>
      </c>
      <c r="B366" s="29" t="s">
        <v>1944</v>
      </c>
      <c r="C366" s="29">
        <v>0.0</v>
      </c>
      <c r="D366" s="29" t="s">
        <v>60</v>
      </c>
      <c r="E366" s="29">
        <v>0.7267</v>
      </c>
      <c r="F366" s="29">
        <v>53.8298</v>
      </c>
      <c r="G366" s="29">
        <v>30.5371</v>
      </c>
      <c r="H366" s="29">
        <v>0.7388</v>
      </c>
      <c r="I366" s="29">
        <v>0.7254</v>
      </c>
      <c r="J366" s="29">
        <v>0.3743</v>
      </c>
      <c r="K366" s="29">
        <v>0.1196</v>
      </c>
      <c r="L366" s="29">
        <v>8.7036</v>
      </c>
      <c r="M366" s="29" t="s">
        <v>225</v>
      </c>
    </row>
    <row r="367" ht="15.75" customHeight="1">
      <c r="A367" s="29" t="s">
        <v>509</v>
      </c>
      <c r="B367" s="29" t="s">
        <v>1947</v>
      </c>
      <c r="C367" s="29">
        <v>0.0</v>
      </c>
      <c r="D367" s="29" t="s">
        <v>60</v>
      </c>
      <c r="E367" s="29">
        <v>0.6554</v>
      </c>
      <c r="F367" s="29">
        <v>53.8229</v>
      </c>
      <c r="G367" s="29">
        <v>33.3985</v>
      </c>
      <c r="H367" s="29">
        <v>0.8462</v>
      </c>
      <c r="I367" s="29">
        <v>0.6058</v>
      </c>
      <c r="J367" s="29">
        <v>0.4089</v>
      </c>
      <c r="K367" s="29">
        <v>0.1259</v>
      </c>
      <c r="L367" s="29">
        <v>8.7194</v>
      </c>
      <c r="M367" s="29" t="s">
        <v>225</v>
      </c>
    </row>
    <row r="368" ht="15.75" customHeight="1">
      <c r="A368" s="29" t="s">
        <v>317</v>
      </c>
      <c r="B368" s="29" t="s">
        <v>1950</v>
      </c>
      <c r="C368" s="29">
        <v>0.0</v>
      </c>
      <c r="D368" s="29" t="s">
        <v>60</v>
      </c>
      <c r="E368" s="29">
        <v>0.6587</v>
      </c>
      <c r="F368" s="29">
        <v>53.7917</v>
      </c>
      <c r="G368" s="29">
        <v>34.3951</v>
      </c>
      <c r="H368" s="29">
        <v>0.8193</v>
      </c>
      <c r="I368" s="29">
        <v>0.5714</v>
      </c>
      <c r="J368" s="29">
        <v>0.4153</v>
      </c>
      <c r="K368" s="29">
        <v>0.1265</v>
      </c>
      <c r="L368" s="29">
        <v>8.6307</v>
      </c>
      <c r="M368" s="29" t="s">
        <v>225</v>
      </c>
    </row>
    <row r="369" ht="15.75" customHeight="1">
      <c r="A369" s="29" t="s">
        <v>1953</v>
      </c>
      <c r="B369" s="29" t="s">
        <v>1955</v>
      </c>
      <c r="C369" s="29">
        <v>0.0</v>
      </c>
      <c r="D369" s="29" t="s">
        <v>60</v>
      </c>
      <c r="E369" s="29">
        <v>0.5154</v>
      </c>
      <c r="F369" s="29">
        <v>53.7744</v>
      </c>
      <c r="G369" s="29">
        <v>38.1454</v>
      </c>
      <c r="H369" s="29">
        <v>0.3983</v>
      </c>
      <c r="I369" s="29">
        <v>0.4643</v>
      </c>
      <c r="J369" s="29">
        <v>0.6051</v>
      </c>
      <c r="K369" s="29">
        <v>0.1607</v>
      </c>
      <c r="L369" s="29">
        <v>7.8053</v>
      </c>
      <c r="M369" s="29" t="s">
        <v>225</v>
      </c>
    </row>
    <row r="370" ht="15.75" customHeight="1">
      <c r="A370" s="29" t="s">
        <v>310</v>
      </c>
      <c r="B370" s="29" t="s">
        <v>1959</v>
      </c>
      <c r="C370" s="29">
        <v>0.0</v>
      </c>
      <c r="D370" s="29" t="s">
        <v>60</v>
      </c>
      <c r="E370" s="29">
        <v>0.605</v>
      </c>
      <c r="F370" s="29">
        <v>53.6878</v>
      </c>
      <c r="G370" s="29">
        <v>36.2476</v>
      </c>
      <c r="H370" s="29">
        <v>0.7575</v>
      </c>
      <c r="I370" s="29">
        <v>0.5091</v>
      </c>
      <c r="J370" s="29">
        <v>0.4526</v>
      </c>
      <c r="K370" s="29">
        <v>0.1264</v>
      </c>
      <c r="L370" s="29">
        <v>8.6163</v>
      </c>
      <c r="M370" s="29" t="s">
        <v>225</v>
      </c>
    </row>
    <row r="371" ht="15.75" customHeight="1">
      <c r="A371" s="29" t="s">
        <v>561</v>
      </c>
      <c r="B371" s="29" t="s">
        <v>1961</v>
      </c>
      <c r="C371" s="29">
        <v>0.0</v>
      </c>
      <c r="D371" s="29" t="s">
        <v>60</v>
      </c>
      <c r="E371" s="29">
        <v>0.6104</v>
      </c>
      <c r="F371" s="29">
        <v>53.5874</v>
      </c>
      <c r="G371" s="29">
        <v>33.5245</v>
      </c>
      <c r="H371" s="29">
        <v>0.6431</v>
      </c>
      <c r="I371" s="29">
        <v>0.5984</v>
      </c>
      <c r="J371" s="29">
        <v>0.4363</v>
      </c>
      <c r="K371" s="29">
        <v>0.1506</v>
      </c>
      <c r="L371" s="29">
        <v>8.4735</v>
      </c>
      <c r="M371" s="29" t="s">
        <v>225</v>
      </c>
    </row>
    <row r="372" ht="15.75" customHeight="1">
      <c r="A372" s="29" t="s">
        <v>809</v>
      </c>
      <c r="B372" s="29" t="s">
        <v>1964</v>
      </c>
      <c r="C372" s="29">
        <v>0.0</v>
      </c>
      <c r="D372" s="29" t="s">
        <v>60</v>
      </c>
      <c r="E372" s="29">
        <v>0.6577</v>
      </c>
      <c r="F372" s="29">
        <v>53.57</v>
      </c>
      <c r="G372" s="29">
        <v>32.211</v>
      </c>
      <c r="H372" s="29">
        <v>0.8414</v>
      </c>
      <c r="I372" s="29">
        <v>0.646</v>
      </c>
      <c r="J372" s="29">
        <v>0.418</v>
      </c>
      <c r="K372" s="29">
        <v>0.1367</v>
      </c>
      <c r="L372" s="29">
        <v>8.6429</v>
      </c>
      <c r="M372" s="29" t="s">
        <v>225</v>
      </c>
    </row>
    <row r="373" ht="15.75" customHeight="1">
      <c r="A373" s="29" t="s">
        <v>753</v>
      </c>
      <c r="B373" s="29" t="s">
        <v>1967</v>
      </c>
      <c r="C373" s="29">
        <v>0.0</v>
      </c>
      <c r="D373" s="29" t="s">
        <v>60</v>
      </c>
      <c r="E373" s="29">
        <v>0.7362</v>
      </c>
      <c r="F373" s="29">
        <v>53.4627</v>
      </c>
      <c r="G373" s="29">
        <v>31.5358</v>
      </c>
      <c r="H373" s="29">
        <v>0.6292</v>
      </c>
      <c r="I373" s="29">
        <v>0.6748</v>
      </c>
      <c r="J373" s="29">
        <v>0.481</v>
      </c>
      <c r="K373" s="29">
        <v>0.1568</v>
      </c>
      <c r="L373" s="29">
        <v>7.9967</v>
      </c>
      <c r="M373" s="29" t="s">
        <v>225</v>
      </c>
    </row>
    <row r="374" ht="15.75" customHeight="1">
      <c r="A374" s="29" t="s">
        <v>631</v>
      </c>
      <c r="B374" s="29" t="s">
        <v>1970</v>
      </c>
      <c r="C374" s="29">
        <v>0.0</v>
      </c>
      <c r="D374" s="29" t="s">
        <v>60</v>
      </c>
      <c r="E374" s="29">
        <v>0.6555</v>
      </c>
      <c r="F374" s="29">
        <v>53.3449</v>
      </c>
      <c r="G374" s="29">
        <v>31.6936</v>
      </c>
      <c r="H374" s="29">
        <v>0.8482</v>
      </c>
      <c r="I374" s="29">
        <v>0.6671</v>
      </c>
      <c r="J374" s="29">
        <v>0.4051</v>
      </c>
      <c r="K374" s="29">
        <v>0.121</v>
      </c>
      <c r="L374" s="29">
        <v>8.7213</v>
      </c>
      <c r="M374" s="29" t="s">
        <v>225</v>
      </c>
    </row>
    <row r="375" ht="15.75" customHeight="1">
      <c r="A375" s="29" t="s">
        <v>723</v>
      </c>
      <c r="B375" s="29" t="s">
        <v>1973</v>
      </c>
      <c r="C375" s="29">
        <v>0.0</v>
      </c>
      <c r="D375" s="29" t="s">
        <v>60</v>
      </c>
      <c r="E375" s="29">
        <v>0.7086</v>
      </c>
      <c r="F375" s="29">
        <v>53.3207</v>
      </c>
      <c r="G375" s="29">
        <v>32.4308</v>
      </c>
      <c r="H375" s="29">
        <v>0.6112</v>
      </c>
      <c r="I375" s="29">
        <v>0.6371</v>
      </c>
      <c r="J375" s="29">
        <v>0.4839</v>
      </c>
      <c r="K375" s="29">
        <v>0.1612</v>
      </c>
      <c r="L375" s="29">
        <v>7.968</v>
      </c>
      <c r="M375" s="29" t="s">
        <v>225</v>
      </c>
    </row>
    <row r="376" ht="15.75" customHeight="1">
      <c r="A376" s="29" t="s">
        <v>664</v>
      </c>
      <c r="B376" s="29" t="s">
        <v>1976</v>
      </c>
      <c r="C376" s="29">
        <v>0.0</v>
      </c>
      <c r="D376" s="29" t="s">
        <v>60</v>
      </c>
      <c r="E376" s="29">
        <v>0.6373</v>
      </c>
      <c r="F376" s="29">
        <v>53.3068</v>
      </c>
      <c r="G376" s="29">
        <v>34.3853</v>
      </c>
      <c r="H376" s="29">
        <v>0.5844</v>
      </c>
      <c r="I376" s="29">
        <v>0.5666</v>
      </c>
      <c r="J376" s="29">
        <v>0.4271</v>
      </c>
      <c r="K376" s="29">
        <v>0.1442</v>
      </c>
      <c r="L376" s="29">
        <v>8.565</v>
      </c>
      <c r="M376" s="29" t="s">
        <v>225</v>
      </c>
    </row>
    <row r="377" ht="15.75" customHeight="1">
      <c r="A377" s="29" t="s">
        <v>689</v>
      </c>
      <c r="B377" s="29" t="s">
        <v>1979</v>
      </c>
      <c r="C377" s="29">
        <v>0.0</v>
      </c>
      <c r="D377" s="29" t="s">
        <v>60</v>
      </c>
      <c r="E377" s="29">
        <v>0.7164</v>
      </c>
      <c r="F377" s="29">
        <v>53.2618</v>
      </c>
      <c r="G377" s="29">
        <v>31.408</v>
      </c>
      <c r="H377" s="29">
        <v>0.6209</v>
      </c>
      <c r="I377" s="29">
        <v>0.6774</v>
      </c>
      <c r="J377" s="29">
        <v>0.4888</v>
      </c>
      <c r="K377" s="29">
        <v>0.1717</v>
      </c>
      <c r="L377" s="29">
        <v>7.9324</v>
      </c>
      <c r="M377" s="29" t="s">
        <v>225</v>
      </c>
    </row>
    <row r="378" ht="15.75" customHeight="1">
      <c r="A378" s="29" t="s">
        <v>1982</v>
      </c>
      <c r="B378" s="29" t="s">
        <v>1983</v>
      </c>
      <c r="C378" s="29">
        <v>0.0</v>
      </c>
      <c r="D378" s="29" t="s">
        <v>60</v>
      </c>
      <c r="E378" s="29">
        <v>0.6704</v>
      </c>
      <c r="F378" s="29">
        <v>53.2445</v>
      </c>
      <c r="G378" s="29">
        <v>31.633</v>
      </c>
      <c r="H378" s="29">
        <v>0.6666</v>
      </c>
      <c r="I378" s="29">
        <v>0.6666</v>
      </c>
      <c r="J378" s="29">
        <v>0.3876</v>
      </c>
      <c r="K378" s="29">
        <v>0.116</v>
      </c>
      <c r="L378" s="29">
        <v>8.9096</v>
      </c>
      <c r="M378" s="29" t="s">
        <v>225</v>
      </c>
    </row>
    <row r="379" ht="15.75" customHeight="1">
      <c r="A379" s="29" t="s">
        <v>54</v>
      </c>
      <c r="B379" s="29" t="s">
        <v>1986</v>
      </c>
      <c r="C379" s="29">
        <v>0.0</v>
      </c>
      <c r="D379" s="29" t="s">
        <v>60</v>
      </c>
      <c r="E379" s="29">
        <v>0.6748</v>
      </c>
      <c r="F379" s="29">
        <v>53.1614</v>
      </c>
      <c r="G379" s="29">
        <v>32.5976</v>
      </c>
      <c r="H379" s="29">
        <v>0.6416</v>
      </c>
      <c r="I379" s="29">
        <v>0.6285</v>
      </c>
      <c r="J379" s="29">
        <v>0.4331</v>
      </c>
      <c r="K379" s="29">
        <v>0.1888</v>
      </c>
      <c r="L379" s="29">
        <v>8.1991</v>
      </c>
      <c r="M379" s="29" t="s">
        <v>225</v>
      </c>
    </row>
    <row r="380" ht="15.75" customHeight="1">
      <c r="A380" s="29" t="s">
        <v>507</v>
      </c>
      <c r="B380" s="29" t="s">
        <v>1990</v>
      </c>
      <c r="C380" s="29">
        <v>0.0</v>
      </c>
      <c r="D380" s="29" t="s">
        <v>60</v>
      </c>
      <c r="E380" s="29">
        <v>0.7188</v>
      </c>
      <c r="F380" s="29">
        <v>53.0956</v>
      </c>
      <c r="G380" s="29">
        <v>30.878</v>
      </c>
      <c r="H380" s="29">
        <v>0.6596</v>
      </c>
      <c r="I380" s="29">
        <v>0.6995</v>
      </c>
      <c r="J380" s="29">
        <v>0.4907</v>
      </c>
      <c r="K380" s="29">
        <v>0.1748</v>
      </c>
      <c r="L380" s="29">
        <v>7.8619</v>
      </c>
      <c r="M380" s="29" t="s">
        <v>225</v>
      </c>
    </row>
    <row r="381" ht="15.75" customHeight="1">
      <c r="A381" s="29" t="s">
        <v>715</v>
      </c>
      <c r="B381" s="29" t="s">
        <v>1994</v>
      </c>
      <c r="C381" s="29">
        <v>0.0</v>
      </c>
      <c r="D381" s="29" t="s">
        <v>60</v>
      </c>
      <c r="E381" s="29">
        <v>0.7158</v>
      </c>
      <c r="F381" s="29">
        <v>53.0886</v>
      </c>
      <c r="G381" s="29">
        <v>32.3618</v>
      </c>
      <c r="H381" s="29">
        <v>0.6325</v>
      </c>
      <c r="I381" s="29">
        <v>0.6366</v>
      </c>
      <c r="J381" s="29">
        <v>0.4873</v>
      </c>
      <c r="K381" s="29">
        <v>0.1628</v>
      </c>
      <c r="L381" s="29">
        <v>7.9706</v>
      </c>
      <c r="M381" s="29" t="s">
        <v>225</v>
      </c>
    </row>
    <row r="382" ht="15.75" customHeight="1">
      <c r="A382" s="29" t="s">
        <v>1666</v>
      </c>
      <c r="B382" s="29" t="s">
        <v>1998</v>
      </c>
      <c r="C382" s="29">
        <v>0.0</v>
      </c>
      <c r="D382" s="29" t="s">
        <v>60</v>
      </c>
      <c r="E382" s="29">
        <v>0.6623</v>
      </c>
      <c r="F382" s="29">
        <v>53.0679</v>
      </c>
      <c r="G382" s="29">
        <v>32.6038</v>
      </c>
      <c r="H382" s="29">
        <v>0.6179</v>
      </c>
      <c r="I382" s="29">
        <v>0.6271</v>
      </c>
      <c r="J382" s="29">
        <v>0.4382</v>
      </c>
      <c r="K382" s="29">
        <v>0.2005</v>
      </c>
      <c r="L382" s="29">
        <v>8.1629</v>
      </c>
      <c r="M382" s="29" t="s">
        <v>225</v>
      </c>
    </row>
    <row r="383" ht="15.75" customHeight="1">
      <c r="A383" s="29" t="s">
        <v>752</v>
      </c>
      <c r="B383" s="29" t="s">
        <v>2001</v>
      </c>
      <c r="C383" s="29">
        <v>0.0</v>
      </c>
      <c r="D383" s="29" t="s">
        <v>60</v>
      </c>
      <c r="E383" s="29">
        <v>0.6491</v>
      </c>
      <c r="F383" s="29">
        <v>53.0159</v>
      </c>
      <c r="G383" s="29">
        <v>34.2349</v>
      </c>
      <c r="H383" s="29">
        <v>0.6211</v>
      </c>
      <c r="I383" s="29">
        <v>0.5683</v>
      </c>
      <c r="J383" s="29">
        <v>0.4023</v>
      </c>
      <c r="K383" s="29">
        <v>0.1317</v>
      </c>
      <c r="L383" s="29">
        <v>8.7528</v>
      </c>
      <c r="M383" s="29" t="s">
        <v>225</v>
      </c>
    </row>
    <row r="384" ht="15.75" customHeight="1">
      <c r="A384" s="29" t="s">
        <v>2004</v>
      </c>
      <c r="B384" s="29" t="s">
        <v>2005</v>
      </c>
      <c r="C384" s="29">
        <v>0.0</v>
      </c>
      <c r="D384" s="29" t="s">
        <v>60</v>
      </c>
      <c r="E384" s="29">
        <v>0.604</v>
      </c>
      <c r="F384" s="29">
        <v>52.8324</v>
      </c>
      <c r="G384" s="29">
        <v>30.9811</v>
      </c>
      <c r="H384" s="29">
        <v>0.702</v>
      </c>
      <c r="I384" s="29">
        <v>0.6917</v>
      </c>
      <c r="J384" s="29">
        <v>0.4551</v>
      </c>
      <c r="K384" s="29">
        <v>0.0937</v>
      </c>
      <c r="L384" s="29">
        <v>8.2491</v>
      </c>
      <c r="M384" s="29" t="s">
        <v>225</v>
      </c>
    </row>
    <row r="385" ht="15.75" customHeight="1">
      <c r="A385" s="29" t="s">
        <v>1671</v>
      </c>
      <c r="B385" s="29" t="s">
        <v>2009</v>
      </c>
      <c r="C385" s="29">
        <v>0.0</v>
      </c>
      <c r="D385" s="29" t="s">
        <v>60</v>
      </c>
      <c r="E385" s="29">
        <v>0.4674</v>
      </c>
      <c r="F385" s="29">
        <v>52.7873</v>
      </c>
      <c r="G385" s="29">
        <v>30.9901</v>
      </c>
      <c r="H385" s="29">
        <v>0.6979</v>
      </c>
      <c r="I385" s="29">
        <v>0.6907</v>
      </c>
      <c r="J385" s="29">
        <v>0.4687</v>
      </c>
      <c r="K385" s="29">
        <v>0.0601</v>
      </c>
      <c r="L385" s="29">
        <v>8.6274</v>
      </c>
      <c r="M385" s="29" t="s">
        <v>225</v>
      </c>
    </row>
    <row r="386" ht="15.75" customHeight="1">
      <c r="A386" s="29" t="s">
        <v>702</v>
      </c>
      <c r="B386" s="29" t="s">
        <v>2012</v>
      </c>
      <c r="C386" s="29">
        <v>0.0</v>
      </c>
      <c r="D386" s="29" t="s">
        <v>60</v>
      </c>
      <c r="E386" s="29">
        <v>0.7128</v>
      </c>
      <c r="F386" s="29">
        <v>52.6869</v>
      </c>
      <c r="G386" s="29">
        <v>30.2265</v>
      </c>
      <c r="H386" s="29">
        <v>0.6606</v>
      </c>
      <c r="I386" s="29">
        <v>0.7239</v>
      </c>
      <c r="J386" s="29">
        <v>0.4989</v>
      </c>
      <c r="K386" s="29">
        <v>0.1809</v>
      </c>
      <c r="L386" s="29">
        <v>7.8216</v>
      </c>
      <c r="M386" s="29" t="s">
        <v>225</v>
      </c>
    </row>
    <row r="387" ht="15.75" customHeight="1">
      <c r="A387" s="29" t="s">
        <v>952</v>
      </c>
      <c r="B387" s="29" t="s">
        <v>2015</v>
      </c>
      <c r="C387" s="29">
        <v>0.0</v>
      </c>
      <c r="D387" s="29" t="s">
        <v>60</v>
      </c>
      <c r="E387" s="29">
        <v>0.8173</v>
      </c>
      <c r="F387" s="29">
        <v>52.6661</v>
      </c>
      <c r="G387" s="29">
        <v>33.5402</v>
      </c>
      <c r="H387" s="29">
        <v>0.6012</v>
      </c>
      <c r="I387" s="29">
        <v>0.5883</v>
      </c>
      <c r="J387" s="29">
        <v>0.6019</v>
      </c>
      <c r="K387" s="29">
        <v>0.3008</v>
      </c>
      <c r="L387" s="29">
        <v>6.5507</v>
      </c>
      <c r="M387" s="29" t="s">
        <v>225</v>
      </c>
    </row>
    <row r="388" ht="15.75" customHeight="1">
      <c r="A388" s="29" t="s">
        <v>674</v>
      </c>
      <c r="B388" s="29" t="s">
        <v>2019</v>
      </c>
      <c r="C388" s="29">
        <v>0.0</v>
      </c>
      <c r="D388" s="29" t="s">
        <v>60</v>
      </c>
      <c r="E388" s="29">
        <v>0.5858</v>
      </c>
      <c r="F388" s="29">
        <v>52.5484</v>
      </c>
      <c r="G388" s="29">
        <v>35.8375</v>
      </c>
      <c r="H388" s="29">
        <v>0.7</v>
      </c>
      <c r="I388" s="29">
        <v>0.5142</v>
      </c>
      <c r="J388" s="29">
        <v>0.6155</v>
      </c>
      <c r="K388" s="29">
        <v>0.291</v>
      </c>
      <c r="L388" s="29">
        <v>6.9358</v>
      </c>
      <c r="M388" s="29" t="s">
        <v>225</v>
      </c>
    </row>
    <row r="389" ht="15.75" customHeight="1">
      <c r="A389" s="29" t="s">
        <v>1514</v>
      </c>
      <c r="B389" s="29" t="s">
        <v>2022</v>
      </c>
      <c r="C389" s="29">
        <v>0.0</v>
      </c>
      <c r="D389" s="29" t="s">
        <v>60</v>
      </c>
      <c r="E389" s="29">
        <v>0.6983</v>
      </c>
      <c r="F389" s="29">
        <v>52.2505</v>
      </c>
      <c r="G389" s="29">
        <v>31.8447</v>
      </c>
      <c r="H389" s="29">
        <v>0.639</v>
      </c>
      <c r="I389" s="29">
        <v>0.6475</v>
      </c>
      <c r="J389" s="29">
        <v>0.4317</v>
      </c>
      <c r="K389" s="29">
        <v>0.2003</v>
      </c>
      <c r="L389" s="29">
        <v>8.2015</v>
      </c>
      <c r="M389" s="29" t="s">
        <v>225</v>
      </c>
    </row>
    <row r="390" ht="15.75" customHeight="1">
      <c r="A390" s="29" t="s">
        <v>291</v>
      </c>
      <c r="B390" s="29" t="s">
        <v>2026</v>
      </c>
      <c r="C390" s="29">
        <v>0.0</v>
      </c>
      <c r="D390" s="29" t="s">
        <v>60</v>
      </c>
      <c r="E390" s="29">
        <v>0.5866</v>
      </c>
      <c r="F390" s="29">
        <v>52.1085</v>
      </c>
      <c r="G390" s="29">
        <v>31.1966</v>
      </c>
      <c r="H390" s="29">
        <v>0.578</v>
      </c>
      <c r="I390" s="29">
        <v>0.6728</v>
      </c>
      <c r="J390" s="29">
        <v>0.4998</v>
      </c>
      <c r="K390" s="29">
        <v>0.1284</v>
      </c>
      <c r="L390" s="29">
        <v>7.693</v>
      </c>
      <c r="M390" s="29" t="s">
        <v>225</v>
      </c>
    </row>
    <row r="391" ht="15.75" customHeight="1">
      <c r="A391" s="29" t="s">
        <v>1361</v>
      </c>
      <c r="B391" s="29" t="s">
        <v>2030</v>
      </c>
      <c r="C391" s="29">
        <v>0.0</v>
      </c>
      <c r="D391" s="29" t="s">
        <v>60</v>
      </c>
      <c r="E391" s="29">
        <v>0.6556</v>
      </c>
      <c r="F391" s="29">
        <v>52.0497</v>
      </c>
      <c r="G391" s="29">
        <v>32.4325</v>
      </c>
      <c r="H391" s="29">
        <v>0.667</v>
      </c>
      <c r="I391" s="29">
        <v>0.6151</v>
      </c>
      <c r="J391" s="29">
        <v>0.4054</v>
      </c>
      <c r="K391" s="29">
        <v>0.1176</v>
      </c>
      <c r="L391" s="29">
        <v>8.841</v>
      </c>
      <c r="M391" s="29" t="s">
        <v>225</v>
      </c>
    </row>
    <row r="392" ht="15.75" customHeight="1">
      <c r="A392" s="29" t="s">
        <v>250</v>
      </c>
      <c r="B392" s="29" t="s">
        <v>2033</v>
      </c>
      <c r="C392" s="29">
        <v>0.0</v>
      </c>
      <c r="D392" s="29" t="s">
        <v>60</v>
      </c>
      <c r="E392" s="29">
        <v>0.6843</v>
      </c>
      <c r="F392" s="29">
        <v>52.0393</v>
      </c>
      <c r="G392" s="29">
        <v>32.5896</v>
      </c>
      <c r="H392" s="29">
        <v>0.6153</v>
      </c>
      <c r="I392" s="29">
        <v>0.6157</v>
      </c>
      <c r="J392" s="29">
        <v>0.4388</v>
      </c>
      <c r="K392" s="29">
        <v>0.2057</v>
      </c>
      <c r="L392" s="29">
        <v>8.1328</v>
      </c>
      <c r="M392" s="29" t="s">
        <v>225</v>
      </c>
    </row>
    <row r="393" ht="15.75" customHeight="1">
      <c r="A393" s="29" t="s">
        <v>1295</v>
      </c>
      <c r="B393" s="29" t="s">
        <v>2036</v>
      </c>
      <c r="C393" s="29">
        <v>0.0</v>
      </c>
      <c r="D393" s="29" t="s">
        <v>60</v>
      </c>
      <c r="E393" s="29">
        <v>0.6789</v>
      </c>
      <c r="F393" s="29">
        <v>51.9492</v>
      </c>
      <c r="G393" s="29">
        <v>31.3823</v>
      </c>
      <c r="H393" s="29">
        <v>0.6089</v>
      </c>
      <c r="I393" s="29">
        <v>0.6629</v>
      </c>
      <c r="J393" s="29">
        <v>0.4398</v>
      </c>
      <c r="K393" s="29">
        <v>0.2083</v>
      </c>
      <c r="L393" s="29">
        <v>8.0956</v>
      </c>
      <c r="M393" s="29" t="s">
        <v>225</v>
      </c>
    </row>
    <row r="394" ht="15.75" customHeight="1">
      <c r="A394" s="29" t="s">
        <v>61</v>
      </c>
      <c r="B394" s="29" t="s">
        <v>2040</v>
      </c>
      <c r="C394" s="29">
        <v>0.0</v>
      </c>
      <c r="D394" s="29" t="s">
        <v>60</v>
      </c>
      <c r="E394" s="29">
        <v>0.6874</v>
      </c>
      <c r="F394" s="29">
        <v>51.9423</v>
      </c>
      <c r="G394" s="29">
        <v>31.5017</v>
      </c>
      <c r="H394" s="29">
        <v>0.6143</v>
      </c>
      <c r="I394" s="29">
        <v>0.6574</v>
      </c>
      <c r="J394" s="29">
        <v>0.427</v>
      </c>
      <c r="K394" s="29">
        <v>0.1861</v>
      </c>
      <c r="L394" s="29">
        <v>8.2532</v>
      </c>
      <c r="M394" s="29" t="s">
        <v>225</v>
      </c>
    </row>
    <row r="395" ht="15.75" customHeight="1">
      <c r="A395" s="29" t="s">
        <v>1172</v>
      </c>
      <c r="B395" s="29" t="s">
        <v>2045</v>
      </c>
      <c r="C395" s="29">
        <v>0.0</v>
      </c>
      <c r="D395" s="29" t="s">
        <v>60</v>
      </c>
      <c r="E395" s="29">
        <v>0.5421</v>
      </c>
      <c r="F395" s="29">
        <v>51.8938</v>
      </c>
      <c r="G395" s="29">
        <v>30.2265</v>
      </c>
      <c r="H395" s="29">
        <v>0.733</v>
      </c>
      <c r="I395" s="29">
        <v>0.7138</v>
      </c>
      <c r="J395" s="29">
        <v>0.4129</v>
      </c>
      <c r="K395" s="29">
        <v>0.1389</v>
      </c>
      <c r="L395" s="29">
        <v>8.4516</v>
      </c>
      <c r="M395" s="29" t="s">
        <v>225</v>
      </c>
    </row>
    <row r="396" ht="15.75" customHeight="1">
      <c r="A396" s="29" t="s">
        <v>1202</v>
      </c>
      <c r="B396" s="29" t="s">
        <v>2048</v>
      </c>
      <c r="C396" s="29">
        <v>0.0</v>
      </c>
      <c r="D396" s="29" t="s">
        <v>60</v>
      </c>
      <c r="E396" s="29">
        <v>0.6968</v>
      </c>
      <c r="F396" s="29">
        <v>51.7795</v>
      </c>
      <c r="G396" s="29">
        <v>29.9472</v>
      </c>
      <c r="H396" s="29">
        <v>0.5292</v>
      </c>
      <c r="I396" s="29">
        <v>0.7255</v>
      </c>
      <c r="J396" s="29">
        <v>0.4669</v>
      </c>
      <c r="K396" s="29">
        <v>0.1693</v>
      </c>
      <c r="L396" s="29">
        <v>8.0374</v>
      </c>
      <c r="M396" s="29" t="s">
        <v>225</v>
      </c>
    </row>
    <row r="397" ht="15.75" customHeight="1">
      <c r="A397" s="29" t="s">
        <v>71</v>
      </c>
      <c r="B397" s="29" t="s">
        <v>2051</v>
      </c>
      <c r="C397" s="29">
        <v>0.0</v>
      </c>
      <c r="D397" s="29" t="s">
        <v>60</v>
      </c>
      <c r="E397" s="29">
        <v>0.6733</v>
      </c>
      <c r="F397" s="29">
        <v>51.7691</v>
      </c>
      <c r="G397" s="29">
        <v>32.0234</v>
      </c>
      <c r="H397" s="29">
        <v>0.6019</v>
      </c>
      <c r="I397" s="29">
        <v>0.6339</v>
      </c>
      <c r="J397" s="29">
        <v>0.4292</v>
      </c>
      <c r="K397" s="29">
        <v>0.1892</v>
      </c>
      <c r="L397" s="29">
        <v>8.2287</v>
      </c>
      <c r="M397" s="29" t="s">
        <v>225</v>
      </c>
    </row>
    <row r="398" ht="15.75" customHeight="1">
      <c r="A398" s="29" t="s">
        <v>1609</v>
      </c>
      <c r="B398" s="29" t="s">
        <v>2055</v>
      </c>
      <c r="C398" s="29">
        <v>0.0</v>
      </c>
      <c r="D398" s="29" t="s">
        <v>60</v>
      </c>
      <c r="E398" s="29">
        <v>0.6926</v>
      </c>
      <c r="F398" s="29">
        <v>51.7657</v>
      </c>
      <c r="G398" s="29">
        <v>32.3583</v>
      </c>
      <c r="H398" s="29">
        <v>0.6034</v>
      </c>
      <c r="I398" s="29">
        <v>0.6212</v>
      </c>
      <c r="J398" s="29">
        <v>0.4364</v>
      </c>
      <c r="K398" s="29">
        <v>0.2075</v>
      </c>
      <c r="L398" s="29">
        <v>8.1389</v>
      </c>
      <c r="M398" s="29" t="s">
        <v>225</v>
      </c>
    </row>
    <row r="399" ht="15.75" customHeight="1">
      <c r="A399" s="29" t="s">
        <v>653</v>
      </c>
      <c r="B399" s="29" t="s">
        <v>2058</v>
      </c>
      <c r="C399" s="29">
        <v>0.0</v>
      </c>
      <c r="D399" s="29" t="s">
        <v>60</v>
      </c>
      <c r="E399" s="29">
        <v>0.6928</v>
      </c>
      <c r="F399" s="29">
        <v>51.7553</v>
      </c>
      <c r="G399" s="29">
        <v>31.0776</v>
      </c>
      <c r="H399" s="29">
        <v>0.6337</v>
      </c>
      <c r="I399" s="29">
        <v>0.6734</v>
      </c>
      <c r="J399" s="29">
        <v>0.4361</v>
      </c>
      <c r="K399" s="29">
        <v>0.1982</v>
      </c>
      <c r="L399" s="29">
        <v>8.1603</v>
      </c>
      <c r="M399" s="29" t="s">
        <v>225</v>
      </c>
    </row>
    <row r="400" ht="15.75" customHeight="1">
      <c r="A400" s="29" t="s">
        <v>1525</v>
      </c>
      <c r="B400" s="29" t="s">
        <v>2061</v>
      </c>
      <c r="C400" s="29">
        <v>0.0</v>
      </c>
      <c r="D400" s="29" t="s">
        <v>60</v>
      </c>
      <c r="E400" s="29">
        <v>0.6943</v>
      </c>
      <c r="F400" s="29">
        <v>51.4574</v>
      </c>
      <c r="G400" s="29">
        <v>31.2865</v>
      </c>
      <c r="H400" s="29">
        <v>0.6336</v>
      </c>
      <c r="I400" s="29">
        <v>0.6606</v>
      </c>
      <c r="J400" s="29">
        <v>0.4408</v>
      </c>
      <c r="K400" s="29">
        <v>0.2036</v>
      </c>
      <c r="L400" s="29">
        <v>8.1103</v>
      </c>
      <c r="M400" s="29" t="s">
        <v>225</v>
      </c>
    </row>
    <row r="401" ht="15.75" customHeight="1">
      <c r="A401" s="29" t="s">
        <v>811</v>
      </c>
      <c r="B401" s="29" t="s">
        <v>2064</v>
      </c>
      <c r="C401" s="29">
        <v>0.0</v>
      </c>
      <c r="D401" s="29" t="s">
        <v>60</v>
      </c>
      <c r="E401" s="29">
        <v>0.6995</v>
      </c>
      <c r="F401" s="29">
        <v>51.4055</v>
      </c>
      <c r="G401" s="29">
        <v>30.6618</v>
      </c>
      <c r="H401" s="29">
        <v>0.5233</v>
      </c>
      <c r="I401" s="29">
        <v>0.6871</v>
      </c>
      <c r="J401" s="29">
        <v>0.4826</v>
      </c>
      <c r="K401" s="29">
        <v>0.1962</v>
      </c>
      <c r="L401" s="29">
        <v>7.8662</v>
      </c>
      <c r="M401" s="29" t="s">
        <v>225</v>
      </c>
    </row>
    <row r="402" ht="15.75" customHeight="1">
      <c r="A402" s="29" t="s">
        <v>430</v>
      </c>
      <c r="B402" s="29" t="s">
        <v>2068</v>
      </c>
      <c r="C402" s="29">
        <v>0.0</v>
      </c>
      <c r="D402" s="29" t="s">
        <v>60</v>
      </c>
      <c r="E402" s="29">
        <v>0.6996</v>
      </c>
      <c r="F402" s="29">
        <v>51.2046</v>
      </c>
      <c r="G402" s="29">
        <v>30.128</v>
      </c>
      <c r="H402" s="29">
        <v>0.4994</v>
      </c>
      <c r="I402" s="29">
        <v>0.7089</v>
      </c>
      <c r="J402" s="29">
        <v>0.4746</v>
      </c>
      <c r="K402" s="29">
        <v>0.1907</v>
      </c>
      <c r="L402" s="29">
        <v>7.9414</v>
      </c>
      <c r="M402" s="29" t="s">
        <v>225</v>
      </c>
    </row>
    <row r="403" ht="15.75" customHeight="1">
      <c r="A403" s="29" t="s">
        <v>578</v>
      </c>
      <c r="B403" s="29" t="s">
        <v>579</v>
      </c>
      <c r="C403" s="29">
        <v>0.0</v>
      </c>
      <c r="D403" s="29" t="s">
        <v>60</v>
      </c>
      <c r="E403" s="29">
        <v>0.4366</v>
      </c>
      <c r="F403" s="29">
        <v>51.1942</v>
      </c>
      <c r="G403" s="29">
        <v>29.2027</v>
      </c>
      <c r="H403" s="29">
        <v>0.513</v>
      </c>
      <c r="I403" s="29">
        <v>0.7544</v>
      </c>
      <c r="J403" s="29">
        <v>0.4538</v>
      </c>
      <c r="K403" s="29">
        <v>0.0853</v>
      </c>
      <c r="L403" s="29">
        <v>8.7084</v>
      </c>
      <c r="M403" s="29" t="s">
        <v>225</v>
      </c>
    </row>
    <row r="404" ht="15.75" customHeight="1">
      <c r="A404" s="29" t="s">
        <v>451</v>
      </c>
      <c r="B404" s="29" t="s">
        <v>2074</v>
      </c>
      <c r="C404" s="29">
        <v>0.0</v>
      </c>
      <c r="D404" s="29" t="s">
        <v>60</v>
      </c>
      <c r="E404" s="29">
        <v>0.7088</v>
      </c>
      <c r="F404" s="29">
        <v>51.1804</v>
      </c>
      <c r="G404" s="29">
        <v>30.4466</v>
      </c>
      <c r="H404" s="29">
        <v>0.5589</v>
      </c>
      <c r="I404" s="29">
        <v>0.6938</v>
      </c>
      <c r="J404" s="29">
        <v>0.5016</v>
      </c>
      <c r="K404" s="29">
        <v>0.1978</v>
      </c>
      <c r="L404" s="29">
        <v>7.7299</v>
      </c>
      <c r="M404" s="29" t="s">
        <v>225</v>
      </c>
    </row>
    <row r="405" ht="15.75" customHeight="1">
      <c r="A405" s="29" t="s">
        <v>1308</v>
      </c>
      <c r="B405" s="29" t="s">
        <v>2077</v>
      </c>
      <c r="C405" s="29">
        <v>0.0</v>
      </c>
      <c r="D405" s="29" t="s">
        <v>60</v>
      </c>
      <c r="E405" s="29">
        <v>0.6899</v>
      </c>
      <c r="F405" s="29">
        <v>51.17</v>
      </c>
      <c r="G405" s="29">
        <v>31.4512</v>
      </c>
      <c r="H405" s="29">
        <v>0.6287</v>
      </c>
      <c r="I405" s="29">
        <v>0.6501</v>
      </c>
      <c r="J405" s="29">
        <v>0.4303</v>
      </c>
      <c r="K405" s="29">
        <v>0.1956</v>
      </c>
      <c r="L405" s="29">
        <v>8.1902</v>
      </c>
      <c r="M405" s="29" t="s">
        <v>225</v>
      </c>
    </row>
    <row r="406" ht="15.75" customHeight="1">
      <c r="A406" s="29" t="s">
        <v>1579</v>
      </c>
      <c r="B406" s="29" t="s">
        <v>2080</v>
      </c>
      <c r="C406" s="29">
        <v>0.0</v>
      </c>
      <c r="D406" s="29" t="s">
        <v>60</v>
      </c>
      <c r="E406" s="29">
        <v>0.6836</v>
      </c>
      <c r="F406" s="29">
        <v>51.1423</v>
      </c>
      <c r="G406" s="29">
        <v>31.6783</v>
      </c>
      <c r="H406" s="29">
        <v>0.6039</v>
      </c>
      <c r="I406" s="29">
        <v>0.6404</v>
      </c>
      <c r="J406" s="29">
        <v>0.4292</v>
      </c>
      <c r="K406" s="29">
        <v>0.1899</v>
      </c>
      <c r="L406" s="29">
        <v>8.2178</v>
      </c>
      <c r="M406" s="29" t="s">
        <v>225</v>
      </c>
    </row>
    <row r="407" ht="15.75" customHeight="1">
      <c r="A407" s="29" t="s">
        <v>1710</v>
      </c>
      <c r="B407" s="29" t="s">
        <v>2085</v>
      </c>
      <c r="C407" s="29">
        <v>0.0</v>
      </c>
      <c r="D407" s="29" t="s">
        <v>60</v>
      </c>
      <c r="E407" s="29">
        <v>0.676</v>
      </c>
      <c r="F407" s="29">
        <v>51.073</v>
      </c>
      <c r="G407" s="29">
        <v>30.8056</v>
      </c>
      <c r="H407" s="29">
        <v>0.6276</v>
      </c>
      <c r="I407" s="29">
        <v>0.676</v>
      </c>
      <c r="J407" s="29">
        <v>0.4317</v>
      </c>
      <c r="K407" s="29">
        <v>0.1877</v>
      </c>
      <c r="L407" s="29">
        <v>8.2054</v>
      </c>
      <c r="M407" s="29" t="s">
        <v>225</v>
      </c>
    </row>
    <row r="408" ht="15.75" customHeight="1">
      <c r="A408" s="29" t="s">
        <v>1525</v>
      </c>
      <c r="B408" s="29" t="s">
        <v>2088</v>
      </c>
      <c r="C408" s="29">
        <v>0.0</v>
      </c>
      <c r="D408" s="29" t="s">
        <v>60</v>
      </c>
      <c r="E408" s="29">
        <v>0.7156</v>
      </c>
      <c r="F408" s="29">
        <v>51.0557</v>
      </c>
      <c r="G408" s="29">
        <v>32.3252</v>
      </c>
      <c r="H408" s="29">
        <v>0.6849</v>
      </c>
      <c r="I408" s="29">
        <v>0.6127</v>
      </c>
      <c r="J408" s="29">
        <v>0.3911</v>
      </c>
      <c r="K408" s="29">
        <v>0.1439</v>
      </c>
      <c r="L408" s="29">
        <v>8.6488</v>
      </c>
      <c r="M408" s="29" t="s">
        <v>225</v>
      </c>
    </row>
    <row r="409" ht="15.75" customHeight="1">
      <c r="A409" s="29" t="s">
        <v>1952</v>
      </c>
      <c r="B409" s="29" t="s">
        <v>2092</v>
      </c>
      <c r="C409" s="29">
        <v>0.0</v>
      </c>
      <c r="D409" s="29" t="s">
        <v>60</v>
      </c>
      <c r="E409" s="29">
        <v>0.4294</v>
      </c>
      <c r="F409" s="29">
        <v>50.9449</v>
      </c>
      <c r="G409" s="29">
        <v>42.1497</v>
      </c>
      <c r="H409" s="29">
        <v>0.5419</v>
      </c>
      <c r="I409" s="29">
        <v>0.3603</v>
      </c>
      <c r="J409" s="29">
        <v>0.5637</v>
      </c>
      <c r="K409" s="29">
        <v>0.1437</v>
      </c>
      <c r="L409" s="29">
        <v>8.2093</v>
      </c>
      <c r="M409" s="29" t="s">
        <v>225</v>
      </c>
    </row>
    <row r="410" ht="15.75" customHeight="1">
      <c r="A410" s="29" t="s">
        <v>113</v>
      </c>
      <c r="B410" s="29" t="s">
        <v>2098</v>
      </c>
      <c r="C410" s="29">
        <v>0.0</v>
      </c>
      <c r="D410" s="29" t="s">
        <v>60</v>
      </c>
      <c r="E410" s="29">
        <v>0.6866</v>
      </c>
      <c r="F410" s="29">
        <v>50.8617</v>
      </c>
      <c r="G410" s="29">
        <v>31.8186</v>
      </c>
      <c r="H410" s="29">
        <v>0.6154</v>
      </c>
      <c r="I410" s="29">
        <v>0.6313</v>
      </c>
      <c r="J410" s="29">
        <v>0.4361</v>
      </c>
      <c r="K410" s="29">
        <v>0.1999</v>
      </c>
      <c r="L410" s="29">
        <v>8.1556</v>
      </c>
      <c r="M410" s="29" t="s">
        <v>225</v>
      </c>
    </row>
    <row r="411" ht="15.75" customHeight="1">
      <c r="A411" s="29" t="s">
        <v>100</v>
      </c>
      <c r="B411" s="29" t="s">
        <v>2101</v>
      </c>
      <c r="C411" s="29">
        <v>0.0</v>
      </c>
      <c r="D411" s="29" t="s">
        <v>60</v>
      </c>
      <c r="E411" s="29">
        <v>0.676</v>
      </c>
      <c r="F411" s="29">
        <v>50.8583</v>
      </c>
      <c r="G411" s="29">
        <v>31.165</v>
      </c>
      <c r="H411" s="29">
        <v>0.6247</v>
      </c>
      <c r="I411" s="29">
        <v>0.658</v>
      </c>
      <c r="J411" s="29">
        <v>0.4313</v>
      </c>
      <c r="K411" s="29">
        <v>0.1912</v>
      </c>
      <c r="L411" s="29">
        <v>8.203</v>
      </c>
      <c r="M411" s="29" t="s">
        <v>225</v>
      </c>
    </row>
    <row r="412" ht="15.75" customHeight="1">
      <c r="A412" s="29" t="s">
        <v>872</v>
      </c>
      <c r="B412" s="29" t="s">
        <v>2104</v>
      </c>
      <c r="C412" s="29">
        <v>0.0</v>
      </c>
      <c r="D412" s="29" t="s">
        <v>60</v>
      </c>
      <c r="E412" s="29">
        <v>0.6856</v>
      </c>
      <c r="F412" s="29">
        <v>50.8548</v>
      </c>
      <c r="G412" s="29">
        <v>32.186</v>
      </c>
      <c r="H412" s="29">
        <v>0.6934</v>
      </c>
      <c r="I412" s="29">
        <v>0.6169</v>
      </c>
      <c r="J412" s="29">
        <v>0.5215</v>
      </c>
      <c r="K412" s="29">
        <v>0.2251</v>
      </c>
      <c r="L412" s="29">
        <v>7.6019</v>
      </c>
      <c r="M412" s="29" t="s">
        <v>225</v>
      </c>
    </row>
    <row r="413" ht="15.75" customHeight="1">
      <c r="A413" s="29" t="s">
        <v>1639</v>
      </c>
      <c r="B413" s="29" t="s">
        <v>2109</v>
      </c>
      <c r="C413" s="29">
        <v>0.0</v>
      </c>
      <c r="D413" s="29" t="s">
        <v>60</v>
      </c>
      <c r="E413" s="29">
        <v>0.6992</v>
      </c>
      <c r="F413" s="29">
        <v>50.8479</v>
      </c>
      <c r="G413" s="29">
        <v>30.6475</v>
      </c>
      <c r="H413" s="29">
        <v>0.5997</v>
      </c>
      <c r="I413" s="29">
        <v>0.6798</v>
      </c>
      <c r="J413" s="29">
        <v>0.438</v>
      </c>
      <c r="K413" s="29">
        <v>0.2011</v>
      </c>
      <c r="L413" s="29">
        <v>8.1436</v>
      </c>
      <c r="M413" s="29" t="s">
        <v>225</v>
      </c>
    </row>
    <row r="414" ht="15.75" customHeight="1">
      <c r="A414" s="29" t="s">
        <v>1261</v>
      </c>
      <c r="B414" s="29" t="s">
        <v>2112</v>
      </c>
      <c r="C414" s="29">
        <v>0.0</v>
      </c>
      <c r="D414" s="29" t="s">
        <v>60</v>
      </c>
      <c r="E414" s="29">
        <v>0.7144</v>
      </c>
      <c r="F414" s="29">
        <v>50.7994</v>
      </c>
      <c r="G414" s="29">
        <v>29.7404</v>
      </c>
      <c r="H414" s="29">
        <v>0.5365</v>
      </c>
      <c r="I414" s="29">
        <v>0.7217</v>
      </c>
      <c r="J414" s="29">
        <v>0.4753</v>
      </c>
      <c r="K414" s="29">
        <v>0.1827</v>
      </c>
      <c r="L414" s="29">
        <v>7.9587</v>
      </c>
      <c r="M414" s="29" t="s">
        <v>225</v>
      </c>
    </row>
    <row r="415" ht="15.75" customHeight="1">
      <c r="A415" s="29" t="s">
        <v>1280</v>
      </c>
      <c r="B415" s="29" t="s">
        <v>2115</v>
      </c>
      <c r="C415" s="29">
        <v>0.0</v>
      </c>
      <c r="D415" s="29" t="s">
        <v>60</v>
      </c>
      <c r="E415" s="29">
        <v>0.7193</v>
      </c>
      <c r="F415" s="29">
        <v>50.789</v>
      </c>
      <c r="G415" s="29">
        <v>30.0305</v>
      </c>
      <c r="H415" s="29">
        <v>0.508</v>
      </c>
      <c r="I415" s="29">
        <v>0.7077</v>
      </c>
      <c r="J415" s="29">
        <v>0.4727</v>
      </c>
      <c r="K415" s="29">
        <v>0.1744</v>
      </c>
      <c r="L415" s="29">
        <v>7.9901</v>
      </c>
      <c r="M415" s="29" t="s">
        <v>225</v>
      </c>
    </row>
    <row r="416" ht="15.75" customHeight="1">
      <c r="A416" s="29" t="s">
        <v>1152</v>
      </c>
      <c r="B416" s="29" t="s">
        <v>2118</v>
      </c>
      <c r="C416" s="29">
        <v>0.0</v>
      </c>
      <c r="D416" s="29" t="s">
        <v>60</v>
      </c>
      <c r="E416" s="29">
        <v>0.3784</v>
      </c>
      <c r="F416" s="29">
        <v>50.7752</v>
      </c>
      <c r="G416" s="29">
        <v>33.644</v>
      </c>
      <c r="H416" s="29">
        <v>0.6573</v>
      </c>
      <c r="I416" s="29">
        <v>0.5629</v>
      </c>
      <c r="J416" s="29">
        <v>0.4375</v>
      </c>
      <c r="K416" s="29">
        <v>0.1182</v>
      </c>
      <c r="L416" s="29">
        <v>8.3241</v>
      </c>
      <c r="M416" s="29" t="s">
        <v>225</v>
      </c>
    </row>
    <row r="417" ht="15.75" customHeight="1">
      <c r="A417" s="29" t="s">
        <v>409</v>
      </c>
      <c r="B417" s="29" t="s">
        <v>2122</v>
      </c>
      <c r="C417" s="29">
        <v>0.0</v>
      </c>
      <c r="D417" s="29" t="s">
        <v>60</v>
      </c>
      <c r="E417" s="29">
        <v>0.5373</v>
      </c>
      <c r="F417" s="29">
        <v>50.744</v>
      </c>
      <c r="G417" s="29">
        <v>31.2395</v>
      </c>
      <c r="H417" s="29">
        <v>0.7513</v>
      </c>
      <c r="I417" s="29">
        <v>0.6534</v>
      </c>
      <c r="J417" s="29">
        <v>0.4451</v>
      </c>
      <c r="K417" s="29">
        <v>0.1631</v>
      </c>
      <c r="L417" s="29">
        <v>7.8097</v>
      </c>
      <c r="M417" s="29" t="s">
        <v>225</v>
      </c>
    </row>
    <row r="418" ht="15.75" customHeight="1">
      <c r="A418" s="29" t="s">
        <v>1205</v>
      </c>
      <c r="B418" s="29" t="s">
        <v>2126</v>
      </c>
      <c r="C418" s="29">
        <v>0.0</v>
      </c>
      <c r="D418" s="29" t="s">
        <v>60</v>
      </c>
      <c r="E418" s="29">
        <v>0.6889</v>
      </c>
      <c r="F418" s="29">
        <v>50.6713</v>
      </c>
      <c r="G418" s="29">
        <v>30.6594</v>
      </c>
      <c r="H418" s="29">
        <v>0.615</v>
      </c>
      <c r="I418" s="29">
        <v>0.6774</v>
      </c>
      <c r="J418" s="29">
        <v>0.4282</v>
      </c>
      <c r="K418" s="29">
        <v>0.1853</v>
      </c>
      <c r="L418" s="29">
        <v>8.2264</v>
      </c>
      <c r="M418" s="29" t="s">
        <v>225</v>
      </c>
    </row>
    <row r="419" ht="15.75" customHeight="1">
      <c r="A419" s="29" t="s">
        <v>1199</v>
      </c>
      <c r="B419" s="29" t="s">
        <v>2129</v>
      </c>
      <c r="C419" s="29">
        <v>0.0</v>
      </c>
      <c r="D419" s="29" t="s">
        <v>60</v>
      </c>
      <c r="E419" s="29">
        <v>0.6669</v>
      </c>
      <c r="F419" s="29">
        <v>50.6609</v>
      </c>
      <c r="G419" s="29">
        <v>30.5761</v>
      </c>
      <c r="H419" s="29">
        <v>0.6148</v>
      </c>
      <c r="I419" s="29">
        <v>0.6804</v>
      </c>
      <c r="J419" s="29">
        <v>0.4287</v>
      </c>
      <c r="K419" s="29">
        <v>0.1853</v>
      </c>
      <c r="L419" s="29">
        <v>8.2174</v>
      </c>
      <c r="M419" s="29" t="s">
        <v>225</v>
      </c>
    </row>
    <row r="420" ht="15.75" customHeight="1">
      <c r="A420" s="29" t="s">
        <v>18</v>
      </c>
      <c r="B420" s="29" t="s">
        <v>2132</v>
      </c>
      <c r="C420" s="29">
        <v>0.0</v>
      </c>
      <c r="D420" s="29" t="s">
        <v>60</v>
      </c>
      <c r="E420" s="29">
        <v>0.6871</v>
      </c>
      <c r="F420" s="29">
        <v>50.6366</v>
      </c>
      <c r="G420" s="29">
        <v>30.9982</v>
      </c>
      <c r="H420" s="29">
        <v>0.6242</v>
      </c>
      <c r="I420" s="29">
        <v>0.6622</v>
      </c>
      <c r="J420" s="29">
        <v>0.4302</v>
      </c>
      <c r="K420" s="29">
        <v>0.1854</v>
      </c>
      <c r="L420" s="29">
        <v>8.219</v>
      </c>
      <c r="M420" s="29" t="s">
        <v>225</v>
      </c>
    </row>
    <row r="421" ht="15.75" customHeight="1">
      <c r="A421" s="29" t="s">
        <v>2134</v>
      </c>
      <c r="B421" s="29" t="s">
        <v>2135</v>
      </c>
      <c r="C421" s="29">
        <v>0.0</v>
      </c>
      <c r="D421" s="29" t="s">
        <v>60</v>
      </c>
      <c r="E421" s="29">
        <v>0.5665</v>
      </c>
      <c r="F421" s="29">
        <v>50.5327</v>
      </c>
      <c r="G421" s="29">
        <v>28.8402</v>
      </c>
      <c r="H421" s="29">
        <v>0.654</v>
      </c>
      <c r="I421" s="29">
        <v>0.7635</v>
      </c>
      <c r="J421" s="29">
        <v>0.4965</v>
      </c>
      <c r="K421" s="29">
        <v>0.1218</v>
      </c>
      <c r="L421" s="29">
        <v>7.8752</v>
      </c>
      <c r="M421" s="29" t="s">
        <v>225</v>
      </c>
    </row>
    <row r="422" ht="15.75" customHeight="1">
      <c r="A422" s="29" t="s">
        <v>1252</v>
      </c>
      <c r="B422" s="29" t="s">
        <v>2139</v>
      </c>
      <c r="C422" s="29">
        <v>0.0</v>
      </c>
      <c r="D422" s="29" t="s">
        <v>60</v>
      </c>
      <c r="E422" s="29">
        <v>0.7142</v>
      </c>
      <c r="F422" s="29">
        <v>50.5154</v>
      </c>
      <c r="G422" s="29">
        <v>29.6001</v>
      </c>
      <c r="H422" s="29">
        <v>0.5409</v>
      </c>
      <c r="I422" s="29">
        <v>0.7245</v>
      </c>
      <c r="J422" s="29">
        <v>0.4706</v>
      </c>
      <c r="K422" s="29">
        <v>0.1765</v>
      </c>
      <c r="L422" s="29">
        <v>7.9791</v>
      </c>
      <c r="M422" s="29" t="s">
        <v>225</v>
      </c>
    </row>
    <row r="423" ht="15.75" customHeight="1">
      <c r="A423" s="29" t="s">
        <v>1822</v>
      </c>
      <c r="B423" s="29" t="s">
        <v>2142</v>
      </c>
      <c r="C423" s="29">
        <v>0.0</v>
      </c>
      <c r="D423" s="29" t="s">
        <v>60</v>
      </c>
      <c r="E423" s="29">
        <v>0.7332</v>
      </c>
      <c r="F423" s="29">
        <v>50.4427</v>
      </c>
      <c r="G423" s="29">
        <v>30.3407</v>
      </c>
      <c r="H423" s="29">
        <v>0.523</v>
      </c>
      <c r="I423" s="29">
        <v>0.6886</v>
      </c>
      <c r="J423" s="29">
        <v>0.4714</v>
      </c>
      <c r="K423" s="29">
        <v>0.1768</v>
      </c>
      <c r="L423" s="29">
        <v>7.9734</v>
      </c>
      <c r="M423" s="29" t="s">
        <v>225</v>
      </c>
    </row>
    <row r="424" ht="15.75" customHeight="1">
      <c r="A424" s="29" t="s">
        <v>1700</v>
      </c>
      <c r="B424" s="29" t="s">
        <v>2145</v>
      </c>
      <c r="C424" s="29">
        <v>0.0</v>
      </c>
      <c r="D424" s="29" t="s">
        <v>60</v>
      </c>
      <c r="E424" s="29">
        <v>0.5765</v>
      </c>
      <c r="F424" s="29">
        <v>50.415</v>
      </c>
      <c r="G424" s="29">
        <v>30.8624</v>
      </c>
      <c r="H424" s="29">
        <v>0.5928</v>
      </c>
      <c r="I424" s="29">
        <v>0.6651</v>
      </c>
      <c r="J424" s="29">
        <v>0.549</v>
      </c>
      <c r="K424" s="29">
        <v>0.1522</v>
      </c>
      <c r="L424" s="29">
        <v>7.589</v>
      </c>
      <c r="M424" s="29" t="s">
        <v>225</v>
      </c>
    </row>
    <row r="425" ht="15.75" customHeight="1">
      <c r="A425" s="29" t="s">
        <v>1288</v>
      </c>
      <c r="B425" s="29" t="s">
        <v>2148</v>
      </c>
      <c r="C425" s="29">
        <v>0.0</v>
      </c>
      <c r="D425" s="29" t="s">
        <v>60</v>
      </c>
      <c r="E425" s="29">
        <v>0.7109</v>
      </c>
      <c r="F425" s="29">
        <v>50.3977</v>
      </c>
      <c r="G425" s="29">
        <v>30.5096</v>
      </c>
      <c r="H425" s="29">
        <v>0.5176</v>
      </c>
      <c r="I425" s="29">
        <v>0.6804</v>
      </c>
      <c r="J425" s="29">
        <v>0.4775</v>
      </c>
      <c r="K425" s="29">
        <v>0.1885</v>
      </c>
      <c r="L425" s="29">
        <v>7.9233</v>
      </c>
      <c r="M425" s="29" t="s">
        <v>225</v>
      </c>
    </row>
    <row r="426" ht="15.75" customHeight="1">
      <c r="A426" s="29" t="s">
        <v>2151</v>
      </c>
      <c r="B426" s="29" t="s">
        <v>2152</v>
      </c>
      <c r="C426" s="29">
        <v>0.0</v>
      </c>
      <c r="D426" s="29" t="s">
        <v>60</v>
      </c>
      <c r="E426" s="29">
        <v>0.7218</v>
      </c>
      <c r="F426" s="29">
        <v>50.3977</v>
      </c>
      <c r="G426" s="29">
        <v>30.3146</v>
      </c>
      <c r="H426" s="29">
        <v>0.5445</v>
      </c>
      <c r="I426" s="29">
        <v>0.6892</v>
      </c>
      <c r="J426" s="29">
        <v>0.4767</v>
      </c>
      <c r="K426" s="29">
        <v>0.1889</v>
      </c>
      <c r="L426" s="29">
        <v>7.9235</v>
      </c>
      <c r="M426" s="29" t="s">
        <v>225</v>
      </c>
    </row>
    <row r="427" ht="15.75" customHeight="1">
      <c r="A427" s="29" t="s">
        <v>1097</v>
      </c>
      <c r="B427" s="29" t="s">
        <v>2154</v>
      </c>
      <c r="C427" s="29">
        <v>0.0</v>
      </c>
      <c r="D427" s="29" t="s">
        <v>60</v>
      </c>
      <c r="E427" s="29">
        <v>0.7083</v>
      </c>
      <c r="F427" s="29">
        <v>50.3353</v>
      </c>
      <c r="G427" s="29">
        <v>30.081</v>
      </c>
      <c r="H427" s="29">
        <v>0.5345</v>
      </c>
      <c r="I427" s="29">
        <v>0.6989</v>
      </c>
      <c r="J427" s="29">
        <v>0.4742</v>
      </c>
      <c r="K427" s="29">
        <v>0.1784</v>
      </c>
      <c r="L427" s="29">
        <v>7.9542</v>
      </c>
      <c r="M427" s="29" t="s">
        <v>225</v>
      </c>
    </row>
    <row r="428" ht="15.75" customHeight="1">
      <c r="A428" s="29" t="s">
        <v>804</v>
      </c>
      <c r="B428" s="29" t="s">
        <v>2157</v>
      </c>
      <c r="C428" s="29">
        <v>0.0</v>
      </c>
      <c r="D428" s="29" t="s">
        <v>60</v>
      </c>
      <c r="E428" s="29">
        <v>0.7181</v>
      </c>
      <c r="F428" s="29">
        <v>50.3284</v>
      </c>
      <c r="G428" s="29">
        <v>30.4038</v>
      </c>
      <c r="H428" s="29">
        <v>0.5779</v>
      </c>
      <c r="I428" s="29">
        <v>0.6842</v>
      </c>
      <c r="J428" s="29">
        <v>0.4781</v>
      </c>
      <c r="K428" s="29">
        <v>0.188</v>
      </c>
      <c r="L428" s="29">
        <v>7.9225</v>
      </c>
      <c r="M428" s="29" t="s">
        <v>225</v>
      </c>
    </row>
    <row r="429" ht="15.75" customHeight="1">
      <c r="A429" s="29" t="s">
        <v>1048</v>
      </c>
      <c r="B429" s="29" t="s">
        <v>2160</v>
      </c>
      <c r="C429" s="29">
        <v>0.0</v>
      </c>
      <c r="D429" s="29" t="s">
        <v>60</v>
      </c>
      <c r="E429" s="29">
        <v>0.707</v>
      </c>
      <c r="F429" s="29">
        <v>50.2418</v>
      </c>
      <c r="G429" s="29">
        <v>30.1196</v>
      </c>
      <c r="H429" s="29">
        <v>0.5286</v>
      </c>
      <c r="I429" s="29">
        <v>0.6959</v>
      </c>
      <c r="J429" s="29">
        <v>0.4789</v>
      </c>
      <c r="K429" s="29">
        <v>0.1909</v>
      </c>
      <c r="L429" s="29">
        <v>7.899</v>
      </c>
      <c r="M429" s="29" t="s">
        <v>225</v>
      </c>
    </row>
    <row r="430" ht="15.75" customHeight="1">
      <c r="A430" s="29" t="s">
        <v>483</v>
      </c>
      <c r="B430" s="29" t="s">
        <v>2163</v>
      </c>
      <c r="C430" s="29">
        <v>0.0</v>
      </c>
      <c r="D430" s="29" t="s">
        <v>60</v>
      </c>
      <c r="E430" s="29">
        <v>0.5682</v>
      </c>
      <c r="F430" s="29">
        <v>50.1379</v>
      </c>
      <c r="G430" s="29">
        <v>31.0814</v>
      </c>
      <c r="H430" s="29">
        <v>0.7383</v>
      </c>
      <c r="I430" s="29">
        <v>0.6522</v>
      </c>
      <c r="J430" s="29">
        <v>0.4547</v>
      </c>
      <c r="K430" s="29">
        <v>0.1792</v>
      </c>
      <c r="L430" s="29">
        <v>7.6563</v>
      </c>
      <c r="M430" s="29" t="s">
        <v>225</v>
      </c>
    </row>
    <row r="431" ht="15.75" customHeight="1">
      <c r="A431" s="29" t="s">
        <v>1706</v>
      </c>
      <c r="B431" s="29" t="s">
        <v>2167</v>
      </c>
      <c r="C431" s="29">
        <v>0.0</v>
      </c>
      <c r="D431" s="29" t="s">
        <v>60</v>
      </c>
      <c r="E431" s="29">
        <v>0.7052</v>
      </c>
      <c r="F431" s="29">
        <v>50.1068</v>
      </c>
      <c r="G431" s="29">
        <v>30.2415</v>
      </c>
      <c r="H431" s="29">
        <v>0.5042</v>
      </c>
      <c r="I431" s="29">
        <v>0.6884</v>
      </c>
      <c r="J431" s="29">
        <v>0.4792</v>
      </c>
      <c r="K431" s="29">
        <v>0.1848</v>
      </c>
      <c r="L431" s="29">
        <v>7.9297</v>
      </c>
      <c r="M431" s="29" t="s">
        <v>225</v>
      </c>
    </row>
    <row r="432" ht="15.75" customHeight="1">
      <c r="A432" s="29" t="s">
        <v>1521</v>
      </c>
      <c r="B432" s="29" t="s">
        <v>2170</v>
      </c>
      <c r="C432" s="29">
        <v>0.0</v>
      </c>
      <c r="D432" s="29" t="s">
        <v>60</v>
      </c>
      <c r="E432" s="29">
        <v>0.4677</v>
      </c>
      <c r="F432" s="29">
        <v>50.0756</v>
      </c>
      <c r="G432" s="29">
        <v>28.8043</v>
      </c>
      <c r="H432" s="29">
        <v>0.7692</v>
      </c>
      <c r="I432" s="29">
        <v>0.7566</v>
      </c>
      <c r="J432" s="29">
        <v>0.407</v>
      </c>
      <c r="K432" s="29">
        <v>0.0547</v>
      </c>
      <c r="L432" s="29">
        <v>8.9444</v>
      </c>
      <c r="M432" s="29" t="s">
        <v>225</v>
      </c>
    </row>
    <row r="433" ht="15.75" customHeight="1">
      <c r="A433" s="29" t="s">
        <v>360</v>
      </c>
      <c r="B433" s="29" t="s">
        <v>2173</v>
      </c>
      <c r="C433" s="29">
        <v>0.0</v>
      </c>
      <c r="D433" s="29" t="s">
        <v>60</v>
      </c>
      <c r="E433" s="29">
        <v>0.7249</v>
      </c>
      <c r="F433" s="29">
        <v>50.0583</v>
      </c>
      <c r="G433" s="29">
        <v>29.6488</v>
      </c>
      <c r="H433" s="29">
        <v>0.5292</v>
      </c>
      <c r="I433" s="29">
        <v>0.7156</v>
      </c>
      <c r="J433" s="29">
        <v>0.4672</v>
      </c>
      <c r="K433" s="29">
        <v>0.1738</v>
      </c>
      <c r="L433" s="29">
        <v>8.0242</v>
      </c>
      <c r="M433" s="29" t="s">
        <v>225</v>
      </c>
    </row>
    <row r="434" ht="15.75" customHeight="1">
      <c r="A434" s="29" t="s">
        <v>1233</v>
      </c>
      <c r="B434" s="29" t="s">
        <v>2176</v>
      </c>
      <c r="C434" s="29">
        <v>0.0</v>
      </c>
      <c r="D434" s="29" t="s">
        <v>60</v>
      </c>
      <c r="E434" s="29">
        <v>0.717</v>
      </c>
      <c r="F434" s="29">
        <v>50.0167</v>
      </c>
      <c r="G434" s="29">
        <v>30.2474</v>
      </c>
      <c r="H434" s="29">
        <v>0.513</v>
      </c>
      <c r="I434" s="29">
        <v>0.687</v>
      </c>
      <c r="J434" s="29">
        <v>0.4721</v>
      </c>
      <c r="K434" s="29">
        <v>0.1745</v>
      </c>
      <c r="L434" s="29">
        <v>8.0074</v>
      </c>
      <c r="M434" s="29" t="s">
        <v>225</v>
      </c>
    </row>
    <row r="435" ht="15.75" customHeight="1">
      <c r="A435" s="29" t="s">
        <v>509</v>
      </c>
      <c r="B435" s="29" t="s">
        <v>2179</v>
      </c>
      <c r="C435" s="29">
        <v>0.0</v>
      </c>
      <c r="D435" s="29" t="s">
        <v>60</v>
      </c>
      <c r="E435" s="29">
        <v>0.4719</v>
      </c>
      <c r="F435" s="29">
        <v>49.9197</v>
      </c>
      <c r="G435" s="29">
        <v>35.5892</v>
      </c>
      <c r="H435" s="29">
        <v>0.7231</v>
      </c>
      <c r="I435" s="29">
        <v>0.4904</v>
      </c>
      <c r="J435" s="29">
        <v>0.6552</v>
      </c>
      <c r="K435" s="29">
        <v>0.225</v>
      </c>
      <c r="L435" s="29">
        <v>6.6219</v>
      </c>
      <c r="M435" s="29" t="s">
        <v>225</v>
      </c>
    </row>
    <row r="436" ht="15.75" customHeight="1">
      <c r="A436" s="29" t="s">
        <v>991</v>
      </c>
      <c r="B436" s="29" t="s">
        <v>2182</v>
      </c>
      <c r="C436" s="29">
        <v>0.0</v>
      </c>
      <c r="D436" s="29" t="s">
        <v>60</v>
      </c>
      <c r="E436" s="29">
        <v>0.6009</v>
      </c>
      <c r="F436" s="29">
        <v>49.899</v>
      </c>
      <c r="G436" s="29">
        <v>30.611</v>
      </c>
      <c r="H436" s="29">
        <v>0.3002</v>
      </c>
      <c r="I436" s="29">
        <v>0.669</v>
      </c>
      <c r="J436" s="29">
        <v>0.6627</v>
      </c>
      <c r="K436" s="29">
        <v>0.1839</v>
      </c>
      <c r="L436" s="29">
        <v>6.6178</v>
      </c>
      <c r="M436" s="29" t="s">
        <v>225</v>
      </c>
    </row>
    <row r="437" ht="15.75" customHeight="1">
      <c r="A437" s="29" t="s">
        <v>979</v>
      </c>
      <c r="B437" s="29" t="s">
        <v>2185</v>
      </c>
      <c r="C437" s="29">
        <v>0.0</v>
      </c>
      <c r="D437" s="29" t="s">
        <v>60</v>
      </c>
      <c r="E437" s="29">
        <v>0.692</v>
      </c>
      <c r="F437" s="29">
        <v>49.8643</v>
      </c>
      <c r="G437" s="29">
        <v>30.8262</v>
      </c>
      <c r="H437" s="29">
        <v>0.5449</v>
      </c>
      <c r="I437" s="29">
        <v>0.6594</v>
      </c>
      <c r="J437" s="29">
        <v>0.5184</v>
      </c>
      <c r="K437" s="29">
        <v>0.207</v>
      </c>
      <c r="L437" s="29">
        <v>7.6171</v>
      </c>
      <c r="M437" s="29" t="s">
        <v>225</v>
      </c>
    </row>
    <row r="438" ht="15.75" customHeight="1">
      <c r="A438" s="29" t="s">
        <v>1293</v>
      </c>
      <c r="B438" s="29" t="s">
        <v>2188</v>
      </c>
      <c r="C438" s="29">
        <v>0.0</v>
      </c>
      <c r="D438" s="29" t="s">
        <v>60</v>
      </c>
      <c r="E438" s="29">
        <v>0.689</v>
      </c>
      <c r="F438" s="29">
        <v>49.8435</v>
      </c>
      <c r="G438" s="29">
        <v>30.4706</v>
      </c>
      <c r="H438" s="29">
        <v>0.5386</v>
      </c>
      <c r="I438" s="29">
        <v>0.6746</v>
      </c>
      <c r="J438" s="29">
        <v>0.4724</v>
      </c>
      <c r="K438" s="29">
        <v>0.174</v>
      </c>
      <c r="L438" s="29">
        <v>7.9859</v>
      </c>
      <c r="M438" s="29" t="s">
        <v>225</v>
      </c>
    </row>
    <row r="439" ht="15.75" customHeight="1">
      <c r="A439" s="29" t="s">
        <v>468</v>
      </c>
      <c r="B439" s="29" t="s">
        <v>2191</v>
      </c>
      <c r="C439" s="29">
        <v>0.0</v>
      </c>
      <c r="D439" s="29" t="s">
        <v>60</v>
      </c>
      <c r="E439" s="29">
        <v>0.553</v>
      </c>
      <c r="F439" s="29">
        <v>49.8158</v>
      </c>
      <c r="G439" s="29">
        <v>30.1718</v>
      </c>
      <c r="H439" s="29">
        <v>0.7568</v>
      </c>
      <c r="I439" s="29">
        <v>0.6877</v>
      </c>
      <c r="J439" s="29">
        <v>0.4491</v>
      </c>
      <c r="K439" s="29">
        <v>0.1707</v>
      </c>
      <c r="L439" s="29">
        <v>7.7042</v>
      </c>
      <c r="M439" s="29" t="s">
        <v>225</v>
      </c>
    </row>
    <row r="440" ht="15.75" customHeight="1">
      <c r="A440" s="29" t="s">
        <v>1099</v>
      </c>
      <c r="B440" s="29" t="s">
        <v>2194</v>
      </c>
      <c r="C440" s="29">
        <v>0.0</v>
      </c>
      <c r="D440" s="29" t="s">
        <v>60</v>
      </c>
      <c r="E440" s="29">
        <v>0.5046</v>
      </c>
      <c r="F440" s="29">
        <v>49.7189</v>
      </c>
      <c r="G440" s="29">
        <v>29.053</v>
      </c>
      <c r="H440" s="29">
        <v>0.6509</v>
      </c>
      <c r="I440" s="29">
        <v>0.7402</v>
      </c>
      <c r="J440" s="29">
        <v>0.403</v>
      </c>
      <c r="K440" s="29">
        <v>0.1153</v>
      </c>
      <c r="L440" s="29">
        <v>8.5019</v>
      </c>
      <c r="M440" s="29" t="s">
        <v>225</v>
      </c>
    </row>
    <row r="441" ht="15.75" customHeight="1">
      <c r="A441" s="29" t="s">
        <v>64</v>
      </c>
      <c r="B441" s="29" t="s">
        <v>2197</v>
      </c>
      <c r="C441" s="29">
        <v>0.0</v>
      </c>
      <c r="D441" s="29" t="s">
        <v>60</v>
      </c>
      <c r="E441" s="29">
        <v>0.716</v>
      </c>
      <c r="F441" s="29">
        <v>49.6877</v>
      </c>
      <c r="G441" s="29">
        <v>30.7753</v>
      </c>
      <c r="H441" s="29">
        <v>0.5199</v>
      </c>
      <c r="I441" s="29">
        <v>0.6593</v>
      </c>
      <c r="J441" s="29">
        <v>0.4754</v>
      </c>
      <c r="K441" s="29">
        <v>0.1895</v>
      </c>
      <c r="L441" s="29">
        <v>7.9497</v>
      </c>
      <c r="M441" s="29" t="s">
        <v>225</v>
      </c>
    </row>
    <row r="442" ht="15.75" customHeight="1">
      <c r="A442" s="29" t="s">
        <v>1818</v>
      </c>
      <c r="B442" s="29" t="s">
        <v>2200</v>
      </c>
      <c r="C442" s="29">
        <v>0.0</v>
      </c>
      <c r="D442" s="29" t="s">
        <v>60</v>
      </c>
      <c r="E442" s="29">
        <v>0.702</v>
      </c>
      <c r="F442" s="29">
        <v>49.5873</v>
      </c>
      <c r="G442" s="29">
        <v>29.925</v>
      </c>
      <c r="H442" s="29">
        <v>0.5234</v>
      </c>
      <c r="I442" s="29">
        <v>0.6958</v>
      </c>
      <c r="J442" s="29">
        <v>0.4791</v>
      </c>
      <c r="K442" s="29">
        <v>0.1901</v>
      </c>
      <c r="L442" s="29">
        <v>7.9062</v>
      </c>
      <c r="M442" s="29" t="s">
        <v>225</v>
      </c>
    </row>
    <row r="443" ht="15.75" customHeight="1">
      <c r="A443" s="29" t="s">
        <v>1328</v>
      </c>
      <c r="B443" s="29" t="s">
        <v>2204</v>
      </c>
      <c r="C443" s="29">
        <v>0.0</v>
      </c>
      <c r="D443" s="29" t="s">
        <v>60</v>
      </c>
      <c r="E443" s="29">
        <v>0.7184</v>
      </c>
      <c r="F443" s="29">
        <v>49.5457</v>
      </c>
      <c r="G443" s="29">
        <v>30.2373</v>
      </c>
      <c r="H443" s="29">
        <v>0.5477</v>
      </c>
      <c r="I443" s="29">
        <v>0.681</v>
      </c>
      <c r="J443" s="29">
        <v>0.4763</v>
      </c>
      <c r="K443" s="29">
        <v>0.1802</v>
      </c>
      <c r="L443" s="29">
        <v>7.9681</v>
      </c>
      <c r="M443" s="29" t="s">
        <v>225</v>
      </c>
    </row>
    <row r="444" ht="15.75" customHeight="1">
      <c r="A444" s="29" t="s">
        <v>423</v>
      </c>
      <c r="B444" s="29" t="s">
        <v>2208</v>
      </c>
      <c r="C444" s="29">
        <v>0.0</v>
      </c>
      <c r="D444" s="29" t="s">
        <v>60</v>
      </c>
      <c r="E444" s="29">
        <v>0.5782</v>
      </c>
      <c r="F444" s="29">
        <v>49.3552</v>
      </c>
      <c r="G444" s="29">
        <v>27.8676</v>
      </c>
      <c r="H444" s="29">
        <v>0.6936</v>
      </c>
      <c r="I444" s="29">
        <v>0.7986</v>
      </c>
      <c r="J444" s="29">
        <v>0.4217</v>
      </c>
      <c r="K444" s="29">
        <v>0.0897</v>
      </c>
      <c r="L444" s="29">
        <v>8.3706</v>
      </c>
      <c r="M444" s="29" t="s">
        <v>225</v>
      </c>
    </row>
    <row r="445" ht="15.75" customHeight="1">
      <c r="A445" s="29" t="s">
        <v>2211</v>
      </c>
      <c r="B445" s="29" t="s">
        <v>2212</v>
      </c>
      <c r="C445" s="29">
        <v>0.0</v>
      </c>
      <c r="D445" s="29" t="s">
        <v>60</v>
      </c>
      <c r="E445" s="29">
        <v>0.6317</v>
      </c>
      <c r="F445" s="29">
        <v>49.3275</v>
      </c>
      <c r="G445" s="29">
        <v>27.9651</v>
      </c>
      <c r="H445" s="29">
        <v>0.6883</v>
      </c>
      <c r="I445" s="29">
        <v>0.7926</v>
      </c>
      <c r="J445" s="29">
        <v>0.4291</v>
      </c>
      <c r="K445" s="29">
        <v>0.0902</v>
      </c>
      <c r="L445" s="29">
        <v>8.2908</v>
      </c>
      <c r="M445" s="29" t="s">
        <v>225</v>
      </c>
    </row>
    <row r="446" ht="15.75" customHeight="1">
      <c r="A446" s="29" t="s">
        <v>745</v>
      </c>
      <c r="B446" s="29" t="s">
        <v>2215</v>
      </c>
      <c r="C446" s="29">
        <v>0.0</v>
      </c>
      <c r="D446" s="29" t="s">
        <v>60</v>
      </c>
      <c r="E446" s="29">
        <v>0.8166</v>
      </c>
      <c r="F446" s="29">
        <v>49.3241</v>
      </c>
      <c r="G446" s="29">
        <v>31.8496</v>
      </c>
      <c r="H446" s="29">
        <v>0.5691</v>
      </c>
      <c r="I446" s="29">
        <v>0.6108</v>
      </c>
      <c r="J446" s="29">
        <v>0.5449</v>
      </c>
      <c r="K446" s="29">
        <v>0.2904</v>
      </c>
      <c r="L446" s="29">
        <v>6.9443</v>
      </c>
      <c r="M446" s="29" t="s">
        <v>225</v>
      </c>
    </row>
    <row r="447" ht="15.75" customHeight="1">
      <c r="A447" s="29" t="s">
        <v>410</v>
      </c>
      <c r="B447" s="29" t="s">
        <v>2218</v>
      </c>
      <c r="C447" s="29">
        <v>0.0</v>
      </c>
      <c r="D447" s="29" t="s">
        <v>60</v>
      </c>
      <c r="E447" s="29">
        <v>0.6984</v>
      </c>
      <c r="F447" s="29">
        <v>49.2686</v>
      </c>
      <c r="G447" s="29">
        <v>32.0505</v>
      </c>
      <c r="H447" s="29">
        <v>0.7073</v>
      </c>
      <c r="I447" s="29">
        <v>0.6027</v>
      </c>
      <c r="J447" s="29">
        <v>0.5486</v>
      </c>
      <c r="K447" s="29">
        <v>0.2392</v>
      </c>
      <c r="L447" s="29">
        <v>7.1799</v>
      </c>
      <c r="M447" s="29" t="s">
        <v>225</v>
      </c>
    </row>
    <row r="448" ht="15.75" customHeight="1">
      <c r="A448" s="29" t="s">
        <v>40</v>
      </c>
      <c r="B448" s="29" t="s">
        <v>2221</v>
      </c>
      <c r="C448" s="29">
        <v>0.0</v>
      </c>
      <c r="D448" s="29" t="s">
        <v>60</v>
      </c>
      <c r="E448" s="29">
        <v>0.8287</v>
      </c>
      <c r="F448" s="29">
        <v>49.2652</v>
      </c>
      <c r="G448" s="29">
        <v>32.1379</v>
      </c>
      <c r="H448" s="29">
        <v>0.5651</v>
      </c>
      <c r="I448" s="29">
        <v>0.5994</v>
      </c>
      <c r="J448" s="29">
        <v>0.5243</v>
      </c>
      <c r="K448" s="29">
        <v>0.2821</v>
      </c>
      <c r="L448" s="29">
        <v>7.6367</v>
      </c>
      <c r="M448" s="29" t="s">
        <v>225</v>
      </c>
    </row>
    <row r="449" ht="15.75" customHeight="1">
      <c r="A449" s="29" t="s">
        <v>2224</v>
      </c>
      <c r="B449" s="29" t="s">
        <v>2225</v>
      </c>
      <c r="C449" s="29">
        <v>0.0</v>
      </c>
      <c r="D449" s="29" t="s">
        <v>60</v>
      </c>
      <c r="E449" s="29">
        <v>0.4571</v>
      </c>
      <c r="F449" s="29">
        <v>49.2582</v>
      </c>
      <c r="G449" s="29">
        <v>28.9332</v>
      </c>
      <c r="H449" s="29">
        <v>0.5752</v>
      </c>
      <c r="I449" s="29">
        <v>0.738</v>
      </c>
      <c r="J449" s="29">
        <v>0.5176</v>
      </c>
      <c r="K449" s="29">
        <v>0.0995</v>
      </c>
      <c r="L449" s="29">
        <v>7.718</v>
      </c>
      <c r="M449" s="29" t="s">
        <v>225</v>
      </c>
    </row>
    <row r="450" ht="15.75" customHeight="1">
      <c r="A450" s="29" t="s">
        <v>1700</v>
      </c>
      <c r="B450" s="29" t="s">
        <v>2228</v>
      </c>
      <c r="C450" s="29">
        <v>0.0</v>
      </c>
      <c r="D450" s="29" t="s">
        <v>60</v>
      </c>
      <c r="E450" s="29">
        <v>0.6908</v>
      </c>
      <c r="F450" s="29">
        <v>49.2513</v>
      </c>
      <c r="G450" s="29">
        <v>32.7518</v>
      </c>
      <c r="H450" s="29">
        <v>0.6145</v>
      </c>
      <c r="I450" s="29">
        <v>0.5762</v>
      </c>
      <c r="J450" s="29">
        <v>0.5978</v>
      </c>
      <c r="K450" s="29">
        <v>0.2534</v>
      </c>
      <c r="L450" s="29">
        <v>6.8392</v>
      </c>
      <c r="M450" s="29" t="s">
        <v>225</v>
      </c>
    </row>
    <row r="451" ht="15.75" customHeight="1">
      <c r="A451" s="29" t="s">
        <v>1556</v>
      </c>
      <c r="B451" s="29" t="s">
        <v>2231</v>
      </c>
      <c r="C451" s="29">
        <v>0.0</v>
      </c>
      <c r="D451" s="29" t="s">
        <v>60</v>
      </c>
      <c r="E451" s="29">
        <v>0.6735</v>
      </c>
      <c r="F451" s="29">
        <v>49.1959</v>
      </c>
      <c r="G451" s="29">
        <v>29.3218</v>
      </c>
      <c r="H451" s="29">
        <v>0.6103</v>
      </c>
      <c r="I451" s="29">
        <v>0.719</v>
      </c>
      <c r="J451" s="29">
        <v>0.4515</v>
      </c>
      <c r="K451" s="29">
        <v>0.1901</v>
      </c>
      <c r="L451" s="29">
        <v>8.0311</v>
      </c>
      <c r="M451" s="29" t="s">
        <v>225</v>
      </c>
    </row>
    <row r="452" ht="15.75" customHeight="1">
      <c r="A452" s="29" t="s">
        <v>262</v>
      </c>
      <c r="B452" s="29" t="s">
        <v>2235</v>
      </c>
      <c r="C452" s="29">
        <v>0.0</v>
      </c>
      <c r="D452" s="29" t="s">
        <v>60</v>
      </c>
      <c r="E452" s="29">
        <v>0.4974</v>
      </c>
      <c r="F452" s="29">
        <v>49.189</v>
      </c>
      <c r="G452" s="29">
        <v>28.5738</v>
      </c>
      <c r="H452" s="29">
        <v>0.5487</v>
      </c>
      <c r="I452" s="29">
        <v>0.7571</v>
      </c>
      <c r="J452" s="29">
        <v>0.4567</v>
      </c>
      <c r="K452" s="29">
        <v>0.1134</v>
      </c>
      <c r="L452" s="29">
        <v>8.628</v>
      </c>
      <c r="M452" s="29" t="s">
        <v>225</v>
      </c>
    </row>
    <row r="453" ht="15.75" customHeight="1">
      <c r="A453" s="29" t="s">
        <v>444</v>
      </c>
      <c r="B453" s="29" t="s">
        <v>2238</v>
      </c>
      <c r="C453" s="29">
        <v>0.0</v>
      </c>
      <c r="D453" s="29" t="s">
        <v>60</v>
      </c>
      <c r="E453" s="29">
        <v>0.6103</v>
      </c>
      <c r="F453" s="29">
        <v>49.189</v>
      </c>
      <c r="G453" s="29">
        <v>28.1946</v>
      </c>
      <c r="H453" s="29">
        <v>0.712</v>
      </c>
      <c r="I453" s="29">
        <v>0.7776</v>
      </c>
      <c r="J453" s="29">
        <v>0.4276</v>
      </c>
      <c r="K453" s="29">
        <v>0.1004</v>
      </c>
      <c r="L453" s="29">
        <v>8.3054</v>
      </c>
      <c r="M453" s="29" t="s">
        <v>225</v>
      </c>
    </row>
    <row r="454" ht="15.75" customHeight="1">
      <c r="A454" s="29" t="s">
        <v>286</v>
      </c>
      <c r="B454" s="29" t="s">
        <v>2241</v>
      </c>
      <c r="C454" s="29">
        <v>0.0</v>
      </c>
      <c r="D454" s="29" t="s">
        <v>60</v>
      </c>
      <c r="E454" s="29">
        <v>0.5753</v>
      </c>
      <c r="F454" s="29">
        <v>49.1578</v>
      </c>
      <c r="G454" s="29">
        <v>27.8129</v>
      </c>
      <c r="H454" s="29">
        <v>0.7089</v>
      </c>
      <c r="I454" s="29">
        <v>0.7986</v>
      </c>
      <c r="J454" s="29">
        <v>0.4181</v>
      </c>
      <c r="K454" s="29">
        <v>0.0882</v>
      </c>
      <c r="L454" s="29">
        <v>8.3509</v>
      </c>
      <c r="M454" s="29" t="s">
        <v>225</v>
      </c>
    </row>
    <row r="455" ht="15.75" customHeight="1">
      <c r="A455" s="29" t="s">
        <v>1587</v>
      </c>
      <c r="B455" s="29" t="s">
        <v>2244</v>
      </c>
      <c r="C455" s="29">
        <v>0.0</v>
      </c>
      <c r="D455" s="29" t="s">
        <v>60</v>
      </c>
      <c r="E455" s="29">
        <v>0.5153</v>
      </c>
      <c r="F455" s="29">
        <v>49.1509</v>
      </c>
      <c r="G455" s="29">
        <v>32.3175</v>
      </c>
      <c r="H455" s="29">
        <v>0.6403</v>
      </c>
      <c r="I455" s="29">
        <v>0.5914</v>
      </c>
      <c r="J455" s="29">
        <v>0.4186</v>
      </c>
      <c r="K455" s="29">
        <v>0.0538</v>
      </c>
      <c r="L455" s="29">
        <v>8.9284</v>
      </c>
      <c r="M455" s="29" t="s">
        <v>225</v>
      </c>
    </row>
    <row r="456" ht="15.75" customHeight="1">
      <c r="A456" s="29" t="s">
        <v>395</v>
      </c>
      <c r="B456" s="29" t="s">
        <v>2248</v>
      </c>
      <c r="C456" s="29">
        <v>0.0</v>
      </c>
      <c r="D456" s="29" t="s">
        <v>60</v>
      </c>
      <c r="E456" s="29">
        <v>0.5983</v>
      </c>
      <c r="F456" s="29">
        <v>49.0401</v>
      </c>
      <c r="G456" s="29">
        <v>29.8177</v>
      </c>
      <c r="H456" s="29">
        <v>0.6839</v>
      </c>
      <c r="I456" s="29">
        <v>0.6921</v>
      </c>
      <c r="J456" s="29">
        <v>0.6126</v>
      </c>
      <c r="K456" s="29">
        <v>0.2355</v>
      </c>
      <c r="L456" s="29">
        <v>7.0452</v>
      </c>
      <c r="M456" s="29" t="s">
        <v>225</v>
      </c>
    </row>
    <row r="457" ht="15.75" customHeight="1">
      <c r="A457" s="29" t="s">
        <v>1178</v>
      </c>
      <c r="B457" s="29" t="s">
        <v>2251</v>
      </c>
      <c r="C457" s="29">
        <v>0.0</v>
      </c>
      <c r="D457" s="29" t="s">
        <v>60</v>
      </c>
      <c r="E457" s="29">
        <v>0.4816</v>
      </c>
      <c r="F457" s="29">
        <v>48.995</v>
      </c>
      <c r="G457" s="29">
        <v>30.161</v>
      </c>
      <c r="H457" s="29">
        <v>0.5727</v>
      </c>
      <c r="I457" s="29">
        <v>0.6768</v>
      </c>
      <c r="J457" s="29">
        <v>0.4111</v>
      </c>
      <c r="K457" s="29">
        <v>0.1288</v>
      </c>
      <c r="L457" s="29">
        <v>8.3859</v>
      </c>
      <c r="M457" s="29" t="s">
        <v>225</v>
      </c>
    </row>
    <row r="458" ht="15.75" customHeight="1">
      <c r="A458" s="29" t="s">
        <v>409</v>
      </c>
      <c r="B458" s="29" t="s">
        <v>2253</v>
      </c>
      <c r="C458" s="29">
        <v>0.0</v>
      </c>
      <c r="D458" s="29" t="s">
        <v>60</v>
      </c>
      <c r="E458" s="29">
        <v>0.6456</v>
      </c>
      <c r="F458" s="29">
        <v>48.995</v>
      </c>
      <c r="G458" s="29">
        <v>27.8356</v>
      </c>
      <c r="H458" s="29">
        <v>0.7047</v>
      </c>
      <c r="I458" s="29">
        <v>0.7946</v>
      </c>
      <c r="J458" s="29">
        <v>0.4278</v>
      </c>
      <c r="K458" s="29">
        <v>0.1012</v>
      </c>
      <c r="L458" s="29">
        <v>8.3094</v>
      </c>
      <c r="M458" s="29" t="s">
        <v>225</v>
      </c>
    </row>
    <row r="459" ht="15.75" customHeight="1">
      <c r="A459" s="29" t="s">
        <v>1897</v>
      </c>
      <c r="B459" s="29" t="s">
        <v>2256</v>
      </c>
      <c r="C459" s="29">
        <v>0.0</v>
      </c>
      <c r="D459" s="29" t="s">
        <v>60</v>
      </c>
      <c r="E459" s="29">
        <v>0.655</v>
      </c>
      <c r="F459" s="29">
        <v>48.9916</v>
      </c>
      <c r="G459" s="29">
        <v>29.5715</v>
      </c>
      <c r="H459" s="29">
        <v>0.61</v>
      </c>
      <c r="I459" s="29">
        <v>0.704</v>
      </c>
      <c r="J459" s="29">
        <v>0.4858</v>
      </c>
      <c r="K459" s="29">
        <v>0.194</v>
      </c>
      <c r="L459" s="29">
        <v>7.7935</v>
      </c>
      <c r="M459" s="29" t="s">
        <v>225</v>
      </c>
    </row>
    <row r="460" ht="15.75" customHeight="1">
      <c r="A460" s="29" t="s">
        <v>240</v>
      </c>
      <c r="B460" s="29" t="s">
        <v>2258</v>
      </c>
      <c r="C460" s="29">
        <v>0.0</v>
      </c>
      <c r="D460" s="29" t="s">
        <v>60</v>
      </c>
      <c r="E460" s="29">
        <v>0.8276</v>
      </c>
      <c r="F460" s="29">
        <v>48.9743</v>
      </c>
      <c r="G460" s="29">
        <v>31.1134</v>
      </c>
      <c r="H460" s="29">
        <v>0.7154</v>
      </c>
      <c r="I460" s="29">
        <v>0.6348</v>
      </c>
      <c r="J460" s="29">
        <v>0.5181</v>
      </c>
      <c r="K460" s="29">
        <v>0.2</v>
      </c>
      <c r="L460" s="29">
        <v>7.8658</v>
      </c>
      <c r="M460" s="29" t="s">
        <v>225</v>
      </c>
    </row>
    <row r="461" ht="15.75" customHeight="1">
      <c r="A461" s="29" t="s">
        <v>437</v>
      </c>
      <c r="B461" s="29" t="s">
        <v>2263</v>
      </c>
      <c r="C461" s="29">
        <v>0.0</v>
      </c>
      <c r="D461" s="29" t="s">
        <v>60</v>
      </c>
      <c r="E461" s="29">
        <v>0.6829</v>
      </c>
      <c r="F461" s="29">
        <v>48.9015</v>
      </c>
      <c r="G461" s="29">
        <v>31.9363</v>
      </c>
      <c r="H461" s="29">
        <v>0.5665</v>
      </c>
      <c r="I461" s="29">
        <v>0.6025</v>
      </c>
      <c r="J461" s="29">
        <v>0.5462</v>
      </c>
      <c r="K461" s="29">
        <v>0.2119</v>
      </c>
      <c r="L461" s="29">
        <v>7.4653</v>
      </c>
      <c r="M461" s="29" t="s">
        <v>225</v>
      </c>
    </row>
    <row r="462" ht="15.75" customHeight="1">
      <c r="A462" s="29" t="s">
        <v>2211</v>
      </c>
      <c r="B462" s="29" t="s">
        <v>2266</v>
      </c>
      <c r="C462" s="29">
        <v>0.0</v>
      </c>
      <c r="D462" s="29" t="s">
        <v>60</v>
      </c>
      <c r="E462" s="29">
        <v>0.5256</v>
      </c>
      <c r="F462" s="29">
        <v>48.8634</v>
      </c>
      <c r="G462" s="29">
        <v>29.0579</v>
      </c>
      <c r="H462" s="29">
        <v>0.7274</v>
      </c>
      <c r="I462" s="29">
        <v>0.7272</v>
      </c>
      <c r="J462" s="29">
        <v>0.4561</v>
      </c>
      <c r="K462" s="29">
        <v>0.1838</v>
      </c>
      <c r="L462" s="29">
        <v>7.5822</v>
      </c>
      <c r="M462" s="29" t="s">
        <v>225</v>
      </c>
    </row>
    <row r="463" ht="15.75" customHeight="1">
      <c r="A463" s="29" t="s">
        <v>337</v>
      </c>
      <c r="B463" s="29" t="s">
        <v>2269</v>
      </c>
      <c r="C463" s="29">
        <v>0.0</v>
      </c>
      <c r="D463" s="29" t="s">
        <v>60</v>
      </c>
      <c r="E463" s="29">
        <v>0.8402</v>
      </c>
      <c r="F463" s="29">
        <v>48.763</v>
      </c>
      <c r="G463" s="29">
        <v>32.053</v>
      </c>
      <c r="H463" s="29">
        <v>0.5257</v>
      </c>
      <c r="I463" s="29">
        <v>0.5964</v>
      </c>
      <c r="J463" s="29">
        <v>0.5254</v>
      </c>
      <c r="K463" s="29">
        <v>0.2846</v>
      </c>
      <c r="L463" s="29">
        <v>7.5989</v>
      </c>
      <c r="M463" s="29" t="s">
        <v>225</v>
      </c>
    </row>
    <row r="464" ht="15.75" customHeight="1">
      <c r="A464" s="29" t="s">
        <v>2205</v>
      </c>
      <c r="B464" s="29" t="s">
        <v>2272</v>
      </c>
      <c r="C464" s="29">
        <v>0.0</v>
      </c>
      <c r="D464" s="29" t="s">
        <v>60</v>
      </c>
      <c r="E464" s="29">
        <v>0.7397</v>
      </c>
      <c r="F464" s="29">
        <v>48.7388</v>
      </c>
      <c r="G464" s="29">
        <v>29.3302</v>
      </c>
      <c r="H464" s="29">
        <v>0.5914</v>
      </c>
      <c r="I464" s="29">
        <v>0.7117</v>
      </c>
      <c r="J464" s="29">
        <v>0.4508</v>
      </c>
      <c r="K464" s="29">
        <v>0.2031</v>
      </c>
      <c r="L464" s="29">
        <v>7.7731</v>
      </c>
      <c r="M464" s="29" t="s">
        <v>225</v>
      </c>
    </row>
    <row r="465" ht="15.75" customHeight="1">
      <c r="A465" s="29" t="s">
        <v>50</v>
      </c>
      <c r="B465" s="29" t="s">
        <v>2275</v>
      </c>
      <c r="C465" s="29">
        <v>0.0</v>
      </c>
      <c r="D465" s="29" t="s">
        <v>60</v>
      </c>
      <c r="E465" s="29">
        <v>0.6166</v>
      </c>
      <c r="F465" s="29">
        <v>48.7076</v>
      </c>
      <c r="G465" s="29">
        <v>27.9568</v>
      </c>
      <c r="H465" s="29">
        <v>0.712</v>
      </c>
      <c r="I465" s="29">
        <v>0.7831</v>
      </c>
      <c r="J465" s="29">
        <v>0.4175</v>
      </c>
      <c r="K465" s="29">
        <v>0.0983</v>
      </c>
      <c r="L465" s="29">
        <v>8.294</v>
      </c>
      <c r="M465" s="29" t="s">
        <v>225</v>
      </c>
    </row>
    <row r="466" ht="15.75" customHeight="1">
      <c r="A466" s="29" t="s">
        <v>1050</v>
      </c>
      <c r="B466" s="29" t="s">
        <v>2277</v>
      </c>
      <c r="C466" s="29">
        <v>0.0</v>
      </c>
      <c r="D466" s="29" t="s">
        <v>60</v>
      </c>
      <c r="E466" s="29">
        <v>0.5477</v>
      </c>
      <c r="F466" s="29">
        <v>48.7041</v>
      </c>
      <c r="G466" s="29">
        <v>28.6738</v>
      </c>
      <c r="H466" s="29">
        <v>0.6542</v>
      </c>
      <c r="I466" s="29">
        <v>0.7434</v>
      </c>
      <c r="J466" s="29">
        <v>0.4097</v>
      </c>
      <c r="K466" s="29">
        <v>0.1258</v>
      </c>
      <c r="L466" s="29">
        <v>8.4776</v>
      </c>
      <c r="M466" s="29" t="s">
        <v>225</v>
      </c>
    </row>
    <row r="467" ht="15.75" customHeight="1">
      <c r="A467" s="29" t="s">
        <v>108</v>
      </c>
      <c r="B467" s="29" t="s">
        <v>2280</v>
      </c>
      <c r="C467" s="29">
        <v>0.0</v>
      </c>
      <c r="D467" s="29" t="s">
        <v>60</v>
      </c>
      <c r="E467" s="29">
        <v>0.765</v>
      </c>
      <c r="F467" s="29">
        <v>48.6937</v>
      </c>
      <c r="G467" s="29">
        <v>31.1907</v>
      </c>
      <c r="H467" s="29">
        <v>0.7086</v>
      </c>
      <c r="I467" s="29">
        <v>0.629</v>
      </c>
      <c r="J467" s="29">
        <v>0.3338</v>
      </c>
      <c r="K467" s="29">
        <v>0.1173</v>
      </c>
      <c r="L467" s="29">
        <v>9.1421</v>
      </c>
      <c r="M467" s="29" t="s">
        <v>225</v>
      </c>
    </row>
    <row r="468" ht="15.75" customHeight="1">
      <c r="A468" s="29" t="s">
        <v>526</v>
      </c>
      <c r="B468" s="29" t="s">
        <v>2283</v>
      </c>
      <c r="C468" s="29">
        <v>0.0</v>
      </c>
      <c r="D468" s="29" t="s">
        <v>60</v>
      </c>
      <c r="E468" s="29">
        <v>0.2727</v>
      </c>
      <c r="F468" s="29">
        <v>48.6868</v>
      </c>
      <c r="G468" s="29">
        <v>29.6258</v>
      </c>
      <c r="H468" s="29">
        <v>0.7278</v>
      </c>
      <c r="I468" s="29">
        <v>0.6971</v>
      </c>
      <c r="J468" s="29">
        <v>0.5337</v>
      </c>
      <c r="K468" s="29">
        <v>0.133</v>
      </c>
      <c r="L468" s="29">
        <v>7.6858</v>
      </c>
      <c r="M468" s="29" t="s">
        <v>225</v>
      </c>
    </row>
    <row r="469" ht="15.75" customHeight="1">
      <c r="A469" s="29" t="s">
        <v>314</v>
      </c>
      <c r="B469" s="29" t="s">
        <v>2286</v>
      </c>
      <c r="C469" s="29">
        <v>0.0</v>
      </c>
      <c r="D469" s="29" t="s">
        <v>60</v>
      </c>
      <c r="E469" s="29">
        <v>0.4795</v>
      </c>
      <c r="F469" s="29">
        <v>48.6799</v>
      </c>
      <c r="G469" s="29">
        <v>28.5432</v>
      </c>
      <c r="H469" s="29">
        <v>0.4349</v>
      </c>
      <c r="I469" s="29">
        <v>0.7509</v>
      </c>
      <c r="J469" s="29">
        <v>0.3796</v>
      </c>
      <c r="K469" s="29">
        <v>0.0899</v>
      </c>
      <c r="L469" s="29">
        <v>9.0305</v>
      </c>
      <c r="M469" s="29" t="s">
        <v>225</v>
      </c>
    </row>
    <row r="470" ht="15.75" customHeight="1">
      <c r="A470" s="29" t="s">
        <v>798</v>
      </c>
      <c r="B470" s="29" t="s">
        <v>2289</v>
      </c>
      <c r="C470" s="29">
        <v>0.0</v>
      </c>
      <c r="D470" s="29" t="s">
        <v>60</v>
      </c>
      <c r="E470" s="29">
        <v>0.8375</v>
      </c>
      <c r="F470" s="29">
        <v>48.6522</v>
      </c>
      <c r="G470" s="29">
        <v>30.6263</v>
      </c>
      <c r="H470" s="29">
        <v>0.516</v>
      </c>
      <c r="I470" s="29">
        <v>0.6518</v>
      </c>
      <c r="J470" s="29">
        <v>0.5248</v>
      </c>
      <c r="K470" s="29">
        <v>0.2775</v>
      </c>
      <c r="L470" s="29">
        <v>7.6403</v>
      </c>
      <c r="M470" s="29" t="s">
        <v>225</v>
      </c>
    </row>
    <row r="471" ht="15.75" customHeight="1">
      <c r="A471" s="29" t="s">
        <v>416</v>
      </c>
      <c r="B471" s="29" t="s">
        <v>2292</v>
      </c>
      <c r="C471" s="29">
        <v>0.0</v>
      </c>
      <c r="D471" s="29" t="s">
        <v>60</v>
      </c>
      <c r="E471" s="29">
        <v>0.6082</v>
      </c>
      <c r="F471" s="29">
        <v>48.5344</v>
      </c>
      <c r="G471" s="29">
        <v>27.9366</v>
      </c>
      <c r="H471" s="29">
        <v>0.7108</v>
      </c>
      <c r="I471" s="29">
        <v>0.7815</v>
      </c>
      <c r="J471" s="29">
        <v>0.4142</v>
      </c>
      <c r="K471" s="29">
        <v>0.0876</v>
      </c>
      <c r="L471" s="29">
        <v>8.3692</v>
      </c>
      <c r="M471" s="29" t="s">
        <v>225</v>
      </c>
    </row>
    <row r="472" ht="15.75" customHeight="1">
      <c r="A472" s="29" t="s">
        <v>621</v>
      </c>
      <c r="B472" s="29" t="s">
        <v>2295</v>
      </c>
      <c r="C472" s="29">
        <v>0.0</v>
      </c>
      <c r="D472" s="29" t="s">
        <v>60</v>
      </c>
      <c r="E472" s="29">
        <v>0.8387</v>
      </c>
      <c r="F472" s="29">
        <v>48.5275</v>
      </c>
      <c r="G472" s="29">
        <v>31.0585</v>
      </c>
      <c r="H472" s="29">
        <v>0.5423</v>
      </c>
      <c r="I472" s="29">
        <v>0.6322</v>
      </c>
      <c r="J472" s="29">
        <v>0.5243</v>
      </c>
      <c r="K472" s="29">
        <v>0.2865</v>
      </c>
      <c r="L472" s="29">
        <v>7.5871</v>
      </c>
      <c r="M472" s="29" t="s">
        <v>225</v>
      </c>
    </row>
    <row r="473" ht="15.75" customHeight="1">
      <c r="A473" s="29" t="s">
        <v>232</v>
      </c>
      <c r="B473" s="29" t="s">
        <v>2298</v>
      </c>
      <c r="C473" s="29">
        <v>0.0</v>
      </c>
      <c r="D473" s="29" t="s">
        <v>60</v>
      </c>
      <c r="E473" s="29">
        <v>0.4994</v>
      </c>
      <c r="F473" s="29">
        <v>48.479</v>
      </c>
      <c r="G473" s="29">
        <v>28.1862</v>
      </c>
      <c r="H473" s="29">
        <v>0.5225</v>
      </c>
      <c r="I473" s="29">
        <v>0.7668</v>
      </c>
      <c r="J473" s="29">
        <v>0.4561</v>
      </c>
      <c r="K473" s="29">
        <v>0.1148</v>
      </c>
      <c r="L473" s="29">
        <v>8.6146</v>
      </c>
      <c r="M473" s="29" t="s">
        <v>225</v>
      </c>
    </row>
    <row r="474" ht="15.75" customHeight="1">
      <c r="A474" s="29" t="s">
        <v>1167</v>
      </c>
      <c r="B474" s="29" t="s">
        <v>2302</v>
      </c>
      <c r="C474" s="29">
        <v>0.0</v>
      </c>
      <c r="D474" s="29" t="s">
        <v>60</v>
      </c>
      <c r="E474" s="29">
        <v>0.5097</v>
      </c>
      <c r="F474" s="29">
        <v>48.4444</v>
      </c>
      <c r="G474" s="29">
        <v>29.506</v>
      </c>
      <c r="H474" s="29">
        <v>0.6332</v>
      </c>
      <c r="I474" s="29">
        <v>0.6988</v>
      </c>
      <c r="J474" s="29">
        <v>0.41</v>
      </c>
      <c r="K474" s="29">
        <v>0.1323</v>
      </c>
      <c r="L474" s="29">
        <v>8.4494</v>
      </c>
      <c r="M474" s="29" t="s">
        <v>225</v>
      </c>
    </row>
    <row r="475" ht="15.75" customHeight="1">
      <c r="A475" s="29" t="s">
        <v>389</v>
      </c>
      <c r="B475" s="29" t="s">
        <v>2305</v>
      </c>
      <c r="C475" s="29">
        <v>0.0</v>
      </c>
      <c r="D475" s="29" t="s">
        <v>60</v>
      </c>
      <c r="E475" s="29">
        <v>0.8499</v>
      </c>
      <c r="F475" s="29">
        <v>48.3197</v>
      </c>
      <c r="G475" s="29">
        <v>30.9101</v>
      </c>
      <c r="H475" s="29">
        <v>0.5488</v>
      </c>
      <c r="I475" s="29">
        <v>0.6355</v>
      </c>
      <c r="J475" s="29">
        <v>0.5296</v>
      </c>
      <c r="K475" s="29">
        <v>0.283</v>
      </c>
      <c r="L475" s="29">
        <v>7.6234</v>
      </c>
      <c r="M475" s="29" t="s">
        <v>225</v>
      </c>
    </row>
    <row r="476" ht="15.75" customHeight="1">
      <c r="A476" s="29" t="s">
        <v>1123</v>
      </c>
      <c r="B476" s="29" t="s">
        <v>2308</v>
      </c>
      <c r="C476" s="29">
        <v>0.0</v>
      </c>
      <c r="D476" s="29" t="s">
        <v>60</v>
      </c>
      <c r="E476" s="29">
        <v>0.5143</v>
      </c>
      <c r="F476" s="29">
        <v>48.292</v>
      </c>
      <c r="G476" s="29">
        <v>28.8465</v>
      </c>
      <c r="H476" s="29">
        <v>0.7151</v>
      </c>
      <c r="I476" s="29">
        <v>0.7289</v>
      </c>
      <c r="J476" s="29">
        <v>0.4274</v>
      </c>
      <c r="K476" s="29">
        <v>0.1267</v>
      </c>
      <c r="L476" s="29">
        <v>8.382</v>
      </c>
      <c r="M476" s="29" t="s">
        <v>225</v>
      </c>
    </row>
    <row r="477" ht="15.75" customHeight="1">
      <c r="A477" s="29" t="s">
        <v>383</v>
      </c>
      <c r="B477" s="29" t="s">
        <v>2311</v>
      </c>
      <c r="C477" s="29">
        <v>0.0</v>
      </c>
      <c r="D477" s="29" t="s">
        <v>60</v>
      </c>
      <c r="E477" s="29">
        <v>0.5789</v>
      </c>
      <c r="F477" s="29">
        <v>48.2643</v>
      </c>
      <c r="G477" s="29">
        <v>29.5168</v>
      </c>
      <c r="H477" s="29">
        <v>0.7503</v>
      </c>
      <c r="I477" s="29">
        <v>0.6961</v>
      </c>
      <c r="J477" s="29">
        <v>0.468</v>
      </c>
      <c r="K477" s="29">
        <v>0.1973</v>
      </c>
      <c r="L477" s="29">
        <v>7.5473</v>
      </c>
      <c r="M477" s="29" t="s">
        <v>225</v>
      </c>
    </row>
    <row r="478" ht="15.75" customHeight="1">
      <c r="A478" s="29" t="s">
        <v>528</v>
      </c>
      <c r="B478" s="29" t="s">
        <v>2314</v>
      </c>
      <c r="C478" s="29">
        <v>0.0</v>
      </c>
      <c r="D478" s="29" t="s">
        <v>60</v>
      </c>
      <c r="E478" s="29">
        <v>0.8469</v>
      </c>
      <c r="F478" s="29">
        <v>48.2574</v>
      </c>
      <c r="G478" s="29">
        <v>30.9651</v>
      </c>
      <c r="H478" s="29">
        <v>0.4828</v>
      </c>
      <c r="I478" s="29">
        <v>0.6325</v>
      </c>
      <c r="J478" s="29">
        <v>0.5223</v>
      </c>
      <c r="K478" s="29">
        <v>0.2743</v>
      </c>
      <c r="L478" s="29">
        <v>7.6772</v>
      </c>
      <c r="M478" s="29" t="s">
        <v>225</v>
      </c>
    </row>
    <row r="479" ht="15.75" customHeight="1">
      <c r="A479" s="29" t="s">
        <v>497</v>
      </c>
      <c r="B479" s="29" t="s">
        <v>2318</v>
      </c>
      <c r="C479" s="29">
        <v>0.0</v>
      </c>
      <c r="D479" s="29" t="s">
        <v>60</v>
      </c>
      <c r="E479" s="29">
        <v>0.4743</v>
      </c>
      <c r="F479" s="29">
        <v>48.247</v>
      </c>
      <c r="G479" s="29">
        <v>27.5835</v>
      </c>
      <c r="H479" s="29">
        <v>0.6945</v>
      </c>
      <c r="I479" s="29">
        <v>0.7969</v>
      </c>
      <c r="J479" s="29">
        <v>0.4215</v>
      </c>
      <c r="K479" s="29">
        <v>0.0834</v>
      </c>
      <c r="L479" s="29">
        <v>8.3936</v>
      </c>
      <c r="M479" s="29" t="s">
        <v>225</v>
      </c>
    </row>
    <row r="480" ht="15.75" customHeight="1">
      <c r="A480" s="29" t="s">
        <v>2123</v>
      </c>
      <c r="B480" s="29" t="s">
        <v>2321</v>
      </c>
      <c r="C480" s="29">
        <v>0.0</v>
      </c>
      <c r="D480" s="29" t="s">
        <v>60</v>
      </c>
      <c r="E480" s="29">
        <v>0.7435</v>
      </c>
      <c r="F480" s="29">
        <v>48.247</v>
      </c>
      <c r="G480" s="29">
        <v>29.5346</v>
      </c>
      <c r="H480" s="29">
        <v>0.6578</v>
      </c>
      <c r="I480" s="29">
        <v>0.6947</v>
      </c>
      <c r="J480" s="29">
        <v>0.369</v>
      </c>
      <c r="K480" s="29">
        <v>0.1345</v>
      </c>
      <c r="L480" s="29">
        <v>8.5501</v>
      </c>
      <c r="M480" s="29" t="s">
        <v>225</v>
      </c>
    </row>
    <row r="481" ht="15.75" customHeight="1">
      <c r="A481" s="29" t="s">
        <v>1270</v>
      </c>
      <c r="B481" s="29" t="s">
        <v>2324</v>
      </c>
      <c r="C481" s="29">
        <v>0.0</v>
      </c>
      <c r="D481" s="29" t="s">
        <v>60</v>
      </c>
      <c r="E481" s="29">
        <v>0.7352</v>
      </c>
      <c r="F481" s="29">
        <v>48.24</v>
      </c>
      <c r="G481" s="29">
        <v>30.0893</v>
      </c>
      <c r="H481" s="29">
        <v>0.5533</v>
      </c>
      <c r="I481" s="29">
        <v>0.6694</v>
      </c>
      <c r="J481" s="29">
        <v>0.4537</v>
      </c>
      <c r="K481" s="29">
        <v>0.2113</v>
      </c>
      <c r="L481" s="29">
        <v>7.7614</v>
      </c>
      <c r="M481" s="29" t="s">
        <v>225</v>
      </c>
    </row>
    <row r="482" ht="15.75" customHeight="1">
      <c r="A482" s="29" t="s">
        <v>1263</v>
      </c>
      <c r="B482" s="29" t="s">
        <v>2326</v>
      </c>
      <c r="C482" s="29">
        <v>0.0</v>
      </c>
      <c r="D482" s="29" t="s">
        <v>60</v>
      </c>
      <c r="E482" s="29">
        <v>0.5609</v>
      </c>
      <c r="F482" s="29">
        <v>48.2297</v>
      </c>
      <c r="G482" s="29">
        <v>30.0709</v>
      </c>
      <c r="H482" s="29">
        <v>0.7864</v>
      </c>
      <c r="I482" s="29">
        <v>0.6702</v>
      </c>
      <c r="J482" s="29">
        <v>0.4697</v>
      </c>
      <c r="K482" s="29">
        <v>0.2005</v>
      </c>
      <c r="L482" s="29">
        <v>7.5195</v>
      </c>
      <c r="M482" s="29" t="s">
        <v>225</v>
      </c>
    </row>
    <row r="483" ht="15.75" customHeight="1">
      <c r="A483" s="29" t="s">
        <v>51</v>
      </c>
      <c r="B483" s="29" t="s">
        <v>2329</v>
      </c>
      <c r="C483" s="29">
        <v>0.0</v>
      </c>
      <c r="D483" s="29" t="s">
        <v>60</v>
      </c>
      <c r="E483" s="29">
        <v>0.7531</v>
      </c>
      <c r="F483" s="29">
        <v>48.2054</v>
      </c>
      <c r="G483" s="29">
        <v>30.815</v>
      </c>
      <c r="H483" s="29">
        <v>0.701</v>
      </c>
      <c r="I483" s="29">
        <v>0.6379</v>
      </c>
      <c r="J483" s="29">
        <v>0.3321</v>
      </c>
      <c r="K483" s="29">
        <v>0.1146</v>
      </c>
      <c r="L483" s="29">
        <v>9.1338</v>
      </c>
      <c r="M483" s="29" t="s">
        <v>225</v>
      </c>
    </row>
    <row r="484" ht="15.75" customHeight="1">
      <c r="A484" s="29" t="s">
        <v>1340</v>
      </c>
      <c r="B484" s="29" t="s">
        <v>2332</v>
      </c>
      <c r="C484" s="29">
        <v>0.0</v>
      </c>
      <c r="D484" s="29" t="s">
        <v>60</v>
      </c>
      <c r="E484" s="29">
        <v>0.7282</v>
      </c>
      <c r="F484" s="29">
        <v>48.2019</v>
      </c>
      <c r="G484" s="29">
        <v>30.0851</v>
      </c>
      <c r="H484" s="29">
        <v>0.5478</v>
      </c>
      <c r="I484" s="29">
        <v>0.6682</v>
      </c>
      <c r="J484" s="29">
        <v>0.4574</v>
      </c>
      <c r="K484" s="29">
        <v>0.2125</v>
      </c>
      <c r="L484" s="29">
        <v>7.7438</v>
      </c>
      <c r="M484" s="29" t="s">
        <v>225</v>
      </c>
    </row>
    <row r="485" ht="15.75" customHeight="1">
      <c r="A485" s="29" t="s">
        <v>1639</v>
      </c>
      <c r="B485" s="29" t="s">
        <v>2335</v>
      </c>
      <c r="C485" s="29">
        <v>0.0</v>
      </c>
      <c r="D485" s="29" t="s">
        <v>60</v>
      </c>
      <c r="E485" s="29">
        <v>0.7637</v>
      </c>
      <c r="F485" s="29">
        <v>48.1777</v>
      </c>
      <c r="G485" s="29">
        <v>29.8469</v>
      </c>
      <c r="H485" s="29">
        <v>0.689</v>
      </c>
      <c r="I485" s="29">
        <v>0.6796</v>
      </c>
      <c r="J485" s="29">
        <v>0.3436</v>
      </c>
      <c r="K485" s="29">
        <v>0.1314</v>
      </c>
      <c r="L485" s="29">
        <v>9.0356</v>
      </c>
      <c r="M485" s="29" t="s">
        <v>225</v>
      </c>
    </row>
    <row r="486" ht="15.75" customHeight="1">
      <c r="A486" s="29" t="s">
        <v>707</v>
      </c>
      <c r="B486" s="29" t="s">
        <v>2340</v>
      </c>
      <c r="C486" s="29">
        <v>0.0</v>
      </c>
      <c r="D486" s="29" t="s">
        <v>60</v>
      </c>
      <c r="E486" s="29">
        <v>0.9041</v>
      </c>
      <c r="F486" s="29">
        <v>48.0773</v>
      </c>
      <c r="G486" s="29">
        <v>29.9407</v>
      </c>
      <c r="H486" s="29">
        <v>0.5949</v>
      </c>
      <c r="I486" s="29">
        <v>0.6739</v>
      </c>
      <c r="J486" s="29">
        <v>0.4604</v>
      </c>
      <c r="K486" s="29">
        <v>0.2817</v>
      </c>
      <c r="L486" s="29">
        <v>7.6463</v>
      </c>
      <c r="M486" s="29" t="s">
        <v>225</v>
      </c>
    </row>
    <row r="487" ht="15.75" customHeight="1">
      <c r="A487" s="29" t="s">
        <v>388</v>
      </c>
      <c r="B487" s="29" t="s">
        <v>2343</v>
      </c>
      <c r="C487" s="29">
        <v>0.0</v>
      </c>
      <c r="D487" s="29" t="s">
        <v>60</v>
      </c>
      <c r="E487" s="29">
        <v>0.5948</v>
      </c>
      <c r="F487" s="29">
        <v>48.06</v>
      </c>
      <c r="G487" s="29">
        <v>27.5002</v>
      </c>
      <c r="H487" s="29">
        <v>0.6784</v>
      </c>
      <c r="I487" s="29">
        <v>0.7986</v>
      </c>
      <c r="J487" s="29">
        <v>0.423</v>
      </c>
      <c r="K487" s="29">
        <v>0.089</v>
      </c>
      <c r="L487" s="29">
        <v>8.3142</v>
      </c>
      <c r="M487" s="29" t="s">
        <v>225</v>
      </c>
    </row>
    <row r="488" ht="15.75" customHeight="1">
      <c r="A488" s="29" t="s">
        <v>798</v>
      </c>
      <c r="B488" s="29" t="s">
        <v>2346</v>
      </c>
      <c r="C488" s="29">
        <v>0.0</v>
      </c>
      <c r="D488" s="29" t="s">
        <v>60</v>
      </c>
      <c r="E488" s="29">
        <v>0.6944</v>
      </c>
      <c r="F488" s="29">
        <v>48.0357</v>
      </c>
      <c r="G488" s="29">
        <v>29.669</v>
      </c>
      <c r="H488" s="29">
        <v>0.7308</v>
      </c>
      <c r="I488" s="29">
        <v>0.6858</v>
      </c>
      <c r="J488" s="29">
        <v>0.5665</v>
      </c>
      <c r="K488" s="29">
        <v>0.1995</v>
      </c>
      <c r="L488" s="29">
        <v>7.3134</v>
      </c>
      <c r="M488" s="29" t="s">
        <v>225</v>
      </c>
    </row>
    <row r="489" ht="15.75" customHeight="1">
      <c r="A489" s="29" t="s">
        <v>1693</v>
      </c>
      <c r="B489" s="29" t="s">
        <v>2348</v>
      </c>
      <c r="C489" s="29">
        <v>0.0</v>
      </c>
      <c r="D489" s="29" t="s">
        <v>60</v>
      </c>
      <c r="E489" s="29">
        <v>0.5353</v>
      </c>
      <c r="F489" s="29">
        <v>48.0253</v>
      </c>
      <c r="G489" s="29">
        <v>28.4161</v>
      </c>
      <c r="H489" s="29">
        <v>0.6222</v>
      </c>
      <c r="I489" s="29">
        <v>0.747</v>
      </c>
      <c r="J489" s="29">
        <v>0.41</v>
      </c>
      <c r="K489" s="29">
        <v>0.1287</v>
      </c>
      <c r="L489" s="29">
        <v>8.4004</v>
      </c>
      <c r="M489" s="29" t="s">
        <v>225</v>
      </c>
    </row>
    <row r="490" ht="15.75" customHeight="1">
      <c r="A490" s="29" t="s">
        <v>794</v>
      </c>
      <c r="B490" s="29" t="s">
        <v>2352</v>
      </c>
      <c r="C490" s="29">
        <v>0.0</v>
      </c>
      <c r="D490" s="29" t="s">
        <v>60</v>
      </c>
      <c r="E490" s="29">
        <v>0.6855</v>
      </c>
      <c r="F490" s="29">
        <v>47.9803</v>
      </c>
      <c r="G490" s="29">
        <v>33.4915</v>
      </c>
      <c r="H490" s="29">
        <v>0.5181</v>
      </c>
      <c r="I490" s="29">
        <v>0.5375</v>
      </c>
      <c r="J490" s="29">
        <v>0.5921</v>
      </c>
      <c r="K490" s="29">
        <v>0.2878</v>
      </c>
      <c r="L490" s="29">
        <v>7.1382</v>
      </c>
      <c r="M490" s="29" t="s">
        <v>225</v>
      </c>
    </row>
    <row r="491" ht="15.75" customHeight="1">
      <c r="A491" s="29" t="s">
        <v>100</v>
      </c>
      <c r="B491" s="29" t="s">
        <v>2354</v>
      </c>
      <c r="C491" s="29">
        <v>0.0</v>
      </c>
      <c r="D491" s="29" t="s">
        <v>60</v>
      </c>
      <c r="E491" s="29">
        <v>0.7531</v>
      </c>
      <c r="F491" s="29">
        <v>47.9734</v>
      </c>
      <c r="G491" s="29">
        <v>30.3076</v>
      </c>
      <c r="H491" s="29">
        <v>0.6866</v>
      </c>
      <c r="I491" s="29">
        <v>0.6563</v>
      </c>
      <c r="J491" s="29">
        <v>0.3273</v>
      </c>
      <c r="K491" s="29">
        <v>0.1086</v>
      </c>
      <c r="L491" s="29">
        <v>9.1943</v>
      </c>
      <c r="M491" s="29" t="s">
        <v>225</v>
      </c>
    </row>
    <row r="492" ht="15.75" customHeight="1">
      <c r="A492" s="29" t="s">
        <v>2106</v>
      </c>
      <c r="B492" s="29" t="s">
        <v>2357</v>
      </c>
      <c r="C492" s="29">
        <v>0.0</v>
      </c>
      <c r="D492" s="29" t="s">
        <v>60</v>
      </c>
      <c r="E492" s="29">
        <v>0.7041</v>
      </c>
      <c r="F492" s="29">
        <v>47.9664</v>
      </c>
      <c r="G492" s="29">
        <v>31.1528</v>
      </c>
      <c r="H492" s="29">
        <v>0.6227</v>
      </c>
      <c r="I492" s="29">
        <v>0.6211</v>
      </c>
      <c r="J492" s="29">
        <v>0.5238</v>
      </c>
      <c r="K492" s="29">
        <v>0.2257</v>
      </c>
      <c r="L492" s="29">
        <v>7.2635</v>
      </c>
      <c r="M492" s="29" t="s">
        <v>225</v>
      </c>
    </row>
    <row r="493" ht="15.75" customHeight="1">
      <c r="A493" s="29" t="s">
        <v>41</v>
      </c>
      <c r="B493" s="29" t="s">
        <v>2360</v>
      </c>
      <c r="C493" s="29">
        <v>0.0</v>
      </c>
      <c r="D493" s="29" t="s">
        <v>60</v>
      </c>
      <c r="E493" s="29">
        <v>0.7587</v>
      </c>
      <c r="F493" s="29">
        <v>47.9457</v>
      </c>
      <c r="G493" s="29">
        <v>30.1575</v>
      </c>
      <c r="H493" s="29">
        <v>0.7032</v>
      </c>
      <c r="I493" s="29">
        <v>0.6618</v>
      </c>
      <c r="J493" s="29">
        <v>0.3337</v>
      </c>
      <c r="K493" s="29">
        <v>0.1182</v>
      </c>
      <c r="L493" s="29">
        <v>9.1234</v>
      </c>
      <c r="M493" s="29" t="s">
        <v>225</v>
      </c>
    </row>
    <row r="494" ht="15.75" customHeight="1">
      <c r="A494" s="29" t="s">
        <v>303</v>
      </c>
      <c r="B494" s="29" t="s">
        <v>2363</v>
      </c>
      <c r="C494" s="29">
        <v>0.0</v>
      </c>
      <c r="D494" s="29" t="s">
        <v>60</v>
      </c>
      <c r="E494" s="29">
        <v>0.8503</v>
      </c>
      <c r="F494" s="29">
        <v>47.9353</v>
      </c>
      <c r="G494" s="29">
        <v>30.4515</v>
      </c>
      <c r="H494" s="29">
        <v>0.5041</v>
      </c>
      <c r="I494" s="29">
        <v>0.6496</v>
      </c>
      <c r="J494" s="29">
        <v>0.519</v>
      </c>
      <c r="K494" s="29">
        <v>0.2686</v>
      </c>
      <c r="L494" s="29">
        <v>7.7031</v>
      </c>
      <c r="M494" s="29" t="s">
        <v>225</v>
      </c>
    </row>
    <row r="495" ht="15.75" customHeight="1">
      <c r="A495" s="29" t="s">
        <v>1106</v>
      </c>
      <c r="B495" s="29" t="s">
        <v>2366</v>
      </c>
      <c r="C495" s="29">
        <v>0.0</v>
      </c>
      <c r="D495" s="29" t="s">
        <v>60</v>
      </c>
      <c r="E495" s="29">
        <v>0.4769</v>
      </c>
      <c r="F495" s="29">
        <v>47.8937</v>
      </c>
      <c r="G495" s="29">
        <v>30.675</v>
      </c>
      <c r="H495" s="29">
        <v>0.703</v>
      </c>
      <c r="I495" s="29">
        <v>0.6392</v>
      </c>
      <c r="J495" s="29">
        <v>0.396</v>
      </c>
      <c r="K495" s="29">
        <v>0.1149</v>
      </c>
      <c r="L495" s="29">
        <v>8.6409</v>
      </c>
      <c r="M495" s="29" t="s">
        <v>225</v>
      </c>
    </row>
    <row r="496" ht="15.75" customHeight="1">
      <c r="A496" s="29" t="s">
        <v>113</v>
      </c>
      <c r="B496" s="29" t="s">
        <v>2368</v>
      </c>
      <c r="C496" s="29">
        <v>0.0</v>
      </c>
      <c r="D496" s="29" t="s">
        <v>60</v>
      </c>
      <c r="E496" s="29">
        <v>0.7612</v>
      </c>
      <c r="F496" s="29">
        <v>47.8487</v>
      </c>
      <c r="G496" s="29">
        <v>29.1386</v>
      </c>
      <c r="H496" s="29">
        <v>0.7082</v>
      </c>
      <c r="I496" s="29">
        <v>0.7074</v>
      </c>
      <c r="J496" s="29">
        <v>0.3264</v>
      </c>
      <c r="K496" s="29">
        <v>0.1076</v>
      </c>
      <c r="L496" s="29">
        <v>9.153</v>
      </c>
      <c r="M496" s="29" t="s">
        <v>225</v>
      </c>
    </row>
    <row r="497" ht="15.75" customHeight="1">
      <c r="A497" s="29" t="s">
        <v>103</v>
      </c>
      <c r="B497" s="29" t="s">
        <v>2372</v>
      </c>
      <c r="C497" s="29">
        <v>0.0</v>
      </c>
      <c r="D497" s="29" t="s">
        <v>60</v>
      </c>
      <c r="E497" s="29">
        <v>0.7685</v>
      </c>
      <c r="F497" s="29">
        <v>47.8348</v>
      </c>
      <c r="G497" s="29">
        <v>28.8831</v>
      </c>
      <c r="H497" s="29">
        <v>0.7003</v>
      </c>
      <c r="I497" s="29">
        <v>0.7197</v>
      </c>
      <c r="J497" s="29">
        <v>0.3383</v>
      </c>
      <c r="K497" s="29">
        <v>0.1217</v>
      </c>
      <c r="L497" s="29">
        <v>9.0742</v>
      </c>
      <c r="M497" s="29" t="s">
        <v>225</v>
      </c>
    </row>
    <row r="498" ht="15.75" customHeight="1">
      <c r="A498" s="29" t="s">
        <v>1654</v>
      </c>
      <c r="B498" s="29" t="s">
        <v>2375</v>
      </c>
      <c r="C498" s="29">
        <v>0.0</v>
      </c>
      <c r="D498" s="29" t="s">
        <v>60</v>
      </c>
      <c r="E498" s="29">
        <v>0.5213</v>
      </c>
      <c r="F498" s="29">
        <v>47.8279</v>
      </c>
      <c r="G498" s="29">
        <v>29.7759</v>
      </c>
      <c r="H498" s="29">
        <v>0.6494</v>
      </c>
      <c r="I498" s="29">
        <v>0.6779</v>
      </c>
      <c r="J498" s="29">
        <v>0.4149</v>
      </c>
      <c r="K498" s="29">
        <v>0.1333</v>
      </c>
      <c r="L498" s="29">
        <v>8.3933</v>
      </c>
      <c r="M498" s="29" t="s">
        <v>225</v>
      </c>
    </row>
    <row r="499" ht="15.75" customHeight="1">
      <c r="A499" s="29" t="s">
        <v>350</v>
      </c>
      <c r="B499" s="29" t="s">
        <v>2379</v>
      </c>
      <c r="C499" s="29">
        <v>0.0</v>
      </c>
      <c r="D499" s="29" t="s">
        <v>60</v>
      </c>
      <c r="E499" s="29">
        <v>0.8377</v>
      </c>
      <c r="F499" s="29">
        <v>47.8279</v>
      </c>
      <c r="G499" s="29">
        <v>30.7659</v>
      </c>
      <c r="H499" s="29">
        <v>0.5031</v>
      </c>
      <c r="I499" s="29">
        <v>0.6345</v>
      </c>
      <c r="J499" s="29">
        <v>0.5295</v>
      </c>
      <c r="K499" s="29">
        <v>0.2884</v>
      </c>
      <c r="L499" s="29">
        <v>7.5755</v>
      </c>
      <c r="M499" s="29" t="s">
        <v>225</v>
      </c>
    </row>
    <row r="500" ht="15.75" customHeight="1">
      <c r="A500" s="29" t="s">
        <v>668</v>
      </c>
      <c r="B500" s="29" t="s">
        <v>2381</v>
      </c>
      <c r="C500" s="29">
        <v>0.0</v>
      </c>
      <c r="D500" s="29" t="s">
        <v>60</v>
      </c>
      <c r="E500" s="29">
        <v>0.8389</v>
      </c>
      <c r="F500" s="29">
        <v>47.8245</v>
      </c>
      <c r="G500" s="29">
        <v>31.2451</v>
      </c>
      <c r="H500" s="29">
        <v>0.5016</v>
      </c>
      <c r="I500" s="29">
        <v>0.6156</v>
      </c>
      <c r="J500" s="29">
        <v>0.528</v>
      </c>
      <c r="K500" s="29">
        <v>0.2893</v>
      </c>
      <c r="L500" s="29">
        <v>7.5769</v>
      </c>
      <c r="M500" s="29" t="s">
        <v>225</v>
      </c>
    </row>
    <row r="501" ht="15.75" customHeight="1">
      <c r="A501" s="29" t="s">
        <v>1256</v>
      </c>
      <c r="B501" s="29" t="s">
        <v>2384</v>
      </c>
      <c r="C501" s="29">
        <v>0.0</v>
      </c>
      <c r="D501" s="29" t="s">
        <v>60</v>
      </c>
      <c r="E501" s="29">
        <v>0.7294</v>
      </c>
      <c r="F501" s="29">
        <v>47.7898</v>
      </c>
      <c r="G501" s="29">
        <v>31.3092</v>
      </c>
      <c r="H501" s="29">
        <v>0.5197</v>
      </c>
      <c r="I501" s="29">
        <v>0.6115</v>
      </c>
      <c r="J501" s="29">
        <v>0.4507</v>
      </c>
      <c r="K501" s="29">
        <v>0.2073</v>
      </c>
      <c r="L501" s="29">
        <v>7.8146</v>
      </c>
      <c r="M501" s="29" t="s">
        <v>225</v>
      </c>
    </row>
    <row r="502" ht="15.75" customHeight="1">
      <c r="A502" s="29" t="s">
        <v>1370</v>
      </c>
      <c r="B502" s="29" t="s">
        <v>2387</v>
      </c>
      <c r="C502" s="29">
        <v>0.0</v>
      </c>
      <c r="D502" s="29" t="s">
        <v>60</v>
      </c>
      <c r="E502" s="29">
        <v>0.7309</v>
      </c>
      <c r="F502" s="29">
        <v>47.7864</v>
      </c>
      <c r="G502" s="29">
        <v>31.8694</v>
      </c>
      <c r="H502" s="29">
        <v>0.5127</v>
      </c>
      <c r="I502" s="29">
        <v>0.5907</v>
      </c>
      <c r="J502" s="29">
        <v>0.4568</v>
      </c>
      <c r="K502" s="29">
        <v>0.2171</v>
      </c>
      <c r="L502" s="29">
        <v>7.7481</v>
      </c>
      <c r="M502" s="29" t="s">
        <v>225</v>
      </c>
    </row>
    <row r="503" ht="15.75" customHeight="1">
      <c r="A503" s="29" t="s">
        <v>353</v>
      </c>
      <c r="B503" s="29" t="s">
        <v>747</v>
      </c>
      <c r="C503" s="29">
        <v>0.0</v>
      </c>
      <c r="D503" s="29" t="s">
        <v>60</v>
      </c>
      <c r="E503" s="29">
        <v>0.514</v>
      </c>
      <c r="F503" s="29">
        <v>47.7517</v>
      </c>
      <c r="G503" s="29">
        <v>28.1173</v>
      </c>
      <c r="H503" s="29">
        <v>0.4638</v>
      </c>
      <c r="I503" s="29">
        <v>0.759</v>
      </c>
      <c r="J503" s="29">
        <v>0.3957</v>
      </c>
      <c r="K503" s="29">
        <v>0.1181</v>
      </c>
      <c r="L503" s="29">
        <v>8.8525</v>
      </c>
      <c r="M503" s="29" t="s">
        <v>225</v>
      </c>
    </row>
    <row r="504" ht="15.75" customHeight="1">
      <c r="A504" s="29" t="s">
        <v>1082</v>
      </c>
      <c r="B504" s="29" t="s">
        <v>2391</v>
      </c>
      <c r="C504" s="29">
        <v>0.0</v>
      </c>
      <c r="D504" s="29" t="s">
        <v>60</v>
      </c>
      <c r="E504" s="29">
        <v>0.5146</v>
      </c>
      <c r="F504" s="29">
        <v>47.6825</v>
      </c>
      <c r="G504" s="29">
        <v>30.5392</v>
      </c>
      <c r="H504" s="29">
        <v>0.6241</v>
      </c>
      <c r="I504" s="29">
        <v>0.6425</v>
      </c>
      <c r="J504" s="29">
        <v>0.4118</v>
      </c>
      <c r="K504" s="29">
        <v>0.1309</v>
      </c>
      <c r="L504" s="29">
        <v>8.459</v>
      </c>
      <c r="M504" s="29" t="s">
        <v>225</v>
      </c>
    </row>
    <row r="505" ht="15.75" customHeight="1">
      <c r="A505" s="29" t="s">
        <v>615</v>
      </c>
      <c r="B505" s="29" t="s">
        <v>2394</v>
      </c>
      <c r="C505" s="29">
        <v>0.0</v>
      </c>
      <c r="D505" s="29" t="s">
        <v>60</v>
      </c>
      <c r="E505" s="29">
        <v>0.8374</v>
      </c>
      <c r="F505" s="29">
        <v>47.679</v>
      </c>
      <c r="G505" s="29">
        <v>30.9021</v>
      </c>
      <c r="H505" s="29">
        <v>0.5185</v>
      </c>
      <c r="I505" s="29">
        <v>0.6274</v>
      </c>
      <c r="J505" s="29">
        <v>0.5254</v>
      </c>
      <c r="K505" s="29">
        <v>0.2823</v>
      </c>
      <c r="L505" s="29">
        <v>7.6255</v>
      </c>
      <c r="M505" s="29" t="s">
        <v>225</v>
      </c>
    </row>
    <row r="506" ht="15.75" customHeight="1">
      <c r="A506" s="29" t="s">
        <v>53</v>
      </c>
      <c r="B506" s="29" t="s">
        <v>858</v>
      </c>
      <c r="C506" s="29">
        <v>0.0</v>
      </c>
      <c r="D506" s="29" t="s">
        <v>60</v>
      </c>
      <c r="E506" s="29">
        <v>0.5226</v>
      </c>
      <c r="F506" s="29">
        <v>47.6721</v>
      </c>
      <c r="G506" s="29">
        <v>27.7012</v>
      </c>
      <c r="H506" s="29">
        <v>0.5087</v>
      </c>
      <c r="I506" s="29">
        <v>0.7807</v>
      </c>
      <c r="J506" s="29">
        <v>0.4473</v>
      </c>
      <c r="K506" s="29">
        <v>0.1022</v>
      </c>
      <c r="L506" s="29">
        <v>8.6707</v>
      </c>
      <c r="M506" s="29" t="s">
        <v>225</v>
      </c>
    </row>
    <row r="507" ht="15.75" customHeight="1">
      <c r="A507" s="29" t="s">
        <v>556</v>
      </c>
      <c r="B507" s="29" t="s">
        <v>2398</v>
      </c>
      <c r="C507" s="29">
        <v>0.0</v>
      </c>
      <c r="D507" s="29" t="s">
        <v>60</v>
      </c>
      <c r="E507" s="29">
        <v>0.8381</v>
      </c>
      <c r="F507" s="29">
        <v>47.6513</v>
      </c>
      <c r="G507" s="29">
        <v>29.8487</v>
      </c>
      <c r="H507" s="29">
        <v>0.4775</v>
      </c>
      <c r="I507" s="29">
        <v>0.6721</v>
      </c>
      <c r="J507" s="29">
        <v>0.526</v>
      </c>
      <c r="K507" s="29">
        <v>0.2767</v>
      </c>
      <c r="L507" s="29">
        <v>7.6549</v>
      </c>
      <c r="M507" s="29" t="s">
        <v>225</v>
      </c>
    </row>
    <row r="508" ht="15.75" customHeight="1">
      <c r="A508" s="29" t="s">
        <v>18</v>
      </c>
      <c r="B508" s="29" t="s">
        <v>2401</v>
      </c>
      <c r="C508" s="29">
        <v>0.0</v>
      </c>
      <c r="D508" s="29" t="s">
        <v>60</v>
      </c>
      <c r="E508" s="29">
        <v>0.7654</v>
      </c>
      <c r="F508" s="29">
        <v>47.6409</v>
      </c>
      <c r="G508" s="29">
        <v>28.7998</v>
      </c>
      <c r="H508" s="29">
        <v>0.7028</v>
      </c>
      <c r="I508" s="29">
        <v>0.7207</v>
      </c>
      <c r="J508" s="29">
        <v>0.3377</v>
      </c>
      <c r="K508" s="29">
        <v>0.1245</v>
      </c>
      <c r="L508" s="29">
        <v>9.0888</v>
      </c>
      <c r="M508" s="29" t="s">
        <v>225</v>
      </c>
    </row>
    <row r="509" ht="15.75" customHeight="1">
      <c r="A509" s="29" t="s">
        <v>307</v>
      </c>
      <c r="B509" s="29" t="s">
        <v>826</v>
      </c>
      <c r="C509" s="29">
        <v>0.0</v>
      </c>
      <c r="D509" s="29" t="s">
        <v>60</v>
      </c>
      <c r="E509" s="29">
        <v>0.4929</v>
      </c>
      <c r="F509" s="29">
        <v>47.6305</v>
      </c>
      <c r="G509" s="29">
        <v>28.7197</v>
      </c>
      <c r="H509" s="29">
        <v>0.3957</v>
      </c>
      <c r="I509" s="29">
        <v>0.7257</v>
      </c>
      <c r="J509" s="29">
        <v>0.3815</v>
      </c>
      <c r="K509" s="29">
        <v>0.0946</v>
      </c>
      <c r="L509" s="29">
        <v>9.0006</v>
      </c>
      <c r="M509" s="29" t="s">
        <v>225</v>
      </c>
    </row>
    <row r="510" ht="15.75" customHeight="1">
      <c r="A510" s="29" t="s">
        <v>275</v>
      </c>
      <c r="B510" s="29" t="s">
        <v>788</v>
      </c>
      <c r="C510" s="29">
        <v>0.0</v>
      </c>
      <c r="D510" s="29" t="s">
        <v>60</v>
      </c>
      <c r="E510" s="29">
        <v>0.5132</v>
      </c>
      <c r="F510" s="29">
        <v>47.5716</v>
      </c>
      <c r="G510" s="29">
        <v>28.1779</v>
      </c>
      <c r="H510" s="29">
        <v>0.4553</v>
      </c>
      <c r="I510" s="29">
        <v>0.7529</v>
      </c>
      <c r="J510" s="29">
        <v>0.389</v>
      </c>
      <c r="K510" s="29">
        <v>0.1076</v>
      </c>
      <c r="L510" s="29">
        <v>8.8909</v>
      </c>
      <c r="M510" s="29" t="s">
        <v>225</v>
      </c>
    </row>
    <row r="511" ht="15.75" customHeight="1">
      <c r="A511" s="29" t="s">
        <v>106</v>
      </c>
      <c r="B511" s="29" t="s">
        <v>644</v>
      </c>
      <c r="C511" s="29">
        <v>0.0</v>
      </c>
      <c r="D511" s="29" t="s">
        <v>60</v>
      </c>
      <c r="E511" s="29">
        <v>0.488</v>
      </c>
      <c r="F511" s="29">
        <v>47.5474</v>
      </c>
      <c r="G511" s="29">
        <v>28.657</v>
      </c>
      <c r="H511" s="29">
        <v>0.47</v>
      </c>
      <c r="I511" s="29">
        <v>0.7276</v>
      </c>
      <c r="J511" s="29">
        <v>0.3794</v>
      </c>
      <c r="K511" s="29">
        <v>0.0952</v>
      </c>
      <c r="L511" s="29">
        <v>8.9731</v>
      </c>
      <c r="M511" s="29" t="s">
        <v>225</v>
      </c>
    </row>
    <row r="512" ht="15.75" customHeight="1">
      <c r="A512" s="29" t="s">
        <v>1952</v>
      </c>
      <c r="B512" s="29" t="s">
        <v>2410</v>
      </c>
      <c r="C512" s="29">
        <v>0.0</v>
      </c>
      <c r="D512" s="29" t="s">
        <v>60</v>
      </c>
      <c r="E512" s="29">
        <v>0.5636</v>
      </c>
      <c r="F512" s="29">
        <v>47.5335</v>
      </c>
      <c r="G512" s="29">
        <v>29.5168</v>
      </c>
      <c r="H512" s="29">
        <v>0.7488</v>
      </c>
      <c r="I512" s="29">
        <v>0.6856</v>
      </c>
      <c r="J512" s="29">
        <v>0.4662</v>
      </c>
      <c r="K512" s="29">
        <v>0.1927</v>
      </c>
      <c r="L512" s="29">
        <v>7.5846</v>
      </c>
      <c r="M512" s="29" t="s">
        <v>225</v>
      </c>
    </row>
    <row r="513" ht="15.75" customHeight="1">
      <c r="A513" s="29" t="s">
        <v>2119</v>
      </c>
      <c r="B513" s="29" t="s">
        <v>2414</v>
      </c>
      <c r="C513" s="29">
        <v>0.0</v>
      </c>
      <c r="D513" s="29" t="s">
        <v>60</v>
      </c>
      <c r="E513" s="29">
        <v>0.5372</v>
      </c>
      <c r="F513" s="29">
        <v>47.5197</v>
      </c>
      <c r="G513" s="29">
        <v>29.5269</v>
      </c>
      <c r="H513" s="29">
        <v>0.7554</v>
      </c>
      <c r="I513" s="29">
        <v>0.6849</v>
      </c>
      <c r="J513" s="29">
        <v>0.4636</v>
      </c>
      <c r="K513" s="29">
        <v>0.1955</v>
      </c>
      <c r="L513" s="29">
        <v>7.508</v>
      </c>
      <c r="M513" s="29" t="s">
        <v>225</v>
      </c>
    </row>
    <row r="514" ht="15.75" customHeight="1">
      <c r="A514" s="29" t="s">
        <v>50</v>
      </c>
      <c r="B514" s="29" t="s">
        <v>2417</v>
      </c>
      <c r="C514" s="29">
        <v>0.0</v>
      </c>
      <c r="D514" s="29" t="s">
        <v>60</v>
      </c>
      <c r="E514" s="29">
        <v>0.576</v>
      </c>
      <c r="F514" s="29">
        <v>47.5162</v>
      </c>
      <c r="G514" s="29">
        <v>30.9679</v>
      </c>
      <c r="H514" s="29">
        <v>0.7721</v>
      </c>
      <c r="I514" s="29">
        <v>0.6226</v>
      </c>
      <c r="J514" s="29">
        <v>0.458</v>
      </c>
      <c r="K514" s="29">
        <v>0.1875</v>
      </c>
      <c r="L514" s="29">
        <v>7.6246</v>
      </c>
      <c r="M514" s="29" t="s">
        <v>225</v>
      </c>
    </row>
    <row r="515" ht="15.75" customHeight="1">
      <c r="A515" s="29" t="s">
        <v>2004</v>
      </c>
      <c r="B515" s="29" t="s">
        <v>2420</v>
      </c>
      <c r="C515" s="29">
        <v>0.0</v>
      </c>
      <c r="D515" s="29" t="s">
        <v>60</v>
      </c>
      <c r="E515" s="29">
        <v>0.5588</v>
      </c>
      <c r="F515" s="29">
        <v>47.5128</v>
      </c>
      <c r="G515" s="29">
        <v>29.2184</v>
      </c>
      <c r="H515" s="29">
        <v>0.7669</v>
      </c>
      <c r="I515" s="29">
        <v>0.6991</v>
      </c>
      <c r="J515" s="29">
        <v>0.4696</v>
      </c>
      <c r="K515" s="29">
        <v>0.2041</v>
      </c>
      <c r="L515" s="29">
        <v>7.4861</v>
      </c>
      <c r="M515" s="29" t="s">
        <v>225</v>
      </c>
    </row>
    <row r="516" ht="15.75" customHeight="1">
      <c r="A516" s="29" t="s">
        <v>758</v>
      </c>
      <c r="B516" s="29" t="s">
        <v>2422</v>
      </c>
      <c r="C516" s="29">
        <v>0.0</v>
      </c>
      <c r="D516" s="29" t="s">
        <v>60</v>
      </c>
      <c r="E516" s="29">
        <v>0.8806</v>
      </c>
      <c r="F516" s="29">
        <v>47.5058</v>
      </c>
      <c r="G516" s="29">
        <v>30.5978</v>
      </c>
      <c r="H516" s="29">
        <v>0.571</v>
      </c>
      <c r="I516" s="29">
        <v>0.6376</v>
      </c>
      <c r="J516" s="29">
        <v>0.5044</v>
      </c>
      <c r="K516" s="29">
        <v>0.3033</v>
      </c>
      <c r="L516" s="29">
        <v>7.1891</v>
      </c>
      <c r="M516" s="29" t="s">
        <v>225</v>
      </c>
    </row>
    <row r="517" ht="15.75" customHeight="1">
      <c r="A517" s="29" t="s">
        <v>777</v>
      </c>
      <c r="B517" s="29" t="s">
        <v>2425</v>
      </c>
      <c r="C517" s="29">
        <v>0.0</v>
      </c>
      <c r="D517" s="29" t="s">
        <v>60</v>
      </c>
      <c r="E517" s="29">
        <v>0.852</v>
      </c>
      <c r="F517" s="29">
        <v>47.4954</v>
      </c>
      <c r="G517" s="29">
        <v>30.8676</v>
      </c>
      <c r="H517" s="29">
        <v>0.5036</v>
      </c>
      <c r="I517" s="29">
        <v>0.6264</v>
      </c>
      <c r="J517" s="29">
        <v>0.5193</v>
      </c>
      <c r="K517" s="29">
        <v>0.2739</v>
      </c>
      <c r="L517" s="29">
        <v>7.673</v>
      </c>
      <c r="M517" s="29" t="s">
        <v>225</v>
      </c>
    </row>
    <row r="518" ht="15.75" customHeight="1">
      <c r="A518" s="29" t="s">
        <v>1719</v>
      </c>
      <c r="B518" s="29" t="s">
        <v>2428</v>
      </c>
      <c r="C518" s="29">
        <v>0.0</v>
      </c>
      <c r="D518" s="29" t="s">
        <v>60</v>
      </c>
      <c r="E518" s="29">
        <v>0.7331</v>
      </c>
      <c r="F518" s="29">
        <v>47.44</v>
      </c>
      <c r="G518" s="29">
        <v>29.7665</v>
      </c>
      <c r="H518" s="29">
        <v>0.5273</v>
      </c>
      <c r="I518" s="29">
        <v>0.6705</v>
      </c>
      <c r="J518" s="29">
        <v>0.4548</v>
      </c>
      <c r="K518" s="29">
        <v>0.2121</v>
      </c>
      <c r="L518" s="29">
        <v>7.7765</v>
      </c>
      <c r="M518" s="29" t="s">
        <v>225</v>
      </c>
    </row>
    <row r="519" ht="15.75" customHeight="1">
      <c r="A519" s="29" t="s">
        <v>683</v>
      </c>
      <c r="B519" s="29" t="s">
        <v>2431</v>
      </c>
      <c r="C519" s="29">
        <v>0.0</v>
      </c>
      <c r="D519" s="29" t="s">
        <v>60</v>
      </c>
      <c r="E519" s="29">
        <v>0.42</v>
      </c>
      <c r="F519" s="29">
        <v>47.4262</v>
      </c>
      <c r="G519" s="29">
        <v>27.7071</v>
      </c>
      <c r="H519" s="29">
        <v>0.7372</v>
      </c>
      <c r="I519" s="29">
        <v>0.7763</v>
      </c>
      <c r="J519" s="29">
        <v>0.5435</v>
      </c>
      <c r="K519" s="29">
        <v>0.1042</v>
      </c>
      <c r="L519" s="29">
        <v>7.4278</v>
      </c>
      <c r="M519" s="29" t="s">
        <v>225</v>
      </c>
    </row>
    <row r="520" ht="15.75" customHeight="1">
      <c r="A520" s="29" t="s">
        <v>71</v>
      </c>
      <c r="B520" s="29" t="s">
        <v>2434</v>
      </c>
      <c r="C520" s="29">
        <v>0.0</v>
      </c>
      <c r="D520" s="29" t="s">
        <v>60</v>
      </c>
      <c r="E520" s="29">
        <v>0.7471</v>
      </c>
      <c r="F520" s="29">
        <v>47.4158</v>
      </c>
      <c r="G520" s="29">
        <v>28.8117</v>
      </c>
      <c r="H520" s="29">
        <v>0.6938</v>
      </c>
      <c r="I520" s="29">
        <v>0.7167</v>
      </c>
      <c r="J520" s="29">
        <v>0.3263</v>
      </c>
      <c r="K520" s="29">
        <v>0.1048</v>
      </c>
      <c r="L520" s="29">
        <v>9.1642</v>
      </c>
      <c r="M520" s="29" t="s">
        <v>225</v>
      </c>
    </row>
    <row r="521" ht="15.75" customHeight="1">
      <c r="A521" s="29" t="s">
        <v>454</v>
      </c>
      <c r="B521" s="29" t="s">
        <v>2437</v>
      </c>
      <c r="C521" s="29">
        <v>0.0</v>
      </c>
      <c r="D521" s="29" t="s">
        <v>60</v>
      </c>
      <c r="E521" s="29">
        <v>0.8248</v>
      </c>
      <c r="F521" s="29">
        <v>47.4054</v>
      </c>
      <c r="G521" s="29">
        <v>30.2506</v>
      </c>
      <c r="H521" s="29">
        <v>0.4837</v>
      </c>
      <c r="I521" s="29">
        <v>0.651</v>
      </c>
      <c r="J521" s="29">
        <v>0.5145</v>
      </c>
      <c r="K521" s="29">
        <v>0.2655</v>
      </c>
      <c r="L521" s="29">
        <v>7.7385</v>
      </c>
      <c r="M521" s="29" t="s">
        <v>225</v>
      </c>
    </row>
    <row r="522" ht="15.75" customHeight="1">
      <c r="A522" s="29" t="s">
        <v>483</v>
      </c>
      <c r="B522" s="29" t="s">
        <v>2440</v>
      </c>
      <c r="C522" s="29">
        <v>0.0</v>
      </c>
      <c r="D522" s="29" t="s">
        <v>60</v>
      </c>
      <c r="E522" s="29">
        <v>0.6128</v>
      </c>
      <c r="F522" s="29">
        <v>47.3708</v>
      </c>
      <c r="G522" s="29">
        <v>27.5061</v>
      </c>
      <c r="H522" s="29">
        <v>0.6689</v>
      </c>
      <c r="I522" s="29">
        <v>0.7868</v>
      </c>
      <c r="J522" s="29">
        <v>0.4145</v>
      </c>
      <c r="K522" s="29">
        <v>0.0896</v>
      </c>
      <c r="L522" s="29">
        <v>8.3067</v>
      </c>
      <c r="M522" s="29" t="s">
        <v>225</v>
      </c>
    </row>
    <row r="523" ht="15.75" customHeight="1">
      <c r="A523" s="29" t="s">
        <v>324</v>
      </c>
      <c r="B523" s="29" t="s">
        <v>2442</v>
      </c>
      <c r="C523" s="29">
        <v>0.0</v>
      </c>
      <c r="D523" s="29" t="s">
        <v>60</v>
      </c>
      <c r="E523" s="29">
        <v>0.8468</v>
      </c>
      <c r="F523" s="29">
        <v>47.3569</v>
      </c>
      <c r="G523" s="29">
        <v>30.4658</v>
      </c>
      <c r="H523" s="29">
        <v>0.4898</v>
      </c>
      <c r="I523" s="29">
        <v>0.6412</v>
      </c>
      <c r="J523" s="29">
        <v>0.5248</v>
      </c>
      <c r="K523" s="29">
        <v>0.2809</v>
      </c>
      <c r="L523" s="29">
        <v>7.622</v>
      </c>
      <c r="M523" s="29" t="s">
        <v>225</v>
      </c>
    </row>
    <row r="524" ht="15.75" customHeight="1">
      <c r="A524" s="29" t="s">
        <v>1141</v>
      </c>
      <c r="B524" s="29" t="s">
        <v>2444</v>
      </c>
      <c r="C524" s="29">
        <v>0.0</v>
      </c>
      <c r="D524" s="29" t="s">
        <v>60</v>
      </c>
      <c r="E524" s="29">
        <v>0.5106</v>
      </c>
      <c r="F524" s="29">
        <v>47.3569</v>
      </c>
      <c r="G524" s="29">
        <v>28.5157</v>
      </c>
      <c r="H524" s="29">
        <v>0.6129</v>
      </c>
      <c r="I524" s="29">
        <v>0.7298</v>
      </c>
      <c r="J524" s="29">
        <v>0.4076</v>
      </c>
      <c r="K524" s="29">
        <v>0.1253</v>
      </c>
      <c r="L524" s="29">
        <v>8.4766</v>
      </c>
      <c r="M524" s="29" t="s">
        <v>225</v>
      </c>
    </row>
    <row r="525" ht="15.75" customHeight="1">
      <c r="A525" s="29" t="s">
        <v>95</v>
      </c>
      <c r="B525" s="29" t="s">
        <v>2447</v>
      </c>
      <c r="C525" s="29">
        <v>0.0</v>
      </c>
      <c r="D525" s="29" t="s">
        <v>60</v>
      </c>
      <c r="E525" s="29">
        <v>0.7607</v>
      </c>
      <c r="F525" s="29">
        <v>47.3396</v>
      </c>
      <c r="G525" s="29">
        <v>30.06</v>
      </c>
      <c r="H525" s="29">
        <v>0.6889</v>
      </c>
      <c r="I525" s="29">
        <v>0.6583</v>
      </c>
      <c r="J525" s="29">
        <v>0.3382</v>
      </c>
      <c r="K525" s="29">
        <v>0.1202</v>
      </c>
      <c r="L525" s="29">
        <v>9.0789</v>
      </c>
      <c r="M525" s="29" t="s">
        <v>225</v>
      </c>
    </row>
    <row r="526" ht="15.75" customHeight="1">
      <c r="A526" s="29" t="s">
        <v>2449</v>
      </c>
      <c r="B526" s="29" t="s">
        <v>2451</v>
      </c>
      <c r="C526" s="29">
        <v>0.0</v>
      </c>
      <c r="D526" s="29" t="s">
        <v>60</v>
      </c>
      <c r="E526" s="29">
        <v>0.588</v>
      </c>
      <c r="F526" s="29">
        <v>47.3292</v>
      </c>
      <c r="G526" s="29">
        <v>29.1007</v>
      </c>
      <c r="H526" s="29">
        <v>0.7474</v>
      </c>
      <c r="I526" s="29">
        <v>0.7023</v>
      </c>
      <c r="J526" s="29">
        <v>0.4617</v>
      </c>
      <c r="K526" s="29">
        <v>0.1906</v>
      </c>
      <c r="L526" s="29">
        <v>7.5683</v>
      </c>
      <c r="M526" s="29" t="s">
        <v>225</v>
      </c>
    </row>
    <row r="527" ht="15.75" customHeight="1">
      <c r="A527" s="29" t="s">
        <v>488</v>
      </c>
      <c r="B527" s="29" t="s">
        <v>2455</v>
      </c>
      <c r="C527" s="29">
        <v>0.0</v>
      </c>
      <c r="D527" s="29" t="s">
        <v>60</v>
      </c>
      <c r="E527" s="29">
        <v>0.8494</v>
      </c>
      <c r="F527" s="29">
        <v>47.3257</v>
      </c>
      <c r="G527" s="29">
        <v>29.9118</v>
      </c>
      <c r="H527" s="29">
        <v>0.4576</v>
      </c>
      <c r="I527" s="29">
        <v>0.6647</v>
      </c>
      <c r="J527" s="29">
        <v>0.5194</v>
      </c>
      <c r="K527" s="29">
        <v>0.271</v>
      </c>
      <c r="L527" s="29">
        <v>7.6933</v>
      </c>
      <c r="M527" s="29" t="s">
        <v>225</v>
      </c>
    </row>
    <row r="528" ht="15.75" customHeight="1">
      <c r="A528" s="29" t="s">
        <v>670</v>
      </c>
      <c r="B528" s="29" t="s">
        <v>2457</v>
      </c>
      <c r="C528" s="29">
        <v>0.0</v>
      </c>
      <c r="D528" s="29" t="s">
        <v>60</v>
      </c>
      <c r="E528" s="29">
        <v>0.9057</v>
      </c>
      <c r="F528" s="29">
        <v>47.2946</v>
      </c>
      <c r="G528" s="29">
        <v>29.6645</v>
      </c>
      <c r="H528" s="29">
        <v>0.5705</v>
      </c>
      <c r="I528" s="29">
        <v>0.6754</v>
      </c>
      <c r="J528" s="29">
        <v>0.4573</v>
      </c>
      <c r="K528" s="29">
        <v>0.2813</v>
      </c>
      <c r="L528" s="29">
        <v>7.7141</v>
      </c>
      <c r="M528" s="29" t="s">
        <v>225</v>
      </c>
    </row>
    <row r="529" ht="15.75" customHeight="1">
      <c r="A529" s="29" t="s">
        <v>2315</v>
      </c>
      <c r="B529" s="29" t="s">
        <v>2460</v>
      </c>
      <c r="C529" s="29">
        <v>0.0</v>
      </c>
      <c r="D529" s="29" t="s">
        <v>60</v>
      </c>
      <c r="E529" s="29">
        <v>0.5523</v>
      </c>
      <c r="F529" s="29">
        <v>47.2807</v>
      </c>
      <c r="G529" s="29">
        <v>28.7048</v>
      </c>
      <c r="H529" s="29">
        <v>0.7561</v>
      </c>
      <c r="I529" s="29">
        <v>0.7208</v>
      </c>
      <c r="J529" s="29">
        <v>0.463</v>
      </c>
      <c r="K529" s="29">
        <v>0.1917</v>
      </c>
      <c r="L529" s="29">
        <v>7.5299</v>
      </c>
      <c r="M529" s="29" t="s">
        <v>225</v>
      </c>
    </row>
    <row r="530" ht="15.75" customHeight="1">
      <c r="A530" s="29" t="s">
        <v>1224</v>
      </c>
      <c r="B530" s="29" t="s">
        <v>2463</v>
      </c>
      <c r="C530" s="29">
        <v>0.0</v>
      </c>
      <c r="D530" s="29" t="s">
        <v>60</v>
      </c>
      <c r="E530" s="29">
        <v>0.7377</v>
      </c>
      <c r="F530" s="29">
        <v>47.2738</v>
      </c>
      <c r="G530" s="29">
        <v>29.3274</v>
      </c>
      <c r="H530" s="29">
        <v>0.6536</v>
      </c>
      <c r="I530" s="29">
        <v>0.6905</v>
      </c>
      <c r="J530" s="29">
        <v>0.3504</v>
      </c>
      <c r="K530" s="29">
        <v>0.1249</v>
      </c>
      <c r="L530" s="29">
        <v>8.6791</v>
      </c>
      <c r="M530" s="29" t="s">
        <v>225</v>
      </c>
    </row>
    <row r="531" ht="15.75" customHeight="1">
      <c r="A531" s="29" t="s">
        <v>877</v>
      </c>
      <c r="B531" s="29" t="s">
        <v>2465</v>
      </c>
      <c r="C531" s="29">
        <v>0.0</v>
      </c>
      <c r="D531" s="29" t="s">
        <v>60</v>
      </c>
      <c r="E531" s="29">
        <v>0.9081</v>
      </c>
      <c r="F531" s="29">
        <v>47.2495</v>
      </c>
      <c r="G531" s="29">
        <v>29.5468</v>
      </c>
      <c r="H531" s="29">
        <v>0.5511</v>
      </c>
      <c r="I531" s="29">
        <v>0.6801</v>
      </c>
      <c r="J531" s="29">
        <v>0.4617</v>
      </c>
      <c r="K531" s="29">
        <v>0.2807</v>
      </c>
      <c r="L531" s="29">
        <v>7.6596</v>
      </c>
      <c r="M531" s="29" t="s">
        <v>225</v>
      </c>
    </row>
    <row r="532" ht="15.75" customHeight="1">
      <c r="A532" s="29" t="s">
        <v>2037</v>
      </c>
      <c r="B532" s="29" t="s">
        <v>2468</v>
      </c>
      <c r="C532" s="29">
        <v>0.0</v>
      </c>
      <c r="D532" s="29" t="s">
        <v>60</v>
      </c>
      <c r="E532" s="29">
        <v>0.9066</v>
      </c>
      <c r="F532" s="29">
        <v>47.2184</v>
      </c>
      <c r="G532" s="29">
        <v>29.4981</v>
      </c>
      <c r="H532" s="29">
        <v>0.5655</v>
      </c>
      <c r="I532" s="29">
        <v>0.6819</v>
      </c>
      <c r="J532" s="29">
        <v>0.4611</v>
      </c>
      <c r="K532" s="29">
        <v>0.2889</v>
      </c>
      <c r="L532" s="29">
        <v>7.6491</v>
      </c>
      <c r="M532" s="29" t="s">
        <v>225</v>
      </c>
    </row>
    <row r="533" ht="15.75" customHeight="1">
      <c r="A533" s="29" t="s">
        <v>1298</v>
      </c>
      <c r="B533" s="29" t="s">
        <v>2471</v>
      </c>
      <c r="C533" s="29">
        <v>0.0</v>
      </c>
      <c r="D533" s="29" t="s">
        <v>60</v>
      </c>
      <c r="E533" s="29">
        <v>0.7396</v>
      </c>
      <c r="F533" s="29">
        <v>47.2115</v>
      </c>
      <c r="G533" s="29">
        <v>31.1183</v>
      </c>
      <c r="H533" s="29">
        <v>0.515</v>
      </c>
      <c r="I533" s="29">
        <v>0.6119</v>
      </c>
      <c r="J533" s="29">
        <v>0.4573</v>
      </c>
      <c r="K533" s="29">
        <v>0.2158</v>
      </c>
      <c r="L533" s="29">
        <v>7.7472</v>
      </c>
      <c r="M533" s="29" t="s">
        <v>225</v>
      </c>
    </row>
    <row r="534" ht="15.75" customHeight="1">
      <c r="A534" s="29" t="s">
        <v>505</v>
      </c>
      <c r="B534" s="29" t="s">
        <v>2474</v>
      </c>
      <c r="C534" s="29">
        <v>0.0</v>
      </c>
      <c r="D534" s="29" t="s">
        <v>60</v>
      </c>
      <c r="E534" s="29">
        <v>0.8427</v>
      </c>
      <c r="F534" s="29">
        <v>47.208</v>
      </c>
      <c r="G534" s="29">
        <v>30.4372</v>
      </c>
      <c r="H534" s="29">
        <v>0.4715</v>
      </c>
      <c r="I534" s="29">
        <v>0.6403</v>
      </c>
      <c r="J534" s="29">
        <v>0.5223</v>
      </c>
      <c r="K534" s="29">
        <v>0.2769</v>
      </c>
      <c r="L534" s="29">
        <v>7.6445</v>
      </c>
      <c r="M534" s="29" t="s">
        <v>225</v>
      </c>
    </row>
    <row r="535" ht="15.75" customHeight="1">
      <c r="A535" s="29" t="s">
        <v>1710</v>
      </c>
      <c r="B535" s="29" t="s">
        <v>2476</v>
      </c>
      <c r="C535" s="29">
        <v>0.0</v>
      </c>
      <c r="D535" s="29" t="s">
        <v>60</v>
      </c>
      <c r="E535" s="29">
        <v>0.7643</v>
      </c>
      <c r="F535" s="29">
        <v>47.2045</v>
      </c>
      <c r="G535" s="29">
        <v>29.8776</v>
      </c>
      <c r="H535" s="29">
        <v>0.6883</v>
      </c>
      <c r="I535" s="29">
        <v>0.6645</v>
      </c>
      <c r="J535" s="29">
        <v>0.3378</v>
      </c>
      <c r="K535" s="29">
        <v>0.1229</v>
      </c>
      <c r="L535" s="29">
        <v>9.0565</v>
      </c>
      <c r="M535" s="29" t="s">
        <v>225</v>
      </c>
    </row>
    <row r="536" ht="15.75" customHeight="1">
      <c r="A536" s="29" t="s">
        <v>653</v>
      </c>
      <c r="B536" s="29" t="s">
        <v>2479</v>
      </c>
      <c r="C536" s="29">
        <v>0.0</v>
      </c>
      <c r="D536" s="29" t="s">
        <v>60</v>
      </c>
      <c r="E536" s="29">
        <v>0.7724</v>
      </c>
      <c r="F536" s="29">
        <v>47.1803</v>
      </c>
      <c r="G536" s="29">
        <v>29.1184</v>
      </c>
      <c r="H536" s="29">
        <v>0.6947</v>
      </c>
      <c r="I536" s="29">
        <v>0.6982</v>
      </c>
      <c r="J536" s="29">
        <v>0.3378</v>
      </c>
      <c r="K536" s="29">
        <v>0.1225</v>
      </c>
      <c r="L536" s="29">
        <v>9.0652</v>
      </c>
      <c r="M536" s="29" t="s">
        <v>225</v>
      </c>
    </row>
    <row r="537" ht="15.75" customHeight="1">
      <c r="A537" s="29" t="s">
        <v>1454</v>
      </c>
      <c r="B537" s="29" t="s">
        <v>2482</v>
      </c>
      <c r="C537" s="29">
        <v>0.0</v>
      </c>
      <c r="D537" s="29" t="s">
        <v>60</v>
      </c>
      <c r="E537" s="29">
        <v>0.5062</v>
      </c>
      <c r="F537" s="29">
        <v>47.1768</v>
      </c>
      <c r="G537" s="29">
        <v>27.9376</v>
      </c>
      <c r="H537" s="29">
        <v>0.7775</v>
      </c>
      <c r="I537" s="29">
        <v>0.7596</v>
      </c>
      <c r="J537" s="29">
        <v>0.3586</v>
      </c>
      <c r="K537" s="29">
        <v>0.0498</v>
      </c>
      <c r="L537" s="29">
        <v>9.1693</v>
      </c>
      <c r="M537" s="29" t="s">
        <v>225</v>
      </c>
    </row>
    <row r="538" ht="15.75" customHeight="1">
      <c r="A538" s="29" t="s">
        <v>80</v>
      </c>
      <c r="B538" s="29" t="s">
        <v>2485</v>
      </c>
      <c r="C538" s="29">
        <v>0.0</v>
      </c>
      <c r="D538" s="29" t="s">
        <v>60</v>
      </c>
      <c r="E538" s="29">
        <v>0.7705</v>
      </c>
      <c r="F538" s="29">
        <v>47.1422</v>
      </c>
      <c r="G538" s="29">
        <v>29.926</v>
      </c>
      <c r="H538" s="29">
        <v>0.6973</v>
      </c>
      <c r="I538" s="29">
        <v>0.6615</v>
      </c>
      <c r="J538" s="29">
        <v>0.3286</v>
      </c>
      <c r="K538" s="29">
        <v>0.1091</v>
      </c>
      <c r="L538" s="29">
        <v>9.1546</v>
      </c>
      <c r="M538" s="29" t="s">
        <v>225</v>
      </c>
    </row>
    <row r="539" ht="15.75" customHeight="1">
      <c r="A539" s="29" t="s">
        <v>444</v>
      </c>
      <c r="B539" s="29" t="s">
        <v>2488</v>
      </c>
      <c r="C539" s="29">
        <v>0.0</v>
      </c>
      <c r="D539" s="29" t="s">
        <v>60</v>
      </c>
      <c r="E539" s="29">
        <v>0.5853</v>
      </c>
      <c r="F539" s="29">
        <v>47.1422</v>
      </c>
      <c r="G539" s="29">
        <v>30.4988</v>
      </c>
      <c r="H539" s="29">
        <v>0.7517</v>
      </c>
      <c r="I539" s="29">
        <v>0.6369</v>
      </c>
      <c r="J539" s="29">
        <v>0.465</v>
      </c>
      <c r="K539" s="29">
        <v>0.1928</v>
      </c>
      <c r="L539" s="29">
        <v>7.5529</v>
      </c>
      <c r="M539" s="29" t="s">
        <v>225</v>
      </c>
    </row>
    <row r="540" ht="15.75" customHeight="1">
      <c r="A540" s="29" t="s">
        <v>544</v>
      </c>
      <c r="B540" s="29" t="s">
        <v>2491</v>
      </c>
      <c r="C540" s="29">
        <v>0.0</v>
      </c>
      <c r="D540" s="29" t="s">
        <v>60</v>
      </c>
      <c r="E540" s="29">
        <v>0.738</v>
      </c>
      <c r="F540" s="29">
        <v>47.1387</v>
      </c>
      <c r="G540" s="29">
        <v>29.6774</v>
      </c>
      <c r="H540" s="29">
        <v>0.5184</v>
      </c>
      <c r="I540" s="29">
        <v>0.671</v>
      </c>
      <c r="J540" s="29">
        <v>0.459</v>
      </c>
      <c r="K540" s="29">
        <v>0.2181</v>
      </c>
      <c r="L540" s="29">
        <v>7.6994</v>
      </c>
      <c r="M540" s="29" t="s">
        <v>225</v>
      </c>
    </row>
    <row r="541" ht="15.75" customHeight="1">
      <c r="A541" s="29" t="s">
        <v>1224</v>
      </c>
      <c r="B541" s="29" t="s">
        <v>2496</v>
      </c>
      <c r="C541" s="29">
        <v>0.0</v>
      </c>
      <c r="D541" s="29" t="s">
        <v>60</v>
      </c>
      <c r="E541" s="29">
        <v>0.7352</v>
      </c>
      <c r="F541" s="29">
        <v>47.1214</v>
      </c>
      <c r="G541" s="29">
        <v>30.3777</v>
      </c>
      <c r="H541" s="29">
        <v>0.5092</v>
      </c>
      <c r="I541" s="29">
        <v>0.6404</v>
      </c>
      <c r="J541" s="29">
        <v>0.4655</v>
      </c>
      <c r="K541" s="29">
        <v>0.2275</v>
      </c>
      <c r="L541" s="29">
        <v>7.6675</v>
      </c>
      <c r="M541" s="29" t="s">
        <v>225</v>
      </c>
    </row>
    <row r="542" ht="15.75" customHeight="1">
      <c r="A542" s="29" t="s">
        <v>1579</v>
      </c>
      <c r="B542" s="29" t="s">
        <v>2499</v>
      </c>
      <c r="C542" s="29">
        <v>0.0</v>
      </c>
      <c r="D542" s="29" t="s">
        <v>60</v>
      </c>
      <c r="E542" s="29">
        <v>0.7681</v>
      </c>
      <c r="F542" s="29">
        <v>47.1214</v>
      </c>
      <c r="G542" s="29">
        <v>28.5014</v>
      </c>
      <c r="H542" s="29">
        <v>0.7105</v>
      </c>
      <c r="I542" s="29">
        <v>0.7287</v>
      </c>
      <c r="J542" s="29">
        <v>0.3362</v>
      </c>
      <c r="K542" s="29">
        <v>0.1209</v>
      </c>
      <c r="L542" s="29">
        <v>9.0817</v>
      </c>
      <c r="M542" s="29" t="s">
        <v>225</v>
      </c>
    </row>
    <row r="543" ht="15.75" customHeight="1">
      <c r="A543" s="29" t="s">
        <v>1188</v>
      </c>
      <c r="B543" s="29" t="s">
        <v>2502</v>
      </c>
      <c r="C543" s="29">
        <v>0.0</v>
      </c>
      <c r="D543" s="29" t="s">
        <v>60</v>
      </c>
      <c r="E543" s="29">
        <v>0.5274</v>
      </c>
      <c r="F543" s="29">
        <v>47.111</v>
      </c>
      <c r="G543" s="29">
        <v>29.0495</v>
      </c>
      <c r="H543" s="29">
        <v>0.6419</v>
      </c>
      <c r="I543" s="29">
        <v>0.7015</v>
      </c>
      <c r="J543" s="29">
        <v>0.422</v>
      </c>
      <c r="K543" s="29">
        <v>0.1429</v>
      </c>
      <c r="L543" s="29">
        <v>8.325</v>
      </c>
      <c r="M543" s="29" t="s">
        <v>225</v>
      </c>
    </row>
    <row r="544" ht="15.75" customHeight="1">
      <c r="A544" s="29" t="s">
        <v>1101</v>
      </c>
      <c r="B544" s="29" t="s">
        <v>2504</v>
      </c>
      <c r="C544" s="29">
        <v>0.0</v>
      </c>
      <c r="D544" s="29" t="s">
        <v>60</v>
      </c>
      <c r="E544" s="29">
        <v>0.5402</v>
      </c>
      <c r="F544" s="29">
        <v>47.1041</v>
      </c>
      <c r="G544" s="29">
        <v>29.5468</v>
      </c>
      <c r="H544" s="29">
        <v>0.6405</v>
      </c>
      <c r="I544" s="29">
        <v>0.6779</v>
      </c>
      <c r="J544" s="29">
        <v>0.4273</v>
      </c>
      <c r="K544" s="29">
        <v>0.1524</v>
      </c>
      <c r="L544" s="29">
        <v>8.2965</v>
      </c>
      <c r="M544" s="29" t="s">
        <v>225</v>
      </c>
    </row>
    <row r="545" ht="15.75" customHeight="1">
      <c r="A545" s="29" t="s">
        <v>1738</v>
      </c>
      <c r="B545" s="29" t="s">
        <v>2507</v>
      </c>
      <c r="C545" s="29">
        <v>0.0</v>
      </c>
      <c r="D545" s="29" t="s">
        <v>60</v>
      </c>
      <c r="E545" s="29">
        <v>0.7449</v>
      </c>
      <c r="F545" s="29">
        <v>47.0972</v>
      </c>
      <c r="G545" s="29">
        <v>29.8501</v>
      </c>
      <c r="H545" s="29">
        <v>0.509</v>
      </c>
      <c r="I545" s="29">
        <v>0.664</v>
      </c>
      <c r="J545" s="29">
        <v>0.4682</v>
      </c>
      <c r="K545" s="29">
        <v>0.2294</v>
      </c>
      <c r="L545" s="29">
        <v>7.6467</v>
      </c>
      <c r="M545" s="29" t="s">
        <v>225</v>
      </c>
    </row>
    <row r="546" ht="15.75" customHeight="1">
      <c r="A546" s="29" t="s">
        <v>61</v>
      </c>
      <c r="B546" s="29" t="s">
        <v>2510</v>
      </c>
      <c r="C546" s="29">
        <v>0.0</v>
      </c>
      <c r="D546" s="29" t="s">
        <v>60</v>
      </c>
      <c r="E546" s="29">
        <v>0.7612</v>
      </c>
      <c r="F546" s="29">
        <v>47.0972</v>
      </c>
      <c r="G546" s="29">
        <v>28.5157</v>
      </c>
      <c r="H546" s="29">
        <v>0.6947</v>
      </c>
      <c r="I546" s="29">
        <v>0.7272</v>
      </c>
      <c r="J546" s="29">
        <v>0.342</v>
      </c>
      <c r="K546" s="29">
        <v>0.1242</v>
      </c>
      <c r="L546" s="29">
        <v>9.0466</v>
      </c>
      <c r="M546" s="29" t="s">
        <v>225</v>
      </c>
    </row>
    <row r="547" ht="15.75" customHeight="1">
      <c r="A547" s="29" t="s">
        <v>293</v>
      </c>
      <c r="B547" s="29" t="s">
        <v>2513</v>
      </c>
      <c r="C547" s="29">
        <v>0.0</v>
      </c>
      <c r="D547" s="29" t="s">
        <v>60</v>
      </c>
      <c r="E547" s="29">
        <v>0.9069</v>
      </c>
      <c r="F547" s="29">
        <v>47.0868</v>
      </c>
      <c r="G547" s="29">
        <v>29.5207</v>
      </c>
      <c r="H547" s="29">
        <v>0.5538</v>
      </c>
      <c r="I547" s="29">
        <v>0.679</v>
      </c>
      <c r="J547" s="29">
        <v>0.461</v>
      </c>
      <c r="K547" s="29">
        <v>0.2877</v>
      </c>
      <c r="L547" s="29">
        <v>7.6663</v>
      </c>
      <c r="M547" s="29" t="s">
        <v>225</v>
      </c>
    </row>
    <row r="548" ht="15.75" customHeight="1">
      <c r="A548" s="29" t="s">
        <v>1157</v>
      </c>
      <c r="B548" s="29" t="s">
        <v>2515</v>
      </c>
      <c r="C548" s="29">
        <v>0.0</v>
      </c>
      <c r="D548" s="29" t="s">
        <v>60</v>
      </c>
      <c r="E548" s="29">
        <v>0.5285</v>
      </c>
      <c r="F548" s="29">
        <v>47.0625</v>
      </c>
      <c r="G548" s="29">
        <v>28.7392</v>
      </c>
      <c r="H548" s="29">
        <v>0.6314</v>
      </c>
      <c r="I548" s="29">
        <v>0.7158</v>
      </c>
      <c r="J548" s="29">
        <v>0.4201</v>
      </c>
      <c r="K548" s="29">
        <v>0.1434</v>
      </c>
      <c r="L548" s="29">
        <v>8.3376</v>
      </c>
      <c r="M548" s="29" t="s">
        <v>225</v>
      </c>
    </row>
    <row r="549" ht="15.75" customHeight="1">
      <c r="A549" s="29" t="s">
        <v>1666</v>
      </c>
      <c r="B549" s="29" t="s">
        <v>2518</v>
      </c>
      <c r="C549" s="29">
        <v>0.0</v>
      </c>
      <c r="D549" s="29" t="s">
        <v>60</v>
      </c>
      <c r="E549" s="29">
        <v>0.7587</v>
      </c>
      <c r="F549" s="29">
        <v>47.0452</v>
      </c>
      <c r="G549" s="29">
        <v>29.506</v>
      </c>
      <c r="H549" s="29">
        <v>0.6953</v>
      </c>
      <c r="I549" s="29">
        <v>0.6781</v>
      </c>
      <c r="J549" s="29">
        <v>0.3445</v>
      </c>
      <c r="K549" s="29">
        <v>0.1248</v>
      </c>
      <c r="L549" s="29">
        <v>9.0019</v>
      </c>
      <c r="M549" s="29" t="s">
        <v>225</v>
      </c>
    </row>
    <row r="550" ht="15.75" customHeight="1">
      <c r="A550" s="29" t="s">
        <v>54</v>
      </c>
      <c r="B550" s="29" t="s">
        <v>2521</v>
      </c>
      <c r="C550" s="29">
        <v>0.0</v>
      </c>
      <c r="D550" s="29" t="s">
        <v>60</v>
      </c>
      <c r="E550" s="29">
        <v>0.7617</v>
      </c>
      <c r="F550" s="29">
        <v>47.0383</v>
      </c>
      <c r="G550" s="29">
        <v>28.952</v>
      </c>
      <c r="H550" s="29">
        <v>0.6963</v>
      </c>
      <c r="I550" s="29">
        <v>0.7051</v>
      </c>
      <c r="J550" s="29">
        <v>0.3321</v>
      </c>
      <c r="K550" s="29">
        <v>0.1117</v>
      </c>
      <c r="L550" s="29">
        <v>9.108</v>
      </c>
      <c r="M550" s="29" t="s">
        <v>225</v>
      </c>
    </row>
    <row r="551" ht="15.75" customHeight="1">
      <c r="A551" s="29" t="s">
        <v>731</v>
      </c>
      <c r="B551" s="29" t="s">
        <v>2524</v>
      </c>
      <c r="C551" s="29">
        <v>0.0</v>
      </c>
      <c r="D551" s="29" t="s">
        <v>60</v>
      </c>
      <c r="E551" s="29">
        <v>0.9063</v>
      </c>
      <c r="F551" s="29">
        <v>46.9794</v>
      </c>
      <c r="G551" s="29">
        <v>29.3964</v>
      </c>
      <c r="H551" s="29">
        <v>0.5518</v>
      </c>
      <c r="I551" s="29">
        <v>0.6832</v>
      </c>
      <c r="J551" s="29">
        <v>0.459</v>
      </c>
      <c r="K551" s="29">
        <v>0.2808</v>
      </c>
      <c r="L551" s="29">
        <v>7.7062</v>
      </c>
      <c r="M551" s="29" t="s">
        <v>225</v>
      </c>
    </row>
    <row r="552" ht="15.75" customHeight="1">
      <c r="A552" s="29" t="s">
        <v>250</v>
      </c>
      <c r="B552" s="29" t="s">
        <v>2527</v>
      </c>
      <c r="C552" s="29">
        <v>0.0</v>
      </c>
      <c r="D552" s="29" t="s">
        <v>60</v>
      </c>
      <c r="E552" s="29">
        <v>0.7663</v>
      </c>
      <c r="F552" s="29">
        <v>46.969</v>
      </c>
      <c r="G552" s="29">
        <v>29.216</v>
      </c>
      <c r="H552" s="29">
        <v>0.6973</v>
      </c>
      <c r="I552" s="29">
        <v>0.6907</v>
      </c>
      <c r="J552" s="29">
        <v>0.3298</v>
      </c>
      <c r="K552" s="29">
        <v>0.1112</v>
      </c>
      <c r="L552" s="29">
        <v>9.1431</v>
      </c>
      <c r="M552" s="29" t="s">
        <v>225</v>
      </c>
    </row>
    <row r="553" ht="15.75" customHeight="1">
      <c r="A553" s="29" t="s">
        <v>383</v>
      </c>
      <c r="B553" s="29" t="s">
        <v>2530</v>
      </c>
      <c r="C553" s="29">
        <v>0.0</v>
      </c>
      <c r="D553" s="29" t="s">
        <v>60</v>
      </c>
      <c r="E553" s="29">
        <v>0.5361</v>
      </c>
      <c r="F553" s="29">
        <v>46.9482</v>
      </c>
      <c r="G553" s="29">
        <v>27.3338</v>
      </c>
      <c r="H553" s="29">
        <v>0.6991</v>
      </c>
      <c r="I553" s="29">
        <v>0.7896</v>
      </c>
      <c r="J553" s="29">
        <v>0.4134</v>
      </c>
      <c r="K553" s="29">
        <v>0.0792</v>
      </c>
      <c r="L553" s="29">
        <v>8.4212</v>
      </c>
      <c r="M553" s="29" t="s">
        <v>225</v>
      </c>
    </row>
    <row r="554" ht="15.75" customHeight="1">
      <c r="A554" s="29" t="s">
        <v>1478</v>
      </c>
      <c r="B554" s="29" t="s">
        <v>2533</v>
      </c>
      <c r="C554" s="29">
        <v>0.0</v>
      </c>
      <c r="D554" s="29" t="s">
        <v>60</v>
      </c>
      <c r="E554" s="29">
        <v>0.6041</v>
      </c>
      <c r="F554" s="29">
        <v>46.9379</v>
      </c>
      <c r="G554" s="29">
        <v>28.1528</v>
      </c>
      <c r="H554" s="29">
        <v>0.8349</v>
      </c>
      <c r="I554" s="29">
        <v>0.7442</v>
      </c>
      <c r="J554" s="29">
        <v>0.3035</v>
      </c>
      <c r="K554" s="29">
        <v>0.045</v>
      </c>
      <c r="L554" s="29">
        <v>9.448</v>
      </c>
      <c r="M554" s="29" t="s">
        <v>225</v>
      </c>
    </row>
    <row r="555" ht="15.75" customHeight="1">
      <c r="A555" s="29" t="s">
        <v>89</v>
      </c>
      <c r="B555" s="29" t="s">
        <v>2536</v>
      </c>
      <c r="C555" s="29">
        <v>0.0</v>
      </c>
      <c r="D555" s="29" t="s">
        <v>60</v>
      </c>
      <c r="E555" s="29">
        <v>0.5233</v>
      </c>
      <c r="F555" s="29">
        <v>46.9032</v>
      </c>
      <c r="G555" s="29">
        <v>28.5442</v>
      </c>
      <c r="H555" s="29">
        <v>0.6641</v>
      </c>
      <c r="I555" s="29">
        <v>0.7222</v>
      </c>
      <c r="J555" s="29">
        <v>0.4209</v>
      </c>
      <c r="K555" s="29">
        <v>0.1481</v>
      </c>
      <c r="L555" s="29">
        <v>8.4017</v>
      </c>
      <c r="M555" s="29" t="s">
        <v>225</v>
      </c>
    </row>
    <row r="556" ht="15.75" customHeight="1">
      <c r="A556" s="29" t="s">
        <v>1196</v>
      </c>
      <c r="B556" s="29" t="s">
        <v>2539</v>
      </c>
      <c r="C556" s="29">
        <v>0.0</v>
      </c>
      <c r="D556" s="29" t="s">
        <v>60</v>
      </c>
      <c r="E556" s="29">
        <v>0.7164</v>
      </c>
      <c r="F556" s="29">
        <v>46.8998</v>
      </c>
      <c r="G556" s="29">
        <v>29.3974</v>
      </c>
      <c r="H556" s="29">
        <v>0.5317</v>
      </c>
      <c r="I556" s="29">
        <v>0.6809</v>
      </c>
      <c r="J556" s="29">
        <v>0.4584</v>
      </c>
      <c r="K556" s="29">
        <v>0.22</v>
      </c>
      <c r="L556" s="29">
        <v>7.703</v>
      </c>
      <c r="M556" s="29" t="s">
        <v>225</v>
      </c>
    </row>
    <row r="557" ht="15.75" customHeight="1">
      <c r="A557" s="29" t="s">
        <v>1438</v>
      </c>
      <c r="B557" s="29" t="s">
        <v>2542</v>
      </c>
      <c r="C557" s="29">
        <v>0.0</v>
      </c>
      <c r="D557" s="29" t="s">
        <v>60</v>
      </c>
      <c r="E557" s="29">
        <v>0.7259</v>
      </c>
      <c r="F557" s="29">
        <v>46.8755</v>
      </c>
      <c r="G557" s="29">
        <v>29.1906</v>
      </c>
      <c r="H557" s="29">
        <v>0.559</v>
      </c>
      <c r="I557" s="29">
        <v>0.6897</v>
      </c>
      <c r="J557" s="29">
        <v>0.4602</v>
      </c>
      <c r="K557" s="29">
        <v>0.2191</v>
      </c>
      <c r="L557" s="29">
        <v>7.7203</v>
      </c>
      <c r="M557" s="29" t="s">
        <v>225</v>
      </c>
    </row>
    <row r="558" ht="15.75" customHeight="1">
      <c r="A558" s="29" t="s">
        <v>300</v>
      </c>
      <c r="B558" s="29" t="s">
        <v>2545</v>
      </c>
      <c r="C558" s="29">
        <v>0.0</v>
      </c>
      <c r="D558" s="29" t="s">
        <v>60</v>
      </c>
      <c r="E558" s="29">
        <v>0.6742</v>
      </c>
      <c r="F558" s="29">
        <v>46.8686</v>
      </c>
      <c r="G558" s="29">
        <v>27.174</v>
      </c>
      <c r="H558" s="29">
        <v>0.6803</v>
      </c>
      <c r="I558" s="29">
        <v>0.7976</v>
      </c>
      <c r="J558" s="29">
        <v>0.4227</v>
      </c>
      <c r="K558" s="29">
        <v>0.1029</v>
      </c>
      <c r="L558" s="29">
        <v>8.2713</v>
      </c>
      <c r="M558" s="29" t="s">
        <v>225</v>
      </c>
    </row>
    <row r="559" ht="15.75" customHeight="1">
      <c r="A559" s="29" t="s">
        <v>1952</v>
      </c>
      <c r="B559" s="29" t="s">
        <v>2548</v>
      </c>
      <c r="C559" s="29">
        <v>0.0</v>
      </c>
      <c r="D559" s="29" t="s">
        <v>60</v>
      </c>
      <c r="E559" s="29">
        <v>0.6204</v>
      </c>
      <c r="F559" s="29">
        <v>46.8513</v>
      </c>
      <c r="G559" s="29">
        <v>27.2102</v>
      </c>
      <c r="H559" s="29">
        <v>0.6725</v>
      </c>
      <c r="I559" s="29">
        <v>0.7952</v>
      </c>
      <c r="J559" s="29">
        <v>0.4249</v>
      </c>
      <c r="K559" s="29">
        <v>0.095</v>
      </c>
      <c r="L559" s="29">
        <v>8.308</v>
      </c>
      <c r="M559" s="29" t="s">
        <v>225</v>
      </c>
    </row>
    <row r="560" ht="15.75" customHeight="1">
      <c r="A560" s="29" t="s">
        <v>2093</v>
      </c>
      <c r="B560" s="29" t="s">
        <v>2551</v>
      </c>
      <c r="C560" s="29">
        <v>0.0</v>
      </c>
      <c r="D560" s="29" t="s">
        <v>60</v>
      </c>
      <c r="E560" s="29">
        <v>0.904</v>
      </c>
      <c r="F560" s="29">
        <v>46.8443</v>
      </c>
      <c r="G560" s="29">
        <v>29.4737</v>
      </c>
      <c r="H560" s="29">
        <v>0.5493</v>
      </c>
      <c r="I560" s="29">
        <v>0.6776</v>
      </c>
      <c r="J560" s="29">
        <v>0.459</v>
      </c>
      <c r="K560" s="29">
        <v>0.2848</v>
      </c>
      <c r="L560" s="29">
        <v>7.6916</v>
      </c>
      <c r="M560" s="29" t="s">
        <v>225</v>
      </c>
    </row>
    <row r="561" ht="15.75" customHeight="1">
      <c r="A561" s="29" t="s">
        <v>1247</v>
      </c>
      <c r="B561" s="29" t="s">
        <v>2555</v>
      </c>
      <c r="C561" s="29">
        <v>0.0</v>
      </c>
      <c r="D561" s="29" t="s">
        <v>60</v>
      </c>
      <c r="E561" s="29">
        <v>0.7284</v>
      </c>
      <c r="F561" s="29">
        <v>46.8097</v>
      </c>
      <c r="G561" s="29">
        <v>31.4491</v>
      </c>
      <c r="H561" s="29">
        <v>0.5637</v>
      </c>
      <c r="I561" s="29">
        <v>0.5947</v>
      </c>
      <c r="J561" s="29">
        <v>0.4535</v>
      </c>
      <c r="K561" s="29">
        <v>0.2106</v>
      </c>
      <c r="L561" s="29">
        <v>7.7621</v>
      </c>
      <c r="M561" s="29" t="s">
        <v>225</v>
      </c>
    </row>
    <row r="562" ht="15.75" customHeight="1">
      <c r="A562" s="29" t="s">
        <v>1208</v>
      </c>
      <c r="B562" s="29" t="s">
        <v>2560</v>
      </c>
      <c r="C562" s="29">
        <v>0.0</v>
      </c>
      <c r="D562" s="29" t="s">
        <v>60</v>
      </c>
      <c r="E562" s="29">
        <v>0.7384</v>
      </c>
      <c r="F562" s="29">
        <v>46.8062</v>
      </c>
      <c r="G562" s="29">
        <v>28.8545</v>
      </c>
      <c r="H562" s="29">
        <v>0.6459</v>
      </c>
      <c r="I562" s="29">
        <v>0.7065</v>
      </c>
      <c r="J562" s="29">
        <v>0.3415</v>
      </c>
      <c r="K562" s="29">
        <v>0.1103</v>
      </c>
      <c r="L562" s="29">
        <v>8.7542</v>
      </c>
      <c r="M562" s="29" t="s">
        <v>225</v>
      </c>
    </row>
    <row r="563" ht="15.75" customHeight="1">
      <c r="A563" s="29" t="s">
        <v>293</v>
      </c>
      <c r="B563" s="29" t="s">
        <v>2564</v>
      </c>
      <c r="C563" s="29">
        <v>0.0</v>
      </c>
      <c r="D563" s="29" t="s">
        <v>60</v>
      </c>
      <c r="E563" s="29">
        <v>0.5028</v>
      </c>
      <c r="F563" s="29">
        <v>46.7266</v>
      </c>
      <c r="G563" s="29">
        <v>30.7558</v>
      </c>
      <c r="H563" s="29">
        <v>0.5656</v>
      </c>
      <c r="I563" s="29">
        <v>0.6208</v>
      </c>
      <c r="J563" s="29">
        <v>0.5911</v>
      </c>
      <c r="K563" s="29">
        <v>0.0982</v>
      </c>
      <c r="L563" s="29">
        <v>7.759</v>
      </c>
      <c r="M563" s="29" t="s">
        <v>225</v>
      </c>
    </row>
    <row r="564" ht="15.75" customHeight="1">
      <c r="A564" s="29" t="s">
        <v>374</v>
      </c>
      <c r="B564" s="29" t="s">
        <v>2567</v>
      </c>
      <c r="C564" s="29">
        <v>0.0</v>
      </c>
      <c r="D564" s="29" t="s">
        <v>60</v>
      </c>
      <c r="E564" s="29">
        <v>0.8574</v>
      </c>
      <c r="F564" s="29">
        <v>46.7197</v>
      </c>
      <c r="G564" s="29">
        <v>30.2426</v>
      </c>
      <c r="H564" s="29">
        <v>0.4553</v>
      </c>
      <c r="I564" s="29">
        <v>0.6419</v>
      </c>
      <c r="J564" s="29">
        <v>0.5253</v>
      </c>
      <c r="K564" s="29">
        <v>0.2847</v>
      </c>
      <c r="L564" s="29">
        <v>7.6035</v>
      </c>
      <c r="M564" s="29" t="s">
        <v>225</v>
      </c>
    </row>
    <row r="565" ht="15.75" customHeight="1">
      <c r="A565" s="29" t="s">
        <v>690</v>
      </c>
      <c r="B565" s="29" t="s">
        <v>2570</v>
      </c>
      <c r="C565" s="29">
        <v>0.0</v>
      </c>
      <c r="D565" s="29" t="s">
        <v>60</v>
      </c>
      <c r="E565" s="29">
        <v>0.9054</v>
      </c>
      <c r="F565" s="29">
        <v>46.7127</v>
      </c>
      <c r="G565" s="29">
        <v>29.3661</v>
      </c>
      <c r="H565" s="29">
        <v>0.5343</v>
      </c>
      <c r="I565" s="29">
        <v>0.6807</v>
      </c>
      <c r="J565" s="29">
        <v>0.4508</v>
      </c>
      <c r="K565" s="29">
        <v>0.2704</v>
      </c>
      <c r="L565" s="29">
        <v>7.7757</v>
      </c>
      <c r="M565" s="29" t="s">
        <v>225</v>
      </c>
    </row>
    <row r="566" ht="15.75" customHeight="1">
      <c r="A566" s="29" t="s">
        <v>764</v>
      </c>
      <c r="B566" s="29" t="s">
        <v>2572</v>
      </c>
      <c r="C566" s="29">
        <v>0.0</v>
      </c>
      <c r="D566" s="29" t="s">
        <v>60</v>
      </c>
      <c r="E566" s="29">
        <v>0.9084</v>
      </c>
      <c r="F566" s="29">
        <v>46.6989</v>
      </c>
      <c r="G566" s="29">
        <v>29.504</v>
      </c>
      <c r="H566" s="29">
        <v>0.5384</v>
      </c>
      <c r="I566" s="29">
        <v>0.6741</v>
      </c>
      <c r="J566" s="29">
        <v>0.4549</v>
      </c>
      <c r="K566" s="29">
        <v>0.2765</v>
      </c>
      <c r="L566" s="29">
        <v>7.7278</v>
      </c>
      <c r="M566" s="29" t="s">
        <v>225</v>
      </c>
    </row>
    <row r="567" ht="15.75" customHeight="1">
      <c r="A567" s="29" t="s">
        <v>787</v>
      </c>
      <c r="B567" s="29" t="s">
        <v>2575</v>
      </c>
      <c r="C567" s="29">
        <v>0.0</v>
      </c>
      <c r="D567" s="29" t="s">
        <v>60</v>
      </c>
      <c r="E567" s="29">
        <v>0.9076</v>
      </c>
      <c r="F567" s="29">
        <v>46.692</v>
      </c>
      <c r="G567" s="29">
        <v>29.2543</v>
      </c>
      <c r="H567" s="29">
        <v>0.5367</v>
      </c>
      <c r="I567" s="29">
        <v>0.6856</v>
      </c>
      <c r="J567" s="29">
        <v>0.4468</v>
      </c>
      <c r="K567" s="29">
        <v>0.2661</v>
      </c>
      <c r="L567" s="29">
        <v>7.8141</v>
      </c>
      <c r="M567" s="29" t="s">
        <v>225</v>
      </c>
    </row>
    <row r="568" ht="15.75" customHeight="1">
      <c r="A568" s="29" t="s">
        <v>46</v>
      </c>
      <c r="B568" s="29" t="s">
        <v>2578</v>
      </c>
      <c r="C568" s="29">
        <v>0.0</v>
      </c>
      <c r="D568" s="29" t="s">
        <v>60</v>
      </c>
      <c r="E568" s="29">
        <v>0.7604</v>
      </c>
      <c r="F568" s="29">
        <v>46.6816</v>
      </c>
      <c r="G568" s="29">
        <v>28.2778</v>
      </c>
      <c r="H568" s="29">
        <v>0.6857</v>
      </c>
      <c r="I568" s="29">
        <v>0.7325</v>
      </c>
      <c r="J568" s="29">
        <v>0.3284</v>
      </c>
      <c r="K568" s="29">
        <v>0.1041</v>
      </c>
      <c r="L568" s="29">
        <v>9.1669</v>
      </c>
      <c r="M568" s="29" t="s">
        <v>225</v>
      </c>
    </row>
    <row r="569" ht="15.75" customHeight="1">
      <c r="A569" s="29" t="s">
        <v>1242</v>
      </c>
      <c r="B569" s="29" t="s">
        <v>2582</v>
      </c>
      <c r="C569" s="29">
        <v>0.0</v>
      </c>
      <c r="D569" s="29" t="s">
        <v>60</v>
      </c>
      <c r="E569" s="29">
        <v>0.7338</v>
      </c>
      <c r="F569" s="29">
        <v>46.6539</v>
      </c>
      <c r="G569" s="29">
        <v>28.7274</v>
      </c>
      <c r="H569" s="29">
        <v>0.5193</v>
      </c>
      <c r="I569" s="29">
        <v>0.7104</v>
      </c>
      <c r="J569" s="29">
        <v>0.4504</v>
      </c>
      <c r="K569" s="29">
        <v>0.2044</v>
      </c>
      <c r="L569" s="29">
        <v>7.7545</v>
      </c>
      <c r="M569" s="29" t="s">
        <v>225</v>
      </c>
    </row>
    <row r="570" ht="15.75" customHeight="1">
      <c r="A570" s="29" t="s">
        <v>1345</v>
      </c>
      <c r="B570" s="29" t="s">
        <v>2586</v>
      </c>
      <c r="C570" s="29">
        <v>0.0</v>
      </c>
      <c r="D570" s="29" t="s">
        <v>60</v>
      </c>
      <c r="E570" s="29">
        <v>0.7379</v>
      </c>
      <c r="F570" s="29">
        <v>46.6504</v>
      </c>
      <c r="G570" s="29">
        <v>28.9722</v>
      </c>
      <c r="H570" s="29">
        <v>0.6468</v>
      </c>
      <c r="I570" s="29">
        <v>0.6984</v>
      </c>
      <c r="J570" s="29">
        <v>0.3422</v>
      </c>
      <c r="K570" s="29">
        <v>0.1117</v>
      </c>
      <c r="L570" s="29">
        <v>8.7472</v>
      </c>
      <c r="M570" s="29" t="s">
        <v>225</v>
      </c>
    </row>
    <row r="571" ht="15.75" customHeight="1">
      <c r="A571" s="29" t="s">
        <v>808</v>
      </c>
      <c r="B571" s="29" t="s">
        <v>2590</v>
      </c>
      <c r="C571" s="29">
        <v>0.0</v>
      </c>
      <c r="D571" s="29" t="s">
        <v>60</v>
      </c>
      <c r="E571" s="29">
        <v>0.9058</v>
      </c>
      <c r="F571" s="29">
        <v>46.6469</v>
      </c>
      <c r="G571" s="29">
        <v>29.3661</v>
      </c>
      <c r="H571" s="29">
        <v>0.5411</v>
      </c>
      <c r="I571" s="29">
        <v>0.6797</v>
      </c>
      <c r="J571" s="29">
        <v>0.4508</v>
      </c>
      <c r="K571" s="29">
        <v>0.2716</v>
      </c>
      <c r="L571" s="29">
        <v>7.781</v>
      </c>
      <c r="M571" s="29" t="s">
        <v>225</v>
      </c>
    </row>
    <row r="572" ht="15.75" customHeight="1">
      <c r="A572" s="29" t="s">
        <v>1908</v>
      </c>
      <c r="B572" s="29" t="s">
        <v>2594</v>
      </c>
      <c r="C572" s="29">
        <v>0.0</v>
      </c>
      <c r="D572" s="29" t="s">
        <v>60</v>
      </c>
      <c r="E572" s="29">
        <v>0.9071</v>
      </c>
      <c r="F572" s="29">
        <v>46.6469</v>
      </c>
      <c r="G572" s="29">
        <v>29.1509</v>
      </c>
      <c r="H572" s="29">
        <v>0.5328</v>
      </c>
      <c r="I572" s="29">
        <v>0.6898</v>
      </c>
      <c r="J572" s="29">
        <v>0.4508</v>
      </c>
      <c r="K572" s="29">
        <v>0.2712</v>
      </c>
      <c r="L572" s="29">
        <v>7.7729</v>
      </c>
      <c r="M572" s="29" t="s">
        <v>225</v>
      </c>
    </row>
    <row r="573" ht="15.75" customHeight="1">
      <c r="A573" s="29" t="s">
        <v>1370</v>
      </c>
      <c r="B573" s="29" t="s">
        <v>2597</v>
      </c>
      <c r="C573" s="29">
        <v>0.0</v>
      </c>
      <c r="D573" s="29" t="s">
        <v>60</v>
      </c>
      <c r="E573" s="29">
        <v>0.7463</v>
      </c>
      <c r="F573" s="29">
        <v>46.6365</v>
      </c>
      <c r="G573" s="29">
        <v>28.7326</v>
      </c>
      <c r="H573" s="29">
        <v>0.6445</v>
      </c>
      <c r="I573" s="29">
        <v>0.7099</v>
      </c>
      <c r="J573" s="29">
        <v>0.3552</v>
      </c>
      <c r="K573" s="29">
        <v>0.1263</v>
      </c>
      <c r="L573" s="29">
        <v>8.6587</v>
      </c>
      <c r="M573" s="29" t="s">
        <v>225</v>
      </c>
    </row>
    <row r="574" ht="15.75" customHeight="1">
      <c r="A574" s="29" t="s">
        <v>518</v>
      </c>
      <c r="B574" s="29" t="s">
        <v>2601</v>
      </c>
      <c r="C574" s="29">
        <v>0.0</v>
      </c>
      <c r="D574" s="29" t="s">
        <v>60</v>
      </c>
      <c r="E574" s="29">
        <v>0.8457</v>
      </c>
      <c r="F574" s="29">
        <v>46.6192</v>
      </c>
      <c r="G574" s="29">
        <v>30.2161</v>
      </c>
      <c r="H574" s="29">
        <v>0.4584</v>
      </c>
      <c r="I574" s="29">
        <v>0.6416</v>
      </c>
      <c r="J574" s="29">
        <v>0.5186</v>
      </c>
      <c r="K574" s="29">
        <v>0.2717</v>
      </c>
      <c r="L574" s="29">
        <v>7.6853</v>
      </c>
      <c r="M574" s="29" t="s">
        <v>225</v>
      </c>
    </row>
    <row r="575" ht="15.75" customHeight="1">
      <c r="A575" s="29" t="s">
        <v>756</v>
      </c>
      <c r="B575" s="29" t="s">
        <v>2604</v>
      </c>
      <c r="C575" s="29">
        <v>0.0</v>
      </c>
      <c r="D575" s="29" t="s">
        <v>60</v>
      </c>
      <c r="E575" s="29">
        <v>0.8331</v>
      </c>
      <c r="F575" s="29">
        <v>46.6123</v>
      </c>
      <c r="G575" s="29">
        <v>30.1677</v>
      </c>
      <c r="H575" s="29">
        <v>0.4209</v>
      </c>
      <c r="I575" s="29">
        <v>0.6436</v>
      </c>
      <c r="J575" s="29">
        <v>0.5285</v>
      </c>
      <c r="K575" s="29">
        <v>0.2952</v>
      </c>
      <c r="L575" s="29">
        <v>7.5209</v>
      </c>
      <c r="M575" s="29" t="s">
        <v>225</v>
      </c>
    </row>
    <row r="576" ht="15.75" customHeight="1">
      <c r="A576" s="29" t="s">
        <v>1086</v>
      </c>
      <c r="B576" s="29" t="s">
        <v>2606</v>
      </c>
      <c r="C576" s="29">
        <v>0.0</v>
      </c>
      <c r="D576" s="29" t="s">
        <v>60</v>
      </c>
      <c r="E576" s="29">
        <v>0.5179</v>
      </c>
      <c r="F576" s="29">
        <v>46.5881</v>
      </c>
      <c r="G576" s="29">
        <v>28.9482</v>
      </c>
      <c r="H576" s="29">
        <v>0.6007</v>
      </c>
      <c r="I576" s="29">
        <v>0.6973</v>
      </c>
      <c r="J576" s="29">
        <v>0.4111</v>
      </c>
      <c r="K576" s="29">
        <v>0.1309</v>
      </c>
      <c r="L576" s="29">
        <v>8.3615</v>
      </c>
      <c r="M576" s="29" t="s">
        <v>225</v>
      </c>
    </row>
    <row r="577" ht="15.75" customHeight="1">
      <c r="A577" s="29" t="s">
        <v>866</v>
      </c>
      <c r="B577" s="29" t="s">
        <v>2610</v>
      </c>
      <c r="C577" s="29">
        <v>0.0</v>
      </c>
      <c r="D577" s="29" t="s">
        <v>60</v>
      </c>
      <c r="E577" s="29">
        <v>0.8257</v>
      </c>
      <c r="F577" s="29">
        <v>46.5777</v>
      </c>
      <c r="G577" s="29">
        <v>30.6646</v>
      </c>
      <c r="H577" s="29">
        <v>0.467</v>
      </c>
      <c r="I577" s="29">
        <v>0.6225</v>
      </c>
      <c r="J577" s="29">
        <v>0.5443</v>
      </c>
      <c r="K577" s="29">
        <v>0.2975</v>
      </c>
      <c r="L577" s="29">
        <v>7.4195</v>
      </c>
      <c r="M577" s="29" t="s">
        <v>225</v>
      </c>
    </row>
    <row r="578" ht="15.75" customHeight="1">
      <c r="A578" s="29" t="s">
        <v>321</v>
      </c>
      <c r="B578" s="29" t="s">
        <v>1025</v>
      </c>
      <c r="C578" s="29">
        <v>0.0</v>
      </c>
      <c r="D578" s="29" t="s">
        <v>60</v>
      </c>
      <c r="E578" s="29">
        <v>0.5242</v>
      </c>
      <c r="F578" s="29">
        <v>46.5742</v>
      </c>
      <c r="G578" s="29">
        <v>27.7273</v>
      </c>
      <c r="H578" s="29">
        <v>0.4643</v>
      </c>
      <c r="I578" s="29">
        <v>0.7613</v>
      </c>
      <c r="J578" s="29">
        <v>0.3816</v>
      </c>
      <c r="K578" s="29">
        <v>0.0991</v>
      </c>
      <c r="L578" s="29">
        <v>8.9598</v>
      </c>
      <c r="M578" s="29" t="s">
        <v>225</v>
      </c>
    </row>
    <row r="579" ht="15.75" customHeight="1">
      <c r="A579" s="29" t="s">
        <v>695</v>
      </c>
      <c r="B579" s="29" t="s">
        <v>2616</v>
      </c>
      <c r="C579" s="29">
        <v>0.0</v>
      </c>
      <c r="D579" s="29" t="s">
        <v>60</v>
      </c>
      <c r="E579" s="29">
        <v>0.9057</v>
      </c>
      <c r="F579" s="29">
        <v>46.5292</v>
      </c>
      <c r="G579" s="29">
        <v>29.3375</v>
      </c>
      <c r="H579" s="29">
        <v>0.5435</v>
      </c>
      <c r="I579" s="29">
        <v>0.6793</v>
      </c>
      <c r="J579" s="29">
        <v>0.4491</v>
      </c>
      <c r="K579" s="29">
        <v>0.2689</v>
      </c>
      <c r="L579" s="29">
        <v>7.8011</v>
      </c>
      <c r="M579" s="29" t="s">
        <v>225</v>
      </c>
    </row>
    <row r="580" ht="15.75" customHeight="1">
      <c r="A580" s="29" t="s">
        <v>1336</v>
      </c>
      <c r="B580" s="29" t="s">
        <v>2620</v>
      </c>
      <c r="C580" s="29">
        <v>0.0</v>
      </c>
      <c r="D580" s="29" t="s">
        <v>60</v>
      </c>
      <c r="E580" s="29">
        <v>0.7249</v>
      </c>
      <c r="F580" s="29">
        <v>46.5153</v>
      </c>
      <c r="G580" s="29">
        <v>30.059</v>
      </c>
      <c r="H580" s="29">
        <v>0.5189</v>
      </c>
      <c r="I580" s="29">
        <v>0.6469</v>
      </c>
      <c r="J580" s="29">
        <v>0.459</v>
      </c>
      <c r="K580" s="29">
        <v>0.2172</v>
      </c>
      <c r="L580" s="29">
        <v>7.6841</v>
      </c>
      <c r="M580" s="29" t="s">
        <v>225</v>
      </c>
    </row>
    <row r="581" ht="15.75" customHeight="1">
      <c r="A581" s="29" t="s">
        <v>660</v>
      </c>
      <c r="B581" s="29" t="s">
        <v>2623</v>
      </c>
      <c r="C581" s="29">
        <v>0.0</v>
      </c>
      <c r="D581" s="29" t="s">
        <v>60</v>
      </c>
      <c r="E581" s="29">
        <v>0.9066</v>
      </c>
      <c r="F581" s="29">
        <v>46.5119</v>
      </c>
      <c r="G581" s="29">
        <v>29.1795</v>
      </c>
      <c r="H581" s="29">
        <v>0.5375</v>
      </c>
      <c r="I581" s="29">
        <v>0.6865</v>
      </c>
      <c r="J581" s="29">
        <v>0.4527</v>
      </c>
      <c r="K581" s="29">
        <v>0.2729</v>
      </c>
      <c r="L581" s="29">
        <v>7.7681</v>
      </c>
      <c r="M581" s="29" t="s">
        <v>225</v>
      </c>
    </row>
    <row r="582" ht="15.75" customHeight="1">
      <c r="A582" s="29" t="s">
        <v>741</v>
      </c>
      <c r="B582" s="29" t="s">
        <v>2626</v>
      </c>
      <c r="C582" s="29">
        <v>0.0</v>
      </c>
      <c r="D582" s="29" t="s">
        <v>60</v>
      </c>
      <c r="E582" s="29">
        <v>0.9056</v>
      </c>
      <c r="F582" s="29">
        <v>46.5084</v>
      </c>
      <c r="G582" s="29">
        <v>29.0046</v>
      </c>
      <c r="H582" s="29">
        <v>0.5146</v>
      </c>
      <c r="I582" s="29">
        <v>0.6947</v>
      </c>
      <c r="J582" s="29">
        <v>0.4178</v>
      </c>
      <c r="K582" s="29">
        <v>0.2408</v>
      </c>
      <c r="L582" s="29">
        <v>8.2668</v>
      </c>
      <c r="M582" s="29" t="s">
        <v>225</v>
      </c>
    </row>
    <row r="583" ht="15.75" customHeight="1">
      <c r="A583" s="29" t="s">
        <v>402</v>
      </c>
      <c r="B583" s="29" t="s">
        <v>2629</v>
      </c>
      <c r="C583" s="29">
        <v>0.0</v>
      </c>
      <c r="D583" s="29" t="s">
        <v>60</v>
      </c>
      <c r="E583" s="29">
        <v>0.6013</v>
      </c>
      <c r="F583" s="29">
        <v>46.5015</v>
      </c>
      <c r="G583" s="29">
        <v>27.058</v>
      </c>
      <c r="H583" s="29">
        <v>0.6189</v>
      </c>
      <c r="I583" s="29">
        <v>0.7979</v>
      </c>
      <c r="J583" s="29">
        <v>0.4212</v>
      </c>
      <c r="K583" s="29">
        <v>0.0935</v>
      </c>
      <c r="L583" s="29">
        <v>8.2924</v>
      </c>
      <c r="M583" s="29" t="s">
        <v>225</v>
      </c>
    </row>
    <row r="584" ht="15.75" customHeight="1">
      <c r="A584" s="29" t="s">
        <v>883</v>
      </c>
      <c r="B584" s="29" t="s">
        <v>2632</v>
      </c>
      <c r="C584" s="29">
        <v>0.0</v>
      </c>
      <c r="D584" s="29" t="s">
        <v>60</v>
      </c>
      <c r="E584" s="29">
        <v>0.7022</v>
      </c>
      <c r="F584" s="29">
        <v>46.5015</v>
      </c>
      <c r="G584" s="29">
        <v>30.4491</v>
      </c>
      <c r="H584" s="29">
        <v>0.7185</v>
      </c>
      <c r="I584" s="29">
        <v>0.6303</v>
      </c>
      <c r="J584" s="29">
        <v>0.5804</v>
      </c>
      <c r="K584" s="29">
        <v>0.2644</v>
      </c>
      <c r="L584" s="29">
        <v>6.9964</v>
      </c>
      <c r="M584" s="29" t="s">
        <v>225</v>
      </c>
    </row>
    <row r="585" ht="15.75" customHeight="1">
      <c r="A585" s="29" t="s">
        <v>1180</v>
      </c>
      <c r="B585" s="29" t="s">
        <v>2636</v>
      </c>
      <c r="C585" s="29">
        <v>0.0</v>
      </c>
      <c r="D585" s="29" t="s">
        <v>60</v>
      </c>
      <c r="E585" s="29">
        <v>0.7317</v>
      </c>
      <c r="F585" s="29">
        <v>46.4911</v>
      </c>
      <c r="G585" s="29">
        <v>30.2638</v>
      </c>
      <c r="H585" s="29">
        <v>0.5335</v>
      </c>
      <c r="I585" s="29">
        <v>0.6373</v>
      </c>
      <c r="J585" s="29">
        <v>0.4506</v>
      </c>
      <c r="K585" s="29">
        <v>0.2054</v>
      </c>
      <c r="L585" s="29">
        <v>7.7968</v>
      </c>
      <c r="M585" s="29" t="s">
        <v>225</v>
      </c>
    </row>
    <row r="586" ht="15.75" customHeight="1">
      <c r="A586" s="29" t="s">
        <v>28</v>
      </c>
      <c r="B586" s="29" t="s">
        <v>2639</v>
      </c>
      <c r="C586" s="29">
        <v>0.0</v>
      </c>
      <c r="D586" s="29" t="s">
        <v>60</v>
      </c>
      <c r="E586" s="29">
        <v>0.762</v>
      </c>
      <c r="F586" s="29">
        <v>46.4842</v>
      </c>
      <c r="G586" s="29">
        <v>28.8667</v>
      </c>
      <c r="H586" s="29">
        <v>0.6969</v>
      </c>
      <c r="I586" s="29">
        <v>0.7006</v>
      </c>
      <c r="J586" s="29">
        <v>0.372</v>
      </c>
      <c r="K586" s="29">
        <v>0.1221</v>
      </c>
      <c r="L586" s="29">
        <v>8.785</v>
      </c>
      <c r="M586" s="29" t="s">
        <v>225</v>
      </c>
    </row>
    <row r="587" ht="15.75" customHeight="1">
      <c r="A587" s="29" t="s">
        <v>1242</v>
      </c>
      <c r="B587" s="29" t="s">
        <v>2642</v>
      </c>
      <c r="C587" s="29">
        <v>0.0</v>
      </c>
      <c r="D587" s="29" t="s">
        <v>60</v>
      </c>
      <c r="E587" s="29">
        <v>0.7392</v>
      </c>
      <c r="F587" s="29">
        <v>46.4807</v>
      </c>
      <c r="G587" s="29">
        <v>28.6797</v>
      </c>
      <c r="H587" s="29">
        <v>0.6494</v>
      </c>
      <c r="I587" s="29">
        <v>0.7101</v>
      </c>
      <c r="J587" s="29">
        <v>0.346</v>
      </c>
      <c r="K587" s="29">
        <v>0.1159</v>
      </c>
      <c r="L587" s="29">
        <v>8.7212</v>
      </c>
      <c r="M587" s="29" t="s">
        <v>225</v>
      </c>
    </row>
    <row r="588" ht="15.75" customHeight="1">
      <c r="A588" s="29" t="s">
        <v>388</v>
      </c>
      <c r="B588" s="29" t="s">
        <v>2645</v>
      </c>
      <c r="C588" s="29">
        <v>0.0</v>
      </c>
      <c r="D588" s="29" t="s">
        <v>60</v>
      </c>
      <c r="E588" s="29">
        <v>0.5078</v>
      </c>
      <c r="F588" s="29">
        <v>46.4807</v>
      </c>
      <c r="G588" s="29">
        <v>31.3819</v>
      </c>
      <c r="H588" s="29">
        <v>0.7463</v>
      </c>
      <c r="I588" s="29">
        <v>0.5931</v>
      </c>
      <c r="J588" s="29">
        <v>0.4727</v>
      </c>
      <c r="K588" s="29">
        <v>0.1812</v>
      </c>
      <c r="L588" s="29">
        <v>7.42</v>
      </c>
      <c r="M588" s="29" t="s">
        <v>225</v>
      </c>
    </row>
    <row r="589" ht="15.75" customHeight="1">
      <c r="A589" s="29" t="s">
        <v>341</v>
      </c>
      <c r="B589" s="29" t="s">
        <v>2649</v>
      </c>
      <c r="C589" s="29">
        <v>0.0</v>
      </c>
      <c r="D589" s="29" t="s">
        <v>60</v>
      </c>
      <c r="E589" s="29">
        <v>0.8889</v>
      </c>
      <c r="F589" s="29">
        <v>46.4565</v>
      </c>
      <c r="G589" s="29">
        <v>28.0473</v>
      </c>
      <c r="H589" s="29">
        <v>0.7232</v>
      </c>
      <c r="I589" s="29">
        <v>0.7421</v>
      </c>
      <c r="J589" s="29">
        <v>0.4553</v>
      </c>
      <c r="K589" s="29">
        <v>0.1935</v>
      </c>
      <c r="L589" s="29">
        <v>8.193</v>
      </c>
      <c r="M589" s="29" t="s">
        <v>225</v>
      </c>
    </row>
    <row r="590" ht="15.75" customHeight="1">
      <c r="A590" s="29" t="s">
        <v>341</v>
      </c>
      <c r="B590" s="29" t="s">
        <v>773</v>
      </c>
      <c r="C590" s="29">
        <v>0.0</v>
      </c>
      <c r="D590" s="29" t="s">
        <v>60</v>
      </c>
      <c r="E590" s="29">
        <v>0.5109</v>
      </c>
      <c r="F590" s="29">
        <v>46.453</v>
      </c>
      <c r="G590" s="29">
        <v>27.4456</v>
      </c>
      <c r="H590" s="29">
        <v>0.4166</v>
      </c>
      <c r="I590" s="29">
        <v>0.775</v>
      </c>
      <c r="J590" s="29">
        <v>0.3922</v>
      </c>
      <c r="K590" s="29">
        <v>0.1146</v>
      </c>
      <c r="L590" s="29">
        <v>8.8698</v>
      </c>
      <c r="M590" s="29" t="s">
        <v>225</v>
      </c>
    </row>
    <row r="591" ht="15.75" customHeight="1">
      <c r="A591" s="29" t="s">
        <v>1199</v>
      </c>
      <c r="B591" s="29" t="s">
        <v>2654</v>
      </c>
      <c r="C591" s="29">
        <v>0.0</v>
      </c>
      <c r="D591" s="29" t="s">
        <v>60</v>
      </c>
      <c r="E591" s="29">
        <v>0.3115</v>
      </c>
      <c r="F591" s="29">
        <v>46.4495</v>
      </c>
      <c r="G591" s="29">
        <v>31.9547</v>
      </c>
      <c r="H591" s="29">
        <v>0.5033</v>
      </c>
      <c r="I591" s="29">
        <v>0.5716</v>
      </c>
      <c r="J591" s="29">
        <v>0.5147</v>
      </c>
      <c r="K591" s="29">
        <v>0.0925</v>
      </c>
      <c r="L591" s="29">
        <v>7.7908</v>
      </c>
      <c r="M591" s="29" t="s">
        <v>225</v>
      </c>
    </row>
    <row r="592" ht="15.75" customHeight="1">
      <c r="A592" s="29" t="s">
        <v>714</v>
      </c>
      <c r="B592" s="29" t="s">
        <v>2657</v>
      </c>
      <c r="C592" s="29">
        <v>0.0</v>
      </c>
      <c r="D592" s="29" t="s">
        <v>60</v>
      </c>
      <c r="E592" s="29">
        <v>0.907</v>
      </c>
      <c r="F592" s="29">
        <v>46.4426</v>
      </c>
      <c r="G592" s="29">
        <v>29.0046</v>
      </c>
      <c r="H592" s="29">
        <v>0.5156</v>
      </c>
      <c r="I592" s="29">
        <v>0.6937</v>
      </c>
      <c r="J592" s="29">
        <v>0.4466</v>
      </c>
      <c r="K592" s="29">
        <v>0.2615</v>
      </c>
      <c r="L592" s="29">
        <v>7.8392</v>
      </c>
      <c r="M592" s="29" t="s">
        <v>225</v>
      </c>
    </row>
    <row r="593" ht="15.75" customHeight="1">
      <c r="A593" s="29" t="s">
        <v>1438</v>
      </c>
      <c r="B593" s="29" t="s">
        <v>2660</v>
      </c>
      <c r="C593" s="29">
        <v>0.0</v>
      </c>
      <c r="D593" s="29" t="s">
        <v>60</v>
      </c>
      <c r="E593" s="29">
        <v>0.7444</v>
      </c>
      <c r="F593" s="29">
        <v>46.4391</v>
      </c>
      <c r="G593" s="29">
        <v>28.9294</v>
      </c>
      <c r="H593" s="29">
        <v>0.6507</v>
      </c>
      <c r="I593" s="29">
        <v>0.6967</v>
      </c>
      <c r="J593" s="29">
        <v>0.3426</v>
      </c>
      <c r="K593" s="29">
        <v>0.1145</v>
      </c>
      <c r="L593" s="29">
        <v>8.7474</v>
      </c>
      <c r="M593" s="29" t="s">
        <v>225</v>
      </c>
    </row>
    <row r="594" ht="15.75" customHeight="1">
      <c r="A594" s="29" t="s">
        <v>2300</v>
      </c>
      <c r="B594" s="29" t="s">
        <v>2664</v>
      </c>
      <c r="C594" s="29">
        <v>0.0</v>
      </c>
      <c r="D594" s="29" t="s">
        <v>60</v>
      </c>
      <c r="E594" s="29">
        <v>0.8946</v>
      </c>
      <c r="F594" s="29">
        <v>46.4287</v>
      </c>
      <c r="G594" s="29">
        <v>28.025</v>
      </c>
      <c r="H594" s="29">
        <v>0.7257</v>
      </c>
      <c r="I594" s="29">
        <v>0.7429</v>
      </c>
      <c r="J594" s="29">
        <v>0.4484</v>
      </c>
      <c r="K594" s="29">
        <v>0.1941</v>
      </c>
      <c r="L594" s="29">
        <v>8.2484</v>
      </c>
      <c r="M594" s="29" t="s">
        <v>225</v>
      </c>
    </row>
    <row r="595" ht="15.75" customHeight="1">
      <c r="A595" s="29" t="s">
        <v>218</v>
      </c>
      <c r="B595" s="29" t="s">
        <v>2667</v>
      </c>
      <c r="C595" s="29">
        <v>0.0</v>
      </c>
      <c r="D595" s="29" t="s">
        <v>60</v>
      </c>
      <c r="E595" s="29">
        <v>0.9038</v>
      </c>
      <c r="F595" s="29">
        <v>46.4287</v>
      </c>
      <c r="G595" s="29">
        <v>28.4551</v>
      </c>
      <c r="H595" s="29">
        <v>0.7276</v>
      </c>
      <c r="I595" s="29">
        <v>0.7206</v>
      </c>
      <c r="J595" s="29">
        <v>0.425</v>
      </c>
      <c r="K595" s="29">
        <v>0.1935</v>
      </c>
      <c r="L595" s="29">
        <v>8.4123</v>
      </c>
      <c r="M595" s="29" t="s">
        <v>225</v>
      </c>
    </row>
    <row r="596" ht="15.75" customHeight="1">
      <c r="A596" s="29" t="s">
        <v>607</v>
      </c>
      <c r="B596" s="29" t="s">
        <v>2672</v>
      </c>
      <c r="C596" s="29">
        <v>0.0</v>
      </c>
      <c r="D596" s="29" t="s">
        <v>60</v>
      </c>
      <c r="E596" s="29">
        <v>0.7192</v>
      </c>
      <c r="F596" s="29">
        <v>46.4218</v>
      </c>
      <c r="G596" s="29">
        <v>30.611</v>
      </c>
      <c r="H596" s="29">
        <v>0.5633</v>
      </c>
      <c r="I596" s="29">
        <v>0.6226</v>
      </c>
      <c r="J596" s="29">
        <v>0.5324</v>
      </c>
      <c r="K596" s="29">
        <v>0.2288</v>
      </c>
      <c r="L596" s="29">
        <v>7.2188</v>
      </c>
      <c r="M596" s="29" t="s">
        <v>225</v>
      </c>
    </row>
    <row r="597" ht="15.75" customHeight="1">
      <c r="A597" s="29" t="s">
        <v>1012</v>
      </c>
      <c r="B597" s="29" t="s">
        <v>2676</v>
      </c>
      <c r="C597" s="29">
        <v>0.0</v>
      </c>
      <c r="D597" s="29" t="s">
        <v>60</v>
      </c>
      <c r="E597" s="29">
        <v>0.9024</v>
      </c>
      <c r="F597" s="29">
        <v>46.3976</v>
      </c>
      <c r="G597" s="29">
        <v>29.0189</v>
      </c>
      <c r="H597" s="29">
        <v>0.5037</v>
      </c>
      <c r="I597" s="29">
        <v>0.6924</v>
      </c>
      <c r="J597" s="29">
        <v>0.4309</v>
      </c>
      <c r="K597" s="29">
        <v>0.2594</v>
      </c>
      <c r="L597" s="29">
        <v>8.1208</v>
      </c>
      <c r="M597" s="29" t="s">
        <v>225</v>
      </c>
    </row>
    <row r="598" ht="15.75" customHeight="1">
      <c r="A598" s="29" t="s">
        <v>321</v>
      </c>
      <c r="B598" s="29" t="s">
        <v>2679</v>
      </c>
      <c r="C598" s="29">
        <v>0.0</v>
      </c>
      <c r="D598" s="29" t="s">
        <v>60</v>
      </c>
      <c r="E598" s="29">
        <v>0.9019</v>
      </c>
      <c r="F598" s="29">
        <v>46.3976</v>
      </c>
      <c r="G598" s="29">
        <v>28.8082</v>
      </c>
      <c r="H598" s="29">
        <v>0.7341</v>
      </c>
      <c r="I598" s="29">
        <v>0.7025</v>
      </c>
      <c r="J598" s="29">
        <v>0.4037</v>
      </c>
      <c r="K598" s="29">
        <v>0.166</v>
      </c>
      <c r="L598" s="29">
        <v>8.6164</v>
      </c>
      <c r="M598" s="29" t="s">
        <v>225</v>
      </c>
    </row>
    <row r="599" ht="15.75" customHeight="1">
      <c r="A599" s="29" t="s">
        <v>790</v>
      </c>
      <c r="B599" s="29" t="s">
        <v>2682</v>
      </c>
      <c r="C599" s="29">
        <v>0.0</v>
      </c>
      <c r="D599" s="29" t="s">
        <v>60</v>
      </c>
      <c r="E599" s="29">
        <v>0.9066</v>
      </c>
      <c r="F599" s="29">
        <v>46.3941</v>
      </c>
      <c r="G599" s="29">
        <v>29.4695</v>
      </c>
      <c r="H599" s="29">
        <v>0.5381</v>
      </c>
      <c r="I599" s="29">
        <v>0.6713</v>
      </c>
      <c r="J599" s="29">
        <v>0.4547</v>
      </c>
      <c r="K599" s="29">
        <v>0.2806</v>
      </c>
      <c r="L599" s="29">
        <v>7.7163</v>
      </c>
      <c r="M599" s="29" t="s">
        <v>225</v>
      </c>
    </row>
    <row r="600" ht="15.75" customHeight="1">
      <c r="A600" s="29" t="s">
        <v>397</v>
      </c>
      <c r="B600" s="29" t="s">
        <v>2686</v>
      </c>
      <c r="C600" s="29">
        <v>0.0</v>
      </c>
      <c r="D600" s="29" t="s">
        <v>60</v>
      </c>
      <c r="E600" s="29">
        <v>0.8463</v>
      </c>
      <c r="F600" s="29">
        <v>46.3837</v>
      </c>
      <c r="G600" s="29">
        <v>29.5729</v>
      </c>
      <c r="H600" s="29">
        <v>0.4137</v>
      </c>
      <c r="I600" s="29">
        <v>0.6665</v>
      </c>
      <c r="J600" s="29">
        <v>0.5193</v>
      </c>
      <c r="K600" s="29">
        <v>0.2784</v>
      </c>
      <c r="L600" s="29">
        <v>7.6593</v>
      </c>
      <c r="M600" s="29" t="s">
        <v>225</v>
      </c>
    </row>
    <row r="601" ht="15.75" customHeight="1">
      <c r="A601" s="29" t="s">
        <v>752</v>
      </c>
      <c r="B601" s="29" t="s">
        <v>2689</v>
      </c>
      <c r="C601" s="29">
        <v>0.0</v>
      </c>
      <c r="D601" s="29" t="s">
        <v>60</v>
      </c>
      <c r="E601" s="29">
        <v>0.9104</v>
      </c>
      <c r="F601" s="29">
        <v>46.3837</v>
      </c>
      <c r="G601" s="29">
        <v>29.3699</v>
      </c>
      <c r="H601" s="29">
        <v>0.5491</v>
      </c>
      <c r="I601" s="29">
        <v>0.6757</v>
      </c>
      <c r="J601" s="29">
        <v>0.4557</v>
      </c>
      <c r="K601" s="29">
        <v>0.281</v>
      </c>
      <c r="L601" s="29">
        <v>7.7214</v>
      </c>
      <c r="M601" s="29" t="s">
        <v>225</v>
      </c>
    </row>
    <row r="602" ht="15.75" customHeight="1">
      <c r="A602" s="29" t="s">
        <v>664</v>
      </c>
      <c r="B602" s="29" t="s">
        <v>2692</v>
      </c>
      <c r="C602" s="29">
        <v>0.0</v>
      </c>
      <c r="D602" s="29" t="s">
        <v>60</v>
      </c>
      <c r="E602" s="29">
        <v>0.9062</v>
      </c>
      <c r="F602" s="29">
        <v>46.3595</v>
      </c>
      <c r="G602" s="29">
        <v>29.2543</v>
      </c>
      <c r="H602" s="29">
        <v>0.5166</v>
      </c>
      <c r="I602" s="29">
        <v>0.6807</v>
      </c>
      <c r="J602" s="29">
        <v>0.4494</v>
      </c>
      <c r="K602" s="29">
        <v>0.2684</v>
      </c>
      <c r="L602" s="29">
        <v>7.7769</v>
      </c>
      <c r="M602" s="29" t="s">
        <v>225</v>
      </c>
    </row>
    <row r="603" ht="15.75" customHeight="1">
      <c r="A603" s="29" t="s">
        <v>2449</v>
      </c>
      <c r="B603" s="29" t="s">
        <v>2696</v>
      </c>
      <c r="C603" s="29">
        <v>0.0</v>
      </c>
      <c r="D603" s="29" t="s">
        <v>60</v>
      </c>
      <c r="E603" s="29">
        <v>0.5772</v>
      </c>
      <c r="F603" s="29">
        <v>46.356</v>
      </c>
      <c r="G603" s="29">
        <v>27.0294</v>
      </c>
      <c r="H603" s="29">
        <v>0.6733</v>
      </c>
      <c r="I603" s="29">
        <v>0.7973</v>
      </c>
      <c r="J603" s="29">
        <v>0.4168</v>
      </c>
      <c r="K603" s="29">
        <v>0.0912</v>
      </c>
      <c r="L603" s="29">
        <v>8.2969</v>
      </c>
      <c r="M603" s="29" t="s">
        <v>225</v>
      </c>
    </row>
    <row r="604" ht="15.75" customHeight="1">
      <c r="A604" s="29" t="s">
        <v>1908</v>
      </c>
      <c r="B604" s="29" t="s">
        <v>2700</v>
      </c>
      <c r="C604" s="29">
        <v>0.0</v>
      </c>
      <c r="D604" s="29" t="s">
        <v>60</v>
      </c>
      <c r="E604" s="29">
        <v>0.3679</v>
      </c>
      <c r="F604" s="29">
        <v>46.3456</v>
      </c>
      <c r="G604" s="29">
        <v>33.0384</v>
      </c>
      <c r="H604" s="29">
        <v>0.6065</v>
      </c>
      <c r="I604" s="29">
        <v>0.5336</v>
      </c>
      <c r="J604" s="29">
        <v>0.5464</v>
      </c>
      <c r="K604" s="29">
        <v>0.0988</v>
      </c>
      <c r="L604" s="29">
        <v>8.1526</v>
      </c>
      <c r="M604" s="29" t="s">
        <v>225</v>
      </c>
    </row>
    <row r="605" ht="15.75" customHeight="1">
      <c r="A605" s="29" t="s">
        <v>2315</v>
      </c>
      <c r="B605" s="29" t="s">
        <v>2703</v>
      </c>
      <c r="C605" s="29">
        <v>0.0</v>
      </c>
      <c r="D605" s="29" t="s">
        <v>60</v>
      </c>
      <c r="E605" s="29">
        <v>0.6767</v>
      </c>
      <c r="F605" s="29">
        <v>46.3387</v>
      </c>
      <c r="G605" s="29">
        <v>26.9689</v>
      </c>
      <c r="H605" s="29">
        <v>0.6759</v>
      </c>
      <c r="I605" s="29">
        <v>0.8006</v>
      </c>
      <c r="J605" s="29">
        <v>0.4281</v>
      </c>
      <c r="K605" s="29">
        <v>0.1025</v>
      </c>
      <c r="L605" s="29">
        <v>8.2472</v>
      </c>
      <c r="M605" s="29" t="s">
        <v>225</v>
      </c>
    </row>
    <row r="606" ht="15.75" customHeight="1">
      <c r="A606" s="29" t="s">
        <v>1143</v>
      </c>
      <c r="B606" s="29" t="s">
        <v>2706</v>
      </c>
      <c r="C606" s="29">
        <v>0.0</v>
      </c>
      <c r="D606" s="29" t="s">
        <v>60</v>
      </c>
      <c r="E606" s="29">
        <v>0.9065</v>
      </c>
      <c r="F606" s="29">
        <v>46.3387</v>
      </c>
      <c r="G606" s="29">
        <v>28.8789</v>
      </c>
      <c r="H606" s="29">
        <v>0.502</v>
      </c>
      <c r="I606" s="29">
        <v>0.6982</v>
      </c>
      <c r="J606" s="29">
        <v>0.4317</v>
      </c>
      <c r="K606" s="29">
        <v>0.2592</v>
      </c>
      <c r="L606" s="29">
        <v>8.1217</v>
      </c>
      <c r="M606" s="29" t="s">
        <v>225</v>
      </c>
    </row>
    <row r="607" ht="15.75" customHeight="1">
      <c r="A607" s="29" t="s">
        <v>275</v>
      </c>
      <c r="B607" s="29" t="s">
        <v>2710</v>
      </c>
      <c r="C607" s="29">
        <v>0.0</v>
      </c>
      <c r="D607" s="29" t="s">
        <v>60</v>
      </c>
      <c r="E607" s="29">
        <v>0.9007</v>
      </c>
      <c r="F607" s="29">
        <v>46.3318</v>
      </c>
      <c r="G607" s="29">
        <v>28.9687</v>
      </c>
      <c r="H607" s="29">
        <v>0.7331</v>
      </c>
      <c r="I607" s="29">
        <v>0.6938</v>
      </c>
      <c r="J607" s="29">
        <v>0.4053</v>
      </c>
      <c r="K607" s="29">
        <v>0.166</v>
      </c>
      <c r="L607" s="29">
        <v>8.6118</v>
      </c>
      <c r="M607" s="29" t="s">
        <v>225</v>
      </c>
    </row>
    <row r="608" ht="15.75" customHeight="1">
      <c r="A608" s="29" t="s">
        <v>1191</v>
      </c>
      <c r="B608" s="29" t="s">
        <v>2713</v>
      </c>
      <c r="C608" s="29">
        <v>0.0</v>
      </c>
      <c r="D608" s="29" t="s">
        <v>60</v>
      </c>
      <c r="E608" s="29">
        <v>0.744</v>
      </c>
      <c r="F608" s="29">
        <v>46.3249</v>
      </c>
      <c r="G608" s="29">
        <v>28.3349</v>
      </c>
      <c r="H608" s="29">
        <v>0.6531</v>
      </c>
      <c r="I608" s="29">
        <v>0.725</v>
      </c>
      <c r="J608" s="29">
        <v>0.3494</v>
      </c>
      <c r="K608" s="29">
        <v>0.1173</v>
      </c>
      <c r="L608" s="29">
        <v>8.7103</v>
      </c>
      <c r="M608" s="29" t="s">
        <v>225</v>
      </c>
    </row>
    <row r="609" ht="15.75" customHeight="1">
      <c r="A609" s="29" t="s">
        <v>208</v>
      </c>
      <c r="B609" s="29" t="s">
        <v>2717</v>
      </c>
      <c r="C609" s="29">
        <v>0.0</v>
      </c>
      <c r="D609" s="29" t="s">
        <v>60</v>
      </c>
      <c r="E609" s="29">
        <v>0.9033</v>
      </c>
      <c r="F609" s="29">
        <v>46.3179</v>
      </c>
      <c r="G609" s="29">
        <v>28.0675</v>
      </c>
      <c r="H609" s="29">
        <v>0.7339</v>
      </c>
      <c r="I609" s="29">
        <v>0.7388</v>
      </c>
      <c r="J609" s="29">
        <v>0.4022</v>
      </c>
      <c r="K609" s="29">
        <v>0.1601</v>
      </c>
      <c r="L609" s="29">
        <v>8.6449</v>
      </c>
      <c r="M609" s="29" t="s">
        <v>225</v>
      </c>
    </row>
    <row r="610" ht="15.75" customHeight="1">
      <c r="A610" s="29" t="s">
        <v>249</v>
      </c>
      <c r="B610" s="29" t="s">
        <v>2719</v>
      </c>
      <c r="C610" s="29">
        <v>0.0</v>
      </c>
      <c r="D610" s="29" t="s">
        <v>60</v>
      </c>
      <c r="E610" s="29">
        <v>0.9046</v>
      </c>
      <c r="F610" s="29">
        <v>46.3006</v>
      </c>
      <c r="G610" s="29">
        <v>28.8569</v>
      </c>
      <c r="H610" s="29">
        <v>0.7288</v>
      </c>
      <c r="I610" s="29">
        <v>0.6987</v>
      </c>
      <c r="J610" s="29">
        <v>0.4262</v>
      </c>
      <c r="K610" s="29">
        <v>0.1956</v>
      </c>
      <c r="L610" s="29">
        <v>8.3913</v>
      </c>
      <c r="M610" s="29" t="s">
        <v>225</v>
      </c>
    </row>
    <row r="611" ht="15.75" customHeight="1">
      <c r="A611" s="29" t="s">
        <v>199</v>
      </c>
      <c r="B611" s="29" t="s">
        <v>2722</v>
      </c>
      <c r="C611" s="29">
        <v>0.0</v>
      </c>
      <c r="D611" s="29" t="s">
        <v>60</v>
      </c>
      <c r="E611" s="29">
        <v>0.9038</v>
      </c>
      <c r="F611" s="29">
        <v>46.2868</v>
      </c>
      <c r="G611" s="29">
        <v>27.9153</v>
      </c>
      <c r="H611" s="29">
        <v>0.7323</v>
      </c>
      <c r="I611" s="29">
        <v>0.7455</v>
      </c>
      <c r="J611" s="29">
        <v>0.3984</v>
      </c>
      <c r="K611" s="29">
        <v>0.1592</v>
      </c>
      <c r="L611" s="29">
        <v>8.656</v>
      </c>
      <c r="M611" s="29" t="s">
        <v>225</v>
      </c>
    </row>
    <row r="612" ht="15.75" customHeight="1">
      <c r="A612" s="29" t="s">
        <v>353</v>
      </c>
      <c r="B612" s="29" t="s">
        <v>2726</v>
      </c>
      <c r="C612" s="29">
        <v>0.0</v>
      </c>
      <c r="D612" s="29" t="s">
        <v>60</v>
      </c>
      <c r="E612" s="29">
        <v>0.9061</v>
      </c>
      <c r="F612" s="29">
        <v>46.2764</v>
      </c>
      <c r="G612" s="29">
        <v>28.0271</v>
      </c>
      <c r="H612" s="29">
        <v>0.7277</v>
      </c>
      <c r="I612" s="29">
        <v>0.7393</v>
      </c>
      <c r="J612" s="29">
        <v>0.4148</v>
      </c>
      <c r="K612" s="29">
        <v>0.181</v>
      </c>
      <c r="L612" s="29">
        <v>8.5033</v>
      </c>
      <c r="M612" s="29" t="s">
        <v>225</v>
      </c>
    </row>
    <row r="613" ht="15.75" customHeight="1">
      <c r="A613" s="29" t="s">
        <v>1191</v>
      </c>
      <c r="B613" s="29" t="s">
        <v>2728</v>
      </c>
      <c r="C613" s="29">
        <v>0.0</v>
      </c>
      <c r="D613" s="29" t="s">
        <v>60</v>
      </c>
      <c r="E613" s="29">
        <v>0.7205</v>
      </c>
      <c r="F613" s="29">
        <v>46.259</v>
      </c>
      <c r="G613" s="29">
        <v>28.9405</v>
      </c>
      <c r="H613" s="29">
        <v>0.5575</v>
      </c>
      <c r="I613" s="29">
        <v>0.6941</v>
      </c>
      <c r="J613" s="29">
        <v>0.4563</v>
      </c>
      <c r="K613" s="29">
        <v>0.2107</v>
      </c>
      <c r="L613" s="29">
        <v>7.7065</v>
      </c>
      <c r="M613" s="29" t="s">
        <v>225</v>
      </c>
    </row>
    <row r="614" ht="15.75" customHeight="1">
      <c r="A614" s="29" t="s">
        <v>475</v>
      </c>
      <c r="B614" s="29" t="s">
        <v>2731</v>
      </c>
      <c r="C614" s="29">
        <v>0.0</v>
      </c>
      <c r="D614" s="29" t="s">
        <v>60</v>
      </c>
      <c r="E614" s="29">
        <v>0.6589</v>
      </c>
      <c r="F614" s="29">
        <v>46.259</v>
      </c>
      <c r="G614" s="29">
        <v>27.2791</v>
      </c>
      <c r="H614" s="29">
        <v>0.6792</v>
      </c>
      <c r="I614" s="29">
        <v>0.7812</v>
      </c>
      <c r="J614" s="29">
        <v>0.4163</v>
      </c>
      <c r="K614" s="29">
        <v>0.0926</v>
      </c>
      <c r="L614" s="29">
        <v>8.2837</v>
      </c>
      <c r="M614" s="29" t="s">
        <v>225</v>
      </c>
    </row>
    <row r="615" ht="15.75" customHeight="1">
      <c r="A615" s="29" t="s">
        <v>822</v>
      </c>
      <c r="B615" s="29" t="s">
        <v>2736</v>
      </c>
      <c r="C615" s="29">
        <v>0.0</v>
      </c>
      <c r="D615" s="29" t="s">
        <v>60</v>
      </c>
      <c r="E615" s="29">
        <v>0.9053</v>
      </c>
      <c r="F615" s="29">
        <v>46.259</v>
      </c>
      <c r="G615" s="29">
        <v>29.1854</v>
      </c>
      <c r="H615" s="29">
        <v>0.5112</v>
      </c>
      <c r="I615" s="29">
        <v>0.6825</v>
      </c>
      <c r="J615" s="29">
        <v>0.4324</v>
      </c>
      <c r="K615" s="29">
        <v>0.261</v>
      </c>
      <c r="L615" s="29">
        <v>8.1031</v>
      </c>
      <c r="M615" s="29" t="s">
        <v>225</v>
      </c>
    </row>
    <row r="616" ht="15.75" customHeight="1">
      <c r="A616" s="29" t="s">
        <v>815</v>
      </c>
      <c r="B616" s="29" t="s">
        <v>2740</v>
      </c>
      <c r="C616" s="29">
        <v>0.0</v>
      </c>
      <c r="D616" s="29" t="s">
        <v>60</v>
      </c>
      <c r="E616" s="29">
        <v>0.9056</v>
      </c>
      <c r="F616" s="29">
        <v>46.2521</v>
      </c>
      <c r="G616" s="29">
        <v>28.9824</v>
      </c>
      <c r="H616" s="29">
        <v>0.4971</v>
      </c>
      <c r="I616" s="29">
        <v>0.6919</v>
      </c>
      <c r="J616" s="29">
        <v>0.4281</v>
      </c>
      <c r="K616" s="29">
        <v>0.2517</v>
      </c>
      <c r="L616" s="29">
        <v>8.1786</v>
      </c>
      <c r="M616" s="29" t="s">
        <v>225</v>
      </c>
    </row>
    <row r="617" ht="15.75" customHeight="1">
      <c r="A617" s="29" t="s">
        <v>240</v>
      </c>
      <c r="B617" s="29" t="s">
        <v>976</v>
      </c>
      <c r="C617" s="29">
        <v>0.0</v>
      </c>
      <c r="D617" s="29" t="s">
        <v>60</v>
      </c>
      <c r="E617" s="29">
        <v>0.5044</v>
      </c>
      <c r="F617" s="29">
        <v>46.2452</v>
      </c>
      <c r="G617" s="29">
        <v>28.2837</v>
      </c>
      <c r="H617" s="29">
        <v>0.4616</v>
      </c>
      <c r="I617" s="29">
        <v>0.7264</v>
      </c>
      <c r="J617" s="29">
        <v>0.3948</v>
      </c>
      <c r="K617" s="29">
        <v>0.1174</v>
      </c>
      <c r="L617" s="29">
        <v>8.8498</v>
      </c>
      <c r="M617" s="29" t="s">
        <v>225</v>
      </c>
    </row>
    <row r="618" ht="15.75" customHeight="1">
      <c r="A618" s="29" t="s">
        <v>314</v>
      </c>
      <c r="B618" s="29" t="s">
        <v>2745</v>
      </c>
      <c r="C618" s="29">
        <v>0.0</v>
      </c>
      <c r="D618" s="29" t="s">
        <v>60</v>
      </c>
      <c r="E618" s="29">
        <v>0.9047</v>
      </c>
      <c r="F618" s="29">
        <v>46.2348</v>
      </c>
      <c r="G618" s="29">
        <v>27.9641</v>
      </c>
      <c r="H618" s="29">
        <v>0.7278</v>
      </c>
      <c r="I618" s="29">
        <v>0.742</v>
      </c>
      <c r="J618" s="29">
        <v>0.4038</v>
      </c>
      <c r="K618" s="29">
        <v>0.1674</v>
      </c>
      <c r="L618" s="29">
        <v>8.5968</v>
      </c>
      <c r="M618" s="29" t="s">
        <v>225</v>
      </c>
    </row>
    <row r="619" ht="15.75" customHeight="1">
      <c r="A619" s="29" t="s">
        <v>809</v>
      </c>
      <c r="B619" s="29" t="s">
        <v>2749</v>
      </c>
      <c r="C619" s="29">
        <v>0.0</v>
      </c>
      <c r="D619" s="29" t="s">
        <v>60</v>
      </c>
      <c r="E619" s="29">
        <v>0.9063</v>
      </c>
      <c r="F619" s="29">
        <v>46.2106</v>
      </c>
      <c r="G619" s="29">
        <v>28.8727</v>
      </c>
      <c r="H619" s="29">
        <v>0.5019</v>
      </c>
      <c r="I619" s="29">
        <v>0.6966</v>
      </c>
      <c r="J619" s="29">
        <v>0.4193</v>
      </c>
      <c r="K619" s="29">
        <v>0.2414</v>
      </c>
      <c r="L619" s="29">
        <v>8.2613</v>
      </c>
      <c r="M619" s="29" t="s">
        <v>225</v>
      </c>
    </row>
    <row r="620" ht="15.75" customHeight="1">
      <c r="A620" s="29" t="s">
        <v>735</v>
      </c>
      <c r="B620" s="29" t="s">
        <v>2752</v>
      </c>
      <c r="C620" s="29">
        <v>0.0</v>
      </c>
      <c r="D620" s="29" t="s">
        <v>60</v>
      </c>
      <c r="E620" s="29">
        <v>0.9047</v>
      </c>
      <c r="F620" s="29">
        <v>46.2071</v>
      </c>
      <c r="G620" s="29">
        <v>28.755</v>
      </c>
      <c r="H620" s="29">
        <v>0.5144</v>
      </c>
      <c r="I620" s="29">
        <v>0.7023</v>
      </c>
      <c r="J620" s="29">
        <v>0.4219</v>
      </c>
      <c r="K620" s="29">
        <v>0.245</v>
      </c>
      <c r="L620" s="29">
        <v>8.2337</v>
      </c>
      <c r="M620" s="29" t="s">
        <v>225</v>
      </c>
    </row>
    <row r="621" ht="15.75" customHeight="1">
      <c r="A621" s="29" t="s">
        <v>850</v>
      </c>
      <c r="B621" s="29" t="s">
        <v>2755</v>
      </c>
      <c r="C621" s="29">
        <v>0.0</v>
      </c>
      <c r="D621" s="29" t="s">
        <v>60</v>
      </c>
      <c r="E621" s="29">
        <v>0.9073</v>
      </c>
      <c r="F621" s="29">
        <v>46.2036</v>
      </c>
      <c r="G621" s="29">
        <v>28.9214</v>
      </c>
      <c r="H621" s="29">
        <v>0.4965</v>
      </c>
      <c r="I621" s="29">
        <v>0.6941</v>
      </c>
      <c r="J621" s="29">
        <v>0.424</v>
      </c>
      <c r="K621" s="29">
        <v>0.2467</v>
      </c>
      <c r="L621" s="29">
        <v>8.2115</v>
      </c>
      <c r="M621" s="29" t="s">
        <v>225</v>
      </c>
    </row>
    <row r="622" ht="15.75" customHeight="1">
      <c r="A622" s="29" t="s">
        <v>900</v>
      </c>
      <c r="B622" s="29" t="s">
        <v>2759</v>
      </c>
      <c r="C622" s="29">
        <v>0.0</v>
      </c>
      <c r="D622" s="29" t="s">
        <v>60</v>
      </c>
      <c r="E622" s="29">
        <v>0.9065</v>
      </c>
      <c r="F622" s="29">
        <v>46.2002</v>
      </c>
      <c r="G622" s="29">
        <v>28.7957</v>
      </c>
      <c r="H622" s="29">
        <v>0.5079</v>
      </c>
      <c r="I622" s="29">
        <v>0.7002</v>
      </c>
      <c r="J622" s="29">
        <v>0.4338</v>
      </c>
      <c r="K622" s="29">
        <v>0.2617</v>
      </c>
      <c r="L622" s="29">
        <v>8.0952</v>
      </c>
      <c r="M622" s="29" t="s">
        <v>225</v>
      </c>
    </row>
    <row r="623" ht="15.75" customHeight="1">
      <c r="A623" s="29" t="s">
        <v>1147</v>
      </c>
      <c r="B623" s="29" t="s">
        <v>2762</v>
      </c>
      <c r="C623" s="29">
        <v>0.0</v>
      </c>
      <c r="D623" s="29" t="s">
        <v>60</v>
      </c>
      <c r="E623" s="29">
        <v>0.5366</v>
      </c>
      <c r="F623" s="29">
        <v>46.2002</v>
      </c>
      <c r="G623" s="29">
        <v>27.4707</v>
      </c>
      <c r="H623" s="29">
        <v>0.6557</v>
      </c>
      <c r="I623" s="29">
        <v>0.766</v>
      </c>
      <c r="J623" s="29">
        <v>0.405</v>
      </c>
      <c r="K623" s="29">
        <v>0.1176</v>
      </c>
      <c r="L623" s="29">
        <v>8.5154</v>
      </c>
      <c r="M623" s="29" t="s">
        <v>225</v>
      </c>
    </row>
    <row r="624" ht="15.75" customHeight="1">
      <c r="A624" s="29" t="s">
        <v>1184</v>
      </c>
      <c r="B624" s="29" t="s">
        <v>2767</v>
      </c>
      <c r="C624" s="29">
        <v>0.0</v>
      </c>
      <c r="D624" s="29" t="s">
        <v>60</v>
      </c>
      <c r="E624" s="29">
        <v>0.5391</v>
      </c>
      <c r="F624" s="29">
        <v>46.1863</v>
      </c>
      <c r="G624" s="29">
        <v>28.3088</v>
      </c>
      <c r="H624" s="29">
        <v>0.6853</v>
      </c>
      <c r="I624" s="29">
        <v>0.7233</v>
      </c>
      <c r="J624" s="29">
        <v>0.4244</v>
      </c>
      <c r="K624" s="29">
        <v>0.1474</v>
      </c>
      <c r="L624" s="29">
        <v>8.3685</v>
      </c>
      <c r="M624" s="29" t="s">
        <v>225</v>
      </c>
    </row>
    <row r="625" ht="15.75" customHeight="1">
      <c r="A625" s="29" t="s">
        <v>232</v>
      </c>
      <c r="B625" s="29" t="s">
        <v>2769</v>
      </c>
      <c r="C625" s="29">
        <v>0.0</v>
      </c>
      <c r="D625" s="29" t="s">
        <v>60</v>
      </c>
      <c r="E625" s="29">
        <v>0.9013</v>
      </c>
      <c r="F625" s="29">
        <v>46.1829</v>
      </c>
      <c r="G625" s="29">
        <v>27.9296</v>
      </c>
      <c r="H625" s="29">
        <v>0.7312</v>
      </c>
      <c r="I625" s="29">
        <v>0.743</v>
      </c>
      <c r="J625" s="29">
        <v>0.412</v>
      </c>
      <c r="K625" s="29">
        <v>0.1747</v>
      </c>
      <c r="L625" s="29">
        <v>8.5465</v>
      </c>
      <c r="M625" s="29" t="s">
        <v>225</v>
      </c>
    </row>
    <row r="626" ht="15.75" customHeight="1">
      <c r="A626" s="29" t="s">
        <v>2027</v>
      </c>
      <c r="B626" s="29" t="s">
        <v>2773</v>
      </c>
      <c r="C626" s="29">
        <v>0.0</v>
      </c>
      <c r="D626" s="29" t="s">
        <v>60</v>
      </c>
      <c r="E626" s="29">
        <v>0.9051</v>
      </c>
      <c r="F626" s="29">
        <v>46.1794</v>
      </c>
      <c r="G626" s="29">
        <v>29.1366</v>
      </c>
      <c r="H626" s="29">
        <v>0.5182</v>
      </c>
      <c r="I626" s="29">
        <v>0.6836</v>
      </c>
      <c r="J626" s="29">
        <v>0.4533</v>
      </c>
      <c r="K626" s="29">
        <v>0.2709</v>
      </c>
      <c r="L626" s="29">
        <v>7.7605</v>
      </c>
      <c r="M626" s="29" t="s">
        <v>225</v>
      </c>
    </row>
    <row r="627" ht="15.75" customHeight="1">
      <c r="A627" s="29" t="s">
        <v>603</v>
      </c>
      <c r="B627" s="29" t="s">
        <v>2776</v>
      </c>
      <c r="C627" s="29">
        <v>0.0</v>
      </c>
      <c r="D627" s="29" t="s">
        <v>60</v>
      </c>
      <c r="E627" s="29">
        <v>0.9064</v>
      </c>
      <c r="F627" s="29">
        <v>46.1725</v>
      </c>
      <c r="G627" s="29">
        <v>28.9012</v>
      </c>
      <c r="H627" s="29">
        <v>0.5078</v>
      </c>
      <c r="I627" s="29">
        <v>0.6946</v>
      </c>
      <c r="J627" s="29">
        <v>0.4231</v>
      </c>
      <c r="K627" s="29">
        <v>0.2501</v>
      </c>
      <c r="L627" s="29">
        <v>8.211</v>
      </c>
      <c r="M627" s="29" t="s">
        <v>225</v>
      </c>
    </row>
    <row r="628" ht="15.75" customHeight="1">
      <c r="A628" s="29" t="s">
        <v>227</v>
      </c>
      <c r="B628" s="29" t="s">
        <v>2778</v>
      </c>
      <c r="C628" s="29">
        <v>0.0</v>
      </c>
      <c r="D628" s="29" t="s">
        <v>60</v>
      </c>
      <c r="E628" s="29">
        <v>0.9052</v>
      </c>
      <c r="F628" s="29">
        <v>46.1725</v>
      </c>
      <c r="G628" s="29">
        <v>28.9071</v>
      </c>
      <c r="H628" s="29">
        <v>0.5041</v>
      </c>
      <c r="I628" s="29">
        <v>0.6944</v>
      </c>
      <c r="J628" s="29">
        <v>0.4299</v>
      </c>
      <c r="K628" s="29">
        <v>0.2537</v>
      </c>
      <c r="L628" s="29">
        <v>8.1562</v>
      </c>
      <c r="M628" s="29" t="s">
        <v>225</v>
      </c>
    </row>
    <row r="629" ht="15.75" customHeight="1">
      <c r="A629" s="29" t="s">
        <v>2232</v>
      </c>
      <c r="B629" s="29" t="s">
        <v>2781</v>
      </c>
      <c r="C629" s="29">
        <v>0.0</v>
      </c>
      <c r="D629" s="29" t="s">
        <v>60</v>
      </c>
      <c r="E629" s="29">
        <v>0.5268</v>
      </c>
      <c r="F629" s="29">
        <v>46.1551</v>
      </c>
      <c r="G629" s="29">
        <v>27.1865</v>
      </c>
      <c r="H629" s="29">
        <v>0.6003</v>
      </c>
      <c r="I629" s="29">
        <v>0.7847</v>
      </c>
      <c r="J629" s="29">
        <v>0.4158</v>
      </c>
      <c r="K629" s="29">
        <v>0.1276</v>
      </c>
      <c r="L629" s="29">
        <v>8.3361</v>
      </c>
      <c r="M629" s="29" t="s">
        <v>225</v>
      </c>
    </row>
    <row r="630" ht="15.75" customHeight="1">
      <c r="A630" s="29" t="s">
        <v>894</v>
      </c>
      <c r="B630" s="29" t="s">
        <v>2784</v>
      </c>
      <c r="C630" s="29">
        <v>0.0</v>
      </c>
      <c r="D630" s="29" t="s">
        <v>60</v>
      </c>
      <c r="E630" s="29">
        <v>0.9044</v>
      </c>
      <c r="F630" s="29">
        <v>46.1482</v>
      </c>
      <c r="G630" s="29">
        <v>28.8584</v>
      </c>
      <c r="H630" s="29">
        <v>0.502</v>
      </c>
      <c r="I630" s="29">
        <v>0.6963</v>
      </c>
      <c r="J630" s="29">
        <v>0.4188</v>
      </c>
      <c r="K630" s="29">
        <v>0.2422</v>
      </c>
      <c r="L630" s="29">
        <v>8.2579</v>
      </c>
      <c r="M630" s="29" t="s">
        <v>225</v>
      </c>
    </row>
    <row r="631" ht="15.75" customHeight="1">
      <c r="A631" s="29" t="s">
        <v>761</v>
      </c>
      <c r="B631" s="29" t="s">
        <v>2787</v>
      </c>
      <c r="C631" s="29">
        <v>0.0</v>
      </c>
      <c r="D631" s="29" t="s">
        <v>60</v>
      </c>
      <c r="E631" s="29">
        <v>0.9053</v>
      </c>
      <c r="F631" s="29">
        <v>46.1448</v>
      </c>
      <c r="G631" s="29">
        <v>28.8445</v>
      </c>
      <c r="H631" s="29">
        <v>0.5025</v>
      </c>
      <c r="I631" s="29">
        <v>0.697</v>
      </c>
      <c r="J631" s="29">
        <v>0.4331</v>
      </c>
      <c r="K631" s="29">
        <v>0.2626</v>
      </c>
      <c r="L631" s="29">
        <v>8.0971</v>
      </c>
      <c r="M631" s="29" t="s">
        <v>225</v>
      </c>
    </row>
    <row r="632" ht="15.75" customHeight="1">
      <c r="A632" s="29" t="s">
        <v>830</v>
      </c>
      <c r="B632" s="29" t="s">
        <v>2790</v>
      </c>
      <c r="C632" s="29">
        <v>0.0</v>
      </c>
      <c r="D632" s="29" t="s">
        <v>60</v>
      </c>
      <c r="E632" s="29">
        <v>0.9082</v>
      </c>
      <c r="F632" s="29">
        <v>46.1448</v>
      </c>
      <c r="G632" s="29">
        <v>28.9071</v>
      </c>
      <c r="H632" s="29">
        <v>0.5123</v>
      </c>
      <c r="I632" s="29">
        <v>0.6939</v>
      </c>
      <c r="J632" s="29">
        <v>0.4189</v>
      </c>
      <c r="K632" s="29">
        <v>0.2426</v>
      </c>
      <c r="L632" s="29">
        <v>8.2617</v>
      </c>
      <c r="M632" s="29" t="s">
        <v>225</v>
      </c>
    </row>
    <row r="633" ht="15.75" customHeight="1">
      <c r="A633" s="29" t="s">
        <v>607</v>
      </c>
      <c r="B633" s="29" t="s">
        <v>2793</v>
      </c>
      <c r="C633" s="29">
        <v>0.0</v>
      </c>
      <c r="D633" s="29" t="s">
        <v>60</v>
      </c>
      <c r="E633" s="29">
        <v>0.7407</v>
      </c>
      <c r="F633" s="29">
        <v>46.1171</v>
      </c>
      <c r="G633" s="29">
        <v>28.5989</v>
      </c>
      <c r="H633" s="29">
        <v>0.6231</v>
      </c>
      <c r="I633" s="29">
        <v>0.7084</v>
      </c>
      <c r="J633" s="29">
        <v>0.3578</v>
      </c>
      <c r="K633" s="29">
        <v>0.1222</v>
      </c>
      <c r="L633" s="29">
        <v>8.6616</v>
      </c>
      <c r="M633" s="29" t="s">
        <v>225</v>
      </c>
    </row>
    <row r="634" ht="15.75" customHeight="1">
      <c r="A634" s="29" t="s">
        <v>872</v>
      </c>
      <c r="B634" s="29" t="s">
        <v>2796</v>
      </c>
      <c r="C634" s="29">
        <v>0.0</v>
      </c>
      <c r="D634" s="29" t="s">
        <v>60</v>
      </c>
      <c r="E634" s="29">
        <v>0.9045</v>
      </c>
      <c r="F634" s="29">
        <v>46.1136</v>
      </c>
      <c r="G634" s="29">
        <v>28.8037</v>
      </c>
      <c r="H634" s="29">
        <v>0.5005</v>
      </c>
      <c r="I634" s="29">
        <v>0.6985</v>
      </c>
      <c r="J634" s="29">
        <v>0.4217</v>
      </c>
      <c r="K634" s="29">
        <v>0.2429</v>
      </c>
      <c r="L634" s="29">
        <v>8.2465</v>
      </c>
      <c r="M634" s="29" t="s">
        <v>225</v>
      </c>
    </row>
    <row r="635" ht="15.75" customHeight="1">
      <c r="A635" s="29" t="s">
        <v>881</v>
      </c>
      <c r="B635" s="29" t="s">
        <v>2799</v>
      </c>
      <c r="C635" s="29">
        <v>0.0</v>
      </c>
      <c r="D635" s="29" t="s">
        <v>60</v>
      </c>
      <c r="E635" s="29">
        <v>0.9076</v>
      </c>
      <c r="F635" s="29">
        <v>46.1101</v>
      </c>
      <c r="G635" s="29">
        <v>28.7692</v>
      </c>
      <c r="H635" s="29">
        <v>0.5183</v>
      </c>
      <c r="I635" s="29">
        <v>0.7001</v>
      </c>
      <c r="J635" s="29">
        <v>0.4209</v>
      </c>
      <c r="K635" s="29">
        <v>0.2475</v>
      </c>
      <c r="L635" s="29">
        <v>8.2092</v>
      </c>
      <c r="M635" s="29" t="s">
        <v>225</v>
      </c>
    </row>
    <row r="636" ht="15.75" customHeight="1">
      <c r="A636" s="29" t="s">
        <v>1180</v>
      </c>
      <c r="B636" s="29" t="s">
        <v>2802</v>
      </c>
      <c r="C636" s="29">
        <v>0.0</v>
      </c>
      <c r="D636" s="29" t="s">
        <v>60</v>
      </c>
      <c r="E636" s="29">
        <v>0.7446</v>
      </c>
      <c r="F636" s="29">
        <v>46.0928</v>
      </c>
      <c r="G636" s="29">
        <v>28.7915</v>
      </c>
      <c r="H636" s="29">
        <v>0.6585</v>
      </c>
      <c r="I636" s="29">
        <v>0.6987</v>
      </c>
      <c r="J636" s="29">
        <v>0.3515</v>
      </c>
      <c r="K636" s="29">
        <v>0.1219</v>
      </c>
      <c r="L636" s="29">
        <v>8.6594</v>
      </c>
      <c r="M636" s="29" t="s">
        <v>225</v>
      </c>
    </row>
    <row r="637" ht="15.75" customHeight="1">
      <c r="A637" s="29" t="s">
        <v>212</v>
      </c>
      <c r="B637" s="29" t="s">
        <v>2805</v>
      </c>
      <c r="C637" s="29">
        <v>0.0</v>
      </c>
      <c r="D637" s="29" t="s">
        <v>60</v>
      </c>
      <c r="E637" s="29">
        <v>0.899</v>
      </c>
      <c r="F637" s="29">
        <v>46.0893</v>
      </c>
      <c r="G637" s="29">
        <v>28.9402</v>
      </c>
      <c r="H637" s="29">
        <v>0.7298</v>
      </c>
      <c r="I637" s="29">
        <v>0.6915</v>
      </c>
      <c r="J637" s="29">
        <v>0.4077</v>
      </c>
      <c r="K637" s="29">
        <v>0.1636</v>
      </c>
      <c r="L637" s="29">
        <v>8.5867</v>
      </c>
      <c r="M637" s="29" t="s">
        <v>225</v>
      </c>
    </row>
    <row r="638" ht="15.75" customHeight="1">
      <c r="A638" s="29" t="s">
        <v>208</v>
      </c>
      <c r="B638" s="29" t="s">
        <v>2808</v>
      </c>
      <c r="C638" s="29">
        <v>0.0</v>
      </c>
      <c r="D638" s="29" t="s">
        <v>60</v>
      </c>
      <c r="E638" s="29">
        <v>0.5336</v>
      </c>
      <c r="F638" s="29">
        <v>46.0755</v>
      </c>
      <c r="G638" s="29">
        <v>27.5086</v>
      </c>
      <c r="H638" s="29">
        <v>0.4201</v>
      </c>
      <c r="I638" s="29">
        <v>0.7651</v>
      </c>
      <c r="J638" s="29">
        <v>0.394</v>
      </c>
      <c r="K638" s="29">
        <v>0.1207</v>
      </c>
      <c r="L638" s="29">
        <v>8.8205</v>
      </c>
      <c r="M638" s="29" t="s">
        <v>225</v>
      </c>
    </row>
    <row r="639" ht="15.75" customHeight="1">
      <c r="A639" s="29" t="s">
        <v>218</v>
      </c>
      <c r="B639" s="29" t="s">
        <v>1139</v>
      </c>
      <c r="C639" s="29">
        <v>0.0</v>
      </c>
      <c r="D639" s="29" t="s">
        <v>60</v>
      </c>
      <c r="E639" s="29">
        <v>0.5218</v>
      </c>
      <c r="F639" s="29">
        <v>46.072</v>
      </c>
      <c r="G639" s="29">
        <v>27.4658</v>
      </c>
      <c r="H639" s="29">
        <v>0.4383</v>
      </c>
      <c r="I639" s="29">
        <v>0.7675</v>
      </c>
      <c r="J639" s="29">
        <v>0.39</v>
      </c>
      <c r="K639" s="29">
        <v>0.1081</v>
      </c>
      <c r="L639" s="29">
        <v>8.8888</v>
      </c>
      <c r="M639" s="29" t="s">
        <v>225</v>
      </c>
    </row>
    <row r="640" ht="15.75" customHeight="1">
      <c r="A640" s="29" t="s">
        <v>1208</v>
      </c>
      <c r="B640" s="29" t="s">
        <v>2813</v>
      </c>
      <c r="C640" s="29">
        <v>0.0</v>
      </c>
      <c r="D640" s="29" t="s">
        <v>60</v>
      </c>
      <c r="E640" s="29">
        <v>0.7249</v>
      </c>
      <c r="F640" s="29">
        <v>46.0651</v>
      </c>
      <c r="G640" s="29">
        <v>29.2713</v>
      </c>
      <c r="H640" s="29">
        <v>0.5328</v>
      </c>
      <c r="I640" s="29">
        <v>0.675</v>
      </c>
      <c r="J640" s="29">
        <v>0.4543</v>
      </c>
      <c r="K640" s="29">
        <v>0.2111</v>
      </c>
      <c r="L640" s="29">
        <v>7.7415</v>
      </c>
      <c r="M640" s="29" t="s">
        <v>225</v>
      </c>
    </row>
    <row r="641" ht="15.75" customHeight="1">
      <c r="A641" s="29" t="s">
        <v>696</v>
      </c>
      <c r="B641" s="29" t="s">
        <v>2816</v>
      </c>
      <c r="C641" s="29">
        <v>0.0</v>
      </c>
      <c r="D641" s="29" t="s">
        <v>60</v>
      </c>
      <c r="E641" s="29">
        <v>0.905</v>
      </c>
      <c r="F641" s="29">
        <v>46.0443</v>
      </c>
      <c r="G641" s="29">
        <v>28.8584</v>
      </c>
      <c r="H641" s="29">
        <v>0.5029</v>
      </c>
      <c r="I641" s="29">
        <v>0.6948</v>
      </c>
      <c r="J641" s="29">
        <v>0.4197</v>
      </c>
      <c r="K641" s="29">
        <v>0.2438</v>
      </c>
      <c r="L641" s="29">
        <v>8.2444</v>
      </c>
      <c r="M641" s="29" t="s">
        <v>225</v>
      </c>
    </row>
    <row r="642" ht="15.75" customHeight="1">
      <c r="A642" s="29" t="s">
        <v>1345</v>
      </c>
      <c r="B642" s="29" t="s">
        <v>2819</v>
      </c>
      <c r="C642" s="29">
        <v>0.0</v>
      </c>
      <c r="D642" s="29" t="s">
        <v>60</v>
      </c>
      <c r="E642" s="29">
        <v>0.7352</v>
      </c>
      <c r="F642" s="29">
        <v>46.0374</v>
      </c>
      <c r="G642" s="29">
        <v>29.6795</v>
      </c>
      <c r="H642" s="29">
        <v>0.5325</v>
      </c>
      <c r="I642" s="29">
        <v>0.6568</v>
      </c>
      <c r="J642" s="29">
        <v>0.4553</v>
      </c>
      <c r="K642" s="29">
        <v>0.2127</v>
      </c>
      <c r="L642" s="29">
        <v>7.7319</v>
      </c>
      <c r="M642" s="29" t="s">
        <v>225</v>
      </c>
    </row>
    <row r="643" ht="15.75" customHeight="1">
      <c r="A643" s="29" t="s">
        <v>680</v>
      </c>
      <c r="B643" s="29" t="s">
        <v>2822</v>
      </c>
      <c r="C643" s="29">
        <v>0.0</v>
      </c>
      <c r="D643" s="29" t="s">
        <v>60</v>
      </c>
      <c r="E643" s="29">
        <v>0.9071</v>
      </c>
      <c r="F643" s="29">
        <v>46.0097</v>
      </c>
      <c r="G643" s="29">
        <v>29.512</v>
      </c>
      <c r="H643" s="29">
        <v>0.5265</v>
      </c>
      <c r="I643" s="29">
        <v>0.6638</v>
      </c>
      <c r="J643" s="29">
        <v>0.4584</v>
      </c>
      <c r="K643" s="29">
        <v>0.2787</v>
      </c>
      <c r="L643" s="29">
        <v>7.7005</v>
      </c>
      <c r="M643" s="29" t="s">
        <v>225</v>
      </c>
    </row>
    <row r="644" ht="15.75" customHeight="1">
      <c r="A644" s="29" t="s">
        <v>883</v>
      </c>
      <c r="B644" s="29" t="s">
        <v>2825</v>
      </c>
      <c r="C644" s="29">
        <v>0.0</v>
      </c>
      <c r="D644" s="29" t="s">
        <v>60</v>
      </c>
      <c r="E644" s="29">
        <v>0.9061</v>
      </c>
      <c r="F644" s="29">
        <v>46.0028</v>
      </c>
      <c r="G644" s="29">
        <v>28.7348</v>
      </c>
      <c r="H644" s="29">
        <v>0.5127</v>
      </c>
      <c r="I644" s="29">
        <v>0.7001</v>
      </c>
      <c r="J644" s="29">
        <v>0.4239</v>
      </c>
      <c r="K644" s="29">
        <v>0.248</v>
      </c>
      <c r="L644" s="29">
        <v>8.2058</v>
      </c>
      <c r="M644" s="29" t="s">
        <v>225</v>
      </c>
    </row>
    <row r="645" ht="15.75" customHeight="1">
      <c r="A645" s="29" t="s">
        <v>864</v>
      </c>
      <c r="B645" s="29" t="s">
        <v>2828</v>
      </c>
      <c r="C645" s="29">
        <v>0.0</v>
      </c>
      <c r="D645" s="29" t="s">
        <v>60</v>
      </c>
      <c r="E645" s="29">
        <v>0.9015</v>
      </c>
      <c r="F645" s="29">
        <v>45.9854</v>
      </c>
      <c r="G645" s="29">
        <v>29.2665</v>
      </c>
      <c r="H645" s="29">
        <v>0.5317</v>
      </c>
      <c r="I645" s="29">
        <v>0.6747</v>
      </c>
      <c r="J645" s="29">
        <v>0.4582</v>
      </c>
      <c r="K645" s="29">
        <v>0.2507</v>
      </c>
      <c r="L645" s="29">
        <v>7.8907</v>
      </c>
      <c r="M645" s="29" t="s">
        <v>225</v>
      </c>
    </row>
    <row r="646" ht="15.75" customHeight="1">
      <c r="A646" s="29" t="s">
        <v>2119</v>
      </c>
      <c r="B646" s="29" t="s">
        <v>2831</v>
      </c>
      <c r="C646" s="29">
        <v>0.0</v>
      </c>
      <c r="D646" s="29" t="s">
        <v>60</v>
      </c>
      <c r="E646" s="29">
        <v>0.6601</v>
      </c>
      <c r="F646" s="29">
        <v>45.8919</v>
      </c>
      <c r="G646" s="29">
        <v>27.0033</v>
      </c>
      <c r="H646" s="29">
        <v>0.6626</v>
      </c>
      <c r="I646" s="29">
        <v>0.7909</v>
      </c>
      <c r="J646" s="29">
        <v>0.4264</v>
      </c>
      <c r="K646" s="29">
        <v>0.0998</v>
      </c>
      <c r="L646" s="29">
        <v>8.2291</v>
      </c>
      <c r="M646" s="29" t="s">
        <v>225</v>
      </c>
    </row>
    <row r="647" ht="15.75" customHeight="1">
      <c r="A647" s="29" t="s">
        <v>1377</v>
      </c>
      <c r="B647" s="29" t="s">
        <v>2834</v>
      </c>
      <c r="C647" s="29">
        <v>0.0</v>
      </c>
      <c r="D647" s="29" t="s">
        <v>60</v>
      </c>
      <c r="E647" s="29">
        <v>0.5953</v>
      </c>
      <c r="F647" s="29">
        <v>45.8919</v>
      </c>
      <c r="G647" s="29">
        <v>27.7509</v>
      </c>
      <c r="H647" s="29">
        <v>0.825</v>
      </c>
      <c r="I647" s="29">
        <v>0.7488</v>
      </c>
      <c r="J647" s="29">
        <v>0.3005</v>
      </c>
      <c r="K647" s="29">
        <v>0.0448</v>
      </c>
      <c r="L647" s="29">
        <v>9.4515</v>
      </c>
      <c r="M647" s="29" t="s">
        <v>225</v>
      </c>
    </row>
    <row r="648" ht="15.75" customHeight="1">
      <c r="A648" s="29" t="s">
        <v>1247</v>
      </c>
      <c r="B648" s="29" t="s">
        <v>2837</v>
      </c>
      <c r="C648" s="29">
        <v>0.0</v>
      </c>
      <c r="D648" s="29" t="s">
        <v>60</v>
      </c>
      <c r="E648" s="29">
        <v>0.7359</v>
      </c>
      <c r="F648" s="29">
        <v>45.8746</v>
      </c>
      <c r="G648" s="29">
        <v>28.0731</v>
      </c>
      <c r="H648" s="29">
        <v>0.6377</v>
      </c>
      <c r="I648" s="29">
        <v>0.7315</v>
      </c>
      <c r="J648" s="29">
        <v>0.3469</v>
      </c>
      <c r="K648" s="29">
        <v>0.1137</v>
      </c>
      <c r="L648" s="29">
        <v>8.7223</v>
      </c>
      <c r="M648" s="29" t="s">
        <v>225</v>
      </c>
    </row>
    <row r="649" ht="15.75" customHeight="1">
      <c r="A649" s="29" t="s">
        <v>1117</v>
      </c>
      <c r="B649" s="29" t="s">
        <v>2841</v>
      </c>
      <c r="C649" s="29">
        <v>0.0</v>
      </c>
      <c r="D649" s="29" t="s">
        <v>60</v>
      </c>
      <c r="E649" s="29">
        <v>0.5123</v>
      </c>
      <c r="F649" s="29">
        <v>45.8712</v>
      </c>
      <c r="G649" s="29">
        <v>28.2719</v>
      </c>
      <c r="H649" s="29">
        <v>0.5912</v>
      </c>
      <c r="I649" s="29">
        <v>0.7212</v>
      </c>
      <c r="J649" s="29">
        <v>0.4103</v>
      </c>
      <c r="K649" s="29">
        <v>0.129</v>
      </c>
      <c r="L649" s="29">
        <v>8.3938</v>
      </c>
      <c r="M649" s="29" t="s">
        <v>225</v>
      </c>
    </row>
    <row r="650" ht="15.75" customHeight="1">
      <c r="A650" s="29" t="s">
        <v>346</v>
      </c>
      <c r="B650" s="29" t="s">
        <v>2844</v>
      </c>
      <c r="C650" s="29">
        <v>0.0</v>
      </c>
      <c r="D650" s="29" t="s">
        <v>60</v>
      </c>
      <c r="E650" s="29">
        <v>0.9049</v>
      </c>
      <c r="F650" s="29">
        <v>45.8192</v>
      </c>
      <c r="G650" s="29">
        <v>27.8767</v>
      </c>
      <c r="H650" s="29">
        <v>0.7199</v>
      </c>
      <c r="I650" s="29">
        <v>0.7409</v>
      </c>
      <c r="J650" s="29">
        <v>0.4167</v>
      </c>
      <c r="K650" s="29">
        <v>0.1805</v>
      </c>
      <c r="L650" s="29">
        <v>8.4923</v>
      </c>
      <c r="M650" s="29" t="s">
        <v>225</v>
      </c>
    </row>
    <row r="651" ht="15.75" customHeight="1">
      <c r="A651" s="29" t="s">
        <v>2123</v>
      </c>
      <c r="B651" s="29" t="s">
        <v>2847</v>
      </c>
      <c r="C651" s="29">
        <v>0.0</v>
      </c>
      <c r="D651" s="29" t="s">
        <v>60</v>
      </c>
      <c r="E651" s="29">
        <v>0.7179</v>
      </c>
      <c r="F651" s="29">
        <v>45.8054</v>
      </c>
      <c r="G651" s="29">
        <v>30.2617</v>
      </c>
      <c r="H651" s="29">
        <v>0.5407</v>
      </c>
      <c r="I651" s="29">
        <v>0.6283</v>
      </c>
      <c r="J651" s="29">
        <v>0.4856</v>
      </c>
      <c r="K651" s="29">
        <v>0.2157</v>
      </c>
      <c r="L651" s="29">
        <v>7.54</v>
      </c>
      <c r="M651" s="29" t="s">
        <v>225</v>
      </c>
    </row>
    <row r="652" ht="15.75" customHeight="1">
      <c r="A652" s="29" t="s">
        <v>1584</v>
      </c>
      <c r="B652" s="29" t="s">
        <v>2850</v>
      </c>
      <c r="C652" s="29">
        <v>0.0</v>
      </c>
      <c r="D652" s="29" t="s">
        <v>60</v>
      </c>
      <c r="E652" s="29">
        <v>0.5776</v>
      </c>
      <c r="F652" s="29">
        <v>45.7777</v>
      </c>
      <c r="G652" s="29">
        <v>27.7165</v>
      </c>
      <c r="H652" s="29">
        <v>0.8254</v>
      </c>
      <c r="I652" s="29">
        <v>0.7488</v>
      </c>
      <c r="J652" s="29">
        <v>0.3036</v>
      </c>
      <c r="K652" s="29">
        <v>0.0452</v>
      </c>
      <c r="L652" s="29">
        <v>9.4498</v>
      </c>
      <c r="M652" s="29" t="s">
        <v>225</v>
      </c>
    </row>
    <row r="653" ht="15.75" customHeight="1">
      <c r="A653" s="29" t="s">
        <v>2205</v>
      </c>
      <c r="B653" s="29" t="s">
        <v>2854</v>
      </c>
      <c r="C653" s="29">
        <v>0.0</v>
      </c>
      <c r="D653" s="29" t="s">
        <v>60</v>
      </c>
      <c r="E653" s="29">
        <v>0.7368</v>
      </c>
      <c r="F653" s="29">
        <v>45.7361</v>
      </c>
      <c r="G653" s="29">
        <v>29.1184</v>
      </c>
      <c r="H653" s="29">
        <v>0.6535</v>
      </c>
      <c r="I653" s="29">
        <v>0.6778</v>
      </c>
      <c r="J653" s="29">
        <v>0.3517</v>
      </c>
      <c r="K653" s="29">
        <v>0.1255</v>
      </c>
      <c r="L653" s="29">
        <v>8.6659</v>
      </c>
      <c r="M653" s="29" t="s">
        <v>225</v>
      </c>
    </row>
    <row r="654" ht="15.75" customHeight="1">
      <c r="A654" s="29" t="s">
        <v>182</v>
      </c>
      <c r="B654" s="29" t="s">
        <v>2857</v>
      </c>
      <c r="C654" s="29">
        <v>0.0</v>
      </c>
      <c r="D654" s="29" t="s">
        <v>60</v>
      </c>
      <c r="E654" s="29">
        <v>0.5323</v>
      </c>
      <c r="F654" s="29">
        <v>45.7326</v>
      </c>
      <c r="G654" s="29">
        <v>29.7651</v>
      </c>
      <c r="H654" s="29">
        <v>0.6682</v>
      </c>
      <c r="I654" s="29">
        <v>0.6487</v>
      </c>
      <c r="J654" s="29">
        <v>0.5221</v>
      </c>
      <c r="K654" s="29">
        <v>0.1058</v>
      </c>
      <c r="L654" s="29">
        <v>8.2962</v>
      </c>
      <c r="M654" s="29" t="s">
        <v>225</v>
      </c>
    </row>
    <row r="655" ht="15.75" customHeight="1">
      <c r="A655" s="29" t="s">
        <v>307</v>
      </c>
      <c r="B655" s="29" t="s">
        <v>2860</v>
      </c>
      <c r="C655" s="29">
        <v>0.0</v>
      </c>
      <c r="D655" s="29" t="s">
        <v>60</v>
      </c>
      <c r="E655" s="29">
        <v>0.904</v>
      </c>
      <c r="F655" s="29">
        <v>45.7257</v>
      </c>
      <c r="G655" s="29">
        <v>27.3411</v>
      </c>
      <c r="H655" s="29">
        <v>0.7234</v>
      </c>
      <c r="I655" s="29">
        <v>0.7677</v>
      </c>
      <c r="J655" s="29">
        <v>0.3965</v>
      </c>
      <c r="K655" s="29">
        <v>0.1509</v>
      </c>
      <c r="L655" s="29">
        <v>8.706</v>
      </c>
      <c r="M655" s="29" t="s">
        <v>225</v>
      </c>
    </row>
    <row r="656" ht="15.75" customHeight="1">
      <c r="A656" s="29" t="s">
        <v>544</v>
      </c>
      <c r="B656" s="29" t="s">
        <v>2863</v>
      </c>
      <c r="C656" s="29">
        <v>0.0</v>
      </c>
      <c r="D656" s="29" t="s">
        <v>60</v>
      </c>
      <c r="E656" s="29">
        <v>0.7376</v>
      </c>
      <c r="F656" s="29">
        <v>45.6911</v>
      </c>
      <c r="G656" s="29">
        <v>28.4526</v>
      </c>
      <c r="H656" s="29">
        <v>0.6404</v>
      </c>
      <c r="I656" s="29">
        <v>0.7092</v>
      </c>
      <c r="J656" s="29">
        <v>0.3489</v>
      </c>
      <c r="K656" s="29">
        <v>0.1166</v>
      </c>
      <c r="L656" s="29">
        <v>8.6907</v>
      </c>
      <c r="M656" s="29" t="s">
        <v>225</v>
      </c>
    </row>
    <row r="657" ht="15.75" customHeight="1">
      <c r="A657" s="29" t="s">
        <v>32</v>
      </c>
      <c r="B657" s="29" t="s">
        <v>2866</v>
      </c>
      <c r="C657" s="29">
        <v>0.0</v>
      </c>
      <c r="D657" s="29" t="s">
        <v>60</v>
      </c>
      <c r="E657" s="29">
        <v>0.908</v>
      </c>
      <c r="F657" s="29">
        <v>45.6876</v>
      </c>
      <c r="G657" s="29">
        <v>27.674</v>
      </c>
      <c r="H657" s="29">
        <v>0.7173</v>
      </c>
      <c r="I657" s="29">
        <v>0.7497</v>
      </c>
      <c r="J657" s="29">
        <v>0.4168</v>
      </c>
      <c r="K657" s="29">
        <v>0.181</v>
      </c>
      <c r="L657" s="29">
        <v>8.4898</v>
      </c>
      <c r="M657" s="29" t="s">
        <v>225</v>
      </c>
    </row>
    <row r="658" ht="15.75" customHeight="1">
      <c r="A658" s="29" t="s">
        <v>1076</v>
      </c>
      <c r="B658" s="29" t="s">
        <v>2869</v>
      </c>
      <c r="C658" s="29">
        <v>0.0</v>
      </c>
      <c r="D658" s="29" t="s">
        <v>60</v>
      </c>
      <c r="E658" s="29">
        <v>0.5324</v>
      </c>
      <c r="F658" s="29">
        <v>45.6807</v>
      </c>
      <c r="G658" s="29">
        <v>29.1794</v>
      </c>
      <c r="H658" s="29">
        <v>0.6186</v>
      </c>
      <c r="I658" s="29">
        <v>0.6742</v>
      </c>
      <c r="J658" s="29">
        <v>0.4114</v>
      </c>
      <c r="K658" s="29">
        <v>0.13</v>
      </c>
      <c r="L658" s="29">
        <v>8.4181</v>
      </c>
      <c r="M658" s="29" t="s">
        <v>225</v>
      </c>
    </row>
    <row r="659" ht="15.75" customHeight="1">
      <c r="A659" s="29" t="s">
        <v>203</v>
      </c>
      <c r="B659" s="29" t="s">
        <v>2872</v>
      </c>
      <c r="C659" s="29">
        <v>0.0</v>
      </c>
      <c r="D659" s="29" t="s">
        <v>60</v>
      </c>
      <c r="E659" s="29">
        <v>0.9061</v>
      </c>
      <c r="F659" s="29">
        <v>45.6634</v>
      </c>
      <c r="G659" s="29">
        <v>28.0961</v>
      </c>
      <c r="H659" s="29">
        <v>0.7154</v>
      </c>
      <c r="I659" s="29">
        <v>0.7269</v>
      </c>
      <c r="J659" s="29">
        <v>0.4091</v>
      </c>
      <c r="K659" s="29">
        <v>0.1738</v>
      </c>
      <c r="L659" s="29">
        <v>8.553</v>
      </c>
      <c r="M659" s="29" t="s">
        <v>225</v>
      </c>
    </row>
    <row r="660" ht="15.75" customHeight="1">
      <c r="A660" s="29" t="s">
        <v>256</v>
      </c>
      <c r="B660" s="29" t="s">
        <v>960</v>
      </c>
      <c r="C660" s="29">
        <v>0.0</v>
      </c>
      <c r="D660" s="29" t="s">
        <v>60</v>
      </c>
      <c r="E660" s="29">
        <v>0.5215</v>
      </c>
      <c r="F660" s="29">
        <v>45.6114</v>
      </c>
      <c r="G660" s="29">
        <v>27.417</v>
      </c>
      <c r="H660" s="29">
        <v>0.4898</v>
      </c>
      <c r="I660" s="29">
        <v>0.7625</v>
      </c>
      <c r="J660" s="29">
        <v>0.3973</v>
      </c>
      <c r="K660" s="29">
        <v>0.1152</v>
      </c>
      <c r="L660" s="29">
        <v>8.8457</v>
      </c>
      <c r="M660" s="29" t="s">
        <v>225</v>
      </c>
    </row>
    <row r="661" ht="15.75" customHeight="1">
      <c r="A661" s="29" t="s">
        <v>256</v>
      </c>
      <c r="B661" s="29" t="s">
        <v>2876</v>
      </c>
      <c r="C661" s="29">
        <v>0.0</v>
      </c>
      <c r="D661" s="29" t="s">
        <v>60</v>
      </c>
      <c r="E661" s="29">
        <v>0.9022</v>
      </c>
      <c r="F661" s="29">
        <v>45.6045</v>
      </c>
      <c r="G661" s="29">
        <v>27.8262</v>
      </c>
      <c r="H661" s="29">
        <v>0.7113</v>
      </c>
      <c r="I661" s="29">
        <v>0.7401</v>
      </c>
      <c r="J661" s="29">
        <v>0.427</v>
      </c>
      <c r="K661" s="29">
        <v>0.1957</v>
      </c>
      <c r="L661" s="29">
        <v>8.38</v>
      </c>
      <c r="M661" s="29" t="s">
        <v>225</v>
      </c>
    </row>
    <row r="662" ht="15.75" customHeight="1">
      <c r="A662" s="29" t="s">
        <v>475</v>
      </c>
      <c r="B662" s="29" t="s">
        <v>2880</v>
      </c>
      <c r="C662" s="29">
        <v>0.0</v>
      </c>
      <c r="D662" s="29" t="s">
        <v>60</v>
      </c>
      <c r="E662" s="29">
        <v>0.5528</v>
      </c>
      <c r="F662" s="29">
        <v>45.5733</v>
      </c>
      <c r="G662" s="29">
        <v>28.2221</v>
      </c>
      <c r="H662" s="29">
        <v>0.7331</v>
      </c>
      <c r="I662" s="29">
        <v>0.719</v>
      </c>
      <c r="J662" s="29">
        <v>0.4717</v>
      </c>
      <c r="K662" s="29">
        <v>0.2001</v>
      </c>
      <c r="L662" s="29">
        <v>7.3816</v>
      </c>
      <c r="M662" s="29" t="s">
        <v>225</v>
      </c>
    </row>
    <row r="663" ht="15.75" customHeight="1">
      <c r="A663" s="29" t="s">
        <v>262</v>
      </c>
      <c r="B663" s="29" t="s">
        <v>2883</v>
      </c>
      <c r="C663" s="29">
        <v>0.0</v>
      </c>
      <c r="D663" s="29" t="s">
        <v>60</v>
      </c>
      <c r="E663" s="29">
        <v>0.9015</v>
      </c>
      <c r="F663" s="29">
        <v>45.5629</v>
      </c>
      <c r="G663" s="29">
        <v>28.289</v>
      </c>
      <c r="H663" s="29">
        <v>0.7202</v>
      </c>
      <c r="I663" s="29">
        <v>0.7154</v>
      </c>
      <c r="J663" s="29">
        <v>0.428</v>
      </c>
      <c r="K663" s="29">
        <v>0.1958</v>
      </c>
      <c r="L663" s="29">
        <v>8.3894</v>
      </c>
      <c r="M663" s="29" t="s">
        <v>225</v>
      </c>
    </row>
    <row r="664" ht="15.75" customHeight="1">
      <c r="A664" s="29" t="s">
        <v>1263</v>
      </c>
      <c r="B664" s="29" t="s">
        <v>2886</v>
      </c>
      <c r="C664" s="29">
        <v>0.0</v>
      </c>
      <c r="D664" s="29" t="s">
        <v>60</v>
      </c>
      <c r="E664" s="29">
        <v>0.6633</v>
      </c>
      <c r="F664" s="29">
        <v>45.5525</v>
      </c>
      <c r="G664" s="29">
        <v>27.2934</v>
      </c>
      <c r="H664" s="29">
        <v>0.6606</v>
      </c>
      <c r="I664" s="29">
        <v>0.7684</v>
      </c>
      <c r="J664" s="29">
        <v>0.4194</v>
      </c>
      <c r="K664" s="29">
        <v>0.0932</v>
      </c>
      <c r="L664" s="29">
        <v>8.2682</v>
      </c>
      <c r="M664" s="29" t="s">
        <v>225</v>
      </c>
    </row>
    <row r="665" ht="15.75" customHeight="1">
      <c r="A665" s="29" t="s">
        <v>2106</v>
      </c>
      <c r="B665" s="29" t="s">
        <v>2889</v>
      </c>
      <c r="C665" s="29">
        <v>0.0</v>
      </c>
      <c r="D665" s="29" t="s">
        <v>60</v>
      </c>
      <c r="E665" s="29">
        <v>0.7683</v>
      </c>
      <c r="F665" s="29">
        <v>45.5421</v>
      </c>
      <c r="G665" s="29">
        <v>29.1815</v>
      </c>
      <c r="H665" s="29">
        <v>0.6441</v>
      </c>
      <c r="I665" s="29">
        <v>0.6715</v>
      </c>
      <c r="J665" s="29">
        <v>0.4145</v>
      </c>
      <c r="K665" s="29">
        <v>0.1437</v>
      </c>
      <c r="L665" s="29">
        <v>8.1282</v>
      </c>
      <c r="M665" s="29" t="s">
        <v>225</v>
      </c>
    </row>
    <row r="666" ht="15.75" customHeight="1">
      <c r="A666" s="29" t="s">
        <v>328</v>
      </c>
      <c r="B666" s="29" t="s">
        <v>2892</v>
      </c>
      <c r="C666" s="29">
        <v>0.0</v>
      </c>
      <c r="D666" s="29" t="s">
        <v>60</v>
      </c>
      <c r="E666" s="29">
        <v>0.9052</v>
      </c>
      <c r="F666" s="29">
        <v>45.5352</v>
      </c>
      <c r="G666" s="29">
        <v>27.7064</v>
      </c>
      <c r="H666" s="29">
        <v>0.7153</v>
      </c>
      <c r="I666" s="29">
        <v>0.7454</v>
      </c>
      <c r="J666" s="29">
        <v>0.4283</v>
      </c>
      <c r="K666" s="29">
        <v>0.1973</v>
      </c>
      <c r="L666" s="29">
        <v>8.3656</v>
      </c>
      <c r="M666" s="29" t="s">
        <v>225</v>
      </c>
    </row>
    <row r="667" ht="15.75" customHeight="1">
      <c r="A667" s="29" t="s">
        <v>1298</v>
      </c>
      <c r="B667" s="29" t="s">
        <v>2895</v>
      </c>
      <c r="C667" s="29">
        <v>0.0</v>
      </c>
      <c r="D667" s="29" t="s">
        <v>60</v>
      </c>
      <c r="E667" s="29">
        <v>0.7401</v>
      </c>
      <c r="F667" s="29">
        <v>45.5318</v>
      </c>
      <c r="G667" s="29">
        <v>27.8986</v>
      </c>
      <c r="H667" s="29">
        <v>0.6347</v>
      </c>
      <c r="I667" s="29">
        <v>0.7351</v>
      </c>
      <c r="J667" s="29">
        <v>0.3505</v>
      </c>
      <c r="K667" s="29">
        <v>0.118</v>
      </c>
      <c r="L667" s="29">
        <v>8.7054</v>
      </c>
      <c r="M667" s="29" t="s">
        <v>225</v>
      </c>
    </row>
    <row r="668" ht="15.75" customHeight="1">
      <c r="A668" s="29" t="s">
        <v>459</v>
      </c>
      <c r="B668" s="29" t="s">
        <v>2898</v>
      </c>
      <c r="C668" s="29">
        <v>0.0</v>
      </c>
      <c r="D668" s="29" t="s">
        <v>60</v>
      </c>
      <c r="E668" s="29">
        <v>0.6175</v>
      </c>
      <c r="F668" s="29">
        <v>45.5214</v>
      </c>
      <c r="G668" s="29">
        <v>27.2311</v>
      </c>
      <c r="H668" s="29">
        <v>0.6547</v>
      </c>
      <c r="I668" s="29">
        <v>0.7714</v>
      </c>
      <c r="J668" s="29">
        <v>0.4936</v>
      </c>
      <c r="K668" s="29">
        <v>0.1293</v>
      </c>
      <c r="L668" s="29">
        <v>7.8552</v>
      </c>
      <c r="M668" s="29" t="s">
        <v>225</v>
      </c>
    </row>
    <row r="669" ht="15.75" customHeight="1">
      <c r="A669" s="29" t="s">
        <v>27</v>
      </c>
      <c r="B669" s="29" t="s">
        <v>917</v>
      </c>
      <c r="C669" s="29">
        <v>0.0</v>
      </c>
      <c r="D669" s="29" t="s">
        <v>60</v>
      </c>
      <c r="E669" s="29">
        <v>0.4956</v>
      </c>
      <c r="F669" s="29">
        <v>45.5214</v>
      </c>
      <c r="G669" s="29">
        <v>28.2778</v>
      </c>
      <c r="H669" s="29">
        <v>0.4706</v>
      </c>
      <c r="I669" s="29">
        <v>0.7154</v>
      </c>
      <c r="J669" s="29">
        <v>0.4075</v>
      </c>
      <c r="K669" s="29">
        <v>0.1305</v>
      </c>
      <c r="L669" s="29">
        <v>8.7395</v>
      </c>
      <c r="M669" s="29" t="s">
        <v>225</v>
      </c>
    </row>
    <row r="670" ht="15.75" customHeight="1">
      <c r="A670" s="29" t="s">
        <v>1256</v>
      </c>
      <c r="B670" s="29" t="s">
        <v>2904</v>
      </c>
      <c r="C670" s="29">
        <v>0.0</v>
      </c>
      <c r="D670" s="29" t="s">
        <v>60</v>
      </c>
      <c r="E670" s="29">
        <v>0.7402</v>
      </c>
      <c r="F670" s="29">
        <v>45.5075</v>
      </c>
      <c r="G670" s="29">
        <v>29.7254</v>
      </c>
      <c r="H670" s="29">
        <v>0.628</v>
      </c>
      <c r="I670" s="29">
        <v>0.6472</v>
      </c>
      <c r="J670" s="29">
        <v>0.3581</v>
      </c>
      <c r="K670" s="29">
        <v>0.1313</v>
      </c>
      <c r="L670" s="29">
        <v>8.6433</v>
      </c>
      <c r="M670" s="29" t="s">
        <v>225</v>
      </c>
    </row>
    <row r="671" ht="15.75" customHeight="1">
      <c r="A671" s="29" t="s">
        <v>182</v>
      </c>
      <c r="B671" s="29" t="s">
        <v>2907</v>
      </c>
      <c r="C671" s="29">
        <v>0.0</v>
      </c>
      <c r="D671" s="29" t="s">
        <v>60</v>
      </c>
      <c r="E671" s="29">
        <v>0.9017</v>
      </c>
      <c r="F671" s="29">
        <v>45.4971</v>
      </c>
      <c r="G671" s="29">
        <v>27.8464</v>
      </c>
      <c r="H671" s="29">
        <v>0.7225</v>
      </c>
      <c r="I671" s="29">
        <v>0.7373</v>
      </c>
      <c r="J671" s="29">
        <v>0.4088</v>
      </c>
      <c r="K671" s="29">
        <v>0.1697</v>
      </c>
      <c r="L671" s="29">
        <v>8.5707</v>
      </c>
      <c r="M671" s="29" t="s">
        <v>225</v>
      </c>
    </row>
    <row r="672" ht="15.75" customHeight="1">
      <c r="A672" s="29" t="s">
        <v>631</v>
      </c>
      <c r="B672" s="29" t="s">
        <v>2909</v>
      </c>
      <c r="C672" s="29">
        <v>0.0</v>
      </c>
      <c r="D672" s="29" t="s">
        <v>60</v>
      </c>
      <c r="E672" s="29">
        <v>0.9061</v>
      </c>
      <c r="F672" s="29">
        <v>45.4417</v>
      </c>
      <c r="G672" s="29">
        <v>28.8869</v>
      </c>
      <c r="H672" s="29">
        <v>0.5067</v>
      </c>
      <c r="I672" s="29">
        <v>0.6843</v>
      </c>
      <c r="J672" s="29">
        <v>0.4263</v>
      </c>
      <c r="K672" s="29">
        <v>0.2415</v>
      </c>
      <c r="L672" s="29">
        <v>8.2183</v>
      </c>
      <c r="M672" s="29" t="s">
        <v>225</v>
      </c>
    </row>
    <row r="673" ht="15.75" customHeight="1">
      <c r="A673" s="29" t="s">
        <v>1295</v>
      </c>
      <c r="B673" s="29" t="s">
        <v>2912</v>
      </c>
      <c r="C673" s="29">
        <v>0.0</v>
      </c>
      <c r="D673" s="29" t="s">
        <v>60</v>
      </c>
      <c r="E673" s="29">
        <v>0.8906</v>
      </c>
      <c r="F673" s="29">
        <v>45.414</v>
      </c>
      <c r="G673" s="29">
        <v>27.7691</v>
      </c>
      <c r="H673" s="29">
        <v>0.7097</v>
      </c>
      <c r="I673" s="29">
        <v>0.7401</v>
      </c>
      <c r="J673" s="29">
        <v>0.3875</v>
      </c>
      <c r="K673" s="29">
        <v>0.1463</v>
      </c>
      <c r="L673" s="29">
        <v>8.8378</v>
      </c>
      <c r="M673" s="29" t="s">
        <v>225</v>
      </c>
    </row>
    <row r="674" ht="15.75" customHeight="1">
      <c r="A674" s="29" t="s">
        <v>1458</v>
      </c>
      <c r="B674" s="29" t="s">
        <v>2915</v>
      </c>
      <c r="C674" s="29">
        <v>0.0</v>
      </c>
      <c r="D674" s="29" t="s">
        <v>60</v>
      </c>
      <c r="E674" s="29">
        <v>0.6168</v>
      </c>
      <c r="F674" s="29">
        <v>45.3932</v>
      </c>
      <c r="G674" s="29">
        <v>27.7509</v>
      </c>
      <c r="H674" s="29">
        <v>0.8387</v>
      </c>
      <c r="I674" s="29">
        <v>0.7407</v>
      </c>
      <c r="J674" s="29">
        <v>0.305</v>
      </c>
      <c r="K674" s="29">
        <v>0.0452</v>
      </c>
      <c r="L674" s="29">
        <v>9.435</v>
      </c>
      <c r="M674" s="29" t="s">
        <v>225</v>
      </c>
    </row>
    <row r="675" ht="15.75" customHeight="1">
      <c r="A675" s="29" t="s">
        <v>212</v>
      </c>
      <c r="B675" s="29" t="s">
        <v>2918</v>
      </c>
      <c r="C675" s="29">
        <v>0.0</v>
      </c>
      <c r="D675" s="29" t="s">
        <v>60</v>
      </c>
      <c r="E675" s="29">
        <v>0.5247</v>
      </c>
      <c r="F675" s="29">
        <v>45.3898</v>
      </c>
      <c r="G675" s="29">
        <v>27.3989</v>
      </c>
      <c r="H675" s="29">
        <v>0.4524</v>
      </c>
      <c r="I675" s="29">
        <v>0.7598</v>
      </c>
      <c r="J675" s="29">
        <v>0.3859</v>
      </c>
      <c r="K675" s="29">
        <v>0.1066</v>
      </c>
      <c r="L675" s="29">
        <v>8.909</v>
      </c>
      <c r="M675" s="29" t="s">
        <v>225</v>
      </c>
    </row>
    <row r="676" ht="15.75" customHeight="1">
      <c r="A676" s="29" t="s">
        <v>1196</v>
      </c>
      <c r="B676" s="29" t="s">
        <v>2923</v>
      </c>
      <c r="C676" s="29">
        <v>0.0</v>
      </c>
      <c r="D676" s="29" t="s">
        <v>60</v>
      </c>
      <c r="E676" s="29">
        <v>0.7392</v>
      </c>
      <c r="F676" s="29">
        <v>45.3759</v>
      </c>
      <c r="G676" s="29">
        <v>29.1003</v>
      </c>
      <c r="H676" s="29">
        <v>0.6038</v>
      </c>
      <c r="I676" s="29">
        <v>0.6733</v>
      </c>
      <c r="J676" s="29">
        <v>0.3511</v>
      </c>
      <c r="K676" s="29">
        <v>0.1218</v>
      </c>
      <c r="L676" s="29">
        <v>8.6963</v>
      </c>
      <c r="M676" s="29" t="s">
        <v>225</v>
      </c>
    </row>
    <row r="677" ht="15.75" customHeight="1">
      <c r="A677" s="29" t="s">
        <v>27</v>
      </c>
      <c r="B677" s="29" t="s">
        <v>2927</v>
      </c>
      <c r="C677" s="29">
        <v>0.0</v>
      </c>
      <c r="D677" s="29" t="s">
        <v>60</v>
      </c>
      <c r="E677" s="29">
        <v>0.903</v>
      </c>
      <c r="F677" s="29">
        <v>45.2893</v>
      </c>
      <c r="G677" s="29">
        <v>27.2638</v>
      </c>
      <c r="H677" s="29">
        <v>0.7087</v>
      </c>
      <c r="I677" s="29">
        <v>0.7657</v>
      </c>
      <c r="J677" s="29">
        <v>0.3999</v>
      </c>
      <c r="K677" s="29">
        <v>0.1565</v>
      </c>
      <c r="L677" s="29">
        <v>8.6662</v>
      </c>
      <c r="M677" s="29" t="s">
        <v>225</v>
      </c>
    </row>
    <row r="678" ht="15.75" customHeight="1">
      <c r="A678" s="29" t="s">
        <v>1503</v>
      </c>
      <c r="B678" s="29" t="s">
        <v>2931</v>
      </c>
      <c r="C678" s="29">
        <v>0.0</v>
      </c>
      <c r="D678" s="29" t="s">
        <v>60</v>
      </c>
      <c r="E678" s="29">
        <v>0.5943</v>
      </c>
      <c r="F678" s="29">
        <v>45.1577</v>
      </c>
      <c r="G678" s="29">
        <v>27.6475</v>
      </c>
      <c r="H678" s="29">
        <v>0.8203</v>
      </c>
      <c r="I678" s="29">
        <v>0.7424</v>
      </c>
      <c r="J678" s="29">
        <v>0.307</v>
      </c>
      <c r="K678" s="29">
        <v>0.0458</v>
      </c>
      <c r="L678" s="29">
        <v>9.4211</v>
      </c>
      <c r="M678" s="29" t="s">
        <v>225</v>
      </c>
    </row>
    <row r="679" ht="15.75" customHeight="1">
      <c r="A679" s="29" t="s">
        <v>423</v>
      </c>
      <c r="B679" s="29" t="s">
        <v>2935</v>
      </c>
      <c r="C679" s="29">
        <v>0.0</v>
      </c>
      <c r="D679" s="29" t="s">
        <v>60</v>
      </c>
      <c r="E679" s="29">
        <v>0.5612</v>
      </c>
      <c r="F679" s="29">
        <v>45.1439</v>
      </c>
      <c r="G679" s="29">
        <v>28.7821</v>
      </c>
      <c r="H679" s="29">
        <v>0.7666</v>
      </c>
      <c r="I679" s="29">
        <v>0.6848</v>
      </c>
      <c r="J679" s="29">
        <v>0.4687</v>
      </c>
      <c r="K679" s="29">
        <v>0.2017</v>
      </c>
      <c r="L679" s="29">
        <v>7.4486</v>
      </c>
      <c r="M679" s="29" t="s">
        <v>225</v>
      </c>
    </row>
    <row r="680" ht="15.75" customHeight="1">
      <c r="A680" s="29" t="s">
        <v>402</v>
      </c>
      <c r="B680" s="29" t="s">
        <v>2938</v>
      </c>
      <c r="C680" s="29">
        <v>0.0</v>
      </c>
      <c r="D680" s="29" t="s">
        <v>60</v>
      </c>
      <c r="E680" s="29">
        <v>0.5316</v>
      </c>
      <c r="F680" s="29">
        <v>45.0885</v>
      </c>
      <c r="G680" s="29">
        <v>29.0826</v>
      </c>
      <c r="H680" s="29">
        <v>0.7517</v>
      </c>
      <c r="I680" s="29">
        <v>0.6697</v>
      </c>
      <c r="J680" s="29">
        <v>0.4609</v>
      </c>
      <c r="K680" s="29">
        <v>0.1887</v>
      </c>
      <c r="L680" s="29">
        <v>7.4792</v>
      </c>
      <c r="M680" s="29" t="s">
        <v>225</v>
      </c>
    </row>
    <row r="681" ht="15.75" customHeight="1">
      <c r="A681" s="29" t="s">
        <v>416</v>
      </c>
      <c r="B681" s="29" t="s">
        <v>2941</v>
      </c>
      <c r="C681" s="29">
        <v>0.0</v>
      </c>
      <c r="D681" s="29" t="s">
        <v>60</v>
      </c>
      <c r="E681" s="29">
        <v>0.5721</v>
      </c>
      <c r="F681" s="29">
        <v>45.0711</v>
      </c>
      <c r="G681" s="29">
        <v>28.6156</v>
      </c>
      <c r="H681" s="29">
        <v>0.7348</v>
      </c>
      <c r="I681" s="29">
        <v>0.6916</v>
      </c>
      <c r="J681" s="29">
        <v>0.4582</v>
      </c>
      <c r="K681" s="29">
        <v>0.1849</v>
      </c>
      <c r="L681" s="29">
        <v>7.5174</v>
      </c>
      <c r="M681" s="29" t="s">
        <v>225</v>
      </c>
    </row>
    <row r="682" ht="15.75" customHeight="1">
      <c r="A682" s="29" t="s">
        <v>2261</v>
      </c>
      <c r="B682" s="29" t="s">
        <v>2944</v>
      </c>
      <c r="C682" s="29">
        <v>0.0</v>
      </c>
      <c r="D682" s="29" t="s">
        <v>60</v>
      </c>
      <c r="E682" s="29">
        <v>0.5493</v>
      </c>
      <c r="F682" s="29">
        <v>45.0642</v>
      </c>
      <c r="G682" s="29">
        <v>34.3836</v>
      </c>
      <c r="H682" s="29">
        <v>0.5237</v>
      </c>
      <c r="I682" s="29">
        <v>0.4786</v>
      </c>
      <c r="J682" s="29">
        <v>0.6161</v>
      </c>
      <c r="K682" s="29">
        <v>0.1992</v>
      </c>
      <c r="L682" s="29">
        <v>7.2118</v>
      </c>
      <c r="M682" s="29" t="s">
        <v>225</v>
      </c>
    </row>
    <row r="683" ht="15.75" customHeight="1">
      <c r="A683" s="29" t="s">
        <v>1738</v>
      </c>
      <c r="B683" s="29" t="s">
        <v>2947</v>
      </c>
      <c r="C683" s="29">
        <v>0.0</v>
      </c>
      <c r="D683" s="29" t="s">
        <v>60</v>
      </c>
      <c r="E683" s="29">
        <v>0.7404</v>
      </c>
      <c r="F683" s="29">
        <v>45.0608</v>
      </c>
      <c r="G683" s="29">
        <v>28.0894</v>
      </c>
      <c r="H683" s="29">
        <v>0.6386</v>
      </c>
      <c r="I683" s="29">
        <v>0.7177</v>
      </c>
      <c r="J683" s="29">
        <v>0.353</v>
      </c>
      <c r="K683" s="29">
        <v>0.1255</v>
      </c>
      <c r="L683" s="29">
        <v>8.6657</v>
      </c>
      <c r="M683" s="29" t="s">
        <v>225</v>
      </c>
    </row>
    <row r="684" ht="15.75" customHeight="1">
      <c r="A684" s="29" t="s">
        <v>249</v>
      </c>
      <c r="B684" s="29" t="s">
        <v>903</v>
      </c>
      <c r="C684" s="29">
        <v>0.0</v>
      </c>
      <c r="D684" s="29" t="s">
        <v>60</v>
      </c>
      <c r="E684" s="29">
        <v>0.5024</v>
      </c>
      <c r="F684" s="29">
        <v>45.0573</v>
      </c>
      <c r="G684" s="29">
        <v>28.2938</v>
      </c>
      <c r="H684" s="29">
        <v>0.4094</v>
      </c>
      <c r="I684" s="29">
        <v>0.7073</v>
      </c>
      <c r="J684" s="29">
        <v>0.3928</v>
      </c>
      <c r="K684" s="29">
        <v>0.1132</v>
      </c>
      <c r="L684" s="29">
        <v>8.858</v>
      </c>
      <c r="M684" s="29" t="s">
        <v>225</v>
      </c>
    </row>
    <row r="685" ht="15.75" customHeight="1">
      <c r="A685" s="29" t="s">
        <v>653</v>
      </c>
      <c r="B685" s="29" t="s">
        <v>2952</v>
      </c>
      <c r="C685" s="29">
        <v>0.0</v>
      </c>
      <c r="D685" s="29" t="s">
        <v>60</v>
      </c>
      <c r="E685" s="29">
        <v>0.8949</v>
      </c>
      <c r="F685" s="29">
        <v>44.9672</v>
      </c>
      <c r="G685" s="29">
        <v>27.3328</v>
      </c>
      <c r="H685" s="29">
        <v>0.6954</v>
      </c>
      <c r="I685" s="29">
        <v>0.7564</v>
      </c>
      <c r="J685" s="29">
        <v>0.404</v>
      </c>
      <c r="K685" s="29">
        <v>0.1437</v>
      </c>
      <c r="L685" s="29">
        <v>8.7183</v>
      </c>
      <c r="M685" s="29" t="s">
        <v>225</v>
      </c>
    </row>
    <row r="686" ht="15.75" customHeight="1">
      <c r="A686" s="29" t="s">
        <v>1340</v>
      </c>
      <c r="B686" s="29" t="s">
        <v>2957</v>
      </c>
      <c r="C686" s="29">
        <v>0.0</v>
      </c>
      <c r="D686" s="29" t="s">
        <v>60</v>
      </c>
      <c r="E686" s="29">
        <v>0.7416</v>
      </c>
      <c r="F686" s="29">
        <v>44.9534</v>
      </c>
      <c r="G686" s="29">
        <v>28.3551</v>
      </c>
      <c r="H686" s="29">
        <v>0.6188</v>
      </c>
      <c r="I686" s="29">
        <v>0.7023</v>
      </c>
      <c r="J686" s="29">
        <v>0.3502</v>
      </c>
      <c r="K686" s="29">
        <v>0.1165</v>
      </c>
      <c r="L686" s="29">
        <v>8.7028</v>
      </c>
      <c r="M686" s="29" t="s">
        <v>225</v>
      </c>
    </row>
    <row r="687" ht="15.75" customHeight="1">
      <c r="A687" s="29" t="s">
        <v>1389</v>
      </c>
      <c r="B687" s="29" t="s">
        <v>2961</v>
      </c>
      <c r="C687" s="29">
        <v>0.0</v>
      </c>
      <c r="D687" s="29" t="s">
        <v>60</v>
      </c>
      <c r="E687" s="29">
        <v>0.5754</v>
      </c>
      <c r="F687" s="29">
        <v>44.8564</v>
      </c>
      <c r="G687" s="29">
        <v>27.55</v>
      </c>
      <c r="H687" s="29">
        <v>0.834</v>
      </c>
      <c r="I687" s="29">
        <v>0.7427</v>
      </c>
      <c r="J687" s="29">
        <v>0.3025</v>
      </c>
      <c r="K687" s="29">
        <v>0.0454</v>
      </c>
      <c r="L687" s="29">
        <v>9.4217</v>
      </c>
      <c r="M687" s="29" t="s">
        <v>225</v>
      </c>
    </row>
    <row r="688" ht="15.75" customHeight="1">
      <c r="A688" s="29" t="s">
        <v>235</v>
      </c>
      <c r="B688" s="29" t="s">
        <v>2964</v>
      </c>
      <c r="C688" s="29">
        <v>0.0</v>
      </c>
      <c r="D688" s="29" t="s">
        <v>60</v>
      </c>
      <c r="E688" s="29">
        <v>0.9065</v>
      </c>
      <c r="F688" s="29">
        <v>44.846</v>
      </c>
      <c r="G688" s="29">
        <v>27.1747</v>
      </c>
      <c r="H688" s="29">
        <v>0.7094</v>
      </c>
      <c r="I688" s="29">
        <v>0.7631</v>
      </c>
      <c r="J688" s="29">
        <v>0.4086</v>
      </c>
      <c r="K688" s="29">
        <v>0.1706</v>
      </c>
      <c r="L688" s="29">
        <v>8.5619</v>
      </c>
      <c r="M688" s="29" t="s">
        <v>225</v>
      </c>
    </row>
    <row r="689" ht="15.75" customHeight="1">
      <c r="A689" s="29" t="s">
        <v>1544</v>
      </c>
      <c r="B689" s="29" t="s">
        <v>2967</v>
      </c>
      <c r="C689" s="29">
        <v>0.0</v>
      </c>
      <c r="D689" s="29" t="s">
        <v>60</v>
      </c>
      <c r="E689" s="29">
        <v>0.6199</v>
      </c>
      <c r="F689" s="29">
        <v>44.8079</v>
      </c>
      <c r="G689" s="29">
        <v>27.1422</v>
      </c>
      <c r="H689" s="29">
        <v>0.799</v>
      </c>
      <c r="I689" s="29">
        <v>0.7643</v>
      </c>
      <c r="J689" s="29">
        <v>0.3226</v>
      </c>
      <c r="K689" s="29">
        <v>0.0478</v>
      </c>
      <c r="L689" s="29">
        <v>9.3255</v>
      </c>
      <c r="M689" s="29" t="s">
        <v>225</v>
      </c>
    </row>
    <row r="690" ht="15.75" customHeight="1">
      <c r="A690" s="29" t="s">
        <v>172</v>
      </c>
      <c r="B690" s="29" t="s">
        <v>2970</v>
      </c>
      <c r="C690" s="29">
        <v>0.0</v>
      </c>
      <c r="D690" s="29" t="s">
        <v>60</v>
      </c>
      <c r="E690" s="29">
        <v>0.3006</v>
      </c>
      <c r="F690" s="29">
        <v>44.801</v>
      </c>
      <c r="G690" s="29">
        <v>27.908</v>
      </c>
      <c r="H690" s="29">
        <v>0.5665</v>
      </c>
      <c r="I690" s="29">
        <v>0.7228</v>
      </c>
      <c r="J690" s="29">
        <v>0.5936</v>
      </c>
      <c r="K690" s="29">
        <v>0.0886</v>
      </c>
      <c r="L690" s="29">
        <v>7.7291</v>
      </c>
      <c r="M690" s="29" t="s">
        <v>225</v>
      </c>
    </row>
    <row r="691" ht="15.75" customHeight="1">
      <c r="A691" s="29" t="s">
        <v>1336</v>
      </c>
      <c r="B691" s="29" t="s">
        <v>2972</v>
      </c>
      <c r="C691" s="29">
        <v>0.0</v>
      </c>
      <c r="D691" s="29" t="s">
        <v>60</v>
      </c>
      <c r="E691" s="29">
        <v>0.7351</v>
      </c>
      <c r="F691" s="29">
        <v>44.7837</v>
      </c>
      <c r="G691" s="29">
        <v>28.5359</v>
      </c>
      <c r="H691" s="29">
        <v>0.6245</v>
      </c>
      <c r="I691" s="29">
        <v>0.6911</v>
      </c>
      <c r="J691" s="29">
        <v>0.3524</v>
      </c>
      <c r="K691" s="29">
        <v>0.1211</v>
      </c>
      <c r="L691" s="29">
        <v>8.6695</v>
      </c>
      <c r="M691" s="29" t="s">
        <v>225</v>
      </c>
    </row>
    <row r="692" ht="15.75" customHeight="1">
      <c r="A692" s="29" t="s">
        <v>1782</v>
      </c>
      <c r="B692" s="29" t="s">
        <v>2975</v>
      </c>
      <c r="C692" s="29">
        <v>0.0</v>
      </c>
      <c r="D692" s="29" t="s">
        <v>60</v>
      </c>
      <c r="E692" s="29">
        <v>0.5416</v>
      </c>
      <c r="F692" s="29">
        <v>44.7387</v>
      </c>
      <c r="G692" s="29">
        <v>27.7026</v>
      </c>
      <c r="H692" s="29">
        <v>0.5076</v>
      </c>
      <c r="I692" s="29">
        <v>0.7326</v>
      </c>
      <c r="J692" s="29">
        <v>0.4566</v>
      </c>
      <c r="K692" s="29">
        <v>0.2</v>
      </c>
      <c r="L692" s="29">
        <v>8.1002</v>
      </c>
      <c r="M692" s="29" t="s">
        <v>225</v>
      </c>
    </row>
    <row r="693" ht="15.75" customHeight="1">
      <c r="A693" s="29" t="s">
        <v>1471</v>
      </c>
      <c r="B693" s="29" t="s">
        <v>2978</v>
      </c>
      <c r="C693" s="29">
        <v>0.0</v>
      </c>
      <c r="D693" s="29" t="s">
        <v>60</v>
      </c>
      <c r="E693" s="29">
        <v>0.5541</v>
      </c>
      <c r="F693" s="29">
        <v>44.7283</v>
      </c>
      <c r="G693" s="29">
        <v>27.3146</v>
      </c>
      <c r="H693" s="29">
        <v>0.8146</v>
      </c>
      <c r="I693" s="29">
        <v>0.7534</v>
      </c>
      <c r="J693" s="29">
        <v>0.3038</v>
      </c>
      <c r="K693" s="29">
        <v>0.0454</v>
      </c>
      <c r="L693" s="29">
        <v>9.4264</v>
      </c>
      <c r="M693" s="29" t="s">
        <v>225</v>
      </c>
    </row>
    <row r="694" ht="15.75" customHeight="1">
      <c r="A694" s="29" t="s">
        <v>2708</v>
      </c>
      <c r="B694" s="29" t="s">
        <v>2982</v>
      </c>
      <c r="C694" s="29">
        <v>0.0</v>
      </c>
      <c r="D694" s="29" t="s">
        <v>60</v>
      </c>
      <c r="E694" s="29">
        <v>0.5516</v>
      </c>
      <c r="F694" s="29">
        <v>44.7179</v>
      </c>
      <c r="G694" s="29">
        <v>27.4466</v>
      </c>
      <c r="H694" s="29">
        <v>0.8338</v>
      </c>
      <c r="I694" s="29">
        <v>0.746</v>
      </c>
      <c r="J694" s="29">
        <v>0.3036</v>
      </c>
      <c r="K694" s="29">
        <v>0.0459</v>
      </c>
      <c r="L694" s="29">
        <v>9.4104</v>
      </c>
      <c r="M694" s="29" t="s">
        <v>225</v>
      </c>
    </row>
    <row r="695" ht="15.75" customHeight="1">
      <c r="A695" s="29" t="s">
        <v>778</v>
      </c>
      <c r="B695" s="29" t="s">
        <v>2985</v>
      </c>
      <c r="C695" s="29">
        <v>0.0</v>
      </c>
      <c r="D695" s="29" t="s">
        <v>60</v>
      </c>
      <c r="E695" s="29">
        <v>0.8741</v>
      </c>
      <c r="F695" s="29">
        <v>44.6867</v>
      </c>
      <c r="G695" s="29">
        <v>30.4498</v>
      </c>
      <c r="H695" s="29">
        <v>0.5751</v>
      </c>
      <c r="I695" s="29">
        <v>0.6056</v>
      </c>
      <c r="J695" s="29">
        <v>0.4797</v>
      </c>
      <c r="K695" s="29">
        <v>0.2837</v>
      </c>
      <c r="L695" s="29">
        <v>7.6606</v>
      </c>
      <c r="M695" s="29" t="s">
        <v>225</v>
      </c>
    </row>
    <row r="696" ht="15.75" customHeight="1">
      <c r="A696" s="29" t="s">
        <v>468</v>
      </c>
      <c r="B696" s="29" t="s">
        <v>2988</v>
      </c>
      <c r="C696" s="29">
        <v>0.0</v>
      </c>
      <c r="D696" s="29" t="s">
        <v>60</v>
      </c>
      <c r="E696" s="29">
        <v>0.6338</v>
      </c>
      <c r="F696" s="29">
        <v>44.6555</v>
      </c>
      <c r="G696" s="29">
        <v>26.6443</v>
      </c>
      <c r="H696" s="29">
        <v>0.6623</v>
      </c>
      <c r="I696" s="29">
        <v>0.7905</v>
      </c>
      <c r="J696" s="29">
        <v>0.4363</v>
      </c>
      <c r="K696" s="29">
        <v>0.1072</v>
      </c>
      <c r="L696" s="29">
        <v>8.232</v>
      </c>
      <c r="M696" s="29" t="s">
        <v>225</v>
      </c>
    </row>
    <row r="697" ht="15.75" customHeight="1">
      <c r="A697" s="29" t="s">
        <v>1579</v>
      </c>
      <c r="B697" s="29" t="s">
        <v>2991</v>
      </c>
      <c r="C697" s="29">
        <v>0.0</v>
      </c>
      <c r="D697" s="29" t="s">
        <v>60</v>
      </c>
      <c r="E697" s="29">
        <v>0.8973</v>
      </c>
      <c r="F697" s="29">
        <v>44.614</v>
      </c>
      <c r="G697" s="29">
        <v>27.2436</v>
      </c>
      <c r="H697" s="29">
        <v>0.6997</v>
      </c>
      <c r="I697" s="29">
        <v>0.7554</v>
      </c>
      <c r="J697" s="29">
        <v>0.3848</v>
      </c>
      <c r="K697" s="29">
        <v>0.1486</v>
      </c>
      <c r="L697" s="29">
        <v>8.8175</v>
      </c>
      <c r="M697" s="29" t="s">
        <v>225</v>
      </c>
    </row>
    <row r="698" ht="15.75" customHeight="1">
      <c r="A698" s="29" t="s">
        <v>1897</v>
      </c>
      <c r="B698" s="29" t="s">
        <v>2994</v>
      </c>
      <c r="C698" s="29">
        <v>0.0</v>
      </c>
      <c r="D698" s="29" t="s">
        <v>60</v>
      </c>
      <c r="E698" s="29">
        <v>0.8927</v>
      </c>
      <c r="F698" s="29">
        <v>44.5897</v>
      </c>
      <c r="G698" s="29">
        <v>27.0141</v>
      </c>
      <c r="H698" s="29">
        <v>0.6954</v>
      </c>
      <c r="I698" s="29">
        <v>0.7678</v>
      </c>
      <c r="J698" s="29">
        <v>0.3846</v>
      </c>
      <c r="K698" s="29">
        <v>0.1473</v>
      </c>
      <c r="L698" s="29">
        <v>8.8356</v>
      </c>
      <c r="M698" s="29" t="s">
        <v>225</v>
      </c>
    </row>
    <row r="699" ht="15.75" customHeight="1">
      <c r="A699" s="29" t="s">
        <v>346</v>
      </c>
      <c r="B699" s="29" t="s">
        <v>1365</v>
      </c>
      <c r="C699" s="29">
        <v>0.0</v>
      </c>
      <c r="D699" s="29" t="s">
        <v>60</v>
      </c>
      <c r="E699" s="29">
        <v>0.4939</v>
      </c>
      <c r="F699" s="29">
        <v>44.5551</v>
      </c>
      <c r="G699" s="29">
        <v>26.855</v>
      </c>
      <c r="H699" s="29">
        <v>0.4151</v>
      </c>
      <c r="I699" s="29">
        <v>0.7764</v>
      </c>
      <c r="J699" s="29">
        <v>0.4025</v>
      </c>
      <c r="K699" s="29">
        <v>0.1225</v>
      </c>
      <c r="L699" s="29">
        <v>8.7912</v>
      </c>
      <c r="M699" s="29" t="s">
        <v>225</v>
      </c>
    </row>
    <row r="700" ht="15.75" customHeight="1">
      <c r="A700" s="29" t="s">
        <v>2202</v>
      </c>
      <c r="B700" s="29" t="s">
        <v>2999</v>
      </c>
      <c r="C700" s="29">
        <v>0.0</v>
      </c>
      <c r="D700" s="29" t="s">
        <v>60</v>
      </c>
      <c r="E700" s="29">
        <v>0.5299</v>
      </c>
      <c r="F700" s="29">
        <v>44.5343</v>
      </c>
      <c r="G700" s="29">
        <v>27.5574</v>
      </c>
      <c r="H700" s="29">
        <v>0.466</v>
      </c>
      <c r="I700" s="29">
        <v>0.7369</v>
      </c>
      <c r="J700" s="29">
        <v>0.3965</v>
      </c>
      <c r="K700" s="29">
        <v>0.1211</v>
      </c>
      <c r="L700" s="29">
        <v>8.7885</v>
      </c>
      <c r="M700" s="29" t="s">
        <v>225</v>
      </c>
    </row>
    <row r="701" ht="15.75" customHeight="1">
      <c r="A701" s="29" t="s">
        <v>1626</v>
      </c>
      <c r="B701" s="29" t="s">
        <v>3002</v>
      </c>
      <c r="C701" s="29">
        <v>0.0</v>
      </c>
      <c r="D701" s="29" t="s">
        <v>60</v>
      </c>
      <c r="E701" s="29">
        <v>0.5435</v>
      </c>
      <c r="F701" s="29">
        <v>44.4547</v>
      </c>
      <c r="G701" s="29">
        <v>27.3491</v>
      </c>
      <c r="H701" s="29">
        <v>0.8289</v>
      </c>
      <c r="I701" s="29">
        <v>0.7469</v>
      </c>
      <c r="J701" s="29">
        <v>0.3023</v>
      </c>
      <c r="K701" s="29">
        <v>0.045</v>
      </c>
      <c r="L701" s="29">
        <v>9.4259</v>
      </c>
      <c r="M701" s="29" t="s">
        <v>225</v>
      </c>
    </row>
    <row r="702" ht="15.75" customHeight="1">
      <c r="A702" s="29" t="s">
        <v>1556</v>
      </c>
      <c r="B702" s="29" t="s">
        <v>3005</v>
      </c>
      <c r="C702" s="29">
        <v>0.0</v>
      </c>
      <c r="D702" s="29" t="s">
        <v>60</v>
      </c>
      <c r="E702" s="29">
        <v>0.9</v>
      </c>
      <c r="F702" s="29">
        <v>44.42</v>
      </c>
      <c r="G702" s="29">
        <v>26.7645</v>
      </c>
      <c r="H702" s="29">
        <v>0.6935</v>
      </c>
      <c r="I702" s="29">
        <v>0.7792</v>
      </c>
      <c r="J702" s="29">
        <v>0.3763</v>
      </c>
      <c r="K702" s="29">
        <v>0.1357</v>
      </c>
      <c r="L702" s="29">
        <v>8.9013</v>
      </c>
      <c r="M702" s="29" t="s">
        <v>225</v>
      </c>
    </row>
    <row r="703" ht="15.75" customHeight="1">
      <c r="A703" s="29" t="s">
        <v>1719</v>
      </c>
      <c r="B703" s="29" t="s">
        <v>3008</v>
      </c>
      <c r="C703" s="29">
        <v>0.0</v>
      </c>
      <c r="D703" s="29" t="s">
        <v>60</v>
      </c>
      <c r="E703" s="29">
        <v>0.7386</v>
      </c>
      <c r="F703" s="29">
        <v>44.3923</v>
      </c>
      <c r="G703" s="29">
        <v>28.8545</v>
      </c>
      <c r="H703" s="29">
        <v>0.5972</v>
      </c>
      <c r="I703" s="29">
        <v>0.6697</v>
      </c>
      <c r="J703" s="29">
        <v>0.3474</v>
      </c>
      <c r="K703" s="29">
        <v>0.1149</v>
      </c>
      <c r="L703" s="29">
        <v>8.7514</v>
      </c>
      <c r="M703" s="29" t="s">
        <v>225</v>
      </c>
    </row>
    <row r="704" ht="15.75" customHeight="1">
      <c r="A704" s="29" t="s">
        <v>1270</v>
      </c>
      <c r="B704" s="29" t="s">
        <v>3010</v>
      </c>
      <c r="C704" s="29">
        <v>0.0</v>
      </c>
      <c r="D704" s="29" t="s">
        <v>60</v>
      </c>
      <c r="E704" s="29">
        <v>0.7371</v>
      </c>
      <c r="F704" s="29">
        <v>44.3716</v>
      </c>
      <c r="G704" s="29">
        <v>28.5703</v>
      </c>
      <c r="H704" s="29">
        <v>0.6049</v>
      </c>
      <c r="I704" s="29">
        <v>0.6831</v>
      </c>
      <c r="J704" s="29">
        <v>0.3489</v>
      </c>
      <c r="K704" s="29">
        <v>0.1159</v>
      </c>
      <c r="L704" s="29">
        <v>8.7228</v>
      </c>
      <c r="M704" s="29" t="s">
        <v>225</v>
      </c>
    </row>
    <row r="705" ht="15.75" customHeight="1">
      <c r="A705" s="29" t="s">
        <v>671</v>
      </c>
      <c r="B705" s="29" t="s">
        <v>3012</v>
      </c>
      <c r="C705" s="29">
        <v>0.0</v>
      </c>
      <c r="D705" s="29" t="s">
        <v>60</v>
      </c>
      <c r="E705" s="29">
        <v>0.3219</v>
      </c>
      <c r="F705" s="29">
        <v>44.2573</v>
      </c>
      <c r="G705" s="29">
        <v>27.5191</v>
      </c>
      <c r="H705" s="29">
        <v>0.3845</v>
      </c>
      <c r="I705" s="29">
        <v>0.7339</v>
      </c>
      <c r="J705" s="29">
        <v>0.4693</v>
      </c>
      <c r="K705" s="29">
        <v>0.1029</v>
      </c>
      <c r="L705" s="29">
        <v>8.2636</v>
      </c>
      <c r="M705" s="29" t="s">
        <v>225</v>
      </c>
    </row>
    <row r="706" ht="15.75" customHeight="1">
      <c r="A706" s="29" t="s">
        <v>1905</v>
      </c>
      <c r="B706" s="29" t="s">
        <v>3015</v>
      </c>
      <c r="C706" s="29">
        <v>0.0</v>
      </c>
      <c r="D706" s="29" t="s">
        <v>60</v>
      </c>
      <c r="E706" s="29">
        <v>0.5754</v>
      </c>
      <c r="F706" s="29">
        <v>44.2469</v>
      </c>
      <c r="G706" s="29">
        <v>28.133</v>
      </c>
      <c r="H706" s="29">
        <v>0.5378</v>
      </c>
      <c r="I706" s="29">
        <v>0.7024</v>
      </c>
      <c r="J706" s="29">
        <v>0.4728</v>
      </c>
      <c r="K706" s="29">
        <v>0.2306</v>
      </c>
      <c r="L706" s="29">
        <v>7.895</v>
      </c>
      <c r="M706" s="29" t="s">
        <v>225</v>
      </c>
    </row>
    <row r="707" ht="15.75" customHeight="1">
      <c r="A707" s="29" t="s">
        <v>1710</v>
      </c>
      <c r="B707" s="29" t="s">
        <v>3018</v>
      </c>
      <c r="C707" s="29">
        <v>0.0</v>
      </c>
      <c r="D707" s="29" t="s">
        <v>60</v>
      </c>
      <c r="E707" s="29">
        <v>0.8996</v>
      </c>
      <c r="F707" s="29">
        <v>44.2434</v>
      </c>
      <c r="G707" s="29">
        <v>26.8762</v>
      </c>
      <c r="H707" s="29">
        <v>0.6926</v>
      </c>
      <c r="I707" s="29">
        <v>0.7697</v>
      </c>
      <c r="J707" s="29">
        <v>0.3845</v>
      </c>
      <c r="K707" s="29">
        <v>0.1451</v>
      </c>
      <c r="L707" s="29">
        <v>8.8342</v>
      </c>
      <c r="M707" s="29" t="s">
        <v>225</v>
      </c>
    </row>
    <row r="708" ht="15.75" customHeight="1">
      <c r="A708" s="29" t="s">
        <v>1751</v>
      </c>
      <c r="B708" s="29" t="s">
        <v>3021</v>
      </c>
      <c r="C708" s="29">
        <v>0.0</v>
      </c>
      <c r="D708" s="29" t="s">
        <v>60</v>
      </c>
      <c r="E708" s="29">
        <v>0.8805</v>
      </c>
      <c r="F708" s="29">
        <v>44.233</v>
      </c>
      <c r="G708" s="29">
        <v>27.3126</v>
      </c>
      <c r="H708" s="29">
        <v>0.7058</v>
      </c>
      <c r="I708" s="29">
        <v>0.7451</v>
      </c>
      <c r="J708" s="29">
        <v>0.3979</v>
      </c>
      <c r="K708" s="29">
        <v>0.1489</v>
      </c>
      <c r="L708" s="29">
        <v>8.7167</v>
      </c>
      <c r="M708" s="29" t="s">
        <v>225</v>
      </c>
    </row>
    <row r="709" ht="15.75" customHeight="1">
      <c r="A709" s="29" t="s">
        <v>1609</v>
      </c>
      <c r="B709" s="29" t="s">
        <v>3023</v>
      </c>
      <c r="C709" s="29">
        <v>0.0</v>
      </c>
      <c r="D709" s="29" t="s">
        <v>60</v>
      </c>
      <c r="E709" s="29">
        <v>0.9007</v>
      </c>
      <c r="F709" s="29">
        <v>44.2157</v>
      </c>
      <c r="G709" s="29">
        <v>26.8477</v>
      </c>
      <c r="H709" s="29">
        <v>0.6927</v>
      </c>
      <c r="I709" s="29">
        <v>0.7709</v>
      </c>
      <c r="J709" s="29">
        <v>0.3786</v>
      </c>
      <c r="K709" s="29">
        <v>0.1387</v>
      </c>
      <c r="L709" s="29">
        <v>8.8844</v>
      </c>
      <c r="M709" s="29" t="s">
        <v>225</v>
      </c>
    </row>
    <row r="710" ht="15.75" customHeight="1">
      <c r="A710" s="29" t="s">
        <v>1525</v>
      </c>
      <c r="B710" s="29" t="s">
        <v>3026</v>
      </c>
      <c r="C710" s="29">
        <v>0.0</v>
      </c>
      <c r="D710" s="29" t="s">
        <v>60</v>
      </c>
      <c r="E710" s="29">
        <v>0.8964</v>
      </c>
      <c r="F710" s="29">
        <v>44.2122</v>
      </c>
      <c r="G710" s="29">
        <v>27.0974</v>
      </c>
      <c r="H710" s="29">
        <v>0.6899</v>
      </c>
      <c r="I710" s="29">
        <v>0.7567</v>
      </c>
      <c r="J710" s="29">
        <v>0.3831</v>
      </c>
      <c r="K710" s="29">
        <v>0.1452</v>
      </c>
      <c r="L710" s="29">
        <v>8.8438</v>
      </c>
      <c r="M710" s="29" t="s">
        <v>225</v>
      </c>
    </row>
    <row r="711" ht="15.75" customHeight="1">
      <c r="A711" s="29" t="s">
        <v>2658</v>
      </c>
      <c r="B711" s="29" t="s">
        <v>3029</v>
      </c>
      <c r="C711" s="29">
        <v>0.0</v>
      </c>
      <c r="D711" s="29" t="s">
        <v>60</v>
      </c>
      <c r="E711" s="29">
        <v>0.5789</v>
      </c>
      <c r="F711" s="29">
        <v>44.2053</v>
      </c>
      <c r="G711" s="29">
        <v>27.2801</v>
      </c>
      <c r="H711" s="29">
        <v>0.8293</v>
      </c>
      <c r="I711" s="29">
        <v>0.7464</v>
      </c>
      <c r="J711" s="29">
        <v>0.3136</v>
      </c>
      <c r="K711" s="29">
        <v>0.047</v>
      </c>
      <c r="L711" s="29">
        <v>9.3377</v>
      </c>
      <c r="M711" s="29" t="s">
        <v>225</v>
      </c>
    </row>
    <row r="712" ht="15.75" customHeight="1">
      <c r="A712" s="29" t="s">
        <v>1498</v>
      </c>
      <c r="B712" s="29" t="s">
        <v>3032</v>
      </c>
      <c r="C712" s="29">
        <v>0.0</v>
      </c>
      <c r="D712" s="29" t="s">
        <v>60</v>
      </c>
      <c r="E712" s="29">
        <v>0.5829</v>
      </c>
      <c r="F712" s="29">
        <v>44.1984</v>
      </c>
      <c r="G712" s="29">
        <v>27.2457</v>
      </c>
      <c r="H712" s="29">
        <v>0.8292</v>
      </c>
      <c r="I712" s="29">
        <v>0.7482</v>
      </c>
      <c r="J712" s="29">
        <v>0.3073</v>
      </c>
      <c r="K712" s="29">
        <v>0.0459</v>
      </c>
      <c r="L712" s="29">
        <v>9.4044</v>
      </c>
      <c r="M712" s="29" t="s">
        <v>225</v>
      </c>
    </row>
    <row r="713" ht="15.75" customHeight="1">
      <c r="A713" s="29" t="s">
        <v>366</v>
      </c>
      <c r="B713" s="29" t="s">
        <v>3034</v>
      </c>
      <c r="C713" s="29">
        <v>0.0</v>
      </c>
      <c r="D713" s="29" t="s">
        <v>60</v>
      </c>
      <c r="E713" s="29">
        <v>0.6529</v>
      </c>
      <c r="F713" s="29">
        <v>44.1707</v>
      </c>
      <c r="G713" s="29">
        <v>30.5525</v>
      </c>
      <c r="H713" s="29">
        <v>0.2971</v>
      </c>
      <c r="I713" s="29">
        <v>0.5943</v>
      </c>
      <c r="J713" s="29">
        <v>0.5601</v>
      </c>
      <c r="K713" s="29">
        <v>0.2227</v>
      </c>
      <c r="L713" s="29">
        <v>7.3132</v>
      </c>
      <c r="M713" s="29" t="s">
        <v>225</v>
      </c>
    </row>
    <row r="714" ht="15.75" customHeight="1">
      <c r="A714" s="29" t="s">
        <v>1199</v>
      </c>
      <c r="B714" s="29" t="s">
        <v>3037</v>
      </c>
      <c r="C714" s="29">
        <v>0.0</v>
      </c>
      <c r="D714" s="29" t="s">
        <v>60</v>
      </c>
      <c r="E714" s="29">
        <v>0.8989</v>
      </c>
      <c r="F714" s="29">
        <v>44.1672</v>
      </c>
      <c r="G714" s="29">
        <v>27.152</v>
      </c>
      <c r="H714" s="29">
        <v>0.6931</v>
      </c>
      <c r="I714" s="29">
        <v>0.7528</v>
      </c>
      <c r="J714" s="29">
        <v>0.3798</v>
      </c>
      <c r="K714" s="29">
        <v>0.139</v>
      </c>
      <c r="L714" s="29">
        <v>8.8798</v>
      </c>
      <c r="M714" s="29" t="s">
        <v>225</v>
      </c>
    </row>
    <row r="715" ht="15.75" customHeight="1">
      <c r="A715" s="29" t="s">
        <v>1205</v>
      </c>
      <c r="B715" s="29" t="s">
        <v>3040</v>
      </c>
      <c r="C715" s="29">
        <v>0.0</v>
      </c>
      <c r="D715" s="29" t="s">
        <v>60</v>
      </c>
      <c r="E715" s="29">
        <v>0.8969</v>
      </c>
      <c r="F715" s="29">
        <v>44.1603</v>
      </c>
      <c r="G715" s="29">
        <v>27.1116</v>
      </c>
      <c r="H715" s="29">
        <v>0.687</v>
      </c>
      <c r="I715" s="29">
        <v>0.755</v>
      </c>
      <c r="J715" s="29">
        <v>0.3776</v>
      </c>
      <c r="K715" s="29">
        <v>0.1373</v>
      </c>
      <c r="L715" s="29">
        <v>8.9157</v>
      </c>
      <c r="M715" s="29" t="s">
        <v>225</v>
      </c>
    </row>
    <row r="716" ht="15.75" customHeight="1">
      <c r="A716" s="29" t="s">
        <v>219</v>
      </c>
      <c r="B716" s="29" t="s">
        <v>3043</v>
      </c>
      <c r="C716" s="29">
        <v>0.0</v>
      </c>
      <c r="D716" s="29" t="s">
        <v>60</v>
      </c>
      <c r="E716" s="29">
        <v>0.5711</v>
      </c>
      <c r="F716" s="29">
        <v>44.091</v>
      </c>
      <c r="G716" s="29">
        <v>28.5693</v>
      </c>
      <c r="H716" s="29">
        <v>0.54</v>
      </c>
      <c r="I716" s="29">
        <v>0.6786</v>
      </c>
      <c r="J716" s="29">
        <v>0.4619</v>
      </c>
      <c r="K716" s="29">
        <v>0.2104</v>
      </c>
      <c r="L716" s="29">
        <v>8.0651</v>
      </c>
      <c r="M716" s="29" t="s">
        <v>225</v>
      </c>
    </row>
    <row r="717" ht="15.75" customHeight="1">
      <c r="A717" s="29" t="s">
        <v>2608</v>
      </c>
      <c r="B717" s="29" t="s">
        <v>3044</v>
      </c>
      <c r="C717" s="29">
        <v>0.0</v>
      </c>
      <c r="D717" s="29" t="s">
        <v>60</v>
      </c>
      <c r="E717" s="29">
        <v>0.3558</v>
      </c>
      <c r="F717" s="29">
        <v>44.0876</v>
      </c>
      <c r="G717" s="29">
        <v>29.2901</v>
      </c>
      <c r="H717" s="29">
        <v>0.7438</v>
      </c>
      <c r="I717" s="29">
        <v>0.6453</v>
      </c>
      <c r="J717" s="29">
        <v>0.5597</v>
      </c>
      <c r="K717" s="29">
        <v>0.075</v>
      </c>
      <c r="L717" s="29">
        <v>8.1147</v>
      </c>
      <c r="M717" s="29" t="s">
        <v>225</v>
      </c>
    </row>
    <row r="718" ht="15.75" customHeight="1">
      <c r="A718" s="29" t="s">
        <v>1639</v>
      </c>
      <c r="B718" s="29" t="s">
        <v>3047</v>
      </c>
      <c r="C718" s="29">
        <v>0.0</v>
      </c>
      <c r="D718" s="29" t="s">
        <v>60</v>
      </c>
      <c r="E718" s="29">
        <v>0.9017</v>
      </c>
      <c r="F718" s="29">
        <v>44.0425</v>
      </c>
      <c r="G718" s="29">
        <v>26.6955</v>
      </c>
      <c r="H718" s="29">
        <v>0.6881</v>
      </c>
      <c r="I718" s="29">
        <v>0.7766</v>
      </c>
      <c r="J718" s="29">
        <v>0.3803</v>
      </c>
      <c r="K718" s="29">
        <v>0.1404</v>
      </c>
      <c r="L718" s="29">
        <v>8.8836</v>
      </c>
      <c r="M718" s="29" t="s">
        <v>225</v>
      </c>
    </row>
    <row r="719" ht="15.75" customHeight="1">
      <c r="A719" s="29" t="s">
        <v>1604</v>
      </c>
      <c r="B719" s="29" t="s">
        <v>3050</v>
      </c>
      <c r="C719" s="29">
        <v>0.0</v>
      </c>
      <c r="D719" s="29" t="s">
        <v>60</v>
      </c>
      <c r="E719" s="29">
        <v>0.8987</v>
      </c>
      <c r="F719" s="29">
        <v>44.0425</v>
      </c>
      <c r="G719" s="29">
        <v>26.6325</v>
      </c>
      <c r="H719" s="29">
        <v>0.6898</v>
      </c>
      <c r="I719" s="29">
        <v>0.7803</v>
      </c>
      <c r="J719" s="29">
        <v>0.3785</v>
      </c>
      <c r="K719" s="29">
        <v>0.1406</v>
      </c>
      <c r="L719" s="29">
        <v>8.8876</v>
      </c>
      <c r="M719" s="29" t="s">
        <v>225</v>
      </c>
    </row>
    <row r="720" ht="15.75" customHeight="1">
      <c r="A720" s="29" t="s">
        <v>1514</v>
      </c>
      <c r="B720" s="29" t="s">
        <v>3052</v>
      </c>
      <c r="C720" s="29">
        <v>0.0</v>
      </c>
      <c r="D720" s="29" t="s">
        <v>60</v>
      </c>
      <c r="E720" s="29">
        <v>0.8994</v>
      </c>
      <c r="F720" s="29">
        <v>44.0425</v>
      </c>
      <c r="G720" s="29">
        <v>26.8132</v>
      </c>
      <c r="H720" s="29">
        <v>0.6829</v>
      </c>
      <c r="I720" s="29">
        <v>0.7698</v>
      </c>
      <c r="J720" s="29">
        <v>0.3834</v>
      </c>
      <c r="K720" s="29">
        <v>0.1466</v>
      </c>
      <c r="L720" s="29">
        <v>8.8465</v>
      </c>
      <c r="M720" s="29" t="s">
        <v>225</v>
      </c>
    </row>
    <row r="721" ht="15.75" customHeight="1">
      <c r="A721" s="29" t="s">
        <v>1666</v>
      </c>
      <c r="B721" s="29" t="s">
        <v>3054</v>
      </c>
      <c r="C721" s="29">
        <v>0.0</v>
      </c>
      <c r="D721" s="29" t="s">
        <v>60</v>
      </c>
      <c r="E721" s="29">
        <v>0.8979</v>
      </c>
      <c r="F721" s="29">
        <v>44.0425</v>
      </c>
      <c r="G721" s="29">
        <v>27.0427</v>
      </c>
      <c r="H721" s="29">
        <v>0.6874</v>
      </c>
      <c r="I721" s="29">
        <v>0.7568</v>
      </c>
      <c r="J721" s="29">
        <v>0.3833</v>
      </c>
      <c r="K721" s="29">
        <v>0.1463</v>
      </c>
      <c r="L721" s="29">
        <v>8.8472</v>
      </c>
      <c r="M721" s="29" t="s">
        <v>225</v>
      </c>
    </row>
    <row r="722" ht="15.75" customHeight="1">
      <c r="A722" s="29" t="s">
        <v>1308</v>
      </c>
      <c r="B722" s="29" t="s">
        <v>3057</v>
      </c>
      <c r="C722" s="29">
        <v>0.0</v>
      </c>
      <c r="D722" s="29" t="s">
        <v>60</v>
      </c>
      <c r="E722" s="29">
        <v>0.8983</v>
      </c>
      <c r="F722" s="29">
        <v>44.0287</v>
      </c>
      <c r="G722" s="29">
        <v>26.7787</v>
      </c>
      <c r="H722" s="29">
        <v>0.684</v>
      </c>
      <c r="I722" s="29">
        <v>0.7716</v>
      </c>
      <c r="J722" s="29">
        <v>0.3788</v>
      </c>
      <c r="K722" s="29">
        <v>0.1393</v>
      </c>
      <c r="L722" s="29">
        <v>8.8975</v>
      </c>
      <c r="M722" s="29" t="s">
        <v>225</v>
      </c>
    </row>
    <row r="723" ht="15.75" customHeight="1">
      <c r="A723" s="29" t="s">
        <v>1910</v>
      </c>
      <c r="B723" s="29" t="s">
        <v>3060</v>
      </c>
      <c r="C723" s="29">
        <v>0.0</v>
      </c>
      <c r="D723" s="29" t="s">
        <v>60</v>
      </c>
      <c r="E723" s="29">
        <v>0.9013</v>
      </c>
      <c r="F723" s="29">
        <v>44.0252</v>
      </c>
      <c r="G723" s="29">
        <v>27.1016</v>
      </c>
      <c r="H723" s="29">
        <v>0.6889</v>
      </c>
      <c r="I723" s="29">
        <v>0.7532</v>
      </c>
      <c r="J723" s="29">
        <v>0.3782</v>
      </c>
      <c r="K723" s="29">
        <v>0.1406</v>
      </c>
      <c r="L723" s="29">
        <v>8.8977</v>
      </c>
      <c r="M723" s="29" t="s">
        <v>225</v>
      </c>
    </row>
    <row r="724" ht="15.75" customHeight="1">
      <c r="A724" s="29" t="s">
        <v>1452</v>
      </c>
      <c r="B724" s="29" t="s">
        <v>3063</v>
      </c>
      <c r="C724" s="29">
        <v>0.0</v>
      </c>
      <c r="D724" s="29" t="s">
        <v>60</v>
      </c>
      <c r="E724" s="29">
        <v>0.899</v>
      </c>
      <c r="F724" s="29">
        <v>44.0218</v>
      </c>
      <c r="G724" s="29">
        <v>26.862</v>
      </c>
      <c r="H724" s="29">
        <v>0.6922</v>
      </c>
      <c r="I724" s="29">
        <v>0.7667</v>
      </c>
      <c r="J724" s="29">
        <v>0.3868</v>
      </c>
      <c r="K724" s="29">
        <v>0.1495</v>
      </c>
      <c r="L724" s="29">
        <v>8.8138</v>
      </c>
      <c r="M724" s="29" t="s">
        <v>225</v>
      </c>
    </row>
    <row r="725" ht="15.75" customHeight="1">
      <c r="A725" s="29" t="s">
        <v>1385</v>
      </c>
      <c r="B725" s="29" t="s">
        <v>3067</v>
      </c>
      <c r="C725" s="29">
        <v>0.0</v>
      </c>
      <c r="D725" s="29" t="s">
        <v>60</v>
      </c>
      <c r="E725" s="29">
        <v>0.5961</v>
      </c>
      <c r="F725" s="29">
        <v>44.0183</v>
      </c>
      <c r="G725" s="29">
        <v>27.1767</v>
      </c>
      <c r="H725" s="29">
        <v>0.8091</v>
      </c>
      <c r="I725" s="29">
        <v>0.7489</v>
      </c>
      <c r="J725" s="29">
        <v>0.3023</v>
      </c>
      <c r="K725" s="29">
        <v>0.0456</v>
      </c>
      <c r="L725" s="29">
        <v>9.4279</v>
      </c>
      <c r="M725" s="29" t="s">
        <v>225</v>
      </c>
    </row>
    <row r="726" ht="15.75" customHeight="1">
      <c r="A726" s="29" t="s">
        <v>1913</v>
      </c>
      <c r="B726" s="29" t="s">
        <v>3069</v>
      </c>
      <c r="C726" s="29">
        <v>0.0</v>
      </c>
      <c r="D726" s="29" t="s">
        <v>60</v>
      </c>
      <c r="E726" s="29">
        <v>0.8961</v>
      </c>
      <c r="F726" s="29">
        <v>44.0183</v>
      </c>
      <c r="G726" s="29">
        <v>26.5089</v>
      </c>
      <c r="H726" s="29">
        <v>0.6951</v>
      </c>
      <c r="I726" s="29">
        <v>0.7872</v>
      </c>
      <c r="J726" s="29">
        <v>0.3842</v>
      </c>
      <c r="K726" s="29">
        <v>0.1496</v>
      </c>
      <c r="L726" s="29">
        <v>8.8122</v>
      </c>
      <c r="M726" s="29" t="s">
        <v>225</v>
      </c>
    </row>
    <row r="727" ht="15.75" customHeight="1">
      <c r="A727" s="29" t="s">
        <v>1452</v>
      </c>
      <c r="B727" s="29" t="s">
        <v>3072</v>
      </c>
      <c r="C727" s="29">
        <v>0.0</v>
      </c>
      <c r="D727" s="29" t="s">
        <v>60</v>
      </c>
      <c r="E727" s="29">
        <v>0.6217</v>
      </c>
      <c r="F727" s="29">
        <v>43.9767</v>
      </c>
      <c r="G727" s="29">
        <v>28.4593</v>
      </c>
      <c r="H727" s="29">
        <v>0.6308</v>
      </c>
      <c r="I727" s="29">
        <v>0.6823</v>
      </c>
      <c r="J727" s="29">
        <v>0.5327</v>
      </c>
      <c r="K727" s="29">
        <v>0.1925</v>
      </c>
      <c r="L727" s="29">
        <v>7.5278</v>
      </c>
      <c r="M727" s="29" t="s">
        <v>225</v>
      </c>
    </row>
    <row r="728" ht="15.75" customHeight="1">
      <c r="A728" s="29" t="s">
        <v>1755</v>
      </c>
      <c r="B728" s="29" t="s">
        <v>3074</v>
      </c>
      <c r="C728" s="29">
        <v>0.0</v>
      </c>
      <c r="D728" s="29" t="s">
        <v>60</v>
      </c>
      <c r="E728" s="29">
        <v>0.8966</v>
      </c>
      <c r="F728" s="29">
        <v>43.949</v>
      </c>
      <c r="G728" s="29">
        <v>27.0974</v>
      </c>
      <c r="H728" s="29">
        <v>0.6919</v>
      </c>
      <c r="I728" s="29">
        <v>0.7522</v>
      </c>
      <c r="J728" s="29">
        <v>0.3855</v>
      </c>
      <c r="K728" s="29">
        <v>0.148</v>
      </c>
      <c r="L728" s="29">
        <v>8.8369</v>
      </c>
      <c r="M728" s="29" t="s">
        <v>225</v>
      </c>
    </row>
    <row r="729" ht="15.75" customHeight="1">
      <c r="A729" s="29" t="s">
        <v>738</v>
      </c>
      <c r="B729" s="29" t="s">
        <v>3076</v>
      </c>
      <c r="C729" s="29">
        <v>0.0</v>
      </c>
      <c r="D729" s="29" t="s">
        <v>60</v>
      </c>
      <c r="E729" s="29">
        <v>0.2538</v>
      </c>
      <c r="F729" s="29">
        <v>43.9283</v>
      </c>
      <c r="G729" s="29">
        <v>27.5702</v>
      </c>
      <c r="H729" s="29">
        <v>0.8143</v>
      </c>
      <c r="I729" s="29">
        <v>0.7262</v>
      </c>
      <c r="J729" s="29">
        <v>0.5014</v>
      </c>
      <c r="K729" s="29">
        <v>0.0723</v>
      </c>
      <c r="L729" s="29">
        <v>7.9648</v>
      </c>
      <c r="M729" s="29" t="s">
        <v>225</v>
      </c>
    </row>
    <row r="730" ht="15.75" customHeight="1">
      <c r="A730" s="29" t="s">
        <v>1942</v>
      </c>
      <c r="B730" s="29" t="s">
        <v>3079</v>
      </c>
      <c r="C730" s="29">
        <v>0.0</v>
      </c>
      <c r="D730" s="29" t="s">
        <v>60</v>
      </c>
      <c r="E730" s="29">
        <v>0.8731</v>
      </c>
      <c r="F730" s="29">
        <v>43.8832</v>
      </c>
      <c r="G730" s="29">
        <v>29.4131</v>
      </c>
      <c r="H730" s="29">
        <v>0.691</v>
      </c>
      <c r="I730" s="29">
        <v>0.6374</v>
      </c>
      <c r="J730" s="29">
        <v>0.4649</v>
      </c>
      <c r="K730" s="29">
        <v>0.1953</v>
      </c>
      <c r="L730" s="29">
        <v>8.1813</v>
      </c>
      <c r="M730" s="29" t="s">
        <v>225</v>
      </c>
    </row>
    <row r="731" ht="15.75" customHeight="1">
      <c r="A731" s="29" t="s">
        <v>2668</v>
      </c>
      <c r="B731" s="29" t="s">
        <v>3081</v>
      </c>
      <c r="C731" s="29">
        <v>0.0</v>
      </c>
      <c r="D731" s="29" t="s">
        <v>60</v>
      </c>
      <c r="E731" s="29">
        <v>0.5249</v>
      </c>
      <c r="F731" s="29">
        <v>43.8348</v>
      </c>
      <c r="G731" s="29">
        <v>27.1482</v>
      </c>
      <c r="H731" s="29">
        <v>0.8238</v>
      </c>
      <c r="I731" s="29">
        <v>0.7474</v>
      </c>
      <c r="J731" s="29">
        <v>0.303</v>
      </c>
      <c r="K731" s="29">
        <v>0.0455</v>
      </c>
      <c r="L731" s="29">
        <v>9.4114</v>
      </c>
      <c r="M731" s="29" t="s">
        <v>225</v>
      </c>
    </row>
    <row r="732" ht="15.75" customHeight="1">
      <c r="A732" s="29" t="s">
        <v>1485</v>
      </c>
      <c r="B732" s="29" t="s">
        <v>3084</v>
      </c>
      <c r="C732" s="29">
        <v>0.0</v>
      </c>
      <c r="D732" s="29" t="s">
        <v>60</v>
      </c>
      <c r="E732" s="29">
        <v>0.5834</v>
      </c>
      <c r="F732" s="29">
        <v>43.7932</v>
      </c>
      <c r="G732" s="29">
        <v>27.0792</v>
      </c>
      <c r="H732" s="29">
        <v>0.8239</v>
      </c>
      <c r="I732" s="29">
        <v>0.7505</v>
      </c>
      <c r="J732" s="29">
        <v>0.3083</v>
      </c>
      <c r="K732" s="29">
        <v>0.0457</v>
      </c>
      <c r="L732" s="29">
        <v>9.3956</v>
      </c>
      <c r="M732" s="29" t="s">
        <v>225</v>
      </c>
    </row>
    <row r="733" ht="15.75" customHeight="1">
      <c r="A733" s="29" t="s">
        <v>1744</v>
      </c>
      <c r="B733" s="29" t="s">
        <v>3086</v>
      </c>
      <c r="C733" s="29">
        <v>0.0</v>
      </c>
      <c r="D733" s="29" t="s">
        <v>60</v>
      </c>
      <c r="E733" s="29">
        <v>0.8975</v>
      </c>
      <c r="F733" s="29">
        <v>43.7689</v>
      </c>
      <c r="G733" s="29">
        <v>26.6207</v>
      </c>
      <c r="H733" s="29">
        <v>0.6837</v>
      </c>
      <c r="I733" s="29">
        <v>0.7761</v>
      </c>
      <c r="J733" s="29">
        <v>0.3831</v>
      </c>
      <c r="K733" s="29">
        <v>0.1511</v>
      </c>
      <c r="L733" s="29">
        <v>8.8335</v>
      </c>
      <c r="M733" s="29" t="s">
        <v>225</v>
      </c>
    </row>
    <row r="734" ht="15.75" customHeight="1">
      <c r="A734" s="29" t="s">
        <v>1671</v>
      </c>
      <c r="B734" s="29" t="s">
        <v>3089</v>
      </c>
      <c r="C734" s="29">
        <v>0.0</v>
      </c>
      <c r="D734" s="29" t="s">
        <v>60</v>
      </c>
      <c r="E734" s="29">
        <v>0.5639</v>
      </c>
      <c r="F734" s="29">
        <v>43.7516</v>
      </c>
      <c r="G734" s="29">
        <v>27.0792</v>
      </c>
      <c r="H734" s="29">
        <v>0.824</v>
      </c>
      <c r="I734" s="29">
        <v>0.7498</v>
      </c>
      <c r="J734" s="29">
        <v>0.3056</v>
      </c>
      <c r="K734" s="29">
        <v>0.0457</v>
      </c>
      <c r="L734" s="29">
        <v>9.4019</v>
      </c>
      <c r="M734" s="29" t="s">
        <v>225</v>
      </c>
    </row>
    <row r="735" ht="15.75" customHeight="1">
      <c r="A735" s="29" t="s">
        <v>1044</v>
      </c>
      <c r="B735" s="29" t="s">
        <v>3092</v>
      </c>
      <c r="C735" s="29">
        <v>0.0</v>
      </c>
      <c r="D735" s="29" t="s">
        <v>60</v>
      </c>
      <c r="E735" s="29">
        <v>0.6104</v>
      </c>
      <c r="F735" s="29">
        <v>43.7378</v>
      </c>
      <c r="G735" s="29">
        <v>39.8995</v>
      </c>
      <c r="H735" s="29">
        <v>0.3073</v>
      </c>
      <c r="I735" s="29">
        <v>0.3452</v>
      </c>
      <c r="J735" s="29">
        <v>0.6067</v>
      </c>
      <c r="K735" s="29">
        <v>0.2174</v>
      </c>
      <c r="L735" s="29">
        <v>7.5097</v>
      </c>
      <c r="M735" s="29" t="s">
        <v>225</v>
      </c>
    </row>
    <row r="736" ht="15.75" customHeight="1">
      <c r="A736" s="29" t="s">
        <v>2634</v>
      </c>
      <c r="B736" s="29" t="s">
        <v>3094</v>
      </c>
      <c r="C736" s="29">
        <v>0.0</v>
      </c>
      <c r="D736" s="29" t="s">
        <v>60</v>
      </c>
      <c r="E736" s="29">
        <v>0.6127</v>
      </c>
      <c r="F736" s="29">
        <v>43.7066</v>
      </c>
      <c r="G736" s="29">
        <v>27.2801</v>
      </c>
      <c r="H736" s="29">
        <v>0.8241</v>
      </c>
      <c r="I736" s="29">
        <v>0.738</v>
      </c>
      <c r="J736" s="29">
        <v>0.307</v>
      </c>
      <c r="K736" s="29">
        <v>0.0458</v>
      </c>
      <c r="L736" s="29">
        <v>9.4012</v>
      </c>
      <c r="M736" s="29" t="s">
        <v>225</v>
      </c>
    </row>
    <row r="737" ht="15.75" customHeight="1">
      <c r="A737" s="29" t="s">
        <v>1657</v>
      </c>
      <c r="B737" s="29" t="s">
        <v>3097</v>
      </c>
      <c r="C737" s="29">
        <v>0.0</v>
      </c>
      <c r="D737" s="29" t="s">
        <v>60</v>
      </c>
      <c r="E737" s="29">
        <v>0.5684</v>
      </c>
      <c r="F737" s="29">
        <v>43.6858</v>
      </c>
      <c r="G737" s="29">
        <v>27.0447</v>
      </c>
      <c r="H737" s="29">
        <v>0.8241</v>
      </c>
      <c r="I737" s="29">
        <v>0.7506</v>
      </c>
      <c r="J737" s="29">
        <v>0.3021</v>
      </c>
      <c r="K737" s="29">
        <v>0.0454</v>
      </c>
      <c r="L737" s="29">
        <v>9.4177</v>
      </c>
      <c r="M737" s="29" t="s">
        <v>225</v>
      </c>
    </row>
    <row r="738" ht="15.75" customHeight="1">
      <c r="A738" s="29" t="s">
        <v>2552</v>
      </c>
      <c r="B738" s="29" t="s">
        <v>3100</v>
      </c>
      <c r="C738" s="29">
        <v>0.0</v>
      </c>
      <c r="D738" s="29" t="s">
        <v>60</v>
      </c>
      <c r="E738" s="29">
        <v>0.5351</v>
      </c>
      <c r="F738" s="29">
        <v>43.6824</v>
      </c>
      <c r="G738" s="29">
        <v>27.0792</v>
      </c>
      <c r="H738" s="29">
        <v>0.8241</v>
      </c>
      <c r="I738" s="29">
        <v>0.7486</v>
      </c>
      <c r="J738" s="29">
        <v>0.3024</v>
      </c>
      <c r="K738" s="29">
        <v>0.0456</v>
      </c>
      <c r="L738" s="29">
        <v>9.4115</v>
      </c>
      <c r="M738" s="29" t="s">
        <v>225</v>
      </c>
    </row>
    <row r="739" ht="15.75" customHeight="1">
      <c r="A739" s="29" t="s">
        <v>2224</v>
      </c>
      <c r="B739" s="29" t="s">
        <v>3103</v>
      </c>
      <c r="C739" s="29">
        <v>0.0</v>
      </c>
      <c r="D739" s="29" t="s">
        <v>60</v>
      </c>
      <c r="E739" s="29">
        <v>0.5617</v>
      </c>
      <c r="F739" s="29">
        <v>43.6754</v>
      </c>
      <c r="G739" s="29">
        <v>27.8039</v>
      </c>
      <c r="H739" s="29">
        <v>0.7405</v>
      </c>
      <c r="I739" s="29">
        <v>0.7097</v>
      </c>
      <c r="J739" s="29">
        <v>0.4842</v>
      </c>
      <c r="K739" s="29">
        <v>0.1789</v>
      </c>
      <c r="L739" s="29">
        <v>7.3311</v>
      </c>
      <c r="M739" s="29" t="s">
        <v>225</v>
      </c>
    </row>
    <row r="740" ht="15.75" customHeight="1">
      <c r="A740" s="29" t="s">
        <v>1532</v>
      </c>
      <c r="B740" s="29" t="s">
        <v>3105</v>
      </c>
      <c r="C740" s="29">
        <v>0.0</v>
      </c>
      <c r="D740" s="29" t="s">
        <v>60</v>
      </c>
      <c r="E740" s="29">
        <v>0.5779</v>
      </c>
      <c r="F740" s="29">
        <v>43.6547</v>
      </c>
      <c r="G740" s="29">
        <v>27.0103</v>
      </c>
      <c r="H740" s="29">
        <v>0.824</v>
      </c>
      <c r="I740" s="29">
        <v>0.7519</v>
      </c>
      <c r="J740" s="29">
        <v>0.3013</v>
      </c>
      <c r="K740" s="29">
        <v>0.0454</v>
      </c>
      <c r="L740" s="29">
        <v>9.4175</v>
      </c>
      <c r="M740" s="29" t="s">
        <v>225</v>
      </c>
    </row>
    <row r="741" ht="15.75" customHeight="1">
      <c r="A741" s="29" t="s">
        <v>497</v>
      </c>
      <c r="B741" s="29" t="s">
        <v>3109</v>
      </c>
      <c r="C741" s="29">
        <v>0.0</v>
      </c>
      <c r="D741" s="29" t="s">
        <v>60</v>
      </c>
      <c r="E741" s="29">
        <v>0.5622</v>
      </c>
      <c r="F741" s="29">
        <v>43.6027</v>
      </c>
      <c r="G741" s="29">
        <v>28.7072</v>
      </c>
      <c r="H741" s="29">
        <v>0.7513</v>
      </c>
      <c r="I741" s="29">
        <v>0.6645</v>
      </c>
      <c r="J741" s="29">
        <v>0.4732</v>
      </c>
      <c r="K741" s="29">
        <v>0.2059</v>
      </c>
      <c r="L741" s="29">
        <v>7.4115</v>
      </c>
      <c r="M741" s="29" t="s">
        <v>225</v>
      </c>
    </row>
    <row r="742" ht="15.75" customHeight="1">
      <c r="A742" s="29" t="s">
        <v>1609</v>
      </c>
      <c r="B742" s="29" t="s">
        <v>3112</v>
      </c>
      <c r="C742" s="29">
        <v>0.0</v>
      </c>
      <c r="D742" s="29" t="s">
        <v>60</v>
      </c>
      <c r="E742" s="29">
        <v>0.5491</v>
      </c>
      <c r="F742" s="29">
        <v>43.5577</v>
      </c>
      <c r="G742" s="29">
        <v>28.0129</v>
      </c>
      <c r="H742" s="29">
        <v>0.5817</v>
      </c>
      <c r="I742" s="29">
        <v>0.6975</v>
      </c>
      <c r="J742" s="29">
        <v>0.4529</v>
      </c>
      <c r="K742" s="29">
        <v>0.1958</v>
      </c>
      <c r="L742" s="29">
        <v>8.1318</v>
      </c>
      <c r="M742" s="29" t="s">
        <v>225</v>
      </c>
    </row>
    <row r="743" ht="15.75" customHeight="1">
      <c r="A743" s="29" t="s">
        <v>2134</v>
      </c>
      <c r="B743" s="29" t="s">
        <v>3115</v>
      </c>
      <c r="C743" s="29">
        <v>0.0</v>
      </c>
      <c r="D743" s="29" t="s">
        <v>60</v>
      </c>
      <c r="E743" s="29">
        <v>0.5886</v>
      </c>
      <c r="F743" s="29">
        <v>43.4157</v>
      </c>
      <c r="G743" s="29">
        <v>28.9653</v>
      </c>
      <c r="H743" s="29">
        <v>0.7796</v>
      </c>
      <c r="I743" s="29">
        <v>0.6503</v>
      </c>
      <c r="J743" s="29">
        <v>0.5014</v>
      </c>
      <c r="K743" s="29">
        <v>0.2315</v>
      </c>
      <c r="L743" s="29">
        <v>7.2199</v>
      </c>
      <c r="M743" s="29" t="s">
        <v>225</v>
      </c>
    </row>
    <row r="744" ht="15.75" customHeight="1">
      <c r="A744" s="29" t="s">
        <v>250</v>
      </c>
      <c r="B744" s="29" t="s">
        <v>3118</v>
      </c>
      <c r="C744" s="29">
        <v>0.0</v>
      </c>
      <c r="D744" s="29" t="s">
        <v>60</v>
      </c>
      <c r="E744" s="29">
        <v>0.5295</v>
      </c>
      <c r="F744" s="29">
        <v>43.2702</v>
      </c>
      <c r="G744" s="29">
        <v>40.4176</v>
      </c>
      <c r="H744" s="29">
        <v>0.5587</v>
      </c>
      <c r="I744" s="29">
        <v>0.3324</v>
      </c>
      <c r="J744" s="29">
        <v>0.6732</v>
      </c>
      <c r="K744" s="29">
        <v>0.2905</v>
      </c>
      <c r="L744" s="29">
        <v>6.8009</v>
      </c>
      <c r="M744" s="29" t="s">
        <v>225</v>
      </c>
    </row>
    <row r="745" ht="15.75" customHeight="1">
      <c r="A745" s="29" t="s">
        <v>1465</v>
      </c>
      <c r="B745" s="29" t="s">
        <v>3122</v>
      </c>
      <c r="C745" s="29">
        <v>0.0</v>
      </c>
      <c r="D745" s="29" t="s">
        <v>60</v>
      </c>
      <c r="E745" s="29">
        <v>0.5489</v>
      </c>
      <c r="F745" s="29">
        <v>43.2529</v>
      </c>
      <c r="G745" s="29">
        <v>27.7573</v>
      </c>
      <c r="H745" s="29">
        <v>0.5727</v>
      </c>
      <c r="I745" s="29">
        <v>0.7055</v>
      </c>
      <c r="J745" s="29">
        <v>0.4774</v>
      </c>
      <c r="K745" s="29">
        <v>0.2042</v>
      </c>
      <c r="L745" s="29">
        <v>7.9351</v>
      </c>
      <c r="M745" s="29" t="s">
        <v>225</v>
      </c>
    </row>
    <row r="746" ht="15.75" customHeight="1">
      <c r="A746" s="29" t="s">
        <v>35</v>
      </c>
      <c r="B746" s="29" t="s">
        <v>3124</v>
      </c>
      <c r="C746" s="29">
        <v>0.0</v>
      </c>
      <c r="D746" s="29" t="s">
        <v>60</v>
      </c>
      <c r="E746" s="29">
        <v>0.5545</v>
      </c>
      <c r="F746" s="29">
        <v>43.2218</v>
      </c>
      <c r="G746" s="29">
        <v>27.0713</v>
      </c>
      <c r="H746" s="29">
        <v>0.5753</v>
      </c>
      <c r="I746" s="29">
        <v>0.7411</v>
      </c>
      <c r="J746" s="29">
        <v>0.4807</v>
      </c>
      <c r="K746" s="29">
        <v>0.1923</v>
      </c>
      <c r="L746" s="29">
        <v>7.9022</v>
      </c>
      <c r="M746" s="29" t="s">
        <v>225</v>
      </c>
    </row>
    <row r="747" ht="15.75" customHeight="1">
      <c r="A747" s="29" t="s">
        <v>1475</v>
      </c>
      <c r="B747" s="29" t="s">
        <v>3127</v>
      </c>
      <c r="C747" s="29">
        <v>0.0</v>
      </c>
      <c r="D747" s="29" t="s">
        <v>60</v>
      </c>
      <c r="E747" s="29">
        <v>0.7849</v>
      </c>
      <c r="F747" s="29">
        <v>43.194</v>
      </c>
      <c r="G747" s="29">
        <v>29.817</v>
      </c>
      <c r="H747" s="29">
        <v>0.73</v>
      </c>
      <c r="I747" s="29">
        <v>0.6095</v>
      </c>
      <c r="J747" s="29">
        <v>0.5469</v>
      </c>
      <c r="K747" s="29">
        <v>0.2441</v>
      </c>
      <c r="L747" s="29">
        <v>7.5025</v>
      </c>
      <c r="M747" s="29" t="s">
        <v>225</v>
      </c>
    </row>
    <row r="748" ht="15.75" customHeight="1">
      <c r="A748" s="29" t="s">
        <v>286</v>
      </c>
      <c r="B748" s="29" t="s">
        <v>3130</v>
      </c>
      <c r="C748" s="29">
        <v>0.0</v>
      </c>
      <c r="D748" s="29" t="s">
        <v>60</v>
      </c>
      <c r="E748" s="29">
        <v>0.5473</v>
      </c>
      <c r="F748" s="29">
        <v>43.1767</v>
      </c>
      <c r="G748" s="29">
        <v>28.6989</v>
      </c>
      <c r="H748" s="29">
        <v>0.7865</v>
      </c>
      <c r="I748" s="29">
        <v>0.6588</v>
      </c>
      <c r="J748" s="29">
        <v>0.4797</v>
      </c>
      <c r="K748" s="29">
        <v>0.22</v>
      </c>
      <c r="L748" s="29">
        <v>7.2801</v>
      </c>
      <c r="M748" s="29" t="s">
        <v>225</v>
      </c>
    </row>
    <row r="749" ht="15.75" customHeight="1">
      <c r="A749" s="29" t="s">
        <v>2093</v>
      </c>
      <c r="B749" s="29" t="s">
        <v>3134</v>
      </c>
      <c r="C749" s="29">
        <v>0.0</v>
      </c>
      <c r="D749" s="29" t="s">
        <v>60</v>
      </c>
      <c r="E749" s="29">
        <v>0.5215</v>
      </c>
      <c r="F749" s="29">
        <v>43.0555</v>
      </c>
      <c r="G749" s="29">
        <v>27.7238</v>
      </c>
      <c r="H749" s="29">
        <v>0.6291</v>
      </c>
      <c r="I749" s="29">
        <v>0.7027</v>
      </c>
      <c r="J749" s="29">
        <v>0.4964</v>
      </c>
      <c r="K749" s="29">
        <v>0.1048</v>
      </c>
      <c r="L749" s="29">
        <v>8.2649</v>
      </c>
      <c r="M749" s="29" t="s">
        <v>225</v>
      </c>
    </row>
    <row r="750" ht="15.75" customHeight="1">
      <c r="A750" s="29" t="s">
        <v>756</v>
      </c>
      <c r="B750" s="29" t="s">
        <v>3137</v>
      </c>
      <c r="C750" s="29">
        <v>0.0</v>
      </c>
      <c r="D750" s="29" t="s">
        <v>60</v>
      </c>
      <c r="E750" s="29">
        <v>0.3669</v>
      </c>
      <c r="F750" s="29">
        <v>43.0036</v>
      </c>
      <c r="G750" s="29">
        <v>26.9117</v>
      </c>
      <c r="H750" s="29">
        <v>0.6958</v>
      </c>
      <c r="I750" s="29">
        <v>0.7462</v>
      </c>
      <c r="J750" s="29">
        <v>0.5161</v>
      </c>
      <c r="K750" s="29">
        <v>0.0905</v>
      </c>
      <c r="L750" s="29">
        <v>7.9286</v>
      </c>
      <c r="M750" s="29" t="s">
        <v>225</v>
      </c>
    </row>
    <row r="751" ht="15.75" customHeight="1">
      <c r="A751" s="29" t="s">
        <v>2027</v>
      </c>
      <c r="B751" s="29" t="s">
        <v>3140</v>
      </c>
      <c r="C751" s="29">
        <v>0.0</v>
      </c>
      <c r="D751" s="29" t="s">
        <v>60</v>
      </c>
      <c r="E751" s="29">
        <v>0.509</v>
      </c>
      <c r="F751" s="29">
        <v>42.9482</v>
      </c>
      <c r="G751" s="29">
        <v>28.2872</v>
      </c>
      <c r="H751" s="29">
        <v>0.7604</v>
      </c>
      <c r="I751" s="29">
        <v>0.6745</v>
      </c>
      <c r="J751" s="29">
        <v>0.4444</v>
      </c>
      <c r="K751" s="29">
        <v>0.0649</v>
      </c>
      <c r="L751" s="29">
        <v>8.65</v>
      </c>
      <c r="M751" s="29" t="s">
        <v>225</v>
      </c>
    </row>
    <row r="752" ht="15.75" customHeight="1">
      <c r="A752" s="29" t="s">
        <v>1485</v>
      </c>
      <c r="B752" s="29" t="s">
        <v>3143</v>
      </c>
      <c r="C752" s="29">
        <v>0.0</v>
      </c>
      <c r="D752" s="29" t="s">
        <v>60</v>
      </c>
      <c r="E752" s="29">
        <v>0.6053</v>
      </c>
      <c r="F752" s="29">
        <v>42.8062</v>
      </c>
      <c r="G752" s="29">
        <v>30.744</v>
      </c>
      <c r="H752" s="29">
        <v>0.6887</v>
      </c>
      <c r="I752" s="29">
        <v>0.5691</v>
      </c>
      <c r="J752" s="29">
        <v>0.3833</v>
      </c>
      <c r="K752" s="29">
        <v>0.0982</v>
      </c>
      <c r="L752" s="29">
        <v>9.0255</v>
      </c>
      <c r="M752" s="29" t="s">
        <v>225</v>
      </c>
    </row>
    <row r="753" ht="15.75" customHeight="1">
      <c r="A753" s="29" t="s">
        <v>840</v>
      </c>
      <c r="B753" s="29" t="s">
        <v>3147</v>
      </c>
      <c r="C753" s="29">
        <v>0.0</v>
      </c>
      <c r="D753" s="29" t="s">
        <v>60</v>
      </c>
      <c r="E753" s="29">
        <v>0.8337</v>
      </c>
      <c r="F753" s="29">
        <v>42.6953</v>
      </c>
      <c r="G753" s="29">
        <v>35.7483</v>
      </c>
      <c r="H753" s="29">
        <v>0.6241</v>
      </c>
      <c r="I753" s="29">
        <v>0.4198</v>
      </c>
      <c r="J753" s="29">
        <v>0.523</v>
      </c>
      <c r="K753" s="29">
        <v>0.2938</v>
      </c>
      <c r="L753" s="29">
        <v>7.3305</v>
      </c>
      <c r="M753" s="29" t="s">
        <v>225</v>
      </c>
    </row>
    <row r="754" ht="15.75" customHeight="1">
      <c r="A754" s="29" t="s">
        <v>32</v>
      </c>
      <c r="B754" s="29" t="s">
        <v>3149</v>
      </c>
      <c r="C754" s="29">
        <v>0.0</v>
      </c>
      <c r="D754" s="29" t="s">
        <v>60</v>
      </c>
      <c r="E754" s="29">
        <v>0.5858</v>
      </c>
      <c r="F754" s="29">
        <v>42.6503</v>
      </c>
      <c r="G754" s="29">
        <v>28.6713</v>
      </c>
      <c r="H754" s="29">
        <v>0.6779</v>
      </c>
      <c r="I754" s="29">
        <v>0.652</v>
      </c>
      <c r="J754" s="29">
        <v>0.4835</v>
      </c>
      <c r="K754" s="29">
        <v>0.1042</v>
      </c>
      <c r="L754" s="29">
        <v>8.4947</v>
      </c>
      <c r="M754" s="29" t="s">
        <v>225</v>
      </c>
    </row>
    <row r="755" ht="15.75" customHeight="1">
      <c r="A755" s="29" t="s">
        <v>2694</v>
      </c>
      <c r="B755" s="29" t="s">
        <v>3152</v>
      </c>
      <c r="C755" s="29">
        <v>0.0</v>
      </c>
      <c r="D755" s="29" t="s">
        <v>60</v>
      </c>
      <c r="E755" s="29">
        <v>0.5866</v>
      </c>
      <c r="F755" s="29">
        <v>42.5845</v>
      </c>
      <c r="G755" s="29">
        <v>26.6429</v>
      </c>
      <c r="H755" s="29">
        <v>0.813</v>
      </c>
      <c r="I755" s="29">
        <v>0.7539</v>
      </c>
      <c r="J755" s="29">
        <v>0.3029</v>
      </c>
      <c r="K755" s="29">
        <v>0.0458</v>
      </c>
      <c r="L755" s="29">
        <v>9.3891</v>
      </c>
      <c r="M755" s="29" t="s">
        <v>225</v>
      </c>
    </row>
    <row r="756" ht="15.75" customHeight="1">
      <c r="A756" s="29" t="s">
        <v>1478</v>
      </c>
      <c r="B756" s="29" t="s">
        <v>3155</v>
      </c>
      <c r="C756" s="29">
        <v>0.0</v>
      </c>
      <c r="D756" s="29" t="s">
        <v>60</v>
      </c>
      <c r="E756" s="29">
        <v>0.612</v>
      </c>
      <c r="F756" s="29">
        <v>42.5603</v>
      </c>
      <c r="G756" s="29">
        <v>31.0605</v>
      </c>
      <c r="H756" s="29">
        <v>0.6745</v>
      </c>
      <c r="I756" s="29">
        <v>0.5542</v>
      </c>
      <c r="J756" s="29">
        <v>0.3822</v>
      </c>
      <c r="K756" s="29">
        <v>0.1013</v>
      </c>
      <c r="L756" s="29">
        <v>9.0134</v>
      </c>
      <c r="M756" s="29" t="s">
        <v>225</v>
      </c>
    </row>
    <row r="757" ht="15.75" customHeight="1">
      <c r="A757" s="29" t="s">
        <v>1458</v>
      </c>
      <c r="B757" s="29" t="s">
        <v>3157</v>
      </c>
      <c r="C757" s="29">
        <v>0.0</v>
      </c>
      <c r="D757" s="29" t="s">
        <v>60</v>
      </c>
      <c r="E757" s="29">
        <v>0.6045</v>
      </c>
      <c r="F757" s="29">
        <v>42.3975</v>
      </c>
      <c r="G757" s="29">
        <v>28.9861</v>
      </c>
      <c r="H757" s="29">
        <v>0.6732</v>
      </c>
      <c r="I757" s="29">
        <v>0.6305</v>
      </c>
      <c r="J757" s="29">
        <v>0.3764</v>
      </c>
      <c r="K757" s="29">
        <v>0.0911</v>
      </c>
      <c r="L757" s="29">
        <v>9.0907</v>
      </c>
      <c r="M757" s="29" t="s">
        <v>225</v>
      </c>
    </row>
    <row r="758" ht="15.75" customHeight="1">
      <c r="A758" s="29" t="s">
        <v>1377</v>
      </c>
      <c r="B758" s="29" t="s">
        <v>3160</v>
      </c>
      <c r="C758" s="29">
        <v>0.0</v>
      </c>
      <c r="D758" s="29" t="s">
        <v>60</v>
      </c>
      <c r="E758" s="29">
        <v>0.5773</v>
      </c>
      <c r="F758" s="29">
        <v>42.394</v>
      </c>
      <c r="G758" s="29">
        <v>31.1698</v>
      </c>
      <c r="H758" s="29">
        <v>0.6959</v>
      </c>
      <c r="I758" s="29">
        <v>0.5459</v>
      </c>
      <c r="J758" s="29">
        <v>0.3729</v>
      </c>
      <c r="K758" s="29">
        <v>0.0866</v>
      </c>
      <c r="L758" s="29">
        <v>9.1154</v>
      </c>
      <c r="M758" s="29" t="s">
        <v>225</v>
      </c>
    </row>
    <row r="759" ht="15.75" customHeight="1">
      <c r="A759" s="29" t="s">
        <v>1514</v>
      </c>
      <c r="B759" s="29" t="s">
        <v>3163</v>
      </c>
      <c r="C759" s="29">
        <v>0.0</v>
      </c>
      <c r="D759" s="29" t="s">
        <v>60</v>
      </c>
      <c r="E759" s="29">
        <v>0.5769</v>
      </c>
      <c r="F759" s="29">
        <v>42.3178</v>
      </c>
      <c r="G759" s="29">
        <v>28.0397</v>
      </c>
      <c r="H759" s="29">
        <v>0.565</v>
      </c>
      <c r="I759" s="29">
        <v>0.6764</v>
      </c>
      <c r="J759" s="29">
        <v>0.4485</v>
      </c>
      <c r="K759" s="29">
        <v>0.1935</v>
      </c>
      <c r="L759" s="29">
        <v>8.146</v>
      </c>
      <c r="M759" s="29" t="s">
        <v>225</v>
      </c>
    </row>
    <row r="760" ht="15.75" customHeight="1">
      <c r="A760" s="29" t="s">
        <v>1272</v>
      </c>
      <c r="B760" s="29" t="s">
        <v>3166</v>
      </c>
      <c r="C760" s="29">
        <v>0.0</v>
      </c>
      <c r="D760" s="29" t="s">
        <v>60</v>
      </c>
      <c r="E760" s="29">
        <v>0.6257</v>
      </c>
      <c r="F760" s="29">
        <v>42.3074</v>
      </c>
      <c r="G760" s="29">
        <v>29.731</v>
      </c>
      <c r="H760" s="29">
        <v>0.6533</v>
      </c>
      <c r="I760" s="29">
        <v>0.6006</v>
      </c>
      <c r="J760" s="29">
        <v>0.3715</v>
      </c>
      <c r="K760" s="29">
        <v>0.0839</v>
      </c>
      <c r="L760" s="29">
        <v>9.1254</v>
      </c>
      <c r="M760" s="29" t="s">
        <v>225</v>
      </c>
    </row>
    <row r="761" ht="15.75" customHeight="1">
      <c r="A761" s="29" t="s">
        <v>1751</v>
      </c>
      <c r="B761" s="29" t="s">
        <v>3169</v>
      </c>
      <c r="C761" s="29">
        <v>0.0</v>
      </c>
      <c r="D761" s="29" t="s">
        <v>60</v>
      </c>
      <c r="E761" s="29">
        <v>0.5759</v>
      </c>
      <c r="F761" s="29">
        <v>42.252</v>
      </c>
      <c r="G761" s="29">
        <v>28.4638</v>
      </c>
      <c r="H761" s="29">
        <v>0.5787</v>
      </c>
      <c r="I761" s="29">
        <v>0.6553</v>
      </c>
      <c r="J761" s="29">
        <v>0.4646</v>
      </c>
      <c r="K761" s="29">
        <v>0.2177</v>
      </c>
      <c r="L761" s="29">
        <v>7.9861</v>
      </c>
      <c r="M761" s="29" t="s">
        <v>225</v>
      </c>
    </row>
    <row r="762" ht="15.75" customHeight="1">
      <c r="A762" s="29" t="s">
        <v>1910</v>
      </c>
      <c r="B762" s="29" t="s">
        <v>3172</v>
      </c>
      <c r="C762" s="29">
        <v>0.0</v>
      </c>
      <c r="D762" s="29" t="s">
        <v>60</v>
      </c>
      <c r="E762" s="29">
        <v>0.5215</v>
      </c>
      <c r="F762" s="29">
        <v>42.0893</v>
      </c>
      <c r="G762" s="29">
        <v>27.1747</v>
      </c>
      <c r="H762" s="29">
        <v>0.5369</v>
      </c>
      <c r="I762" s="29">
        <v>0.7162</v>
      </c>
      <c r="J762" s="29">
        <v>0.4453</v>
      </c>
      <c r="K762" s="29">
        <v>0.186</v>
      </c>
      <c r="L762" s="29">
        <v>8.1971</v>
      </c>
      <c r="M762" s="29" t="s">
        <v>225</v>
      </c>
    </row>
    <row r="763" ht="15.75" customHeight="1">
      <c r="A763" s="29" t="s">
        <v>444</v>
      </c>
      <c r="B763" s="29" t="s">
        <v>3175</v>
      </c>
      <c r="C763" s="29">
        <v>0.0</v>
      </c>
      <c r="D763" s="29" t="s">
        <v>60</v>
      </c>
      <c r="E763" s="29">
        <v>0.8202</v>
      </c>
      <c r="F763" s="29">
        <v>42.0027</v>
      </c>
      <c r="G763" s="29">
        <v>27.7245</v>
      </c>
      <c r="H763" s="29">
        <v>0.611</v>
      </c>
      <c r="I763" s="29">
        <v>0.6862</v>
      </c>
      <c r="J763" s="29">
        <v>0.5162</v>
      </c>
      <c r="K763" s="29">
        <v>0.1979</v>
      </c>
      <c r="L763" s="29">
        <v>8.0599</v>
      </c>
      <c r="M763" s="29" t="s">
        <v>225</v>
      </c>
    </row>
    <row r="764" ht="15.75" customHeight="1">
      <c r="A764" s="29" t="s">
        <v>409</v>
      </c>
      <c r="B764" s="29" t="s">
        <v>3178</v>
      </c>
      <c r="C764" s="29">
        <v>0.0</v>
      </c>
      <c r="D764" s="29" t="s">
        <v>60</v>
      </c>
      <c r="E764" s="29">
        <v>0.8168</v>
      </c>
      <c r="F764" s="29">
        <v>41.9957</v>
      </c>
      <c r="G764" s="29">
        <v>26.5635</v>
      </c>
      <c r="H764" s="29">
        <v>0.6088</v>
      </c>
      <c r="I764" s="29">
        <v>0.7472</v>
      </c>
      <c r="J764" s="29">
        <v>0.5128</v>
      </c>
      <c r="K764" s="29">
        <v>0.1878</v>
      </c>
      <c r="L764" s="29">
        <v>8.1086</v>
      </c>
      <c r="M764" s="29" t="s">
        <v>225</v>
      </c>
    </row>
    <row r="765" ht="15.75" customHeight="1">
      <c r="A765" s="29" t="s">
        <v>300</v>
      </c>
      <c r="B765" s="29" t="s">
        <v>3181</v>
      </c>
      <c r="C765" s="29">
        <v>0.0</v>
      </c>
      <c r="D765" s="29" t="s">
        <v>60</v>
      </c>
      <c r="E765" s="29">
        <v>0.5924</v>
      </c>
      <c r="F765" s="29">
        <v>41.8572</v>
      </c>
      <c r="G765" s="29">
        <v>26.8905</v>
      </c>
      <c r="H765" s="29">
        <v>0.7717</v>
      </c>
      <c r="I765" s="29">
        <v>0.7274</v>
      </c>
      <c r="J765" s="29">
        <v>0.4657</v>
      </c>
      <c r="K765" s="29">
        <v>0.1885</v>
      </c>
      <c r="L765" s="29">
        <v>7.4083</v>
      </c>
      <c r="M765" s="29" t="s">
        <v>225</v>
      </c>
    </row>
    <row r="766" ht="15.75" customHeight="1">
      <c r="A766" s="29" t="s">
        <v>1443</v>
      </c>
      <c r="B766" s="29" t="s">
        <v>3184</v>
      </c>
      <c r="C766" s="29">
        <v>0.0</v>
      </c>
      <c r="D766" s="29" t="s">
        <v>60</v>
      </c>
      <c r="E766" s="29">
        <v>0.6335</v>
      </c>
      <c r="F766" s="29">
        <v>41.826</v>
      </c>
      <c r="G766" s="29">
        <v>29.6944</v>
      </c>
      <c r="H766" s="29">
        <v>0.6448</v>
      </c>
      <c r="I766" s="29">
        <v>0.5958</v>
      </c>
      <c r="J766" s="29">
        <v>0.3765</v>
      </c>
      <c r="K766" s="29">
        <v>0.0934</v>
      </c>
      <c r="L766" s="29">
        <v>9.0889</v>
      </c>
      <c r="M766" s="29" t="s">
        <v>225</v>
      </c>
    </row>
    <row r="767" ht="15.75" customHeight="1">
      <c r="A767" s="29" t="s">
        <v>366</v>
      </c>
      <c r="B767" s="29" t="s">
        <v>3188</v>
      </c>
      <c r="C767" s="29">
        <v>0.0</v>
      </c>
      <c r="D767" s="29" t="s">
        <v>60</v>
      </c>
      <c r="E767" s="29">
        <v>0.823</v>
      </c>
      <c r="F767" s="29">
        <v>41.8226</v>
      </c>
      <c r="G767" s="29">
        <v>28.8023</v>
      </c>
      <c r="H767" s="29">
        <v>0.6059</v>
      </c>
      <c r="I767" s="29">
        <v>0.6335</v>
      </c>
      <c r="J767" s="29">
        <v>0.5097</v>
      </c>
      <c r="K767" s="29">
        <v>0.1992</v>
      </c>
      <c r="L767" s="29">
        <v>8.0785</v>
      </c>
      <c r="M767" s="29" t="s">
        <v>225</v>
      </c>
    </row>
    <row r="768" ht="15.75" customHeight="1">
      <c r="A768" s="29" t="s">
        <v>1604</v>
      </c>
      <c r="B768" s="29" t="s">
        <v>3191</v>
      </c>
      <c r="C768" s="29">
        <v>0.0</v>
      </c>
      <c r="D768" s="29" t="s">
        <v>60</v>
      </c>
      <c r="E768" s="29">
        <v>0.5553</v>
      </c>
      <c r="F768" s="29">
        <v>41.7672</v>
      </c>
      <c r="G768" s="29">
        <v>27.2377</v>
      </c>
      <c r="H768" s="29">
        <v>0.5443</v>
      </c>
      <c r="I768" s="29">
        <v>0.7075</v>
      </c>
      <c r="J768" s="29">
        <v>0.4663</v>
      </c>
      <c r="K768" s="29">
        <v>0.2175</v>
      </c>
      <c r="L768" s="29">
        <v>7.9386</v>
      </c>
      <c r="M768" s="29" t="s">
        <v>225</v>
      </c>
    </row>
    <row r="769" ht="15.75" customHeight="1">
      <c r="A769" s="29" t="s">
        <v>1503</v>
      </c>
      <c r="B769" s="29" t="s">
        <v>3194</v>
      </c>
      <c r="C769" s="29">
        <v>0.0</v>
      </c>
      <c r="D769" s="29" t="s">
        <v>60</v>
      </c>
      <c r="E769" s="29">
        <v>0.609</v>
      </c>
      <c r="F769" s="29">
        <v>41.7256</v>
      </c>
      <c r="G769" s="29">
        <v>28.6835</v>
      </c>
      <c r="H769" s="29">
        <v>0.666</v>
      </c>
      <c r="I769" s="29">
        <v>0.6336</v>
      </c>
      <c r="J769" s="29">
        <v>0.3682</v>
      </c>
      <c r="K769" s="29">
        <v>0.0803</v>
      </c>
      <c r="L769" s="29">
        <v>9.1233</v>
      </c>
      <c r="M769" s="29" t="s">
        <v>225</v>
      </c>
    </row>
    <row r="770" ht="15.75" customHeight="1">
      <c r="A770" s="29" t="s">
        <v>1744</v>
      </c>
      <c r="B770" s="29" t="s">
        <v>3198</v>
      </c>
      <c r="C770" s="29">
        <v>0.0</v>
      </c>
      <c r="D770" s="29" t="s">
        <v>60</v>
      </c>
      <c r="E770" s="29">
        <v>0.5511</v>
      </c>
      <c r="F770" s="29">
        <v>41.6875</v>
      </c>
      <c r="G770" s="29">
        <v>27.4874</v>
      </c>
      <c r="H770" s="29">
        <v>0.5673</v>
      </c>
      <c r="I770" s="29">
        <v>0.6931</v>
      </c>
      <c r="J770" s="29">
        <v>0.464</v>
      </c>
      <c r="K770" s="29">
        <v>0.2166</v>
      </c>
      <c r="L770" s="29">
        <v>7.9613</v>
      </c>
      <c r="M770" s="29" t="s">
        <v>225</v>
      </c>
    </row>
    <row r="771" ht="15.75" customHeight="1">
      <c r="A771" s="29" t="s">
        <v>383</v>
      </c>
      <c r="B771" s="29" t="s">
        <v>3201</v>
      </c>
      <c r="C771" s="29">
        <v>0.0</v>
      </c>
      <c r="D771" s="29" t="s">
        <v>60</v>
      </c>
      <c r="E771" s="29">
        <v>0.8265</v>
      </c>
      <c r="F771" s="29">
        <v>41.6529</v>
      </c>
      <c r="G771" s="29">
        <v>27.0368</v>
      </c>
      <c r="H771" s="29">
        <v>0.6139</v>
      </c>
      <c r="I771" s="29">
        <v>0.7161</v>
      </c>
      <c r="J771" s="29">
        <v>0.5097</v>
      </c>
      <c r="K771" s="29">
        <v>0.1896</v>
      </c>
      <c r="L771" s="29">
        <v>8.1243</v>
      </c>
      <c r="M771" s="29" t="s">
        <v>225</v>
      </c>
    </row>
    <row r="772" ht="15.75" customHeight="1">
      <c r="A772" s="29" t="s">
        <v>95</v>
      </c>
      <c r="B772" s="29" t="s">
        <v>3204</v>
      </c>
      <c r="C772" s="29">
        <v>0.0</v>
      </c>
      <c r="D772" s="29" t="s">
        <v>60</v>
      </c>
      <c r="E772" s="29">
        <v>0.589</v>
      </c>
      <c r="F772" s="29">
        <v>41.6494</v>
      </c>
      <c r="G772" s="29">
        <v>27.0713</v>
      </c>
      <c r="H772" s="29">
        <v>0.6197</v>
      </c>
      <c r="I772" s="29">
        <v>0.7142</v>
      </c>
      <c r="J772" s="29">
        <v>0.5888</v>
      </c>
      <c r="K772" s="29">
        <v>0.224</v>
      </c>
      <c r="L772" s="29">
        <v>7.0253</v>
      </c>
      <c r="M772" s="29" t="s">
        <v>225</v>
      </c>
    </row>
    <row r="773" ht="15.75" customHeight="1">
      <c r="A773" s="29" t="s">
        <v>197</v>
      </c>
      <c r="B773" s="29" t="s">
        <v>3207</v>
      </c>
      <c r="C773" s="29">
        <v>0.0</v>
      </c>
      <c r="D773" s="29" t="s">
        <v>60</v>
      </c>
      <c r="E773" s="29">
        <v>0.6004</v>
      </c>
      <c r="F773" s="29">
        <v>41.6356</v>
      </c>
      <c r="G773" s="29">
        <v>29.3169</v>
      </c>
      <c r="H773" s="29">
        <v>0.6793</v>
      </c>
      <c r="I773" s="29">
        <v>0.6084</v>
      </c>
      <c r="J773" s="29">
        <v>0.4471</v>
      </c>
      <c r="K773" s="29">
        <v>0.1069</v>
      </c>
      <c r="L773" s="29">
        <v>8.6862</v>
      </c>
      <c r="M773" s="29" t="s">
        <v>225</v>
      </c>
    </row>
    <row r="774" ht="15.75" customHeight="1">
      <c r="A774" s="29" t="s">
        <v>1942</v>
      </c>
      <c r="B774" s="29" t="s">
        <v>3210</v>
      </c>
      <c r="C774" s="29">
        <v>0.0</v>
      </c>
      <c r="D774" s="29" t="s">
        <v>60</v>
      </c>
      <c r="E774" s="29">
        <v>0.5803</v>
      </c>
      <c r="F774" s="29">
        <v>41.6321</v>
      </c>
      <c r="G774" s="29">
        <v>27.9199</v>
      </c>
      <c r="H774" s="29">
        <v>0.5473</v>
      </c>
      <c r="I774" s="29">
        <v>0.6711</v>
      </c>
      <c r="J774" s="29">
        <v>0.468</v>
      </c>
      <c r="K774" s="29">
        <v>0.219</v>
      </c>
      <c r="L774" s="29">
        <v>7.9545</v>
      </c>
      <c r="M774" s="29" t="s">
        <v>225</v>
      </c>
    </row>
    <row r="775" ht="15.75" customHeight="1">
      <c r="A775" s="29" t="s">
        <v>1454</v>
      </c>
      <c r="B775" s="29" t="s">
        <v>3213</v>
      </c>
      <c r="C775" s="29">
        <v>0.0</v>
      </c>
      <c r="D775" s="29" t="s">
        <v>60</v>
      </c>
      <c r="E775" s="29">
        <v>0.6054</v>
      </c>
      <c r="F775" s="29">
        <v>41.6252</v>
      </c>
      <c r="G775" s="29">
        <v>27.8962</v>
      </c>
      <c r="H775" s="29">
        <v>0.6521</v>
      </c>
      <c r="I775" s="29">
        <v>0.6714</v>
      </c>
      <c r="J775" s="29">
        <v>0.3862</v>
      </c>
      <c r="K775" s="29">
        <v>0.0989</v>
      </c>
      <c r="L775" s="29">
        <v>8.9983</v>
      </c>
      <c r="M775" s="29" t="s">
        <v>225</v>
      </c>
    </row>
    <row r="776" ht="15.75" customHeight="1">
      <c r="A776" s="29" t="s">
        <v>459</v>
      </c>
      <c r="B776" s="29" t="s">
        <v>3216</v>
      </c>
      <c r="C776" s="29">
        <v>0.0</v>
      </c>
      <c r="D776" s="29" t="s">
        <v>60</v>
      </c>
      <c r="E776" s="29">
        <v>0.8243</v>
      </c>
      <c r="F776" s="29">
        <v>41.5871</v>
      </c>
      <c r="G776" s="29">
        <v>28.2824</v>
      </c>
      <c r="H776" s="29">
        <v>0.6214</v>
      </c>
      <c r="I776" s="29">
        <v>0.6533</v>
      </c>
      <c r="J776" s="29">
        <v>0.5083</v>
      </c>
      <c r="K776" s="29">
        <v>0.181</v>
      </c>
      <c r="L776" s="29">
        <v>8.1594</v>
      </c>
      <c r="M776" s="29" t="s">
        <v>225</v>
      </c>
    </row>
    <row r="777" ht="15.75" customHeight="1">
      <c r="A777" s="29" t="s">
        <v>1385</v>
      </c>
      <c r="B777" s="29" t="s">
        <v>3219</v>
      </c>
      <c r="C777" s="29">
        <v>0.0</v>
      </c>
      <c r="D777" s="29" t="s">
        <v>60</v>
      </c>
      <c r="E777" s="29">
        <v>0.6024</v>
      </c>
      <c r="F777" s="29">
        <v>41.5836</v>
      </c>
      <c r="G777" s="29">
        <v>29.0185</v>
      </c>
      <c r="H777" s="29">
        <v>0.6735</v>
      </c>
      <c r="I777" s="29">
        <v>0.6205</v>
      </c>
      <c r="J777" s="29">
        <v>0.3829</v>
      </c>
      <c r="K777" s="29">
        <v>0.0955</v>
      </c>
      <c r="L777" s="29">
        <v>9.0056</v>
      </c>
      <c r="M777" s="29" t="s">
        <v>225</v>
      </c>
    </row>
    <row r="778" ht="15.75" customHeight="1">
      <c r="A778" s="29" t="s">
        <v>1755</v>
      </c>
      <c r="B778" s="29" t="s">
        <v>3222</v>
      </c>
      <c r="C778" s="29">
        <v>0.0</v>
      </c>
      <c r="D778" s="29" t="s">
        <v>60</v>
      </c>
      <c r="E778" s="29">
        <v>0.592</v>
      </c>
      <c r="F778" s="29">
        <v>41.5767</v>
      </c>
      <c r="G778" s="29">
        <v>27.4571</v>
      </c>
      <c r="H778" s="29">
        <v>0.5609</v>
      </c>
      <c r="I778" s="29">
        <v>0.693</v>
      </c>
      <c r="J778" s="29">
        <v>0.4611</v>
      </c>
      <c r="K778" s="29">
        <v>0.2064</v>
      </c>
      <c r="L778" s="29">
        <v>8.0594</v>
      </c>
      <c r="M778" s="29" t="s">
        <v>225</v>
      </c>
    </row>
    <row r="779" ht="15.75" customHeight="1">
      <c r="A779" s="29" t="s">
        <v>2037</v>
      </c>
      <c r="B779" s="29" t="s">
        <v>3225</v>
      </c>
      <c r="C779" s="29">
        <v>0.0</v>
      </c>
      <c r="D779" s="29" t="s">
        <v>60</v>
      </c>
      <c r="E779" s="29">
        <v>0.5978</v>
      </c>
      <c r="F779" s="29">
        <v>41.5213</v>
      </c>
      <c r="G779" s="29">
        <v>29.4733</v>
      </c>
      <c r="H779" s="29">
        <v>0.696</v>
      </c>
      <c r="I779" s="29">
        <v>0.6007</v>
      </c>
      <c r="J779" s="29">
        <v>0.3949</v>
      </c>
      <c r="K779" s="29">
        <v>0.1192</v>
      </c>
      <c r="L779" s="29">
        <v>8.8352</v>
      </c>
      <c r="M779" s="29" t="s">
        <v>225</v>
      </c>
    </row>
    <row r="780" ht="15.75" customHeight="1">
      <c r="A780" s="29" t="s">
        <v>388</v>
      </c>
      <c r="B780" s="29" t="s">
        <v>3228</v>
      </c>
      <c r="C780" s="29">
        <v>0.0</v>
      </c>
      <c r="D780" s="29" t="s">
        <v>60</v>
      </c>
      <c r="E780" s="29">
        <v>0.8244</v>
      </c>
      <c r="F780" s="29">
        <v>41.5005</v>
      </c>
      <c r="G780" s="29">
        <v>27.479</v>
      </c>
      <c r="H780" s="29">
        <v>0.5904</v>
      </c>
      <c r="I780" s="29">
        <v>0.6907</v>
      </c>
      <c r="J780" s="29">
        <v>0.5124</v>
      </c>
      <c r="K780" s="29">
        <v>0.1937</v>
      </c>
      <c r="L780" s="29">
        <v>8.1001</v>
      </c>
      <c r="M780" s="29" t="s">
        <v>225</v>
      </c>
    </row>
    <row r="781" ht="15.75" customHeight="1">
      <c r="A781" s="29" t="s">
        <v>395</v>
      </c>
      <c r="B781" s="29" t="s">
        <v>3231</v>
      </c>
      <c r="C781" s="29">
        <v>0.0</v>
      </c>
      <c r="D781" s="29" t="s">
        <v>60</v>
      </c>
      <c r="E781" s="29">
        <v>0.8281</v>
      </c>
      <c r="F781" s="29">
        <v>41.4728</v>
      </c>
      <c r="G781" s="29">
        <v>29.3117</v>
      </c>
      <c r="H781" s="29">
        <v>0.5943</v>
      </c>
      <c r="I781" s="29">
        <v>0.6066</v>
      </c>
      <c r="J781" s="29">
        <v>0.52</v>
      </c>
      <c r="K781" s="29">
        <v>0.207</v>
      </c>
      <c r="L781" s="29">
        <v>8.0003</v>
      </c>
      <c r="M781" s="29" t="s">
        <v>225</v>
      </c>
    </row>
    <row r="782" ht="15.75" customHeight="1">
      <c r="A782" s="29" t="s">
        <v>437</v>
      </c>
      <c r="B782" s="29" t="s">
        <v>3234</v>
      </c>
      <c r="C782" s="29">
        <v>0.0</v>
      </c>
      <c r="D782" s="29" t="s">
        <v>60</v>
      </c>
      <c r="E782" s="29">
        <v>0.8201</v>
      </c>
      <c r="F782" s="29">
        <v>41.4243</v>
      </c>
      <c r="G782" s="29">
        <v>27.6312</v>
      </c>
      <c r="H782" s="29">
        <v>0.5946</v>
      </c>
      <c r="I782" s="29">
        <v>0.6803</v>
      </c>
      <c r="J782" s="29">
        <v>0.5159</v>
      </c>
      <c r="K782" s="29">
        <v>0.1958</v>
      </c>
      <c r="L782" s="29">
        <v>8.0731</v>
      </c>
      <c r="M782" s="29" t="s">
        <v>225</v>
      </c>
    </row>
    <row r="783" ht="15.75" customHeight="1">
      <c r="A783" s="29" t="s">
        <v>423</v>
      </c>
      <c r="B783" s="29" t="s">
        <v>3237</v>
      </c>
      <c r="C783" s="29">
        <v>0.0</v>
      </c>
      <c r="D783" s="29" t="s">
        <v>60</v>
      </c>
      <c r="E783" s="29">
        <v>0.8263</v>
      </c>
      <c r="F783" s="29">
        <v>41.4001</v>
      </c>
      <c r="G783" s="29">
        <v>28.6477</v>
      </c>
      <c r="H783" s="29">
        <v>0.609</v>
      </c>
      <c r="I783" s="29">
        <v>0.6339</v>
      </c>
      <c r="J783" s="29">
        <v>0.5072</v>
      </c>
      <c r="K783" s="29">
        <v>0.1828</v>
      </c>
      <c r="L783" s="29">
        <v>8.1695</v>
      </c>
      <c r="M783" s="29" t="s">
        <v>225</v>
      </c>
    </row>
    <row r="784" ht="15.75" customHeight="1">
      <c r="A784" s="29" t="s">
        <v>1908</v>
      </c>
      <c r="B784" s="29" t="s">
        <v>3240</v>
      </c>
      <c r="C784" s="29">
        <v>0.0</v>
      </c>
      <c r="D784" s="29" t="s">
        <v>60</v>
      </c>
      <c r="E784" s="29">
        <v>0.5932</v>
      </c>
      <c r="F784" s="29">
        <v>41.3724</v>
      </c>
      <c r="G784" s="29">
        <v>29.311</v>
      </c>
      <c r="H784" s="29">
        <v>0.588</v>
      </c>
      <c r="I784" s="29">
        <v>0.6051</v>
      </c>
      <c r="J784" s="29">
        <v>0.4455</v>
      </c>
      <c r="K784" s="29">
        <v>0.1096</v>
      </c>
      <c r="L784" s="29">
        <v>8.5627</v>
      </c>
      <c r="M784" s="29" t="s">
        <v>225</v>
      </c>
    </row>
    <row r="785" ht="15.75" customHeight="1">
      <c r="A785" s="29" t="s">
        <v>497</v>
      </c>
      <c r="B785" s="29" t="s">
        <v>3243</v>
      </c>
      <c r="C785" s="29">
        <v>0.0</v>
      </c>
      <c r="D785" s="29" t="s">
        <v>60</v>
      </c>
      <c r="E785" s="29">
        <v>0.8191</v>
      </c>
      <c r="F785" s="29">
        <v>41.3654</v>
      </c>
      <c r="G785" s="29">
        <v>27.0688</v>
      </c>
      <c r="H785" s="29">
        <v>0.6099</v>
      </c>
      <c r="I785" s="29">
        <v>0.7086</v>
      </c>
      <c r="J785" s="29">
        <v>0.5172</v>
      </c>
      <c r="K785" s="29">
        <v>0.1987</v>
      </c>
      <c r="L785" s="29">
        <v>8.036</v>
      </c>
      <c r="M785" s="29" t="s">
        <v>225</v>
      </c>
    </row>
    <row r="786" ht="15.75" customHeight="1">
      <c r="A786" s="29" t="s">
        <v>1532</v>
      </c>
      <c r="B786" s="29" t="s">
        <v>3246</v>
      </c>
      <c r="C786" s="29">
        <v>0.0</v>
      </c>
      <c r="D786" s="29" t="s">
        <v>60</v>
      </c>
      <c r="E786" s="29">
        <v>0.6256</v>
      </c>
      <c r="F786" s="29">
        <v>41.3481</v>
      </c>
      <c r="G786" s="29">
        <v>27.8558</v>
      </c>
      <c r="H786" s="29">
        <v>0.6452</v>
      </c>
      <c r="I786" s="29">
        <v>0.6694</v>
      </c>
      <c r="J786" s="29">
        <v>0.3871</v>
      </c>
      <c r="K786" s="29">
        <v>0.1045</v>
      </c>
      <c r="L786" s="29">
        <v>8.9529</v>
      </c>
      <c r="M786" s="29" t="s">
        <v>225</v>
      </c>
    </row>
    <row r="787" ht="15.75" customHeight="1">
      <c r="A787" s="29" t="s">
        <v>300</v>
      </c>
      <c r="B787" s="29" t="s">
        <v>3249</v>
      </c>
      <c r="C787" s="29">
        <v>0.0</v>
      </c>
      <c r="D787" s="29" t="s">
        <v>60</v>
      </c>
      <c r="E787" s="29">
        <v>0.819</v>
      </c>
      <c r="F787" s="29">
        <v>41.3447</v>
      </c>
      <c r="G787" s="29">
        <v>27.5337</v>
      </c>
      <c r="H787" s="29">
        <v>0.6186</v>
      </c>
      <c r="I787" s="29">
        <v>0.6837</v>
      </c>
      <c r="J787" s="29">
        <v>0.5093</v>
      </c>
      <c r="K787" s="29">
        <v>0.1961</v>
      </c>
      <c r="L787" s="29">
        <v>8.0791</v>
      </c>
      <c r="M787" s="29" t="s">
        <v>225</v>
      </c>
    </row>
    <row r="788" ht="15.75" customHeight="1">
      <c r="A788" s="29" t="s">
        <v>446</v>
      </c>
      <c r="B788" s="29" t="s">
        <v>3252</v>
      </c>
      <c r="C788" s="29">
        <v>0.0</v>
      </c>
      <c r="D788" s="29" t="s">
        <v>60</v>
      </c>
      <c r="E788" s="29">
        <v>0.5677</v>
      </c>
      <c r="F788" s="29">
        <v>41.2962</v>
      </c>
      <c r="G788" s="29">
        <v>27.37</v>
      </c>
      <c r="H788" s="29">
        <v>0.5489</v>
      </c>
      <c r="I788" s="29">
        <v>0.6927</v>
      </c>
      <c r="J788" s="29">
        <v>0.4698</v>
      </c>
      <c r="K788" s="29">
        <v>0.2242</v>
      </c>
      <c r="L788" s="29">
        <v>7.9057</v>
      </c>
      <c r="M788" s="29" t="s">
        <v>225</v>
      </c>
    </row>
    <row r="789" ht="15.75" customHeight="1">
      <c r="A789" s="29" t="s">
        <v>50</v>
      </c>
      <c r="B789" s="29" t="s">
        <v>3255</v>
      </c>
      <c r="C789" s="29">
        <v>0.0</v>
      </c>
      <c r="D789" s="29" t="s">
        <v>60</v>
      </c>
      <c r="E789" s="29">
        <v>0.7982</v>
      </c>
      <c r="F789" s="29">
        <v>41.2788</v>
      </c>
      <c r="G789" s="29">
        <v>28.7392</v>
      </c>
      <c r="H789" s="29">
        <v>0.6032</v>
      </c>
      <c r="I789" s="29">
        <v>0.627</v>
      </c>
      <c r="J789" s="29">
        <v>0.5355</v>
      </c>
      <c r="K789" s="29">
        <v>0.1969</v>
      </c>
      <c r="L789" s="29">
        <v>7.9576</v>
      </c>
      <c r="M789" s="29" t="s">
        <v>225</v>
      </c>
    </row>
    <row r="790" ht="15.75" customHeight="1">
      <c r="A790" s="29" t="s">
        <v>308</v>
      </c>
      <c r="B790" s="29" t="s">
        <v>3258</v>
      </c>
      <c r="C790" s="29">
        <v>0.0</v>
      </c>
      <c r="D790" s="29" t="s">
        <v>60</v>
      </c>
      <c r="E790" s="29">
        <v>0.6135</v>
      </c>
      <c r="F790" s="29">
        <v>41.2719</v>
      </c>
      <c r="G790" s="29">
        <v>29.4203</v>
      </c>
      <c r="H790" s="29">
        <v>0.7091</v>
      </c>
      <c r="I790" s="29">
        <v>0.5987</v>
      </c>
      <c r="J790" s="29">
        <v>0.3853</v>
      </c>
      <c r="K790" s="29">
        <v>0.1069</v>
      </c>
      <c r="L790" s="29">
        <v>8.8937</v>
      </c>
      <c r="M790" s="29" t="s">
        <v>225</v>
      </c>
    </row>
    <row r="791" ht="15.75" customHeight="1">
      <c r="A791" s="29" t="s">
        <v>416</v>
      </c>
      <c r="B791" s="29" t="s">
        <v>3261</v>
      </c>
      <c r="C791" s="29">
        <v>0.0</v>
      </c>
      <c r="D791" s="29" t="s">
        <v>60</v>
      </c>
      <c r="E791" s="29">
        <v>0.8225</v>
      </c>
      <c r="F791" s="29">
        <v>41.2685</v>
      </c>
      <c r="G791" s="29">
        <v>27.9784</v>
      </c>
      <c r="H791" s="29">
        <v>0.5985</v>
      </c>
      <c r="I791" s="29">
        <v>0.6624</v>
      </c>
      <c r="J791" s="29">
        <v>0.5144</v>
      </c>
      <c r="K791" s="29">
        <v>0.1966</v>
      </c>
      <c r="L791" s="29">
        <v>8.0788</v>
      </c>
      <c r="M791" s="29" t="s">
        <v>225</v>
      </c>
    </row>
    <row r="792" ht="15.75" customHeight="1">
      <c r="A792" s="29" t="s">
        <v>402</v>
      </c>
      <c r="B792" s="29" t="s">
        <v>3264</v>
      </c>
      <c r="C792" s="29">
        <v>0.0</v>
      </c>
      <c r="D792" s="29" t="s">
        <v>60</v>
      </c>
      <c r="E792" s="29">
        <v>0.8289</v>
      </c>
      <c r="F792" s="29">
        <v>41.2477</v>
      </c>
      <c r="G792" s="29">
        <v>27.6455</v>
      </c>
      <c r="H792" s="29">
        <v>0.5973</v>
      </c>
      <c r="I792" s="29">
        <v>0.6775</v>
      </c>
      <c r="J792" s="29">
        <v>0.5069</v>
      </c>
      <c r="K792" s="29">
        <v>0.1843</v>
      </c>
      <c r="L792" s="29">
        <v>8.1681</v>
      </c>
      <c r="M792" s="29" t="s">
        <v>225</v>
      </c>
    </row>
    <row r="793" ht="15.75" customHeight="1">
      <c r="A793" s="29" t="s">
        <v>1776</v>
      </c>
      <c r="B793" s="29" t="s">
        <v>3266</v>
      </c>
      <c r="C793" s="29">
        <v>0.0</v>
      </c>
      <c r="D793" s="29" t="s">
        <v>60</v>
      </c>
      <c r="E793" s="29">
        <v>0.604</v>
      </c>
      <c r="F793" s="29">
        <v>41.2408</v>
      </c>
      <c r="G793" s="29">
        <v>28.3429</v>
      </c>
      <c r="H793" s="29">
        <v>0.685</v>
      </c>
      <c r="I793" s="29">
        <v>0.643</v>
      </c>
      <c r="J793" s="29">
        <v>0.3835</v>
      </c>
      <c r="K793" s="29">
        <v>0.1092</v>
      </c>
      <c r="L793" s="29">
        <v>8.972</v>
      </c>
      <c r="M793" s="29" t="s">
        <v>225</v>
      </c>
    </row>
    <row r="794" ht="15.75" customHeight="1">
      <c r="A794" s="29" t="s">
        <v>1848</v>
      </c>
      <c r="B794" s="29" t="s">
        <v>3269</v>
      </c>
      <c r="C794" s="29">
        <v>0.0</v>
      </c>
      <c r="D794" s="29" t="s">
        <v>60</v>
      </c>
      <c r="E794" s="29">
        <v>0.6196</v>
      </c>
      <c r="F794" s="29">
        <v>41.1923</v>
      </c>
      <c r="G794" s="29">
        <v>29.3678</v>
      </c>
      <c r="H794" s="29">
        <v>0.641</v>
      </c>
      <c r="I794" s="29">
        <v>0.6002</v>
      </c>
      <c r="J794" s="29">
        <v>0.4017</v>
      </c>
      <c r="K794" s="29">
        <v>0.0951</v>
      </c>
      <c r="L794" s="29">
        <v>8.9128</v>
      </c>
      <c r="M794" s="29" t="s">
        <v>225</v>
      </c>
    </row>
    <row r="795" ht="15.75" customHeight="1">
      <c r="A795" s="29" t="s">
        <v>296</v>
      </c>
      <c r="B795" s="29" t="s">
        <v>3272</v>
      </c>
      <c r="C795" s="29">
        <v>0.0</v>
      </c>
      <c r="D795" s="29" t="s">
        <v>60</v>
      </c>
      <c r="E795" s="29">
        <v>0.8213</v>
      </c>
      <c r="F795" s="29">
        <v>41.1403</v>
      </c>
      <c r="G795" s="29">
        <v>27.8178</v>
      </c>
      <c r="H795" s="29">
        <v>0.6049</v>
      </c>
      <c r="I795" s="29">
        <v>0.6672</v>
      </c>
      <c r="J795" s="29">
        <v>0.5189</v>
      </c>
      <c r="K795" s="29">
        <v>0.2015</v>
      </c>
      <c r="L795" s="29">
        <v>8.0342</v>
      </c>
      <c r="M795" s="29" t="s">
        <v>225</v>
      </c>
    </row>
    <row r="796" ht="15.75" customHeight="1">
      <c r="A796" s="29" t="s">
        <v>483</v>
      </c>
      <c r="B796" s="29" t="s">
        <v>3275</v>
      </c>
      <c r="C796" s="29">
        <v>0.0</v>
      </c>
      <c r="D796" s="29" t="s">
        <v>60</v>
      </c>
      <c r="E796" s="29">
        <v>0.799</v>
      </c>
      <c r="F796" s="29">
        <v>41.1195</v>
      </c>
      <c r="G796" s="29">
        <v>27.1604</v>
      </c>
      <c r="H796" s="29">
        <v>0.5896</v>
      </c>
      <c r="I796" s="29">
        <v>0.6995</v>
      </c>
      <c r="J796" s="29">
        <v>0.5159</v>
      </c>
      <c r="K796" s="29">
        <v>0.2001</v>
      </c>
      <c r="L796" s="29">
        <v>8.0716</v>
      </c>
      <c r="M796" s="29" t="s">
        <v>225</v>
      </c>
    </row>
    <row r="797" ht="15.75" customHeight="1">
      <c r="A797" s="29" t="s">
        <v>1913</v>
      </c>
      <c r="B797" s="29" t="s">
        <v>3278</v>
      </c>
      <c r="C797" s="29">
        <v>0.0</v>
      </c>
      <c r="D797" s="29" t="s">
        <v>60</v>
      </c>
      <c r="E797" s="29">
        <v>0.5781</v>
      </c>
      <c r="F797" s="29">
        <v>41.026</v>
      </c>
      <c r="G797" s="29">
        <v>26.6151</v>
      </c>
      <c r="H797" s="29">
        <v>0.5786</v>
      </c>
      <c r="I797" s="29">
        <v>0.7278</v>
      </c>
      <c r="J797" s="29">
        <v>0.465</v>
      </c>
      <c r="K797" s="29">
        <v>0.2164</v>
      </c>
      <c r="L797" s="29">
        <v>7.99</v>
      </c>
      <c r="M797" s="29" t="s">
        <v>225</v>
      </c>
    </row>
    <row r="798" ht="15.75" customHeight="1">
      <c r="A798" s="29" t="s">
        <v>1389</v>
      </c>
      <c r="B798" s="29" t="s">
        <v>3281</v>
      </c>
      <c r="C798" s="29">
        <v>0.0</v>
      </c>
      <c r="D798" s="29" t="s">
        <v>60</v>
      </c>
      <c r="E798" s="29">
        <v>0.6243</v>
      </c>
      <c r="F798" s="29">
        <v>40.9983</v>
      </c>
      <c r="G798" s="29">
        <v>28.5481</v>
      </c>
      <c r="H798" s="29">
        <v>0.6693</v>
      </c>
      <c r="I798" s="29">
        <v>0.6284</v>
      </c>
      <c r="J798" s="29">
        <v>0.3808</v>
      </c>
      <c r="K798" s="29">
        <v>0.1011</v>
      </c>
      <c r="L798" s="29">
        <v>9.0303</v>
      </c>
      <c r="M798" s="29" t="s">
        <v>225</v>
      </c>
    </row>
    <row r="799" ht="15.75" customHeight="1">
      <c r="A799" s="29" t="s">
        <v>468</v>
      </c>
      <c r="B799" s="29" t="s">
        <v>3284</v>
      </c>
      <c r="C799" s="29">
        <v>0.0</v>
      </c>
      <c r="D799" s="29" t="s">
        <v>60</v>
      </c>
      <c r="E799" s="29">
        <v>0.8151</v>
      </c>
      <c r="F799" s="29">
        <v>40.9879</v>
      </c>
      <c r="G799" s="29">
        <v>26.3971</v>
      </c>
      <c r="H799" s="29">
        <v>0.5871</v>
      </c>
      <c r="I799" s="29">
        <v>0.7392</v>
      </c>
      <c r="J799" s="29">
        <v>0.5136</v>
      </c>
      <c r="K799" s="29">
        <v>0.1936</v>
      </c>
      <c r="L799" s="29">
        <v>8.0511</v>
      </c>
      <c r="M799" s="29" t="s">
        <v>225</v>
      </c>
    </row>
    <row r="800" ht="15.75" customHeight="1">
      <c r="A800" s="29" t="s">
        <v>1352</v>
      </c>
      <c r="B800" s="29" t="s">
        <v>3287</v>
      </c>
      <c r="C800" s="29">
        <v>0.0</v>
      </c>
      <c r="D800" s="29" t="s">
        <v>60</v>
      </c>
      <c r="E800" s="29">
        <v>0.6172</v>
      </c>
      <c r="F800" s="29">
        <v>40.9706</v>
      </c>
      <c r="G800" s="29">
        <v>29.7818</v>
      </c>
      <c r="H800" s="29">
        <v>0.6715</v>
      </c>
      <c r="I800" s="29">
        <v>0.5793</v>
      </c>
      <c r="J800" s="29">
        <v>0.3733</v>
      </c>
      <c r="K800" s="29">
        <v>0.0931</v>
      </c>
      <c r="L800" s="29">
        <v>9.0682</v>
      </c>
      <c r="M800" s="29" t="s">
        <v>225</v>
      </c>
    </row>
    <row r="801" ht="15.75" customHeight="1">
      <c r="A801" s="29" t="s">
        <v>286</v>
      </c>
      <c r="B801" s="29" t="s">
        <v>3290</v>
      </c>
      <c r="C801" s="29">
        <v>0.0</v>
      </c>
      <c r="D801" s="29" t="s">
        <v>60</v>
      </c>
      <c r="E801" s="29">
        <v>0.8258</v>
      </c>
      <c r="F801" s="29">
        <v>40.9602</v>
      </c>
      <c r="G801" s="29">
        <v>28.0188</v>
      </c>
      <c r="H801" s="29">
        <v>0.6098</v>
      </c>
      <c r="I801" s="29">
        <v>0.6557</v>
      </c>
      <c r="J801" s="29">
        <v>0.5206</v>
      </c>
      <c r="K801" s="29">
        <v>0.2039</v>
      </c>
      <c r="L801" s="29">
        <v>8.0016</v>
      </c>
      <c r="M801" s="29" t="s">
        <v>225</v>
      </c>
    </row>
    <row r="802" ht="15.75" customHeight="1">
      <c r="A802" s="29" t="s">
        <v>1584</v>
      </c>
      <c r="B802" s="29" t="s">
        <v>3293</v>
      </c>
      <c r="C802" s="29">
        <v>0.0</v>
      </c>
      <c r="D802" s="29" t="s">
        <v>60</v>
      </c>
      <c r="E802" s="29">
        <v>0.6145</v>
      </c>
      <c r="F802" s="29">
        <v>40.9221</v>
      </c>
      <c r="G802" s="29">
        <v>29.2724</v>
      </c>
      <c r="H802" s="29">
        <v>0.6636</v>
      </c>
      <c r="I802" s="29">
        <v>0.599</v>
      </c>
      <c r="J802" s="29">
        <v>0.3704</v>
      </c>
      <c r="K802" s="29">
        <v>0.0819</v>
      </c>
      <c r="L802" s="29">
        <v>9.0993</v>
      </c>
      <c r="M802" s="29" t="s">
        <v>225</v>
      </c>
    </row>
    <row r="803" ht="15.75" customHeight="1">
      <c r="A803" s="29" t="s">
        <v>1452</v>
      </c>
      <c r="B803" s="29" t="s">
        <v>3296</v>
      </c>
      <c r="C803" s="29">
        <v>0.0</v>
      </c>
      <c r="D803" s="29" t="s">
        <v>60</v>
      </c>
      <c r="E803" s="29">
        <v>0.5332</v>
      </c>
      <c r="F803" s="29">
        <v>40.8875</v>
      </c>
      <c r="G803" s="29">
        <v>26.2508</v>
      </c>
      <c r="H803" s="29">
        <v>0.5889</v>
      </c>
      <c r="I803" s="29">
        <v>0.7456</v>
      </c>
      <c r="J803" s="29">
        <v>0.4411</v>
      </c>
      <c r="K803" s="29">
        <v>0.1716</v>
      </c>
      <c r="L803" s="29">
        <v>8.2199</v>
      </c>
      <c r="M803" s="29" t="s">
        <v>225</v>
      </c>
    </row>
    <row r="804" ht="15.75" customHeight="1">
      <c r="A804" s="29" t="s">
        <v>790</v>
      </c>
      <c r="B804" s="29" t="s">
        <v>3299</v>
      </c>
      <c r="C804" s="29">
        <v>0.0</v>
      </c>
      <c r="D804" s="29" t="s">
        <v>60</v>
      </c>
      <c r="E804" s="29">
        <v>0.4474</v>
      </c>
      <c r="F804" s="29">
        <v>40.8702</v>
      </c>
      <c r="G804" s="29">
        <v>27.6096</v>
      </c>
      <c r="H804" s="29">
        <v>0.8051</v>
      </c>
      <c r="I804" s="29">
        <v>0.6737</v>
      </c>
      <c r="J804" s="29">
        <v>0.4014</v>
      </c>
      <c r="K804" s="29">
        <v>0.0721</v>
      </c>
      <c r="L804" s="29">
        <v>8.5895</v>
      </c>
      <c r="M804" s="29" t="s">
        <v>225</v>
      </c>
    </row>
    <row r="805" ht="15.75" customHeight="1">
      <c r="A805" s="29" t="s">
        <v>360</v>
      </c>
      <c r="B805" s="29" t="s">
        <v>3302</v>
      </c>
      <c r="C805" s="29">
        <v>0.0</v>
      </c>
      <c r="D805" s="29" t="s">
        <v>60</v>
      </c>
      <c r="E805" s="29">
        <v>0.8323</v>
      </c>
      <c r="F805" s="29">
        <v>40.8633</v>
      </c>
      <c r="G805" s="29">
        <v>26.7561</v>
      </c>
      <c r="H805" s="29">
        <v>0.5861</v>
      </c>
      <c r="I805" s="29">
        <v>0.7173</v>
      </c>
      <c r="J805" s="29">
        <v>0.5087</v>
      </c>
      <c r="K805" s="29">
        <v>0.1801</v>
      </c>
      <c r="L805" s="29">
        <v>8.1328</v>
      </c>
      <c r="M805" s="29" t="s">
        <v>225</v>
      </c>
    </row>
    <row r="806" ht="15.75" customHeight="1">
      <c r="A806" s="29" t="s">
        <v>451</v>
      </c>
      <c r="B806" s="29" t="s">
        <v>3305</v>
      </c>
      <c r="C806" s="29">
        <v>0.0</v>
      </c>
      <c r="D806" s="29" t="s">
        <v>60</v>
      </c>
      <c r="E806" s="29">
        <v>0.8149</v>
      </c>
      <c r="F806" s="29">
        <v>40.8494</v>
      </c>
      <c r="G806" s="29">
        <v>30.028</v>
      </c>
      <c r="H806" s="29">
        <v>0.6045</v>
      </c>
      <c r="I806" s="29">
        <v>0.5693</v>
      </c>
      <c r="J806" s="29">
        <v>0.5086</v>
      </c>
      <c r="K806" s="29">
        <v>0.1904</v>
      </c>
      <c r="L806" s="29">
        <v>8.12</v>
      </c>
      <c r="M806" s="29" t="s">
        <v>225</v>
      </c>
    </row>
    <row r="807" ht="15.75" customHeight="1">
      <c r="A807" s="29" t="s">
        <v>1521</v>
      </c>
      <c r="B807" s="29" t="s">
        <v>3308</v>
      </c>
      <c r="C807" s="29">
        <v>0.0</v>
      </c>
      <c r="D807" s="29" t="s">
        <v>60</v>
      </c>
      <c r="E807" s="29">
        <v>0.6057</v>
      </c>
      <c r="F807" s="29">
        <v>40.8148</v>
      </c>
      <c r="G807" s="29">
        <v>28.5073</v>
      </c>
      <c r="H807" s="29">
        <v>0.6944</v>
      </c>
      <c r="I807" s="29">
        <v>0.6292</v>
      </c>
      <c r="J807" s="29">
        <v>0.3863</v>
      </c>
      <c r="K807" s="29">
        <v>0.1082</v>
      </c>
      <c r="L807" s="29">
        <v>8.9719</v>
      </c>
      <c r="M807" s="29" t="s">
        <v>225</v>
      </c>
    </row>
    <row r="808" ht="15.75" customHeight="1">
      <c r="A808" s="29" t="s">
        <v>1475</v>
      </c>
      <c r="B808" s="29" t="s">
        <v>3311</v>
      </c>
      <c r="C808" s="29">
        <v>0.0</v>
      </c>
      <c r="D808" s="29" t="s">
        <v>60</v>
      </c>
      <c r="E808" s="29">
        <v>0.5497</v>
      </c>
      <c r="F808" s="29">
        <v>40.7836</v>
      </c>
      <c r="G808" s="29">
        <v>27.6622</v>
      </c>
      <c r="H808" s="29">
        <v>0.4876</v>
      </c>
      <c r="I808" s="29">
        <v>0.6698</v>
      </c>
      <c r="J808" s="29">
        <v>0.4724</v>
      </c>
      <c r="K808" s="29">
        <v>0.2226</v>
      </c>
      <c r="L808" s="29">
        <v>7.9034</v>
      </c>
      <c r="M808" s="29" t="s">
        <v>225</v>
      </c>
    </row>
    <row r="809" ht="15.75" customHeight="1">
      <c r="A809" s="29" t="s">
        <v>1556</v>
      </c>
      <c r="B809" s="29" t="s">
        <v>3314</v>
      </c>
      <c r="C809" s="29">
        <v>0.0</v>
      </c>
      <c r="D809" s="29" t="s">
        <v>60</v>
      </c>
      <c r="E809" s="29">
        <v>0.5448</v>
      </c>
      <c r="F809" s="29">
        <v>40.7836</v>
      </c>
      <c r="G809" s="29">
        <v>27.1381</v>
      </c>
      <c r="H809" s="29">
        <v>0.5445</v>
      </c>
      <c r="I809" s="29">
        <v>0.6959</v>
      </c>
      <c r="J809" s="29">
        <v>0.4578</v>
      </c>
      <c r="K809" s="29">
        <v>0.1978</v>
      </c>
      <c r="L809" s="29">
        <v>8.0688</v>
      </c>
      <c r="M809" s="29" t="s">
        <v>225</v>
      </c>
    </row>
    <row r="810" ht="15.75" customHeight="1">
      <c r="A810" s="29" t="s">
        <v>1442</v>
      </c>
      <c r="B810" s="29" t="s">
        <v>3317</v>
      </c>
      <c r="C810" s="29">
        <v>0.0</v>
      </c>
      <c r="D810" s="29" t="s">
        <v>60</v>
      </c>
      <c r="E810" s="29">
        <v>0.6217</v>
      </c>
      <c r="F810" s="29">
        <v>40.7109</v>
      </c>
      <c r="G810" s="29">
        <v>28.5965</v>
      </c>
      <c r="H810" s="29">
        <v>0.6305</v>
      </c>
      <c r="I810" s="29">
        <v>0.6206</v>
      </c>
      <c r="J810" s="29">
        <v>0.3665</v>
      </c>
      <c r="K810" s="29">
        <v>0.0884</v>
      </c>
      <c r="L810" s="29">
        <v>9.1253</v>
      </c>
      <c r="M810" s="29" t="s">
        <v>225</v>
      </c>
    </row>
    <row r="811" ht="15.75" customHeight="1">
      <c r="A811" s="29" t="s">
        <v>79</v>
      </c>
      <c r="B811" s="29" t="s">
        <v>3320</v>
      </c>
      <c r="C811" s="29">
        <v>0.0</v>
      </c>
      <c r="D811" s="29" t="s">
        <v>60</v>
      </c>
      <c r="E811" s="29">
        <v>0.5674</v>
      </c>
      <c r="F811" s="29">
        <v>40.6901</v>
      </c>
      <c r="G811" s="29">
        <v>26.1314</v>
      </c>
      <c r="H811" s="29">
        <v>0.5959</v>
      </c>
      <c r="I811" s="29">
        <v>0.7488</v>
      </c>
      <c r="J811" s="29">
        <v>0.4975</v>
      </c>
      <c r="K811" s="29">
        <v>0.1764</v>
      </c>
      <c r="L811" s="29">
        <v>7.8137</v>
      </c>
      <c r="M811" s="29" t="s">
        <v>225</v>
      </c>
    </row>
    <row r="812" ht="15.75" customHeight="1">
      <c r="A812" s="29" t="s">
        <v>475</v>
      </c>
      <c r="B812" s="29" t="s">
        <v>3323</v>
      </c>
      <c r="C812" s="29">
        <v>0.0</v>
      </c>
      <c r="D812" s="29" t="s">
        <v>60</v>
      </c>
      <c r="E812" s="29">
        <v>0.8109</v>
      </c>
      <c r="F812" s="29">
        <v>40.6381</v>
      </c>
      <c r="G812" s="29">
        <v>27.4647</v>
      </c>
      <c r="H812" s="29">
        <v>0.5742</v>
      </c>
      <c r="I812" s="29">
        <v>0.6757</v>
      </c>
      <c r="J812" s="29">
        <v>0.509</v>
      </c>
      <c r="K812" s="29">
        <v>0.1952</v>
      </c>
      <c r="L812" s="29">
        <v>8.0782</v>
      </c>
      <c r="M812" s="29" t="s">
        <v>225</v>
      </c>
    </row>
    <row r="813" ht="15.75" customHeight="1">
      <c r="A813" s="29" t="s">
        <v>395</v>
      </c>
      <c r="B813" s="29" t="s">
        <v>3326</v>
      </c>
      <c r="C813" s="29">
        <v>0.0</v>
      </c>
      <c r="D813" s="29" t="s">
        <v>60</v>
      </c>
      <c r="E813" s="29">
        <v>0.6459</v>
      </c>
      <c r="F813" s="29">
        <v>40.5966</v>
      </c>
      <c r="G813" s="29">
        <v>29.1233</v>
      </c>
      <c r="H813" s="29">
        <v>0.3438</v>
      </c>
      <c r="I813" s="29">
        <v>0.601</v>
      </c>
      <c r="J813" s="29">
        <v>0.4511</v>
      </c>
      <c r="K813" s="29">
        <v>0.1626</v>
      </c>
      <c r="L813" s="29">
        <v>8.0368</v>
      </c>
      <c r="M813" s="29" t="s">
        <v>225</v>
      </c>
    </row>
    <row r="814" ht="15.75" customHeight="1">
      <c r="A814" s="29" t="s">
        <v>1361</v>
      </c>
      <c r="B814" s="29" t="s">
        <v>3329</v>
      </c>
      <c r="C814" s="29">
        <v>0.0</v>
      </c>
      <c r="D814" s="29" t="s">
        <v>60</v>
      </c>
      <c r="E814" s="29">
        <v>0.6243</v>
      </c>
      <c r="F814" s="29">
        <v>40.5758</v>
      </c>
      <c r="G814" s="29">
        <v>29.6094</v>
      </c>
      <c r="H814" s="29">
        <v>0.6692</v>
      </c>
      <c r="I814" s="29">
        <v>0.5816</v>
      </c>
      <c r="J814" s="29">
        <v>0.3785</v>
      </c>
      <c r="K814" s="29">
        <v>0.1016</v>
      </c>
      <c r="L814" s="29">
        <v>9.0192</v>
      </c>
      <c r="M814" s="29" t="s">
        <v>225</v>
      </c>
    </row>
    <row r="815" ht="15.75" customHeight="1">
      <c r="A815" s="29" t="s">
        <v>1308</v>
      </c>
      <c r="B815" s="29" t="s">
        <v>3332</v>
      </c>
      <c r="C815" s="29">
        <v>0.0</v>
      </c>
      <c r="D815" s="29" t="s">
        <v>60</v>
      </c>
      <c r="E815" s="29">
        <v>0.5298</v>
      </c>
      <c r="F815" s="29">
        <v>40.5412</v>
      </c>
      <c r="G815" s="29">
        <v>27.1406</v>
      </c>
      <c r="H815" s="29">
        <v>0.5776</v>
      </c>
      <c r="I815" s="29">
        <v>0.6916</v>
      </c>
      <c r="J815" s="29">
        <v>0.461</v>
      </c>
      <c r="K815" s="29">
        <v>0.2109</v>
      </c>
      <c r="L815" s="29">
        <v>8.0101</v>
      </c>
      <c r="M815" s="29" t="s">
        <v>225</v>
      </c>
    </row>
    <row r="816" ht="15.75" customHeight="1">
      <c r="A816" s="29" t="s">
        <v>191</v>
      </c>
      <c r="B816" s="29" t="s">
        <v>3335</v>
      </c>
      <c r="C816" s="29">
        <v>0.0</v>
      </c>
      <c r="D816" s="29" t="s">
        <v>60</v>
      </c>
      <c r="E816" s="29">
        <v>0.6068</v>
      </c>
      <c r="F816" s="29">
        <v>40.5239</v>
      </c>
      <c r="G816" s="29">
        <v>28.5477</v>
      </c>
      <c r="H816" s="29">
        <v>0.6997</v>
      </c>
      <c r="I816" s="29">
        <v>0.6229</v>
      </c>
      <c r="J816" s="29">
        <v>0.3983</v>
      </c>
      <c r="K816" s="29">
        <v>0.1214</v>
      </c>
      <c r="L816" s="29">
        <v>8.7875</v>
      </c>
      <c r="M816" s="29" t="s">
        <v>225</v>
      </c>
    </row>
    <row r="817" ht="15.75" customHeight="1">
      <c r="A817" s="29" t="s">
        <v>314</v>
      </c>
      <c r="B817" s="29" t="s">
        <v>3338</v>
      </c>
      <c r="C817" s="29">
        <v>0.0</v>
      </c>
      <c r="D817" s="29" t="s">
        <v>60</v>
      </c>
      <c r="E817" s="29">
        <v>0.4289</v>
      </c>
      <c r="F817" s="29">
        <v>40.5065</v>
      </c>
      <c r="G817" s="29">
        <v>27.2658</v>
      </c>
      <c r="H817" s="29">
        <v>0.8732</v>
      </c>
      <c r="I817" s="29">
        <v>0.6847</v>
      </c>
      <c r="J817" s="29">
        <v>0.4323</v>
      </c>
      <c r="K817" s="29">
        <v>0.0648</v>
      </c>
      <c r="L817" s="29">
        <v>8.3868</v>
      </c>
      <c r="M817" s="29" t="s">
        <v>225</v>
      </c>
    </row>
    <row r="818" ht="15.75" customHeight="1">
      <c r="A818" s="29" t="s">
        <v>1498</v>
      </c>
      <c r="B818" s="29" t="s">
        <v>3341</v>
      </c>
      <c r="C818" s="29">
        <v>0.0</v>
      </c>
      <c r="D818" s="29" t="s">
        <v>60</v>
      </c>
      <c r="E818" s="29">
        <v>0.604</v>
      </c>
      <c r="F818" s="29">
        <v>40.4892</v>
      </c>
      <c r="G818" s="29">
        <v>27.9045</v>
      </c>
      <c r="H818" s="29">
        <v>0.6697</v>
      </c>
      <c r="I818" s="29">
        <v>0.6492</v>
      </c>
      <c r="J818" s="29">
        <v>0.3857</v>
      </c>
      <c r="K818" s="29">
        <v>0.1008</v>
      </c>
      <c r="L818" s="29">
        <v>8.9996</v>
      </c>
      <c r="M818" s="29" t="s">
        <v>225</v>
      </c>
    </row>
    <row r="819" ht="15.75" customHeight="1">
      <c r="A819" s="29" t="s">
        <v>239</v>
      </c>
      <c r="B819" s="29" t="s">
        <v>3344</v>
      </c>
      <c r="C819" s="29">
        <v>0.0</v>
      </c>
      <c r="D819" s="29" t="s">
        <v>60</v>
      </c>
      <c r="E819" s="29">
        <v>0.6094</v>
      </c>
      <c r="F819" s="29">
        <v>40.4892</v>
      </c>
      <c r="G819" s="29">
        <v>27.5977</v>
      </c>
      <c r="H819" s="29">
        <v>0.6857</v>
      </c>
      <c r="I819" s="29">
        <v>0.6664</v>
      </c>
      <c r="J819" s="29">
        <v>0.4495</v>
      </c>
      <c r="K819" s="29">
        <v>0.1045</v>
      </c>
      <c r="L819" s="29">
        <v>8.6761</v>
      </c>
      <c r="M819" s="29" t="s">
        <v>225</v>
      </c>
    </row>
    <row r="820" ht="15.75" customHeight="1">
      <c r="A820" s="29" t="s">
        <v>70</v>
      </c>
      <c r="B820" s="29" t="s">
        <v>3347</v>
      </c>
      <c r="C820" s="29">
        <v>0.0</v>
      </c>
      <c r="D820" s="29" t="s">
        <v>60</v>
      </c>
      <c r="E820" s="29">
        <v>0.5898</v>
      </c>
      <c r="F820" s="29">
        <v>40.4338</v>
      </c>
      <c r="G820" s="29">
        <v>28.9252</v>
      </c>
      <c r="H820" s="29">
        <v>0.7052</v>
      </c>
      <c r="I820" s="29">
        <v>0.6061</v>
      </c>
      <c r="J820" s="29">
        <v>0.4005</v>
      </c>
      <c r="K820" s="29">
        <v>0.1232</v>
      </c>
      <c r="L820" s="29">
        <v>8.7722</v>
      </c>
      <c r="M820" s="29" t="s">
        <v>225</v>
      </c>
    </row>
    <row r="821" ht="15.75" customHeight="1">
      <c r="A821" s="29" t="s">
        <v>1252</v>
      </c>
      <c r="B821" s="29" t="s">
        <v>3350</v>
      </c>
      <c r="C821" s="29">
        <v>0.0</v>
      </c>
      <c r="D821" s="29" t="s">
        <v>60</v>
      </c>
      <c r="E821" s="29">
        <v>0.7164</v>
      </c>
      <c r="F821" s="29">
        <v>40.42</v>
      </c>
      <c r="G821" s="29">
        <v>27.7952</v>
      </c>
      <c r="H821" s="29">
        <v>0.5058</v>
      </c>
      <c r="I821" s="29">
        <v>0.6575</v>
      </c>
      <c r="J821" s="29">
        <v>0.395</v>
      </c>
      <c r="K821" s="29">
        <v>0.1381</v>
      </c>
      <c r="L821" s="29">
        <v>8.5617</v>
      </c>
      <c r="M821" s="29" t="s">
        <v>225</v>
      </c>
    </row>
    <row r="822" ht="15.75" customHeight="1">
      <c r="A822" s="29" t="s">
        <v>2449</v>
      </c>
      <c r="B822" s="29" t="s">
        <v>3353</v>
      </c>
      <c r="C822" s="29">
        <v>0.0</v>
      </c>
      <c r="D822" s="29" t="s">
        <v>60</v>
      </c>
      <c r="E822" s="29">
        <v>0.7335</v>
      </c>
      <c r="F822" s="29">
        <v>40.3507</v>
      </c>
      <c r="G822" s="29">
        <v>26.7241</v>
      </c>
      <c r="H822" s="29">
        <v>0.5894</v>
      </c>
      <c r="I822" s="29">
        <v>0.7071</v>
      </c>
      <c r="J822" s="29">
        <v>0.5751</v>
      </c>
      <c r="K822" s="29">
        <v>0.2117</v>
      </c>
      <c r="L822" s="29">
        <v>7.6551</v>
      </c>
      <c r="M822" s="29" t="s">
        <v>225</v>
      </c>
    </row>
    <row r="823" ht="15.75" customHeight="1">
      <c r="A823" s="29" t="s">
        <v>1626</v>
      </c>
      <c r="B823" s="29" t="s">
        <v>3356</v>
      </c>
      <c r="C823" s="29">
        <v>0.0</v>
      </c>
      <c r="D823" s="29" t="s">
        <v>60</v>
      </c>
      <c r="E823" s="29">
        <v>0.6097</v>
      </c>
      <c r="F823" s="29">
        <v>40.3126</v>
      </c>
      <c r="G823" s="29">
        <v>29.8957</v>
      </c>
      <c r="H823" s="29">
        <v>0.6781</v>
      </c>
      <c r="I823" s="29">
        <v>0.5653</v>
      </c>
      <c r="J823" s="29">
        <v>0.3833</v>
      </c>
      <c r="K823" s="29">
        <v>0.1032</v>
      </c>
      <c r="L823" s="29">
        <v>9.0237</v>
      </c>
      <c r="M823" s="29" t="s">
        <v>225</v>
      </c>
    </row>
    <row r="824" ht="15.75" customHeight="1">
      <c r="A824" s="29" t="s">
        <v>2027</v>
      </c>
      <c r="B824" s="29" t="s">
        <v>3359</v>
      </c>
      <c r="C824" s="29">
        <v>0.0</v>
      </c>
      <c r="D824" s="29" t="s">
        <v>60</v>
      </c>
      <c r="E824" s="29">
        <v>0.6171</v>
      </c>
      <c r="F824" s="29">
        <v>40.3091</v>
      </c>
      <c r="G824" s="29">
        <v>28.5519</v>
      </c>
      <c r="H824" s="29">
        <v>0.6942</v>
      </c>
      <c r="I824" s="29">
        <v>0.6209</v>
      </c>
      <c r="J824" s="29">
        <v>0.4128</v>
      </c>
      <c r="K824" s="29">
        <v>0.1157</v>
      </c>
      <c r="L824" s="29">
        <v>8.6811</v>
      </c>
      <c r="M824" s="29" t="s">
        <v>225</v>
      </c>
    </row>
    <row r="825" ht="15.75" customHeight="1">
      <c r="A825" s="29" t="s">
        <v>764</v>
      </c>
      <c r="B825" s="29" t="s">
        <v>3362</v>
      </c>
      <c r="C825" s="29">
        <v>0.0</v>
      </c>
      <c r="D825" s="29" t="s">
        <v>60</v>
      </c>
      <c r="E825" s="29">
        <v>0.4572</v>
      </c>
      <c r="F825" s="29">
        <v>40.2745</v>
      </c>
      <c r="G825" s="29">
        <v>26.7167</v>
      </c>
      <c r="H825" s="29">
        <v>0.7937</v>
      </c>
      <c r="I825" s="29">
        <v>0.709</v>
      </c>
      <c r="J825" s="29">
        <v>0.411</v>
      </c>
      <c r="K825" s="29">
        <v>0.0718</v>
      </c>
      <c r="L825" s="29">
        <v>8.5784</v>
      </c>
      <c r="M825" s="29" t="s">
        <v>225</v>
      </c>
    </row>
    <row r="826" ht="15.75" customHeight="1">
      <c r="A826" s="29" t="s">
        <v>2412</v>
      </c>
      <c r="B826" s="29" t="s">
        <v>3365</v>
      </c>
      <c r="C826" s="29">
        <v>0.0</v>
      </c>
      <c r="D826" s="29" t="s">
        <v>60</v>
      </c>
      <c r="E826" s="29">
        <v>0.5957</v>
      </c>
      <c r="F826" s="29">
        <v>40.2399</v>
      </c>
      <c r="G826" s="29">
        <v>28.7545</v>
      </c>
      <c r="H826" s="29">
        <v>0.6378</v>
      </c>
      <c r="I826" s="29">
        <v>0.61</v>
      </c>
      <c r="J826" s="29">
        <v>0.4411</v>
      </c>
      <c r="K826" s="29">
        <v>0.0887</v>
      </c>
      <c r="L826" s="29">
        <v>8.7796</v>
      </c>
      <c r="M826" s="29" t="s">
        <v>225</v>
      </c>
    </row>
    <row r="827" ht="15.75" customHeight="1">
      <c r="A827" s="29" t="s">
        <v>1897</v>
      </c>
      <c r="B827" s="29" t="s">
        <v>3369</v>
      </c>
      <c r="C827" s="29">
        <v>0.0</v>
      </c>
      <c r="D827" s="29" t="s">
        <v>60</v>
      </c>
      <c r="E827" s="29">
        <v>0.5824</v>
      </c>
      <c r="F827" s="29">
        <v>40.226</v>
      </c>
      <c r="G827" s="29">
        <v>26.605</v>
      </c>
      <c r="H827" s="29">
        <v>0.5116</v>
      </c>
      <c r="I827" s="29">
        <v>0.7142</v>
      </c>
      <c r="J827" s="29">
        <v>0.4612</v>
      </c>
      <c r="K827" s="29">
        <v>0.2061</v>
      </c>
      <c r="L827" s="29">
        <v>8.0116</v>
      </c>
      <c r="M827" s="29" t="s">
        <v>225</v>
      </c>
    </row>
    <row r="828" ht="15.75" customHeight="1">
      <c r="A828" s="29" t="s">
        <v>745</v>
      </c>
      <c r="B828" s="29" t="s">
        <v>3371</v>
      </c>
      <c r="C828" s="29">
        <v>0.0</v>
      </c>
      <c r="D828" s="29" t="s">
        <v>60</v>
      </c>
      <c r="E828" s="29">
        <v>0.465</v>
      </c>
      <c r="F828" s="29">
        <v>40.1845</v>
      </c>
      <c r="G828" s="29">
        <v>26.5788</v>
      </c>
      <c r="H828" s="29">
        <v>0.7896</v>
      </c>
      <c r="I828" s="29">
        <v>0.7146</v>
      </c>
      <c r="J828" s="29">
        <v>0.4161</v>
      </c>
      <c r="K828" s="29">
        <v>0.0867</v>
      </c>
      <c r="L828" s="29">
        <v>8.5189</v>
      </c>
      <c r="M828" s="29" t="s">
        <v>225</v>
      </c>
    </row>
    <row r="829" ht="15.75" customHeight="1">
      <c r="A829" s="29" t="s">
        <v>1544</v>
      </c>
      <c r="B829" s="29" t="s">
        <v>3374</v>
      </c>
      <c r="C829" s="29">
        <v>0.0</v>
      </c>
      <c r="D829" s="29" t="s">
        <v>60</v>
      </c>
      <c r="E829" s="29">
        <v>0.6228</v>
      </c>
      <c r="F829" s="29">
        <v>40.1706</v>
      </c>
      <c r="G829" s="29">
        <v>27.4334</v>
      </c>
      <c r="H829" s="29">
        <v>0.6634</v>
      </c>
      <c r="I829" s="29">
        <v>0.6707</v>
      </c>
      <c r="J829" s="29">
        <v>0.3959</v>
      </c>
      <c r="K829" s="29">
        <v>0.1135</v>
      </c>
      <c r="L829" s="29">
        <v>8.8584</v>
      </c>
      <c r="M829" s="29" t="s">
        <v>225</v>
      </c>
    </row>
    <row r="830" ht="15.75" customHeight="1">
      <c r="A830" s="29" t="s">
        <v>707</v>
      </c>
      <c r="B830" s="29" t="s">
        <v>3377</v>
      </c>
      <c r="C830" s="29">
        <v>0.0</v>
      </c>
      <c r="D830" s="29" t="s">
        <v>60</v>
      </c>
      <c r="E830" s="29">
        <v>0.4459</v>
      </c>
      <c r="F830" s="29">
        <v>40.1429</v>
      </c>
      <c r="G830" s="29">
        <v>27.285</v>
      </c>
      <c r="H830" s="29">
        <v>0.8066</v>
      </c>
      <c r="I830" s="29">
        <v>0.6776</v>
      </c>
      <c r="J830" s="29">
        <v>0.3887</v>
      </c>
      <c r="K830" s="29">
        <v>0.0613</v>
      </c>
      <c r="L830" s="29">
        <v>8.7012</v>
      </c>
      <c r="M830" s="29" t="s">
        <v>225</v>
      </c>
    </row>
    <row r="831" ht="15.75" customHeight="1">
      <c r="A831" s="29" t="s">
        <v>282</v>
      </c>
      <c r="B831" s="29" t="s">
        <v>3380</v>
      </c>
      <c r="C831" s="29">
        <v>0.0</v>
      </c>
      <c r="D831" s="29" t="s">
        <v>60</v>
      </c>
      <c r="E831" s="29">
        <v>0.9109</v>
      </c>
      <c r="F831" s="29">
        <v>40.129</v>
      </c>
      <c r="G831" s="29">
        <v>31.7462</v>
      </c>
      <c r="H831" s="29">
        <v>0.6975</v>
      </c>
      <c r="I831" s="29">
        <v>0.5004</v>
      </c>
      <c r="J831" s="29">
        <v>0.462</v>
      </c>
      <c r="K831" s="29">
        <v>0.2808</v>
      </c>
      <c r="L831" s="29">
        <v>8.0248</v>
      </c>
      <c r="M831" s="29" t="s">
        <v>225</v>
      </c>
    </row>
    <row r="832" ht="15.75" customHeight="1">
      <c r="A832" s="29" t="s">
        <v>262</v>
      </c>
      <c r="B832" s="29" t="s">
        <v>3383</v>
      </c>
      <c r="C832" s="29">
        <v>0.0</v>
      </c>
      <c r="D832" s="29" t="s">
        <v>60</v>
      </c>
      <c r="E832" s="29">
        <v>0.3734</v>
      </c>
      <c r="F832" s="29">
        <v>40.0632</v>
      </c>
      <c r="G832" s="29">
        <v>27.7165</v>
      </c>
      <c r="H832" s="29">
        <v>0.8674</v>
      </c>
      <c r="I832" s="29">
        <v>0.6554</v>
      </c>
      <c r="J832" s="29">
        <v>0.4152</v>
      </c>
      <c r="K832" s="29">
        <v>0.0645</v>
      </c>
      <c r="L832" s="29">
        <v>8.3715</v>
      </c>
      <c r="M832" s="29" t="s">
        <v>225</v>
      </c>
    </row>
    <row r="833" ht="15.75" customHeight="1">
      <c r="A833" s="29" t="s">
        <v>212</v>
      </c>
      <c r="B833" s="29" t="s">
        <v>3386</v>
      </c>
      <c r="C833" s="29">
        <v>0.0</v>
      </c>
      <c r="D833" s="29" t="s">
        <v>60</v>
      </c>
      <c r="E833" s="29">
        <v>0.3414</v>
      </c>
      <c r="F833" s="29">
        <v>40.0528</v>
      </c>
      <c r="G833" s="29">
        <v>28.1103</v>
      </c>
      <c r="H833" s="29">
        <v>0.8623</v>
      </c>
      <c r="I833" s="29">
        <v>0.637</v>
      </c>
      <c r="J833" s="29">
        <v>0.4098</v>
      </c>
      <c r="K833" s="29">
        <v>0.0635</v>
      </c>
      <c r="L833" s="29">
        <v>8.3656</v>
      </c>
      <c r="M833" s="29" t="s">
        <v>225</v>
      </c>
    </row>
    <row r="834" ht="15.75" customHeight="1">
      <c r="A834" s="29" t="s">
        <v>670</v>
      </c>
      <c r="B834" s="29" t="s">
        <v>3389</v>
      </c>
      <c r="C834" s="29">
        <v>0.0</v>
      </c>
      <c r="D834" s="29" t="s">
        <v>60</v>
      </c>
      <c r="E834" s="29">
        <v>0.4736</v>
      </c>
      <c r="F834" s="29">
        <v>40.0217</v>
      </c>
      <c r="G834" s="29">
        <v>27.1245</v>
      </c>
      <c r="H834" s="29">
        <v>0.8129</v>
      </c>
      <c r="I834" s="29">
        <v>0.6836</v>
      </c>
      <c r="J834" s="29">
        <v>0.3984</v>
      </c>
      <c r="K834" s="29">
        <v>0.0691</v>
      </c>
      <c r="L834" s="29">
        <v>8.6267</v>
      </c>
      <c r="M834" s="29" t="s">
        <v>225</v>
      </c>
    </row>
    <row r="835" ht="15.75" customHeight="1">
      <c r="A835" s="29" t="s">
        <v>233</v>
      </c>
      <c r="B835" s="29" t="s">
        <v>3392</v>
      </c>
      <c r="C835" s="29">
        <v>0.0</v>
      </c>
      <c r="D835" s="29" t="s">
        <v>60</v>
      </c>
      <c r="E835" s="29">
        <v>0.5929</v>
      </c>
      <c r="F835" s="29">
        <v>39.9489</v>
      </c>
      <c r="G835" s="29">
        <v>29.1829</v>
      </c>
      <c r="H835" s="29">
        <v>0.6408</v>
      </c>
      <c r="I835" s="29">
        <v>0.5895</v>
      </c>
      <c r="J835" s="29">
        <v>0.4455</v>
      </c>
      <c r="K835" s="29">
        <v>0.0967</v>
      </c>
      <c r="L835" s="29">
        <v>8.7245</v>
      </c>
      <c r="M835" s="29" t="s">
        <v>225</v>
      </c>
    </row>
    <row r="836" ht="15.75" customHeight="1">
      <c r="A836" s="29" t="s">
        <v>65</v>
      </c>
      <c r="B836" s="29" t="s">
        <v>3395</v>
      </c>
      <c r="C836" s="29">
        <v>0.0</v>
      </c>
      <c r="D836" s="29" t="s">
        <v>60</v>
      </c>
      <c r="E836" s="29">
        <v>0.6743</v>
      </c>
      <c r="F836" s="29">
        <v>39.942</v>
      </c>
      <c r="G836" s="29">
        <v>26.1662</v>
      </c>
      <c r="H836" s="29">
        <v>0.7892</v>
      </c>
      <c r="I836" s="29">
        <v>0.7331</v>
      </c>
      <c r="J836" s="29">
        <v>0.319</v>
      </c>
      <c r="K836" s="29">
        <v>0.0485</v>
      </c>
      <c r="L836" s="29">
        <v>9.2388</v>
      </c>
      <c r="M836" s="29" t="s">
        <v>225</v>
      </c>
    </row>
    <row r="837" ht="15.75" customHeight="1">
      <c r="A837" s="29" t="s">
        <v>578</v>
      </c>
      <c r="B837" s="29" t="s">
        <v>3398</v>
      </c>
      <c r="C837" s="29">
        <v>0.0</v>
      </c>
      <c r="D837" s="29" t="s">
        <v>60</v>
      </c>
      <c r="E837" s="29">
        <v>0.3347</v>
      </c>
      <c r="F837" s="29">
        <v>39.8693</v>
      </c>
      <c r="G837" s="29">
        <v>27.8199</v>
      </c>
      <c r="H837" s="29">
        <v>0.8737</v>
      </c>
      <c r="I837" s="29">
        <v>0.6473</v>
      </c>
      <c r="J837" s="29">
        <v>0.408</v>
      </c>
      <c r="K837" s="29">
        <v>0.0644</v>
      </c>
      <c r="L837" s="29">
        <v>8.3114</v>
      </c>
      <c r="M837" s="29" t="s">
        <v>225</v>
      </c>
    </row>
    <row r="838" ht="15.75" customHeight="1">
      <c r="A838" s="29" t="s">
        <v>565</v>
      </c>
      <c r="B838" s="29" t="s">
        <v>3401</v>
      </c>
      <c r="C838" s="29">
        <v>0.0</v>
      </c>
      <c r="D838" s="29" t="s">
        <v>60</v>
      </c>
      <c r="E838" s="29">
        <v>0.5836</v>
      </c>
      <c r="F838" s="29">
        <v>39.8</v>
      </c>
      <c r="G838" s="29">
        <v>27.058</v>
      </c>
      <c r="H838" s="29">
        <v>0.6337</v>
      </c>
      <c r="I838" s="29">
        <v>0.6805</v>
      </c>
      <c r="J838" s="29">
        <v>0.4489</v>
      </c>
      <c r="K838" s="29">
        <v>0.1092</v>
      </c>
      <c r="L838" s="29">
        <v>8.6532</v>
      </c>
      <c r="M838" s="29" t="s">
        <v>225</v>
      </c>
    </row>
    <row r="839" ht="15.75" customHeight="1">
      <c r="A839" s="29" t="s">
        <v>424</v>
      </c>
      <c r="B839" s="29" t="s">
        <v>3404</v>
      </c>
      <c r="C839" s="29">
        <v>0.0</v>
      </c>
      <c r="D839" s="29" t="s">
        <v>60</v>
      </c>
      <c r="E839" s="29">
        <v>0.9101</v>
      </c>
      <c r="F839" s="29">
        <v>39.8</v>
      </c>
      <c r="G839" s="29">
        <v>31.2956</v>
      </c>
      <c r="H839" s="29">
        <v>0.7013</v>
      </c>
      <c r="I839" s="29">
        <v>0.5107</v>
      </c>
      <c r="J839" s="29">
        <v>0.4576</v>
      </c>
      <c r="K839" s="29">
        <v>0.2762</v>
      </c>
      <c r="L839" s="29">
        <v>8.0604</v>
      </c>
      <c r="M839" s="29" t="s">
        <v>225</v>
      </c>
    </row>
    <row r="840" ht="15.75" customHeight="1">
      <c r="A840" s="29" t="s">
        <v>331</v>
      </c>
      <c r="B840" s="29" t="s">
        <v>3407</v>
      </c>
      <c r="C840" s="29">
        <v>0.0</v>
      </c>
      <c r="D840" s="29" t="s">
        <v>60</v>
      </c>
      <c r="E840" s="29">
        <v>0.9122</v>
      </c>
      <c r="F840" s="29">
        <v>39.7896</v>
      </c>
      <c r="G840" s="29">
        <v>31.399</v>
      </c>
      <c r="H840" s="29">
        <v>0.6995</v>
      </c>
      <c r="I840" s="29">
        <v>0.5072</v>
      </c>
      <c r="J840" s="29">
        <v>0.4667</v>
      </c>
      <c r="K840" s="29">
        <v>0.2859</v>
      </c>
      <c r="L840" s="29">
        <v>7.9839</v>
      </c>
      <c r="M840" s="29" t="s">
        <v>225</v>
      </c>
    </row>
    <row r="841" ht="15.75" customHeight="1">
      <c r="A841" s="29" t="s">
        <v>680</v>
      </c>
      <c r="B841" s="29" t="s">
        <v>3410</v>
      </c>
      <c r="C841" s="29">
        <v>0.0</v>
      </c>
      <c r="D841" s="29" t="s">
        <v>60</v>
      </c>
      <c r="E841" s="29">
        <v>0.5025</v>
      </c>
      <c r="F841" s="29">
        <v>39.7515</v>
      </c>
      <c r="G841" s="29">
        <v>26.3375</v>
      </c>
      <c r="H841" s="29">
        <v>0.8059</v>
      </c>
      <c r="I841" s="29">
        <v>0.7201</v>
      </c>
      <c r="J841" s="29">
        <v>0.4161</v>
      </c>
      <c r="K841" s="29">
        <v>0.0881</v>
      </c>
      <c r="L841" s="29">
        <v>8.5125</v>
      </c>
      <c r="M841" s="29" t="s">
        <v>225</v>
      </c>
    </row>
    <row r="842" ht="15.75" customHeight="1">
      <c r="A842" s="29" t="s">
        <v>180</v>
      </c>
      <c r="B842" s="29" t="s">
        <v>3413</v>
      </c>
      <c r="C842" s="29">
        <v>0.0</v>
      </c>
      <c r="D842" s="29" t="s">
        <v>60</v>
      </c>
      <c r="E842" s="29">
        <v>0.6124</v>
      </c>
      <c r="F842" s="29">
        <v>39.7204</v>
      </c>
      <c r="G842" s="29">
        <v>27.8617</v>
      </c>
      <c r="H842" s="29">
        <v>0.6841</v>
      </c>
      <c r="I842" s="29">
        <v>0.6429</v>
      </c>
      <c r="J842" s="29">
        <v>0.3971</v>
      </c>
      <c r="K842" s="29">
        <v>0.1164</v>
      </c>
      <c r="L842" s="29">
        <v>8.7855</v>
      </c>
      <c r="M842" s="29" t="s">
        <v>225</v>
      </c>
    </row>
    <row r="843" ht="15.75" customHeight="1">
      <c r="A843" s="29" t="s">
        <v>410</v>
      </c>
      <c r="B843" s="29" t="s">
        <v>3416</v>
      </c>
      <c r="C843" s="29">
        <v>0.0</v>
      </c>
      <c r="D843" s="29" t="s">
        <v>60</v>
      </c>
      <c r="E843" s="29">
        <v>0.9117</v>
      </c>
      <c r="F843" s="29">
        <v>39.6788</v>
      </c>
      <c r="G843" s="29">
        <v>31.7748</v>
      </c>
      <c r="H843" s="29">
        <v>0.7084</v>
      </c>
      <c r="I843" s="29">
        <v>0.4939</v>
      </c>
      <c r="J843" s="29">
        <v>0.4642</v>
      </c>
      <c r="K843" s="29">
        <v>0.2847</v>
      </c>
      <c r="L843" s="29">
        <v>7.9939</v>
      </c>
      <c r="M843" s="29" t="s">
        <v>225</v>
      </c>
    </row>
    <row r="844" ht="15.75" customHeight="1">
      <c r="A844" s="29" t="s">
        <v>430</v>
      </c>
      <c r="B844" s="29" t="s">
        <v>3419</v>
      </c>
      <c r="C844" s="29">
        <v>0.0</v>
      </c>
      <c r="D844" s="29" t="s">
        <v>60</v>
      </c>
      <c r="E844" s="29">
        <v>0.7301</v>
      </c>
      <c r="F844" s="29">
        <v>39.6684</v>
      </c>
      <c r="G844" s="29">
        <v>27.9749</v>
      </c>
      <c r="H844" s="29">
        <v>0.5334</v>
      </c>
      <c r="I844" s="29">
        <v>0.6325</v>
      </c>
      <c r="J844" s="29">
        <v>0.5901</v>
      </c>
      <c r="K844" s="29">
        <v>0.2349</v>
      </c>
      <c r="L844" s="29">
        <v>7.4939</v>
      </c>
      <c r="M844" s="29" t="s">
        <v>225</v>
      </c>
    </row>
    <row r="845" ht="15.75" customHeight="1">
      <c r="A845" s="29" t="s">
        <v>1099</v>
      </c>
      <c r="B845" s="29" t="s">
        <v>3422</v>
      </c>
      <c r="C845" s="29">
        <v>0.0</v>
      </c>
      <c r="D845" s="29" t="s">
        <v>60</v>
      </c>
      <c r="E845" s="29">
        <v>0.9073</v>
      </c>
      <c r="F845" s="29">
        <v>39.6442</v>
      </c>
      <c r="G845" s="29">
        <v>29.8748</v>
      </c>
      <c r="H845" s="29">
        <v>0.671</v>
      </c>
      <c r="I845" s="29">
        <v>0.5577</v>
      </c>
      <c r="J845" s="29">
        <v>0.4688</v>
      </c>
      <c r="K845" s="29">
        <v>0.2705</v>
      </c>
      <c r="L845" s="29">
        <v>7.9119</v>
      </c>
      <c r="M845" s="29" t="s">
        <v>225</v>
      </c>
    </row>
    <row r="846" ht="15.75" customHeight="1">
      <c r="A846" s="29" t="s">
        <v>1233</v>
      </c>
      <c r="B846" s="29" t="s">
        <v>3425</v>
      </c>
      <c r="C846" s="29">
        <v>0.0</v>
      </c>
      <c r="D846" s="29" t="s">
        <v>60</v>
      </c>
      <c r="E846" s="29">
        <v>0.7072</v>
      </c>
      <c r="F846" s="29">
        <v>39.6061</v>
      </c>
      <c r="G846" s="29">
        <v>28.2113</v>
      </c>
      <c r="H846" s="29">
        <v>0.5156</v>
      </c>
      <c r="I846" s="29">
        <v>0.6254</v>
      </c>
      <c r="J846" s="29">
        <v>0.3755</v>
      </c>
      <c r="K846" s="29">
        <v>0.1118</v>
      </c>
      <c r="L846" s="29">
        <v>8.7441</v>
      </c>
      <c r="M846" s="29" t="s">
        <v>225</v>
      </c>
    </row>
    <row r="847" ht="15.75" customHeight="1">
      <c r="A847" s="29" t="s">
        <v>1050</v>
      </c>
      <c r="B847" s="29" t="s">
        <v>3428</v>
      </c>
      <c r="C847" s="29">
        <v>0.0</v>
      </c>
      <c r="D847" s="29" t="s">
        <v>60</v>
      </c>
      <c r="E847" s="29">
        <v>0.9089</v>
      </c>
      <c r="F847" s="29">
        <v>39.5922</v>
      </c>
      <c r="G847" s="29">
        <v>30.5121</v>
      </c>
      <c r="H847" s="29">
        <v>0.6676</v>
      </c>
      <c r="I847" s="29">
        <v>0.5344</v>
      </c>
      <c r="J847" s="29">
        <v>0.4685</v>
      </c>
      <c r="K847" s="29">
        <v>0.2721</v>
      </c>
      <c r="L847" s="29">
        <v>7.8971</v>
      </c>
      <c r="M847" s="29" t="s">
        <v>225</v>
      </c>
    </row>
    <row r="848" ht="15.75" customHeight="1">
      <c r="A848" s="29" t="s">
        <v>767</v>
      </c>
      <c r="B848" s="29" t="s">
        <v>3431</v>
      </c>
      <c r="C848" s="29">
        <v>0.0</v>
      </c>
      <c r="D848" s="29" t="s">
        <v>60</v>
      </c>
      <c r="E848" s="29">
        <v>0.4778</v>
      </c>
      <c r="F848" s="29">
        <v>39.5853</v>
      </c>
      <c r="G848" s="29">
        <v>27.1329</v>
      </c>
      <c r="H848" s="29">
        <v>0.7914</v>
      </c>
      <c r="I848" s="29">
        <v>0.6757</v>
      </c>
      <c r="J848" s="29">
        <v>0.4026</v>
      </c>
      <c r="K848" s="29">
        <v>0.0735</v>
      </c>
      <c r="L848" s="29">
        <v>8.5849</v>
      </c>
      <c r="M848" s="29" t="s">
        <v>225</v>
      </c>
    </row>
    <row r="849" ht="15.75" customHeight="1">
      <c r="A849" s="29" t="s">
        <v>738</v>
      </c>
      <c r="B849" s="29" t="s">
        <v>3434</v>
      </c>
      <c r="C849" s="29">
        <v>0.0</v>
      </c>
      <c r="D849" s="29" t="s">
        <v>60</v>
      </c>
      <c r="E849" s="29">
        <v>0.4753</v>
      </c>
      <c r="F849" s="29">
        <v>39.5853</v>
      </c>
      <c r="G849" s="29">
        <v>26.4225</v>
      </c>
      <c r="H849" s="29">
        <v>0.8265</v>
      </c>
      <c r="I849" s="29">
        <v>0.7125</v>
      </c>
      <c r="J849" s="29">
        <v>0.4021</v>
      </c>
      <c r="K849" s="29">
        <v>0.0712</v>
      </c>
      <c r="L849" s="29">
        <v>8.5724</v>
      </c>
      <c r="M849" s="29" t="s">
        <v>225</v>
      </c>
    </row>
    <row r="850" ht="15.75" customHeight="1">
      <c r="A850" s="29" t="s">
        <v>1295</v>
      </c>
      <c r="B850" s="29" t="s">
        <v>3437</v>
      </c>
      <c r="C850" s="29">
        <v>0.0</v>
      </c>
      <c r="D850" s="29" t="s">
        <v>60</v>
      </c>
      <c r="E850" s="29">
        <v>0.5946</v>
      </c>
      <c r="F850" s="29">
        <v>39.5368</v>
      </c>
      <c r="G850" s="29">
        <v>25.5471</v>
      </c>
      <c r="H850" s="29">
        <v>0.6201</v>
      </c>
      <c r="I850" s="29">
        <v>0.7613</v>
      </c>
      <c r="J850" s="29">
        <v>0.4649</v>
      </c>
      <c r="K850" s="29">
        <v>0.1962</v>
      </c>
      <c r="L850" s="29">
        <v>7.9596</v>
      </c>
      <c r="M850" s="29" t="s">
        <v>225</v>
      </c>
    </row>
    <row r="851" ht="15.75" customHeight="1">
      <c r="A851" s="29" t="s">
        <v>56</v>
      </c>
      <c r="B851" s="29" t="s">
        <v>3440</v>
      </c>
      <c r="C851" s="29">
        <v>0.0</v>
      </c>
      <c r="D851" s="29" t="s">
        <v>60</v>
      </c>
      <c r="E851" s="29">
        <v>0.6324</v>
      </c>
      <c r="F851" s="29">
        <v>39.5195</v>
      </c>
      <c r="G851" s="29">
        <v>28.1887</v>
      </c>
      <c r="H851" s="29">
        <v>0.6885</v>
      </c>
      <c r="I851" s="29">
        <v>0.625</v>
      </c>
      <c r="J851" s="29">
        <v>0.4086</v>
      </c>
      <c r="K851" s="29">
        <v>0.1295</v>
      </c>
      <c r="L851" s="29">
        <v>8.6946</v>
      </c>
      <c r="M851" s="29" t="s">
        <v>225</v>
      </c>
    </row>
    <row r="852" ht="15.75" customHeight="1">
      <c r="A852" s="29" t="s">
        <v>1117</v>
      </c>
      <c r="B852" s="29" t="s">
        <v>3443</v>
      </c>
      <c r="C852" s="29">
        <v>0.0</v>
      </c>
      <c r="D852" s="29" t="s">
        <v>60</v>
      </c>
      <c r="E852" s="29">
        <v>0.9087</v>
      </c>
      <c r="F852" s="29">
        <v>39.4987</v>
      </c>
      <c r="G852" s="29">
        <v>30.8836</v>
      </c>
      <c r="H852" s="29">
        <v>0.6665</v>
      </c>
      <c r="I852" s="29">
        <v>0.5204</v>
      </c>
      <c r="J852" s="29">
        <v>0.4686</v>
      </c>
      <c r="K852" s="29">
        <v>0.2737</v>
      </c>
      <c r="L852" s="29">
        <v>7.8874</v>
      </c>
      <c r="M852" s="29" t="s">
        <v>225</v>
      </c>
    </row>
    <row r="853" ht="15.75" customHeight="1">
      <c r="A853" s="29" t="s">
        <v>2202</v>
      </c>
      <c r="B853" s="29" t="s">
        <v>3446</v>
      </c>
      <c r="C853" s="29">
        <v>0.0</v>
      </c>
      <c r="D853" s="29" t="s">
        <v>60</v>
      </c>
      <c r="E853" s="29">
        <v>0.4167</v>
      </c>
      <c r="F853" s="29">
        <v>39.4814</v>
      </c>
      <c r="G853" s="29">
        <v>27.1708</v>
      </c>
      <c r="H853" s="29">
        <v>0.8621</v>
      </c>
      <c r="I853" s="29">
        <v>0.672</v>
      </c>
      <c r="J853" s="29">
        <v>0.4131</v>
      </c>
      <c r="K853" s="29">
        <v>0.0652</v>
      </c>
      <c r="L853" s="29">
        <v>8.3525</v>
      </c>
      <c r="M853" s="29" t="s">
        <v>225</v>
      </c>
    </row>
    <row r="854" ht="15.75" customHeight="1">
      <c r="A854" s="29" t="s">
        <v>1101</v>
      </c>
      <c r="B854" s="29" t="s">
        <v>3449</v>
      </c>
      <c r="C854" s="29">
        <v>0.0</v>
      </c>
      <c r="D854" s="29" t="s">
        <v>60</v>
      </c>
      <c r="E854" s="29">
        <v>0.9074</v>
      </c>
      <c r="F854" s="29">
        <v>39.471</v>
      </c>
      <c r="G854" s="29">
        <v>30.3314</v>
      </c>
      <c r="H854" s="29">
        <v>0.6806</v>
      </c>
      <c r="I854" s="29">
        <v>0.5391</v>
      </c>
      <c r="J854" s="29">
        <v>0.469</v>
      </c>
      <c r="K854" s="29">
        <v>0.2742</v>
      </c>
      <c r="L854" s="29">
        <v>7.8749</v>
      </c>
      <c r="M854" s="29" t="s">
        <v>225</v>
      </c>
    </row>
    <row r="855" ht="15.75" customHeight="1">
      <c r="A855" s="29" t="s">
        <v>160</v>
      </c>
      <c r="B855" s="29" t="s">
        <v>3452</v>
      </c>
      <c r="C855" s="29">
        <v>0.0</v>
      </c>
      <c r="D855" s="29" t="s">
        <v>60</v>
      </c>
      <c r="E855" s="29">
        <v>0.6022</v>
      </c>
      <c r="F855" s="29">
        <v>39.4502</v>
      </c>
      <c r="G855" s="29">
        <v>28.9475</v>
      </c>
      <c r="H855" s="29">
        <v>0.6159</v>
      </c>
      <c r="I855" s="29">
        <v>0.5889</v>
      </c>
      <c r="J855" s="29">
        <v>0.4468</v>
      </c>
      <c r="K855" s="29">
        <v>0.1022</v>
      </c>
      <c r="L855" s="29">
        <v>8.6965</v>
      </c>
      <c r="M855" s="29" t="s">
        <v>225</v>
      </c>
    </row>
    <row r="856" ht="15.75" customHeight="1">
      <c r="A856" s="29" t="s">
        <v>1113</v>
      </c>
      <c r="B856" s="29" t="s">
        <v>3455</v>
      </c>
      <c r="C856" s="29">
        <v>0.0</v>
      </c>
      <c r="D856" s="29" t="s">
        <v>60</v>
      </c>
      <c r="E856" s="29">
        <v>0.9094</v>
      </c>
      <c r="F856" s="29">
        <v>39.4225</v>
      </c>
      <c r="G856" s="29">
        <v>32.8626</v>
      </c>
      <c r="H856" s="29">
        <v>0.6985</v>
      </c>
      <c r="I856" s="29">
        <v>0.4587</v>
      </c>
      <c r="J856" s="29">
        <v>0.4687</v>
      </c>
      <c r="K856" s="29">
        <v>0.2911</v>
      </c>
      <c r="L856" s="29">
        <v>7.9527</v>
      </c>
      <c r="M856" s="29" t="s">
        <v>225</v>
      </c>
    </row>
    <row r="857" ht="15.75" customHeight="1">
      <c r="A857" s="29" t="s">
        <v>2106</v>
      </c>
      <c r="B857" s="29" t="s">
        <v>3458</v>
      </c>
      <c r="C857" s="29">
        <v>0.0</v>
      </c>
      <c r="D857" s="29" t="s">
        <v>60</v>
      </c>
      <c r="E857" s="29">
        <v>0.9101</v>
      </c>
      <c r="F857" s="29">
        <v>39.4087</v>
      </c>
      <c r="G857" s="29">
        <v>30.159</v>
      </c>
      <c r="H857" s="29">
        <v>0.6763</v>
      </c>
      <c r="I857" s="29">
        <v>0.5445</v>
      </c>
      <c r="J857" s="29">
        <v>0.4699</v>
      </c>
      <c r="K857" s="29">
        <v>0.2754</v>
      </c>
      <c r="L857" s="29">
        <v>7.8575</v>
      </c>
      <c r="M857" s="29" t="s">
        <v>225</v>
      </c>
    </row>
    <row r="858" ht="15.75" customHeight="1">
      <c r="A858" s="29" t="s">
        <v>1493</v>
      </c>
      <c r="B858" s="29" t="s">
        <v>3461</v>
      </c>
      <c r="C858" s="29">
        <v>0.0</v>
      </c>
      <c r="D858" s="29" t="s">
        <v>60</v>
      </c>
      <c r="E858" s="29">
        <v>0.9113</v>
      </c>
      <c r="F858" s="29">
        <v>39.3983</v>
      </c>
      <c r="G858" s="29">
        <v>32.1338</v>
      </c>
      <c r="H858" s="29">
        <v>0.7</v>
      </c>
      <c r="I858" s="29">
        <v>0.4795</v>
      </c>
      <c r="J858" s="29">
        <v>0.4563</v>
      </c>
      <c r="K858" s="29">
        <v>0.271</v>
      </c>
      <c r="L858" s="29">
        <v>8.08</v>
      </c>
      <c r="M858" s="29" t="s">
        <v>225</v>
      </c>
    </row>
    <row r="859" ht="15.75" customHeight="1">
      <c r="A859" s="29" t="s">
        <v>1324</v>
      </c>
      <c r="B859" s="29" t="s">
        <v>3464</v>
      </c>
      <c r="C859" s="29">
        <v>0.0</v>
      </c>
      <c r="D859" s="29" t="s">
        <v>60</v>
      </c>
      <c r="E859" s="29">
        <v>0.9099</v>
      </c>
      <c r="F859" s="29">
        <v>39.381</v>
      </c>
      <c r="G859" s="29">
        <v>32.148</v>
      </c>
      <c r="H859" s="29">
        <v>0.7011</v>
      </c>
      <c r="I859" s="29">
        <v>0.4788</v>
      </c>
      <c r="J859" s="29">
        <v>0.4599</v>
      </c>
      <c r="K859" s="29">
        <v>0.2816</v>
      </c>
      <c r="L859" s="29">
        <v>8.0273</v>
      </c>
      <c r="M859" s="29" t="s">
        <v>225</v>
      </c>
    </row>
    <row r="860" ht="15.75" customHeight="1">
      <c r="A860" s="29" t="s">
        <v>1719</v>
      </c>
      <c r="B860" s="29" t="s">
        <v>3467</v>
      </c>
      <c r="C860" s="29">
        <v>0.0</v>
      </c>
      <c r="D860" s="29" t="s">
        <v>60</v>
      </c>
      <c r="E860" s="29">
        <v>0.7457</v>
      </c>
      <c r="F860" s="29">
        <v>39.3775</v>
      </c>
      <c r="G860" s="29">
        <v>31.017</v>
      </c>
      <c r="H860" s="29">
        <v>0.6696</v>
      </c>
      <c r="I860" s="29">
        <v>0.5143</v>
      </c>
      <c r="J860" s="29">
        <v>0.6101</v>
      </c>
      <c r="K860" s="29">
        <v>0.252</v>
      </c>
      <c r="L860" s="29">
        <v>7.0136</v>
      </c>
      <c r="M860" s="29" t="s">
        <v>225</v>
      </c>
    </row>
    <row r="861" ht="15.75" customHeight="1">
      <c r="A861" s="29" t="s">
        <v>585</v>
      </c>
      <c r="B861" s="29" t="s">
        <v>3470</v>
      </c>
      <c r="C861" s="29">
        <v>0.0</v>
      </c>
      <c r="D861" s="29" t="s">
        <v>60</v>
      </c>
      <c r="E861" s="29">
        <v>0.9114</v>
      </c>
      <c r="F861" s="29">
        <v>39.3775</v>
      </c>
      <c r="G861" s="29">
        <v>32.0018</v>
      </c>
      <c r="H861" s="29">
        <v>0.7096</v>
      </c>
      <c r="I861" s="29">
        <v>0.4832</v>
      </c>
      <c r="J861" s="29">
        <v>0.4627</v>
      </c>
      <c r="K861" s="29">
        <v>0.281</v>
      </c>
      <c r="L861" s="29">
        <v>8.0235</v>
      </c>
      <c r="M861" s="29" t="s">
        <v>225</v>
      </c>
    </row>
    <row r="862" ht="15.75" customHeight="1">
      <c r="A862" s="29" t="s">
        <v>2123</v>
      </c>
      <c r="B862" s="29" t="s">
        <v>3473</v>
      </c>
      <c r="C862" s="29">
        <v>0.0</v>
      </c>
      <c r="D862" s="29" t="s">
        <v>60</v>
      </c>
      <c r="E862" s="29">
        <v>0.9087</v>
      </c>
      <c r="F862" s="29">
        <v>39.374</v>
      </c>
      <c r="G862" s="29">
        <v>30.027</v>
      </c>
      <c r="H862" s="29">
        <v>0.6792</v>
      </c>
      <c r="I862" s="29">
        <v>0.5488</v>
      </c>
      <c r="J862" s="29">
        <v>0.4724</v>
      </c>
      <c r="K862" s="29">
        <v>0.2763</v>
      </c>
      <c r="L862" s="29">
        <v>7.8531</v>
      </c>
      <c r="M862" s="29" t="s">
        <v>225</v>
      </c>
    </row>
    <row r="863" ht="15.75" customHeight="1">
      <c r="A863" s="29" t="s">
        <v>317</v>
      </c>
      <c r="B863" s="29" t="s">
        <v>3476</v>
      </c>
      <c r="C863" s="29">
        <v>0.0</v>
      </c>
      <c r="D863" s="29" t="s">
        <v>60</v>
      </c>
      <c r="E863" s="29">
        <v>0.9103</v>
      </c>
      <c r="F863" s="29">
        <v>39.3567</v>
      </c>
      <c r="G863" s="29">
        <v>33.1123</v>
      </c>
      <c r="H863" s="29">
        <v>0.7028</v>
      </c>
      <c r="I863" s="29">
        <v>0.4511</v>
      </c>
      <c r="J863" s="29">
        <v>0.4666</v>
      </c>
      <c r="K863" s="29">
        <v>0.2908</v>
      </c>
      <c r="L863" s="29">
        <v>7.9651</v>
      </c>
      <c r="M863" s="29" t="s">
        <v>225</v>
      </c>
    </row>
    <row r="864" ht="15.75" customHeight="1">
      <c r="A864" s="29" t="s">
        <v>1654</v>
      </c>
      <c r="B864" s="29" t="s">
        <v>3479</v>
      </c>
      <c r="C864" s="29">
        <v>0.0</v>
      </c>
      <c r="D864" s="29" t="s">
        <v>60</v>
      </c>
      <c r="E864" s="29">
        <v>0.9103</v>
      </c>
      <c r="F864" s="29">
        <v>39.3463</v>
      </c>
      <c r="G864" s="29">
        <v>30.1733</v>
      </c>
      <c r="H864" s="29">
        <v>0.6717</v>
      </c>
      <c r="I864" s="29">
        <v>0.5423</v>
      </c>
      <c r="J864" s="29">
        <v>0.4702</v>
      </c>
      <c r="K864" s="29">
        <v>0.2749</v>
      </c>
      <c r="L864" s="29">
        <v>7.8763</v>
      </c>
      <c r="M864" s="29" t="s">
        <v>225</v>
      </c>
    </row>
    <row r="865" ht="15.75" customHeight="1">
      <c r="A865" s="29" t="s">
        <v>59</v>
      </c>
      <c r="B865" s="29" t="s">
        <v>3482</v>
      </c>
      <c r="C865" s="29">
        <v>0.0</v>
      </c>
      <c r="D865" s="29" t="s">
        <v>60</v>
      </c>
      <c r="E865" s="29">
        <v>0.5456</v>
      </c>
      <c r="F865" s="29">
        <v>39.3394</v>
      </c>
      <c r="G865" s="29">
        <v>28.3858</v>
      </c>
      <c r="H865" s="29">
        <v>0.5589</v>
      </c>
      <c r="I865" s="29">
        <v>0.6135</v>
      </c>
      <c r="J865" s="29">
        <v>0.547</v>
      </c>
      <c r="K865" s="29">
        <v>0.1172</v>
      </c>
      <c r="L865" s="29">
        <v>7.9617</v>
      </c>
      <c r="M865" s="29" t="s">
        <v>225</v>
      </c>
    </row>
    <row r="866" ht="15.75" customHeight="1">
      <c r="A866" s="29" t="s">
        <v>1086</v>
      </c>
      <c r="B866" s="29" t="s">
        <v>3485</v>
      </c>
      <c r="C866" s="29">
        <v>0.0</v>
      </c>
      <c r="D866" s="29" t="s">
        <v>60</v>
      </c>
      <c r="E866" s="29">
        <v>0.9077</v>
      </c>
      <c r="F866" s="29">
        <v>39.3152</v>
      </c>
      <c r="G866" s="29">
        <v>30.7475</v>
      </c>
      <c r="H866" s="29">
        <v>0.6752</v>
      </c>
      <c r="I866" s="29">
        <v>0.5226</v>
      </c>
      <c r="J866" s="29">
        <v>0.4724</v>
      </c>
      <c r="K866" s="29">
        <v>0.2761</v>
      </c>
      <c r="L866" s="29">
        <v>7.8544</v>
      </c>
      <c r="M866" s="29" t="s">
        <v>225</v>
      </c>
    </row>
    <row r="867" ht="15.75" customHeight="1">
      <c r="A867" s="29" t="s">
        <v>1172</v>
      </c>
      <c r="B867" s="29" t="s">
        <v>3488</v>
      </c>
      <c r="C867" s="29">
        <v>0.0</v>
      </c>
      <c r="D867" s="29" t="s">
        <v>60</v>
      </c>
      <c r="E867" s="29">
        <v>0.9111</v>
      </c>
      <c r="F867" s="29">
        <v>39.3082</v>
      </c>
      <c r="G867" s="29">
        <v>29.7916</v>
      </c>
      <c r="H867" s="29">
        <v>0.6758</v>
      </c>
      <c r="I867" s="29">
        <v>0.5566</v>
      </c>
      <c r="J867" s="29">
        <v>0.4717</v>
      </c>
      <c r="K867" s="29">
        <v>0.2773</v>
      </c>
      <c r="L867" s="29">
        <v>7.8451</v>
      </c>
      <c r="M867" s="29" t="s">
        <v>225</v>
      </c>
    </row>
    <row r="868" ht="15.75" customHeight="1">
      <c r="A868" s="29" t="s">
        <v>1178</v>
      </c>
      <c r="B868" s="29" t="s">
        <v>3491</v>
      </c>
      <c r="C868" s="29">
        <v>0.0</v>
      </c>
      <c r="D868" s="29" t="s">
        <v>60</v>
      </c>
      <c r="E868" s="29">
        <v>0.9084</v>
      </c>
      <c r="F868" s="29">
        <v>39.3048</v>
      </c>
      <c r="G868" s="29">
        <v>30.7151</v>
      </c>
      <c r="H868" s="29">
        <v>0.6719</v>
      </c>
      <c r="I868" s="29">
        <v>0.5235</v>
      </c>
      <c r="J868" s="29">
        <v>0.4723</v>
      </c>
      <c r="K868" s="29">
        <v>0.2768</v>
      </c>
      <c r="L868" s="29">
        <v>7.8607</v>
      </c>
      <c r="M868" s="29" t="s">
        <v>225</v>
      </c>
    </row>
    <row r="869" ht="15.75" customHeight="1">
      <c r="A869" s="29" t="s">
        <v>120</v>
      </c>
      <c r="B869" s="29" t="s">
        <v>3494</v>
      </c>
      <c r="C869" s="29">
        <v>0.0</v>
      </c>
      <c r="D869" s="29" t="s">
        <v>60</v>
      </c>
      <c r="E869" s="29">
        <v>0.6037</v>
      </c>
      <c r="F869" s="29">
        <v>39.3013</v>
      </c>
      <c r="G869" s="29">
        <v>26.8654</v>
      </c>
      <c r="H869" s="29">
        <v>0.6838</v>
      </c>
      <c r="I869" s="29">
        <v>0.681</v>
      </c>
      <c r="J869" s="29">
        <v>0.4072</v>
      </c>
      <c r="K869" s="29">
        <v>0.1328</v>
      </c>
      <c r="L869" s="29">
        <v>8.6905</v>
      </c>
      <c r="M869" s="29" t="s">
        <v>225</v>
      </c>
    </row>
    <row r="870" ht="15.75" customHeight="1">
      <c r="A870" s="29" t="s">
        <v>308</v>
      </c>
      <c r="B870" s="29" t="s">
        <v>3497</v>
      </c>
      <c r="C870" s="29">
        <v>0.0</v>
      </c>
      <c r="D870" s="29" t="s">
        <v>60</v>
      </c>
      <c r="E870" s="29">
        <v>0.6725</v>
      </c>
      <c r="F870" s="29">
        <v>39.3013</v>
      </c>
      <c r="G870" s="29">
        <v>26.5966</v>
      </c>
      <c r="H870" s="29">
        <v>0.7917</v>
      </c>
      <c r="I870" s="29">
        <v>0.6982</v>
      </c>
      <c r="J870" s="29">
        <v>0.3292</v>
      </c>
      <c r="K870" s="29">
        <v>0.0536</v>
      </c>
      <c r="L870" s="29">
        <v>9.1573</v>
      </c>
      <c r="M870" s="29" t="s">
        <v>225</v>
      </c>
    </row>
    <row r="871" ht="15.75" customHeight="1">
      <c r="A871" s="29" t="s">
        <v>341</v>
      </c>
      <c r="B871" s="29" t="s">
        <v>3500</v>
      </c>
      <c r="C871" s="29">
        <v>0.0</v>
      </c>
      <c r="D871" s="29" t="s">
        <v>60</v>
      </c>
      <c r="E871" s="29">
        <v>0.3752</v>
      </c>
      <c r="F871" s="29">
        <v>39.2875</v>
      </c>
      <c r="G871" s="29">
        <v>26.568</v>
      </c>
      <c r="H871" s="29">
        <v>0.8758</v>
      </c>
      <c r="I871" s="29">
        <v>0.6994</v>
      </c>
      <c r="J871" s="29">
        <v>0.4171</v>
      </c>
      <c r="K871" s="29">
        <v>0.0665</v>
      </c>
      <c r="L871" s="29">
        <v>8.3334</v>
      </c>
      <c r="M871" s="29" t="s">
        <v>225</v>
      </c>
    </row>
    <row r="872" ht="15.75" customHeight="1">
      <c r="A872" s="29" t="s">
        <v>145</v>
      </c>
      <c r="B872" s="29" t="s">
        <v>3503</v>
      </c>
      <c r="C872" s="29">
        <v>0.0</v>
      </c>
      <c r="D872" s="29" t="s">
        <v>60</v>
      </c>
      <c r="E872" s="29">
        <v>0.6386</v>
      </c>
      <c r="F872" s="29">
        <v>39.2355</v>
      </c>
      <c r="G872" s="29">
        <v>26.6512</v>
      </c>
      <c r="H872" s="29">
        <v>0.783</v>
      </c>
      <c r="I872" s="29">
        <v>0.6942</v>
      </c>
      <c r="J872" s="29">
        <v>0.3229</v>
      </c>
      <c r="K872" s="29">
        <v>0.0491</v>
      </c>
      <c r="L872" s="29">
        <v>9.2385</v>
      </c>
      <c r="M872" s="29" t="s">
        <v>225</v>
      </c>
    </row>
    <row r="873" ht="15.75" customHeight="1">
      <c r="A873" s="29" t="s">
        <v>89</v>
      </c>
      <c r="B873" s="29" t="s">
        <v>3506</v>
      </c>
      <c r="C873" s="29">
        <v>0.0</v>
      </c>
      <c r="D873" s="29" t="s">
        <v>60</v>
      </c>
      <c r="E873" s="29">
        <v>0.9094</v>
      </c>
      <c r="F873" s="29">
        <v>39.2286</v>
      </c>
      <c r="G873" s="29">
        <v>30.0615</v>
      </c>
      <c r="H873" s="29">
        <v>0.6751</v>
      </c>
      <c r="I873" s="29">
        <v>0.5455</v>
      </c>
      <c r="J873" s="29">
        <v>0.4714</v>
      </c>
      <c r="K873" s="29">
        <v>0.2777</v>
      </c>
      <c r="L873" s="29">
        <v>7.8492</v>
      </c>
      <c r="M873" s="29" t="s">
        <v>225</v>
      </c>
    </row>
    <row r="874" ht="15.75" customHeight="1">
      <c r="A874" s="29" t="s">
        <v>130</v>
      </c>
      <c r="B874" s="29" t="s">
        <v>3509</v>
      </c>
      <c r="C874" s="29">
        <v>0.0</v>
      </c>
      <c r="D874" s="29" t="s">
        <v>60</v>
      </c>
      <c r="E874" s="29">
        <v>0.624</v>
      </c>
      <c r="F874" s="29">
        <v>39.2251</v>
      </c>
      <c r="G874" s="29">
        <v>28.4788</v>
      </c>
      <c r="H874" s="29">
        <v>0.6834</v>
      </c>
      <c r="I874" s="29">
        <v>0.6074</v>
      </c>
      <c r="J874" s="29">
        <v>0.4055</v>
      </c>
      <c r="K874" s="29">
        <v>0.1259</v>
      </c>
      <c r="L874" s="29">
        <v>8.7271</v>
      </c>
      <c r="M874" s="29" t="s">
        <v>225</v>
      </c>
    </row>
    <row r="875" ht="15.75" customHeight="1">
      <c r="A875" s="29" t="s">
        <v>82</v>
      </c>
      <c r="B875" s="29" t="s">
        <v>3512</v>
      </c>
      <c r="C875" s="29">
        <v>0.0</v>
      </c>
      <c r="D875" s="29" t="s">
        <v>60</v>
      </c>
      <c r="E875" s="29">
        <v>0.5941</v>
      </c>
      <c r="F875" s="29">
        <v>39.2113</v>
      </c>
      <c r="G875" s="29">
        <v>27.3425</v>
      </c>
      <c r="H875" s="29">
        <v>0.6824</v>
      </c>
      <c r="I875" s="29">
        <v>0.6566</v>
      </c>
      <c r="J875" s="29">
        <v>0.4093</v>
      </c>
      <c r="K875" s="29">
        <v>0.1347</v>
      </c>
      <c r="L875" s="29">
        <v>8.69</v>
      </c>
      <c r="M875" s="29" t="s">
        <v>225</v>
      </c>
    </row>
    <row r="876" ht="15.75" customHeight="1">
      <c r="A876" s="29" t="s">
        <v>1196</v>
      </c>
      <c r="B876" s="29" t="s">
        <v>3515</v>
      </c>
      <c r="C876" s="29">
        <v>0.0</v>
      </c>
      <c r="D876" s="29" t="s">
        <v>60</v>
      </c>
      <c r="E876" s="29">
        <v>0.9078</v>
      </c>
      <c r="F876" s="29">
        <v>39.194</v>
      </c>
      <c r="G876" s="29">
        <v>29.9438</v>
      </c>
      <c r="H876" s="29">
        <v>0.6796</v>
      </c>
      <c r="I876" s="29">
        <v>0.5493</v>
      </c>
      <c r="J876" s="29">
        <v>0.475</v>
      </c>
      <c r="K876" s="29">
        <v>0.2793</v>
      </c>
      <c r="L876" s="29">
        <v>7.8258</v>
      </c>
      <c r="M876" s="29" t="s">
        <v>225</v>
      </c>
    </row>
    <row r="877" ht="15.75" customHeight="1">
      <c r="A877" s="29" t="s">
        <v>405</v>
      </c>
      <c r="B877" s="29" t="s">
        <v>3518</v>
      </c>
      <c r="C877" s="29">
        <v>0.0</v>
      </c>
      <c r="D877" s="29" t="s">
        <v>60</v>
      </c>
      <c r="E877" s="29">
        <v>0.9126</v>
      </c>
      <c r="F877" s="29">
        <v>39.1801</v>
      </c>
      <c r="G877" s="29">
        <v>31.8193</v>
      </c>
      <c r="H877" s="29">
        <v>0.7126</v>
      </c>
      <c r="I877" s="29">
        <v>0.4863</v>
      </c>
      <c r="J877" s="29">
        <v>0.4653</v>
      </c>
      <c r="K877" s="29">
        <v>0.2858</v>
      </c>
      <c r="L877" s="29">
        <v>7.9786</v>
      </c>
      <c r="M877" s="29" t="s">
        <v>225</v>
      </c>
    </row>
    <row r="878" ht="15.75" customHeight="1">
      <c r="A878" s="29" t="s">
        <v>317</v>
      </c>
      <c r="B878" s="29" t="s">
        <v>3521</v>
      </c>
      <c r="C878" s="29">
        <v>0.0</v>
      </c>
      <c r="D878" s="29" t="s">
        <v>60</v>
      </c>
      <c r="E878" s="29">
        <v>0.6925</v>
      </c>
      <c r="F878" s="29">
        <v>39.1766</v>
      </c>
      <c r="G878" s="29">
        <v>27.6479</v>
      </c>
      <c r="H878" s="29">
        <v>0.6999</v>
      </c>
      <c r="I878" s="29">
        <v>0.644</v>
      </c>
      <c r="J878" s="29">
        <v>0.6005</v>
      </c>
      <c r="K878" s="29">
        <v>0.2267</v>
      </c>
      <c r="L878" s="29">
        <v>6.6909</v>
      </c>
      <c r="M878" s="29" t="s">
        <v>225</v>
      </c>
    </row>
    <row r="879" ht="15.75" customHeight="1">
      <c r="A879" s="29" t="s">
        <v>1693</v>
      </c>
      <c r="B879" s="29" t="s">
        <v>3524</v>
      </c>
      <c r="C879" s="29">
        <v>0.0</v>
      </c>
      <c r="D879" s="29" t="s">
        <v>60</v>
      </c>
      <c r="E879" s="29">
        <v>0.9092</v>
      </c>
      <c r="F879" s="29">
        <v>39.1766</v>
      </c>
      <c r="G879" s="29">
        <v>30.1673</v>
      </c>
      <c r="H879" s="29">
        <v>0.6732</v>
      </c>
      <c r="I879" s="29">
        <v>0.541</v>
      </c>
      <c r="J879" s="29">
        <v>0.4715</v>
      </c>
      <c r="K879" s="29">
        <v>0.2778</v>
      </c>
      <c r="L879" s="29">
        <v>7.8521</v>
      </c>
      <c r="M879" s="29" t="s">
        <v>225</v>
      </c>
    </row>
    <row r="880" ht="15.75" customHeight="1">
      <c r="A880" s="29" t="s">
        <v>120</v>
      </c>
      <c r="B880" s="29" t="s">
        <v>3527</v>
      </c>
      <c r="C880" s="29">
        <v>0.0</v>
      </c>
      <c r="D880" s="29" t="s">
        <v>60</v>
      </c>
      <c r="E880" s="29">
        <v>0.6764</v>
      </c>
      <c r="F880" s="29">
        <v>39.1662</v>
      </c>
      <c r="G880" s="29">
        <v>26.8727</v>
      </c>
      <c r="H880" s="29">
        <v>0.7825</v>
      </c>
      <c r="I880" s="29">
        <v>0.6816</v>
      </c>
      <c r="J880" s="29">
        <v>0.3234</v>
      </c>
      <c r="K880" s="29">
        <v>0.0494</v>
      </c>
      <c r="L880" s="29">
        <v>9.2311</v>
      </c>
      <c r="M880" s="29" t="s">
        <v>225</v>
      </c>
    </row>
    <row r="881" ht="15.75" customHeight="1">
      <c r="A881" s="29" t="s">
        <v>301</v>
      </c>
      <c r="B881" s="29" t="s">
        <v>3530</v>
      </c>
      <c r="C881" s="29">
        <v>0.0</v>
      </c>
      <c r="D881" s="29" t="s">
        <v>60</v>
      </c>
      <c r="E881" s="29">
        <v>0.684</v>
      </c>
      <c r="F881" s="29">
        <v>39.1593</v>
      </c>
      <c r="G881" s="29">
        <v>26.3469</v>
      </c>
      <c r="H881" s="29">
        <v>0.7829</v>
      </c>
      <c r="I881" s="29">
        <v>0.7089</v>
      </c>
      <c r="J881" s="29">
        <v>0.3257</v>
      </c>
      <c r="K881" s="29">
        <v>0.0494</v>
      </c>
      <c r="L881" s="29">
        <v>9.2427</v>
      </c>
      <c r="M881" s="29" t="s">
        <v>225</v>
      </c>
    </row>
    <row r="882" ht="15.75" customHeight="1">
      <c r="A882" s="29" t="s">
        <v>335</v>
      </c>
      <c r="B882" s="29" t="s">
        <v>3533</v>
      </c>
      <c r="C882" s="29">
        <v>0.0</v>
      </c>
      <c r="D882" s="29" t="s">
        <v>60</v>
      </c>
      <c r="E882" s="29">
        <v>0.6148</v>
      </c>
      <c r="F882" s="29">
        <v>39.1559</v>
      </c>
      <c r="G882" s="29">
        <v>29.1303</v>
      </c>
      <c r="H882" s="29">
        <v>0.6088</v>
      </c>
      <c r="I882" s="29">
        <v>0.5787</v>
      </c>
      <c r="J882" s="29">
        <v>0.4462</v>
      </c>
      <c r="K882" s="29">
        <v>0.0954</v>
      </c>
      <c r="L882" s="29">
        <v>8.738</v>
      </c>
      <c r="M882" s="29" t="s">
        <v>225</v>
      </c>
    </row>
    <row r="883" ht="15.75" customHeight="1">
      <c r="A883" s="29" t="s">
        <v>683</v>
      </c>
      <c r="B883" s="29" t="s">
        <v>3536</v>
      </c>
      <c r="C883" s="29">
        <v>0.0</v>
      </c>
      <c r="D883" s="29" t="s">
        <v>60</v>
      </c>
      <c r="E883" s="29">
        <v>0.9125</v>
      </c>
      <c r="F883" s="29">
        <v>39.1524</v>
      </c>
      <c r="G883" s="29">
        <v>32.5844</v>
      </c>
      <c r="H883" s="29">
        <v>0.7009</v>
      </c>
      <c r="I883" s="29">
        <v>0.4633</v>
      </c>
      <c r="J883" s="29">
        <v>0.4595</v>
      </c>
      <c r="K883" s="29">
        <v>0.2838</v>
      </c>
      <c r="L883" s="29">
        <v>8.0138</v>
      </c>
      <c r="M883" s="29" t="s">
        <v>225</v>
      </c>
    </row>
    <row r="884" ht="15.75" customHeight="1">
      <c r="A884" s="29" t="s">
        <v>1082</v>
      </c>
      <c r="B884" s="29" t="s">
        <v>3539</v>
      </c>
      <c r="C884" s="29">
        <v>0.0</v>
      </c>
      <c r="D884" s="29" t="s">
        <v>60</v>
      </c>
      <c r="E884" s="29">
        <v>0.9097</v>
      </c>
      <c r="F884" s="29">
        <v>39.1489</v>
      </c>
      <c r="G884" s="29">
        <v>30.1388</v>
      </c>
      <c r="H884" s="29">
        <v>0.6783</v>
      </c>
      <c r="I884" s="29">
        <v>0.5416</v>
      </c>
      <c r="J884" s="29">
        <v>0.472</v>
      </c>
      <c r="K884" s="29">
        <v>0.2791</v>
      </c>
      <c r="L884" s="29">
        <v>7.8352</v>
      </c>
      <c r="M884" s="29" t="s">
        <v>225</v>
      </c>
    </row>
    <row r="885" ht="15.75" customHeight="1">
      <c r="A885" s="29" t="s">
        <v>301</v>
      </c>
      <c r="B885" s="29" t="s">
        <v>3542</v>
      </c>
      <c r="C885" s="29">
        <v>0.0</v>
      </c>
      <c r="D885" s="29" t="s">
        <v>60</v>
      </c>
      <c r="E885" s="29">
        <v>0.6114</v>
      </c>
      <c r="F885" s="29">
        <v>39.1316</v>
      </c>
      <c r="G885" s="29">
        <v>28.1458</v>
      </c>
      <c r="H885" s="29">
        <v>0.7077</v>
      </c>
      <c r="I885" s="29">
        <v>0.618</v>
      </c>
      <c r="J885" s="29">
        <v>0.3969</v>
      </c>
      <c r="K885" s="29">
        <v>0.1194</v>
      </c>
      <c r="L885" s="29">
        <v>8.7834</v>
      </c>
      <c r="M885" s="29" t="s">
        <v>225</v>
      </c>
    </row>
    <row r="886" ht="15.75" customHeight="1">
      <c r="A886" s="29" t="s">
        <v>232</v>
      </c>
      <c r="B886" s="29" t="s">
        <v>3545</v>
      </c>
      <c r="C886" s="29">
        <v>0.0</v>
      </c>
      <c r="D886" s="29" t="s">
        <v>60</v>
      </c>
      <c r="E886" s="29">
        <v>0.3998</v>
      </c>
      <c r="F886" s="29">
        <v>39.1316</v>
      </c>
      <c r="G886" s="29">
        <v>26.4663</v>
      </c>
      <c r="H886" s="29">
        <v>0.8603</v>
      </c>
      <c r="I886" s="29">
        <v>0.702</v>
      </c>
      <c r="J886" s="29">
        <v>0.4308</v>
      </c>
      <c r="K886" s="29">
        <v>0.0643</v>
      </c>
      <c r="L886" s="29">
        <v>8.358</v>
      </c>
      <c r="M886" s="29" t="s">
        <v>225</v>
      </c>
    </row>
    <row r="887" ht="15.75" customHeight="1">
      <c r="A887" s="29" t="s">
        <v>2232</v>
      </c>
      <c r="B887" s="29" t="s">
        <v>3548</v>
      </c>
      <c r="C887" s="29">
        <v>0.0</v>
      </c>
      <c r="D887" s="29" t="s">
        <v>60</v>
      </c>
      <c r="E887" s="29">
        <v>0.9078</v>
      </c>
      <c r="F887" s="29">
        <v>39.1282</v>
      </c>
      <c r="G887" s="29">
        <v>29.8891</v>
      </c>
      <c r="H887" s="29">
        <v>0.6764</v>
      </c>
      <c r="I887" s="29">
        <v>0.5503</v>
      </c>
      <c r="J887" s="29">
        <v>0.4731</v>
      </c>
      <c r="K887" s="29">
        <v>0.2795</v>
      </c>
      <c r="L887" s="29">
        <v>7.8336</v>
      </c>
      <c r="M887" s="29" t="s">
        <v>225</v>
      </c>
    </row>
    <row r="888" ht="15.75" customHeight="1">
      <c r="A888" s="29" t="s">
        <v>808</v>
      </c>
      <c r="B888" s="29" t="s">
        <v>3551</v>
      </c>
      <c r="C888" s="29">
        <v>0.0</v>
      </c>
      <c r="D888" s="29" t="s">
        <v>60</v>
      </c>
      <c r="E888" s="29">
        <v>0.4377</v>
      </c>
      <c r="F888" s="29">
        <v>39.1212</v>
      </c>
      <c r="G888" s="29">
        <v>26.3393</v>
      </c>
      <c r="H888" s="29">
        <v>0.8187</v>
      </c>
      <c r="I888" s="29">
        <v>0.7085</v>
      </c>
      <c r="J888" s="29">
        <v>0.3983</v>
      </c>
      <c r="K888" s="29">
        <v>0.0709</v>
      </c>
      <c r="L888" s="29">
        <v>8.5624</v>
      </c>
      <c r="M888" s="29" t="s">
        <v>225</v>
      </c>
    </row>
    <row r="889" ht="15.75" customHeight="1">
      <c r="A889" s="29" t="s">
        <v>1700</v>
      </c>
      <c r="B889" s="29" t="s">
        <v>3555</v>
      </c>
      <c r="C889" s="29">
        <v>0.0</v>
      </c>
      <c r="D889" s="29" t="s">
        <v>60</v>
      </c>
      <c r="E889" s="29">
        <v>0.9091</v>
      </c>
      <c r="F889" s="29">
        <v>39.1212</v>
      </c>
      <c r="G889" s="29">
        <v>30.3355</v>
      </c>
      <c r="H889" s="29">
        <v>0.6757</v>
      </c>
      <c r="I889" s="29">
        <v>0.5342</v>
      </c>
      <c r="J889" s="29">
        <v>0.4727</v>
      </c>
      <c r="K889" s="29">
        <v>0.2799</v>
      </c>
      <c r="L889" s="29">
        <v>7.8254</v>
      </c>
      <c r="M889" s="29" t="s">
        <v>225</v>
      </c>
    </row>
    <row r="890" ht="15.75" customHeight="1">
      <c r="A890" s="29" t="s">
        <v>165</v>
      </c>
      <c r="B890" s="29" t="s">
        <v>3558</v>
      </c>
      <c r="C890" s="29">
        <v>0.0</v>
      </c>
      <c r="D890" s="29" t="s">
        <v>60</v>
      </c>
      <c r="E890" s="29">
        <v>0.6104</v>
      </c>
      <c r="F890" s="29">
        <v>39.1143</v>
      </c>
      <c r="G890" s="29">
        <v>26.979</v>
      </c>
      <c r="H890" s="29">
        <v>0.6108</v>
      </c>
      <c r="I890" s="29">
        <v>0.6692</v>
      </c>
      <c r="J890" s="29">
        <v>0.457</v>
      </c>
      <c r="K890" s="29">
        <v>0.1221</v>
      </c>
      <c r="L890" s="29">
        <v>8.5761</v>
      </c>
      <c r="M890" s="29" t="s">
        <v>225</v>
      </c>
    </row>
    <row r="891" ht="15.75" customHeight="1">
      <c r="A891" s="29" t="s">
        <v>651</v>
      </c>
      <c r="B891" s="29" t="s">
        <v>3561</v>
      </c>
      <c r="C891" s="29">
        <v>0.0</v>
      </c>
      <c r="D891" s="29" t="s">
        <v>60</v>
      </c>
      <c r="E891" s="29">
        <v>0.6102</v>
      </c>
      <c r="F891" s="29">
        <v>39.0658</v>
      </c>
      <c r="G891" s="29">
        <v>28.5721</v>
      </c>
      <c r="H891" s="29">
        <v>0.6499</v>
      </c>
      <c r="I891" s="29">
        <v>0.6001</v>
      </c>
      <c r="J891" s="29">
        <v>0.4494</v>
      </c>
      <c r="K891" s="29">
        <v>0.1084</v>
      </c>
      <c r="L891" s="29">
        <v>8.646</v>
      </c>
      <c r="M891" s="29" t="s">
        <v>225</v>
      </c>
    </row>
    <row r="892" ht="15.75" customHeight="1">
      <c r="A892" s="29" t="s">
        <v>512</v>
      </c>
      <c r="B892" s="29" t="s">
        <v>3563</v>
      </c>
      <c r="C892" s="29">
        <v>0.0</v>
      </c>
      <c r="D892" s="29" t="s">
        <v>60</v>
      </c>
      <c r="E892" s="29">
        <v>0.9091</v>
      </c>
      <c r="F892" s="29">
        <v>39.0658</v>
      </c>
      <c r="G892" s="29">
        <v>31.789</v>
      </c>
      <c r="H892" s="29">
        <v>0.7037</v>
      </c>
      <c r="I892" s="29">
        <v>0.4858</v>
      </c>
      <c r="J892" s="29">
        <v>0.473</v>
      </c>
      <c r="K892" s="29">
        <v>0.2983</v>
      </c>
      <c r="L892" s="29">
        <v>7.8833</v>
      </c>
      <c r="M892" s="29" t="s">
        <v>225</v>
      </c>
    </row>
    <row r="893" ht="15.75" customHeight="1">
      <c r="A893" s="29" t="s">
        <v>259</v>
      </c>
      <c r="B893" s="29" t="s">
        <v>3566</v>
      </c>
      <c r="C893" s="29">
        <v>0.0</v>
      </c>
      <c r="D893" s="29" t="s">
        <v>60</v>
      </c>
      <c r="E893" s="29">
        <v>0.5899</v>
      </c>
      <c r="F893" s="29">
        <v>39.0416</v>
      </c>
      <c r="G893" s="29">
        <v>27.8109</v>
      </c>
      <c r="H893" s="29">
        <v>0.5775</v>
      </c>
      <c r="I893" s="29">
        <v>0.63</v>
      </c>
      <c r="J893" s="29">
        <v>0.3899</v>
      </c>
      <c r="K893" s="29">
        <v>0.0938</v>
      </c>
      <c r="L893" s="29">
        <v>8.895</v>
      </c>
      <c r="M893" s="29" t="s">
        <v>225</v>
      </c>
    </row>
    <row r="894" ht="15.75" customHeight="1">
      <c r="A894" s="29" t="s">
        <v>140</v>
      </c>
      <c r="B894" s="29" t="s">
        <v>3569</v>
      </c>
      <c r="C894" s="29">
        <v>0.0</v>
      </c>
      <c r="D894" s="29" t="s">
        <v>60</v>
      </c>
      <c r="E894" s="29">
        <v>0.6158</v>
      </c>
      <c r="F894" s="29">
        <v>39.0416</v>
      </c>
      <c r="G894" s="29">
        <v>29.1442</v>
      </c>
      <c r="H894" s="29">
        <v>0.6437</v>
      </c>
      <c r="I894" s="29">
        <v>0.5766</v>
      </c>
      <c r="J894" s="29">
        <v>0.4505</v>
      </c>
      <c r="K894" s="29">
        <v>0.1086</v>
      </c>
      <c r="L894" s="29">
        <v>8.6442</v>
      </c>
      <c r="M894" s="29" t="s">
        <v>225</v>
      </c>
    </row>
    <row r="895" ht="15.75" customHeight="1">
      <c r="A895" s="29" t="s">
        <v>1738</v>
      </c>
      <c r="B895" s="29" t="s">
        <v>3572</v>
      </c>
      <c r="C895" s="29">
        <v>0.0</v>
      </c>
      <c r="D895" s="29" t="s">
        <v>60</v>
      </c>
      <c r="E895" s="29">
        <v>0.9072</v>
      </c>
      <c r="F895" s="29">
        <v>39.0173</v>
      </c>
      <c r="G895" s="29">
        <v>30.3397</v>
      </c>
      <c r="H895" s="29">
        <v>0.6736</v>
      </c>
      <c r="I895" s="29">
        <v>0.5327</v>
      </c>
      <c r="J895" s="29">
        <v>0.4829</v>
      </c>
      <c r="K895" s="29">
        <v>0.2822</v>
      </c>
      <c r="L895" s="29">
        <v>7.7567</v>
      </c>
      <c r="M895" s="29" t="s">
        <v>225</v>
      </c>
    </row>
    <row r="896" ht="15.75" customHeight="1">
      <c r="A896" s="29" t="s">
        <v>130</v>
      </c>
      <c r="B896" s="29" t="s">
        <v>3575</v>
      </c>
      <c r="C896" s="29">
        <v>0.0</v>
      </c>
      <c r="D896" s="29" t="s">
        <v>60</v>
      </c>
      <c r="E896" s="29">
        <v>0.6622</v>
      </c>
      <c r="F896" s="29">
        <v>39.0139</v>
      </c>
      <c r="G896" s="29">
        <v>26.5764</v>
      </c>
      <c r="H896" s="29">
        <v>0.7835</v>
      </c>
      <c r="I896" s="29">
        <v>0.6937</v>
      </c>
      <c r="J896" s="29">
        <v>0.3224</v>
      </c>
      <c r="K896" s="29">
        <v>0.0502</v>
      </c>
      <c r="L896" s="29">
        <v>9.2184</v>
      </c>
      <c r="M896" s="29" t="s">
        <v>225</v>
      </c>
    </row>
    <row r="897" ht="15.75" customHeight="1">
      <c r="A897" s="29" t="s">
        <v>758</v>
      </c>
      <c r="B897" s="29" t="s">
        <v>3578</v>
      </c>
      <c r="C897" s="29">
        <v>0.0</v>
      </c>
      <c r="D897" s="29" t="s">
        <v>60</v>
      </c>
      <c r="E897" s="29">
        <v>0.4771</v>
      </c>
      <c r="F897" s="29">
        <v>39.0035</v>
      </c>
      <c r="G897" s="29">
        <v>26.4183</v>
      </c>
      <c r="H897" s="29">
        <v>0.8353</v>
      </c>
      <c r="I897" s="29">
        <v>0.7023</v>
      </c>
      <c r="J897" s="29">
        <v>0.3953</v>
      </c>
      <c r="K897" s="29">
        <v>0.0663</v>
      </c>
      <c r="L897" s="29">
        <v>8.6047</v>
      </c>
      <c r="M897" s="29" t="s">
        <v>225</v>
      </c>
    </row>
    <row r="898" ht="15.75" customHeight="1">
      <c r="A898" s="29" t="s">
        <v>249</v>
      </c>
      <c r="B898" s="29" t="s">
        <v>3581</v>
      </c>
      <c r="C898" s="29">
        <v>0.0</v>
      </c>
      <c r="D898" s="29" t="s">
        <v>60</v>
      </c>
      <c r="E898" s="29">
        <v>0.3955</v>
      </c>
      <c r="F898" s="29">
        <v>39.0</v>
      </c>
      <c r="G898" s="29">
        <v>27.5988</v>
      </c>
      <c r="H898" s="29">
        <v>0.8699</v>
      </c>
      <c r="I898" s="29">
        <v>0.6434</v>
      </c>
      <c r="J898" s="29">
        <v>0.408</v>
      </c>
      <c r="K898" s="29">
        <v>0.0644</v>
      </c>
      <c r="L898" s="29">
        <v>8.3216</v>
      </c>
      <c r="M898" s="29" t="s">
        <v>225</v>
      </c>
    </row>
    <row r="899" ht="15.75" customHeight="1">
      <c r="A899" s="29" t="s">
        <v>27</v>
      </c>
      <c r="B899" s="29" t="s">
        <v>3584</v>
      </c>
      <c r="C899" s="29">
        <v>0.0</v>
      </c>
      <c r="D899" s="29" t="s">
        <v>60</v>
      </c>
      <c r="E899" s="29">
        <v>0.4525</v>
      </c>
      <c r="F899" s="29">
        <v>38.9792</v>
      </c>
      <c r="G899" s="29">
        <v>26.7606</v>
      </c>
      <c r="H899" s="29">
        <v>0.8843</v>
      </c>
      <c r="I899" s="29">
        <v>0.684</v>
      </c>
      <c r="J899" s="29">
        <v>0.4137</v>
      </c>
      <c r="K899" s="29">
        <v>0.0646</v>
      </c>
      <c r="L899" s="29">
        <v>8.3211</v>
      </c>
      <c r="M899" s="29" t="s">
        <v>225</v>
      </c>
    </row>
    <row r="900" ht="15.75" customHeight="1">
      <c r="A900" s="29" t="s">
        <v>105</v>
      </c>
      <c r="B900" s="29" t="s">
        <v>3587</v>
      </c>
      <c r="C900" s="29">
        <v>0.0</v>
      </c>
      <c r="D900" s="29" t="s">
        <v>60</v>
      </c>
      <c r="E900" s="29">
        <v>0.6772</v>
      </c>
      <c r="F900" s="29">
        <v>38.9792</v>
      </c>
      <c r="G900" s="29">
        <v>25.8963</v>
      </c>
      <c r="H900" s="29">
        <v>0.7832</v>
      </c>
      <c r="I900" s="29">
        <v>0.7304</v>
      </c>
      <c r="J900" s="29">
        <v>0.3263</v>
      </c>
      <c r="K900" s="29">
        <v>0.0511</v>
      </c>
      <c r="L900" s="29">
        <v>9.2</v>
      </c>
      <c r="M900" s="29" t="s">
        <v>225</v>
      </c>
    </row>
    <row r="901" ht="15.75" customHeight="1">
      <c r="A901" s="29" t="s">
        <v>437</v>
      </c>
      <c r="B901" s="29" t="s">
        <v>3590</v>
      </c>
      <c r="C901" s="29">
        <v>0.0</v>
      </c>
      <c r="D901" s="29" t="s">
        <v>60</v>
      </c>
      <c r="E901" s="29">
        <v>0.7058</v>
      </c>
      <c r="F901" s="29">
        <v>38.9758</v>
      </c>
      <c r="G901" s="29">
        <v>28.5467</v>
      </c>
      <c r="H901" s="29">
        <v>0.4599</v>
      </c>
      <c r="I901" s="29">
        <v>0.6005</v>
      </c>
      <c r="J901" s="29">
        <v>0.3972</v>
      </c>
      <c r="K901" s="29">
        <v>0.125</v>
      </c>
      <c r="L901" s="29">
        <v>8.5424</v>
      </c>
      <c r="M901" s="29" t="s">
        <v>225</v>
      </c>
    </row>
    <row r="902" ht="15.75" customHeight="1">
      <c r="A902" s="29" t="s">
        <v>33</v>
      </c>
      <c r="B902" s="29" t="s">
        <v>3594</v>
      </c>
      <c r="C902" s="29">
        <v>0.0</v>
      </c>
      <c r="D902" s="29" t="s">
        <v>60</v>
      </c>
      <c r="E902" s="29">
        <v>0.6119</v>
      </c>
      <c r="F902" s="29">
        <v>38.9723</v>
      </c>
      <c r="G902" s="29">
        <v>29.029</v>
      </c>
      <c r="H902" s="29">
        <v>0.6458</v>
      </c>
      <c r="I902" s="29">
        <v>0.5812</v>
      </c>
      <c r="J902" s="29">
        <v>0.4409</v>
      </c>
      <c r="K902" s="29">
        <v>0.0965</v>
      </c>
      <c r="L902" s="29">
        <v>8.6764</v>
      </c>
      <c r="M902" s="29" t="s">
        <v>225</v>
      </c>
    </row>
    <row r="903" ht="15.75" customHeight="1">
      <c r="A903" s="29" t="s">
        <v>2037</v>
      </c>
      <c r="B903" s="29" t="s">
        <v>3597</v>
      </c>
      <c r="C903" s="29">
        <v>0.0</v>
      </c>
      <c r="D903" s="29" t="s">
        <v>60</v>
      </c>
      <c r="E903" s="29">
        <v>0.6406</v>
      </c>
      <c r="F903" s="29">
        <v>38.9654</v>
      </c>
      <c r="G903" s="29">
        <v>25.3969</v>
      </c>
      <c r="H903" s="29">
        <v>0.7737</v>
      </c>
      <c r="I903" s="29">
        <v>0.7591</v>
      </c>
      <c r="J903" s="29">
        <v>0.3707</v>
      </c>
      <c r="K903" s="29">
        <v>0.054</v>
      </c>
      <c r="L903" s="29">
        <v>8.8977</v>
      </c>
      <c r="M903" s="29" t="s">
        <v>225</v>
      </c>
    </row>
    <row r="904" ht="15.75" customHeight="1">
      <c r="A904" s="29" t="s">
        <v>105</v>
      </c>
      <c r="B904" s="29" t="s">
        <v>3600</v>
      </c>
      <c r="C904" s="29">
        <v>0.0</v>
      </c>
      <c r="D904" s="29" t="s">
        <v>60</v>
      </c>
      <c r="E904" s="29">
        <v>0.6051</v>
      </c>
      <c r="F904" s="29">
        <v>38.9515</v>
      </c>
      <c r="G904" s="29">
        <v>26.4026</v>
      </c>
      <c r="H904" s="29">
        <v>0.6766</v>
      </c>
      <c r="I904" s="29">
        <v>0.6992</v>
      </c>
      <c r="J904" s="29">
        <v>0.4096</v>
      </c>
      <c r="K904" s="29">
        <v>0.1303</v>
      </c>
      <c r="L904" s="29">
        <v>8.7029</v>
      </c>
      <c r="M904" s="29" t="s">
        <v>225</v>
      </c>
    </row>
    <row r="905" ht="15.75" customHeight="1">
      <c r="A905" s="29" t="s">
        <v>1174</v>
      </c>
      <c r="B905" s="29" t="s">
        <v>3603</v>
      </c>
      <c r="C905" s="29">
        <v>0.0</v>
      </c>
      <c r="D905" s="29" t="s">
        <v>60</v>
      </c>
      <c r="E905" s="29">
        <v>0.9123</v>
      </c>
      <c r="F905" s="29">
        <v>38.9515</v>
      </c>
      <c r="G905" s="29">
        <v>31.5999</v>
      </c>
      <c r="H905" s="29">
        <v>0.693</v>
      </c>
      <c r="I905" s="29">
        <v>0.4902</v>
      </c>
      <c r="J905" s="29">
        <v>0.4604</v>
      </c>
      <c r="K905" s="29">
        <v>0.2782</v>
      </c>
      <c r="L905" s="29">
        <v>8.0243</v>
      </c>
      <c r="M905" s="29" t="s">
        <v>225</v>
      </c>
    </row>
    <row r="906" ht="15.75" customHeight="1">
      <c r="A906" s="29" t="s">
        <v>65</v>
      </c>
      <c r="B906" s="29" t="s">
        <v>3606</v>
      </c>
      <c r="C906" s="29">
        <v>0.0</v>
      </c>
      <c r="D906" s="29" t="s">
        <v>60</v>
      </c>
      <c r="E906" s="29">
        <v>0.6163</v>
      </c>
      <c r="F906" s="29">
        <v>38.8892</v>
      </c>
      <c r="G906" s="29">
        <v>28.2374</v>
      </c>
      <c r="H906" s="29">
        <v>0.666</v>
      </c>
      <c r="I906" s="29">
        <v>0.612</v>
      </c>
      <c r="J906" s="29">
        <v>0.4091</v>
      </c>
      <c r="K906" s="29">
        <v>0.1316</v>
      </c>
      <c r="L906" s="29">
        <v>8.6875</v>
      </c>
      <c r="M906" s="29" t="s">
        <v>225</v>
      </c>
    </row>
    <row r="907" ht="15.75" customHeight="1">
      <c r="A907" s="29" t="s">
        <v>952</v>
      </c>
      <c r="B907" s="29" t="s">
        <v>3609</v>
      </c>
      <c r="C907" s="29">
        <v>0.0</v>
      </c>
      <c r="D907" s="29" t="s">
        <v>60</v>
      </c>
      <c r="E907" s="29">
        <v>0.6803</v>
      </c>
      <c r="F907" s="29">
        <v>38.8546</v>
      </c>
      <c r="G907" s="29">
        <v>26.2578</v>
      </c>
      <c r="H907" s="29">
        <v>0.7844</v>
      </c>
      <c r="I907" s="29">
        <v>0.7082</v>
      </c>
      <c r="J907" s="29">
        <v>0.329</v>
      </c>
      <c r="K907" s="29">
        <v>0.0518</v>
      </c>
      <c r="L907" s="29">
        <v>9.1987</v>
      </c>
      <c r="M907" s="29" t="s">
        <v>225</v>
      </c>
    </row>
    <row r="908" ht="15.75" customHeight="1">
      <c r="A908" s="29" t="s">
        <v>191</v>
      </c>
      <c r="B908" s="29" t="s">
        <v>3613</v>
      </c>
      <c r="C908" s="29">
        <v>0.0</v>
      </c>
      <c r="D908" s="29" t="s">
        <v>60</v>
      </c>
      <c r="E908" s="29">
        <v>0.6706</v>
      </c>
      <c r="F908" s="29">
        <v>38.8511</v>
      </c>
      <c r="G908" s="29">
        <v>25.7929</v>
      </c>
      <c r="H908" s="29">
        <v>0.7823</v>
      </c>
      <c r="I908" s="29">
        <v>0.7331</v>
      </c>
      <c r="J908" s="29">
        <v>0.3267</v>
      </c>
      <c r="K908" s="29">
        <v>0.0515</v>
      </c>
      <c r="L908" s="29">
        <v>9.2208</v>
      </c>
      <c r="M908" s="29" t="s">
        <v>225</v>
      </c>
    </row>
    <row r="909" ht="15.75" customHeight="1">
      <c r="A909" s="29" t="s">
        <v>1141</v>
      </c>
      <c r="B909" s="29" t="s">
        <v>3616</v>
      </c>
      <c r="C909" s="29">
        <v>0.0</v>
      </c>
      <c r="D909" s="29" t="s">
        <v>60</v>
      </c>
      <c r="E909" s="29">
        <v>0.9101</v>
      </c>
      <c r="F909" s="29">
        <v>38.813</v>
      </c>
      <c r="G909" s="29">
        <v>30.2485</v>
      </c>
      <c r="H909" s="29">
        <v>0.6845</v>
      </c>
      <c r="I909" s="29">
        <v>0.5331</v>
      </c>
      <c r="J909" s="29">
        <v>0.4764</v>
      </c>
      <c r="K909" s="29">
        <v>0.2843</v>
      </c>
      <c r="L909" s="29">
        <v>7.7977</v>
      </c>
      <c r="M909" s="29" t="s">
        <v>225</v>
      </c>
    </row>
    <row r="910" ht="15.75" customHeight="1">
      <c r="A910" s="29" t="s">
        <v>246</v>
      </c>
      <c r="B910" s="29" t="s">
        <v>3619</v>
      </c>
      <c r="C910" s="29">
        <v>0.0</v>
      </c>
      <c r="D910" s="29" t="s">
        <v>60</v>
      </c>
      <c r="E910" s="29">
        <v>0.6739</v>
      </c>
      <c r="F910" s="29">
        <v>38.7957</v>
      </c>
      <c r="G910" s="29">
        <v>25.7929</v>
      </c>
      <c r="H910" s="29">
        <v>0.783</v>
      </c>
      <c r="I910" s="29">
        <v>0.7318</v>
      </c>
      <c r="J910" s="29">
        <v>0.3284</v>
      </c>
      <c r="K910" s="29">
        <v>0.0522</v>
      </c>
      <c r="L910" s="29">
        <v>9.1915</v>
      </c>
      <c r="M910" s="29" t="s">
        <v>225</v>
      </c>
    </row>
    <row r="911" ht="15.75" customHeight="1">
      <c r="A911" s="29" t="s">
        <v>368</v>
      </c>
      <c r="B911" s="29" t="s">
        <v>3622</v>
      </c>
      <c r="C911" s="29">
        <v>0.0</v>
      </c>
      <c r="D911" s="29" t="s">
        <v>60</v>
      </c>
      <c r="E911" s="29">
        <v>0.6483</v>
      </c>
      <c r="F911" s="29">
        <v>38.7957</v>
      </c>
      <c r="G911" s="29">
        <v>31.1671</v>
      </c>
      <c r="H911" s="29">
        <v>0.6871</v>
      </c>
      <c r="I911" s="29">
        <v>0.5004</v>
      </c>
      <c r="J911" s="29">
        <v>0.6039</v>
      </c>
      <c r="K911" s="29">
        <v>0.2419</v>
      </c>
      <c r="L911" s="29">
        <v>7.1532</v>
      </c>
      <c r="M911" s="29" t="s">
        <v>225</v>
      </c>
    </row>
    <row r="912" ht="15.75" customHeight="1">
      <c r="A912" s="29" t="s">
        <v>110</v>
      </c>
      <c r="B912" s="29" t="s">
        <v>3625</v>
      </c>
      <c r="C912" s="29">
        <v>0.0</v>
      </c>
      <c r="D912" s="29" t="s">
        <v>60</v>
      </c>
      <c r="E912" s="29">
        <v>0.6764</v>
      </c>
      <c r="F912" s="29">
        <v>38.7888</v>
      </c>
      <c r="G912" s="29">
        <v>26.278</v>
      </c>
      <c r="H912" s="29">
        <v>0.7922</v>
      </c>
      <c r="I912" s="29">
        <v>0.7056</v>
      </c>
      <c r="J912" s="29">
        <v>0.3359</v>
      </c>
      <c r="K912" s="29">
        <v>0.0587</v>
      </c>
      <c r="L912" s="29">
        <v>9.1246</v>
      </c>
      <c r="M912" s="29" t="s">
        <v>225</v>
      </c>
    </row>
    <row r="913" ht="15.75" customHeight="1">
      <c r="A913" s="29" t="s">
        <v>53</v>
      </c>
      <c r="B913" s="29" t="s">
        <v>3629</v>
      </c>
      <c r="C913" s="29">
        <v>0.0</v>
      </c>
      <c r="D913" s="29" t="s">
        <v>60</v>
      </c>
      <c r="E913" s="29">
        <v>0.3724</v>
      </c>
      <c r="F913" s="29">
        <v>38.7368</v>
      </c>
      <c r="G913" s="29">
        <v>26.1578</v>
      </c>
      <c r="H913" s="29">
        <v>0.8547</v>
      </c>
      <c r="I913" s="29">
        <v>0.7114</v>
      </c>
      <c r="J913" s="29">
        <v>0.4149</v>
      </c>
      <c r="K913" s="29">
        <v>0.0647</v>
      </c>
      <c r="L913" s="29">
        <v>8.3241</v>
      </c>
      <c r="M913" s="29" t="s">
        <v>225</v>
      </c>
    </row>
    <row r="914" ht="15.75" customHeight="1">
      <c r="A914" s="29" t="s">
        <v>660</v>
      </c>
      <c r="B914" s="29" t="s">
        <v>3632</v>
      </c>
      <c r="C914" s="29">
        <v>0.0</v>
      </c>
      <c r="D914" s="29" t="s">
        <v>60</v>
      </c>
      <c r="E914" s="29">
        <v>0.4714</v>
      </c>
      <c r="F914" s="29">
        <v>38.7299</v>
      </c>
      <c r="G914" s="29">
        <v>26.0652</v>
      </c>
      <c r="H914" s="29">
        <v>0.8176</v>
      </c>
      <c r="I914" s="29">
        <v>0.7164</v>
      </c>
      <c r="J914" s="29">
        <v>0.3999</v>
      </c>
      <c r="K914" s="29">
        <v>0.0685</v>
      </c>
      <c r="L914" s="29">
        <v>8.5764</v>
      </c>
      <c r="M914" s="29" t="s">
        <v>225</v>
      </c>
    </row>
    <row r="915" ht="15.75" customHeight="1">
      <c r="A915" s="29" t="s">
        <v>252</v>
      </c>
      <c r="B915" s="29" t="s">
        <v>3635</v>
      </c>
      <c r="C915" s="29">
        <v>0.0</v>
      </c>
      <c r="D915" s="29" t="s">
        <v>60</v>
      </c>
      <c r="E915" s="29">
        <v>0.5969</v>
      </c>
      <c r="F915" s="29">
        <v>38.7195</v>
      </c>
      <c r="G915" s="29">
        <v>26.8243</v>
      </c>
      <c r="H915" s="29">
        <v>0.65</v>
      </c>
      <c r="I915" s="29">
        <v>0.6748</v>
      </c>
      <c r="J915" s="29">
        <v>0.4506</v>
      </c>
      <c r="K915" s="29">
        <v>0.0926</v>
      </c>
      <c r="L915" s="29">
        <v>8.691</v>
      </c>
      <c r="M915" s="29" t="s">
        <v>225</v>
      </c>
    </row>
    <row r="916" ht="15.75" customHeight="1">
      <c r="A916" s="29" t="s">
        <v>836</v>
      </c>
      <c r="B916" s="29" t="s">
        <v>3638</v>
      </c>
      <c r="C916" s="29">
        <v>0.0</v>
      </c>
      <c r="D916" s="29" t="s">
        <v>60</v>
      </c>
      <c r="E916" s="29">
        <v>0.5259</v>
      </c>
      <c r="F916" s="29">
        <v>38.6814</v>
      </c>
      <c r="G916" s="29">
        <v>26.2174</v>
      </c>
      <c r="H916" s="29">
        <v>0.8027</v>
      </c>
      <c r="I916" s="29">
        <v>0.7072</v>
      </c>
      <c r="J916" s="29">
        <v>0.4077</v>
      </c>
      <c r="K916" s="29">
        <v>0.0751</v>
      </c>
      <c r="L916" s="29">
        <v>8.5406</v>
      </c>
      <c r="M916" s="29" t="s">
        <v>225</v>
      </c>
    </row>
    <row r="917" ht="15.75" customHeight="1">
      <c r="A917" s="29" t="s">
        <v>92</v>
      </c>
      <c r="B917" s="29" t="s">
        <v>3641</v>
      </c>
      <c r="C917" s="29">
        <v>0.0</v>
      </c>
      <c r="D917" s="29" t="s">
        <v>60</v>
      </c>
      <c r="E917" s="29">
        <v>0.6778</v>
      </c>
      <c r="F917" s="29">
        <v>38.6641</v>
      </c>
      <c r="G917" s="29">
        <v>26.209</v>
      </c>
      <c r="H917" s="29">
        <v>0.7837</v>
      </c>
      <c r="I917" s="29">
        <v>0.7073</v>
      </c>
      <c r="J917" s="29">
        <v>0.3538</v>
      </c>
      <c r="K917" s="29">
        <v>0.0562</v>
      </c>
      <c r="L917" s="29">
        <v>9.0398</v>
      </c>
      <c r="M917" s="29" t="s">
        <v>225</v>
      </c>
    </row>
    <row r="918" ht="15.75" customHeight="1">
      <c r="A918" s="29" t="s">
        <v>877</v>
      </c>
      <c r="B918" s="29" t="s">
        <v>3644</v>
      </c>
      <c r="C918" s="29">
        <v>0.0</v>
      </c>
      <c r="D918" s="29" t="s">
        <v>60</v>
      </c>
      <c r="E918" s="29">
        <v>0.6219</v>
      </c>
      <c r="F918" s="29">
        <v>38.6468</v>
      </c>
      <c r="G918" s="29">
        <v>26.825</v>
      </c>
      <c r="H918" s="29">
        <v>0.6775</v>
      </c>
      <c r="I918" s="29">
        <v>0.6718</v>
      </c>
      <c r="J918" s="29">
        <v>0.4058</v>
      </c>
      <c r="K918" s="29">
        <v>0.1361</v>
      </c>
      <c r="L918" s="29">
        <v>8.6855</v>
      </c>
      <c r="M918" s="29" t="s">
        <v>225</v>
      </c>
    </row>
    <row r="919" ht="15.75" customHeight="1">
      <c r="A919" s="29" t="s">
        <v>438</v>
      </c>
      <c r="B919" s="29" t="s">
        <v>3647</v>
      </c>
      <c r="C919" s="29">
        <v>0.0</v>
      </c>
      <c r="D919" s="29" t="s">
        <v>60</v>
      </c>
      <c r="E919" s="29">
        <v>0.9107</v>
      </c>
      <c r="F919" s="29">
        <v>38.6225</v>
      </c>
      <c r="G919" s="29">
        <v>31.2531</v>
      </c>
      <c r="H919" s="29">
        <v>0.7068</v>
      </c>
      <c r="I919" s="29">
        <v>0.4969</v>
      </c>
      <c r="J919" s="29">
        <v>0.4732</v>
      </c>
      <c r="K919" s="29">
        <v>0.2959</v>
      </c>
      <c r="L919" s="29">
        <v>7.8697</v>
      </c>
      <c r="M919" s="29" t="s">
        <v>225</v>
      </c>
    </row>
    <row r="920" ht="15.75" customHeight="1">
      <c r="A920" s="29" t="s">
        <v>952</v>
      </c>
      <c r="B920" s="29" t="s">
        <v>3650</v>
      </c>
      <c r="C920" s="29">
        <v>0.0</v>
      </c>
      <c r="D920" s="29" t="s">
        <v>60</v>
      </c>
      <c r="E920" s="29">
        <v>0.6284</v>
      </c>
      <c r="F920" s="29">
        <v>38.6121</v>
      </c>
      <c r="G920" s="29">
        <v>28.8399</v>
      </c>
      <c r="H920" s="29">
        <v>0.6875</v>
      </c>
      <c r="I920" s="29">
        <v>0.5833</v>
      </c>
      <c r="J920" s="29">
        <v>0.3983</v>
      </c>
      <c r="K920" s="29">
        <v>0.1229</v>
      </c>
      <c r="L920" s="29">
        <v>8.7328</v>
      </c>
      <c r="M920" s="29" t="s">
        <v>225</v>
      </c>
    </row>
    <row r="921" ht="15.75" customHeight="1">
      <c r="A921" s="29" t="s">
        <v>261</v>
      </c>
      <c r="B921" s="29" t="s">
        <v>3654</v>
      </c>
      <c r="C921" s="29">
        <v>0.0</v>
      </c>
      <c r="D921" s="29" t="s">
        <v>60</v>
      </c>
      <c r="E921" s="29">
        <v>0.9104</v>
      </c>
      <c r="F921" s="29">
        <v>38.6017</v>
      </c>
      <c r="G921" s="29">
        <v>31.6511</v>
      </c>
      <c r="H921" s="29">
        <v>0.7084</v>
      </c>
      <c r="I921" s="29">
        <v>0.484</v>
      </c>
      <c r="J921" s="29">
        <v>0.4668</v>
      </c>
      <c r="K921" s="29">
        <v>0.2934</v>
      </c>
      <c r="L921" s="29">
        <v>7.9154</v>
      </c>
      <c r="M921" s="29" t="s">
        <v>225</v>
      </c>
    </row>
    <row r="922" ht="15.75" customHeight="1">
      <c r="A922" s="29" t="s">
        <v>1048</v>
      </c>
      <c r="B922" s="29" t="s">
        <v>3657</v>
      </c>
      <c r="C922" s="29">
        <v>0.0</v>
      </c>
      <c r="D922" s="29" t="s">
        <v>60</v>
      </c>
      <c r="E922" s="29">
        <v>0.71</v>
      </c>
      <c r="F922" s="29">
        <v>38.6017</v>
      </c>
      <c r="G922" s="29">
        <v>28.9966</v>
      </c>
      <c r="H922" s="29">
        <v>0.4305</v>
      </c>
      <c r="I922" s="29">
        <v>0.5769</v>
      </c>
      <c r="J922" s="29">
        <v>0.3606</v>
      </c>
      <c r="K922" s="29">
        <v>0.1055</v>
      </c>
      <c r="L922" s="29">
        <v>8.7783</v>
      </c>
      <c r="M922" s="29" t="s">
        <v>225</v>
      </c>
    </row>
    <row r="923" ht="15.75" customHeight="1">
      <c r="A923" s="29" t="s">
        <v>1328</v>
      </c>
      <c r="B923" s="29" t="s">
        <v>3660</v>
      </c>
      <c r="C923" s="29">
        <v>0.0</v>
      </c>
      <c r="D923" s="29" t="s">
        <v>60</v>
      </c>
      <c r="E923" s="29">
        <v>0.7142</v>
      </c>
      <c r="F923" s="29">
        <v>38.5913</v>
      </c>
      <c r="G923" s="29">
        <v>27.3244</v>
      </c>
      <c r="H923" s="29">
        <v>0.4824</v>
      </c>
      <c r="I923" s="29">
        <v>0.6495</v>
      </c>
      <c r="J923" s="29">
        <v>0.377</v>
      </c>
      <c r="K923" s="29">
        <v>0.1193</v>
      </c>
      <c r="L923" s="29">
        <v>8.6824</v>
      </c>
      <c r="M923" s="29" t="s">
        <v>225</v>
      </c>
    </row>
    <row r="924" ht="15.75" customHeight="1">
      <c r="A924" s="29" t="s">
        <v>170</v>
      </c>
      <c r="B924" s="29" t="s">
        <v>3663</v>
      </c>
      <c r="C924" s="29">
        <v>0.0</v>
      </c>
      <c r="D924" s="29" t="s">
        <v>60</v>
      </c>
      <c r="E924" s="29">
        <v>0.6699</v>
      </c>
      <c r="F924" s="29">
        <v>38.5463</v>
      </c>
      <c r="G924" s="29">
        <v>26.2334</v>
      </c>
      <c r="H924" s="29">
        <v>0.7754</v>
      </c>
      <c r="I924" s="29">
        <v>0.7039</v>
      </c>
      <c r="J924" s="29">
        <v>0.3232</v>
      </c>
      <c r="K924" s="29">
        <v>0.0498</v>
      </c>
      <c r="L924" s="29">
        <v>9.2006</v>
      </c>
      <c r="M924" s="29" t="s">
        <v>225</v>
      </c>
    </row>
    <row r="925" ht="15.75" customHeight="1">
      <c r="A925" s="29" t="s">
        <v>550</v>
      </c>
      <c r="B925" s="29" t="s">
        <v>3666</v>
      </c>
      <c r="C925" s="29">
        <v>0.0</v>
      </c>
      <c r="D925" s="29" t="s">
        <v>60</v>
      </c>
      <c r="E925" s="29">
        <v>0.9127</v>
      </c>
      <c r="F925" s="29">
        <v>38.4978</v>
      </c>
      <c r="G925" s="29">
        <v>31.9795</v>
      </c>
      <c r="H925" s="29">
        <v>0.6921</v>
      </c>
      <c r="I925" s="29">
        <v>0.473</v>
      </c>
      <c r="J925" s="29">
        <v>0.463</v>
      </c>
      <c r="K925" s="29">
        <v>0.2852</v>
      </c>
      <c r="L925" s="29">
        <v>7.9787</v>
      </c>
      <c r="M925" s="29" t="s">
        <v>225</v>
      </c>
    </row>
    <row r="926" ht="15.75" customHeight="1">
      <c r="A926" s="29" t="s">
        <v>772</v>
      </c>
      <c r="B926" s="29" t="s">
        <v>3668</v>
      </c>
      <c r="C926" s="29">
        <v>0.0</v>
      </c>
      <c r="D926" s="29" t="s">
        <v>60</v>
      </c>
      <c r="E926" s="29">
        <v>0.5056</v>
      </c>
      <c r="F926" s="29">
        <v>38.4597</v>
      </c>
      <c r="G926" s="29">
        <v>25.9475</v>
      </c>
      <c r="H926" s="29">
        <v>0.8032</v>
      </c>
      <c r="I926" s="29">
        <v>0.7178</v>
      </c>
      <c r="J926" s="29">
        <v>0.4096</v>
      </c>
      <c r="K926" s="29">
        <v>0.0778</v>
      </c>
      <c r="L926" s="29">
        <v>8.5168</v>
      </c>
      <c r="M926" s="29" t="s">
        <v>225</v>
      </c>
    </row>
    <row r="927" ht="15.75" customHeight="1">
      <c r="A927" s="29" t="s">
        <v>451</v>
      </c>
      <c r="B927" s="29" t="s">
        <v>3671</v>
      </c>
      <c r="C927" s="29">
        <v>0.0</v>
      </c>
      <c r="D927" s="29" t="s">
        <v>60</v>
      </c>
      <c r="E927" s="29">
        <v>0.72</v>
      </c>
      <c r="F927" s="29">
        <v>38.4528</v>
      </c>
      <c r="G927" s="29">
        <v>27.9759</v>
      </c>
      <c r="H927" s="29">
        <v>0.451</v>
      </c>
      <c r="I927" s="29">
        <v>0.6171</v>
      </c>
      <c r="J927" s="29">
        <v>0.3793</v>
      </c>
      <c r="K927" s="29">
        <v>0.1236</v>
      </c>
      <c r="L927" s="29">
        <v>8.6475</v>
      </c>
      <c r="M927" s="29" t="s">
        <v>225</v>
      </c>
    </row>
    <row r="928" ht="15.75" customHeight="1">
      <c r="A928" s="29" t="s">
        <v>877</v>
      </c>
      <c r="B928" s="29" t="s">
        <v>3674</v>
      </c>
      <c r="C928" s="29">
        <v>0.0</v>
      </c>
      <c r="D928" s="29" t="s">
        <v>60</v>
      </c>
      <c r="E928" s="29">
        <v>0.6719</v>
      </c>
      <c r="F928" s="29">
        <v>38.4493</v>
      </c>
      <c r="G928" s="29">
        <v>25.6264</v>
      </c>
      <c r="H928" s="29">
        <v>0.776</v>
      </c>
      <c r="I928" s="29">
        <v>0.7357</v>
      </c>
      <c r="J928" s="29">
        <v>0.3428</v>
      </c>
      <c r="K928" s="29">
        <v>0.053</v>
      </c>
      <c r="L928" s="29">
        <v>9.0621</v>
      </c>
      <c r="M928" s="29" t="s">
        <v>225</v>
      </c>
    </row>
    <row r="929" ht="15.75" customHeight="1">
      <c r="A929" s="29" t="s">
        <v>2205</v>
      </c>
      <c r="B929" s="29" t="s">
        <v>3677</v>
      </c>
      <c r="C929" s="29">
        <v>0.0</v>
      </c>
      <c r="D929" s="29" t="s">
        <v>60</v>
      </c>
      <c r="E929" s="29">
        <v>0.9108</v>
      </c>
      <c r="F929" s="29">
        <v>38.4459</v>
      </c>
      <c r="G929" s="29">
        <v>30.3683</v>
      </c>
      <c r="H929" s="29">
        <v>0.6705</v>
      </c>
      <c r="I929" s="29">
        <v>0.5239</v>
      </c>
      <c r="J929" s="29">
        <v>0.4777</v>
      </c>
      <c r="K929" s="29">
        <v>0.2887</v>
      </c>
      <c r="L929" s="29">
        <v>7.769</v>
      </c>
      <c r="M929" s="29" t="s">
        <v>225</v>
      </c>
    </row>
    <row r="930" ht="15.75" customHeight="1">
      <c r="A930" s="29" t="s">
        <v>1280</v>
      </c>
      <c r="B930" s="29" t="s">
        <v>3680</v>
      </c>
      <c r="C930" s="29">
        <v>0.0</v>
      </c>
      <c r="D930" s="29" t="s">
        <v>60</v>
      </c>
      <c r="E930" s="29">
        <v>0.6982</v>
      </c>
      <c r="F930" s="29">
        <v>38.4459</v>
      </c>
      <c r="G930" s="29">
        <v>27.3429</v>
      </c>
      <c r="H930" s="29">
        <v>0.4433</v>
      </c>
      <c r="I930" s="29">
        <v>0.6462</v>
      </c>
      <c r="J930" s="29">
        <v>0.3667</v>
      </c>
      <c r="K930" s="29">
        <v>0.1083</v>
      </c>
      <c r="L930" s="29">
        <v>8.7602</v>
      </c>
      <c r="M930" s="29" t="s">
        <v>225</v>
      </c>
    </row>
    <row r="931" ht="15.75" customHeight="1">
      <c r="A931" s="29" t="s">
        <v>347</v>
      </c>
      <c r="B931" s="29" t="s">
        <v>3684</v>
      </c>
      <c r="C931" s="29">
        <v>0.0</v>
      </c>
      <c r="D931" s="29" t="s">
        <v>60</v>
      </c>
      <c r="E931" s="29">
        <v>0.9123</v>
      </c>
      <c r="F931" s="29">
        <v>38.4459</v>
      </c>
      <c r="G931" s="29">
        <v>30.9711</v>
      </c>
      <c r="H931" s="29">
        <v>0.6884</v>
      </c>
      <c r="I931" s="29">
        <v>0.5037</v>
      </c>
      <c r="J931" s="29">
        <v>0.4788</v>
      </c>
      <c r="K931" s="29">
        <v>0.3079</v>
      </c>
      <c r="L931" s="29">
        <v>7.8046</v>
      </c>
      <c r="M931" s="29" t="s">
        <v>225</v>
      </c>
    </row>
    <row r="932" ht="15.75" customHeight="1">
      <c r="A932" s="29" t="s">
        <v>1202</v>
      </c>
      <c r="B932" s="29" t="s">
        <v>3687</v>
      </c>
      <c r="C932" s="29">
        <v>0.0</v>
      </c>
      <c r="D932" s="29" t="s">
        <v>60</v>
      </c>
      <c r="E932" s="29">
        <v>0.7083</v>
      </c>
      <c r="F932" s="29">
        <v>38.3905</v>
      </c>
      <c r="G932" s="29">
        <v>28.1466</v>
      </c>
      <c r="H932" s="29">
        <v>0.4455</v>
      </c>
      <c r="I932" s="29">
        <v>0.609</v>
      </c>
      <c r="J932" s="29">
        <v>0.3804</v>
      </c>
      <c r="K932" s="29">
        <v>0.1237</v>
      </c>
      <c r="L932" s="29">
        <v>8.6578</v>
      </c>
      <c r="M932" s="29" t="s">
        <v>225</v>
      </c>
    </row>
    <row r="933" ht="15.75" customHeight="1">
      <c r="A933" s="29" t="s">
        <v>2376</v>
      </c>
      <c r="B933" s="29" t="s">
        <v>3690</v>
      </c>
      <c r="C933" s="29">
        <v>0.0</v>
      </c>
      <c r="D933" s="29" t="s">
        <v>60</v>
      </c>
      <c r="E933" s="29">
        <v>0.6064</v>
      </c>
      <c r="F933" s="29">
        <v>38.3316</v>
      </c>
      <c r="G933" s="29">
        <v>27.4884</v>
      </c>
      <c r="H933" s="29">
        <v>0.6246</v>
      </c>
      <c r="I933" s="29">
        <v>0.6355</v>
      </c>
      <c r="J933" s="29">
        <v>0.4445</v>
      </c>
      <c r="K933" s="29">
        <v>0.0961</v>
      </c>
      <c r="L933" s="29">
        <v>8.6763</v>
      </c>
      <c r="M933" s="29" t="s">
        <v>225</v>
      </c>
    </row>
    <row r="934" ht="15.75" customHeight="1">
      <c r="A934" s="29" t="s">
        <v>1818</v>
      </c>
      <c r="B934" s="29" t="s">
        <v>3693</v>
      </c>
      <c r="C934" s="29">
        <v>0.0</v>
      </c>
      <c r="D934" s="29" t="s">
        <v>60</v>
      </c>
      <c r="E934" s="29">
        <v>0.706</v>
      </c>
      <c r="F934" s="29">
        <v>38.3316</v>
      </c>
      <c r="G934" s="29">
        <v>27.9902</v>
      </c>
      <c r="H934" s="29">
        <v>0.4668</v>
      </c>
      <c r="I934" s="29">
        <v>0.6148</v>
      </c>
      <c r="J934" s="29">
        <v>0.3694</v>
      </c>
      <c r="K934" s="29">
        <v>0.111</v>
      </c>
      <c r="L934" s="29">
        <v>8.7397</v>
      </c>
      <c r="M934" s="29" t="s">
        <v>225</v>
      </c>
    </row>
    <row r="935" ht="15.75" customHeight="1">
      <c r="A935" s="29" t="s">
        <v>695</v>
      </c>
      <c r="B935" s="29" t="s">
        <v>3696</v>
      </c>
      <c r="C935" s="29">
        <v>0.0</v>
      </c>
      <c r="D935" s="29" t="s">
        <v>60</v>
      </c>
      <c r="E935" s="29">
        <v>0.5188</v>
      </c>
      <c r="F935" s="29">
        <v>38.3247</v>
      </c>
      <c r="G935" s="29">
        <v>25.5397</v>
      </c>
      <c r="H935" s="29">
        <v>0.7941</v>
      </c>
      <c r="I935" s="29">
        <v>0.7383</v>
      </c>
      <c r="J935" s="29">
        <v>0.4208</v>
      </c>
      <c r="K935" s="29">
        <v>0.0947</v>
      </c>
      <c r="L935" s="29">
        <v>8.4308</v>
      </c>
      <c r="M935" s="29" t="s">
        <v>225</v>
      </c>
    </row>
    <row r="936" ht="15.75" customHeight="1">
      <c r="A936" s="29" t="s">
        <v>2151</v>
      </c>
      <c r="B936" s="29" t="s">
        <v>3699</v>
      </c>
      <c r="C936" s="29">
        <v>0.0</v>
      </c>
      <c r="D936" s="29" t="s">
        <v>60</v>
      </c>
      <c r="E936" s="29">
        <v>0.7028</v>
      </c>
      <c r="F936" s="29">
        <v>38.3177</v>
      </c>
      <c r="G936" s="29">
        <v>28.1671</v>
      </c>
      <c r="H936" s="29">
        <v>0.4617</v>
      </c>
      <c r="I936" s="29">
        <v>0.6069</v>
      </c>
      <c r="J936" s="29">
        <v>0.389</v>
      </c>
      <c r="K936" s="29">
        <v>0.1385</v>
      </c>
      <c r="L936" s="29">
        <v>8.5519</v>
      </c>
      <c r="M936" s="29" t="s">
        <v>225</v>
      </c>
    </row>
    <row r="937" ht="15.75" customHeight="1">
      <c r="A937" s="29" t="s">
        <v>938</v>
      </c>
      <c r="B937" s="29" t="s">
        <v>3703</v>
      </c>
      <c r="C937" s="29">
        <v>0.0</v>
      </c>
      <c r="D937" s="29" t="s">
        <v>60</v>
      </c>
      <c r="E937" s="29">
        <v>0.4271</v>
      </c>
      <c r="F937" s="29">
        <v>38.3143</v>
      </c>
      <c r="G937" s="29">
        <v>26.4587</v>
      </c>
      <c r="H937" s="29">
        <v>0.8735</v>
      </c>
      <c r="I937" s="29">
        <v>0.6863</v>
      </c>
      <c r="J937" s="29">
        <v>0.4501</v>
      </c>
      <c r="K937" s="29">
        <v>0.0718</v>
      </c>
      <c r="L937" s="29">
        <v>8.2034</v>
      </c>
      <c r="M937" s="29" t="s">
        <v>225</v>
      </c>
    </row>
    <row r="938" ht="15.75" customHeight="1">
      <c r="A938" s="29" t="s">
        <v>354</v>
      </c>
      <c r="B938" s="29" t="s">
        <v>3705</v>
      </c>
      <c r="C938" s="29">
        <v>0.0</v>
      </c>
      <c r="D938" s="29" t="s">
        <v>60</v>
      </c>
      <c r="E938" s="29">
        <v>0.913</v>
      </c>
      <c r="F938" s="29">
        <v>38.3004</v>
      </c>
      <c r="G938" s="29">
        <v>31.8312</v>
      </c>
      <c r="H938" s="29">
        <v>0.7018</v>
      </c>
      <c r="I938" s="29">
        <v>0.4748</v>
      </c>
      <c r="J938" s="29">
        <v>0.4665</v>
      </c>
      <c r="K938" s="29">
        <v>0.2894</v>
      </c>
      <c r="L938" s="29">
        <v>7.9267</v>
      </c>
      <c r="M938" s="29" t="s">
        <v>225</v>
      </c>
    </row>
    <row r="939" ht="15.75" customHeight="1">
      <c r="A939" s="29" t="s">
        <v>2300</v>
      </c>
      <c r="B939" s="29" t="s">
        <v>3707</v>
      </c>
      <c r="C939" s="29">
        <v>0.0</v>
      </c>
      <c r="D939" s="29" t="s">
        <v>60</v>
      </c>
      <c r="E939" s="29">
        <v>0.5975</v>
      </c>
      <c r="F939" s="29">
        <v>38.2866</v>
      </c>
      <c r="G939" s="29">
        <v>26.2139</v>
      </c>
      <c r="H939" s="29">
        <v>0.575</v>
      </c>
      <c r="I939" s="29">
        <v>0.6953</v>
      </c>
      <c r="J939" s="29">
        <v>0.4604</v>
      </c>
      <c r="K939" s="29">
        <v>0.1124</v>
      </c>
      <c r="L939" s="29">
        <v>8.5481</v>
      </c>
      <c r="M939" s="29" t="s">
        <v>225</v>
      </c>
    </row>
    <row r="940" ht="15.75" customHeight="1">
      <c r="A940" s="29" t="s">
        <v>1706</v>
      </c>
      <c r="B940" s="29" t="s">
        <v>3709</v>
      </c>
      <c r="C940" s="29">
        <v>0.0</v>
      </c>
      <c r="D940" s="29" t="s">
        <v>60</v>
      </c>
      <c r="E940" s="29">
        <v>0.7139</v>
      </c>
      <c r="F940" s="29">
        <v>38.2796</v>
      </c>
      <c r="G940" s="29">
        <v>27.0141</v>
      </c>
      <c r="H940" s="29">
        <v>0.5029</v>
      </c>
      <c r="I940" s="29">
        <v>0.6589</v>
      </c>
      <c r="J940" s="29">
        <v>0.3829</v>
      </c>
      <c r="K940" s="29">
        <v>0.1255</v>
      </c>
      <c r="L940" s="29">
        <v>8.634</v>
      </c>
      <c r="M940" s="29" t="s">
        <v>225</v>
      </c>
    </row>
    <row r="941" ht="15.75" customHeight="1">
      <c r="A941" s="29" t="s">
        <v>115</v>
      </c>
      <c r="B941" s="29" t="s">
        <v>3711</v>
      </c>
      <c r="C941" s="29">
        <v>0.0</v>
      </c>
      <c r="D941" s="29" t="s">
        <v>60</v>
      </c>
      <c r="E941" s="29">
        <v>0.6215</v>
      </c>
      <c r="F941" s="29">
        <v>38.2762</v>
      </c>
      <c r="G941" s="29">
        <v>27.2652</v>
      </c>
      <c r="H941" s="29">
        <v>0.724</v>
      </c>
      <c r="I941" s="29">
        <v>0.6457</v>
      </c>
      <c r="J941" s="29">
        <v>0.4012</v>
      </c>
      <c r="K941" s="29">
        <v>0.1209</v>
      </c>
      <c r="L941" s="29">
        <v>8.7364</v>
      </c>
      <c r="M941" s="29" t="s">
        <v>225</v>
      </c>
    </row>
    <row r="942" ht="15.75" customHeight="1">
      <c r="A942" s="29" t="s">
        <v>2261</v>
      </c>
      <c r="B942" s="29" t="s">
        <v>3713</v>
      </c>
      <c r="C942" s="29">
        <v>0.0</v>
      </c>
      <c r="D942" s="29" t="s">
        <v>60</v>
      </c>
      <c r="E942" s="29">
        <v>0.6204</v>
      </c>
      <c r="F942" s="29">
        <v>38.2693</v>
      </c>
      <c r="G942" s="29">
        <v>26.5447</v>
      </c>
      <c r="H942" s="29">
        <v>0.5798</v>
      </c>
      <c r="I942" s="29">
        <v>0.681</v>
      </c>
      <c r="J942" s="29">
        <v>0.4028</v>
      </c>
      <c r="K942" s="29">
        <v>0.11</v>
      </c>
      <c r="L942" s="29">
        <v>8.7598</v>
      </c>
      <c r="M942" s="29" t="s">
        <v>225</v>
      </c>
    </row>
    <row r="943" ht="15.75" customHeight="1">
      <c r="A943" s="29" t="s">
        <v>804</v>
      </c>
      <c r="B943" s="29" t="s">
        <v>3715</v>
      </c>
      <c r="C943" s="29">
        <v>0.0</v>
      </c>
      <c r="D943" s="29" t="s">
        <v>60</v>
      </c>
      <c r="E943" s="29">
        <v>0.7101</v>
      </c>
      <c r="F943" s="29">
        <v>38.2658</v>
      </c>
      <c r="G943" s="29">
        <v>28.3294</v>
      </c>
      <c r="H943" s="29">
        <v>0.4538</v>
      </c>
      <c r="I943" s="29">
        <v>0.5992</v>
      </c>
      <c r="J943" s="29">
        <v>0.3814</v>
      </c>
      <c r="K943" s="29">
        <v>0.1264</v>
      </c>
      <c r="L943" s="29">
        <v>8.6378</v>
      </c>
      <c r="M943" s="29" t="s">
        <v>225</v>
      </c>
    </row>
    <row r="944" ht="15.75" customHeight="1">
      <c r="A944" s="29" t="s">
        <v>115</v>
      </c>
      <c r="B944" s="29" t="s">
        <v>3717</v>
      </c>
      <c r="C944" s="29">
        <v>0.0</v>
      </c>
      <c r="D944" s="29" t="s">
        <v>60</v>
      </c>
      <c r="E944" s="29">
        <v>0.6721</v>
      </c>
      <c r="F944" s="29">
        <v>38.2242</v>
      </c>
      <c r="G944" s="29">
        <v>26.1543</v>
      </c>
      <c r="H944" s="29">
        <v>0.7565</v>
      </c>
      <c r="I944" s="29">
        <v>0.7022</v>
      </c>
      <c r="J944" s="29">
        <v>0.3302</v>
      </c>
      <c r="K944" s="29">
        <v>0.0545</v>
      </c>
      <c r="L944" s="29">
        <v>9.2083</v>
      </c>
      <c r="M944" s="29" t="s">
        <v>225</v>
      </c>
    </row>
    <row r="945" ht="15.75" customHeight="1">
      <c r="A945" s="29" t="s">
        <v>714</v>
      </c>
      <c r="B945" s="29" t="s">
        <v>3719</v>
      </c>
      <c r="C945" s="29">
        <v>0.0</v>
      </c>
      <c r="D945" s="29" t="s">
        <v>60</v>
      </c>
      <c r="E945" s="29">
        <v>0.5177</v>
      </c>
      <c r="F945" s="29">
        <v>38.1965</v>
      </c>
      <c r="G945" s="29">
        <v>25.6028</v>
      </c>
      <c r="H945" s="29">
        <v>0.7945</v>
      </c>
      <c r="I945" s="29">
        <v>0.7323</v>
      </c>
      <c r="J945" s="29">
        <v>0.4237</v>
      </c>
      <c r="K945" s="29">
        <v>0.0968</v>
      </c>
      <c r="L945" s="29">
        <v>8.4371</v>
      </c>
      <c r="M945" s="29" t="s">
        <v>225</v>
      </c>
    </row>
    <row r="946" ht="15.75" customHeight="1">
      <c r="A946" s="29" t="s">
        <v>752</v>
      </c>
      <c r="B946" s="29" t="s">
        <v>3721</v>
      </c>
      <c r="C946" s="29">
        <v>0.0</v>
      </c>
      <c r="D946" s="29" t="s">
        <v>60</v>
      </c>
      <c r="E946" s="29">
        <v>0.4583</v>
      </c>
      <c r="F946" s="29">
        <v>38.1203</v>
      </c>
      <c r="G946" s="29">
        <v>26.1888</v>
      </c>
      <c r="H946" s="29">
        <v>0.8118</v>
      </c>
      <c r="I946" s="29">
        <v>0.6984</v>
      </c>
      <c r="J946" s="29">
        <v>0.4053</v>
      </c>
      <c r="K946" s="29">
        <v>0.0701</v>
      </c>
      <c r="L946" s="29">
        <v>8.536</v>
      </c>
      <c r="M946" s="29" t="s">
        <v>225</v>
      </c>
    </row>
    <row r="947" ht="15.75" customHeight="1">
      <c r="A947" s="29" t="s">
        <v>360</v>
      </c>
      <c r="B947" s="29" t="s">
        <v>3723</v>
      </c>
      <c r="C947" s="29">
        <v>0.0</v>
      </c>
      <c r="D947" s="29" t="s">
        <v>60</v>
      </c>
      <c r="E947" s="29">
        <v>0.7053</v>
      </c>
      <c r="F947" s="29">
        <v>38.103</v>
      </c>
      <c r="G947" s="29">
        <v>27.6859</v>
      </c>
      <c r="H947" s="29">
        <v>0.4594</v>
      </c>
      <c r="I947" s="29">
        <v>0.6247</v>
      </c>
      <c r="J947" s="29">
        <v>0.3711</v>
      </c>
      <c r="K947" s="29">
        <v>0.1156</v>
      </c>
      <c r="L947" s="29">
        <v>8.7004</v>
      </c>
      <c r="M947" s="29" t="s">
        <v>225</v>
      </c>
    </row>
    <row r="948" ht="15.75" customHeight="1">
      <c r="A948" s="29" t="s">
        <v>170</v>
      </c>
      <c r="B948" s="29" t="s">
        <v>3725</v>
      </c>
      <c r="C948" s="29">
        <v>0.0</v>
      </c>
      <c r="D948" s="29" t="s">
        <v>60</v>
      </c>
      <c r="E948" s="29">
        <v>0.6045</v>
      </c>
      <c r="F948" s="29">
        <v>38.0926</v>
      </c>
      <c r="G948" s="29">
        <v>27.5514</v>
      </c>
      <c r="H948" s="29">
        <v>0.7147</v>
      </c>
      <c r="I948" s="29">
        <v>0.6291</v>
      </c>
      <c r="J948" s="29">
        <v>0.4019</v>
      </c>
      <c r="K948" s="29">
        <v>0.1239</v>
      </c>
      <c r="L948" s="29">
        <v>8.7226</v>
      </c>
      <c r="M948" s="29" t="s">
        <v>225</v>
      </c>
    </row>
    <row r="949" ht="15.75" customHeight="1">
      <c r="A949" s="29" t="s">
        <v>1293</v>
      </c>
      <c r="B949" s="29" t="s">
        <v>3727</v>
      </c>
      <c r="C949" s="29">
        <v>0.0</v>
      </c>
      <c r="D949" s="29" t="s">
        <v>60</v>
      </c>
      <c r="E949" s="29">
        <v>0.7076</v>
      </c>
      <c r="F949" s="29">
        <v>38.0372</v>
      </c>
      <c r="G949" s="29">
        <v>27.9011</v>
      </c>
      <c r="H949" s="29">
        <v>0.4509</v>
      </c>
      <c r="I949" s="29">
        <v>0.6137</v>
      </c>
      <c r="J949" s="29">
        <v>0.3829</v>
      </c>
      <c r="K949" s="29">
        <v>0.1307</v>
      </c>
      <c r="L949" s="29">
        <v>8.6086</v>
      </c>
      <c r="M949" s="29" t="s">
        <v>225</v>
      </c>
    </row>
    <row r="950" ht="15.75" customHeight="1">
      <c r="A950" s="29" t="s">
        <v>150</v>
      </c>
      <c r="B950" s="29" t="s">
        <v>3729</v>
      </c>
      <c r="C950" s="29">
        <v>0.0</v>
      </c>
      <c r="D950" s="29" t="s">
        <v>60</v>
      </c>
      <c r="E950" s="29">
        <v>0.6329</v>
      </c>
      <c r="F950" s="29">
        <v>38.0199</v>
      </c>
      <c r="G950" s="29">
        <v>29.319</v>
      </c>
      <c r="H950" s="29">
        <v>0.5126</v>
      </c>
      <c r="I950" s="29">
        <v>0.5535</v>
      </c>
      <c r="J950" s="29">
        <v>0.3962</v>
      </c>
      <c r="K950" s="29">
        <v>0.1045</v>
      </c>
      <c r="L950" s="29">
        <v>8.8653</v>
      </c>
      <c r="M950" s="29" t="s">
        <v>225</v>
      </c>
    </row>
    <row r="951" ht="15.75" customHeight="1">
      <c r="A951" s="29" t="s">
        <v>366</v>
      </c>
      <c r="B951" s="29" t="s">
        <v>3731</v>
      </c>
      <c r="C951" s="29">
        <v>0.0</v>
      </c>
      <c r="D951" s="29" t="s">
        <v>60</v>
      </c>
      <c r="E951" s="29">
        <v>0.3753</v>
      </c>
      <c r="F951" s="29">
        <v>38.0026</v>
      </c>
      <c r="G951" s="29">
        <v>33.4691</v>
      </c>
      <c r="H951" s="29">
        <v>0.627</v>
      </c>
      <c r="I951" s="29">
        <v>0.4263</v>
      </c>
      <c r="J951" s="29">
        <v>0.5666</v>
      </c>
      <c r="K951" s="29">
        <v>0.1348</v>
      </c>
      <c r="L951" s="29">
        <v>7.4982</v>
      </c>
      <c r="M951" s="29" t="s">
        <v>225</v>
      </c>
    </row>
    <row r="952" ht="15.75" customHeight="1">
      <c r="A952" s="29" t="s">
        <v>1055</v>
      </c>
      <c r="B952" s="29" t="s">
        <v>3733</v>
      </c>
      <c r="C952" s="29">
        <v>0.0</v>
      </c>
      <c r="D952" s="29" t="s">
        <v>60</v>
      </c>
      <c r="E952" s="29">
        <v>0.8622</v>
      </c>
      <c r="F952" s="29">
        <v>37.9957</v>
      </c>
      <c r="G952" s="29">
        <v>31.4251</v>
      </c>
      <c r="H952" s="29">
        <v>0.48</v>
      </c>
      <c r="I952" s="29">
        <v>0.4834</v>
      </c>
      <c r="J952" s="29">
        <v>0.5006</v>
      </c>
      <c r="K952" s="29">
        <v>0.2626</v>
      </c>
      <c r="L952" s="29">
        <v>7.7063</v>
      </c>
      <c r="M952" s="29" t="s">
        <v>225</v>
      </c>
    </row>
    <row r="953" ht="15.75" customHeight="1">
      <c r="A953" s="29" t="s">
        <v>180</v>
      </c>
      <c r="B953" s="29" t="s">
        <v>3735</v>
      </c>
      <c r="C953" s="29">
        <v>0.0</v>
      </c>
      <c r="D953" s="29" t="s">
        <v>60</v>
      </c>
      <c r="E953" s="29">
        <v>0.6553</v>
      </c>
      <c r="F953" s="29">
        <v>37.9922</v>
      </c>
      <c r="G953" s="29">
        <v>26.1745</v>
      </c>
      <c r="H953" s="29">
        <v>0.7766</v>
      </c>
      <c r="I953" s="29">
        <v>0.6966</v>
      </c>
      <c r="J953" s="29">
        <v>0.3297</v>
      </c>
      <c r="K953" s="29">
        <v>0.0539</v>
      </c>
      <c r="L953" s="29">
        <v>9.181</v>
      </c>
      <c r="M953" s="29" t="s">
        <v>225</v>
      </c>
    </row>
    <row r="954" ht="15.75" customHeight="1">
      <c r="A954" s="29" t="s">
        <v>361</v>
      </c>
      <c r="B954" s="29" t="s">
        <v>3737</v>
      </c>
      <c r="C954" s="29">
        <v>0.0</v>
      </c>
      <c r="D954" s="29" t="s">
        <v>60</v>
      </c>
      <c r="E954" s="29">
        <v>0.913</v>
      </c>
      <c r="F954" s="29">
        <v>37.9506</v>
      </c>
      <c r="G954" s="29">
        <v>30.6322</v>
      </c>
      <c r="H954" s="29">
        <v>0.6865</v>
      </c>
      <c r="I954" s="29">
        <v>0.5072</v>
      </c>
      <c r="J954" s="29">
        <v>0.4678</v>
      </c>
      <c r="K954" s="29">
        <v>0.2935</v>
      </c>
      <c r="L954" s="29">
        <v>7.9011</v>
      </c>
      <c r="M954" s="29" t="s">
        <v>225</v>
      </c>
    </row>
    <row r="955" ht="15.75" customHeight="1">
      <c r="A955" s="29" t="s">
        <v>59</v>
      </c>
      <c r="B955" s="29" t="s">
        <v>3740</v>
      </c>
      <c r="C955" s="29">
        <v>0.0</v>
      </c>
      <c r="D955" s="29" t="s">
        <v>60</v>
      </c>
      <c r="E955" s="29">
        <v>0.6694</v>
      </c>
      <c r="F955" s="29">
        <v>37.9021</v>
      </c>
      <c r="G955" s="29">
        <v>25.6264</v>
      </c>
      <c r="H955" s="29">
        <v>0.7671</v>
      </c>
      <c r="I955" s="29">
        <v>0.7253</v>
      </c>
      <c r="J955" s="29">
        <v>0.329</v>
      </c>
      <c r="K955" s="29">
        <v>0.0511</v>
      </c>
      <c r="L955" s="29">
        <v>9.1809</v>
      </c>
      <c r="M955" s="29" t="s">
        <v>225</v>
      </c>
    </row>
    <row r="956" ht="15.75" customHeight="1">
      <c r="A956" s="29" t="s">
        <v>64</v>
      </c>
      <c r="B956" s="29" t="s">
        <v>3742</v>
      </c>
      <c r="C956" s="29">
        <v>0.0</v>
      </c>
      <c r="D956" s="29" t="s">
        <v>60</v>
      </c>
      <c r="E956" s="29">
        <v>0.7027</v>
      </c>
      <c r="F956" s="29">
        <v>37.8225</v>
      </c>
      <c r="G956" s="29">
        <v>26.5796</v>
      </c>
      <c r="H956" s="29">
        <v>0.4434</v>
      </c>
      <c r="I956" s="29">
        <v>0.6728</v>
      </c>
      <c r="J956" s="29">
        <v>0.3659</v>
      </c>
      <c r="K956" s="29">
        <v>0.1086</v>
      </c>
      <c r="L956" s="29">
        <v>8.7448</v>
      </c>
      <c r="M956" s="29" t="s">
        <v>225</v>
      </c>
    </row>
    <row r="957" ht="15.75" customHeight="1">
      <c r="A957" s="29" t="s">
        <v>1822</v>
      </c>
      <c r="B957" s="29" t="s">
        <v>3744</v>
      </c>
      <c r="C957" s="29">
        <v>0.0</v>
      </c>
      <c r="D957" s="29" t="s">
        <v>60</v>
      </c>
      <c r="E957" s="29">
        <v>0.7028</v>
      </c>
      <c r="F957" s="29">
        <v>37.8225</v>
      </c>
      <c r="G957" s="29">
        <v>26.4862</v>
      </c>
      <c r="H957" s="29">
        <v>0.4486</v>
      </c>
      <c r="I957" s="29">
        <v>0.6763</v>
      </c>
      <c r="J957" s="29">
        <v>0.3675</v>
      </c>
      <c r="K957" s="29">
        <v>0.1087</v>
      </c>
      <c r="L957" s="29">
        <v>8.7358</v>
      </c>
      <c r="M957" s="29" t="s">
        <v>225</v>
      </c>
    </row>
    <row r="958" ht="15.75" customHeight="1">
      <c r="A958" s="29" t="s">
        <v>307</v>
      </c>
      <c r="B958" s="29" t="s">
        <v>3746</v>
      </c>
      <c r="C958" s="29">
        <v>0.0</v>
      </c>
      <c r="D958" s="29" t="s">
        <v>60</v>
      </c>
      <c r="E958" s="29">
        <v>0.3793</v>
      </c>
      <c r="F958" s="29">
        <v>37.7844</v>
      </c>
      <c r="G958" s="29">
        <v>25.9632</v>
      </c>
      <c r="H958" s="29">
        <v>0.8619</v>
      </c>
      <c r="I958" s="29">
        <v>0.7044</v>
      </c>
      <c r="J958" s="29">
        <v>0.4166</v>
      </c>
      <c r="K958" s="29">
        <v>0.0651</v>
      </c>
      <c r="L958" s="29">
        <v>8.3109</v>
      </c>
      <c r="M958" s="29" t="s">
        <v>225</v>
      </c>
    </row>
    <row r="959" ht="15.75" customHeight="1">
      <c r="A959" s="29" t="s">
        <v>1076</v>
      </c>
      <c r="B959" s="29" t="s">
        <v>3748</v>
      </c>
      <c r="C959" s="29">
        <v>0.0</v>
      </c>
      <c r="D959" s="29" t="s">
        <v>60</v>
      </c>
      <c r="E959" s="29">
        <v>0.9063</v>
      </c>
      <c r="F959" s="29">
        <v>37.7671</v>
      </c>
      <c r="G959" s="29">
        <v>30.9181</v>
      </c>
      <c r="H959" s="29">
        <v>0.663</v>
      </c>
      <c r="I959" s="29">
        <v>0.4965</v>
      </c>
      <c r="J959" s="29">
        <v>0.5087</v>
      </c>
      <c r="K959" s="29">
        <v>0.3128</v>
      </c>
      <c r="L959" s="29">
        <v>7.4804</v>
      </c>
      <c r="M959" s="29" t="s">
        <v>225</v>
      </c>
    </row>
    <row r="960" ht="15.75" customHeight="1">
      <c r="A960" s="29" t="s">
        <v>45</v>
      </c>
      <c r="B960" s="29" t="s">
        <v>3750</v>
      </c>
      <c r="C960" s="29">
        <v>0.0</v>
      </c>
      <c r="D960" s="29" t="s">
        <v>60</v>
      </c>
      <c r="E960" s="29">
        <v>0.7681</v>
      </c>
      <c r="F960" s="29">
        <v>37.7186</v>
      </c>
      <c r="G960" s="29">
        <v>35.5126</v>
      </c>
      <c r="H960" s="29">
        <v>0.5597</v>
      </c>
      <c r="I960" s="29">
        <v>0.3744</v>
      </c>
      <c r="J960" s="29">
        <v>0.6009</v>
      </c>
      <c r="K960" s="29">
        <v>0.315</v>
      </c>
      <c r="L960" s="29">
        <v>6.7639</v>
      </c>
      <c r="M960" s="29" t="s">
        <v>225</v>
      </c>
    </row>
    <row r="961" ht="15.75" customHeight="1">
      <c r="A961" s="29" t="s">
        <v>1097</v>
      </c>
      <c r="B961" s="29" t="s">
        <v>3752</v>
      </c>
      <c r="C961" s="29">
        <v>0.0</v>
      </c>
      <c r="D961" s="29" t="s">
        <v>60</v>
      </c>
      <c r="E961" s="29">
        <v>0.7002</v>
      </c>
      <c r="F961" s="29">
        <v>37.6874</v>
      </c>
      <c r="G961" s="29">
        <v>26.1701</v>
      </c>
      <c r="H961" s="29">
        <v>0.4591</v>
      </c>
      <c r="I961" s="29">
        <v>0.6899</v>
      </c>
      <c r="J961" s="29">
        <v>0.3815</v>
      </c>
      <c r="K961" s="29">
        <v>0.1241</v>
      </c>
      <c r="L961" s="29">
        <v>8.637</v>
      </c>
      <c r="M961" s="29" t="s">
        <v>225</v>
      </c>
    </row>
    <row r="962" ht="15.75" customHeight="1">
      <c r="A962" s="29" t="s">
        <v>993</v>
      </c>
      <c r="B962" s="29" t="s">
        <v>3754</v>
      </c>
      <c r="C962" s="29">
        <v>0.0</v>
      </c>
      <c r="D962" s="29" t="s">
        <v>60</v>
      </c>
      <c r="E962" s="29">
        <v>0.8628</v>
      </c>
      <c r="F962" s="29">
        <v>37.632</v>
      </c>
      <c r="G962" s="29">
        <v>31.9018</v>
      </c>
      <c r="H962" s="29">
        <v>0.485</v>
      </c>
      <c r="I962" s="29">
        <v>0.4645</v>
      </c>
      <c r="J962" s="29">
        <v>0.5135</v>
      </c>
      <c r="K962" s="29">
        <v>0.2799</v>
      </c>
      <c r="L962" s="29">
        <v>7.5894</v>
      </c>
      <c r="M962" s="29" t="s">
        <v>225</v>
      </c>
    </row>
    <row r="963" ht="15.75" customHeight="1">
      <c r="A963" s="29" t="s">
        <v>648</v>
      </c>
      <c r="B963" s="29" t="s">
        <v>3756</v>
      </c>
      <c r="C963" s="29">
        <v>0.0</v>
      </c>
      <c r="D963" s="29" t="s">
        <v>60</v>
      </c>
      <c r="E963" s="29">
        <v>0.8689</v>
      </c>
      <c r="F963" s="29">
        <v>37.6216</v>
      </c>
      <c r="G963" s="29">
        <v>31.9551</v>
      </c>
      <c r="H963" s="29">
        <v>0.5345</v>
      </c>
      <c r="I963" s="29">
        <v>0.4597</v>
      </c>
      <c r="J963" s="29">
        <v>0.5098</v>
      </c>
      <c r="K963" s="29">
        <v>0.2791</v>
      </c>
      <c r="L963" s="29">
        <v>7.5884</v>
      </c>
      <c r="M963" s="29" t="s">
        <v>225</v>
      </c>
    </row>
    <row r="964" ht="15.75" customHeight="1">
      <c r="A964" s="29" t="s">
        <v>56</v>
      </c>
      <c r="B964" s="29" t="s">
        <v>3758</v>
      </c>
      <c r="C964" s="29">
        <v>0.0</v>
      </c>
      <c r="D964" s="29" t="s">
        <v>60</v>
      </c>
      <c r="E964" s="29">
        <v>0.6763</v>
      </c>
      <c r="F964" s="29">
        <v>37.6216</v>
      </c>
      <c r="G964" s="29">
        <v>26.077</v>
      </c>
      <c r="H964" s="29">
        <v>0.768</v>
      </c>
      <c r="I964" s="29">
        <v>0.6952</v>
      </c>
      <c r="J964" s="29">
        <v>0.333</v>
      </c>
      <c r="K964" s="29">
        <v>0.0535</v>
      </c>
      <c r="L964" s="29">
        <v>9.1474</v>
      </c>
      <c r="M964" s="29" t="s">
        <v>225</v>
      </c>
    </row>
    <row r="965" ht="15.75" customHeight="1">
      <c r="A965" s="29" t="s">
        <v>140</v>
      </c>
      <c r="B965" s="29" t="s">
        <v>3760</v>
      </c>
      <c r="C965" s="29">
        <v>0.0</v>
      </c>
      <c r="D965" s="29" t="s">
        <v>60</v>
      </c>
      <c r="E965" s="29">
        <v>0.4455</v>
      </c>
      <c r="F965" s="29">
        <v>37.5835</v>
      </c>
      <c r="G965" s="29">
        <v>26.1258</v>
      </c>
      <c r="H965" s="29">
        <v>0.735</v>
      </c>
      <c r="I965" s="29">
        <v>0.6919</v>
      </c>
      <c r="J965" s="29">
        <v>0.335</v>
      </c>
      <c r="K965" s="29">
        <v>0.0515</v>
      </c>
      <c r="L965" s="29">
        <v>9.2439</v>
      </c>
      <c r="M965" s="29" t="s">
        <v>225</v>
      </c>
    </row>
    <row r="966" ht="15.75" customHeight="1">
      <c r="A966" s="29" t="s">
        <v>246</v>
      </c>
      <c r="B966" s="29" t="s">
        <v>3762</v>
      </c>
      <c r="C966" s="29">
        <v>0.0</v>
      </c>
      <c r="D966" s="29" t="s">
        <v>60</v>
      </c>
      <c r="E966" s="29">
        <v>0.6131</v>
      </c>
      <c r="F966" s="29">
        <v>37.5316</v>
      </c>
      <c r="G966" s="29">
        <v>25.7776</v>
      </c>
      <c r="H966" s="29">
        <v>0.7018</v>
      </c>
      <c r="I966" s="29">
        <v>0.7089</v>
      </c>
      <c r="J966" s="29">
        <v>0.4109</v>
      </c>
      <c r="K966" s="29">
        <v>0.1264</v>
      </c>
      <c r="L966" s="29">
        <v>8.652</v>
      </c>
      <c r="M966" s="29" t="s">
        <v>225</v>
      </c>
    </row>
    <row r="967" ht="15.75" customHeight="1">
      <c r="A967" s="29" t="s">
        <v>218</v>
      </c>
      <c r="B967" s="29" t="s">
        <v>3764</v>
      </c>
      <c r="C967" s="29">
        <v>0.0</v>
      </c>
      <c r="D967" s="29" t="s">
        <v>60</v>
      </c>
      <c r="E967" s="29">
        <v>0.4323</v>
      </c>
      <c r="F967" s="29">
        <v>37.5247</v>
      </c>
      <c r="G967" s="29">
        <v>27.09</v>
      </c>
      <c r="H967" s="29">
        <v>0.8541</v>
      </c>
      <c r="I967" s="29">
        <v>0.6426</v>
      </c>
      <c r="J967" s="29">
        <v>0.431</v>
      </c>
      <c r="K967" s="29">
        <v>0.0723</v>
      </c>
      <c r="L967" s="29">
        <v>8.3083</v>
      </c>
      <c r="M967" s="29" t="s">
        <v>225</v>
      </c>
    </row>
    <row r="968" ht="15.75" customHeight="1">
      <c r="A968" s="29" t="s">
        <v>110</v>
      </c>
      <c r="B968" s="29" t="s">
        <v>3766</v>
      </c>
      <c r="C968" s="29">
        <v>0.0</v>
      </c>
      <c r="D968" s="29" t="s">
        <v>60</v>
      </c>
      <c r="E968" s="29">
        <v>0.6227</v>
      </c>
      <c r="F968" s="29">
        <v>37.4866</v>
      </c>
      <c r="G968" s="29">
        <v>26.0213</v>
      </c>
      <c r="H968" s="29">
        <v>0.7022</v>
      </c>
      <c r="I968" s="29">
        <v>0.6933</v>
      </c>
      <c r="J968" s="29">
        <v>0.4224</v>
      </c>
      <c r="K968" s="29">
        <v>0.1537</v>
      </c>
      <c r="L968" s="29">
        <v>8.5312</v>
      </c>
      <c r="M968" s="29" t="s">
        <v>225</v>
      </c>
    </row>
    <row r="969" ht="15.75" customHeight="1">
      <c r="A969" s="29" t="s">
        <v>240</v>
      </c>
      <c r="B969" s="29" t="s">
        <v>3768</v>
      </c>
      <c r="C969" s="29">
        <v>0.0</v>
      </c>
      <c r="D969" s="29" t="s">
        <v>60</v>
      </c>
      <c r="E969" s="29">
        <v>0.4119</v>
      </c>
      <c r="F969" s="29">
        <v>37.4762</v>
      </c>
      <c r="G969" s="29">
        <v>25.328</v>
      </c>
      <c r="H969" s="29">
        <v>0.8449</v>
      </c>
      <c r="I969" s="29">
        <v>0.7341</v>
      </c>
      <c r="J969" s="29">
        <v>0.4197</v>
      </c>
      <c r="K969" s="29">
        <v>0.0658</v>
      </c>
      <c r="L969" s="29">
        <v>8.3246</v>
      </c>
      <c r="M969" s="29" t="s">
        <v>225</v>
      </c>
    </row>
    <row r="970" ht="15.75" customHeight="1">
      <c r="A970" s="29" t="s">
        <v>1288</v>
      </c>
      <c r="B970" s="29" t="s">
        <v>3770</v>
      </c>
      <c r="C970" s="29">
        <v>0.0</v>
      </c>
      <c r="D970" s="29" t="s">
        <v>60</v>
      </c>
      <c r="E970" s="29">
        <v>0.6965</v>
      </c>
      <c r="F970" s="29">
        <v>37.4727</v>
      </c>
      <c r="G970" s="29">
        <v>29.6586</v>
      </c>
      <c r="H970" s="29">
        <v>0.4085</v>
      </c>
      <c r="I970" s="29">
        <v>0.5353</v>
      </c>
      <c r="J970" s="29">
        <v>0.3814</v>
      </c>
      <c r="K970" s="29">
        <v>0.1295</v>
      </c>
      <c r="L970" s="29">
        <v>8.6065</v>
      </c>
      <c r="M970" s="29" t="s">
        <v>225</v>
      </c>
    </row>
    <row r="971" ht="15.75" customHeight="1">
      <c r="A971" s="29" t="s">
        <v>1066</v>
      </c>
      <c r="B971" s="29" t="s">
        <v>3772</v>
      </c>
      <c r="C971" s="29">
        <v>0.0</v>
      </c>
      <c r="D971" s="29" t="s">
        <v>60</v>
      </c>
      <c r="E971" s="29">
        <v>0.8605</v>
      </c>
      <c r="F971" s="29">
        <v>37.4658</v>
      </c>
      <c r="G971" s="29">
        <v>31.8534</v>
      </c>
      <c r="H971" s="29">
        <v>0.4752</v>
      </c>
      <c r="I971" s="29">
        <v>0.464</v>
      </c>
      <c r="J971" s="29">
        <v>0.5063</v>
      </c>
      <c r="K971" s="29">
        <v>0.2716</v>
      </c>
      <c r="L971" s="29">
        <v>7.6315</v>
      </c>
      <c r="M971" s="29" t="s">
        <v>225</v>
      </c>
    </row>
    <row r="972" ht="15.75" customHeight="1">
      <c r="A972" s="29" t="s">
        <v>2403</v>
      </c>
      <c r="B972" s="29" t="s">
        <v>3774</v>
      </c>
      <c r="C972" s="29">
        <v>0.0</v>
      </c>
      <c r="D972" s="29" t="s">
        <v>60</v>
      </c>
      <c r="E972" s="29">
        <v>0.5237</v>
      </c>
      <c r="F972" s="29">
        <v>37.3965</v>
      </c>
      <c r="G972" s="29">
        <v>27.3418</v>
      </c>
      <c r="H972" s="29">
        <v>0.7394</v>
      </c>
      <c r="I972" s="29">
        <v>0.6286</v>
      </c>
      <c r="J972" s="29">
        <v>0.3896</v>
      </c>
      <c r="K972" s="29">
        <v>0.0598</v>
      </c>
      <c r="L972" s="29">
        <v>8.9852</v>
      </c>
      <c r="M972" s="29" t="s">
        <v>225</v>
      </c>
    </row>
    <row r="973" ht="15.75" customHeight="1">
      <c r="A973" s="29" t="s">
        <v>3776</v>
      </c>
      <c r="B973" s="29" t="s">
        <v>3777</v>
      </c>
      <c r="C973" s="29">
        <v>0.0</v>
      </c>
      <c r="D973" s="29" t="s">
        <v>60</v>
      </c>
      <c r="E973" s="29">
        <v>0.8515</v>
      </c>
      <c r="F973" s="29">
        <v>37.3896</v>
      </c>
      <c r="G973" s="29">
        <v>32.2776</v>
      </c>
      <c r="H973" s="29">
        <v>0.4264</v>
      </c>
      <c r="I973" s="29">
        <v>0.451</v>
      </c>
      <c r="J973" s="29">
        <v>0.4982</v>
      </c>
      <c r="K973" s="29">
        <v>0.2604</v>
      </c>
      <c r="L973" s="29">
        <v>7.7313</v>
      </c>
      <c r="M973" s="29" t="s">
        <v>225</v>
      </c>
    </row>
    <row r="974" ht="15.75" customHeight="1">
      <c r="A974" s="29" t="s">
        <v>209</v>
      </c>
      <c r="B974" s="29" t="s">
        <v>3779</v>
      </c>
      <c r="C974" s="29">
        <v>0.0</v>
      </c>
      <c r="D974" s="29" t="s">
        <v>60</v>
      </c>
      <c r="E974" s="29">
        <v>0.6213</v>
      </c>
      <c r="F974" s="29">
        <v>37.3861</v>
      </c>
      <c r="G974" s="29">
        <v>25.8608</v>
      </c>
      <c r="H974" s="29">
        <v>0.5985</v>
      </c>
      <c r="I974" s="29">
        <v>0.6997</v>
      </c>
      <c r="J974" s="29">
        <v>0.3936</v>
      </c>
      <c r="K974" s="29">
        <v>0.0993</v>
      </c>
      <c r="L974" s="29">
        <v>8.8065</v>
      </c>
      <c r="M974" s="29" t="s">
        <v>225</v>
      </c>
    </row>
    <row r="975" ht="15.75" customHeight="1">
      <c r="A975" s="29" t="s">
        <v>1261</v>
      </c>
      <c r="B975" s="29" t="s">
        <v>3781</v>
      </c>
      <c r="C975" s="29">
        <v>0.0</v>
      </c>
      <c r="D975" s="29" t="s">
        <v>60</v>
      </c>
      <c r="E975" s="29">
        <v>0.7072</v>
      </c>
      <c r="F975" s="29">
        <v>37.3827</v>
      </c>
      <c r="G975" s="29">
        <v>28.7964</v>
      </c>
      <c r="H975" s="29">
        <v>0.3811</v>
      </c>
      <c r="I975" s="29">
        <v>0.5665</v>
      </c>
      <c r="J975" s="29">
        <v>0.3711</v>
      </c>
      <c r="K975" s="29">
        <v>0.1159</v>
      </c>
      <c r="L975" s="29">
        <v>8.696</v>
      </c>
      <c r="M975" s="29" t="s">
        <v>225</v>
      </c>
    </row>
    <row r="976" ht="15.75" customHeight="1">
      <c r="A976" s="29" t="s">
        <v>82</v>
      </c>
      <c r="B976" s="29" t="s">
        <v>3783</v>
      </c>
      <c r="C976" s="29">
        <v>0.0</v>
      </c>
      <c r="D976" s="29" t="s">
        <v>60</v>
      </c>
      <c r="E976" s="29">
        <v>0.6733</v>
      </c>
      <c r="F976" s="29">
        <v>37.3203</v>
      </c>
      <c r="G976" s="29">
        <v>26.1341</v>
      </c>
      <c r="H976" s="29">
        <v>0.7456</v>
      </c>
      <c r="I976" s="29">
        <v>0.6867</v>
      </c>
      <c r="J976" s="29">
        <v>0.3391</v>
      </c>
      <c r="K976" s="29">
        <v>0.0585</v>
      </c>
      <c r="L976" s="29">
        <v>9.1663</v>
      </c>
      <c r="M976" s="29" t="s">
        <v>225</v>
      </c>
    </row>
    <row r="977" ht="15.75" customHeight="1">
      <c r="A977" s="29" t="s">
        <v>206</v>
      </c>
      <c r="B977" s="29" t="s">
        <v>3785</v>
      </c>
      <c r="C977" s="29">
        <v>0.0</v>
      </c>
      <c r="D977" s="29" t="s">
        <v>60</v>
      </c>
      <c r="E977" s="29">
        <v>0.6042</v>
      </c>
      <c r="F977" s="29">
        <v>37.3099</v>
      </c>
      <c r="G977" s="29">
        <v>25.4781</v>
      </c>
      <c r="H977" s="29">
        <v>0.6971</v>
      </c>
      <c r="I977" s="29">
        <v>0.7223</v>
      </c>
      <c r="J977" s="29">
        <v>0.6544</v>
      </c>
      <c r="K977" s="29">
        <v>0.2102</v>
      </c>
      <c r="L977" s="29">
        <v>6.6857</v>
      </c>
      <c r="M977" s="29" t="s">
        <v>225</v>
      </c>
    </row>
    <row r="978" ht="15.75" customHeight="1">
      <c r="A978" s="29" t="s">
        <v>430</v>
      </c>
      <c r="B978" s="29" t="s">
        <v>3787</v>
      </c>
      <c r="C978" s="29">
        <v>0.0</v>
      </c>
      <c r="D978" s="29" t="s">
        <v>60</v>
      </c>
      <c r="E978" s="29">
        <v>0.7095</v>
      </c>
      <c r="F978" s="29">
        <v>37.2926</v>
      </c>
      <c r="G978" s="29">
        <v>28.3802</v>
      </c>
      <c r="H978" s="29">
        <v>0.4113</v>
      </c>
      <c r="I978" s="29">
        <v>0.5818</v>
      </c>
      <c r="J978" s="29">
        <v>0.3799</v>
      </c>
      <c r="K978" s="29">
        <v>0.1314</v>
      </c>
      <c r="L978" s="29">
        <v>8.585</v>
      </c>
      <c r="M978" s="29" t="s">
        <v>225</v>
      </c>
    </row>
    <row r="979" ht="15.75" customHeight="1">
      <c r="A979" s="29" t="s">
        <v>199</v>
      </c>
      <c r="B979" s="29" t="s">
        <v>3789</v>
      </c>
      <c r="C979" s="29">
        <v>0.0</v>
      </c>
      <c r="D979" s="29" t="s">
        <v>60</v>
      </c>
      <c r="E979" s="29">
        <v>0.4026</v>
      </c>
      <c r="F979" s="29">
        <v>37.258</v>
      </c>
      <c r="G979" s="29">
        <v>25.6323</v>
      </c>
      <c r="H979" s="29">
        <v>0.8475</v>
      </c>
      <c r="I979" s="29">
        <v>0.7126</v>
      </c>
      <c r="J979" s="29">
        <v>0.4577</v>
      </c>
      <c r="K979" s="29">
        <v>0.0701</v>
      </c>
      <c r="L979" s="29">
        <v>8.1609</v>
      </c>
      <c r="M979" s="29" t="s">
        <v>225</v>
      </c>
    </row>
    <row r="980" ht="15.75" customHeight="1">
      <c r="A980" s="29" t="s">
        <v>2403</v>
      </c>
      <c r="B980" s="29" t="s">
        <v>3791</v>
      </c>
      <c r="C980" s="29">
        <v>0.0</v>
      </c>
      <c r="D980" s="29" t="s">
        <v>60</v>
      </c>
      <c r="E980" s="29">
        <v>0.6175</v>
      </c>
      <c r="F980" s="29">
        <v>37.2511</v>
      </c>
      <c r="G980" s="29">
        <v>29.039</v>
      </c>
      <c r="H980" s="29">
        <v>0.591</v>
      </c>
      <c r="I980" s="29">
        <v>0.5534</v>
      </c>
      <c r="J980" s="29">
        <v>0.4053</v>
      </c>
      <c r="K980" s="29">
        <v>0.1137</v>
      </c>
      <c r="L980" s="29">
        <v>8.7357</v>
      </c>
      <c r="M980" s="29" t="s">
        <v>225</v>
      </c>
    </row>
    <row r="981" ht="15.75" customHeight="1">
      <c r="A981" s="29" t="s">
        <v>817</v>
      </c>
      <c r="B981" s="29" t="s">
        <v>3793</v>
      </c>
      <c r="C981" s="29">
        <v>0.0</v>
      </c>
      <c r="D981" s="29" t="s">
        <v>60</v>
      </c>
      <c r="E981" s="29">
        <v>0.5395</v>
      </c>
      <c r="F981" s="29">
        <v>37.2199</v>
      </c>
      <c r="G981" s="29">
        <v>25.3876</v>
      </c>
      <c r="H981" s="29">
        <v>0.7782</v>
      </c>
      <c r="I981" s="29">
        <v>0.7257</v>
      </c>
      <c r="J981" s="29">
        <v>0.4256</v>
      </c>
      <c r="K981" s="29">
        <v>0.0959</v>
      </c>
      <c r="L981" s="29">
        <v>8.4098</v>
      </c>
      <c r="M981" s="29" t="s">
        <v>225</v>
      </c>
    </row>
    <row r="982" ht="15.75" customHeight="1">
      <c r="A982" s="29" t="s">
        <v>70</v>
      </c>
      <c r="B982" s="29" t="s">
        <v>3795</v>
      </c>
      <c r="C982" s="29">
        <v>0.0</v>
      </c>
      <c r="D982" s="29" t="s">
        <v>60</v>
      </c>
      <c r="E982" s="29">
        <v>0.6839</v>
      </c>
      <c r="F982" s="29">
        <v>37.1541</v>
      </c>
      <c r="G982" s="29">
        <v>24.8858</v>
      </c>
      <c r="H982" s="29">
        <v>0.7579</v>
      </c>
      <c r="I982" s="29">
        <v>0.7525</v>
      </c>
      <c r="J982" s="29">
        <v>0.3289</v>
      </c>
      <c r="K982" s="29">
        <v>0.0515</v>
      </c>
      <c r="L982" s="29">
        <v>9.1887</v>
      </c>
      <c r="M982" s="29" t="s">
        <v>225</v>
      </c>
    </row>
    <row r="983" ht="15.75" customHeight="1">
      <c r="A983" s="29" t="s">
        <v>106</v>
      </c>
      <c r="B983" s="29" t="s">
        <v>3797</v>
      </c>
      <c r="C983" s="29">
        <v>0.0</v>
      </c>
      <c r="D983" s="29" t="s">
        <v>60</v>
      </c>
      <c r="E983" s="29">
        <v>0.4303</v>
      </c>
      <c r="F983" s="29">
        <v>37.1472</v>
      </c>
      <c r="G983" s="29">
        <v>25.6181</v>
      </c>
      <c r="H983" s="29">
        <v>0.8701</v>
      </c>
      <c r="I983" s="29">
        <v>0.7113</v>
      </c>
      <c r="J983" s="29">
        <v>0.4113</v>
      </c>
      <c r="K983" s="29">
        <v>0.0656</v>
      </c>
      <c r="L983" s="29">
        <v>8.2696</v>
      </c>
      <c r="M983" s="29" t="s">
        <v>225</v>
      </c>
    </row>
    <row r="984" ht="15.75" customHeight="1">
      <c r="A984" s="29" t="s">
        <v>275</v>
      </c>
      <c r="B984" s="29" t="s">
        <v>3799</v>
      </c>
      <c r="C984" s="29">
        <v>0.0</v>
      </c>
      <c r="D984" s="29" t="s">
        <v>60</v>
      </c>
      <c r="E984" s="29">
        <v>0.4193</v>
      </c>
      <c r="F984" s="29">
        <v>37.0433</v>
      </c>
      <c r="G984" s="29">
        <v>25.4516</v>
      </c>
      <c r="H984" s="29">
        <v>0.8542</v>
      </c>
      <c r="I984" s="29">
        <v>0.7186</v>
      </c>
      <c r="J984" s="29">
        <v>0.4205</v>
      </c>
      <c r="K984" s="29">
        <v>0.0655</v>
      </c>
      <c r="L984" s="29">
        <v>8.2619</v>
      </c>
      <c r="M984" s="29" t="s">
        <v>225</v>
      </c>
    </row>
    <row r="985" ht="15.75" customHeight="1">
      <c r="A985" s="29" t="s">
        <v>787</v>
      </c>
      <c r="B985" s="29" t="s">
        <v>3801</v>
      </c>
      <c r="C985" s="29">
        <v>0.0</v>
      </c>
      <c r="D985" s="29" t="s">
        <v>60</v>
      </c>
      <c r="E985" s="29">
        <v>0.4725</v>
      </c>
      <c r="F985" s="29">
        <v>37.0294</v>
      </c>
      <c r="G985" s="29">
        <v>26.2316</v>
      </c>
      <c r="H985" s="29">
        <v>0.813</v>
      </c>
      <c r="I985" s="29">
        <v>0.6762</v>
      </c>
      <c r="J985" s="29">
        <v>0.3975</v>
      </c>
      <c r="K985" s="29">
        <v>0.0658</v>
      </c>
      <c r="L985" s="29">
        <v>8.5657</v>
      </c>
      <c r="M985" s="29" t="s">
        <v>225</v>
      </c>
    </row>
    <row r="986" ht="15.75" customHeight="1">
      <c r="A986" s="29" t="s">
        <v>1008</v>
      </c>
      <c r="B986" s="29" t="s">
        <v>3803</v>
      </c>
      <c r="C986" s="29">
        <v>0.0</v>
      </c>
      <c r="D986" s="29" t="s">
        <v>60</v>
      </c>
      <c r="E986" s="29">
        <v>0.8995</v>
      </c>
      <c r="F986" s="29">
        <v>36.8424</v>
      </c>
      <c r="G986" s="29">
        <v>32.6941</v>
      </c>
      <c r="H986" s="29">
        <v>0.6518</v>
      </c>
      <c r="I986" s="29">
        <v>0.4331</v>
      </c>
      <c r="J986" s="29">
        <v>0.522</v>
      </c>
      <c r="K986" s="29">
        <v>0.3263</v>
      </c>
      <c r="L986" s="29">
        <v>7.3711</v>
      </c>
      <c r="M986" s="29" t="s">
        <v>225</v>
      </c>
    </row>
    <row r="987" ht="15.75" customHeight="1">
      <c r="A987" s="29" t="s">
        <v>256</v>
      </c>
      <c r="B987" s="29" t="s">
        <v>3805</v>
      </c>
      <c r="C987" s="29">
        <v>0.0</v>
      </c>
      <c r="D987" s="29" t="s">
        <v>60</v>
      </c>
      <c r="E987" s="29">
        <v>0.4448</v>
      </c>
      <c r="F987" s="29">
        <v>36.832</v>
      </c>
      <c r="G987" s="29">
        <v>25.328</v>
      </c>
      <c r="H987" s="29">
        <v>0.8532</v>
      </c>
      <c r="I987" s="29">
        <v>0.7215</v>
      </c>
      <c r="J987" s="29">
        <v>0.4128</v>
      </c>
      <c r="K987" s="29">
        <v>0.0649</v>
      </c>
      <c r="L987" s="29">
        <v>8.2892</v>
      </c>
      <c r="M987" s="29" t="s">
        <v>225</v>
      </c>
    </row>
    <row r="988" ht="15.75" customHeight="1">
      <c r="A988" s="29" t="s">
        <v>346</v>
      </c>
      <c r="B988" s="29" t="s">
        <v>3807</v>
      </c>
      <c r="C988" s="29">
        <v>0.0</v>
      </c>
      <c r="D988" s="29" t="s">
        <v>60</v>
      </c>
      <c r="E988" s="29">
        <v>0.4421</v>
      </c>
      <c r="F988" s="29">
        <v>36.8181</v>
      </c>
      <c r="G988" s="29">
        <v>25.4255</v>
      </c>
      <c r="H988" s="29">
        <v>0.8414</v>
      </c>
      <c r="I988" s="29">
        <v>0.7157</v>
      </c>
      <c r="J988" s="29">
        <v>0.4257</v>
      </c>
      <c r="K988" s="29">
        <v>0.0665</v>
      </c>
      <c r="L988" s="29">
        <v>8.3019</v>
      </c>
      <c r="M988" s="29" t="s">
        <v>225</v>
      </c>
    </row>
    <row r="989" ht="15.75" customHeight="1">
      <c r="A989" s="29" t="s">
        <v>3809</v>
      </c>
      <c r="B989" s="29" t="s">
        <v>3810</v>
      </c>
      <c r="C989" s="29">
        <v>0.0</v>
      </c>
      <c r="D989" s="29" t="s">
        <v>60</v>
      </c>
      <c r="E989" s="29">
        <v>0.8323</v>
      </c>
      <c r="F989" s="29">
        <v>36.8078</v>
      </c>
      <c r="G989" s="29">
        <v>30.6378</v>
      </c>
      <c r="H989" s="29">
        <v>0.3963</v>
      </c>
      <c r="I989" s="29">
        <v>0.4912</v>
      </c>
      <c r="J989" s="29">
        <v>0.5195</v>
      </c>
      <c r="K989" s="29">
        <v>0.2714</v>
      </c>
      <c r="L989" s="29">
        <v>7.5396</v>
      </c>
      <c r="M989" s="29" t="s">
        <v>225</v>
      </c>
    </row>
    <row r="990" ht="15.75" customHeight="1">
      <c r="A990" s="29" t="s">
        <v>1032</v>
      </c>
      <c r="B990" s="29" t="s">
        <v>3812</v>
      </c>
      <c r="C990" s="29">
        <v>0.0</v>
      </c>
      <c r="D990" s="29" t="s">
        <v>60</v>
      </c>
      <c r="E990" s="29">
        <v>0.856</v>
      </c>
      <c r="F990" s="29">
        <v>36.7904</v>
      </c>
      <c r="G990" s="29">
        <v>31.3074</v>
      </c>
      <c r="H990" s="29">
        <v>0.4501</v>
      </c>
      <c r="I990" s="29">
        <v>0.4699</v>
      </c>
      <c r="J990" s="29">
        <v>0.5064</v>
      </c>
      <c r="K990" s="29">
        <v>0.2712</v>
      </c>
      <c r="L990" s="29">
        <v>7.6512</v>
      </c>
      <c r="M990" s="29" t="s">
        <v>225</v>
      </c>
    </row>
    <row r="991" ht="15.75" customHeight="1">
      <c r="A991" s="29" t="s">
        <v>731</v>
      </c>
      <c r="B991" s="29" t="s">
        <v>3814</v>
      </c>
      <c r="C991" s="29">
        <v>0.0</v>
      </c>
      <c r="D991" s="29" t="s">
        <v>60</v>
      </c>
      <c r="E991" s="29">
        <v>0.5145</v>
      </c>
      <c r="F991" s="29">
        <v>36.7835</v>
      </c>
      <c r="G991" s="29">
        <v>25.6087</v>
      </c>
      <c r="H991" s="29">
        <v>0.8217</v>
      </c>
      <c r="I991" s="29">
        <v>0.7048</v>
      </c>
      <c r="J991" s="29">
        <v>0.4091</v>
      </c>
      <c r="K991" s="29">
        <v>0.0756</v>
      </c>
      <c r="L991" s="29">
        <v>8.4959</v>
      </c>
      <c r="M991" s="29" t="s">
        <v>225</v>
      </c>
    </row>
    <row r="992" ht="15.75" customHeight="1">
      <c r="A992" s="29" t="s">
        <v>987</v>
      </c>
      <c r="B992" s="29" t="s">
        <v>3816</v>
      </c>
      <c r="C992" s="29">
        <v>0.0</v>
      </c>
      <c r="D992" s="29" t="s">
        <v>60</v>
      </c>
      <c r="E992" s="29">
        <v>0.847</v>
      </c>
      <c r="F992" s="29">
        <v>36.7731</v>
      </c>
      <c r="G992" s="29">
        <v>29.6962</v>
      </c>
      <c r="H992" s="29">
        <v>0.5936</v>
      </c>
      <c r="I992" s="29">
        <v>0.524</v>
      </c>
      <c r="J992" s="29">
        <v>0.5205</v>
      </c>
      <c r="K992" s="29">
        <v>0.296</v>
      </c>
      <c r="L992" s="29">
        <v>7.4689</v>
      </c>
      <c r="M992" s="29" t="s">
        <v>225</v>
      </c>
    </row>
    <row r="993" ht="15.75" customHeight="1">
      <c r="A993" s="29" t="s">
        <v>145</v>
      </c>
      <c r="B993" s="29" t="s">
        <v>3818</v>
      </c>
      <c r="C993" s="29">
        <v>0.0</v>
      </c>
      <c r="D993" s="29" t="s">
        <v>60</v>
      </c>
      <c r="E993" s="29">
        <v>0.621</v>
      </c>
      <c r="F993" s="29">
        <v>36.7697</v>
      </c>
      <c r="G993" s="29">
        <v>24.8217</v>
      </c>
      <c r="H993" s="29">
        <v>0.7201</v>
      </c>
      <c r="I993" s="29">
        <v>0.7476</v>
      </c>
      <c r="J993" s="29">
        <v>0.4054</v>
      </c>
      <c r="K993" s="29">
        <v>0.1242</v>
      </c>
      <c r="L993" s="29">
        <v>8.6564</v>
      </c>
      <c r="M993" s="29" t="s">
        <v>225</v>
      </c>
    </row>
    <row r="994" ht="15.75" customHeight="1">
      <c r="A994" s="29" t="s">
        <v>923</v>
      </c>
      <c r="B994" s="29" t="s">
        <v>3820</v>
      </c>
      <c r="C994" s="29">
        <v>0.0</v>
      </c>
      <c r="D994" s="29" t="s">
        <v>60</v>
      </c>
      <c r="E994" s="29">
        <v>0.8599</v>
      </c>
      <c r="F994" s="29">
        <v>36.7454</v>
      </c>
      <c r="G994" s="29">
        <v>31.2468</v>
      </c>
      <c r="H994" s="29">
        <v>0.532</v>
      </c>
      <c r="I994" s="29">
        <v>0.4729</v>
      </c>
      <c r="J994" s="29">
        <v>0.5206</v>
      </c>
      <c r="K994" s="29">
        <v>0.2962</v>
      </c>
      <c r="L994" s="29">
        <v>7.4587</v>
      </c>
      <c r="M994" s="29" t="s">
        <v>225</v>
      </c>
    </row>
    <row r="995" ht="15.75" customHeight="1">
      <c r="A995" s="29" t="s">
        <v>162</v>
      </c>
      <c r="B995" s="29" t="s">
        <v>3822</v>
      </c>
      <c r="C995" s="29">
        <v>0.0</v>
      </c>
      <c r="D995" s="29" t="s">
        <v>60</v>
      </c>
      <c r="E995" s="29">
        <v>0.845</v>
      </c>
      <c r="F995" s="29">
        <v>36.69</v>
      </c>
      <c r="G995" s="29">
        <v>29.4284</v>
      </c>
      <c r="H995" s="29">
        <v>0.5669</v>
      </c>
      <c r="I995" s="29">
        <v>0.5295</v>
      </c>
      <c r="J995" s="29">
        <v>0.5143</v>
      </c>
      <c r="K995" s="29">
        <v>0.2858</v>
      </c>
      <c r="L995" s="29">
        <v>7.529</v>
      </c>
      <c r="M995" s="29" t="s">
        <v>225</v>
      </c>
    </row>
    <row r="996" ht="15.75" customHeight="1">
      <c r="A996" s="29" t="s">
        <v>1004</v>
      </c>
      <c r="B996" s="29" t="s">
        <v>3824</v>
      </c>
      <c r="C996" s="29">
        <v>0.0</v>
      </c>
      <c r="D996" s="29" t="s">
        <v>60</v>
      </c>
      <c r="E996" s="29">
        <v>0.851</v>
      </c>
      <c r="F996" s="29">
        <v>36.6865</v>
      </c>
      <c r="G996" s="29">
        <v>29.6272</v>
      </c>
      <c r="H996" s="29">
        <v>0.5217</v>
      </c>
      <c r="I996" s="29">
        <v>0.5243</v>
      </c>
      <c r="J996" s="29">
        <v>0.5023</v>
      </c>
      <c r="K996" s="29">
        <v>0.2625</v>
      </c>
      <c r="L996" s="29">
        <v>7.6973</v>
      </c>
      <c r="M996" s="29" t="s">
        <v>225</v>
      </c>
    </row>
    <row r="997" ht="15.75" customHeight="1">
      <c r="A997" s="29" t="s">
        <v>2412</v>
      </c>
      <c r="B997" s="29" t="s">
        <v>3826</v>
      </c>
      <c r="C997" s="29">
        <v>0.0</v>
      </c>
      <c r="D997" s="29" t="s">
        <v>60</v>
      </c>
      <c r="E997" s="29">
        <v>0.5278</v>
      </c>
      <c r="F997" s="29">
        <v>36.6138</v>
      </c>
      <c r="G997" s="29">
        <v>25.6776</v>
      </c>
      <c r="H997" s="29">
        <v>0.7258</v>
      </c>
      <c r="I997" s="29">
        <v>0.6978</v>
      </c>
      <c r="J997" s="29">
        <v>0.349</v>
      </c>
      <c r="K997" s="29">
        <v>0.0645</v>
      </c>
      <c r="L997" s="29">
        <v>9.1416</v>
      </c>
      <c r="M997" s="29" t="s">
        <v>225</v>
      </c>
    </row>
    <row r="998" ht="15.75" customHeight="1">
      <c r="A998" s="29" t="s">
        <v>3828</v>
      </c>
      <c r="B998" s="29" t="s">
        <v>3829</v>
      </c>
      <c r="C998" s="29">
        <v>0.0</v>
      </c>
      <c r="D998" s="29" t="s">
        <v>60</v>
      </c>
      <c r="E998" s="29">
        <v>0.8634</v>
      </c>
      <c r="F998" s="29">
        <v>36.548</v>
      </c>
      <c r="G998" s="29">
        <v>31.8068</v>
      </c>
      <c r="H998" s="29">
        <v>0.546</v>
      </c>
      <c r="I998" s="29">
        <v>0.454</v>
      </c>
      <c r="J998" s="29">
        <v>0.5164</v>
      </c>
      <c r="K998" s="29">
        <v>0.2888</v>
      </c>
      <c r="L998" s="29">
        <v>7.5018</v>
      </c>
      <c r="M998" s="29" t="s">
        <v>225</v>
      </c>
    </row>
    <row r="999" ht="15.75" customHeight="1">
      <c r="A999" s="29" t="s">
        <v>3831</v>
      </c>
      <c r="B999" s="29" t="s">
        <v>3832</v>
      </c>
      <c r="C999" s="29">
        <v>0.0</v>
      </c>
      <c r="D999" s="29" t="s">
        <v>60</v>
      </c>
      <c r="E999" s="29">
        <v>0.8625</v>
      </c>
      <c r="F999" s="29">
        <v>36.5064</v>
      </c>
      <c r="G999" s="29">
        <v>29.053</v>
      </c>
      <c r="H999" s="29">
        <v>0.5578</v>
      </c>
      <c r="I999" s="29">
        <v>0.5422</v>
      </c>
      <c r="J999" s="29">
        <v>0.5149</v>
      </c>
      <c r="K999" s="29">
        <v>0.2894</v>
      </c>
      <c r="L999" s="29">
        <v>7.5062</v>
      </c>
      <c r="M999" s="29" t="s">
        <v>225</v>
      </c>
    </row>
    <row r="1000" ht="15.75" customHeight="1">
      <c r="A1000" s="29" t="s">
        <v>943</v>
      </c>
      <c r="B1000" s="29" t="s">
        <v>3834</v>
      </c>
      <c r="C1000" s="29">
        <v>0.0</v>
      </c>
      <c r="D1000" s="29" t="s">
        <v>60</v>
      </c>
      <c r="E1000" s="29">
        <v>0.8639</v>
      </c>
      <c r="F1000" s="29">
        <v>36.4926</v>
      </c>
      <c r="G1000" s="29">
        <v>30.5667</v>
      </c>
      <c r="H1000" s="29">
        <v>0.5553</v>
      </c>
      <c r="I1000" s="29">
        <v>0.49</v>
      </c>
      <c r="J1000" s="29">
        <v>0.5092</v>
      </c>
      <c r="K1000" s="29">
        <v>0.2784</v>
      </c>
      <c r="L1000" s="29">
        <v>7.5965</v>
      </c>
      <c r="M1000" s="29" t="s">
        <v>225</v>
      </c>
    </row>
    <row r="1001" ht="15.75" customHeight="1">
      <c r="A1001" s="29" t="s">
        <v>3836</v>
      </c>
      <c r="B1001" s="29" t="s">
        <v>3837</v>
      </c>
      <c r="C1001" s="29">
        <v>0.0</v>
      </c>
      <c r="D1001" s="29" t="s">
        <v>60</v>
      </c>
      <c r="E1001" s="29">
        <v>0.8524</v>
      </c>
      <c r="F1001" s="29">
        <v>36.4891</v>
      </c>
      <c r="G1001" s="29">
        <v>29.1972</v>
      </c>
      <c r="H1001" s="29">
        <v>0.5712</v>
      </c>
      <c r="I1001" s="29">
        <v>0.5368</v>
      </c>
      <c r="J1001" s="29">
        <v>0.5181</v>
      </c>
      <c r="K1001" s="29">
        <v>0.2899</v>
      </c>
      <c r="L1001" s="29">
        <v>7.5007</v>
      </c>
      <c r="M1001" s="29" t="s">
        <v>225</v>
      </c>
    </row>
    <row r="1002" ht="15.75" customHeight="1">
      <c r="A1002" s="29" t="s">
        <v>3839</v>
      </c>
      <c r="B1002" s="29" t="s">
        <v>3840</v>
      </c>
      <c r="C1002" s="29">
        <v>0.0</v>
      </c>
      <c r="D1002" s="29" t="s">
        <v>60</v>
      </c>
      <c r="E1002" s="29">
        <v>0.8687</v>
      </c>
      <c r="F1002" s="29">
        <v>36.4476</v>
      </c>
      <c r="G1002" s="29">
        <v>31.0358</v>
      </c>
      <c r="H1002" s="29">
        <v>0.5018</v>
      </c>
      <c r="I1002" s="29">
        <v>0.4728</v>
      </c>
      <c r="J1002" s="29">
        <v>0.5084</v>
      </c>
      <c r="K1002" s="29">
        <v>0.2773</v>
      </c>
      <c r="L1002" s="29">
        <v>7.6059</v>
      </c>
      <c r="M1002" s="29" t="s">
        <v>225</v>
      </c>
    </row>
    <row r="1003" ht="15.75" customHeight="1">
      <c r="A1003" s="29" t="s">
        <v>561</v>
      </c>
      <c r="B1003" s="29" t="s">
        <v>3842</v>
      </c>
      <c r="C1003" s="29">
        <v>0.0</v>
      </c>
      <c r="D1003" s="29" t="s">
        <v>60</v>
      </c>
      <c r="E1003" s="29">
        <v>0.402</v>
      </c>
      <c r="F1003" s="29">
        <v>36.4025</v>
      </c>
      <c r="G1003" s="29">
        <v>24.6646</v>
      </c>
      <c r="H1003" s="29">
        <v>0.8009</v>
      </c>
      <c r="I1003" s="29">
        <v>0.752</v>
      </c>
      <c r="J1003" s="29">
        <v>0.4378</v>
      </c>
      <c r="K1003" s="29">
        <v>0.0726</v>
      </c>
      <c r="L1003" s="29">
        <v>8.2872</v>
      </c>
      <c r="M1003" s="29" t="s">
        <v>225</v>
      </c>
    </row>
    <row r="1004" ht="15.75" customHeight="1">
      <c r="A1004" s="29" t="s">
        <v>3844</v>
      </c>
      <c r="B1004" s="29" t="s">
        <v>3845</v>
      </c>
      <c r="C1004" s="29">
        <v>0.0</v>
      </c>
      <c r="D1004" s="29" t="s">
        <v>60</v>
      </c>
      <c r="E1004" s="29">
        <v>0.8568</v>
      </c>
      <c r="F1004" s="29">
        <v>36.3125</v>
      </c>
      <c r="G1004" s="29">
        <v>29.2149</v>
      </c>
      <c r="H1004" s="29">
        <v>0.5011</v>
      </c>
      <c r="I1004" s="29">
        <v>0.5334</v>
      </c>
      <c r="J1004" s="29">
        <v>0.5118</v>
      </c>
      <c r="K1004" s="29">
        <v>0.2822</v>
      </c>
      <c r="L1004" s="29">
        <v>7.5646</v>
      </c>
      <c r="M1004" s="29" t="s">
        <v>225</v>
      </c>
    </row>
    <row r="1005" ht="15.75" customHeight="1">
      <c r="A1005" s="29" t="s">
        <v>209</v>
      </c>
      <c r="B1005" s="29" t="s">
        <v>3847</v>
      </c>
      <c r="C1005" s="29">
        <v>0.0</v>
      </c>
      <c r="D1005" s="29" t="s">
        <v>60</v>
      </c>
      <c r="E1005" s="29">
        <v>0.5378</v>
      </c>
      <c r="F1005" s="29">
        <v>36.2467</v>
      </c>
      <c r="G1005" s="29">
        <v>25.4523</v>
      </c>
      <c r="H1005" s="29">
        <v>0.7289</v>
      </c>
      <c r="I1005" s="29">
        <v>0.7031</v>
      </c>
      <c r="J1005" s="29">
        <v>0.3468</v>
      </c>
      <c r="K1005" s="29">
        <v>0.0701</v>
      </c>
      <c r="L1005" s="29">
        <v>9.1054</v>
      </c>
      <c r="M1005" s="29" t="s">
        <v>225</v>
      </c>
    </row>
    <row r="1006" ht="15.75" customHeight="1">
      <c r="A1006" s="29" t="s">
        <v>321</v>
      </c>
      <c r="B1006" s="29" t="s">
        <v>3851</v>
      </c>
      <c r="C1006" s="29">
        <v>0.0</v>
      </c>
      <c r="D1006" s="29" t="s">
        <v>60</v>
      </c>
      <c r="E1006" s="29">
        <v>0.3843</v>
      </c>
      <c r="F1006" s="29">
        <v>36.1151</v>
      </c>
      <c r="G1006" s="29">
        <v>25.4171</v>
      </c>
      <c r="H1006" s="29">
        <v>0.8625</v>
      </c>
      <c r="I1006" s="29">
        <v>0.7025</v>
      </c>
      <c r="J1006" s="29">
        <v>0.4174</v>
      </c>
      <c r="K1006" s="29">
        <v>0.0659</v>
      </c>
      <c r="L1006" s="29">
        <v>8.2331</v>
      </c>
      <c r="M1006" s="29" t="s">
        <v>225</v>
      </c>
    </row>
    <row r="1007" ht="15.75" customHeight="1">
      <c r="A1007" s="29" t="s">
        <v>1061</v>
      </c>
      <c r="B1007" s="29" t="s">
        <v>3853</v>
      </c>
      <c r="C1007" s="29">
        <v>0.0</v>
      </c>
      <c r="D1007" s="29" t="s">
        <v>60</v>
      </c>
      <c r="E1007" s="29">
        <v>0.8609</v>
      </c>
      <c r="F1007" s="29">
        <v>35.9939</v>
      </c>
      <c r="G1007" s="29">
        <v>29.1787</v>
      </c>
      <c r="H1007" s="29">
        <v>0.591</v>
      </c>
      <c r="I1007" s="29">
        <v>0.5301</v>
      </c>
      <c r="J1007" s="29">
        <v>0.5141</v>
      </c>
      <c r="K1007" s="29">
        <v>0.2881</v>
      </c>
      <c r="L1007" s="29">
        <v>7.5151</v>
      </c>
      <c r="M1007" s="29" t="s">
        <v>225</v>
      </c>
    </row>
    <row r="1008" ht="15.75" customHeight="1">
      <c r="A1008" s="29" t="s">
        <v>3855</v>
      </c>
      <c r="B1008" s="29" t="s">
        <v>3856</v>
      </c>
      <c r="C1008" s="29">
        <v>0.0</v>
      </c>
      <c r="D1008" s="29" t="s">
        <v>60</v>
      </c>
      <c r="E1008" s="29">
        <v>0.8498</v>
      </c>
      <c r="F1008" s="29">
        <v>35.9212</v>
      </c>
      <c r="G1008" s="29">
        <v>29.0851</v>
      </c>
      <c r="H1008" s="29">
        <v>0.5498</v>
      </c>
      <c r="I1008" s="29">
        <v>0.5332</v>
      </c>
      <c r="J1008" s="29">
        <v>0.5145</v>
      </c>
      <c r="K1008" s="29">
        <v>0.2902</v>
      </c>
      <c r="L1008" s="29">
        <v>7.4939</v>
      </c>
      <c r="M1008" s="29" t="s">
        <v>225</v>
      </c>
    </row>
    <row r="1009" ht="15.75" customHeight="1">
      <c r="A1009" s="29" t="s">
        <v>32</v>
      </c>
      <c r="B1009" s="29" t="s">
        <v>3858</v>
      </c>
      <c r="C1009" s="29">
        <v>0.0</v>
      </c>
      <c r="D1009" s="29" t="s">
        <v>60</v>
      </c>
      <c r="E1009" s="29">
        <v>0.3273</v>
      </c>
      <c r="F1009" s="29">
        <v>35.89</v>
      </c>
      <c r="G1009" s="29">
        <v>24.214</v>
      </c>
      <c r="H1009" s="29">
        <v>0.6934</v>
      </c>
      <c r="I1009" s="29">
        <v>0.7691</v>
      </c>
      <c r="J1009" s="29">
        <v>0.4115</v>
      </c>
      <c r="K1009" s="29">
        <v>0.0615</v>
      </c>
      <c r="L1009" s="29">
        <v>8.7997</v>
      </c>
      <c r="M1009" s="29" t="s">
        <v>225</v>
      </c>
    </row>
    <row r="1010" ht="15.75" customHeight="1">
      <c r="A1010" s="29" t="s">
        <v>3862</v>
      </c>
      <c r="B1010" s="29" t="s">
        <v>3863</v>
      </c>
      <c r="C1010" s="29">
        <v>0.0</v>
      </c>
      <c r="D1010" s="29" t="s">
        <v>60</v>
      </c>
      <c r="E1010" s="29">
        <v>0.8581</v>
      </c>
      <c r="F1010" s="29">
        <v>35.8761</v>
      </c>
      <c r="G1010" s="29">
        <v>29.3918</v>
      </c>
      <c r="H1010" s="29">
        <v>0.5486</v>
      </c>
      <c r="I1010" s="29">
        <v>0.5203</v>
      </c>
      <c r="J1010" s="29">
        <v>0.5143</v>
      </c>
      <c r="K1010" s="29">
        <v>0.2892</v>
      </c>
      <c r="L1010" s="29">
        <v>7.5092</v>
      </c>
      <c r="M1010" s="29" t="s">
        <v>225</v>
      </c>
    </row>
    <row r="1011" ht="15.75" customHeight="1">
      <c r="A1011" s="29" t="s">
        <v>811</v>
      </c>
      <c r="B1011" s="29" t="s">
        <v>3867</v>
      </c>
      <c r="C1011" s="29">
        <v>0.0</v>
      </c>
      <c r="D1011" s="29" t="s">
        <v>60</v>
      </c>
      <c r="E1011" s="29">
        <v>0.6123</v>
      </c>
      <c r="F1011" s="29">
        <v>35.6891</v>
      </c>
      <c r="G1011" s="29">
        <v>29.0255</v>
      </c>
      <c r="H1011" s="29">
        <v>0.3839</v>
      </c>
      <c r="I1011" s="29">
        <v>0.5318</v>
      </c>
      <c r="J1011" s="29">
        <v>0.4667</v>
      </c>
      <c r="K1011" s="29">
        <v>0.1701</v>
      </c>
      <c r="L1011" s="29">
        <v>7.8431</v>
      </c>
      <c r="M1011" s="29" t="s">
        <v>225</v>
      </c>
    </row>
    <row r="1012" ht="15.75" customHeight="1">
      <c r="A1012" s="29" t="s">
        <v>208</v>
      </c>
      <c r="B1012" s="29" t="s">
        <v>3870</v>
      </c>
      <c r="C1012" s="29">
        <v>0.0</v>
      </c>
      <c r="D1012" s="29" t="s">
        <v>60</v>
      </c>
      <c r="E1012" s="29">
        <v>0.4596</v>
      </c>
      <c r="F1012" s="29">
        <v>35.6614</v>
      </c>
      <c r="G1012" s="29">
        <v>25.3423</v>
      </c>
      <c r="H1012" s="29">
        <v>0.8461</v>
      </c>
      <c r="I1012" s="29">
        <v>0.6978</v>
      </c>
      <c r="J1012" s="29">
        <v>0.4285</v>
      </c>
      <c r="K1012" s="29">
        <v>0.069</v>
      </c>
      <c r="L1012" s="29">
        <v>8.2388</v>
      </c>
      <c r="M1012" s="29" t="s">
        <v>225</v>
      </c>
    </row>
    <row r="1013" ht="15.75" customHeight="1">
      <c r="A1013" s="29" t="s">
        <v>259</v>
      </c>
      <c r="B1013" s="29" t="s">
        <v>3872</v>
      </c>
      <c r="C1013" s="29">
        <v>0.0</v>
      </c>
      <c r="D1013" s="29" t="s">
        <v>60</v>
      </c>
      <c r="E1013" s="29">
        <v>0.5583</v>
      </c>
      <c r="F1013" s="29">
        <v>35.5887</v>
      </c>
      <c r="G1013" s="29">
        <v>25.0118</v>
      </c>
      <c r="H1013" s="29">
        <v>0.7052</v>
      </c>
      <c r="I1013" s="29">
        <v>0.7149</v>
      </c>
      <c r="J1013" s="29">
        <v>0.341</v>
      </c>
      <c r="K1013" s="29">
        <v>0.062</v>
      </c>
      <c r="L1013" s="29">
        <v>9.1521</v>
      </c>
      <c r="M1013" s="29" t="s">
        <v>225</v>
      </c>
    </row>
    <row r="1014" ht="15.75" customHeight="1">
      <c r="A1014" s="29" t="s">
        <v>353</v>
      </c>
      <c r="B1014" s="29" t="s">
        <v>3875</v>
      </c>
      <c r="C1014" s="29">
        <v>0.0</v>
      </c>
      <c r="D1014" s="29" t="s">
        <v>60</v>
      </c>
      <c r="E1014" s="29">
        <v>0.46</v>
      </c>
      <c r="F1014" s="29">
        <v>35.5194</v>
      </c>
      <c r="G1014" s="29">
        <v>25.5575</v>
      </c>
      <c r="H1014" s="29">
        <v>0.8518</v>
      </c>
      <c r="I1014" s="29">
        <v>0.6833</v>
      </c>
      <c r="J1014" s="29">
        <v>0.4338</v>
      </c>
      <c r="K1014" s="29">
        <v>0.07</v>
      </c>
      <c r="L1014" s="29">
        <v>8.2469</v>
      </c>
      <c r="M1014" s="29" t="s">
        <v>225</v>
      </c>
    </row>
    <row r="1015" ht="15.75" customHeight="1">
      <c r="A1015" s="29" t="s">
        <v>651</v>
      </c>
      <c r="B1015" s="29" t="s">
        <v>3877</v>
      </c>
      <c r="C1015" s="29">
        <v>0.0</v>
      </c>
      <c r="D1015" s="29" t="s">
        <v>60</v>
      </c>
      <c r="E1015" s="29">
        <v>0.5058</v>
      </c>
      <c r="F1015" s="29">
        <v>35.3878</v>
      </c>
      <c r="G1015" s="29">
        <v>25.0606</v>
      </c>
      <c r="H1015" s="29">
        <v>0.703</v>
      </c>
      <c r="I1015" s="29">
        <v>0.7081</v>
      </c>
      <c r="J1015" s="29">
        <v>0.3448</v>
      </c>
      <c r="K1015" s="29">
        <v>0.0659</v>
      </c>
      <c r="L1015" s="29">
        <v>9.1044</v>
      </c>
      <c r="M1015" s="29" t="s">
        <v>225</v>
      </c>
    </row>
    <row r="1016" ht="15.75" customHeight="1">
      <c r="A1016" s="29" t="s">
        <v>565</v>
      </c>
      <c r="B1016" s="29" t="s">
        <v>3879</v>
      </c>
      <c r="C1016" s="29">
        <v>0.0</v>
      </c>
      <c r="D1016" s="29" t="s">
        <v>60</v>
      </c>
      <c r="E1016" s="29">
        <v>0.5609</v>
      </c>
      <c r="F1016" s="29">
        <v>35.1696</v>
      </c>
      <c r="G1016" s="29">
        <v>25.0404</v>
      </c>
      <c r="H1016" s="29">
        <v>0.7038</v>
      </c>
      <c r="I1016" s="29">
        <v>0.7048</v>
      </c>
      <c r="J1016" s="29">
        <v>0.3507</v>
      </c>
      <c r="K1016" s="29">
        <v>0.0697</v>
      </c>
      <c r="L1016" s="29">
        <v>9.0875</v>
      </c>
      <c r="M1016" s="29" t="s">
        <v>225</v>
      </c>
    </row>
    <row r="1017" ht="15.75" customHeight="1">
      <c r="A1017" s="29" t="s">
        <v>498</v>
      </c>
      <c r="B1017" s="29" t="s">
        <v>3881</v>
      </c>
      <c r="C1017" s="29">
        <v>0.0</v>
      </c>
      <c r="D1017" s="29" t="s">
        <v>60</v>
      </c>
      <c r="E1017" s="29">
        <v>0.9011</v>
      </c>
      <c r="F1017" s="29">
        <v>34.6051</v>
      </c>
      <c r="G1017" s="29">
        <v>30.713</v>
      </c>
      <c r="H1017" s="29">
        <v>0.6742</v>
      </c>
      <c r="I1017" s="29">
        <v>0.461</v>
      </c>
      <c r="J1017" s="29">
        <v>0.5318</v>
      </c>
      <c r="K1017" s="29">
        <v>0.3374</v>
      </c>
      <c r="L1017" s="29">
        <v>7.2188</v>
      </c>
      <c r="M1017" s="29" t="s">
        <v>225</v>
      </c>
    </row>
    <row r="1018" ht="15.75" customHeight="1">
      <c r="A1018" s="29" t="s">
        <v>273</v>
      </c>
      <c r="B1018" s="29" t="s">
        <v>3884</v>
      </c>
      <c r="C1018" s="29">
        <v>0.0</v>
      </c>
      <c r="D1018" s="29" t="s">
        <v>60</v>
      </c>
      <c r="E1018" s="29">
        <v>0.3862</v>
      </c>
      <c r="F1018" s="29">
        <v>34.4804</v>
      </c>
      <c r="G1018" s="29">
        <v>23.7373</v>
      </c>
      <c r="H1018" s="29">
        <v>0.7064</v>
      </c>
      <c r="I1018" s="29">
        <v>0.769</v>
      </c>
      <c r="J1018" s="29">
        <v>0.4229</v>
      </c>
      <c r="K1018" s="29">
        <v>0.0711</v>
      </c>
      <c r="L1018" s="29">
        <v>8.6929</v>
      </c>
      <c r="M1018" s="29" t="s">
        <v>225</v>
      </c>
    </row>
    <row r="1019" ht="15.75" customHeight="1">
      <c r="A1019" s="29" t="s">
        <v>664</v>
      </c>
      <c r="B1019" s="29" t="s">
        <v>3886</v>
      </c>
      <c r="C1019" s="29">
        <v>0.0</v>
      </c>
      <c r="D1019" s="29" t="s">
        <v>60</v>
      </c>
      <c r="E1019" s="29">
        <v>0.2971</v>
      </c>
      <c r="F1019" s="29">
        <v>34.4285</v>
      </c>
      <c r="G1019" s="29">
        <v>23.6802</v>
      </c>
      <c r="H1019" s="29">
        <v>0.6639</v>
      </c>
      <c r="I1019" s="29">
        <v>0.7715</v>
      </c>
      <c r="J1019" s="29">
        <v>0.4768</v>
      </c>
      <c r="K1019" s="29">
        <v>0.0717</v>
      </c>
      <c r="L1019" s="29">
        <v>8.1027</v>
      </c>
      <c r="M1019" s="29" t="s">
        <v>225</v>
      </c>
    </row>
    <row r="1020" ht="15.75" customHeight="1">
      <c r="A1020" s="29" t="s">
        <v>182</v>
      </c>
      <c r="B1020" s="29" t="s">
        <v>2857</v>
      </c>
      <c r="C1020" s="29">
        <v>0.0</v>
      </c>
      <c r="D1020" s="29" t="s">
        <v>60</v>
      </c>
      <c r="E1020" s="29">
        <v>0.286</v>
      </c>
      <c r="F1020" s="29">
        <v>34.3523</v>
      </c>
      <c r="G1020" s="29">
        <v>25.6452</v>
      </c>
      <c r="H1020" s="29">
        <v>0.6215</v>
      </c>
      <c r="I1020" s="29">
        <v>0.6564</v>
      </c>
      <c r="J1020" s="29">
        <v>0.4497</v>
      </c>
      <c r="K1020" s="29">
        <v>0.0743</v>
      </c>
      <c r="L1020" s="29">
        <v>8.5256</v>
      </c>
      <c r="M1020" s="29" t="s">
        <v>225</v>
      </c>
    </row>
    <row r="1021" ht="15.75" customHeight="1">
      <c r="A1021" s="29" t="s">
        <v>239</v>
      </c>
      <c r="B1021" s="29" t="s">
        <v>3890</v>
      </c>
      <c r="C1021" s="29">
        <v>0.0</v>
      </c>
      <c r="D1021" s="29" t="s">
        <v>60</v>
      </c>
      <c r="E1021" s="29">
        <v>0.5365</v>
      </c>
      <c r="F1021" s="29">
        <v>34.2172</v>
      </c>
      <c r="G1021" s="29">
        <v>25.148</v>
      </c>
      <c r="H1021" s="29">
        <v>0.7035</v>
      </c>
      <c r="I1021" s="29">
        <v>0.6799</v>
      </c>
      <c r="J1021" s="29">
        <v>0.3614</v>
      </c>
      <c r="K1021" s="29">
        <v>0.081</v>
      </c>
      <c r="L1021" s="29">
        <v>8.9824</v>
      </c>
      <c r="M1021" s="29" t="s">
        <v>225</v>
      </c>
    </row>
    <row r="1022" ht="15.75" customHeight="1">
      <c r="A1022" s="29" t="s">
        <v>2261</v>
      </c>
      <c r="B1022" s="29" t="s">
        <v>3892</v>
      </c>
      <c r="C1022" s="29">
        <v>0.0</v>
      </c>
      <c r="D1022" s="29" t="s">
        <v>60</v>
      </c>
      <c r="E1022" s="29">
        <v>0.4921</v>
      </c>
      <c r="F1022" s="29">
        <v>34.1133</v>
      </c>
      <c r="G1022" s="29">
        <v>24.7016</v>
      </c>
      <c r="H1022" s="29">
        <v>0.6994</v>
      </c>
      <c r="I1022" s="29">
        <v>0.7026</v>
      </c>
      <c r="J1022" s="29">
        <v>0.3524</v>
      </c>
      <c r="K1022" s="29">
        <v>0.0714</v>
      </c>
      <c r="L1022" s="29">
        <v>9.043</v>
      </c>
      <c r="M1022" s="29" t="s">
        <v>225</v>
      </c>
    </row>
    <row r="1023" ht="15.75" customHeight="1">
      <c r="A1023" s="29" t="s">
        <v>335</v>
      </c>
      <c r="B1023" s="29" t="s">
        <v>3894</v>
      </c>
      <c r="C1023" s="29">
        <v>0.0</v>
      </c>
      <c r="D1023" s="29" t="s">
        <v>60</v>
      </c>
      <c r="E1023" s="29">
        <v>0.5121</v>
      </c>
      <c r="F1023" s="29">
        <v>34.1099</v>
      </c>
      <c r="G1023" s="29">
        <v>24.4965</v>
      </c>
      <c r="H1023" s="29">
        <v>0.71</v>
      </c>
      <c r="I1023" s="29">
        <v>0.7143</v>
      </c>
      <c r="J1023" s="29">
        <v>0.3443</v>
      </c>
      <c r="K1023" s="29">
        <v>0.064</v>
      </c>
      <c r="L1023" s="29">
        <v>9.1084</v>
      </c>
      <c r="M1023" s="29" t="s">
        <v>225</v>
      </c>
    </row>
    <row r="1024" ht="15.75" customHeight="1">
      <c r="A1024" s="29" t="s">
        <v>150</v>
      </c>
      <c r="B1024" s="29" t="s">
        <v>3898</v>
      </c>
      <c r="C1024" s="29">
        <v>0.0</v>
      </c>
      <c r="D1024" s="29" t="s">
        <v>60</v>
      </c>
      <c r="E1024" s="29">
        <v>0.4785</v>
      </c>
      <c r="F1024" s="29">
        <v>33.864</v>
      </c>
      <c r="G1024" s="29">
        <v>26.0206</v>
      </c>
      <c r="H1024" s="29">
        <v>0.7247</v>
      </c>
      <c r="I1024" s="29">
        <v>0.6285</v>
      </c>
      <c r="J1024" s="29">
        <v>0.3538</v>
      </c>
      <c r="K1024" s="29">
        <v>0.0716</v>
      </c>
      <c r="L1024" s="29">
        <v>9.05</v>
      </c>
      <c r="M1024" s="29" t="s">
        <v>225</v>
      </c>
    </row>
    <row r="1025" ht="15.75" customHeight="1">
      <c r="A1025" s="29" t="s">
        <v>214</v>
      </c>
      <c r="B1025" s="29" t="s">
        <v>3900</v>
      </c>
      <c r="C1025" s="29">
        <v>0.0</v>
      </c>
      <c r="D1025" s="29" t="s">
        <v>60</v>
      </c>
      <c r="E1025" s="29">
        <v>0.484</v>
      </c>
      <c r="F1025" s="29">
        <v>33.6631</v>
      </c>
      <c r="G1025" s="29">
        <v>24.2308</v>
      </c>
      <c r="H1025" s="29">
        <v>0.6839</v>
      </c>
      <c r="I1025" s="29">
        <v>0.7205</v>
      </c>
      <c r="J1025" s="29">
        <v>0.3552</v>
      </c>
      <c r="K1025" s="29">
        <v>0.0697</v>
      </c>
      <c r="L1025" s="29">
        <v>9.042</v>
      </c>
      <c r="M1025" s="29" t="s">
        <v>225</v>
      </c>
    </row>
    <row r="1026" ht="15.75" customHeight="1">
      <c r="A1026" s="29" t="s">
        <v>165</v>
      </c>
      <c r="B1026" s="29" t="s">
        <v>3902</v>
      </c>
      <c r="C1026" s="29">
        <v>0.0</v>
      </c>
      <c r="D1026" s="29" t="s">
        <v>60</v>
      </c>
      <c r="E1026" s="29">
        <v>0.5202</v>
      </c>
      <c r="F1026" s="29">
        <v>33.6285</v>
      </c>
      <c r="G1026" s="29">
        <v>24.119</v>
      </c>
      <c r="H1026" s="29">
        <v>0.6647</v>
      </c>
      <c r="I1026" s="29">
        <v>0.7263</v>
      </c>
      <c r="J1026" s="29">
        <v>0.3478</v>
      </c>
      <c r="K1026" s="29">
        <v>0.0663</v>
      </c>
      <c r="L1026" s="29">
        <v>9.1003</v>
      </c>
      <c r="M1026" s="29" t="s">
        <v>225</v>
      </c>
    </row>
    <row r="1027" ht="15.75" customHeight="1">
      <c r="A1027" s="29" t="s">
        <v>2376</v>
      </c>
      <c r="B1027" s="29" t="s">
        <v>3904</v>
      </c>
      <c r="C1027" s="29">
        <v>0.0</v>
      </c>
      <c r="D1027" s="29" t="s">
        <v>60</v>
      </c>
      <c r="E1027" s="29">
        <v>0.5061</v>
      </c>
      <c r="F1027" s="29">
        <v>33.5765</v>
      </c>
      <c r="G1027" s="29">
        <v>24.4519</v>
      </c>
      <c r="H1027" s="29">
        <v>0.6845</v>
      </c>
      <c r="I1027" s="29">
        <v>0.7051</v>
      </c>
      <c r="J1027" s="29">
        <v>0.3488</v>
      </c>
      <c r="K1027" s="29">
        <v>0.0705</v>
      </c>
      <c r="L1027" s="29">
        <v>9.0794</v>
      </c>
      <c r="M1027" s="29" t="s">
        <v>225</v>
      </c>
    </row>
    <row r="1028" ht="15.75" customHeight="1">
      <c r="A1028" s="29" t="s">
        <v>33</v>
      </c>
      <c r="B1028" s="29" t="s">
        <v>3907</v>
      </c>
      <c r="C1028" s="29">
        <v>0.0</v>
      </c>
      <c r="D1028" s="29" t="s">
        <v>60</v>
      </c>
      <c r="E1028" s="29">
        <v>0.4813</v>
      </c>
      <c r="F1028" s="29">
        <v>33.4899</v>
      </c>
      <c r="G1028" s="29">
        <v>24.4864</v>
      </c>
      <c r="H1028" s="29">
        <v>0.7142</v>
      </c>
      <c r="I1028" s="29">
        <v>0.7016</v>
      </c>
      <c r="J1028" s="29">
        <v>0.3471</v>
      </c>
      <c r="K1028" s="29">
        <v>0.0679</v>
      </c>
      <c r="L1028" s="29">
        <v>9.0643</v>
      </c>
      <c r="M1028" s="29" t="s">
        <v>225</v>
      </c>
    </row>
    <row r="1029" ht="15.75" customHeight="1">
      <c r="A1029" s="29" t="s">
        <v>233</v>
      </c>
      <c r="B1029" s="29" t="s">
        <v>3910</v>
      </c>
      <c r="C1029" s="29">
        <v>0.0</v>
      </c>
      <c r="D1029" s="29" t="s">
        <v>60</v>
      </c>
      <c r="E1029" s="29">
        <v>0.5001</v>
      </c>
      <c r="F1029" s="29">
        <v>33.3098</v>
      </c>
      <c r="G1029" s="29">
        <v>25.0467</v>
      </c>
      <c r="H1029" s="29">
        <v>0.6832</v>
      </c>
      <c r="I1029" s="29">
        <v>0.6672</v>
      </c>
      <c r="J1029" s="29">
        <v>0.3524</v>
      </c>
      <c r="K1029" s="29">
        <v>0.0758</v>
      </c>
      <c r="L1029" s="29">
        <v>9.0391</v>
      </c>
      <c r="M1029" s="29" t="s">
        <v>225</v>
      </c>
    </row>
    <row r="1030" ht="15.75" customHeight="1">
      <c r="A1030" s="29" t="s">
        <v>252</v>
      </c>
      <c r="B1030" s="29" t="s">
        <v>3912</v>
      </c>
      <c r="C1030" s="29">
        <v>0.0</v>
      </c>
      <c r="D1030" s="29" t="s">
        <v>60</v>
      </c>
      <c r="E1030" s="29">
        <v>0.5001</v>
      </c>
      <c r="F1030" s="29">
        <v>33.2025</v>
      </c>
      <c r="G1030" s="29">
        <v>24.7764</v>
      </c>
      <c r="H1030" s="29">
        <v>0.687</v>
      </c>
      <c r="I1030" s="29">
        <v>0.6797</v>
      </c>
      <c r="J1030" s="29">
        <v>0.3416</v>
      </c>
      <c r="K1030" s="29">
        <v>0.0609</v>
      </c>
      <c r="L1030" s="29">
        <v>9.1098</v>
      </c>
      <c r="M1030" s="29" t="s">
        <v>225</v>
      </c>
    </row>
    <row r="1031" ht="15.75" customHeight="1">
      <c r="A1031" s="29" t="s">
        <v>197</v>
      </c>
      <c r="B1031" s="29" t="s">
        <v>3916</v>
      </c>
      <c r="C1031" s="29">
        <v>0.0</v>
      </c>
      <c r="D1031" s="29" t="s">
        <v>60</v>
      </c>
      <c r="E1031" s="29">
        <v>0.5273</v>
      </c>
      <c r="F1031" s="29">
        <v>33.0917</v>
      </c>
      <c r="G1031" s="29">
        <v>24.4376</v>
      </c>
      <c r="H1031" s="29">
        <v>0.6879</v>
      </c>
      <c r="I1031" s="29">
        <v>0.6963</v>
      </c>
      <c r="J1031" s="29">
        <v>0.3435</v>
      </c>
      <c r="K1031" s="29">
        <v>0.0622</v>
      </c>
      <c r="L1031" s="29">
        <v>9.1148</v>
      </c>
      <c r="M1031" s="29" t="s">
        <v>225</v>
      </c>
    </row>
    <row r="1032" ht="15.75" customHeight="1">
      <c r="A1032" s="29" t="s">
        <v>761</v>
      </c>
      <c r="B1032" s="29" t="s">
        <v>3918</v>
      </c>
      <c r="C1032" s="29">
        <v>0.0</v>
      </c>
      <c r="D1032" s="29" t="s">
        <v>60</v>
      </c>
      <c r="E1032" s="29">
        <v>0.6469</v>
      </c>
      <c r="F1032" s="29">
        <v>33.0016</v>
      </c>
      <c r="G1032" s="29">
        <v>23.8303</v>
      </c>
      <c r="H1032" s="29">
        <v>0.6363</v>
      </c>
      <c r="I1032" s="29">
        <v>0.7303</v>
      </c>
      <c r="J1032" s="29">
        <v>0.5594</v>
      </c>
      <c r="K1032" s="29">
        <v>0.202</v>
      </c>
      <c r="L1032" s="29">
        <v>6.8595</v>
      </c>
      <c r="M1032" s="29" t="s">
        <v>225</v>
      </c>
    </row>
    <row r="1033" ht="15.75" customHeight="1">
      <c r="A1033" s="29" t="s">
        <v>160</v>
      </c>
      <c r="B1033" s="29" t="s">
        <v>3920</v>
      </c>
      <c r="C1033" s="29">
        <v>0.0</v>
      </c>
      <c r="D1033" s="29" t="s">
        <v>60</v>
      </c>
      <c r="E1033" s="29">
        <v>0.5077</v>
      </c>
      <c r="F1033" s="29">
        <v>32.9289</v>
      </c>
      <c r="G1033" s="29">
        <v>24.5696</v>
      </c>
      <c r="H1033" s="29">
        <v>0.6521</v>
      </c>
      <c r="I1033" s="29">
        <v>0.6855</v>
      </c>
      <c r="J1033" s="29">
        <v>0.3455</v>
      </c>
      <c r="K1033" s="29">
        <v>0.0686</v>
      </c>
      <c r="L1033" s="29">
        <v>9.0847</v>
      </c>
      <c r="M1033" s="29" t="s">
        <v>225</v>
      </c>
    </row>
    <row r="1034" ht="15.75" customHeight="1">
      <c r="A1034" s="29" t="s">
        <v>2300</v>
      </c>
      <c r="B1034" s="29" t="s">
        <v>3923</v>
      </c>
      <c r="C1034" s="29">
        <v>0.0</v>
      </c>
      <c r="D1034" s="29" t="s">
        <v>60</v>
      </c>
      <c r="E1034" s="29">
        <v>0.4902</v>
      </c>
      <c r="F1034" s="29">
        <v>32.773</v>
      </c>
      <c r="G1034" s="29">
        <v>24.5675</v>
      </c>
      <c r="H1034" s="29">
        <v>0.7003</v>
      </c>
      <c r="I1034" s="29">
        <v>0.6823</v>
      </c>
      <c r="J1034" s="29">
        <v>0.3799</v>
      </c>
      <c r="K1034" s="29">
        <v>0.0736</v>
      </c>
      <c r="L1034" s="29">
        <v>8.8654</v>
      </c>
      <c r="M1034" s="29" t="s">
        <v>225</v>
      </c>
    </row>
    <row r="1035" ht="15.75" customHeight="1">
      <c r="A1035" s="29" t="s">
        <v>1106</v>
      </c>
      <c r="B1035" s="29" t="s">
        <v>3926</v>
      </c>
      <c r="C1035" s="29">
        <v>0.0</v>
      </c>
      <c r="D1035" s="29" t="s">
        <v>60</v>
      </c>
      <c r="E1035" s="29">
        <v>0.8138</v>
      </c>
      <c r="F1035" s="29">
        <v>32.5791</v>
      </c>
      <c r="G1035" s="29">
        <v>28.7407</v>
      </c>
      <c r="H1035" s="29">
        <v>0.7065</v>
      </c>
      <c r="I1035" s="29">
        <v>0.4953</v>
      </c>
      <c r="J1035" s="29">
        <v>0.6098</v>
      </c>
      <c r="K1035" s="29">
        <v>0.3396</v>
      </c>
      <c r="L1035" s="29">
        <v>6.621</v>
      </c>
      <c r="M1035" s="29" t="s">
        <v>225</v>
      </c>
    </row>
    <row r="1036" ht="15.75" customHeight="1">
      <c r="A1036" s="29" t="s">
        <v>1157</v>
      </c>
      <c r="B1036" s="29" t="s">
        <v>3928</v>
      </c>
      <c r="C1036" s="29">
        <v>0.0</v>
      </c>
      <c r="D1036" s="29" t="s">
        <v>60</v>
      </c>
      <c r="E1036" s="29">
        <v>0.8926</v>
      </c>
      <c r="F1036" s="29">
        <v>32.167</v>
      </c>
      <c r="G1036" s="29">
        <v>27.937</v>
      </c>
      <c r="H1036" s="29">
        <v>0.6741</v>
      </c>
      <c r="I1036" s="29">
        <v>0.5179</v>
      </c>
      <c r="J1036" s="29">
        <v>0.5617</v>
      </c>
      <c r="K1036" s="29">
        <v>0.3494</v>
      </c>
      <c r="L1036" s="29">
        <v>6.8906</v>
      </c>
      <c r="M1036" s="29" t="s">
        <v>225</v>
      </c>
    </row>
    <row r="1037" ht="15.75" customHeight="1">
      <c r="A1037" s="29" t="s">
        <v>3930</v>
      </c>
      <c r="B1037" s="29" t="s">
        <v>3932</v>
      </c>
      <c r="C1037" s="29">
        <v>0.0</v>
      </c>
      <c r="D1037" s="29" t="s">
        <v>60</v>
      </c>
      <c r="E1037" s="29">
        <v>0.807</v>
      </c>
      <c r="F1037" s="29">
        <v>32.1635</v>
      </c>
      <c r="G1037" s="29">
        <v>30.4957</v>
      </c>
      <c r="H1037" s="29">
        <v>0.3643</v>
      </c>
      <c r="I1037" s="29">
        <v>0.4342</v>
      </c>
      <c r="J1037" s="29">
        <v>0.5592</v>
      </c>
      <c r="K1037" s="29">
        <v>0.283</v>
      </c>
      <c r="L1037" s="29">
        <v>7.2187</v>
      </c>
      <c r="M1037" s="29" t="s">
        <v>225</v>
      </c>
    </row>
    <row r="1038" ht="15.75" customHeight="1">
      <c r="A1038" s="29" t="s">
        <v>1158</v>
      </c>
      <c r="B1038" s="29" t="s">
        <v>1159</v>
      </c>
      <c r="C1038" s="29">
        <v>0.0</v>
      </c>
      <c r="D1038" s="29" t="s">
        <v>60</v>
      </c>
      <c r="E1038" s="29">
        <v>0.2517</v>
      </c>
      <c r="F1038" s="29">
        <v>32.1427</v>
      </c>
      <c r="G1038" s="29">
        <v>23.9529</v>
      </c>
      <c r="H1038" s="29">
        <v>0.5798</v>
      </c>
      <c r="I1038" s="29">
        <v>0.704</v>
      </c>
      <c r="J1038" s="29">
        <v>0.4474</v>
      </c>
      <c r="K1038" s="29">
        <v>0.1059</v>
      </c>
      <c r="L1038" s="29">
        <v>8.3525</v>
      </c>
      <c r="M1038" s="29" t="s">
        <v>225</v>
      </c>
    </row>
    <row r="1039" ht="15.75" customHeight="1">
      <c r="A1039" s="29" t="s">
        <v>1755</v>
      </c>
      <c r="B1039" s="29" t="s">
        <v>3936</v>
      </c>
      <c r="C1039" s="29">
        <v>0.0</v>
      </c>
      <c r="D1039" s="29" t="s">
        <v>60</v>
      </c>
      <c r="E1039" s="29">
        <v>0.7046</v>
      </c>
      <c r="F1039" s="29">
        <v>29.8258</v>
      </c>
      <c r="G1039" s="29">
        <v>23.0577</v>
      </c>
      <c r="H1039" s="29">
        <v>0.59</v>
      </c>
      <c r="I1039" s="29">
        <v>0.705</v>
      </c>
      <c r="J1039" s="29">
        <v>0.5791</v>
      </c>
      <c r="K1039" s="29">
        <v>0.2562</v>
      </c>
      <c r="L1039" s="29">
        <v>6.8841</v>
      </c>
      <c r="M1039" s="29" t="s">
        <v>225</v>
      </c>
    </row>
    <row r="1040" ht="15.75" customHeight="1">
      <c r="A1040" s="29" t="s">
        <v>2232</v>
      </c>
      <c r="B1040" s="29" t="s">
        <v>3938</v>
      </c>
      <c r="C1040" s="29">
        <v>0.0</v>
      </c>
      <c r="D1040" s="29" t="s">
        <v>60</v>
      </c>
      <c r="E1040" s="29">
        <v>0.6902</v>
      </c>
      <c r="F1040" s="29">
        <v>28.7245</v>
      </c>
      <c r="G1040" s="29">
        <v>22.9215</v>
      </c>
      <c r="H1040" s="29">
        <v>0.4528</v>
      </c>
      <c r="I1040" s="29">
        <v>0.687</v>
      </c>
      <c r="J1040" s="29">
        <v>0.6232</v>
      </c>
      <c r="K1040" s="29">
        <v>0.2653</v>
      </c>
      <c r="L1040" s="29">
        <v>6.472</v>
      </c>
      <c r="M1040" s="29" t="s">
        <v>225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